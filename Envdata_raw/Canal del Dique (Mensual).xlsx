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E:\GDrive\Academicos\Articulos\Pendientes\Varadero growth rates\data-pre\"/>
    </mc:Choice>
  </mc:AlternateContent>
  <xr:revisionPtr revIDLastSave="0" documentId="13_ncr:1_{2B21936D-73BB-49BE-B483-D525D3DC84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udal" sheetId="2" r:id="rId1"/>
    <sheet name="Pruebas de tendencia de Mann-K2" sheetId="14" state="hidden" r:id="rId2"/>
    <sheet name="Pruebas de tendencia de Mann-K3" sheetId="16" state="hidden" r:id="rId3"/>
    <sheet name="Pruebas de tendencia de Mann-K4" sheetId="18" state="hidden" r:id="rId4"/>
    <sheet name="Pruebas de tendencia de Mann-K5" sheetId="20" state="hidden" r:id="rId5"/>
    <sheet name="Pruebas de tendencia de Mann-K6" sheetId="22" state="hidden" r:id="rId6"/>
    <sheet name="Pruebas de tendencia de Mann-K7" sheetId="24" state="hidden" r:id="rId7"/>
    <sheet name="Pruebas de tendencia de Mann-K8" sheetId="26" state="hidden" r:id="rId8"/>
    <sheet name="Pruebas de tendencia de Mann-K9" sheetId="28" state="hidden" r:id="rId9"/>
    <sheet name="Nivel" sheetId="5" r:id="rId10"/>
    <sheet name="Sedimentos" sheetId="8" r:id="rId11"/>
    <sheet name="Pruebas de tendencia de Mann-K1" sheetId="12" state="hidden" r:id="rId12"/>
    <sheet name="Precipitacion" sheetId="30" r:id="rId13"/>
  </sheets>
  <externalReferences>
    <externalReference r:id="rId14"/>
    <externalReference r:id="rId15"/>
  </externalReferences>
  <definedNames>
    <definedName name="_xlnm._FilterDatabase" localSheetId="0" hidden="1">Caudal!$A$10:$D$10</definedName>
    <definedName name="_xlnm._FilterDatabase" localSheetId="9" hidden="1">Nivel!$A$9:$D$9</definedName>
    <definedName name="_xlnm._FilterDatabase" localSheetId="12" hidden="1">Precipitacion!$A$7:$F$811</definedName>
    <definedName name="_xlnm._FilterDatabase" localSheetId="10" hidden="1">Sedimentos!$A$9:$E$9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" i="5" l="1"/>
  <c r="I8" i="30"/>
  <c r="K41" i="5" l="1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11" i="5"/>
  <c r="K12" i="5"/>
  <c r="K13" i="5"/>
  <c r="K10" i="5"/>
  <c r="H40" i="8" l="1"/>
  <c r="H39" i="8"/>
  <c r="H38" i="8"/>
  <c r="H37" i="8"/>
  <c r="H36" i="8"/>
  <c r="H35" i="8"/>
  <c r="H34" i="8"/>
  <c r="H32" i="8"/>
  <c r="H31" i="8"/>
  <c r="H30" i="8"/>
  <c r="H29" i="8"/>
  <c r="H28" i="8"/>
  <c r="H27" i="8"/>
  <c r="H26" i="8"/>
  <c r="H13" i="8"/>
  <c r="H14" i="8"/>
  <c r="H15" i="8"/>
  <c r="H16" i="8"/>
  <c r="H17" i="8"/>
  <c r="H18" i="8"/>
  <c r="H19" i="8"/>
  <c r="H20" i="8"/>
  <c r="H21" i="8"/>
  <c r="H22" i="8"/>
  <c r="H23" i="8"/>
  <c r="H24" i="8"/>
  <c r="H12" i="8"/>
  <c r="H10" i="8"/>
  <c r="G11" i="2"/>
  <c r="P27" i="5" l="1"/>
  <c r="L11" i="2"/>
  <c r="J19" i="30" l="1" a="1"/>
  <c r="J19" i="30" s="1"/>
  <c r="I19" i="30"/>
  <c r="I9" i="30"/>
  <c r="F691" i="30" l="1"/>
  <c r="F811" i="30"/>
  <c r="M74" i="30"/>
  <c r="M73" i="30"/>
  <c r="M68" i="30"/>
  <c r="M67" i="30"/>
  <c r="M66" i="30"/>
  <c r="M65" i="30"/>
  <c r="M64" i="30"/>
  <c r="M63" i="30"/>
  <c r="M62" i="30"/>
  <c r="M61" i="30"/>
  <c r="M60" i="30"/>
  <c r="M58" i="30"/>
  <c r="M57" i="30"/>
  <c r="M56" i="30"/>
  <c r="M55" i="30"/>
  <c r="M54" i="30"/>
  <c r="M53" i="30"/>
  <c r="M52" i="30"/>
  <c r="M51" i="30"/>
  <c r="M50" i="30"/>
  <c r="M49" i="30"/>
  <c r="M48" i="30"/>
  <c r="M47" i="30"/>
  <c r="M46" i="30"/>
  <c r="M45" i="30"/>
  <c r="M44" i="30"/>
  <c r="M40" i="30"/>
  <c r="M39" i="30"/>
  <c r="M38" i="30"/>
  <c r="M37" i="30"/>
  <c r="M36" i="30"/>
  <c r="M35" i="30"/>
  <c r="M34" i="30"/>
  <c r="M30" i="30"/>
  <c r="M29" i="30"/>
  <c r="M28" i="30"/>
  <c r="M27" i="30"/>
  <c r="M26" i="30"/>
  <c r="M25" i="30"/>
  <c r="M24" i="30"/>
  <c r="M23" i="30"/>
  <c r="M22" i="30"/>
  <c r="M21" i="30"/>
  <c r="M20" i="30"/>
  <c r="M19" i="30"/>
  <c r="M18" i="30"/>
  <c r="J18" i="30" a="1"/>
  <c r="J18" i="30" s="1"/>
  <c r="I18" i="30"/>
  <c r="M17" i="30"/>
  <c r="J17" i="30" a="1"/>
  <c r="J17" i="30" s="1"/>
  <c r="I17" i="30"/>
  <c r="M16" i="30"/>
  <c r="J16" i="30" a="1"/>
  <c r="J16" i="30" s="1"/>
  <c r="I16" i="30"/>
  <c r="M15" i="30"/>
  <c r="J15" i="30" a="1"/>
  <c r="J15" i="30" s="1"/>
  <c r="I15" i="30"/>
  <c r="M14" i="30"/>
  <c r="J14" i="30" a="1"/>
  <c r="J14" i="30" s="1"/>
  <c r="I14" i="30"/>
  <c r="M13" i="30"/>
  <c r="J13" i="30" a="1"/>
  <c r="J13" i="30" s="1"/>
  <c r="I13" i="30"/>
  <c r="M12" i="30"/>
  <c r="J12" i="30" a="1"/>
  <c r="J12" i="30" s="1"/>
  <c r="I12" i="30"/>
  <c r="M11" i="30"/>
  <c r="J11" i="30" a="1"/>
  <c r="J11" i="30" s="1"/>
  <c r="I11" i="30"/>
  <c r="M10" i="30"/>
  <c r="J10" i="30" a="1"/>
  <c r="J10" i="30" s="1"/>
  <c r="I10" i="30"/>
  <c r="M9" i="30"/>
  <c r="J9" i="30" a="1"/>
  <c r="J9" i="30" s="1"/>
  <c r="F597" i="30" s="1"/>
  <c r="M8" i="30"/>
  <c r="J8" i="30" a="1"/>
  <c r="J8" i="30" s="1"/>
  <c r="F5" i="30"/>
  <c r="F4" i="30"/>
  <c r="E472" i="30" l="1"/>
  <c r="F623" i="30"/>
  <c r="F471" i="30"/>
  <c r="F613" i="30"/>
  <c r="F557" i="30"/>
  <c r="E741" i="30"/>
  <c r="E688" i="30"/>
  <c r="E642" i="30"/>
  <c r="E588" i="30"/>
  <c r="E543" i="30"/>
  <c r="F572" i="30"/>
  <c r="M5" i="30"/>
  <c r="E734" i="30"/>
  <c r="E675" i="30"/>
  <c r="E627" i="30"/>
  <c r="E581" i="30"/>
  <c r="E16" i="30"/>
  <c r="E811" i="30"/>
  <c r="F228" i="30"/>
  <c r="E806" i="30"/>
  <c r="F26" i="30"/>
  <c r="E804" i="30"/>
  <c r="E721" i="30"/>
  <c r="E662" i="30"/>
  <c r="E614" i="30"/>
  <c r="E574" i="30"/>
  <c r="E295" i="30"/>
  <c r="F550" i="30"/>
  <c r="E705" i="30"/>
  <c r="E655" i="30"/>
  <c r="E601" i="30"/>
  <c r="E567" i="30"/>
  <c r="F209" i="30"/>
  <c r="F809" i="30"/>
  <c r="F699" i="30"/>
  <c r="F783" i="30"/>
  <c r="F711" i="30"/>
  <c r="F441" i="30"/>
  <c r="F453" i="30"/>
  <c r="F465" i="30"/>
  <c r="F489" i="30"/>
  <c r="F621" i="30"/>
  <c r="F669" i="30"/>
  <c r="F801" i="30"/>
  <c r="F681" i="30"/>
  <c r="F810" i="30"/>
  <c r="F270" i="30"/>
  <c r="F318" i="30"/>
  <c r="F342" i="30"/>
  <c r="F595" i="30"/>
  <c r="F751" i="30"/>
  <c r="F787" i="30"/>
  <c r="F559" i="30"/>
  <c r="F607" i="30"/>
  <c r="F727" i="30"/>
  <c r="F763" i="30"/>
  <c r="F775" i="30"/>
  <c r="F799" i="30"/>
  <c r="F712" i="30"/>
  <c r="F808" i="30"/>
  <c r="F172" i="30"/>
  <c r="F544" i="30"/>
  <c r="F28" i="30"/>
  <c r="F112" i="30"/>
  <c r="F124" i="30"/>
  <c r="F136" i="30"/>
  <c r="F148" i="30"/>
  <c r="F424" i="30"/>
  <c r="F100" i="30"/>
  <c r="F316" i="30"/>
  <c r="F340" i="30"/>
  <c r="F88" i="30"/>
  <c r="F220" i="30"/>
  <c r="F232" i="30"/>
  <c r="F244" i="30"/>
  <c r="F268" i="30"/>
  <c r="F352" i="30"/>
  <c r="F364" i="30"/>
  <c r="F376" i="30"/>
  <c r="F208" i="30"/>
  <c r="F256" i="30"/>
  <c r="E801" i="30"/>
  <c r="E787" i="30"/>
  <c r="E783" i="30"/>
  <c r="E780" i="30"/>
  <c r="E776" i="30"/>
  <c r="E757" i="30"/>
  <c r="E754" i="30"/>
  <c r="E751" i="30"/>
  <c r="E746" i="30"/>
  <c r="F742" i="30"/>
  <c r="E735" i="30"/>
  <c r="E728" i="30"/>
  <c r="F722" i="30"/>
  <c r="E712" i="30"/>
  <c r="F706" i="30"/>
  <c r="E699" i="30"/>
  <c r="F689" i="30"/>
  <c r="E682" i="30"/>
  <c r="F676" i="30"/>
  <c r="E669" i="30"/>
  <c r="F663" i="30"/>
  <c r="E656" i="30"/>
  <c r="E649" i="30"/>
  <c r="F643" i="30"/>
  <c r="E636" i="30"/>
  <c r="F628" i="30"/>
  <c r="E621" i="30"/>
  <c r="F615" i="30"/>
  <c r="E608" i="30"/>
  <c r="F602" i="30"/>
  <c r="E595" i="30"/>
  <c r="F589" i="30"/>
  <c r="E582" i="30"/>
  <c r="F575" i="30"/>
  <c r="F568" i="30"/>
  <c r="E560" i="30"/>
  <c r="E553" i="30"/>
  <c r="E544" i="30"/>
  <c r="E489" i="30"/>
  <c r="E481" i="30"/>
  <c r="E473" i="30"/>
  <c r="E465" i="30"/>
  <c r="F454" i="30"/>
  <c r="F442" i="30"/>
  <c r="F422" i="30"/>
  <c r="F372" i="30"/>
  <c r="F360" i="30"/>
  <c r="F345" i="30"/>
  <c r="F319" i="30"/>
  <c r="F301" i="30"/>
  <c r="E270" i="30"/>
  <c r="E240" i="30"/>
  <c r="E209" i="30"/>
  <c r="E152" i="30"/>
  <c r="E110" i="30"/>
  <c r="M6" i="30"/>
  <c r="F806" i="30"/>
  <c r="F210" i="30"/>
  <c r="F258" i="30"/>
  <c r="F558" i="30"/>
  <c r="F570" i="30"/>
  <c r="F582" i="30"/>
  <c r="F594" i="30"/>
  <c r="F606" i="30"/>
  <c r="F618" i="30"/>
  <c r="F702" i="30"/>
  <c r="F186" i="30"/>
  <c r="F294" i="30"/>
  <c r="F450" i="30"/>
  <c r="F462" i="30"/>
  <c r="F174" i="30"/>
  <c r="F282" i="30"/>
  <c r="F114" i="30"/>
  <c r="F126" i="30"/>
  <c r="F138" i="30"/>
  <c r="F150" i="30"/>
  <c r="F426" i="30"/>
  <c r="F102" i="30"/>
  <c r="E799" i="30"/>
  <c r="E796" i="30"/>
  <c r="E793" i="30"/>
  <c r="E790" i="30"/>
  <c r="E786" i="30"/>
  <c r="E775" i="30"/>
  <c r="E772" i="30"/>
  <c r="E769" i="30"/>
  <c r="E766" i="30"/>
  <c r="E763" i="30"/>
  <c r="E760" i="30"/>
  <c r="E740" i="30"/>
  <c r="F734" i="30"/>
  <c r="E727" i="30"/>
  <c r="F721" i="30"/>
  <c r="E711" i="30"/>
  <c r="F705" i="30"/>
  <c r="E698" i="30"/>
  <c r="F688" i="30"/>
  <c r="E681" i="30"/>
  <c r="F675" i="30"/>
  <c r="E668" i="30"/>
  <c r="E661" i="30"/>
  <c r="F655" i="30"/>
  <c r="E648" i="30"/>
  <c r="F642" i="30"/>
  <c r="E635" i="30"/>
  <c r="F627" i="30"/>
  <c r="E620" i="30"/>
  <c r="F614" i="30"/>
  <c r="E607" i="30"/>
  <c r="F601" i="30"/>
  <c r="E594" i="30"/>
  <c r="E587" i="30"/>
  <c r="F581" i="30"/>
  <c r="F574" i="30"/>
  <c r="E566" i="30"/>
  <c r="E559" i="30"/>
  <c r="E552" i="30"/>
  <c r="F543" i="30"/>
  <c r="E488" i="30"/>
  <c r="F480" i="30"/>
  <c r="F472" i="30"/>
  <c r="E464" i="30"/>
  <c r="E452" i="30"/>
  <c r="E440" i="30"/>
  <c r="E420" i="30"/>
  <c r="E370" i="30"/>
  <c r="E358" i="30"/>
  <c r="E341" i="30"/>
  <c r="E317" i="30"/>
  <c r="E293" i="30"/>
  <c r="E267" i="30"/>
  <c r="E237" i="30"/>
  <c r="E203" i="30"/>
  <c r="E146" i="30"/>
  <c r="E104" i="30"/>
  <c r="F796" i="30"/>
  <c r="F793" i="30"/>
  <c r="F790" i="30"/>
  <c r="F786" i="30"/>
  <c r="F772" i="30"/>
  <c r="F769" i="30"/>
  <c r="F766" i="30"/>
  <c r="F760" i="30"/>
  <c r="E745" i="30"/>
  <c r="F740" i="30"/>
  <c r="E733" i="30"/>
  <c r="E719" i="30"/>
  <c r="E704" i="30"/>
  <c r="F698" i="30"/>
  <c r="E687" i="30"/>
  <c r="E674" i="30"/>
  <c r="E667" i="30"/>
  <c r="F661" i="30"/>
  <c r="E654" i="30"/>
  <c r="F648" i="30"/>
  <c r="E641" i="30"/>
  <c r="F635" i="30"/>
  <c r="E626" i="30"/>
  <c r="F620" i="30"/>
  <c r="E613" i="30"/>
  <c r="E600" i="30"/>
  <c r="E593" i="30"/>
  <c r="F587" i="30"/>
  <c r="E580" i="30"/>
  <c r="E573" i="30"/>
  <c r="F566" i="30"/>
  <c r="E551" i="30"/>
  <c r="E542" i="30"/>
  <c r="E487" i="30"/>
  <c r="E479" i="30"/>
  <c r="E471" i="30"/>
  <c r="E463" i="30"/>
  <c r="E451" i="30"/>
  <c r="E431" i="30"/>
  <c r="E419" i="30"/>
  <c r="E369" i="30"/>
  <c r="E357" i="30"/>
  <c r="E340" i="30"/>
  <c r="E316" i="30"/>
  <c r="E292" i="30"/>
  <c r="E264" i="30"/>
  <c r="E234" i="30"/>
  <c r="F203" i="30"/>
  <c r="F146" i="30"/>
  <c r="F104" i="30"/>
  <c r="F804" i="30"/>
  <c r="E785" i="30"/>
  <c r="E782" i="30"/>
  <c r="E779" i="30"/>
  <c r="E759" i="30"/>
  <c r="E756" i="30"/>
  <c r="E753" i="30"/>
  <c r="E750" i="30"/>
  <c r="F745" i="30"/>
  <c r="E739" i="30"/>
  <c r="F733" i="30"/>
  <c r="E726" i="30"/>
  <c r="F719" i="30"/>
  <c r="E710" i="30"/>
  <c r="F704" i="30"/>
  <c r="E697" i="30"/>
  <c r="F687" i="30"/>
  <c r="E680" i="30"/>
  <c r="E673" i="30"/>
  <c r="F667" i="30"/>
  <c r="E660" i="30"/>
  <c r="F654" i="30"/>
  <c r="E647" i="30"/>
  <c r="F641" i="30"/>
  <c r="E634" i="30"/>
  <c r="F626" i="30"/>
  <c r="E619" i="30"/>
  <c r="E606" i="30"/>
  <c r="E599" i="30"/>
  <c r="F593" i="30"/>
  <c r="E586" i="30"/>
  <c r="F580" i="30"/>
  <c r="E572" i="30"/>
  <c r="E565" i="30"/>
  <c r="E558" i="30"/>
  <c r="F551" i="30"/>
  <c r="F542" i="30"/>
  <c r="F487" i="30"/>
  <c r="E478" i="30"/>
  <c r="E461" i="30"/>
  <c r="E449" i="30"/>
  <c r="E429" i="30"/>
  <c r="E417" i="30"/>
  <c r="E367" i="30"/>
  <c r="E355" i="30"/>
  <c r="E338" i="30"/>
  <c r="E314" i="30"/>
  <c r="F292" i="30"/>
  <c r="F264" i="30"/>
  <c r="F234" i="30"/>
  <c r="E184" i="30"/>
  <c r="E134" i="30"/>
  <c r="E96" i="30"/>
  <c r="F97" i="30"/>
  <c r="F217" i="30"/>
  <c r="F229" i="30"/>
  <c r="F241" i="30"/>
  <c r="F265" i="30"/>
  <c r="F361" i="30"/>
  <c r="F373" i="30"/>
  <c r="F205" i="30"/>
  <c r="F349" i="30"/>
  <c r="F181" i="30"/>
  <c r="F289" i="30"/>
  <c r="F445" i="30"/>
  <c r="F457" i="30"/>
  <c r="F13" i="30"/>
  <c r="F169" i="30"/>
  <c r="F25" i="30"/>
  <c r="F109" i="30"/>
  <c r="F121" i="30"/>
  <c r="F133" i="30"/>
  <c r="F27" i="30"/>
  <c r="F111" i="30"/>
  <c r="F123" i="30"/>
  <c r="F135" i="30"/>
  <c r="F147" i="30"/>
  <c r="F423" i="30"/>
  <c r="F723" i="30"/>
  <c r="F735" i="30"/>
  <c r="F99" i="30"/>
  <c r="F279" i="30"/>
  <c r="F315" i="30"/>
  <c r="F339" i="30"/>
  <c r="F87" i="30"/>
  <c r="F219" i="30"/>
  <c r="F231" i="30"/>
  <c r="F243" i="30"/>
  <c r="F267" i="30"/>
  <c r="F351" i="30"/>
  <c r="F363" i="30"/>
  <c r="F375" i="30"/>
  <c r="F207" i="30"/>
  <c r="F255" i="30"/>
  <c r="F555" i="30"/>
  <c r="F567" i="30"/>
  <c r="F579" i="30"/>
  <c r="F183" i="30"/>
  <c r="F291" i="30"/>
  <c r="E802" i="30"/>
  <c r="F785" i="30"/>
  <c r="F782" i="30"/>
  <c r="F779" i="30"/>
  <c r="F759" i="30"/>
  <c r="F756" i="30"/>
  <c r="F753" i="30"/>
  <c r="F750" i="30"/>
  <c r="F739" i="30"/>
  <c r="E732" i="30"/>
  <c r="F726" i="30"/>
  <c r="E718" i="30"/>
  <c r="F710" i="30"/>
  <c r="E703" i="30"/>
  <c r="F697" i="30"/>
  <c r="E686" i="30"/>
  <c r="E679" i="30"/>
  <c r="F673" i="30"/>
  <c r="E666" i="30"/>
  <c r="F660" i="30"/>
  <c r="E653" i="30"/>
  <c r="F647" i="30"/>
  <c r="E640" i="30"/>
  <c r="F634" i="30"/>
  <c r="E625" i="30"/>
  <c r="F619" i="30"/>
  <c r="E612" i="30"/>
  <c r="E605" i="30"/>
  <c r="F599" i="30"/>
  <c r="E592" i="30"/>
  <c r="F586" i="30"/>
  <c r="E579" i="30"/>
  <c r="F565" i="30"/>
  <c r="E557" i="30"/>
  <c r="E550" i="30"/>
  <c r="E494" i="30"/>
  <c r="F486" i="30"/>
  <c r="F478" i="30"/>
  <c r="E470" i="30"/>
  <c r="E460" i="30"/>
  <c r="E448" i="30"/>
  <c r="E428" i="30"/>
  <c r="E416" i="30"/>
  <c r="E366" i="30"/>
  <c r="E354" i="30"/>
  <c r="E337" i="30"/>
  <c r="E313" i="30"/>
  <c r="E289" i="30"/>
  <c r="E260" i="30"/>
  <c r="E231" i="30"/>
  <c r="F184" i="30"/>
  <c r="F134" i="30"/>
  <c r="F96" i="30"/>
  <c r="F308" i="30"/>
  <c r="F320" i="30"/>
  <c r="F632" i="30"/>
  <c r="F644" i="30"/>
  <c r="F656" i="30"/>
  <c r="F668" i="30"/>
  <c r="F680" i="30"/>
  <c r="F716" i="30"/>
  <c r="F92" i="30"/>
  <c r="F212" i="30"/>
  <c r="F224" i="30"/>
  <c r="F236" i="30"/>
  <c r="F248" i="30"/>
  <c r="F272" i="30"/>
  <c r="F356" i="30"/>
  <c r="F368" i="30"/>
  <c r="F200" i="30"/>
  <c r="F260" i="30"/>
  <c r="F284" i="30"/>
  <c r="F296" i="30"/>
  <c r="F440" i="30"/>
  <c r="F452" i="30"/>
  <c r="F464" i="30"/>
  <c r="F476" i="30"/>
  <c r="F488" i="30"/>
  <c r="F164" i="30"/>
  <c r="F176" i="30"/>
  <c r="E809" i="30"/>
  <c r="F802" i="30"/>
  <c r="E798" i="30"/>
  <c r="E795" i="30"/>
  <c r="E792" i="30"/>
  <c r="E789" i="30"/>
  <c r="E774" i="30"/>
  <c r="E771" i="30"/>
  <c r="E768" i="30"/>
  <c r="E765" i="30"/>
  <c r="E762" i="30"/>
  <c r="E749" i="30"/>
  <c r="E738" i="30"/>
  <c r="F732" i="30"/>
  <c r="E725" i="30"/>
  <c r="F718" i="30"/>
  <c r="E709" i="30"/>
  <c r="F703" i="30"/>
  <c r="E696" i="30"/>
  <c r="E685" i="30"/>
  <c r="F679" i="30"/>
  <c r="E672" i="30"/>
  <c r="F666" i="30"/>
  <c r="E659" i="30"/>
  <c r="F653" i="30"/>
  <c r="E646" i="30"/>
  <c r="F640" i="30"/>
  <c r="E633" i="30"/>
  <c r="F625" i="30"/>
  <c r="E618" i="30"/>
  <c r="E611" i="30"/>
  <c r="F605" i="30"/>
  <c r="E598" i="30"/>
  <c r="F592" i="30"/>
  <c r="E585" i="30"/>
  <c r="E578" i="30"/>
  <c r="E571" i="30"/>
  <c r="E564" i="30"/>
  <c r="E493" i="30"/>
  <c r="E485" i="30"/>
  <c r="E477" i="30"/>
  <c r="E469" i="30"/>
  <c r="F460" i="30"/>
  <c r="F448" i="30"/>
  <c r="F428" i="30"/>
  <c r="F416" i="30"/>
  <c r="F366" i="30"/>
  <c r="F354" i="30"/>
  <c r="F337" i="30"/>
  <c r="F313" i="30"/>
  <c r="E286" i="30"/>
  <c r="E257" i="30"/>
  <c r="E228" i="30"/>
  <c r="E177" i="30"/>
  <c r="E128" i="30"/>
  <c r="E90" i="30"/>
  <c r="F10" i="30"/>
  <c r="F166" i="30"/>
  <c r="F178" i="30"/>
  <c r="F346" i="30"/>
  <c r="F106" i="30"/>
  <c r="F118" i="30"/>
  <c r="F130" i="30"/>
  <c r="F154" i="30"/>
  <c r="F418" i="30"/>
  <c r="F430" i="30"/>
  <c r="F22" i="30"/>
  <c r="F310" i="30"/>
  <c r="F322" i="30"/>
  <c r="F94" i="30"/>
  <c r="F214" i="30"/>
  <c r="F226" i="30"/>
  <c r="F238" i="30"/>
  <c r="F358" i="30"/>
  <c r="F370" i="30"/>
  <c r="F202" i="30"/>
  <c r="F298" i="30"/>
  <c r="E807" i="30"/>
  <c r="F807" i="30"/>
  <c r="F17" i="30"/>
  <c r="F185" i="30"/>
  <c r="F293" i="30"/>
  <c r="F449" i="30"/>
  <c r="F461" i="30"/>
  <c r="F473" i="30"/>
  <c r="F485" i="30"/>
  <c r="F173" i="30"/>
  <c r="F113" i="30"/>
  <c r="F125" i="30"/>
  <c r="F137" i="30"/>
  <c r="F149" i="30"/>
  <c r="F425" i="30"/>
  <c r="F101" i="30"/>
  <c r="F317" i="30"/>
  <c r="F341" i="30"/>
  <c r="F89" i="30"/>
  <c r="F221" i="30"/>
  <c r="F233" i="30"/>
  <c r="F245" i="30"/>
  <c r="F269" i="30"/>
  <c r="E800" i="30"/>
  <c r="F798" i="30"/>
  <c r="F795" i="30"/>
  <c r="F792" i="30"/>
  <c r="F789" i="30"/>
  <c r="F774" i="30"/>
  <c r="F771" i="30"/>
  <c r="F768" i="30"/>
  <c r="F765" i="30"/>
  <c r="F762" i="30"/>
  <c r="F749" i="30"/>
  <c r="E744" i="30"/>
  <c r="F738" i="30"/>
  <c r="E731" i="30"/>
  <c r="F725" i="30"/>
  <c r="E717" i="30"/>
  <c r="F709" i="30"/>
  <c r="E702" i="30"/>
  <c r="E691" i="30"/>
  <c r="F685" i="30"/>
  <c r="E678" i="30"/>
  <c r="F672" i="30"/>
  <c r="E665" i="30"/>
  <c r="F659" i="30"/>
  <c r="E652" i="30"/>
  <c r="F646" i="30"/>
  <c r="E639" i="30"/>
  <c r="F633" i="30"/>
  <c r="E624" i="30"/>
  <c r="E617" i="30"/>
  <c r="F611" i="30"/>
  <c r="E604" i="30"/>
  <c r="F598" i="30"/>
  <c r="E591" i="30"/>
  <c r="F585" i="30"/>
  <c r="F578" i="30"/>
  <c r="F571" i="30"/>
  <c r="E563" i="30"/>
  <c r="E556" i="30"/>
  <c r="E549" i="30"/>
  <c r="F493" i="30"/>
  <c r="E484" i="30"/>
  <c r="F477" i="30"/>
  <c r="F469" i="30"/>
  <c r="F459" i="30"/>
  <c r="F447" i="30"/>
  <c r="F427" i="30"/>
  <c r="F378" i="30"/>
  <c r="F365" i="30"/>
  <c r="F353" i="30"/>
  <c r="F324" i="30"/>
  <c r="F312" i="30"/>
  <c r="F286" i="30"/>
  <c r="F257" i="30"/>
  <c r="F177" i="30"/>
  <c r="F128" i="30"/>
  <c r="F90" i="30"/>
  <c r="F204" i="30"/>
  <c r="F552" i="30"/>
  <c r="F564" i="30"/>
  <c r="F576" i="30"/>
  <c r="F588" i="30"/>
  <c r="F600" i="30"/>
  <c r="F612" i="30"/>
  <c r="F624" i="30"/>
  <c r="F696" i="30"/>
  <c r="F708" i="30"/>
  <c r="F180" i="30"/>
  <c r="F288" i="30"/>
  <c r="F444" i="30"/>
  <c r="F456" i="30"/>
  <c r="F12" i="30"/>
  <c r="F168" i="30"/>
  <c r="F24" i="30"/>
  <c r="F108" i="30"/>
  <c r="F120" i="30"/>
  <c r="F132" i="30"/>
  <c r="F156" i="30"/>
  <c r="F420" i="30"/>
  <c r="F276" i="30"/>
  <c r="E805" i="30"/>
  <c r="E784" i="30"/>
  <c r="E781" i="30"/>
  <c r="E778" i="30"/>
  <c r="E758" i="30"/>
  <c r="E755" i="30"/>
  <c r="E752" i="30"/>
  <c r="E748" i="30"/>
  <c r="F744" i="30"/>
  <c r="E737" i="30"/>
  <c r="F731" i="30"/>
  <c r="E724" i="30"/>
  <c r="F717" i="30"/>
  <c r="E708" i="30"/>
  <c r="E701" i="30"/>
  <c r="E684" i="30"/>
  <c r="F678" i="30"/>
  <c r="E671" i="30"/>
  <c r="F665" i="30"/>
  <c r="E658" i="30"/>
  <c r="F652" i="30"/>
  <c r="E645" i="30"/>
  <c r="F639" i="30"/>
  <c r="E632" i="30"/>
  <c r="E623" i="30"/>
  <c r="F617" i="30"/>
  <c r="E610" i="30"/>
  <c r="F604" i="30"/>
  <c r="E597" i="30"/>
  <c r="F591" i="30"/>
  <c r="E584" i="30"/>
  <c r="E577" i="30"/>
  <c r="E570" i="30"/>
  <c r="F563" i="30"/>
  <c r="F556" i="30"/>
  <c r="E546" i="30"/>
  <c r="F492" i="30"/>
  <c r="F484" i="30"/>
  <c r="E476" i="30"/>
  <c r="F468" i="30"/>
  <c r="E458" i="30"/>
  <c r="E446" i="30"/>
  <c r="E426" i="30"/>
  <c r="E376" i="30"/>
  <c r="E364" i="30"/>
  <c r="E352" i="30"/>
  <c r="E323" i="30"/>
  <c r="E311" i="30"/>
  <c r="E282" i="30"/>
  <c r="E249" i="30"/>
  <c r="E222" i="30"/>
  <c r="E171" i="30"/>
  <c r="E122" i="30"/>
  <c r="E26" i="30"/>
  <c r="F800" i="30"/>
  <c r="E810" i="30"/>
  <c r="F805" i="30"/>
  <c r="F91" i="30"/>
  <c r="F223" i="30"/>
  <c r="F235" i="30"/>
  <c r="F247" i="30"/>
  <c r="F271" i="30"/>
  <c r="F355" i="30"/>
  <c r="F367" i="30"/>
  <c r="F259" i="30"/>
  <c r="F295" i="30"/>
  <c r="F451" i="30"/>
  <c r="F463" i="30"/>
  <c r="F175" i="30"/>
  <c r="F115" i="30"/>
  <c r="F127" i="30"/>
  <c r="F139" i="30"/>
  <c r="F151" i="30"/>
  <c r="F784" i="30"/>
  <c r="F781" i="30"/>
  <c r="F778" i="30"/>
  <c r="F758" i="30"/>
  <c r="F755" i="30"/>
  <c r="F752" i="30"/>
  <c r="F748" i="30"/>
  <c r="E743" i="30"/>
  <c r="F737" i="30"/>
  <c r="E730" i="30"/>
  <c r="F724" i="30"/>
  <c r="E716" i="30"/>
  <c r="E707" i="30"/>
  <c r="F701" i="30"/>
  <c r="E690" i="30"/>
  <c r="F684" i="30"/>
  <c r="E677" i="30"/>
  <c r="F671" i="30"/>
  <c r="E664" i="30"/>
  <c r="F658" i="30"/>
  <c r="E651" i="30"/>
  <c r="F645" i="30"/>
  <c r="E638" i="30"/>
  <c r="E629" i="30"/>
  <c r="E616" i="30"/>
  <c r="F610" i="30"/>
  <c r="E603" i="30"/>
  <c r="E590" i="30"/>
  <c r="F584" i="30"/>
  <c r="F577" i="30"/>
  <c r="E569" i="30"/>
  <c r="E562" i="30"/>
  <c r="E555" i="30"/>
  <c r="F546" i="30"/>
  <c r="E491" i="30"/>
  <c r="E483" i="30"/>
  <c r="E475" i="30"/>
  <c r="E467" i="30"/>
  <c r="E457" i="30"/>
  <c r="E445" i="30"/>
  <c r="E425" i="30"/>
  <c r="E375" i="30"/>
  <c r="E363" i="30"/>
  <c r="E351" i="30"/>
  <c r="E322" i="30"/>
  <c r="E310" i="30"/>
  <c r="E277" i="30"/>
  <c r="E246" i="30"/>
  <c r="F222" i="30"/>
  <c r="F171" i="30"/>
  <c r="F122" i="30"/>
  <c r="F287" i="30"/>
  <c r="F443" i="30"/>
  <c r="F455" i="30"/>
  <c r="F467" i="30"/>
  <c r="F479" i="30"/>
  <c r="F491" i="30"/>
  <c r="F11" i="30"/>
  <c r="F167" i="30"/>
  <c r="F107" i="30"/>
  <c r="F119" i="30"/>
  <c r="F131" i="30"/>
  <c r="F155" i="30"/>
  <c r="F419" i="30"/>
  <c r="F431" i="30"/>
  <c r="F275" i="30"/>
  <c r="F311" i="30"/>
  <c r="F323" i="30"/>
  <c r="F95" i="30"/>
  <c r="F215" i="30"/>
  <c r="F227" i="30"/>
  <c r="F239" i="30"/>
  <c r="F263" i="30"/>
  <c r="F278" i="30"/>
  <c r="F314" i="30"/>
  <c r="F338" i="30"/>
  <c r="F638" i="30"/>
  <c r="F650" i="30"/>
  <c r="F662" i="30"/>
  <c r="F674" i="30"/>
  <c r="F686" i="30"/>
  <c r="F218" i="30"/>
  <c r="F230" i="30"/>
  <c r="F242" i="30"/>
  <c r="F266" i="30"/>
  <c r="F362" i="30"/>
  <c r="F374" i="30"/>
  <c r="F206" i="30"/>
  <c r="F182" i="30"/>
  <c r="F290" i="30"/>
  <c r="F446" i="30"/>
  <c r="F458" i="30"/>
  <c r="F470" i="30"/>
  <c r="F482" i="30"/>
  <c r="F494" i="30"/>
  <c r="F14" i="30"/>
  <c r="F170" i="30"/>
  <c r="E803" i="30"/>
  <c r="E797" i="30"/>
  <c r="E794" i="30"/>
  <c r="E791" i="30"/>
  <c r="E788" i="30"/>
  <c r="E777" i="30"/>
  <c r="E773" i="30"/>
  <c r="E770" i="30"/>
  <c r="E767" i="30"/>
  <c r="E764" i="30"/>
  <c r="E761" i="30"/>
  <c r="E747" i="30"/>
  <c r="F743" i="30"/>
  <c r="E736" i="30"/>
  <c r="F730" i="30"/>
  <c r="E723" i="30"/>
  <c r="E713" i="30"/>
  <c r="F707" i="30"/>
  <c r="E700" i="30"/>
  <c r="F690" i="30"/>
  <c r="E683" i="30"/>
  <c r="F677" i="30"/>
  <c r="E670" i="30"/>
  <c r="F664" i="30"/>
  <c r="E657" i="30"/>
  <c r="F651" i="30"/>
  <c r="E644" i="30"/>
  <c r="E637" i="30"/>
  <c r="F629" i="30"/>
  <c r="E622" i="30"/>
  <c r="F616" i="30"/>
  <c r="E609" i="30"/>
  <c r="F603" i="30"/>
  <c r="E596" i="30"/>
  <c r="F590" i="30"/>
  <c r="E583" i="30"/>
  <c r="E576" i="30"/>
  <c r="F569" i="30"/>
  <c r="F562" i="30"/>
  <c r="E554" i="30"/>
  <c r="E545" i="30"/>
  <c r="E490" i="30"/>
  <c r="F483" i="30"/>
  <c r="F475" i="30"/>
  <c r="E466" i="30"/>
  <c r="E455" i="30"/>
  <c r="E443" i="30"/>
  <c r="E423" i="30"/>
  <c r="E373" i="30"/>
  <c r="E361" i="30"/>
  <c r="E346" i="30"/>
  <c r="E320" i="30"/>
  <c r="E308" i="30"/>
  <c r="F277" i="30"/>
  <c r="F246" i="30"/>
  <c r="E216" i="30"/>
  <c r="E165" i="30"/>
  <c r="E116" i="30"/>
  <c r="F780" i="30"/>
  <c r="F776" i="30"/>
  <c r="F757" i="30"/>
  <c r="F754" i="30"/>
  <c r="F746" i="30"/>
  <c r="F728" i="30"/>
  <c r="F682" i="30"/>
  <c r="F649" i="30"/>
  <c r="F636" i="30"/>
  <c r="F608" i="30"/>
  <c r="F560" i="30"/>
  <c r="F553" i="30"/>
  <c r="F481" i="30"/>
  <c r="F421" i="30"/>
  <c r="F371" i="30"/>
  <c r="F359" i="30"/>
  <c r="F240" i="30"/>
  <c r="F152" i="30"/>
  <c r="F110" i="30"/>
  <c r="E10" i="30"/>
  <c r="E17" i="30"/>
  <c r="E27" i="30"/>
  <c r="E91" i="30"/>
  <c r="E97" i="30"/>
  <c r="E105" i="30"/>
  <c r="E111" i="30"/>
  <c r="E117" i="30"/>
  <c r="E123" i="30"/>
  <c r="E129" i="30"/>
  <c r="E135" i="30"/>
  <c r="E147" i="30"/>
  <c r="E153" i="30"/>
  <c r="E166" i="30"/>
  <c r="E172" i="30"/>
  <c r="E178" i="30"/>
  <c r="E185" i="30"/>
  <c r="E204" i="30"/>
  <c r="E210" i="30"/>
  <c r="E217" i="30"/>
  <c r="E223" i="30"/>
  <c r="E229" i="30"/>
  <c r="E235" i="30"/>
  <c r="E241" i="30"/>
  <c r="E247" i="30"/>
  <c r="E258" i="30"/>
  <c r="E265" i="30"/>
  <c r="E271" i="30"/>
  <c r="E278" i="30"/>
  <c r="E287" i="30"/>
  <c r="E11" i="30"/>
  <c r="E21" i="30"/>
  <c r="E28" i="30"/>
  <c r="E92" i="30"/>
  <c r="E99" i="30"/>
  <c r="E106" i="30"/>
  <c r="E112" i="30"/>
  <c r="E118" i="30"/>
  <c r="E124" i="30"/>
  <c r="E130" i="30"/>
  <c r="E136" i="30"/>
  <c r="E148" i="30"/>
  <c r="E154" i="30"/>
  <c r="E167" i="30"/>
  <c r="E173" i="30"/>
  <c r="E180" i="30"/>
  <c r="E186" i="30"/>
  <c r="E205" i="30"/>
  <c r="E212" i="30"/>
  <c r="E218" i="30"/>
  <c r="E224" i="30"/>
  <c r="E230" i="30"/>
  <c r="E236" i="30"/>
  <c r="E242" i="30"/>
  <c r="E248" i="30"/>
  <c r="E259" i="30"/>
  <c r="E266" i="30"/>
  <c r="E272" i="30"/>
  <c r="E279" i="30"/>
  <c r="E288" i="30"/>
  <c r="E294" i="30"/>
  <c r="E309" i="30"/>
  <c r="E315" i="30"/>
  <c r="E321" i="30"/>
  <c r="E339" i="30"/>
  <c r="E349" i="30"/>
  <c r="E356" i="30"/>
  <c r="E362" i="30"/>
  <c r="E368" i="30"/>
  <c r="E374" i="30"/>
  <c r="E418" i="30"/>
  <c r="E424" i="30"/>
  <c r="E430" i="30"/>
  <c r="E444" i="30"/>
  <c r="E450" i="30"/>
  <c r="E456" i="30"/>
  <c r="E462" i="30"/>
  <c r="E468" i="30"/>
  <c r="E474" i="30"/>
  <c r="E480" i="30"/>
  <c r="E486" i="30"/>
  <c r="E492" i="30"/>
  <c r="E12" i="30"/>
  <c r="E22" i="30"/>
  <c r="E87" i="30"/>
  <c r="E93" i="30"/>
  <c r="E100" i="30"/>
  <c r="E107" i="30"/>
  <c r="E113" i="30"/>
  <c r="E119" i="30"/>
  <c r="E125" i="30"/>
  <c r="E131" i="30"/>
  <c r="E137" i="30"/>
  <c r="E149" i="30"/>
  <c r="E155" i="30"/>
  <c r="E168" i="30"/>
  <c r="E174" i="30"/>
  <c r="E181" i="30"/>
  <c r="E200" i="30"/>
  <c r="E206" i="30"/>
  <c r="E213" i="30"/>
  <c r="E219" i="30"/>
  <c r="E225" i="30"/>
  <c r="E13" i="30"/>
  <c r="E24" i="30"/>
  <c r="E88" i="30"/>
  <c r="E94" i="30"/>
  <c r="E101" i="30"/>
  <c r="E108" i="30"/>
  <c r="E114" i="30"/>
  <c r="E120" i="30"/>
  <c r="E126" i="30"/>
  <c r="E132" i="30"/>
  <c r="E138" i="30"/>
  <c r="E150" i="30"/>
  <c r="E156" i="30"/>
  <c r="E169" i="30"/>
  <c r="E175" i="30"/>
  <c r="E182" i="30"/>
  <c r="E201" i="30"/>
  <c r="E207" i="30"/>
  <c r="E214" i="30"/>
  <c r="E220" i="30"/>
  <c r="E226" i="30"/>
  <c r="E232" i="30"/>
  <c r="E238" i="30"/>
  <c r="E244" i="30"/>
  <c r="E255" i="30"/>
  <c r="E261" i="30"/>
  <c r="E268" i="30"/>
  <c r="E275" i="30"/>
  <c r="E284" i="30"/>
  <c r="E290" i="30"/>
  <c r="E296" i="30"/>
  <c r="E14" i="30"/>
  <c r="E25" i="30"/>
  <c r="E89" i="30"/>
  <c r="E95" i="30"/>
  <c r="E102" i="30"/>
  <c r="E109" i="30"/>
  <c r="E115" i="30"/>
  <c r="E121" i="30"/>
  <c r="E127" i="30"/>
  <c r="E133" i="30"/>
  <c r="E139" i="30"/>
  <c r="E151" i="30"/>
  <c r="E164" i="30"/>
  <c r="E170" i="30"/>
  <c r="E176" i="30"/>
  <c r="E183" i="30"/>
  <c r="E202" i="30"/>
  <c r="E208" i="30"/>
  <c r="E215" i="30"/>
  <c r="E221" i="30"/>
  <c r="E227" i="30"/>
  <c r="E233" i="30"/>
  <c r="E239" i="30"/>
  <c r="E245" i="30"/>
  <c r="E256" i="30"/>
  <c r="E263" i="30"/>
  <c r="E269" i="30"/>
  <c r="E276" i="30"/>
  <c r="E285" i="30"/>
  <c r="E291" i="30"/>
  <c r="E298" i="30"/>
  <c r="E312" i="30"/>
  <c r="E318" i="30"/>
  <c r="E324" i="30"/>
  <c r="E342" i="30"/>
  <c r="E353" i="30"/>
  <c r="E359" i="30"/>
  <c r="E365" i="30"/>
  <c r="E371" i="30"/>
  <c r="E378" i="30"/>
  <c r="E421" i="30"/>
  <c r="E427" i="30"/>
  <c r="E441" i="30"/>
  <c r="E447" i="30"/>
  <c r="E453" i="30"/>
  <c r="E459" i="30"/>
  <c r="F105" i="30"/>
  <c r="F117" i="30"/>
  <c r="F129" i="30"/>
  <c r="F153" i="30"/>
  <c r="F417" i="30"/>
  <c r="F429" i="30"/>
  <c r="F729" i="30"/>
  <c r="F741" i="30"/>
  <c r="F21" i="30"/>
  <c r="F309" i="30"/>
  <c r="F321" i="30"/>
  <c r="F93" i="30"/>
  <c r="F213" i="30"/>
  <c r="F225" i="30"/>
  <c r="F237" i="30"/>
  <c r="F249" i="30"/>
  <c r="F273" i="30"/>
  <c r="F357" i="30"/>
  <c r="F369" i="30"/>
  <c r="F201" i="30"/>
  <c r="F261" i="30"/>
  <c r="F549" i="30"/>
  <c r="F561" i="30"/>
  <c r="F573" i="30"/>
  <c r="F285" i="30"/>
  <c r="E808" i="30"/>
  <c r="F803" i="30"/>
  <c r="F797" i="30"/>
  <c r="F794" i="30"/>
  <c r="F791" i="30"/>
  <c r="F788" i="30"/>
  <c r="F777" i="30"/>
  <c r="F773" i="30"/>
  <c r="F770" i="30"/>
  <c r="F767" i="30"/>
  <c r="F764" i="30"/>
  <c r="F761" i="30"/>
  <c r="F747" i="30"/>
  <c r="E742" i="30"/>
  <c r="F736" i="30"/>
  <c r="E729" i="30"/>
  <c r="E722" i="30"/>
  <c r="F713" i="30"/>
  <c r="E706" i="30"/>
  <c r="F700" i="30"/>
  <c r="E689" i="30"/>
  <c r="F683" i="30"/>
  <c r="E676" i="30"/>
  <c r="F670" i="30"/>
  <c r="E663" i="30"/>
  <c r="F657" i="30"/>
  <c r="E650" i="30"/>
  <c r="E643" i="30"/>
  <c r="F637" i="30"/>
  <c r="E628" i="30"/>
  <c r="F622" i="30"/>
  <c r="E615" i="30"/>
  <c r="F609" i="30"/>
  <c r="E602" i="30"/>
  <c r="F596" i="30"/>
  <c r="E589" i="30"/>
  <c r="F583" i="30"/>
  <c r="E575" i="30"/>
  <c r="E568" i="30"/>
  <c r="E561" i="30"/>
  <c r="F554" i="30"/>
  <c r="F545" i="30"/>
  <c r="F490" i="30"/>
  <c r="E482" i="30"/>
  <c r="F474" i="30"/>
  <c r="F466" i="30"/>
  <c r="E454" i="30"/>
  <c r="E442" i="30"/>
  <c r="E422" i="30"/>
  <c r="E372" i="30"/>
  <c r="E360" i="30"/>
  <c r="E345" i="30"/>
  <c r="E319" i="30"/>
  <c r="E301" i="30"/>
  <c r="E273" i="30"/>
  <c r="E243" i="30"/>
  <c r="F216" i="30"/>
  <c r="F165" i="30"/>
  <c r="F116" i="30"/>
  <c r="F16" i="30"/>
  <c r="L10" i="8" a="1"/>
  <c r="L10" i="8" s="1"/>
  <c r="K15" i="8"/>
  <c r="K10" i="8"/>
  <c r="Q35" i="5" a="1"/>
  <c r="Q35" i="5" s="1"/>
  <c r="Q28" i="5" a="1"/>
  <c r="Q28" i="5" s="1"/>
  <c r="Q27" i="5" a="1"/>
  <c r="Q27" i="5" s="1"/>
  <c r="S47" i="5" s="1"/>
  <c r="Q29" i="5" a="1"/>
  <c r="Q29" i="5" s="1"/>
  <c r="Q30" i="5" a="1"/>
  <c r="Q30" i="5" s="1"/>
  <c r="Q31" i="5" a="1"/>
  <c r="Q31" i="5" s="1"/>
  <c r="Q32" i="5" a="1"/>
  <c r="Q32" i="5" s="1"/>
  <c r="Q33" i="5" a="1"/>
  <c r="Q33" i="5" s="1"/>
  <c r="Q34" i="5" a="1"/>
  <c r="Q34" i="5" s="1"/>
  <c r="Q36" i="5" a="1"/>
  <c r="Q36" i="5" s="1"/>
  <c r="Q37" i="5" a="1"/>
  <c r="Q37" i="5" s="1"/>
  <c r="Q26" i="5" a="1"/>
  <c r="Q26" i="5" s="1"/>
  <c r="Q10" i="5" a="1"/>
  <c r="Q10" i="5" s="1"/>
  <c r="Q11" i="5" a="1"/>
  <c r="Q11" i="5" s="1"/>
  <c r="Q12" i="5" a="1"/>
  <c r="Q12" i="5" s="1"/>
  <c r="P26" i="5"/>
  <c r="N13" i="30" l="1"/>
  <c r="N45" i="8"/>
  <c r="N38" i="30"/>
  <c r="N64" i="30"/>
  <c r="N68" i="30"/>
  <c r="N10" i="30"/>
  <c r="N66" i="30"/>
  <c r="N12" i="30"/>
  <c r="N49" i="30"/>
  <c r="N15" i="30"/>
  <c r="N40" i="30"/>
  <c r="N37" i="30"/>
  <c r="N62" i="30"/>
  <c r="N58" i="30"/>
  <c r="N61" i="30"/>
  <c r="N56" i="30"/>
  <c r="N16" i="30"/>
  <c r="N20" i="30"/>
  <c r="N65" i="30"/>
  <c r="N8" i="30"/>
  <c r="N17" i="30"/>
  <c r="S262" i="5"/>
  <c r="N39" i="30"/>
  <c r="N55" i="30"/>
  <c r="N34" i="30"/>
  <c r="N30" i="30"/>
  <c r="N26" i="30"/>
  <c r="N51" i="30"/>
  <c r="N18" i="30"/>
  <c r="N23" i="30"/>
  <c r="N57" i="30"/>
  <c r="N53" i="30"/>
  <c r="N21" i="30"/>
  <c r="N19" i="30"/>
  <c r="N63" i="30"/>
  <c r="N27" i="30"/>
  <c r="N67" i="30"/>
  <c r="N14" i="30"/>
  <c r="N22" i="30"/>
  <c r="N45" i="30"/>
  <c r="N60" i="30"/>
  <c r="N54" i="30"/>
  <c r="N25" i="30"/>
  <c r="N47" i="30"/>
  <c r="N24" i="30"/>
  <c r="N50" i="30"/>
  <c r="N28" i="30"/>
  <c r="N29" i="30"/>
  <c r="N73" i="30"/>
  <c r="N35" i="30"/>
  <c r="N46" i="30"/>
  <c r="N74" i="30"/>
  <c r="N9" i="30"/>
  <c r="N36" i="30"/>
  <c r="N52" i="30"/>
  <c r="N11" i="30"/>
  <c r="N48" i="30"/>
  <c r="N44" i="30"/>
  <c r="S310" i="5"/>
  <c r="S298" i="5"/>
  <c r="S286" i="5"/>
  <c r="S418" i="5"/>
  <c r="S406" i="5"/>
  <c r="S394" i="5"/>
  <c r="S382" i="5"/>
  <c r="S370" i="5"/>
  <c r="S358" i="5"/>
  <c r="S346" i="5"/>
  <c r="S334" i="5"/>
  <c r="S118" i="5"/>
  <c r="S106" i="5"/>
  <c r="S94" i="5"/>
  <c r="S82" i="5"/>
  <c r="S70" i="5"/>
  <c r="S322" i="5"/>
  <c r="S58" i="5"/>
  <c r="S166" i="5"/>
  <c r="S154" i="5"/>
  <c r="S142" i="5"/>
  <c r="S130" i="5"/>
  <c r="S250" i="5"/>
  <c r="S238" i="5"/>
  <c r="S226" i="5"/>
  <c r="S214" i="5"/>
  <c r="S202" i="5"/>
  <c r="S190" i="5"/>
  <c r="S178" i="5"/>
  <c r="S274" i="5"/>
  <c r="P28" i="5"/>
  <c r="S48" i="5" s="1"/>
  <c r="P29" i="5"/>
  <c r="P30" i="5"/>
  <c r="P31" i="5"/>
  <c r="P32" i="5"/>
  <c r="P33" i="5"/>
  <c r="P34" i="5"/>
  <c r="P35" i="5"/>
  <c r="P36" i="5"/>
  <c r="P37" i="5"/>
  <c r="P10" i="5"/>
  <c r="S63" i="5" l="1"/>
  <c r="S351" i="5"/>
  <c r="S363" i="5"/>
  <c r="S375" i="5"/>
  <c r="S387" i="5"/>
  <c r="S399" i="5"/>
  <c r="S411" i="5"/>
  <c r="S423" i="5"/>
  <c r="S339" i="5"/>
  <c r="S327" i="5"/>
  <c r="S303" i="5"/>
  <c r="S315" i="5"/>
  <c r="S291" i="5"/>
  <c r="S279" i="5"/>
  <c r="S87" i="5"/>
  <c r="S75" i="5"/>
  <c r="S99" i="5"/>
  <c r="S111" i="5"/>
  <c r="S123" i="5"/>
  <c r="S51" i="5"/>
  <c r="S255" i="5"/>
  <c r="S267" i="5"/>
  <c r="S183" i="5"/>
  <c r="S195" i="5"/>
  <c r="S207" i="5"/>
  <c r="S219" i="5"/>
  <c r="S231" i="5"/>
  <c r="S243" i="5"/>
  <c r="S135" i="5"/>
  <c r="S147" i="5"/>
  <c r="S159" i="5"/>
  <c r="S171" i="5"/>
  <c r="S349" i="5"/>
  <c r="S361" i="5"/>
  <c r="S373" i="5"/>
  <c r="S385" i="5"/>
  <c r="S397" i="5"/>
  <c r="S409" i="5"/>
  <c r="S421" i="5"/>
  <c r="S301" i="5"/>
  <c r="S313" i="5"/>
  <c r="S61" i="5"/>
  <c r="S337" i="5"/>
  <c r="S325" i="5"/>
  <c r="S289" i="5"/>
  <c r="S253" i="5"/>
  <c r="S265" i="5"/>
  <c r="S181" i="5"/>
  <c r="S193" i="5"/>
  <c r="S205" i="5"/>
  <c r="S217" i="5"/>
  <c r="S229" i="5"/>
  <c r="S241" i="5"/>
  <c r="S133" i="5"/>
  <c r="S145" i="5"/>
  <c r="S157" i="5"/>
  <c r="S169" i="5"/>
  <c r="S49" i="5"/>
  <c r="S73" i="5"/>
  <c r="S85" i="5"/>
  <c r="S97" i="5"/>
  <c r="S109" i="5"/>
  <c r="S121" i="5"/>
  <c r="S300" i="5"/>
  <c r="S312" i="5"/>
  <c r="S60" i="5"/>
  <c r="S336" i="5"/>
  <c r="S264" i="5"/>
  <c r="S276" i="5"/>
  <c r="S348" i="5"/>
  <c r="S360" i="5"/>
  <c r="S372" i="5"/>
  <c r="S384" i="5"/>
  <c r="S396" i="5"/>
  <c r="S408" i="5"/>
  <c r="S420" i="5"/>
  <c r="S180" i="5"/>
  <c r="S192" i="5"/>
  <c r="S204" i="5"/>
  <c r="S216" i="5"/>
  <c r="S228" i="5"/>
  <c r="S240" i="5"/>
  <c r="S252" i="5"/>
  <c r="S288" i="5"/>
  <c r="S132" i="5"/>
  <c r="S144" i="5"/>
  <c r="S156" i="5"/>
  <c r="S168" i="5"/>
  <c r="S324" i="5"/>
  <c r="S72" i="5"/>
  <c r="S84" i="5"/>
  <c r="S96" i="5"/>
  <c r="S108" i="5"/>
  <c r="S120" i="5"/>
  <c r="S263" i="5"/>
  <c r="S275" i="5"/>
  <c r="S59" i="5"/>
  <c r="S179" i="5"/>
  <c r="S191" i="5"/>
  <c r="S203" i="5"/>
  <c r="S215" i="5"/>
  <c r="S227" i="5"/>
  <c r="S239" i="5"/>
  <c r="S251" i="5"/>
  <c r="S299" i="5"/>
  <c r="S311" i="5"/>
  <c r="S335" i="5"/>
  <c r="S131" i="5"/>
  <c r="S143" i="5"/>
  <c r="S155" i="5"/>
  <c r="S167" i="5"/>
  <c r="S71" i="5"/>
  <c r="S83" i="5"/>
  <c r="S95" i="5"/>
  <c r="S107" i="5"/>
  <c r="S119" i="5"/>
  <c r="S287" i="5"/>
  <c r="S347" i="5"/>
  <c r="S359" i="5"/>
  <c r="S371" i="5"/>
  <c r="S383" i="5"/>
  <c r="S395" i="5"/>
  <c r="S407" i="5"/>
  <c r="S419" i="5"/>
  <c r="S350" i="5"/>
  <c r="S362" i="5"/>
  <c r="S374" i="5"/>
  <c r="S386" i="5"/>
  <c r="S398" i="5"/>
  <c r="S410" i="5"/>
  <c r="S422" i="5"/>
  <c r="S62" i="5"/>
  <c r="S302" i="5"/>
  <c r="S314" i="5"/>
  <c r="S338" i="5"/>
  <c r="S326" i="5"/>
  <c r="S50" i="5"/>
  <c r="S290" i="5"/>
  <c r="S254" i="5"/>
  <c r="S266" i="5"/>
  <c r="S182" i="5"/>
  <c r="S194" i="5"/>
  <c r="S206" i="5"/>
  <c r="S218" i="5"/>
  <c r="S230" i="5"/>
  <c r="S242" i="5"/>
  <c r="S134" i="5"/>
  <c r="S146" i="5"/>
  <c r="S158" i="5"/>
  <c r="S170" i="5"/>
  <c r="S278" i="5"/>
  <c r="S74" i="5"/>
  <c r="S86" i="5"/>
  <c r="S98" i="5"/>
  <c r="S110" i="5"/>
  <c r="S122" i="5"/>
  <c r="S57" i="5"/>
  <c r="S261" i="5"/>
  <c r="S273" i="5"/>
  <c r="S177" i="5"/>
  <c r="S189" i="5"/>
  <c r="S201" i="5"/>
  <c r="S213" i="5"/>
  <c r="S225" i="5"/>
  <c r="S237" i="5"/>
  <c r="S249" i="5"/>
  <c r="S129" i="5"/>
  <c r="S141" i="5"/>
  <c r="S153" i="5"/>
  <c r="S165" i="5"/>
  <c r="S81" i="5"/>
  <c r="S93" i="5"/>
  <c r="S105" i="5"/>
  <c r="S117" i="5"/>
  <c r="S285" i="5"/>
  <c r="S69" i="5"/>
  <c r="S429" i="5"/>
  <c r="S357" i="5"/>
  <c r="S369" i="5"/>
  <c r="S381" i="5"/>
  <c r="S393" i="5"/>
  <c r="S405" i="5"/>
  <c r="S417" i="5"/>
  <c r="S345" i="5"/>
  <c r="S333" i="5"/>
  <c r="S309" i="5"/>
  <c r="S321" i="5"/>
  <c r="S297" i="5"/>
  <c r="S284" i="5"/>
  <c r="S260" i="5"/>
  <c r="S272" i="5"/>
  <c r="S56" i="5"/>
  <c r="S176" i="5"/>
  <c r="S188" i="5"/>
  <c r="S200" i="5"/>
  <c r="S212" i="5"/>
  <c r="S224" i="5"/>
  <c r="S236" i="5"/>
  <c r="S248" i="5"/>
  <c r="S140" i="5"/>
  <c r="S152" i="5"/>
  <c r="S164" i="5"/>
  <c r="S80" i="5"/>
  <c r="S92" i="5"/>
  <c r="S104" i="5"/>
  <c r="S116" i="5"/>
  <c r="S296" i="5"/>
  <c r="S428" i="5"/>
  <c r="S356" i="5"/>
  <c r="S368" i="5"/>
  <c r="S380" i="5"/>
  <c r="S392" i="5"/>
  <c r="S404" i="5"/>
  <c r="S416" i="5"/>
  <c r="S68" i="5"/>
  <c r="S308" i="5"/>
  <c r="S320" i="5"/>
  <c r="S344" i="5"/>
  <c r="S128" i="5"/>
  <c r="S332" i="5"/>
  <c r="S295" i="5"/>
  <c r="S259" i="5"/>
  <c r="S271" i="5"/>
  <c r="S283" i="5"/>
  <c r="S175" i="5"/>
  <c r="S187" i="5"/>
  <c r="S199" i="5"/>
  <c r="S211" i="5"/>
  <c r="S223" i="5"/>
  <c r="S235" i="5"/>
  <c r="S247" i="5"/>
  <c r="S139" i="5"/>
  <c r="S151" i="5"/>
  <c r="S163" i="5"/>
  <c r="S55" i="5"/>
  <c r="S79" i="5"/>
  <c r="S91" i="5"/>
  <c r="S103" i="5"/>
  <c r="S115" i="5"/>
  <c r="S127" i="5"/>
  <c r="S331" i="5"/>
  <c r="S355" i="5"/>
  <c r="S367" i="5"/>
  <c r="S379" i="5"/>
  <c r="S391" i="5"/>
  <c r="S403" i="5"/>
  <c r="S415" i="5"/>
  <c r="S307" i="5"/>
  <c r="S319" i="5"/>
  <c r="S427" i="5"/>
  <c r="S67" i="5"/>
  <c r="S343" i="5"/>
  <c r="S330" i="5"/>
  <c r="S186" i="5"/>
  <c r="S198" i="5"/>
  <c r="S210" i="5"/>
  <c r="S222" i="5"/>
  <c r="S234" i="5"/>
  <c r="S246" i="5"/>
  <c r="S294" i="5"/>
  <c r="S138" i="5"/>
  <c r="S150" i="5"/>
  <c r="S162" i="5"/>
  <c r="S282" i="5"/>
  <c r="S78" i="5"/>
  <c r="S90" i="5"/>
  <c r="S102" i="5"/>
  <c r="S114" i="5"/>
  <c r="S126" i="5"/>
  <c r="S54" i="5"/>
  <c r="S354" i="5"/>
  <c r="S366" i="5"/>
  <c r="S378" i="5"/>
  <c r="S390" i="5"/>
  <c r="S402" i="5"/>
  <c r="S414" i="5"/>
  <c r="S426" i="5"/>
  <c r="S342" i="5"/>
  <c r="S258" i="5"/>
  <c r="S270" i="5"/>
  <c r="S306" i="5"/>
  <c r="S318" i="5"/>
  <c r="S174" i="5"/>
  <c r="S66" i="5"/>
  <c r="S341" i="5"/>
  <c r="S137" i="5"/>
  <c r="S149" i="5"/>
  <c r="S161" i="5"/>
  <c r="S173" i="5"/>
  <c r="S329" i="5"/>
  <c r="S77" i="5"/>
  <c r="S89" i="5"/>
  <c r="S101" i="5"/>
  <c r="S113" i="5"/>
  <c r="S125" i="5"/>
  <c r="S293" i="5"/>
  <c r="S281" i="5"/>
  <c r="S353" i="5"/>
  <c r="S365" i="5"/>
  <c r="S377" i="5"/>
  <c r="S389" i="5"/>
  <c r="S401" i="5"/>
  <c r="S413" i="5"/>
  <c r="S425" i="5"/>
  <c r="S305" i="5"/>
  <c r="S317" i="5"/>
  <c r="S53" i="5"/>
  <c r="S197" i="5"/>
  <c r="S245" i="5"/>
  <c r="S185" i="5"/>
  <c r="S209" i="5"/>
  <c r="S221" i="5"/>
  <c r="S233" i="5"/>
  <c r="S257" i="5"/>
  <c r="S269" i="5"/>
  <c r="S65" i="5"/>
  <c r="S76" i="5"/>
  <c r="S88" i="5"/>
  <c r="S100" i="5"/>
  <c r="S112" i="5"/>
  <c r="S124" i="5"/>
  <c r="S340" i="5"/>
  <c r="S328" i="5"/>
  <c r="S352" i="5"/>
  <c r="S364" i="5"/>
  <c r="S376" i="5"/>
  <c r="S388" i="5"/>
  <c r="S400" i="5"/>
  <c r="S412" i="5"/>
  <c r="S424" i="5"/>
  <c r="S292" i="5"/>
  <c r="S304" i="5"/>
  <c r="S316" i="5"/>
  <c r="S280" i="5"/>
  <c r="S136" i="5"/>
  <c r="S148" i="5"/>
  <c r="S160" i="5"/>
  <c r="S172" i="5"/>
  <c r="S64" i="5"/>
  <c r="S52" i="5"/>
  <c r="S256" i="5"/>
  <c r="S268" i="5"/>
  <c r="S184" i="5"/>
  <c r="S196" i="5"/>
  <c r="S208" i="5"/>
  <c r="S220" i="5"/>
  <c r="S232" i="5"/>
  <c r="S244" i="5"/>
  <c r="K4" i="5" l="1"/>
  <c r="K5" i="5"/>
  <c r="L13" i="2" l="1"/>
  <c r="V12" i="2" l="1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11" i="2"/>
  <c r="L11" i="8" a="1"/>
  <c r="L11" i="8" s="1"/>
  <c r="L12" i="8" a="1"/>
  <c r="L12" i="8" s="1"/>
  <c r="N55" i="8" s="1"/>
  <c r="L13" i="8" a="1"/>
  <c r="L13" i="8" s="1"/>
  <c r="L14" i="8" a="1"/>
  <c r="L14" i="8" s="1"/>
  <c r="L15" i="8" a="1"/>
  <c r="L15" i="8" s="1"/>
  <c r="N40" i="8" s="1"/>
  <c r="L16" i="8" a="1"/>
  <c r="L16" i="8" s="1"/>
  <c r="L17" i="8" a="1"/>
  <c r="L17" i="8" s="1"/>
  <c r="L18" i="8" a="1"/>
  <c r="L18" i="8" s="1"/>
  <c r="L19" i="8" a="1"/>
  <c r="L19" i="8" s="1"/>
  <c r="L20" i="8" a="1"/>
  <c r="L20" i="8" s="1"/>
  <c r="L21" i="8" a="1"/>
  <c r="L21" i="8" s="1"/>
  <c r="K12" i="8"/>
  <c r="K11" i="8"/>
  <c r="K13" i="8"/>
  <c r="K14" i="8"/>
  <c r="K16" i="8"/>
  <c r="K17" i="8"/>
  <c r="K18" i="8"/>
  <c r="K19" i="8"/>
  <c r="K20" i="8"/>
  <c r="K21" i="8"/>
  <c r="Q13" i="5" a="1"/>
  <c r="Q13" i="5" s="1"/>
  <c r="Q14" i="5" a="1"/>
  <c r="Q14" i="5" s="1"/>
  <c r="Q15" i="5" a="1"/>
  <c r="Q15" i="5" s="1"/>
  <c r="Q16" i="5" a="1"/>
  <c r="Q16" i="5" s="1"/>
  <c r="Q17" i="5" a="1"/>
  <c r="Q17" i="5" s="1"/>
  <c r="Q18" i="5" a="1"/>
  <c r="Q18" i="5" s="1"/>
  <c r="Q19" i="5" a="1"/>
  <c r="Q19" i="5" s="1"/>
  <c r="Q20" i="5" a="1"/>
  <c r="Q20" i="5" s="1"/>
  <c r="Q21" i="5" a="1"/>
  <c r="Q21" i="5" s="1"/>
  <c r="P12" i="5"/>
  <c r="P13" i="5"/>
  <c r="P14" i="5"/>
  <c r="P15" i="5"/>
  <c r="P16" i="5"/>
  <c r="P17" i="5"/>
  <c r="P18" i="5"/>
  <c r="P19" i="5"/>
  <c r="P20" i="5"/>
  <c r="P21" i="5"/>
  <c r="H8" i="5"/>
  <c r="M274" i="5" s="1"/>
  <c r="H7" i="5"/>
  <c r="M221" i="5" l="1"/>
  <c r="N41" i="8"/>
  <c r="M44" i="5"/>
  <c r="N49" i="8"/>
  <c r="N37" i="8"/>
  <c r="M388" i="5"/>
  <c r="M301" i="5"/>
  <c r="N322" i="8"/>
  <c r="N10" i="8"/>
  <c r="N46" i="8"/>
  <c r="N34" i="8"/>
  <c r="M248" i="5"/>
  <c r="N228" i="8"/>
  <c r="N48" i="8"/>
  <c r="N36" i="8"/>
  <c r="N218" i="8"/>
  <c r="N38" i="8"/>
  <c r="N267" i="8"/>
  <c r="N39" i="8"/>
  <c r="N257" i="8"/>
  <c r="N318" i="8"/>
  <c r="N42" i="8"/>
  <c r="N356" i="8"/>
  <c r="N44" i="8"/>
  <c r="N47" i="8"/>
  <c r="N35" i="8"/>
  <c r="M13" i="5"/>
  <c r="N43" i="8"/>
  <c r="N92" i="8"/>
  <c r="N283" i="8"/>
  <c r="N335" i="8"/>
  <c r="N308" i="8"/>
  <c r="N125" i="8"/>
  <c r="N284" i="8"/>
  <c r="M352" i="5"/>
  <c r="M327" i="5"/>
  <c r="N17" i="8"/>
  <c r="N231" i="8"/>
  <c r="N68" i="8"/>
  <c r="N270" i="8"/>
  <c r="N254" i="8"/>
  <c r="N110" i="8"/>
  <c r="N344" i="8"/>
  <c r="N96" i="8"/>
  <c r="M195" i="5"/>
  <c r="M169" i="5"/>
  <c r="N348" i="8"/>
  <c r="N241" i="8"/>
  <c r="M56" i="5"/>
  <c r="M137" i="5"/>
  <c r="N138" i="8"/>
  <c r="N361" i="8"/>
  <c r="N305" i="8"/>
  <c r="N176" i="8"/>
  <c r="N374" i="8"/>
  <c r="M109" i="5"/>
  <c r="M412" i="5"/>
  <c r="M73" i="5"/>
  <c r="N180" i="8"/>
  <c r="N205" i="8"/>
  <c r="M25" i="5"/>
  <c r="M405" i="5"/>
  <c r="M369" i="5"/>
  <c r="M345" i="5"/>
  <c r="M319" i="5"/>
  <c r="M293" i="5"/>
  <c r="M267" i="5"/>
  <c r="M240" i="5"/>
  <c r="M213" i="5"/>
  <c r="M187" i="5"/>
  <c r="M161" i="5"/>
  <c r="M125" i="5"/>
  <c r="M97" i="5"/>
  <c r="M68" i="5"/>
  <c r="M32" i="5"/>
  <c r="M384" i="5"/>
  <c r="M270" i="5"/>
  <c r="M108" i="5"/>
  <c r="M407" i="5"/>
  <c r="M243" i="5"/>
  <c r="M71" i="5"/>
  <c r="M294" i="5"/>
  <c r="M33" i="5"/>
  <c r="M292" i="5"/>
  <c r="M186" i="5"/>
  <c r="M96" i="5"/>
  <c r="M60" i="5"/>
  <c r="M31" i="5"/>
  <c r="M268" i="5"/>
  <c r="M69" i="5"/>
  <c r="M368" i="5"/>
  <c r="M124" i="5"/>
  <c r="M364" i="5"/>
  <c r="M314" i="5"/>
  <c r="M261" i="5"/>
  <c r="M234" i="5"/>
  <c r="M182" i="5"/>
  <c r="M151" i="5"/>
  <c r="M123" i="5"/>
  <c r="M95" i="5"/>
  <c r="M30" i="5"/>
  <c r="M348" i="5"/>
  <c r="M217" i="5"/>
  <c r="M72" i="5"/>
  <c r="M321" i="5"/>
  <c r="M189" i="5"/>
  <c r="M42" i="5"/>
  <c r="M406" i="5"/>
  <c r="M320" i="5"/>
  <c r="M242" i="5"/>
  <c r="M98" i="5"/>
  <c r="M318" i="5"/>
  <c r="M212" i="5"/>
  <c r="M160" i="5"/>
  <c r="M20" i="5"/>
  <c r="M400" i="5"/>
  <c r="M340" i="5"/>
  <c r="M288" i="5"/>
  <c r="M208" i="5"/>
  <c r="M59" i="5"/>
  <c r="M15" i="5"/>
  <c r="M396" i="5"/>
  <c r="M360" i="5"/>
  <c r="M336" i="5"/>
  <c r="M309" i="5"/>
  <c r="M283" i="5"/>
  <c r="M257" i="5"/>
  <c r="M230" i="5"/>
  <c r="M204" i="5"/>
  <c r="M177" i="5"/>
  <c r="M150" i="5"/>
  <c r="M122" i="5"/>
  <c r="M86" i="5"/>
  <c r="M57" i="5"/>
  <c r="M29" i="5"/>
  <c r="M322" i="5"/>
  <c r="M191" i="5"/>
  <c r="M43" i="5"/>
  <c r="M383" i="5"/>
  <c r="M295" i="5"/>
  <c r="M216" i="5"/>
  <c r="M99" i="5"/>
  <c r="M188" i="5"/>
  <c r="M404" i="5"/>
  <c r="M359" i="5"/>
  <c r="M256" i="5"/>
  <c r="M229" i="5"/>
  <c r="M121" i="5"/>
  <c r="M85" i="5"/>
  <c r="M34" i="5"/>
  <c r="M46" i="5"/>
  <c r="M58" i="5"/>
  <c r="M70" i="5"/>
  <c r="M82" i="5"/>
  <c r="M94" i="5"/>
  <c r="M106" i="5"/>
  <c r="M118" i="5"/>
  <c r="M130" i="5"/>
  <c r="M142" i="5"/>
  <c r="M154" i="5"/>
  <c r="M166" i="5"/>
  <c r="M178" i="5"/>
  <c r="M190" i="5"/>
  <c r="M202" i="5"/>
  <c r="M214" i="5"/>
  <c r="M226" i="5"/>
  <c r="M238" i="5"/>
  <c r="M251" i="5"/>
  <c r="M263" i="5"/>
  <c r="M275" i="5"/>
  <c r="M287" i="5"/>
  <c r="M299" i="5"/>
  <c r="M311" i="5"/>
  <c r="M323" i="5"/>
  <c r="M335" i="5"/>
  <c r="M35" i="5"/>
  <c r="M48" i="5"/>
  <c r="M61" i="5"/>
  <c r="M74" i="5"/>
  <c r="M87" i="5"/>
  <c r="M100" i="5"/>
  <c r="M113" i="5"/>
  <c r="M126" i="5"/>
  <c r="M139" i="5"/>
  <c r="M152" i="5"/>
  <c r="M165" i="5"/>
  <c r="M179" i="5"/>
  <c r="M192" i="5"/>
  <c r="M205" i="5"/>
  <c r="M218" i="5"/>
  <c r="M231" i="5"/>
  <c r="M245" i="5"/>
  <c r="M258" i="5"/>
  <c r="M271" i="5"/>
  <c r="M284" i="5"/>
  <c r="M297" i="5"/>
  <c r="M310" i="5"/>
  <c r="M324" i="5"/>
  <c r="M337" i="5"/>
  <c r="M349" i="5"/>
  <c r="M361" i="5"/>
  <c r="M385" i="5"/>
  <c r="M397" i="5"/>
  <c r="M409" i="5"/>
  <c r="M16" i="5"/>
  <c r="M36" i="5"/>
  <c r="M49" i="5"/>
  <c r="M62" i="5"/>
  <c r="M75" i="5"/>
  <c r="M88" i="5"/>
  <c r="M101" i="5"/>
  <c r="M114" i="5"/>
  <c r="M127" i="5"/>
  <c r="M140" i="5"/>
  <c r="M153" i="5"/>
  <c r="M167" i="5"/>
  <c r="M180" i="5"/>
  <c r="M193" i="5"/>
  <c r="M206" i="5"/>
  <c r="M219" i="5"/>
  <c r="M232" i="5"/>
  <c r="M246" i="5"/>
  <c r="M259" i="5"/>
  <c r="M272" i="5"/>
  <c r="M285" i="5"/>
  <c r="M298" i="5"/>
  <c r="M312" i="5"/>
  <c r="M325" i="5"/>
  <c r="M338" i="5"/>
  <c r="M350" i="5"/>
  <c r="M362" i="5"/>
  <c r="M386" i="5"/>
  <c r="M398" i="5"/>
  <c r="M410" i="5"/>
  <c r="M17" i="5"/>
  <c r="M38" i="5"/>
  <c r="M51" i="5"/>
  <c r="M64" i="5"/>
  <c r="M77" i="5"/>
  <c r="M90" i="5"/>
  <c r="M103" i="5"/>
  <c r="M116" i="5"/>
  <c r="M129" i="5"/>
  <c r="M143" i="5"/>
  <c r="M156" i="5"/>
  <c r="M37" i="5"/>
  <c r="M50" i="5"/>
  <c r="M63" i="5"/>
  <c r="M76" i="5"/>
  <c r="M89" i="5"/>
  <c r="M102" i="5"/>
  <c r="M115" i="5"/>
  <c r="M128" i="5"/>
  <c r="M141" i="5"/>
  <c r="M155" i="5"/>
  <c r="M168" i="5"/>
  <c r="M181" i="5"/>
  <c r="M194" i="5"/>
  <c r="M207" i="5"/>
  <c r="M220" i="5"/>
  <c r="M233" i="5"/>
  <c r="M247" i="5"/>
  <c r="M260" i="5"/>
  <c r="M273" i="5"/>
  <c r="M286" i="5"/>
  <c r="M300" i="5"/>
  <c r="M313" i="5"/>
  <c r="M326" i="5"/>
  <c r="M339" i="5"/>
  <c r="M351" i="5"/>
  <c r="M363" i="5"/>
  <c r="M387" i="5"/>
  <c r="M399" i="5"/>
  <c r="M411" i="5"/>
  <c r="M18" i="5"/>
  <c r="M26" i="5"/>
  <c r="M39" i="5"/>
  <c r="M52" i="5"/>
  <c r="M65" i="5"/>
  <c r="M78" i="5"/>
  <c r="M91" i="5"/>
  <c r="M104" i="5"/>
  <c r="M117" i="5"/>
  <c r="M131" i="5"/>
  <c r="M144" i="5"/>
  <c r="M157" i="5"/>
  <c r="M170" i="5"/>
  <c r="M183" i="5"/>
  <c r="M196" i="5"/>
  <c r="M209" i="5"/>
  <c r="M222" i="5"/>
  <c r="M235" i="5"/>
  <c r="M249" i="5"/>
  <c r="M262" i="5"/>
  <c r="M276" i="5"/>
  <c r="M289" i="5"/>
  <c r="M302" i="5"/>
  <c r="M315" i="5"/>
  <c r="M328" i="5"/>
  <c r="M341" i="5"/>
  <c r="M353" i="5"/>
  <c r="M365" i="5"/>
  <c r="M389" i="5"/>
  <c r="M401" i="5"/>
  <c r="M413" i="5"/>
  <c r="M21" i="5"/>
  <c r="M27" i="5"/>
  <c r="M40" i="5"/>
  <c r="M53" i="5"/>
  <c r="M66" i="5"/>
  <c r="M79" i="5"/>
  <c r="M92" i="5"/>
  <c r="M105" i="5"/>
  <c r="M119" i="5"/>
  <c r="M132" i="5"/>
  <c r="M145" i="5"/>
  <c r="M158" i="5"/>
  <c r="M171" i="5"/>
  <c r="M184" i="5"/>
  <c r="M197" i="5"/>
  <c r="M210" i="5"/>
  <c r="M223" i="5"/>
  <c r="M236" i="5"/>
  <c r="M250" i="5"/>
  <c r="M264" i="5"/>
  <c r="M277" i="5"/>
  <c r="M290" i="5"/>
  <c r="M303" i="5"/>
  <c r="M316" i="5"/>
  <c r="M329" i="5"/>
  <c r="M342" i="5"/>
  <c r="M354" i="5"/>
  <c r="M366" i="5"/>
  <c r="M390" i="5"/>
  <c r="M402" i="5"/>
  <c r="M414" i="5"/>
  <c r="M22" i="5"/>
  <c r="M28" i="5"/>
  <c r="M41" i="5"/>
  <c r="M54" i="5"/>
  <c r="M67" i="5"/>
  <c r="M80" i="5"/>
  <c r="M93" i="5"/>
  <c r="M107" i="5"/>
  <c r="M120" i="5"/>
  <c r="M133" i="5"/>
  <c r="M146" i="5"/>
  <c r="M159" i="5"/>
  <c r="M172" i="5"/>
  <c r="M185" i="5"/>
  <c r="M198" i="5"/>
  <c r="M211" i="5"/>
  <c r="M224" i="5"/>
  <c r="M237" i="5"/>
  <c r="M252" i="5"/>
  <c r="M265" i="5"/>
  <c r="M278" i="5"/>
  <c r="M291" i="5"/>
  <c r="M304" i="5"/>
  <c r="M317" i="5"/>
  <c r="M330" i="5"/>
  <c r="M343" i="5"/>
  <c r="M355" i="5"/>
  <c r="M367" i="5"/>
  <c r="M391" i="5"/>
  <c r="M403" i="5"/>
  <c r="M415" i="5"/>
  <c r="M23" i="5"/>
  <c r="M269" i="5"/>
  <c r="M163" i="5"/>
  <c r="M134" i="5"/>
  <c r="M344" i="5"/>
  <c r="M334" i="5"/>
  <c r="M203" i="5"/>
  <c r="M358" i="5"/>
  <c r="M281" i="5"/>
  <c r="M255" i="5"/>
  <c r="M201" i="5"/>
  <c r="M148" i="5"/>
  <c r="M112" i="5"/>
  <c r="M84" i="5"/>
  <c r="M55" i="5"/>
  <c r="M408" i="5"/>
  <c r="M296" i="5"/>
  <c r="M244" i="5"/>
  <c r="M164" i="5"/>
  <c r="M136" i="5"/>
  <c r="M347" i="5"/>
  <c r="M135" i="5"/>
  <c r="M382" i="5"/>
  <c r="M162" i="5"/>
  <c r="M24" i="5"/>
  <c r="M239" i="5"/>
  <c r="M395" i="5"/>
  <c r="M308" i="5"/>
  <c r="M176" i="5"/>
  <c r="M333" i="5"/>
  <c r="M228" i="5"/>
  <c r="M417" i="5"/>
  <c r="M393" i="5"/>
  <c r="M357" i="5"/>
  <c r="M332" i="5"/>
  <c r="M306" i="5"/>
  <c r="M280" i="5"/>
  <c r="M254" i="5"/>
  <c r="M227" i="5"/>
  <c r="M200" i="5"/>
  <c r="M174" i="5"/>
  <c r="M147" i="5"/>
  <c r="M111" i="5"/>
  <c r="M83" i="5"/>
  <c r="M47" i="5"/>
  <c r="M346" i="5"/>
  <c r="M215" i="5"/>
  <c r="M266" i="5"/>
  <c r="M14" i="5"/>
  <c r="M282" i="5"/>
  <c r="M149" i="5"/>
  <c r="M394" i="5"/>
  <c r="M307" i="5"/>
  <c r="M175" i="5"/>
  <c r="M416" i="5"/>
  <c r="M392" i="5"/>
  <c r="M356" i="5"/>
  <c r="M331" i="5"/>
  <c r="M305" i="5"/>
  <c r="M279" i="5"/>
  <c r="M253" i="5"/>
  <c r="M225" i="5"/>
  <c r="M199" i="5"/>
  <c r="M173" i="5"/>
  <c r="M138" i="5"/>
  <c r="M110" i="5"/>
  <c r="M81" i="5"/>
  <c r="M45" i="5"/>
  <c r="N280" i="8"/>
  <c r="N52" i="8"/>
  <c r="N304" i="8"/>
  <c r="N148" i="8"/>
  <c r="N64" i="8"/>
  <c r="N316" i="8"/>
  <c r="N76" i="8"/>
  <c r="N328" i="8"/>
  <c r="N160" i="8"/>
  <c r="N340" i="8"/>
  <c r="N172" i="8"/>
  <c r="N88" i="8"/>
  <c r="N352" i="8"/>
  <c r="N184" i="8"/>
  <c r="N100" i="8"/>
  <c r="N364" i="8"/>
  <c r="N208" i="8"/>
  <c r="N376" i="8"/>
  <c r="N220" i="8"/>
  <c r="N112" i="8"/>
  <c r="N232" i="8"/>
  <c r="N256" i="8"/>
  <c r="N124" i="8"/>
  <c r="N16" i="8"/>
  <c r="N268" i="8"/>
  <c r="N136" i="8"/>
  <c r="N154" i="8"/>
  <c r="N331" i="8"/>
  <c r="N167" i="8"/>
  <c r="N358" i="8"/>
  <c r="N202" i="8"/>
  <c r="N370" i="8"/>
  <c r="N214" i="8"/>
  <c r="N106" i="8"/>
  <c r="N226" i="8"/>
  <c r="N238" i="8"/>
  <c r="N250" i="8"/>
  <c r="N262" i="8"/>
  <c r="N130" i="8"/>
  <c r="N274" i="8"/>
  <c r="N298" i="8"/>
  <c r="N142" i="8"/>
  <c r="N58" i="8"/>
  <c r="N310" i="8"/>
  <c r="N70" i="8"/>
  <c r="N334" i="8"/>
  <c r="N166" i="8"/>
  <c r="N346" i="8"/>
  <c r="N178" i="8"/>
  <c r="N94" i="8"/>
  <c r="N371" i="8"/>
  <c r="N82" i="8"/>
  <c r="N244" i="8"/>
  <c r="N15" i="8"/>
  <c r="N53" i="8"/>
  <c r="N66" i="8"/>
  <c r="N79" i="8"/>
  <c r="N108" i="8"/>
  <c r="N123" i="8"/>
  <c r="N151" i="8"/>
  <c r="N164" i="8"/>
  <c r="N203" i="8"/>
  <c r="N216" i="8"/>
  <c r="N229" i="8"/>
  <c r="N242" i="8"/>
  <c r="N255" i="8"/>
  <c r="N281" i="8"/>
  <c r="N306" i="8"/>
  <c r="N319" i="8"/>
  <c r="N332" i="8"/>
  <c r="N359" i="8"/>
  <c r="N372" i="8"/>
  <c r="N54" i="8"/>
  <c r="N67" i="8"/>
  <c r="N80" i="8"/>
  <c r="N95" i="8"/>
  <c r="N109" i="8"/>
  <c r="N137" i="8"/>
  <c r="N152" i="8"/>
  <c r="N179" i="8"/>
  <c r="N204" i="8"/>
  <c r="N217" i="8"/>
  <c r="N230" i="8"/>
  <c r="N243" i="8"/>
  <c r="N269" i="8"/>
  <c r="N282" i="8"/>
  <c r="N307" i="8"/>
  <c r="N320" i="8"/>
  <c r="N347" i="8"/>
  <c r="N360" i="8"/>
  <c r="N373" i="8"/>
  <c r="N18" i="8"/>
  <c r="N56" i="8"/>
  <c r="N84" i="8"/>
  <c r="N97" i="8"/>
  <c r="N111" i="8"/>
  <c r="N126" i="8"/>
  <c r="N140" i="8"/>
  <c r="N155" i="8"/>
  <c r="N168" i="8"/>
  <c r="N181" i="8"/>
  <c r="N206" i="8"/>
  <c r="N219" i="8"/>
  <c r="N245" i="8"/>
  <c r="N258" i="8"/>
  <c r="N271" i="8"/>
  <c r="N323" i="8"/>
  <c r="N336" i="8"/>
  <c r="N349" i="8"/>
  <c r="N362" i="8"/>
  <c r="N375" i="8"/>
  <c r="N19" i="8"/>
  <c r="N71" i="8"/>
  <c r="N85" i="8"/>
  <c r="N98" i="8"/>
  <c r="N127" i="8"/>
  <c r="N156" i="8"/>
  <c r="N169" i="8"/>
  <c r="N182" i="8"/>
  <c r="N207" i="8"/>
  <c r="N233" i="8"/>
  <c r="N246" i="8"/>
  <c r="N259" i="8"/>
  <c r="N272" i="8"/>
  <c r="N311" i="8"/>
  <c r="N324" i="8"/>
  <c r="N337" i="8"/>
  <c r="N350" i="8"/>
  <c r="N363" i="8"/>
  <c r="N20" i="8"/>
  <c r="N59" i="8"/>
  <c r="N72" i="8"/>
  <c r="N86" i="8"/>
  <c r="N99" i="8"/>
  <c r="N113" i="8"/>
  <c r="N128" i="8"/>
  <c r="N143" i="8"/>
  <c r="N157" i="8"/>
  <c r="N170" i="8"/>
  <c r="N183" i="8"/>
  <c r="N221" i="8"/>
  <c r="N234" i="8"/>
  <c r="N247" i="8"/>
  <c r="N260" i="8"/>
  <c r="N299" i="8"/>
  <c r="N312" i="8"/>
  <c r="N325" i="8"/>
  <c r="N338" i="8"/>
  <c r="N351" i="8"/>
  <c r="N377" i="8"/>
  <c r="N60" i="8"/>
  <c r="N73" i="8"/>
  <c r="N87" i="8"/>
  <c r="N114" i="8"/>
  <c r="N144" i="8"/>
  <c r="N158" i="8"/>
  <c r="N171" i="8"/>
  <c r="N209" i="8"/>
  <c r="N222" i="8"/>
  <c r="N235" i="8"/>
  <c r="N248" i="8"/>
  <c r="N275" i="8"/>
  <c r="N300" i="8"/>
  <c r="N313" i="8"/>
  <c r="N326" i="8"/>
  <c r="N339" i="8"/>
  <c r="N365" i="8"/>
  <c r="N378" i="8"/>
  <c r="N61" i="8"/>
  <c r="N74" i="8"/>
  <c r="N101" i="8"/>
  <c r="N115" i="8"/>
  <c r="N131" i="8"/>
  <c r="N145" i="8"/>
  <c r="N159" i="8"/>
  <c r="N185" i="8"/>
  <c r="N210" i="8"/>
  <c r="N223" i="8"/>
  <c r="N236" i="8"/>
  <c r="N263" i="8"/>
  <c r="N276" i="8"/>
  <c r="N301" i="8"/>
  <c r="N314" i="8"/>
  <c r="N327" i="8"/>
  <c r="N353" i="8"/>
  <c r="N366" i="8"/>
  <c r="N379" i="8"/>
  <c r="N11" i="8"/>
  <c r="N62" i="8"/>
  <c r="N75" i="8"/>
  <c r="N89" i="8"/>
  <c r="N102" i="8"/>
  <c r="N116" i="8"/>
  <c r="N132" i="8"/>
  <c r="N146" i="8"/>
  <c r="N173" i="8"/>
  <c r="N186" i="8"/>
  <c r="N211" i="8"/>
  <c r="N224" i="8"/>
  <c r="N251" i="8"/>
  <c r="N264" i="8"/>
  <c r="N277" i="8"/>
  <c r="N302" i="8"/>
  <c r="N315" i="8"/>
  <c r="N341" i="8"/>
  <c r="N354" i="8"/>
  <c r="N367" i="8"/>
  <c r="N380" i="8"/>
  <c r="N12" i="8"/>
  <c r="N50" i="8"/>
  <c r="N63" i="8"/>
  <c r="N90" i="8"/>
  <c r="N103" i="8"/>
  <c r="N120" i="8"/>
  <c r="N133" i="8"/>
  <c r="N147" i="8"/>
  <c r="N161" i="8"/>
  <c r="N174" i="8"/>
  <c r="N187" i="8"/>
  <c r="N212" i="8"/>
  <c r="N239" i="8"/>
  <c r="N252" i="8"/>
  <c r="N265" i="8"/>
  <c r="N278" i="8"/>
  <c r="N303" i="8"/>
  <c r="N329" i="8"/>
  <c r="N342" i="8"/>
  <c r="N355" i="8"/>
  <c r="N368" i="8"/>
  <c r="N13" i="8"/>
  <c r="N51" i="8"/>
  <c r="N77" i="8"/>
  <c r="N91" i="8"/>
  <c r="N121" i="8"/>
  <c r="N134" i="8"/>
  <c r="N162" i="8"/>
  <c r="N175" i="8"/>
  <c r="N188" i="8"/>
  <c r="N227" i="8"/>
  <c r="N240" i="8"/>
  <c r="N253" i="8"/>
  <c r="N266" i="8"/>
  <c r="N279" i="8"/>
  <c r="N317" i="8"/>
  <c r="N330" i="8"/>
  <c r="N343" i="8"/>
  <c r="N14" i="8"/>
  <c r="N65" i="8"/>
  <c r="N78" i="8"/>
  <c r="N107" i="8"/>
  <c r="N122" i="8"/>
  <c r="N135" i="8"/>
  <c r="N149" i="8"/>
  <c r="N163" i="8"/>
  <c r="N215" i="8"/>
  <c r="N369" i="8"/>
  <c r="N357" i="8"/>
  <c r="N345" i="8"/>
  <c r="N333" i="8"/>
  <c r="N321" i="8"/>
  <c r="N309" i="8"/>
  <c r="N285" i="8"/>
  <c r="N273" i="8"/>
  <c r="N261" i="8"/>
  <c r="N249" i="8"/>
  <c r="N237" i="8"/>
  <c r="N225" i="8"/>
  <c r="N213" i="8"/>
  <c r="N189" i="8"/>
  <c r="N177" i="8"/>
  <c r="N165" i="8"/>
  <c r="N153" i="8"/>
  <c r="N117" i="8"/>
  <c r="N105" i="8"/>
  <c r="N81" i="8"/>
  <c r="N69" i="8"/>
  <c r="N141" i="8"/>
  <c r="N21" i="8"/>
  <c r="N129" i="8"/>
  <c r="N57" i="8"/>
  <c r="N93" i="8"/>
  <c r="M12" i="2" a="1"/>
  <c r="M12" i="2" s="1"/>
  <c r="M13" i="2" a="1"/>
  <c r="M13" i="2" s="1"/>
  <c r="O361" i="2" s="1"/>
  <c r="M14" i="2" a="1"/>
  <c r="M14" i="2" s="1"/>
  <c r="M15" i="2" a="1"/>
  <c r="M15" i="2" s="1"/>
  <c r="M16" i="2" a="1"/>
  <c r="M16" i="2" s="1"/>
  <c r="M17" i="2" a="1"/>
  <c r="M17" i="2" s="1"/>
  <c r="M18" i="2" a="1"/>
  <c r="M18" i="2" s="1"/>
  <c r="M19" i="2" a="1"/>
  <c r="M19" i="2" s="1"/>
  <c r="M20" i="2" a="1"/>
  <c r="M20" i="2" s="1"/>
  <c r="M21" i="2" a="1"/>
  <c r="M21" i="2" s="1"/>
  <c r="M22" i="2" a="1"/>
  <c r="M22" i="2" s="1"/>
  <c r="M11" i="2" a="1"/>
  <c r="M11" i="2" s="1"/>
  <c r="L12" i="2"/>
  <c r="L14" i="2"/>
  <c r="L15" i="2"/>
  <c r="L16" i="2"/>
  <c r="L17" i="2"/>
  <c r="L18" i="2"/>
  <c r="L19" i="2"/>
  <c r="L20" i="2"/>
  <c r="O428" i="2" s="1"/>
  <c r="L21" i="2"/>
  <c r="O405" i="2" s="1"/>
  <c r="L22" i="2"/>
  <c r="C9" i="2"/>
  <c r="C8" i="2"/>
  <c r="O384" i="2" l="1"/>
  <c r="O389" i="2"/>
  <c r="I12" i="2"/>
  <c r="O419" i="2"/>
  <c r="O11" i="2"/>
  <c r="O412" i="2"/>
  <c r="I365" i="2"/>
  <c r="I195" i="2"/>
  <c r="I430" i="2"/>
  <c r="I292" i="2"/>
  <c r="I120" i="2"/>
  <c r="I425" i="2"/>
  <c r="I281" i="2"/>
  <c r="I109" i="2"/>
  <c r="I205" i="2"/>
  <c r="I373" i="2"/>
  <c r="I405" i="2"/>
  <c r="I335" i="2"/>
  <c r="I248" i="2"/>
  <c r="I163" i="2"/>
  <c r="I76" i="2"/>
  <c r="I397" i="2"/>
  <c r="I325" i="2"/>
  <c r="I237" i="2"/>
  <c r="I152" i="2"/>
  <c r="I55" i="2"/>
  <c r="O263" i="2"/>
  <c r="O12" i="2"/>
  <c r="O28" i="2"/>
  <c r="O44" i="2"/>
  <c r="O60" i="2"/>
  <c r="O76" i="2"/>
  <c r="O93" i="2"/>
  <c r="O141" i="2"/>
  <c r="O189" i="2"/>
  <c r="O237" i="2"/>
  <c r="O280" i="2"/>
  <c r="O329" i="2"/>
  <c r="O356" i="2"/>
  <c r="O383" i="2"/>
  <c r="O409" i="2"/>
  <c r="I420" i="2"/>
  <c r="I389" i="2"/>
  <c r="I357" i="2"/>
  <c r="I313" i="2"/>
  <c r="I269" i="2"/>
  <c r="I227" i="2"/>
  <c r="I184" i="2"/>
  <c r="I141" i="2"/>
  <c r="I99" i="2"/>
  <c r="I33" i="2"/>
  <c r="I413" i="2"/>
  <c r="I381" i="2"/>
  <c r="I346" i="2"/>
  <c r="I302" i="2"/>
  <c r="I259" i="2"/>
  <c r="I216" i="2"/>
  <c r="I173" i="2"/>
  <c r="I131" i="2"/>
  <c r="I88" i="2"/>
  <c r="O16" i="2"/>
  <c r="O32" i="2"/>
  <c r="O48" i="2"/>
  <c r="O64" i="2"/>
  <c r="O80" i="2"/>
  <c r="O109" i="2"/>
  <c r="O157" i="2"/>
  <c r="O205" i="2"/>
  <c r="O253" i="2"/>
  <c r="O296" i="2"/>
  <c r="O335" i="2"/>
  <c r="O388" i="2"/>
  <c r="O420" i="2"/>
  <c r="O20" i="2"/>
  <c r="O36" i="2"/>
  <c r="O52" i="2"/>
  <c r="O68" i="2"/>
  <c r="O84" i="2"/>
  <c r="O119" i="2"/>
  <c r="O167" i="2"/>
  <c r="O215" i="2"/>
  <c r="O312" i="2"/>
  <c r="O340" i="2"/>
  <c r="O372" i="2"/>
  <c r="O393" i="2"/>
  <c r="O425" i="2"/>
  <c r="O24" i="2"/>
  <c r="O40" i="2"/>
  <c r="O56" i="2"/>
  <c r="O72" i="2"/>
  <c r="O88" i="2"/>
  <c r="O125" i="2"/>
  <c r="O173" i="2"/>
  <c r="O221" i="2"/>
  <c r="O269" i="2"/>
  <c r="O323" i="2"/>
  <c r="O345" i="2"/>
  <c r="O377" i="2"/>
  <c r="O404" i="2"/>
  <c r="I14" i="2"/>
  <c r="I18" i="2"/>
  <c r="I22" i="2"/>
  <c r="I26" i="2"/>
  <c r="I30" i="2"/>
  <c r="I34" i="2"/>
  <c r="I38" i="2"/>
  <c r="I42" i="2"/>
  <c r="I46" i="2"/>
  <c r="I50" i="2"/>
  <c r="I54" i="2"/>
  <c r="I58" i="2"/>
  <c r="I62" i="2"/>
  <c r="I66" i="2"/>
  <c r="I70" i="2"/>
  <c r="I74" i="2"/>
  <c r="I78" i="2"/>
  <c r="I82" i="2"/>
  <c r="I86" i="2"/>
  <c r="I90" i="2"/>
  <c r="I94" i="2"/>
  <c r="I98" i="2"/>
  <c r="I102" i="2"/>
  <c r="I106" i="2"/>
  <c r="I110" i="2"/>
  <c r="I114" i="2"/>
  <c r="I118" i="2"/>
  <c r="I122" i="2"/>
  <c r="I126" i="2"/>
  <c r="I130" i="2"/>
  <c r="I134" i="2"/>
  <c r="I138" i="2"/>
  <c r="I142" i="2"/>
  <c r="I146" i="2"/>
  <c r="I150" i="2"/>
  <c r="I154" i="2"/>
  <c r="I158" i="2"/>
  <c r="I162" i="2"/>
  <c r="I166" i="2"/>
  <c r="I170" i="2"/>
  <c r="I174" i="2"/>
  <c r="I178" i="2"/>
  <c r="I182" i="2"/>
  <c r="I186" i="2"/>
  <c r="I190" i="2"/>
  <c r="I194" i="2"/>
  <c r="I198" i="2"/>
  <c r="I202" i="2"/>
  <c r="I206" i="2"/>
  <c r="I210" i="2"/>
  <c r="I214" i="2"/>
  <c r="I218" i="2"/>
  <c r="I222" i="2"/>
  <c r="I226" i="2"/>
  <c r="I230" i="2"/>
  <c r="I234" i="2"/>
  <c r="I238" i="2"/>
  <c r="I242" i="2"/>
  <c r="I246" i="2"/>
  <c r="I250" i="2"/>
  <c r="I254" i="2"/>
  <c r="I258" i="2"/>
  <c r="I262" i="2"/>
  <c r="I266" i="2"/>
  <c r="I270" i="2"/>
  <c r="I274" i="2"/>
  <c r="I279" i="2"/>
  <c r="I283" i="2"/>
  <c r="I287" i="2"/>
  <c r="I291" i="2"/>
  <c r="I295" i="2"/>
  <c r="I299" i="2"/>
  <c r="I303" i="2"/>
  <c r="I307" i="2"/>
  <c r="I311" i="2"/>
  <c r="I315" i="2"/>
  <c r="I319" i="2"/>
  <c r="I323" i="2"/>
  <c r="I328" i="2"/>
  <c r="I332" i="2"/>
  <c r="I336" i="2"/>
  <c r="I340" i="2"/>
  <c r="I344" i="2"/>
  <c r="I348" i="2"/>
  <c r="I352" i="2"/>
  <c r="I356" i="2"/>
  <c r="I15" i="2"/>
  <c r="I20" i="2"/>
  <c r="I25" i="2"/>
  <c r="I31" i="2"/>
  <c r="I36" i="2"/>
  <c r="I41" i="2"/>
  <c r="I47" i="2"/>
  <c r="I52" i="2"/>
  <c r="I57" i="2"/>
  <c r="I63" i="2"/>
  <c r="I68" i="2"/>
  <c r="I73" i="2"/>
  <c r="I79" i="2"/>
  <c r="I84" i="2"/>
  <c r="I89" i="2"/>
  <c r="I95" i="2"/>
  <c r="I100" i="2"/>
  <c r="I105" i="2"/>
  <c r="I111" i="2"/>
  <c r="I116" i="2"/>
  <c r="I121" i="2"/>
  <c r="I127" i="2"/>
  <c r="I132" i="2"/>
  <c r="I137" i="2"/>
  <c r="I143" i="2"/>
  <c r="I148" i="2"/>
  <c r="I153" i="2"/>
  <c r="I159" i="2"/>
  <c r="I164" i="2"/>
  <c r="I169" i="2"/>
  <c r="I175" i="2"/>
  <c r="I180" i="2"/>
  <c r="I185" i="2"/>
  <c r="I191" i="2"/>
  <c r="I196" i="2"/>
  <c r="I201" i="2"/>
  <c r="I207" i="2"/>
  <c r="I212" i="2"/>
  <c r="I217" i="2"/>
  <c r="I223" i="2"/>
  <c r="I228" i="2"/>
  <c r="I233" i="2"/>
  <c r="I239" i="2"/>
  <c r="I244" i="2"/>
  <c r="I249" i="2"/>
  <c r="I255" i="2"/>
  <c r="I260" i="2"/>
  <c r="I265" i="2"/>
  <c r="I271" i="2"/>
  <c r="I276" i="2"/>
  <c r="I282" i="2"/>
  <c r="I288" i="2"/>
  <c r="I293" i="2"/>
  <c r="I298" i="2"/>
  <c r="I304" i="2"/>
  <c r="I309" i="2"/>
  <c r="I314" i="2"/>
  <c r="I320" i="2"/>
  <c r="I326" i="2"/>
  <c r="I331" i="2"/>
  <c r="I337" i="2"/>
  <c r="I342" i="2"/>
  <c r="I347" i="2"/>
  <c r="I353" i="2"/>
  <c r="I358" i="2"/>
  <c r="I362" i="2"/>
  <c r="I366" i="2"/>
  <c r="I370" i="2"/>
  <c r="I374" i="2"/>
  <c r="I378" i="2"/>
  <c r="I382" i="2"/>
  <c r="I386" i="2"/>
  <c r="I390" i="2"/>
  <c r="I394" i="2"/>
  <c r="I398" i="2"/>
  <c r="I402" i="2"/>
  <c r="I406" i="2"/>
  <c r="I410" i="2"/>
  <c r="I414" i="2"/>
  <c r="I16" i="2"/>
  <c r="I21" i="2"/>
  <c r="I27" i="2"/>
  <c r="I32" i="2"/>
  <c r="I37" i="2"/>
  <c r="I43" i="2"/>
  <c r="I48" i="2"/>
  <c r="I53" i="2"/>
  <c r="I59" i="2"/>
  <c r="I64" i="2"/>
  <c r="I69" i="2"/>
  <c r="I75" i="2"/>
  <c r="I80" i="2"/>
  <c r="I85" i="2"/>
  <c r="I91" i="2"/>
  <c r="I96" i="2"/>
  <c r="I101" i="2"/>
  <c r="I107" i="2"/>
  <c r="I112" i="2"/>
  <c r="I117" i="2"/>
  <c r="I123" i="2"/>
  <c r="I128" i="2"/>
  <c r="I133" i="2"/>
  <c r="I139" i="2"/>
  <c r="I144" i="2"/>
  <c r="I149" i="2"/>
  <c r="I155" i="2"/>
  <c r="I160" i="2"/>
  <c r="I165" i="2"/>
  <c r="I171" i="2"/>
  <c r="I176" i="2"/>
  <c r="I181" i="2"/>
  <c r="I187" i="2"/>
  <c r="I192" i="2"/>
  <c r="I197" i="2"/>
  <c r="I203" i="2"/>
  <c r="I208" i="2"/>
  <c r="I213" i="2"/>
  <c r="I219" i="2"/>
  <c r="I224" i="2"/>
  <c r="I229" i="2"/>
  <c r="I235" i="2"/>
  <c r="I240" i="2"/>
  <c r="I245" i="2"/>
  <c r="I251" i="2"/>
  <c r="I256" i="2"/>
  <c r="I261" i="2"/>
  <c r="I267" i="2"/>
  <c r="I272" i="2"/>
  <c r="I277" i="2"/>
  <c r="I284" i="2"/>
  <c r="I289" i="2"/>
  <c r="I294" i="2"/>
  <c r="I300" i="2"/>
  <c r="I305" i="2"/>
  <c r="I310" i="2"/>
  <c r="I316" i="2"/>
  <c r="I321" i="2"/>
  <c r="I327" i="2"/>
  <c r="I333" i="2"/>
  <c r="I338" i="2"/>
  <c r="I343" i="2"/>
  <c r="I349" i="2"/>
  <c r="I354" i="2"/>
  <c r="I359" i="2"/>
  <c r="I363" i="2"/>
  <c r="I367" i="2"/>
  <c r="I371" i="2"/>
  <c r="I375" i="2"/>
  <c r="I379" i="2"/>
  <c r="I383" i="2"/>
  <c r="I387" i="2"/>
  <c r="I391" i="2"/>
  <c r="I395" i="2"/>
  <c r="I399" i="2"/>
  <c r="I403" i="2"/>
  <c r="I407" i="2"/>
  <c r="I411" i="2"/>
  <c r="I415" i="2"/>
  <c r="I419" i="2"/>
  <c r="I423" i="2"/>
  <c r="I427" i="2"/>
  <c r="I11" i="2"/>
  <c r="I13" i="2"/>
  <c r="I19" i="2"/>
  <c r="I24" i="2"/>
  <c r="I29" i="2"/>
  <c r="I35" i="2"/>
  <c r="I40" i="2"/>
  <c r="I45" i="2"/>
  <c r="I51" i="2"/>
  <c r="I56" i="2"/>
  <c r="I61" i="2"/>
  <c r="I67" i="2"/>
  <c r="I72" i="2"/>
  <c r="I77" i="2"/>
  <c r="I428" i="2"/>
  <c r="I422" i="2"/>
  <c r="I417" i="2"/>
  <c r="I401" i="2"/>
  <c r="I393" i="2"/>
  <c r="I385" i="2"/>
  <c r="I369" i="2"/>
  <c r="I361" i="2"/>
  <c r="I341" i="2"/>
  <c r="I330" i="2"/>
  <c r="I308" i="2"/>
  <c r="I264" i="2"/>
  <c r="I426" i="2"/>
  <c r="I421" i="2"/>
  <c r="I416" i="2"/>
  <c r="I408" i="2"/>
  <c r="I400" i="2"/>
  <c r="I392" i="2"/>
  <c r="I384" i="2"/>
  <c r="I376" i="2"/>
  <c r="I368" i="2"/>
  <c r="I360" i="2"/>
  <c r="I350" i="2"/>
  <c r="I339" i="2"/>
  <c r="I329" i="2"/>
  <c r="I317" i="2"/>
  <c r="I306" i="2"/>
  <c r="I296" i="2"/>
  <c r="I285" i="2"/>
  <c r="I273" i="2"/>
  <c r="I263" i="2"/>
  <c r="I252" i="2"/>
  <c r="I241" i="2"/>
  <c r="I231" i="2"/>
  <c r="I220" i="2"/>
  <c r="I209" i="2"/>
  <c r="I199" i="2"/>
  <c r="I188" i="2"/>
  <c r="I177" i="2"/>
  <c r="I167" i="2"/>
  <c r="I156" i="2"/>
  <c r="I145" i="2"/>
  <c r="I135" i="2"/>
  <c r="I124" i="2"/>
  <c r="I113" i="2"/>
  <c r="I103" i="2"/>
  <c r="I92" i="2"/>
  <c r="I81" i="2"/>
  <c r="I60" i="2"/>
  <c r="I39" i="2"/>
  <c r="I17" i="2"/>
  <c r="O387" i="2"/>
  <c r="O339" i="2"/>
  <c r="O279" i="2"/>
  <c r="O267" i="2"/>
  <c r="O219" i="2"/>
  <c r="O171" i="2"/>
  <c r="O123" i="2"/>
  <c r="O87" i="2"/>
  <c r="O75" i="2"/>
  <c r="O63" i="2"/>
  <c r="O51" i="2"/>
  <c r="O39" i="2"/>
  <c r="O27" i="2"/>
  <c r="O15" i="2"/>
  <c r="O423" i="2"/>
  <c r="O375" i="2"/>
  <c r="O327" i="2"/>
  <c r="O315" i="2"/>
  <c r="O255" i="2"/>
  <c r="O207" i="2"/>
  <c r="O159" i="2"/>
  <c r="O111" i="2"/>
  <c r="O411" i="2"/>
  <c r="O363" i="2"/>
  <c r="O303" i="2"/>
  <c r="O243" i="2"/>
  <c r="O195" i="2"/>
  <c r="O147" i="2"/>
  <c r="O99" i="2"/>
  <c r="O231" i="2"/>
  <c r="O399" i="2"/>
  <c r="O291" i="2"/>
  <c r="O183" i="2"/>
  <c r="O351" i="2"/>
  <c r="O135" i="2"/>
  <c r="O130" i="2"/>
  <c r="O274" i="2"/>
  <c r="O226" i="2"/>
  <c r="O286" i="2"/>
  <c r="O178" i="2"/>
  <c r="O258" i="2"/>
  <c r="O318" i="2"/>
  <c r="O210" i="2"/>
  <c r="O162" i="2"/>
  <c r="O114" i="2"/>
  <c r="O302" i="2"/>
  <c r="O194" i="2"/>
  <c r="O146" i="2"/>
  <c r="O98" i="2"/>
  <c r="O242" i="2"/>
  <c r="I429" i="2"/>
  <c r="I424" i="2"/>
  <c r="I418" i="2"/>
  <c r="I412" i="2"/>
  <c r="I404" i="2"/>
  <c r="I396" i="2"/>
  <c r="I388" i="2"/>
  <c r="I380" i="2"/>
  <c r="I372" i="2"/>
  <c r="I364" i="2"/>
  <c r="I355" i="2"/>
  <c r="I345" i="2"/>
  <c r="I334" i="2"/>
  <c r="I322" i="2"/>
  <c r="I312" i="2"/>
  <c r="I301" i="2"/>
  <c r="I290" i="2"/>
  <c r="I280" i="2"/>
  <c r="I268" i="2"/>
  <c r="I257" i="2"/>
  <c r="I247" i="2"/>
  <c r="I236" i="2"/>
  <c r="I225" i="2"/>
  <c r="I215" i="2"/>
  <c r="I204" i="2"/>
  <c r="I193" i="2"/>
  <c r="I183" i="2"/>
  <c r="I172" i="2"/>
  <c r="I161" i="2"/>
  <c r="I151" i="2"/>
  <c r="I140" i="2"/>
  <c r="I129" i="2"/>
  <c r="I119" i="2"/>
  <c r="I108" i="2"/>
  <c r="I97" i="2"/>
  <c r="I87" i="2"/>
  <c r="I71" i="2"/>
  <c r="I49" i="2"/>
  <c r="I28" i="2"/>
  <c r="O403" i="2"/>
  <c r="O355" i="2"/>
  <c r="O295" i="2"/>
  <c r="O235" i="2"/>
  <c r="O187" i="2"/>
  <c r="O139" i="2"/>
  <c r="O91" i="2"/>
  <c r="O79" i="2"/>
  <c r="O67" i="2"/>
  <c r="O55" i="2"/>
  <c r="O43" i="2"/>
  <c r="O31" i="2"/>
  <c r="O19" i="2"/>
  <c r="O391" i="2"/>
  <c r="O343" i="2"/>
  <c r="O283" i="2"/>
  <c r="O271" i="2"/>
  <c r="O223" i="2"/>
  <c r="O175" i="2"/>
  <c r="O127" i="2"/>
  <c r="O427" i="2"/>
  <c r="O379" i="2"/>
  <c r="O331" i="2"/>
  <c r="O319" i="2"/>
  <c r="O259" i="2"/>
  <c r="O211" i="2"/>
  <c r="O163" i="2"/>
  <c r="O115" i="2"/>
  <c r="O367" i="2"/>
  <c r="O151" i="2"/>
  <c r="O103" i="2"/>
  <c r="O247" i="2"/>
  <c r="O415" i="2"/>
  <c r="O307" i="2"/>
  <c r="O199" i="2"/>
  <c r="I409" i="2"/>
  <c r="I377" i="2"/>
  <c r="I351" i="2"/>
  <c r="I318" i="2"/>
  <c r="I297" i="2"/>
  <c r="I286" i="2"/>
  <c r="I275" i="2"/>
  <c r="I253" i="2"/>
  <c r="I243" i="2"/>
  <c r="I232" i="2"/>
  <c r="I221" i="2"/>
  <c r="I211" i="2"/>
  <c r="I200" i="2"/>
  <c r="I189" i="2"/>
  <c r="I179" i="2"/>
  <c r="I168" i="2"/>
  <c r="I157" i="2"/>
  <c r="I147" i="2"/>
  <c r="I136" i="2"/>
  <c r="I125" i="2"/>
  <c r="I115" i="2"/>
  <c r="I104" i="2"/>
  <c r="I93" i="2"/>
  <c r="I83" i="2"/>
  <c r="I65" i="2"/>
  <c r="I44" i="2"/>
  <c r="I23" i="2"/>
  <c r="O430" i="2"/>
  <c r="O418" i="2"/>
  <c r="O406" i="2"/>
  <c r="O394" i="2"/>
  <c r="O382" i="2"/>
  <c r="O370" i="2"/>
  <c r="O358" i="2"/>
  <c r="O346" i="2"/>
  <c r="O334" i="2"/>
  <c r="O426" i="2"/>
  <c r="O414" i="2"/>
  <c r="O402" i="2"/>
  <c r="O390" i="2"/>
  <c r="O378" i="2"/>
  <c r="O366" i="2"/>
  <c r="O354" i="2"/>
  <c r="O342" i="2"/>
  <c r="O330" i="2"/>
  <c r="O422" i="2"/>
  <c r="O410" i="2"/>
  <c r="O398" i="2"/>
  <c r="O386" i="2"/>
  <c r="O374" i="2"/>
  <c r="O362" i="2"/>
  <c r="O350" i="2"/>
  <c r="O338" i="2"/>
  <c r="O326" i="2"/>
  <c r="O313" i="2"/>
  <c r="O301" i="2"/>
  <c r="O289" i="2"/>
  <c r="O13" i="2"/>
  <c r="O17" i="2"/>
  <c r="O21" i="2"/>
  <c r="O25" i="2"/>
  <c r="O29" i="2"/>
  <c r="O33" i="2"/>
  <c r="O37" i="2"/>
  <c r="O41" i="2"/>
  <c r="O45" i="2"/>
  <c r="O49" i="2"/>
  <c r="O53" i="2"/>
  <c r="O57" i="2"/>
  <c r="O61" i="2"/>
  <c r="O65" i="2"/>
  <c r="O69" i="2"/>
  <c r="O73" i="2"/>
  <c r="O77" i="2"/>
  <c r="O81" i="2"/>
  <c r="O85" i="2"/>
  <c r="O89" i="2"/>
  <c r="O94" i="2"/>
  <c r="O105" i="2"/>
  <c r="O110" i="2"/>
  <c r="O121" i="2"/>
  <c r="O126" i="2"/>
  <c r="O131" i="2"/>
  <c r="O137" i="2"/>
  <c r="O142" i="2"/>
  <c r="O153" i="2"/>
  <c r="O158" i="2"/>
  <c r="O169" i="2"/>
  <c r="O174" i="2"/>
  <c r="O179" i="2"/>
  <c r="O185" i="2"/>
  <c r="O190" i="2"/>
  <c r="O201" i="2"/>
  <c r="O206" i="2"/>
  <c r="O217" i="2"/>
  <c r="O222" i="2"/>
  <c r="O227" i="2"/>
  <c r="O233" i="2"/>
  <c r="O238" i="2"/>
  <c r="O249" i="2"/>
  <c r="O254" i="2"/>
  <c r="O265" i="2"/>
  <c r="O270" i="2"/>
  <c r="O275" i="2"/>
  <c r="O282" i="2"/>
  <c r="O287" i="2"/>
  <c r="O292" i="2"/>
  <c r="O298" i="2"/>
  <c r="O308" i="2"/>
  <c r="O314" i="2"/>
  <c r="O325" i="2"/>
  <c r="O336" i="2"/>
  <c r="O341" i="2"/>
  <c r="O347" i="2"/>
  <c r="O352" i="2"/>
  <c r="O357" i="2"/>
  <c r="O368" i="2"/>
  <c r="O373" i="2"/>
  <c r="O395" i="2"/>
  <c r="O400" i="2"/>
  <c r="O416" i="2"/>
  <c r="O421" i="2"/>
  <c r="O321" i="2"/>
  <c r="O309" i="2"/>
  <c r="O297" i="2"/>
  <c r="O285" i="2"/>
  <c r="O429" i="2"/>
  <c r="O317" i="2"/>
  <c r="O305" i="2"/>
  <c r="O293" i="2"/>
  <c r="O281" i="2"/>
  <c r="O276" i="2"/>
  <c r="O264" i="2"/>
  <c r="O252" i="2"/>
  <c r="O240" i="2"/>
  <c r="O228" i="2"/>
  <c r="O216" i="2"/>
  <c r="O204" i="2"/>
  <c r="O192" i="2"/>
  <c r="O180" i="2"/>
  <c r="O168" i="2"/>
  <c r="O156" i="2"/>
  <c r="O144" i="2"/>
  <c r="O132" i="2"/>
  <c r="O120" i="2"/>
  <c r="O108" i="2"/>
  <c r="O96" i="2"/>
  <c r="O14" i="2"/>
  <c r="O18" i="2"/>
  <c r="O22" i="2"/>
  <c r="O26" i="2"/>
  <c r="O30" i="2"/>
  <c r="O34" i="2"/>
  <c r="O38" i="2"/>
  <c r="O42" i="2"/>
  <c r="O46" i="2"/>
  <c r="O50" i="2"/>
  <c r="O54" i="2"/>
  <c r="O58" i="2"/>
  <c r="O62" i="2"/>
  <c r="O66" i="2"/>
  <c r="O70" i="2"/>
  <c r="O74" i="2"/>
  <c r="O78" i="2"/>
  <c r="O82" i="2"/>
  <c r="O86" i="2"/>
  <c r="O90" i="2"/>
  <c r="O95" i="2"/>
  <c r="O101" i="2"/>
  <c r="O106" i="2"/>
  <c r="O117" i="2"/>
  <c r="O122" i="2"/>
  <c r="O133" i="2"/>
  <c r="O138" i="2"/>
  <c r="O143" i="2"/>
  <c r="O149" i="2"/>
  <c r="O154" i="2"/>
  <c r="O165" i="2"/>
  <c r="O170" i="2"/>
  <c r="O181" i="2"/>
  <c r="O186" i="2"/>
  <c r="O191" i="2"/>
  <c r="O197" i="2"/>
  <c r="O202" i="2"/>
  <c r="O213" i="2"/>
  <c r="O218" i="2"/>
  <c r="O229" i="2"/>
  <c r="O234" i="2"/>
  <c r="O239" i="2"/>
  <c r="O245" i="2"/>
  <c r="O250" i="2"/>
  <c r="O261" i="2"/>
  <c r="O266" i="2"/>
  <c r="O277" i="2"/>
  <c r="O288" i="2"/>
  <c r="O294" i="2"/>
  <c r="O299" i="2"/>
  <c r="O304" i="2"/>
  <c r="O310" i="2"/>
  <c r="O320" i="2"/>
  <c r="O332" i="2"/>
  <c r="O337" i="2"/>
  <c r="O348" i="2"/>
  <c r="O353" i="2"/>
  <c r="O359" i="2"/>
  <c r="O364" i="2"/>
  <c r="O369" i="2"/>
  <c r="O380" i="2"/>
  <c r="O385" i="2"/>
  <c r="O396" i="2"/>
  <c r="O401" i="2"/>
  <c r="O407" i="2"/>
  <c r="O417" i="2"/>
  <c r="O272" i="2"/>
  <c r="O260" i="2"/>
  <c r="O248" i="2"/>
  <c r="O236" i="2"/>
  <c r="O224" i="2"/>
  <c r="O212" i="2"/>
  <c r="O200" i="2"/>
  <c r="O188" i="2"/>
  <c r="O176" i="2"/>
  <c r="O164" i="2"/>
  <c r="O152" i="2"/>
  <c r="O140" i="2"/>
  <c r="O128" i="2"/>
  <c r="O116" i="2"/>
  <c r="O104" i="2"/>
  <c r="O92" i="2"/>
  <c r="O268" i="2"/>
  <c r="O256" i="2"/>
  <c r="O244" i="2"/>
  <c r="O232" i="2"/>
  <c r="O220" i="2"/>
  <c r="O208" i="2"/>
  <c r="O196" i="2"/>
  <c r="O184" i="2"/>
  <c r="O172" i="2"/>
  <c r="O160" i="2"/>
  <c r="O148" i="2"/>
  <c r="O136" i="2"/>
  <c r="O124" i="2"/>
  <c r="O112" i="2"/>
  <c r="O100" i="2"/>
  <c r="O23" i="2"/>
  <c r="O35" i="2"/>
  <c r="O47" i="2"/>
  <c r="O59" i="2"/>
  <c r="O71" i="2"/>
  <c r="O83" i="2"/>
  <c r="O97" i="2"/>
  <c r="O102" i="2"/>
  <c r="O107" i="2"/>
  <c r="O113" i="2"/>
  <c r="O118" i="2"/>
  <c r="O129" i="2"/>
  <c r="O134" i="2"/>
  <c r="O145" i="2"/>
  <c r="O150" i="2"/>
  <c r="O155" i="2"/>
  <c r="O161" i="2"/>
  <c r="O166" i="2"/>
  <c r="O177" i="2"/>
  <c r="O182" i="2"/>
  <c r="O193" i="2"/>
  <c r="O198" i="2"/>
  <c r="O203" i="2"/>
  <c r="O209" i="2"/>
  <c r="O214" i="2"/>
  <c r="O225" i="2"/>
  <c r="O230" i="2"/>
  <c r="O241" i="2"/>
  <c r="O246" i="2"/>
  <c r="O251" i="2"/>
  <c r="O257" i="2"/>
  <c r="O262" i="2"/>
  <c r="O273" i="2"/>
  <c r="O284" i="2"/>
  <c r="O290" i="2"/>
  <c r="O300" i="2"/>
  <c r="O306" i="2"/>
  <c r="O311" i="2"/>
  <c r="O316" i="2"/>
  <c r="O322" i="2"/>
  <c r="O328" i="2"/>
  <c r="O333" i="2"/>
  <c r="O344" i="2"/>
  <c r="O349" i="2"/>
  <c r="O360" i="2"/>
  <c r="O365" i="2"/>
  <c r="O371" i="2"/>
  <c r="O376" i="2"/>
  <c r="O381" i="2"/>
  <c r="O392" i="2"/>
  <c r="O397" i="2"/>
  <c r="O408" i="2"/>
  <c r="O413" i="2"/>
  <c r="O424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H5" i="2"/>
  <c r="H4" i="2"/>
  <c r="G240" i="2" l="1"/>
  <c r="G241" i="2"/>
  <c r="G242" i="2"/>
  <c r="G243" i="2"/>
  <c r="G244" i="2"/>
  <c r="G245" i="2"/>
  <c r="G246" i="2"/>
  <c r="G247" i="2"/>
  <c r="G248" i="2"/>
  <c r="G249" i="2"/>
  <c r="G239" i="2"/>
</calcChain>
</file>

<file path=xl/sharedStrings.xml><?xml version="1.0" encoding="utf-8"?>
<sst xmlns="http://schemas.openxmlformats.org/spreadsheetml/2006/main" count="2612" uniqueCount="70">
  <si>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</si>
  <si>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</si>
  <si>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</si>
  <si>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</si>
  <si>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</si>
  <si>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</si>
  <si>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</si>
  <si>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</si>
  <si>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</si>
  <si>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</si>
  <si>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</si>
  <si>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</si>
  <si>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</si>
  <si>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AÑO</t>
  </si>
  <si>
    <t>Caudal (m3/s)</t>
  </si>
  <si>
    <t>CORRIENTE  CANAL DEL DIQUE</t>
  </si>
  <si>
    <t>VALORES MEDIOS  MENSUALES DE CAUDALES (m3/seg)</t>
  </si>
  <si>
    <t xml:space="preserve">FECHA DE PROCESO :  2017/04/27                                                           </t>
  </si>
  <si>
    <t>ESTACION : 29037450  STA HELENA 2</t>
  </si>
  <si>
    <t xml:space="preserve">ELEVACION  3 m.s.n.m </t>
  </si>
  <si>
    <t>DEPTO      BOLIVAR</t>
  </si>
  <si>
    <t>MUNICIPIO  ARJONA</t>
  </si>
  <si>
    <t xml:space="preserve">ENTIDAD     01  IDEAM            </t>
  </si>
  <si>
    <t xml:space="preserve">LATITUD    10°04 N               </t>
  </si>
  <si>
    <t xml:space="preserve">LONGITUD   75°26 W               </t>
  </si>
  <si>
    <t>IDEAM</t>
  </si>
  <si>
    <t>ESTACION: 14015030  ESCNAVAL CIOH</t>
  </si>
  <si>
    <t>ELEVACION: 1 msnm</t>
  </si>
  <si>
    <t>10°23 N</t>
  </si>
  <si>
    <t>75°32 W</t>
  </si>
  <si>
    <t>Bahía de CARTAGENA</t>
  </si>
  <si>
    <t>VALORES MEDIOS MENSUALES DE NIVELES (cm)</t>
  </si>
  <si>
    <t>ESTACION: 29037610  KILOMETRO 107</t>
  </si>
  <si>
    <t>ELEVACION: 2 msnm</t>
  </si>
  <si>
    <t>10°14 N</t>
  </si>
  <si>
    <t>75°31 W</t>
  </si>
  <si>
    <t>Nivel canal (cm)</t>
  </si>
  <si>
    <t>CANAL DEL DIQUE</t>
  </si>
  <si>
    <t>Mes</t>
  </si>
  <si>
    <t>Año</t>
  </si>
  <si>
    <t>VALORES TOTALES MENSUALES DE TRANSPORTE (KTon/Dia)</t>
  </si>
  <si>
    <t xml:space="preserve">ELEVACION  3 m.s.n.m        </t>
  </si>
  <si>
    <t>Sedimento (Kton/¿dia?)</t>
  </si>
  <si>
    <t>Serie1</t>
  </si>
  <si>
    <t>Observaciones</t>
  </si>
  <si>
    <t>592</t>
  </si>
  <si>
    <t>año.mes</t>
  </si>
  <si>
    <t>antes del 84</t>
  </si>
  <si>
    <t>despues del 84</t>
  </si>
  <si>
    <t>año</t>
  </si>
  <si>
    <t>nivel</t>
  </si>
  <si>
    <t>Transporte</t>
  </si>
  <si>
    <t>STDA</t>
  </si>
  <si>
    <t>M</t>
  </si>
  <si>
    <t>SD</t>
  </si>
  <si>
    <t>Seasonality</t>
  </si>
  <si>
    <t>Media anual</t>
  </si>
  <si>
    <t>STDA-season</t>
  </si>
  <si>
    <t>STDA-Season</t>
  </si>
  <si>
    <t>Caudal</t>
  </si>
  <si>
    <t>Seasonality-Sta Hel</t>
  </si>
  <si>
    <t>VALORES TOTALES MENSUALES DE PRECIPITACION (mm) x10</t>
  </si>
  <si>
    <t>mean</t>
  </si>
  <si>
    <t>Seasonal cycle</t>
  </si>
  <si>
    <t>ano interp</t>
  </si>
  <si>
    <t>Precipitación (mm) x 10</t>
  </si>
  <si>
    <t>STDA Directo</t>
  </si>
  <si>
    <t>stda mes</t>
  </si>
  <si>
    <t>Mean</t>
  </si>
  <si>
    <t>Acumul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</si>
</sst>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C0A]mmmm\-yy;@"/>
    <numFmt numFmtId="165" formatCode="0.0"/>
    <numFmt numFmtId="167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right"/>
    </xf>
    <xf numFmtId="0" fontId="16" fillId="0" borderId="0" xfId="0" applyFont="1"/>
    <xf numFmtId="0" fontId="0" fillId="33" borderId="0" xfId="0" applyFill="1"/>
    <xf numFmtId="0" fontId="16" fillId="33" borderId="0" xfId="0" applyFont="1" applyFill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16" fillId="0" borderId="0" xfId="0" applyFont="1" applyAlignment="1">
      <alignment horizontal="left"/>
    </xf>
    <xf numFmtId="164" fontId="0" fillId="0" borderId="0" xfId="0" applyNumberFormat="1"/>
    <xf numFmtId="17" fontId="0" fillId="0" borderId="0" xfId="0" applyNumberFormat="1"/>
    <xf numFmtId="49" fontId="0" fillId="0" borderId="0" xfId="0" applyNumberFormat="1"/>
    <xf numFmtId="1" fontId="0" fillId="0" borderId="0" xfId="0" applyNumberFormat="1"/>
    <xf numFmtId="165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167" fontId="0" fillId="0" borderId="0" xfId="0" applyNumberFormat="1"/>
    <xf numFmtId="2" fontId="0" fillId="0" borderId="0" xfId="0" applyNumberFormat="1" applyAlignment="1">
      <alignment horizontal="right"/>
    </xf>
    <xf numFmtId="11" fontId="0" fillId="0" borderId="0" xfId="0" applyNumberFormat="1"/>
    <xf numFmtId="0" fontId="14" fillId="0" borderId="0" xfId="0" applyFont="1"/>
    <xf numFmtId="0" fontId="16" fillId="33" borderId="0" xfId="0" applyFont="1" applyFill="1" applyAlignment="1">
      <alignment horizontal="center"/>
    </xf>
    <xf numFmtId="2" fontId="0" fillId="0" borderId="0" xfId="0" applyNumberFormat="1" applyAlignment="1">
      <alignment horizontal="left"/>
    </xf>
    <xf numFmtId="0" fontId="16" fillId="0" borderId="0" xfId="0" applyFont="1" applyAlignment="1">
      <alignment horizontal="center"/>
    </xf>
    <xf numFmtId="0" fontId="16" fillId="3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Caudal!$C$10</c:f>
              <c:strCache>
                <c:ptCount val="1"/>
                <c:pt idx="0">
                  <c:v>Caudal (m3/s)</c:v>
                </c:pt>
              </c:strCache>
            </c:strRef>
          </c:tx>
          <c:marker>
            <c:symbol val="none"/>
          </c:marker>
          <c:xVal>
            <c:numRef>
              <c:f>Caudal!$D$11:$D$430</c:f>
              <c:numCache>
                <c:formatCode>0.0</c:formatCode>
                <c:ptCount val="420"/>
                <c:pt idx="0">
                  <c:v>1980.99999999326</c:v>
                </c:pt>
                <c:pt idx="1">
                  <c:v>1981.08333332662</c:v>
                </c:pt>
                <c:pt idx="2">
                  <c:v>1981.1666666599799</c:v>
                </c:pt>
                <c:pt idx="3">
                  <c:v>1981.24999999334</c:v>
                </c:pt>
                <c:pt idx="4">
                  <c:v>1981.3333333267001</c:v>
                </c:pt>
                <c:pt idx="5">
                  <c:v>1981.4166666600599</c:v>
                </c:pt>
                <c:pt idx="6">
                  <c:v>1981.49999999342</c:v>
                </c:pt>
                <c:pt idx="7">
                  <c:v>1981.5833333267799</c:v>
                </c:pt>
                <c:pt idx="8">
                  <c:v>1981.66666666014</c:v>
                </c:pt>
                <c:pt idx="9">
                  <c:v>1981.7499999935001</c:v>
                </c:pt>
                <c:pt idx="10">
                  <c:v>1981.8333333268599</c:v>
                </c:pt>
                <c:pt idx="11">
                  <c:v>1981.91666666022</c:v>
                </c:pt>
                <c:pt idx="12">
                  <c:v>1981.9999999935801</c:v>
                </c:pt>
                <c:pt idx="13">
                  <c:v>1982.08333332694</c:v>
                </c:pt>
                <c:pt idx="14">
                  <c:v>1982.1666666603001</c:v>
                </c:pt>
                <c:pt idx="15">
                  <c:v>1982.2499999936599</c:v>
                </c:pt>
                <c:pt idx="16">
                  <c:v>1982.33333332702</c:v>
                </c:pt>
                <c:pt idx="17">
                  <c:v>1982.4166666603801</c:v>
                </c:pt>
                <c:pt idx="18">
                  <c:v>1982.4999999937399</c:v>
                </c:pt>
                <c:pt idx="19">
                  <c:v>1982.5833333271</c:v>
                </c:pt>
                <c:pt idx="20">
                  <c:v>1982.6666666604599</c:v>
                </c:pt>
                <c:pt idx="21">
                  <c:v>1982.74999999382</c:v>
                </c:pt>
                <c:pt idx="22">
                  <c:v>1982.8333333271801</c:v>
                </c:pt>
                <c:pt idx="23">
                  <c:v>1982.9166666605399</c:v>
                </c:pt>
                <c:pt idx="24">
                  <c:v>1982.9999999939</c:v>
                </c:pt>
                <c:pt idx="25">
                  <c:v>1983.0833333272601</c:v>
                </c:pt>
                <c:pt idx="26">
                  <c:v>1983.16666666062</c:v>
                </c:pt>
                <c:pt idx="27">
                  <c:v>1983.2499999939801</c:v>
                </c:pt>
                <c:pt idx="28">
                  <c:v>1983.3333333273399</c:v>
                </c:pt>
                <c:pt idx="29">
                  <c:v>1983.4166666607</c:v>
                </c:pt>
                <c:pt idx="30">
                  <c:v>1983.4999999940601</c:v>
                </c:pt>
                <c:pt idx="31">
                  <c:v>1983.58333332742</c:v>
                </c:pt>
                <c:pt idx="32">
                  <c:v>1983.66666666078</c:v>
                </c:pt>
                <c:pt idx="33">
                  <c:v>1983.7499999941399</c:v>
                </c:pt>
                <c:pt idx="34">
                  <c:v>1983.8333333275</c:v>
                </c:pt>
                <c:pt idx="35">
                  <c:v>1983.9166666608601</c:v>
                </c:pt>
                <c:pt idx="36">
                  <c:v>1983.9999999942199</c:v>
                </c:pt>
                <c:pt idx="37">
                  <c:v>1984.08333332758</c:v>
                </c:pt>
                <c:pt idx="38">
                  <c:v>1984.1666666609401</c:v>
                </c:pt>
                <c:pt idx="39">
                  <c:v>1984.2499999943</c:v>
                </c:pt>
                <c:pt idx="40">
                  <c:v>1984.3333333276601</c:v>
                </c:pt>
                <c:pt idx="41">
                  <c:v>1984.4166666610199</c:v>
                </c:pt>
                <c:pt idx="42">
                  <c:v>1984.49999999438</c:v>
                </c:pt>
                <c:pt idx="43">
                  <c:v>1984.5833333277401</c:v>
                </c:pt>
                <c:pt idx="44">
                  <c:v>1984.6666666611</c:v>
                </c:pt>
                <c:pt idx="45">
                  <c:v>1984.74999999446</c:v>
                </c:pt>
                <c:pt idx="46">
                  <c:v>1984.8333333278199</c:v>
                </c:pt>
                <c:pt idx="47">
                  <c:v>1984.91666666118</c:v>
                </c:pt>
                <c:pt idx="48">
                  <c:v>1984.9999999945401</c:v>
                </c:pt>
                <c:pt idx="49">
                  <c:v>1985.0833333278999</c:v>
                </c:pt>
                <c:pt idx="50">
                  <c:v>1985.16666666126</c:v>
                </c:pt>
                <c:pt idx="51">
                  <c:v>1985.2499999946201</c:v>
                </c:pt>
                <c:pt idx="52">
                  <c:v>1985.33333332798</c:v>
                </c:pt>
                <c:pt idx="53">
                  <c:v>1985.4166666613401</c:v>
                </c:pt>
                <c:pt idx="54">
                  <c:v>1985.4999999946999</c:v>
                </c:pt>
                <c:pt idx="55">
                  <c:v>1985.58333332806</c:v>
                </c:pt>
                <c:pt idx="56">
                  <c:v>1985.6666666614201</c:v>
                </c:pt>
                <c:pt idx="57">
                  <c:v>1985.74999999478</c:v>
                </c:pt>
                <c:pt idx="58">
                  <c:v>1985.83333332814</c:v>
                </c:pt>
                <c:pt idx="59">
                  <c:v>1985.9166666614999</c:v>
                </c:pt>
                <c:pt idx="60">
                  <c:v>1985.99999999486</c:v>
                </c:pt>
                <c:pt idx="61">
                  <c:v>1986.0833333282201</c:v>
                </c:pt>
                <c:pt idx="62">
                  <c:v>1986.1666666615799</c:v>
                </c:pt>
                <c:pt idx="63">
                  <c:v>1986.24999999494</c:v>
                </c:pt>
                <c:pt idx="64">
                  <c:v>1986.3333333282999</c:v>
                </c:pt>
                <c:pt idx="65">
                  <c:v>1986.41666666166</c:v>
                </c:pt>
                <c:pt idx="66">
                  <c:v>1986.4999999950201</c:v>
                </c:pt>
                <c:pt idx="67">
                  <c:v>1986.5833333283799</c:v>
                </c:pt>
                <c:pt idx="68">
                  <c:v>1986.66666666174</c:v>
                </c:pt>
                <c:pt idx="69">
                  <c:v>1986.7499999951001</c:v>
                </c:pt>
                <c:pt idx="70">
                  <c:v>1986.83333332846</c:v>
                </c:pt>
                <c:pt idx="71">
                  <c:v>1986.91666666182</c:v>
                </c:pt>
                <c:pt idx="72">
                  <c:v>1986.9999999951799</c:v>
                </c:pt>
                <c:pt idx="73">
                  <c:v>1987.08333332854</c:v>
                </c:pt>
                <c:pt idx="74">
                  <c:v>1987.1666666619001</c:v>
                </c:pt>
                <c:pt idx="75">
                  <c:v>1987.2499999952599</c:v>
                </c:pt>
                <c:pt idx="76">
                  <c:v>1987.33333332862</c:v>
                </c:pt>
                <c:pt idx="77">
                  <c:v>1987.4166666619799</c:v>
                </c:pt>
                <c:pt idx="78">
                  <c:v>1987.49999999534</c:v>
                </c:pt>
                <c:pt idx="79">
                  <c:v>1987.5833333287001</c:v>
                </c:pt>
                <c:pt idx="80">
                  <c:v>1987.6666666620599</c:v>
                </c:pt>
                <c:pt idx="81">
                  <c:v>1987.74999999543</c:v>
                </c:pt>
                <c:pt idx="82">
                  <c:v>1987.8333333287901</c:v>
                </c:pt>
                <c:pt idx="83">
                  <c:v>1987.91666666215</c:v>
                </c:pt>
                <c:pt idx="84">
                  <c:v>1987.9999999955101</c:v>
                </c:pt>
                <c:pt idx="85">
                  <c:v>1988.0833333288699</c:v>
                </c:pt>
                <c:pt idx="86">
                  <c:v>1988.16666666223</c:v>
                </c:pt>
                <c:pt idx="87">
                  <c:v>1988.2499999955901</c:v>
                </c:pt>
                <c:pt idx="88">
                  <c:v>1988.3333333289499</c:v>
                </c:pt>
                <c:pt idx="89">
                  <c:v>1988.41666666231</c:v>
                </c:pt>
                <c:pt idx="90">
                  <c:v>1988.4999999956699</c:v>
                </c:pt>
                <c:pt idx="91">
                  <c:v>1988.58333332903</c:v>
                </c:pt>
                <c:pt idx="92">
                  <c:v>1988.6666666623901</c:v>
                </c:pt>
                <c:pt idx="93">
                  <c:v>1988.7499999957499</c:v>
                </c:pt>
                <c:pt idx="94">
                  <c:v>1988.83333332911</c:v>
                </c:pt>
                <c:pt idx="95">
                  <c:v>1988.9166666624701</c:v>
                </c:pt>
                <c:pt idx="96">
                  <c:v>1988.99999999583</c:v>
                </c:pt>
                <c:pt idx="97">
                  <c:v>1989.0833333291901</c:v>
                </c:pt>
                <c:pt idx="98">
                  <c:v>1989.1666666625499</c:v>
                </c:pt>
                <c:pt idx="99">
                  <c:v>1989.24999999591</c:v>
                </c:pt>
                <c:pt idx="100">
                  <c:v>1989.3333333292701</c:v>
                </c:pt>
                <c:pt idx="101">
                  <c:v>1989.41666666263</c:v>
                </c:pt>
                <c:pt idx="102">
                  <c:v>1989.49999999599</c:v>
                </c:pt>
                <c:pt idx="103">
                  <c:v>1989.5833333293499</c:v>
                </c:pt>
                <c:pt idx="104">
                  <c:v>1989.66666666271</c:v>
                </c:pt>
                <c:pt idx="105">
                  <c:v>1989.7499999960701</c:v>
                </c:pt>
                <c:pt idx="106">
                  <c:v>1989.8333333294299</c:v>
                </c:pt>
                <c:pt idx="107">
                  <c:v>1989.91666666279</c:v>
                </c:pt>
                <c:pt idx="108">
                  <c:v>1989.9999999961501</c:v>
                </c:pt>
                <c:pt idx="109">
                  <c:v>1990.08333332951</c:v>
                </c:pt>
                <c:pt idx="110">
                  <c:v>1990.1666666628701</c:v>
                </c:pt>
                <c:pt idx="111">
                  <c:v>1990.2499999962299</c:v>
                </c:pt>
                <c:pt idx="112">
                  <c:v>1990.33333332959</c:v>
                </c:pt>
                <c:pt idx="113">
                  <c:v>1990.4166666629501</c:v>
                </c:pt>
                <c:pt idx="114">
                  <c:v>1990.49999999631</c:v>
                </c:pt>
                <c:pt idx="115">
                  <c:v>1990.58333332967</c:v>
                </c:pt>
                <c:pt idx="116">
                  <c:v>1990.6666666630299</c:v>
                </c:pt>
                <c:pt idx="117">
                  <c:v>1990.74999999639</c:v>
                </c:pt>
                <c:pt idx="118">
                  <c:v>1990.8333333297501</c:v>
                </c:pt>
                <c:pt idx="119">
                  <c:v>1990.9166666631099</c:v>
                </c:pt>
                <c:pt idx="120">
                  <c:v>1990.99999999647</c:v>
                </c:pt>
                <c:pt idx="121">
                  <c:v>1991.0833333298301</c:v>
                </c:pt>
                <c:pt idx="122">
                  <c:v>1991.16666666319</c:v>
                </c:pt>
                <c:pt idx="123">
                  <c:v>1991.2499999965501</c:v>
                </c:pt>
                <c:pt idx="124">
                  <c:v>1991.3333333299099</c:v>
                </c:pt>
                <c:pt idx="125">
                  <c:v>1991.41666666327</c:v>
                </c:pt>
                <c:pt idx="126">
                  <c:v>1991.4999999966301</c:v>
                </c:pt>
                <c:pt idx="127">
                  <c:v>1991.58333332999</c:v>
                </c:pt>
                <c:pt idx="128">
                  <c:v>1991.66666666335</c:v>
                </c:pt>
                <c:pt idx="129">
                  <c:v>1991.7499999967099</c:v>
                </c:pt>
                <c:pt idx="130">
                  <c:v>1991.83333333007</c:v>
                </c:pt>
                <c:pt idx="131">
                  <c:v>1991.9166666634301</c:v>
                </c:pt>
                <c:pt idx="132">
                  <c:v>1991.9999999967899</c:v>
                </c:pt>
                <c:pt idx="133">
                  <c:v>1992.08333333015</c:v>
                </c:pt>
                <c:pt idx="134">
                  <c:v>1992.1666666635101</c:v>
                </c:pt>
                <c:pt idx="135">
                  <c:v>1992.24999999687</c:v>
                </c:pt>
                <c:pt idx="136">
                  <c:v>1992.3333333302301</c:v>
                </c:pt>
                <c:pt idx="137">
                  <c:v>1992.4166666635899</c:v>
                </c:pt>
                <c:pt idx="138">
                  <c:v>1992.49999999695</c:v>
                </c:pt>
                <c:pt idx="139">
                  <c:v>1992.5833333303101</c:v>
                </c:pt>
                <c:pt idx="140">
                  <c:v>1992.66666666367</c:v>
                </c:pt>
                <c:pt idx="141">
                  <c:v>1992.74999999703</c:v>
                </c:pt>
                <c:pt idx="142">
                  <c:v>1992.8333333303899</c:v>
                </c:pt>
                <c:pt idx="143">
                  <c:v>1992.91666666375</c:v>
                </c:pt>
                <c:pt idx="144">
                  <c:v>1992.9999999971101</c:v>
                </c:pt>
                <c:pt idx="145">
                  <c:v>1993.0833333304699</c:v>
                </c:pt>
                <c:pt idx="146">
                  <c:v>1993.16666666383</c:v>
                </c:pt>
                <c:pt idx="147">
                  <c:v>1993.2499999971899</c:v>
                </c:pt>
                <c:pt idx="148">
                  <c:v>1993.33333333055</c:v>
                </c:pt>
                <c:pt idx="149">
                  <c:v>1993.4166666639101</c:v>
                </c:pt>
                <c:pt idx="150">
                  <c:v>1993.4999999972699</c:v>
                </c:pt>
                <c:pt idx="151">
                  <c:v>1993.58333333063</c:v>
                </c:pt>
                <c:pt idx="152">
                  <c:v>1993.6666666639901</c:v>
                </c:pt>
                <c:pt idx="153">
                  <c:v>1993.74999999735</c:v>
                </c:pt>
                <c:pt idx="154">
                  <c:v>1993.83333333071</c:v>
                </c:pt>
                <c:pt idx="155">
                  <c:v>1993.9166666640699</c:v>
                </c:pt>
                <c:pt idx="156">
                  <c:v>1993.99999999743</c:v>
                </c:pt>
                <c:pt idx="157">
                  <c:v>1994.0833333307901</c:v>
                </c:pt>
                <c:pt idx="158">
                  <c:v>1994.1666666641499</c:v>
                </c:pt>
                <c:pt idx="159">
                  <c:v>1994.24999999751</c:v>
                </c:pt>
                <c:pt idx="160">
                  <c:v>1994.3333333308699</c:v>
                </c:pt>
                <c:pt idx="161">
                  <c:v>1994.41666666423</c:v>
                </c:pt>
                <c:pt idx="162">
                  <c:v>1994.4999999975901</c:v>
                </c:pt>
                <c:pt idx="163">
                  <c:v>1994.5833333309499</c:v>
                </c:pt>
                <c:pt idx="164">
                  <c:v>1994.66666666431</c:v>
                </c:pt>
                <c:pt idx="165">
                  <c:v>1994.7499999976701</c:v>
                </c:pt>
                <c:pt idx="166">
                  <c:v>1994.83333333103</c:v>
                </c:pt>
                <c:pt idx="167">
                  <c:v>1994.91666666439</c:v>
                </c:pt>
                <c:pt idx="168">
                  <c:v>1994.9999999977499</c:v>
                </c:pt>
                <c:pt idx="169">
                  <c:v>1995.08333333111</c:v>
                </c:pt>
                <c:pt idx="170">
                  <c:v>1995.1666666644701</c:v>
                </c:pt>
                <c:pt idx="171">
                  <c:v>1995.2499999978299</c:v>
                </c:pt>
                <c:pt idx="172">
                  <c:v>1995.33333333119</c:v>
                </c:pt>
                <c:pt idx="173">
                  <c:v>1995.4166666645499</c:v>
                </c:pt>
                <c:pt idx="174">
                  <c:v>1995.49999999791</c:v>
                </c:pt>
                <c:pt idx="175">
                  <c:v>1995.5833333312701</c:v>
                </c:pt>
                <c:pt idx="176">
                  <c:v>1995.6666666646299</c:v>
                </c:pt>
                <c:pt idx="177">
                  <c:v>1995.74999999799</c:v>
                </c:pt>
                <c:pt idx="178">
                  <c:v>1995.8333333313501</c:v>
                </c:pt>
                <c:pt idx="179">
                  <c:v>1995.91666666471</c:v>
                </c:pt>
                <c:pt idx="180">
                  <c:v>1995.9999999980701</c:v>
                </c:pt>
                <c:pt idx="181">
                  <c:v>1996.0833333314299</c:v>
                </c:pt>
                <c:pt idx="182">
                  <c:v>1996.16666666479</c:v>
                </c:pt>
                <c:pt idx="183">
                  <c:v>1996.2499999981501</c:v>
                </c:pt>
                <c:pt idx="184">
                  <c:v>1996.3333333315099</c:v>
                </c:pt>
                <c:pt idx="185">
                  <c:v>1996.41666666487</c:v>
                </c:pt>
                <c:pt idx="186">
                  <c:v>1996.4999999982299</c:v>
                </c:pt>
                <c:pt idx="187">
                  <c:v>1996.58333333159</c:v>
                </c:pt>
                <c:pt idx="188">
                  <c:v>1996.6666666649501</c:v>
                </c:pt>
                <c:pt idx="189">
                  <c:v>1996.7499999983099</c:v>
                </c:pt>
                <c:pt idx="190">
                  <c:v>1996.83333333167</c:v>
                </c:pt>
                <c:pt idx="191">
                  <c:v>1996.9166666650301</c:v>
                </c:pt>
                <c:pt idx="192">
                  <c:v>1996.99999999839</c:v>
                </c:pt>
                <c:pt idx="193">
                  <c:v>1997.0833333317501</c:v>
                </c:pt>
                <c:pt idx="194">
                  <c:v>1997.1666666651099</c:v>
                </c:pt>
                <c:pt idx="195">
                  <c:v>1997.24999999848</c:v>
                </c:pt>
                <c:pt idx="196">
                  <c:v>1997.3333333318401</c:v>
                </c:pt>
                <c:pt idx="197">
                  <c:v>1997.4166666652</c:v>
                </c:pt>
                <c:pt idx="198">
                  <c:v>1997.49999999856</c:v>
                </c:pt>
                <c:pt idx="199">
                  <c:v>1997.5833333319199</c:v>
                </c:pt>
                <c:pt idx="200">
                  <c:v>1997.66666666528</c:v>
                </c:pt>
                <c:pt idx="201">
                  <c:v>1997.7499999986401</c:v>
                </c:pt>
                <c:pt idx="202">
                  <c:v>1997.8333333319999</c:v>
                </c:pt>
                <c:pt idx="203">
                  <c:v>1997.91666666536</c:v>
                </c:pt>
                <c:pt idx="204">
                  <c:v>1997.9999999987201</c:v>
                </c:pt>
                <c:pt idx="205">
                  <c:v>1998.08333333208</c:v>
                </c:pt>
                <c:pt idx="206">
                  <c:v>1998.1666666654401</c:v>
                </c:pt>
                <c:pt idx="207">
                  <c:v>1998.2499999987999</c:v>
                </c:pt>
                <c:pt idx="208">
                  <c:v>1998.33333333216</c:v>
                </c:pt>
                <c:pt idx="209">
                  <c:v>1998.4166666655201</c:v>
                </c:pt>
                <c:pt idx="210">
                  <c:v>1998.49999999888</c:v>
                </c:pt>
                <c:pt idx="211">
                  <c:v>1998.58333333224</c:v>
                </c:pt>
                <c:pt idx="212">
                  <c:v>1998.6666666655999</c:v>
                </c:pt>
                <c:pt idx="213">
                  <c:v>1998.74999999896</c:v>
                </c:pt>
                <c:pt idx="214">
                  <c:v>1998.8333333323201</c:v>
                </c:pt>
                <c:pt idx="215">
                  <c:v>1998.9166666656799</c:v>
                </c:pt>
                <c:pt idx="216">
                  <c:v>1998.99999999904</c:v>
                </c:pt>
                <c:pt idx="217">
                  <c:v>1999.0833333323999</c:v>
                </c:pt>
                <c:pt idx="218">
                  <c:v>1999.16666666576</c:v>
                </c:pt>
                <c:pt idx="219">
                  <c:v>1999.2499999991201</c:v>
                </c:pt>
                <c:pt idx="220">
                  <c:v>1999.3333333324799</c:v>
                </c:pt>
                <c:pt idx="221">
                  <c:v>1999.41666666584</c:v>
                </c:pt>
                <c:pt idx="222">
                  <c:v>1999.4999999992001</c:v>
                </c:pt>
                <c:pt idx="223">
                  <c:v>1999.58333333256</c:v>
                </c:pt>
                <c:pt idx="224">
                  <c:v>1999.66666666592</c:v>
                </c:pt>
                <c:pt idx="225">
                  <c:v>1999.7499999992799</c:v>
                </c:pt>
                <c:pt idx="226">
                  <c:v>1999.83333333264</c:v>
                </c:pt>
                <c:pt idx="227">
                  <c:v>1999.9166666660001</c:v>
                </c:pt>
                <c:pt idx="228">
                  <c:v>2000</c:v>
                </c:pt>
                <c:pt idx="229">
                  <c:v>2000.0833333333101</c:v>
                </c:pt>
                <c:pt idx="230">
                  <c:v>2000.1666666666399</c:v>
                </c:pt>
                <c:pt idx="231">
                  <c:v>2000.24999999997</c:v>
                </c:pt>
                <c:pt idx="232">
                  <c:v>2000.3333333333101</c:v>
                </c:pt>
                <c:pt idx="233">
                  <c:v>2000.4166666666399</c:v>
                </c:pt>
                <c:pt idx="234">
                  <c:v>2000.49999999997</c:v>
                </c:pt>
                <c:pt idx="235">
                  <c:v>2000.5833333333101</c:v>
                </c:pt>
                <c:pt idx="236">
                  <c:v>2000.6666666666399</c:v>
                </c:pt>
                <c:pt idx="237">
                  <c:v>2000.74999999997</c:v>
                </c:pt>
                <c:pt idx="238">
                  <c:v>2000.8333333333101</c:v>
                </c:pt>
                <c:pt idx="239">
                  <c:v>2000.9166666666399</c:v>
                </c:pt>
                <c:pt idx="240">
                  <c:v>2001</c:v>
                </c:pt>
                <c:pt idx="241">
                  <c:v>2001.0833333333101</c:v>
                </c:pt>
                <c:pt idx="242">
                  <c:v>2001.1666666666399</c:v>
                </c:pt>
                <c:pt idx="243">
                  <c:v>2001.24999999997</c:v>
                </c:pt>
                <c:pt idx="244">
                  <c:v>2001.3333333333101</c:v>
                </c:pt>
                <c:pt idx="245">
                  <c:v>2001.4166666666399</c:v>
                </c:pt>
                <c:pt idx="246">
                  <c:v>2001.49999999998</c:v>
                </c:pt>
                <c:pt idx="247">
                  <c:v>2001.5833333333101</c:v>
                </c:pt>
                <c:pt idx="248">
                  <c:v>2001.6666666666399</c:v>
                </c:pt>
                <c:pt idx="249">
                  <c:v>2001.74999999998</c:v>
                </c:pt>
                <c:pt idx="250">
                  <c:v>2001.8333333333101</c:v>
                </c:pt>
                <c:pt idx="251">
                  <c:v>2001.9166666666399</c:v>
                </c:pt>
                <c:pt idx="252">
                  <c:v>2002</c:v>
                </c:pt>
                <c:pt idx="253">
                  <c:v>2002.0833333333101</c:v>
                </c:pt>
                <c:pt idx="254">
                  <c:v>2002.1666666666399</c:v>
                </c:pt>
                <c:pt idx="255">
                  <c:v>2002.24999999998</c:v>
                </c:pt>
                <c:pt idx="256">
                  <c:v>2002.3333333333101</c:v>
                </c:pt>
                <c:pt idx="257">
                  <c:v>2002.4166666666399</c:v>
                </c:pt>
                <c:pt idx="258">
                  <c:v>2002.49999999998</c:v>
                </c:pt>
                <c:pt idx="259">
                  <c:v>2002.5833333333101</c:v>
                </c:pt>
                <c:pt idx="260">
                  <c:v>2002.6666666666399</c:v>
                </c:pt>
                <c:pt idx="261">
                  <c:v>2002.74999999998</c:v>
                </c:pt>
                <c:pt idx="262">
                  <c:v>2002.8333333333101</c:v>
                </c:pt>
                <c:pt idx="263">
                  <c:v>2002.9166666666399</c:v>
                </c:pt>
                <c:pt idx="264">
                  <c:v>2003</c:v>
                </c:pt>
                <c:pt idx="265">
                  <c:v>2003.0833333333101</c:v>
                </c:pt>
                <c:pt idx="266">
                  <c:v>2003.1666666666499</c:v>
                </c:pt>
                <c:pt idx="267">
                  <c:v>2003.24999999998</c:v>
                </c:pt>
                <c:pt idx="268">
                  <c:v>2003.3333333333101</c:v>
                </c:pt>
                <c:pt idx="269">
                  <c:v>2003.4166666666499</c:v>
                </c:pt>
                <c:pt idx="270">
                  <c:v>2003.49999999998</c:v>
                </c:pt>
                <c:pt idx="271">
                  <c:v>2003.5833333333101</c:v>
                </c:pt>
                <c:pt idx="272">
                  <c:v>2003.6666666666499</c:v>
                </c:pt>
                <c:pt idx="273">
                  <c:v>2003.74999999998</c:v>
                </c:pt>
                <c:pt idx="274">
                  <c:v>2003.8333333333101</c:v>
                </c:pt>
                <c:pt idx="275">
                  <c:v>2003.9166666666499</c:v>
                </c:pt>
                <c:pt idx="276">
                  <c:v>2004</c:v>
                </c:pt>
                <c:pt idx="277">
                  <c:v>2004.0833333333101</c:v>
                </c:pt>
                <c:pt idx="278">
                  <c:v>2004.1666666666499</c:v>
                </c:pt>
                <c:pt idx="279">
                  <c:v>2004.24999999998</c:v>
                </c:pt>
                <c:pt idx="280">
                  <c:v>2004.3333333333101</c:v>
                </c:pt>
                <c:pt idx="281">
                  <c:v>2004.4166666666499</c:v>
                </c:pt>
                <c:pt idx="282">
                  <c:v>2004.49999999998</c:v>
                </c:pt>
                <c:pt idx="283">
                  <c:v>2004.5833333333101</c:v>
                </c:pt>
                <c:pt idx="284">
                  <c:v>2004.6666666666499</c:v>
                </c:pt>
                <c:pt idx="285">
                  <c:v>2004.74999999998</c:v>
                </c:pt>
                <c:pt idx="286">
                  <c:v>2004.8333333333101</c:v>
                </c:pt>
                <c:pt idx="287">
                  <c:v>2004.9166666666499</c:v>
                </c:pt>
                <c:pt idx="288">
                  <c:v>2005</c:v>
                </c:pt>
                <c:pt idx="289">
                  <c:v>2005.0833333333201</c:v>
                </c:pt>
                <c:pt idx="290">
                  <c:v>2005.1666666666499</c:v>
                </c:pt>
                <c:pt idx="291">
                  <c:v>2005.24999999998</c:v>
                </c:pt>
                <c:pt idx="292">
                  <c:v>2005.3333333333201</c:v>
                </c:pt>
                <c:pt idx="293">
                  <c:v>2005.4166666666499</c:v>
                </c:pt>
                <c:pt idx="294">
                  <c:v>2005.49999999998</c:v>
                </c:pt>
                <c:pt idx="295">
                  <c:v>2005.5833333333201</c:v>
                </c:pt>
                <c:pt idx="296">
                  <c:v>2005.6666666666499</c:v>
                </c:pt>
                <c:pt idx="297">
                  <c:v>2005.74999999998</c:v>
                </c:pt>
                <c:pt idx="298">
                  <c:v>2005.8333333333201</c:v>
                </c:pt>
                <c:pt idx="299">
                  <c:v>2005.9166666666499</c:v>
                </c:pt>
                <c:pt idx="300">
                  <c:v>2006</c:v>
                </c:pt>
                <c:pt idx="301">
                  <c:v>2006.0833333333201</c:v>
                </c:pt>
                <c:pt idx="302">
                  <c:v>2006.1666666666499</c:v>
                </c:pt>
                <c:pt idx="303">
                  <c:v>2006.24999999998</c:v>
                </c:pt>
                <c:pt idx="304">
                  <c:v>2006.3333333333201</c:v>
                </c:pt>
                <c:pt idx="305">
                  <c:v>2006.4166666666499</c:v>
                </c:pt>
                <c:pt idx="306">
                  <c:v>2006.49999999998</c:v>
                </c:pt>
                <c:pt idx="307">
                  <c:v>2006.5833333333201</c:v>
                </c:pt>
                <c:pt idx="308">
                  <c:v>2006.6666666666499</c:v>
                </c:pt>
                <c:pt idx="309">
                  <c:v>2006.74999999998</c:v>
                </c:pt>
                <c:pt idx="310">
                  <c:v>2006.8333333333201</c:v>
                </c:pt>
                <c:pt idx="311">
                  <c:v>2006.9166666666499</c:v>
                </c:pt>
                <c:pt idx="312">
                  <c:v>2007</c:v>
                </c:pt>
                <c:pt idx="313">
                  <c:v>2007.0833333333201</c:v>
                </c:pt>
                <c:pt idx="314">
                  <c:v>2007.1666666666499</c:v>
                </c:pt>
                <c:pt idx="315">
                  <c:v>2007.24999999999</c:v>
                </c:pt>
                <c:pt idx="316">
                  <c:v>2007.3333333333201</c:v>
                </c:pt>
                <c:pt idx="317">
                  <c:v>2007.4166666666499</c:v>
                </c:pt>
                <c:pt idx="318">
                  <c:v>2007.49999999999</c:v>
                </c:pt>
                <c:pt idx="319">
                  <c:v>2007.5833333333201</c:v>
                </c:pt>
                <c:pt idx="320">
                  <c:v>2007.6666666666499</c:v>
                </c:pt>
                <c:pt idx="321">
                  <c:v>2007.74999999999</c:v>
                </c:pt>
                <c:pt idx="322">
                  <c:v>2007.8333333333201</c:v>
                </c:pt>
                <c:pt idx="323">
                  <c:v>2007.9166666666499</c:v>
                </c:pt>
                <c:pt idx="324">
                  <c:v>2008</c:v>
                </c:pt>
                <c:pt idx="325">
                  <c:v>2008.0833333333201</c:v>
                </c:pt>
                <c:pt idx="326">
                  <c:v>2008.1666666666499</c:v>
                </c:pt>
                <c:pt idx="327">
                  <c:v>2008.24999999999</c:v>
                </c:pt>
                <c:pt idx="328">
                  <c:v>2008.3333333333201</c:v>
                </c:pt>
                <c:pt idx="329">
                  <c:v>2008.4166666666499</c:v>
                </c:pt>
                <c:pt idx="330">
                  <c:v>2008.49999999999</c:v>
                </c:pt>
                <c:pt idx="331">
                  <c:v>2008.5833333333201</c:v>
                </c:pt>
                <c:pt idx="332">
                  <c:v>2008.6666666666599</c:v>
                </c:pt>
                <c:pt idx="333">
                  <c:v>2008.74999999999</c:v>
                </c:pt>
                <c:pt idx="334">
                  <c:v>2008.8333333333201</c:v>
                </c:pt>
                <c:pt idx="335">
                  <c:v>2008.9166666666599</c:v>
                </c:pt>
                <c:pt idx="336">
                  <c:v>2009</c:v>
                </c:pt>
                <c:pt idx="337">
                  <c:v>2009.0833333333201</c:v>
                </c:pt>
                <c:pt idx="338">
                  <c:v>2009.1666666666599</c:v>
                </c:pt>
                <c:pt idx="339">
                  <c:v>2009.24999999999</c:v>
                </c:pt>
                <c:pt idx="340">
                  <c:v>2009.3333333333201</c:v>
                </c:pt>
                <c:pt idx="341">
                  <c:v>2009.4166666666599</c:v>
                </c:pt>
                <c:pt idx="342">
                  <c:v>2009.49999999999</c:v>
                </c:pt>
                <c:pt idx="343">
                  <c:v>2009.5833333333201</c:v>
                </c:pt>
                <c:pt idx="344">
                  <c:v>2009.6666666666599</c:v>
                </c:pt>
                <c:pt idx="345">
                  <c:v>2009.74999999999</c:v>
                </c:pt>
                <c:pt idx="346">
                  <c:v>2009.8333333333201</c:v>
                </c:pt>
                <c:pt idx="347">
                  <c:v>2009.9166666666599</c:v>
                </c:pt>
                <c:pt idx="348">
                  <c:v>2010</c:v>
                </c:pt>
                <c:pt idx="349">
                  <c:v>2010.0833333333201</c:v>
                </c:pt>
                <c:pt idx="350">
                  <c:v>2010.1666666666599</c:v>
                </c:pt>
                <c:pt idx="351">
                  <c:v>2010.24999999999</c:v>
                </c:pt>
                <c:pt idx="352">
                  <c:v>2010.3333333333201</c:v>
                </c:pt>
                <c:pt idx="353">
                  <c:v>2010.4166666666599</c:v>
                </c:pt>
                <c:pt idx="354">
                  <c:v>2010.49999999999</c:v>
                </c:pt>
                <c:pt idx="355">
                  <c:v>2010.5833333333301</c:v>
                </c:pt>
                <c:pt idx="356">
                  <c:v>2010.6666666666599</c:v>
                </c:pt>
                <c:pt idx="357">
                  <c:v>2010.74999999999</c:v>
                </c:pt>
                <c:pt idx="358">
                  <c:v>2010.8333333333301</c:v>
                </c:pt>
                <c:pt idx="359">
                  <c:v>2010.9166666666599</c:v>
                </c:pt>
                <c:pt idx="360">
                  <c:v>2011</c:v>
                </c:pt>
                <c:pt idx="361">
                  <c:v>2011.0833333333301</c:v>
                </c:pt>
                <c:pt idx="362">
                  <c:v>2011.1666666666599</c:v>
                </c:pt>
                <c:pt idx="363">
                  <c:v>2011.24999999999</c:v>
                </c:pt>
                <c:pt idx="364">
                  <c:v>2011.3333333333301</c:v>
                </c:pt>
                <c:pt idx="365">
                  <c:v>2011.4166666666599</c:v>
                </c:pt>
                <c:pt idx="366">
                  <c:v>2011.49999999999</c:v>
                </c:pt>
                <c:pt idx="367">
                  <c:v>2011.5833333333301</c:v>
                </c:pt>
                <c:pt idx="368">
                  <c:v>2011.6666666666599</c:v>
                </c:pt>
                <c:pt idx="369">
                  <c:v>2011.74999999999</c:v>
                </c:pt>
                <c:pt idx="370">
                  <c:v>2011.8333333333301</c:v>
                </c:pt>
                <c:pt idx="371">
                  <c:v>2011.9166666666599</c:v>
                </c:pt>
                <c:pt idx="372">
                  <c:v>2012</c:v>
                </c:pt>
                <c:pt idx="373">
                  <c:v>2012.0833333333301</c:v>
                </c:pt>
                <c:pt idx="374">
                  <c:v>2012.1666666666599</c:v>
                </c:pt>
                <c:pt idx="375">
                  <c:v>2012.24999999999</c:v>
                </c:pt>
                <c:pt idx="376">
                  <c:v>2012.3333333333301</c:v>
                </c:pt>
                <c:pt idx="377">
                  <c:v>2012.4166666666599</c:v>
                </c:pt>
                <c:pt idx="378">
                  <c:v>2012.5</c:v>
                </c:pt>
                <c:pt idx="379">
                  <c:v>2012.5833333333301</c:v>
                </c:pt>
                <c:pt idx="380">
                  <c:v>2012.6666666666599</c:v>
                </c:pt>
                <c:pt idx="381">
                  <c:v>2012.75</c:v>
                </c:pt>
                <c:pt idx="382">
                  <c:v>2012.8333333333301</c:v>
                </c:pt>
                <c:pt idx="383">
                  <c:v>2012.9166666666599</c:v>
                </c:pt>
                <c:pt idx="384">
                  <c:v>2013</c:v>
                </c:pt>
                <c:pt idx="385">
                  <c:v>2013.0833333333301</c:v>
                </c:pt>
                <c:pt idx="386">
                  <c:v>2013.1666666666599</c:v>
                </c:pt>
                <c:pt idx="387">
                  <c:v>2013.25</c:v>
                </c:pt>
                <c:pt idx="388">
                  <c:v>2013.3333333333301</c:v>
                </c:pt>
                <c:pt idx="389">
                  <c:v>2013.4166666666599</c:v>
                </c:pt>
                <c:pt idx="390">
                  <c:v>2013.5</c:v>
                </c:pt>
                <c:pt idx="391">
                  <c:v>2013.5833333333301</c:v>
                </c:pt>
                <c:pt idx="392">
                  <c:v>2013.6666666666599</c:v>
                </c:pt>
                <c:pt idx="393">
                  <c:v>2013.75</c:v>
                </c:pt>
                <c:pt idx="394">
                  <c:v>2013.8333333333301</c:v>
                </c:pt>
                <c:pt idx="395">
                  <c:v>2013.9166666666599</c:v>
                </c:pt>
                <c:pt idx="396">
                  <c:v>2014</c:v>
                </c:pt>
                <c:pt idx="397">
                  <c:v>2014.0833333333333</c:v>
                </c:pt>
                <c:pt idx="398">
                  <c:v>2014.1666666666665</c:v>
                </c:pt>
                <c:pt idx="399">
                  <c:v>2014.25</c:v>
                </c:pt>
                <c:pt idx="400">
                  <c:v>2014.3333333333333</c:v>
                </c:pt>
                <c:pt idx="401">
                  <c:v>2014.4166666666665</c:v>
                </c:pt>
                <c:pt idx="402">
                  <c:v>2014.5</c:v>
                </c:pt>
                <c:pt idx="403">
                  <c:v>2014.5833333333333</c:v>
                </c:pt>
                <c:pt idx="404">
                  <c:v>2014.6666666666665</c:v>
                </c:pt>
                <c:pt idx="405">
                  <c:v>2014.75</c:v>
                </c:pt>
                <c:pt idx="406">
                  <c:v>2014.8333333333333</c:v>
                </c:pt>
                <c:pt idx="407">
                  <c:v>2014.9166666666665</c:v>
                </c:pt>
                <c:pt idx="408">
                  <c:v>2015</c:v>
                </c:pt>
                <c:pt idx="409">
                  <c:v>2015.0833333333333</c:v>
                </c:pt>
                <c:pt idx="410">
                  <c:v>2015.1666666666665</c:v>
                </c:pt>
                <c:pt idx="411">
                  <c:v>2015.25</c:v>
                </c:pt>
                <c:pt idx="412">
                  <c:v>2015.3333333333333</c:v>
                </c:pt>
                <c:pt idx="413">
                  <c:v>2015.4166666666665</c:v>
                </c:pt>
                <c:pt idx="414">
                  <c:v>2015.5</c:v>
                </c:pt>
                <c:pt idx="415">
                  <c:v>2015.5833333333333</c:v>
                </c:pt>
                <c:pt idx="416">
                  <c:v>2015.6666666666665</c:v>
                </c:pt>
                <c:pt idx="417">
                  <c:v>2015.75</c:v>
                </c:pt>
                <c:pt idx="418">
                  <c:v>2015.8333333333333</c:v>
                </c:pt>
                <c:pt idx="419">
                  <c:v>2015.9166666666665</c:v>
                </c:pt>
              </c:numCache>
            </c:numRef>
          </c:xVal>
          <c:yVal>
            <c:numRef>
              <c:f>Caudal!$C$11:$C$430</c:f>
              <c:numCache>
                <c:formatCode>General</c:formatCode>
                <c:ptCount val="420"/>
                <c:pt idx="0">
                  <c:v>204.2</c:v>
                </c:pt>
                <c:pt idx="1">
                  <c:v>88.46</c:v>
                </c:pt>
                <c:pt idx="2">
                  <c:v>97.09</c:v>
                </c:pt>
                <c:pt idx="3">
                  <c:v>106</c:v>
                </c:pt>
                <c:pt idx="4">
                  <c:v>219.4</c:v>
                </c:pt>
                <c:pt idx="5">
                  <c:v>351.2</c:v>
                </c:pt>
                <c:pt idx="6">
                  <c:v>385.8</c:v>
                </c:pt>
                <c:pt idx="7">
                  <c:v>346.6</c:v>
                </c:pt>
                <c:pt idx="8">
                  <c:v>310</c:v>
                </c:pt>
                <c:pt idx="9">
                  <c:v>303.7</c:v>
                </c:pt>
                <c:pt idx="10">
                  <c:v>320.60000000000002</c:v>
                </c:pt>
                <c:pt idx="11">
                  <c:v>341.9</c:v>
                </c:pt>
                <c:pt idx="12">
                  <c:v>297.8</c:v>
                </c:pt>
                <c:pt idx="13">
                  <c:v>188.5</c:v>
                </c:pt>
                <c:pt idx="14">
                  <c:v>120.9</c:v>
                </c:pt>
                <c:pt idx="15">
                  <c:v>149.6</c:v>
                </c:pt>
                <c:pt idx="16">
                  <c:v>242.5</c:v>
                </c:pt>
                <c:pt idx="17">
                  <c:v>352.6</c:v>
                </c:pt>
                <c:pt idx="18">
                  <c:v>348.8</c:v>
                </c:pt>
                <c:pt idx="19">
                  <c:v>220.8</c:v>
                </c:pt>
                <c:pt idx="20">
                  <c:v>170.1</c:v>
                </c:pt>
                <c:pt idx="21">
                  <c:v>221</c:v>
                </c:pt>
                <c:pt idx="22">
                  <c:v>299.5</c:v>
                </c:pt>
                <c:pt idx="23">
                  <c:v>264.39999999999998</c:v>
                </c:pt>
                <c:pt idx="24">
                  <c:v>84.92</c:v>
                </c:pt>
                <c:pt idx="25">
                  <c:v>40.630000000000003</c:v>
                </c:pt>
                <c:pt idx="26">
                  <c:v>39.31</c:v>
                </c:pt>
                <c:pt idx="27">
                  <c:v>62.67</c:v>
                </c:pt>
                <c:pt idx="28">
                  <c:v>81.27</c:v>
                </c:pt>
                <c:pt idx="29">
                  <c:v>104.4</c:v>
                </c:pt>
                <c:pt idx="30">
                  <c:v>141.80000000000001</c:v>
                </c:pt>
                <c:pt idx="31">
                  <c:v>209.2</c:v>
                </c:pt>
                <c:pt idx="32">
                  <c:v>224.2</c:v>
                </c:pt>
                <c:pt idx="33">
                  <c:v>272.2</c:v>
                </c:pt>
                <c:pt idx="34">
                  <c:v>313.10000000000002</c:v>
                </c:pt>
                <c:pt idx="35">
                  <c:v>310.5</c:v>
                </c:pt>
                <c:pt idx="36">
                  <c:v>347.1</c:v>
                </c:pt>
                <c:pt idx="37">
                  <c:v>223.7</c:v>
                </c:pt>
                <c:pt idx="38">
                  <c:v>173.2</c:v>
                </c:pt>
                <c:pt idx="39">
                  <c:v>131.1</c:v>
                </c:pt>
                <c:pt idx="40">
                  <c:v>219.3</c:v>
                </c:pt>
                <c:pt idx="41">
                  <c:v>321.7</c:v>
                </c:pt>
                <c:pt idx="42">
                  <c:v>390.4</c:v>
                </c:pt>
                <c:pt idx="43">
                  <c:v>438.9</c:v>
                </c:pt>
                <c:pt idx="44">
                  <c:v>426.4</c:v>
                </c:pt>
                <c:pt idx="45">
                  <c:v>474.2</c:v>
                </c:pt>
                <c:pt idx="46">
                  <c:v>576</c:v>
                </c:pt>
                <c:pt idx="47">
                  <c:v>629</c:v>
                </c:pt>
                <c:pt idx="48">
                  <c:v>435.8</c:v>
                </c:pt>
                <c:pt idx="49">
                  <c:v>227.1</c:v>
                </c:pt>
                <c:pt idx="50">
                  <c:v>142.1</c:v>
                </c:pt>
                <c:pt idx="51">
                  <c:v>165.8</c:v>
                </c:pt>
                <c:pt idx="52">
                  <c:v>227.4</c:v>
                </c:pt>
                <c:pt idx="53">
                  <c:v>280.2</c:v>
                </c:pt>
                <c:pt idx="54">
                  <c:v>214.8</c:v>
                </c:pt>
                <c:pt idx="55">
                  <c:v>265.8</c:v>
                </c:pt>
                <c:pt idx="56">
                  <c:v>345.3</c:v>
                </c:pt>
                <c:pt idx="57">
                  <c:v>406.3</c:v>
                </c:pt>
                <c:pt idx="58">
                  <c:v>459.5</c:v>
                </c:pt>
                <c:pt idx="59">
                  <c:v>478.3</c:v>
                </c:pt>
                <c:pt idx="60">
                  <c:v>307.5</c:v>
                </c:pt>
                <c:pt idx="61">
                  <c:v>181.2</c:v>
                </c:pt>
                <c:pt idx="62">
                  <c:v>192.4</c:v>
                </c:pt>
                <c:pt idx="63">
                  <c:v>233.3</c:v>
                </c:pt>
                <c:pt idx="64">
                  <c:v>326.8</c:v>
                </c:pt>
                <c:pt idx="65">
                  <c:v>386.4</c:v>
                </c:pt>
                <c:pt idx="66">
                  <c:v>389.3</c:v>
                </c:pt>
                <c:pt idx="67">
                  <c:v>270.3</c:v>
                </c:pt>
                <c:pt idx="68">
                  <c:v>245.5</c:v>
                </c:pt>
                <c:pt idx="69">
                  <c:v>337.8</c:v>
                </c:pt>
                <c:pt idx="70">
                  <c:v>460.5</c:v>
                </c:pt>
                <c:pt idx="71">
                  <c:v>476.3</c:v>
                </c:pt>
                <c:pt idx="72">
                  <c:v>254.4</c:v>
                </c:pt>
                <c:pt idx="73">
                  <c:v>105.7</c:v>
                </c:pt>
                <c:pt idx="74">
                  <c:v>79</c:v>
                </c:pt>
                <c:pt idx="75">
                  <c:v>118.8</c:v>
                </c:pt>
                <c:pt idx="76">
                  <c:v>247.8</c:v>
                </c:pt>
                <c:pt idx="77">
                  <c:v>321.3</c:v>
                </c:pt>
                <c:pt idx="78">
                  <c:v>279.7</c:v>
                </c:pt>
                <c:pt idx="79">
                  <c:v>350.9</c:v>
                </c:pt>
                <c:pt idx="80">
                  <c:v>385.4</c:v>
                </c:pt>
                <c:pt idx="81">
                  <c:v>456.9</c:v>
                </c:pt>
                <c:pt idx="82">
                  <c:v>547.29999999999995</c:v>
                </c:pt>
                <c:pt idx="83">
                  <c:v>603.29999999999995</c:v>
                </c:pt>
                <c:pt idx="84">
                  <c:v>438.4</c:v>
                </c:pt>
                <c:pt idx="85">
                  <c:v>192.3</c:v>
                </c:pt>
                <c:pt idx="86">
                  <c:v>123.6</c:v>
                </c:pt>
                <c:pt idx="87">
                  <c:v>175</c:v>
                </c:pt>
                <c:pt idx="88">
                  <c:v>286.3</c:v>
                </c:pt>
                <c:pt idx="89">
                  <c:v>347</c:v>
                </c:pt>
                <c:pt idx="90">
                  <c:v>473.6</c:v>
                </c:pt>
                <c:pt idx="91">
                  <c:v>555.29999999999995</c:v>
                </c:pt>
                <c:pt idx="92">
                  <c:v>623.9</c:v>
                </c:pt>
                <c:pt idx="93">
                  <c:v>683.7</c:v>
                </c:pt>
                <c:pt idx="94">
                  <c:v>677.1</c:v>
                </c:pt>
                <c:pt idx="95">
                  <c:v>670</c:v>
                </c:pt>
                <c:pt idx="96">
                  <c:v>546.9</c:v>
                </c:pt>
                <c:pt idx="97">
                  <c:v>374</c:v>
                </c:pt>
                <c:pt idx="98">
                  <c:v>254.9</c:v>
                </c:pt>
                <c:pt idx="99">
                  <c:v>219.7</c:v>
                </c:pt>
                <c:pt idx="100">
                  <c:v>237.3</c:v>
                </c:pt>
                <c:pt idx="101">
                  <c:v>313</c:v>
                </c:pt>
                <c:pt idx="102">
                  <c:v>318.2</c:v>
                </c:pt>
                <c:pt idx="103">
                  <c:v>305.7</c:v>
                </c:pt>
                <c:pt idx="104">
                  <c:v>356.6</c:v>
                </c:pt>
                <c:pt idx="105">
                  <c:v>453.6</c:v>
                </c:pt>
                <c:pt idx="106">
                  <c:v>529.4</c:v>
                </c:pt>
                <c:pt idx="107">
                  <c:v>522.4</c:v>
                </c:pt>
                <c:pt idx="108">
                  <c:v>330.1</c:v>
                </c:pt>
                <c:pt idx="109">
                  <c:v>208.9</c:v>
                </c:pt>
                <c:pt idx="110">
                  <c:v>184.1</c:v>
                </c:pt>
                <c:pt idx="111">
                  <c:v>204.3</c:v>
                </c:pt>
                <c:pt idx="112">
                  <c:v>306.89999999999998</c:v>
                </c:pt>
                <c:pt idx="113">
                  <c:v>335.2</c:v>
                </c:pt>
                <c:pt idx="114">
                  <c:v>325.10000000000002</c:v>
                </c:pt>
                <c:pt idx="115">
                  <c:v>294.8</c:v>
                </c:pt>
                <c:pt idx="116">
                  <c:v>304.10000000000002</c:v>
                </c:pt>
                <c:pt idx="117">
                  <c:v>365.6</c:v>
                </c:pt>
                <c:pt idx="118">
                  <c:v>455.1</c:v>
                </c:pt>
                <c:pt idx="119">
                  <c:v>479.1</c:v>
                </c:pt>
                <c:pt idx="120">
                  <c:v>282.3</c:v>
                </c:pt>
                <c:pt idx="121">
                  <c:v>157.6</c:v>
                </c:pt>
                <c:pt idx="122">
                  <c:v>157.69999999999999</c:v>
                </c:pt>
                <c:pt idx="123">
                  <c:v>171.9</c:v>
                </c:pt>
                <c:pt idx="124">
                  <c:v>232.1</c:v>
                </c:pt>
                <c:pt idx="125">
                  <c:v>268.8</c:v>
                </c:pt>
                <c:pt idx="126">
                  <c:v>267.10000000000002</c:v>
                </c:pt>
                <c:pt idx="127">
                  <c:v>250.5</c:v>
                </c:pt>
                <c:pt idx="128">
                  <c:v>212.1</c:v>
                </c:pt>
                <c:pt idx="129">
                  <c:v>290.89999999999998</c:v>
                </c:pt>
                <c:pt idx="130">
                  <c:v>311.39999999999998</c:v>
                </c:pt>
                <c:pt idx="131">
                  <c:v>311.2</c:v>
                </c:pt>
                <c:pt idx="132">
                  <c:v>238.2</c:v>
                </c:pt>
                <c:pt idx="133">
                  <c:v>140.1</c:v>
                </c:pt>
                <c:pt idx="134">
                  <c:v>128.9</c:v>
                </c:pt>
                <c:pt idx="135">
                  <c:v>130.30000000000001</c:v>
                </c:pt>
                <c:pt idx="136">
                  <c:v>199.3</c:v>
                </c:pt>
                <c:pt idx="137">
                  <c:v>263.10000000000002</c:v>
                </c:pt>
                <c:pt idx="138">
                  <c:v>224.9</c:v>
                </c:pt>
                <c:pt idx="139">
                  <c:v>272.89999999999998</c:v>
                </c:pt>
                <c:pt idx="140">
                  <c:v>304.7</c:v>
                </c:pt>
                <c:pt idx="141">
                  <c:v>385</c:v>
                </c:pt>
                <c:pt idx="142">
                  <c:v>350.6</c:v>
                </c:pt>
                <c:pt idx="143">
                  <c:v>348.1</c:v>
                </c:pt>
                <c:pt idx="144">
                  <c:v>252.6</c:v>
                </c:pt>
                <c:pt idx="145">
                  <c:v>169.5</c:v>
                </c:pt>
                <c:pt idx="146">
                  <c:v>143.9</c:v>
                </c:pt>
                <c:pt idx="147">
                  <c:v>223.8</c:v>
                </c:pt>
                <c:pt idx="148">
                  <c:v>340.4</c:v>
                </c:pt>
                <c:pt idx="149">
                  <c:v>397.4</c:v>
                </c:pt>
                <c:pt idx="150">
                  <c:v>385.8</c:v>
                </c:pt>
                <c:pt idx="151">
                  <c:v>328.7</c:v>
                </c:pt>
                <c:pt idx="152">
                  <c:v>351.7</c:v>
                </c:pt>
                <c:pt idx="153">
                  <c:v>407.6</c:v>
                </c:pt>
                <c:pt idx="154">
                  <c:v>432.1</c:v>
                </c:pt>
                <c:pt idx="155">
                  <c:v>456.5</c:v>
                </c:pt>
                <c:pt idx="156">
                  <c:v>443.9</c:v>
                </c:pt>
                <c:pt idx="157">
                  <c:v>270.10000000000002</c:v>
                </c:pt>
                <c:pt idx="158">
                  <c:v>232.3</c:v>
                </c:pt>
                <c:pt idx="159">
                  <c:v>304.2</c:v>
                </c:pt>
                <c:pt idx="160">
                  <c:v>379.7</c:v>
                </c:pt>
                <c:pt idx="161">
                  <c:v>444.4</c:v>
                </c:pt>
                <c:pt idx="162">
                  <c:v>446.2</c:v>
                </c:pt>
                <c:pt idx="163">
                  <c:v>377.2</c:v>
                </c:pt>
                <c:pt idx="164">
                  <c:v>350.3</c:v>
                </c:pt>
                <c:pt idx="165">
                  <c:v>413</c:v>
                </c:pt>
                <c:pt idx="166">
                  <c:v>473.5</c:v>
                </c:pt>
                <c:pt idx="167">
                  <c:v>485.2</c:v>
                </c:pt>
                <c:pt idx="168">
                  <c:v>344.7</c:v>
                </c:pt>
                <c:pt idx="169">
                  <c:v>148.6</c:v>
                </c:pt>
                <c:pt idx="170">
                  <c:v>135.19999999999999</c:v>
                </c:pt>
                <c:pt idx="171">
                  <c:v>182.4</c:v>
                </c:pt>
                <c:pt idx="172">
                  <c:v>289.89999999999998</c:v>
                </c:pt>
                <c:pt idx="173">
                  <c:v>370.4</c:v>
                </c:pt>
                <c:pt idx="174">
                  <c:v>439.9</c:v>
                </c:pt>
                <c:pt idx="175">
                  <c:v>528.79999999999995</c:v>
                </c:pt>
                <c:pt idx="176">
                  <c:v>577.79999999999995</c:v>
                </c:pt>
                <c:pt idx="177">
                  <c:v>565.20000000000005</c:v>
                </c:pt>
                <c:pt idx="178">
                  <c:v>571.5</c:v>
                </c:pt>
                <c:pt idx="179">
                  <c:v>543.9</c:v>
                </c:pt>
                <c:pt idx="180">
                  <c:v>380.6</c:v>
                </c:pt>
                <c:pt idx="181">
                  <c:v>298.2</c:v>
                </c:pt>
                <c:pt idx="182">
                  <c:v>313.39999999999998</c:v>
                </c:pt>
                <c:pt idx="183">
                  <c:v>349.2</c:v>
                </c:pt>
                <c:pt idx="184">
                  <c:v>368.6</c:v>
                </c:pt>
                <c:pt idx="185">
                  <c:v>428.3</c:v>
                </c:pt>
                <c:pt idx="186">
                  <c:v>464.1</c:v>
                </c:pt>
                <c:pt idx="187">
                  <c:v>478.5</c:v>
                </c:pt>
                <c:pt idx="188">
                  <c:v>460.3</c:v>
                </c:pt>
                <c:pt idx="189">
                  <c:v>452.9</c:v>
                </c:pt>
                <c:pt idx="190">
                  <c:v>456.4</c:v>
                </c:pt>
                <c:pt idx="191">
                  <c:v>438.6</c:v>
                </c:pt>
                <c:pt idx="192">
                  <c:v>288.60000000000002</c:v>
                </c:pt>
                <c:pt idx="193">
                  <c:v>218.1</c:v>
                </c:pt>
                <c:pt idx="194">
                  <c:v>132.69999999999999</c:v>
                </c:pt>
                <c:pt idx="195">
                  <c:v>131.80000000000001</c:v>
                </c:pt>
                <c:pt idx="196">
                  <c:v>173.5</c:v>
                </c:pt>
                <c:pt idx="197">
                  <c:v>219.6</c:v>
                </c:pt>
                <c:pt idx="198">
                  <c:v>251.2</c:v>
                </c:pt>
                <c:pt idx="199">
                  <c:v>188.8</c:v>
                </c:pt>
                <c:pt idx="200">
                  <c:v>188.8</c:v>
                </c:pt>
                <c:pt idx="201">
                  <c:v>251</c:v>
                </c:pt>
                <c:pt idx="202">
                  <c:v>280.3</c:v>
                </c:pt>
                <c:pt idx="203">
                  <c:v>251</c:v>
                </c:pt>
                <c:pt idx="204">
                  <c:v>143.4</c:v>
                </c:pt>
                <c:pt idx="205">
                  <c:v>135.80000000000001</c:v>
                </c:pt>
                <c:pt idx="206">
                  <c:v>142.1</c:v>
                </c:pt>
                <c:pt idx="207">
                  <c:v>204.5</c:v>
                </c:pt>
                <c:pt idx="208">
                  <c:v>319</c:v>
                </c:pt>
                <c:pt idx="209">
                  <c:v>402.8</c:v>
                </c:pt>
                <c:pt idx="210">
                  <c:v>449.2</c:v>
                </c:pt>
                <c:pt idx="211">
                  <c:v>465</c:v>
                </c:pt>
                <c:pt idx="212">
                  <c:v>477.7</c:v>
                </c:pt>
                <c:pt idx="213">
                  <c:v>499.5</c:v>
                </c:pt>
                <c:pt idx="214">
                  <c:v>521.29999999999995</c:v>
                </c:pt>
                <c:pt idx="215">
                  <c:v>539.79999999999995</c:v>
                </c:pt>
                <c:pt idx="216">
                  <c:v>534.20000000000005</c:v>
                </c:pt>
                <c:pt idx="217">
                  <c:v>465.3</c:v>
                </c:pt>
                <c:pt idx="218">
                  <c:v>463.5</c:v>
                </c:pt>
                <c:pt idx="219">
                  <c:v>471.8</c:v>
                </c:pt>
                <c:pt idx="220">
                  <c:v>513.1</c:v>
                </c:pt>
                <c:pt idx="221">
                  <c:v>533.29999999999995</c:v>
                </c:pt>
                <c:pt idx="222">
                  <c:v>548.6</c:v>
                </c:pt>
                <c:pt idx="223">
                  <c:v>548.9</c:v>
                </c:pt>
                <c:pt idx="224">
                  <c:v>552.9</c:v>
                </c:pt>
                <c:pt idx="225">
                  <c:v>572.79999999999995</c:v>
                </c:pt>
                <c:pt idx="226">
                  <c:v>620.9</c:v>
                </c:pt>
                <c:pt idx="227">
                  <c:v>628.70000000000005</c:v>
                </c:pt>
                <c:pt idx="228">
                  <c:v>592</c:v>
                </c:pt>
                <c:pt idx="229">
                  <c:v>477</c:v>
                </c:pt>
                <c:pt idx="230">
                  <c:v>395.6</c:v>
                </c:pt>
                <c:pt idx="231">
                  <c:v>361.7</c:v>
                </c:pt>
                <c:pt idx="232">
                  <c:v>421</c:v>
                </c:pt>
                <c:pt idx="233">
                  <c:v>513.29999999999995</c:v>
                </c:pt>
                <c:pt idx="234">
                  <c:v>573.20000000000005</c:v>
                </c:pt>
                <c:pt idx="235">
                  <c:v>558.29999999999995</c:v>
                </c:pt>
                <c:pt idx="236">
                  <c:v>525.9</c:v>
                </c:pt>
                <c:pt idx="237">
                  <c:v>571.9</c:v>
                </c:pt>
                <c:pt idx="238">
                  <c:v>591.5</c:v>
                </c:pt>
                <c:pt idx="239">
                  <c:v>559.9</c:v>
                </c:pt>
                <c:pt idx="240">
                  <c:v>350.9</c:v>
                </c:pt>
                <c:pt idx="241">
                  <c:v>187.5</c:v>
                </c:pt>
                <c:pt idx="242">
                  <c:v>182.7</c:v>
                </c:pt>
                <c:pt idx="243">
                  <c:v>183.9</c:v>
                </c:pt>
                <c:pt idx="244">
                  <c:v>223</c:v>
                </c:pt>
                <c:pt idx="245">
                  <c:v>312</c:v>
                </c:pt>
                <c:pt idx="246">
                  <c:v>291.10000000000002</c:v>
                </c:pt>
                <c:pt idx="247">
                  <c:v>260.3</c:v>
                </c:pt>
                <c:pt idx="248">
                  <c:v>274.10000000000002</c:v>
                </c:pt>
                <c:pt idx="249">
                  <c:v>330.4</c:v>
                </c:pt>
                <c:pt idx="250">
                  <c:v>390.3</c:v>
                </c:pt>
                <c:pt idx="251">
                  <c:v>432</c:v>
                </c:pt>
                <c:pt idx="252">
                  <c:v>393.2</c:v>
                </c:pt>
                <c:pt idx="253">
                  <c:v>222.4</c:v>
                </c:pt>
                <c:pt idx="254">
                  <c:v>202.3</c:v>
                </c:pt>
                <c:pt idx="255">
                  <c:v>300.2</c:v>
                </c:pt>
                <c:pt idx="256">
                  <c:v>400.9</c:v>
                </c:pt>
                <c:pt idx="257">
                  <c:v>445</c:v>
                </c:pt>
                <c:pt idx="258">
                  <c:v>432.6</c:v>
                </c:pt>
                <c:pt idx="259">
                  <c:v>339.4</c:v>
                </c:pt>
                <c:pt idx="260">
                  <c:v>349</c:v>
                </c:pt>
                <c:pt idx="261">
                  <c:v>393.5</c:v>
                </c:pt>
                <c:pt idx="262">
                  <c:v>465.5</c:v>
                </c:pt>
                <c:pt idx="263">
                  <c:v>394.7</c:v>
                </c:pt>
                <c:pt idx="264">
                  <c:v>243.8</c:v>
                </c:pt>
                <c:pt idx="265">
                  <c:v>175.8</c:v>
                </c:pt>
                <c:pt idx="266">
                  <c:v>173</c:v>
                </c:pt>
                <c:pt idx="268">
                  <c:v>324.39999999999998</c:v>
                </c:pt>
                <c:pt idx="269">
                  <c:v>392.4</c:v>
                </c:pt>
                <c:pt idx="270">
                  <c:v>449.4</c:v>
                </c:pt>
                <c:pt idx="271">
                  <c:v>443.4</c:v>
                </c:pt>
                <c:pt idx="272">
                  <c:v>400.8</c:v>
                </c:pt>
                <c:pt idx="273">
                  <c:v>467.7</c:v>
                </c:pt>
                <c:pt idx="274">
                  <c:v>518</c:v>
                </c:pt>
                <c:pt idx="275">
                  <c:v>566.4</c:v>
                </c:pt>
                <c:pt idx="276">
                  <c:v>474.6</c:v>
                </c:pt>
                <c:pt idx="277">
                  <c:v>220.1</c:v>
                </c:pt>
                <c:pt idx="278">
                  <c:v>125.6</c:v>
                </c:pt>
                <c:pt idx="279">
                  <c:v>159.30000000000001</c:v>
                </c:pt>
                <c:pt idx="280">
                  <c:v>349.9</c:v>
                </c:pt>
                <c:pt idx="281">
                  <c:v>431.1</c:v>
                </c:pt>
                <c:pt idx="282">
                  <c:v>380</c:v>
                </c:pt>
                <c:pt idx="283">
                  <c:v>381.1</c:v>
                </c:pt>
                <c:pt idx="284">
                  <c:v>401</c:v>
                </c:pt>
                <c:pt idx="285">
                  <c:v>458.3</c:v>
                </c:pt>
                <c:pt idx="286">
                  <c:v>540.70000000000005</c:v>
                </c:pt>
                <c:pt idx="287">
                  <c:v>527.70000000000005</c:v>
                </c:pt>
                <c:pt idx="288">
                  <c:v>432.7</c:v>
                </c:pt>
                <c:pt idx="289">
                  <c:v>291.2</c:v>
                </c:pt>
                <c:pt idx="290">
                  <c:v>219.8</c:v>
                </c:pt>
                <c:pt idx="291">
                  <c:v>255.8</c:v>
                </c:pt>
                <c:pt idx="292">
                  <c:v>380.2</c:v>
                </c:pt>
                <c:pt idx="293">
                  <c:v>463.6</c:v>
                </c:pt>
                <c:pt idx="294">
                  <c:v>466.4</c:v>
                </c:pt>
                <c:pt idx="295">
                  <c:v>397.4</c:v>
                </c:pt>
                <c:pt idx="296">
                  <c:v>389.9</c:v>
                </c:pt>
                <c:pt idx="297">
                  <c:v>442.1</c:v>
                </c:pt>
                <c:pt idx="298">
                  <c:v>519.70000000000005</c:v>
                </c:pt>
                <c:pt idx="299">
                  <c:v>562.79999999999995</c:v>
                </c:pt>
                <c:pt idx="300">
                  <c:v>508.5</c:v>
                </c:pt>
                <c:pt idx="301">
                  <c:v>388.1</c:v>
                </c:pt>
                <c:pt idx="302">
                  <c:v>277.7</c:v>
                </c:pt>
                <c:pt idx="303">
                  <c:v>383.4</c:v>
                </c:pt>
                <c:pt idx="304">
                  <c:v>510.2</c:v>
                </c:pt>
                <c:pt idx="305">
                  <c:v>592.9</c:v>
                </c:pt>
                <c:pt idx="306">
                  <c:v>579.9</c:v>
                </c:pt>
                <c:pt idx="307">
                  <c:v>484.6</c:v>
                </c:pt>
                <c:pt idx="308">
                  <c:v>474.7</c:v>
                </c:pt>
                <c:pt idx="309">
                  <c:v>472.9</c:v>
                </c:pt>
                <c:pt idx="310">
                  <c:v>527.4</c:v>
                </c:pt>
                <c:pt idx="311">
                  <c:v>588.6</c:v>
                </c:pt>
                <c:pt idx="312">
                  <c:v>540.29999999999995</c:v>
                </c:pt>
                <c:pt idx="314">
                  <c:v>190.1</c:v>
                </c:pt>
                <c:pt idx="315">
                  <c:v>346.9</c:v>
                </c:pt>
                <c:pt idx="316">
                  <c:v>478.1</c:v>
                </c:pt>
                <c:pt idx="317">
                  <c:v>581.79999999999995</c:v>
                </c:pt>
                <c:pt idx="318">
                  <c:v>601.1</c:v>
                </c:pt>
                <c:pt idx="319">
                  <c:v>569.9</c:v>
                </c:pt>
                <c:pt idx="320">
                  <c:v>595.6</c:v>
                </c:pt>
                <c:pt idx="321">
                  <c:v>604.4</c:v>
                </c:pt>
                <c:pt idx="322">
                  <c:v>635.79999999999995</c:v>
                </c:pt>
                <c:pt idx="323">
                  <c:v>637.9</c:v>
                </c:pt>
                <c:pt idx="324">
                  <c:v>556.6</c:v>
                </c:pt>
                <c:pt idx="325">
                  <c:v>434.3</c:v>
                </c:pt>
                <c:pt idx="326">
                  <c:v>380.6</c:v>
                </c:pt>
                <c:pt idx="327">
                  <c:v>374.5</c:v>
                </c:pt>
                <c:pt idx="328">
                  <c:v>475.4</c:v>
                </c:pt>
                <c:pt idx="329">
                  <c:v>578.70000000000005</c:v>
                </c:pt>
                <c:pt idx="330">
                  <c:v>633.70000000000005</c:v>
                </c:pt>
                <c:pt idx="331">
                  <c:v>641</c:v>
                </c:pt>
                <c:pt idx="332">
                  <c:v>649.79999999999995</c:v>
                </c:pt>
                <c:pt idx="333">
                  <c:v>653.4</c:v>
                </c:pt>
                <c:pt idx="334">
                  <c:v>679.9</c:v>
                </c:pt>
                <c:pt idx="335">
                  <c:v>668.1</c:v>
                </c:pt>
                <c:pt idx="336">
                  <c:v>589.6</c:v>
                </c:pt>
                <c:pt idx="337">
                  <c:v>479.6</c:v>
                </c:pt>
                <c:pt idx="338">
                  <c:v>359.6</c:v>
                </c:pt>
                <c:pt idx="339">
                  <c:v>394.5</c:v>
                </c:pt>
                <c:pt idx="340">
                  <c:v>454.6</c:v>
                </c:pt>
                <c:pt idx="341">
                  <c:v>476.9</c:v>
                </c:pt>
                <c:pt idx="342">
                  <c:v>460.8</c:v>
                </c:pt>
                <c:pt idx="343">
                  <c:v>369.3</c:v>
                </c:pt>
                <c:pt idx="344">
                  <c:v>369.2</c:v>
                </c:pt>
                <c:pt idx="345">
                  <c:v>323.7</c:v>
                </c:pt>
                <c:pt idx="346">
                  <c:v>418.1</c:v>
                </c:pt>
                <c:pt idx="347">
                  <c:v>335.2</c:v>
                </c:pt>
                <c:pt idx="348">
                  <c:v>186.5</c:v>
                </c:pt>
                <c:pt idx="349">
                  <c:v>144.69999999999999</c:v>
                </c:pt>
                <c:pt idx="350">
                  <c:v>163.9</c:v>
                </c:pt>
                <c:pt idx="351">
                  <c:v>211.5</c:v>
                </c:pt>
                <c:pt idx="352">
                  <c:v>341.9</c:v>
                </c:pt>
                <c:pt idx="353">
                  <c:v>470.4</c:v>
                </c:pt>
                <c:pt idx="354">
                  <c:v>587.70000000000005</c:v>
                </c:pt>
                <c:pt idx="355">
                  <c:v>641.20000000000005</c:v>
                </c:pt>
                <c:pt idx="356">
                  <c:v>633.5</c:v>
                </c:pt>
                <c:pt idx="357">
                  <c:v>668.4</c:v>
                </c:pt>
                <c:pt idx="358">
                  <c:v>699.3</c:v>
                </c:pt>
                <c:pt idx="359">
                  <c:v>835.1</c:v>
                </c:pt>
                <c:pt idx="360">
                  <c:v>720.9</c:v>
                </c:pt>
                <c:pt idx="361">
                  <c:v>435.5</c:v>
                </c:pt>
                <c:pt idx="362">
                  <c:v>336.6</c:v>
                </c:pt>
                <c:pt idx="363">
                  <c:v>395.5</c:v>
                </c:pt>
                <c:pt idx="364">
                  <c:v>595</c:v>
                </c:pt>
                <c:pt idx="365">
                  <c:v>627.1</c:v>
                </c:pt>
                <c:pt idx="366">
                  <c:v>547.29999999999995</c:v>
                </c:pt>
                <c:pt idx="367">
                  <c:v>488.5</c:v>
                </c:pt>
                <c:pt idx="368">
                  <c:v>435.2</c:v>
                </c:pt>
                <c:pt idx="369">
                  <c:v>466.5</c:v>
                </c:pt>
                <c:pt idx="370">
                  <c:v>531.79999999999995</c:v>
                </c:pt>
                <c:pt idx="371">
                  <c:v>610.79999999999995</c:v>
                </c:pt>
                <c:pt idx="372">
                  <c:v>576.20000000000005</c:v>
                </c:pt>
                <c:pt idx="373">
                  <c:v>395.8</c:v>
                </c:pt>
                <c:pt idx="374">
                  <c:v>216.9</c:v>
                </c:pt>
                <c:pt idx="375">
                  <c:v>275.10000000000002</c:v>
                </c:pt>
                <c:pt idx="376">
                  <c:v>427.5</c:v>
                </c:pt>
                <c:pt idx="377">
                  <c:v>427.4</c:v>
                </c:pt>
                <c:pt idx="378">
                  <c:v>313.60000000000002</c:v>
                </c:pt>
                <c:pt idx="379">
                  <c:v>292.89999999999998</c:v>
                </c:pt>
                <c:pt idx="380">
                  <c:v>314.5</c:v>
                </c:pt>
                <c:pt idx="381">
                  <c:v>318.2</c:v>
                </c:pt>
                <c:pt idx="382">
                  <c:v>377.8</c:v>
                </c:pt>
                <c:pt idx="383">
                  <c:v>341.8</c:v>
                </c:pt>
                <c:pt idx="384">
                  <c:v>188.9</c:v>
                </c:pt>
                <c:pt idx="385">
                  <c:v>163.4</c:v>
                </c:pt>
                <c:pt idx="386">
                  <c:v>178</c:v>
                </c:pt>
                <c:pt idx="387">
                  <c:v>182</c:v>
                </c:pt>
                <c:pt idx="388">
                  <c:v>274</c:v>
                </c:pt>
                <c:pt idx="389">
                  <c:v>351.5</c:v>
                </c:pt>
                <c:pt idx="390">
                  <c:v>317.39999999999998</c:v>
                </c:pt>
                <c:pt idx="391">
                  <c:v>272.5</c:v>
                </c:pt>
                <c:pt idx="392">
                  <c:v>358</c:v>
                </c:pt>
                <c:pt idx="393">
                  <c:v>404.5</c:v>
                </c:pt>
                <c:pt idx="394">
                  <c:v>427.3</c:v>
                </c:pt>
                <c:pt idx="395">
                  <c:v>411.1</c:v>
                </c:pt>
                <c:pt idx="396">
                  <c:v>338.7</c:v>
                </c:pt>
                <c:pt idx="397">
                  <c:v>198.5</c:v>
                </c:pt>
                <c:pt idx="398">
                  <c:v>216.6</c:v>
                </c:pt>
                <c:pt idx="399">
                  <c:v>197.2</c:v>
                </c:pt>
                <c:pt idx="400">
                  <c:v>339.4</c:v>
                </c:pt>
                <c:pt idx="401">
                  <c:v>369.3</c:v>
                </c:pt>
                <c:pt idx="402">
                  <c:v>280.5</c:v>
                </c:pt>
                <c:pt idx="403">
                  <c:v>230.4</c:v>
                </c:pt>
                <c:pt idx="404">
                  <c:v>313.2</c:v>
                </c:pt>
                <c:pt idx="405">
                  <c:v>411.8</c:v>
                </c:pt>
                <c:pt idx="406">
                  <c:v>496.8</c:v>
                </c:pt>
                <c:pt idx="407">
                  <c:v>523.29999999999995</c:v>
                </c:pt>
                <c:pt idx="408">
                  <c:v>295.3</c:v>
                </c:pt>
                <c:pt idx="409">
                  <c:v>220.7</c:v>
                </c:pt>
                <c:pt idx="410">
                  <c:v>185.7</c:v>
                </c:pt>
                <c:pt idx="411">
                  <c:v>255.8</c:v>
                </c:pt>
                <c:pt idx="412">
                  <c:v>283.8</c:v>
                </c:pt>
                <c:pt idx="413">
                  <c:v>328.8</c:v>
                </c:pt>
                <c:pt idx="414">
                  <c:v>240.5</c:v>
                </c:pt>
                <c:pt idx="415">
                  <c:v>233.5</c:v>
                </c:pt>
                <c:pt idx="416">
                  <c:v>242.4</c:v>
                </c:pt>
                <c:pt idx="417">
                  <c:v>236.6</c:v>
                </c:pt>
                <c:pt idx="418">
                  <c:v>327.5</c:v>
                </c:pt>
                <c:pt idx="419">
                  <c:v>266.3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0C-435F-9FF3-9F0A777E9A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7610303"/>
        <c:axId val="1197605311"/>
      </c:scatterChart>
      <c:scatterChart>
        <c:scatterStyle val="lineMarker"/>
        <c:varyColors val="0"/>
        <c:ser>
          <c:idx val="0"/>
          <c:order val="1"/>
          <c:tx>
            <c:strRef>
              <c:f>Caudal!$O$10</c:f>
              <c:strCache>
                <c:ptCount val="1"/>
                <c:pt idx="0">
                  <c:v>STDA-season</c:v>
                </c:pt>
              </c:strCache>
            </c:strRef>
          </c:tx>
          <c:marker>
            <c:symbol val="none"/>
          </c:marker>
          <c:xVal>
            <c:numRef>
              <c:f>Caudal!$P$11:$P$430</c:f>
              <c:numCache>
                <c:formatCode>0.0</c:formatCode>
                <c:ptCount val="420"/>
                <c:pt idx="0">
                  <c:v>1980.99999999326</c:v>
                </c:pt>
                <c:pt idx="1">
                  <c:v>1981.08333332662</c:v>
                </c:pt>
                <c:pt idx="2">
                  <c:v>1981.1666666599799</c:v>
                </c:pt>
                <c:pt idx="3">
                  <c:v>1981.24999999334</c:v>
                </c:pt>
                <c:pt idx="4">
                  <c:v>1981.3333333267001</c:v>
                </c:pt>
                <c:pt idx="5">
                  <c:v>1981.4166666600599</c:v>
                </c:pt>
                <c:pt idx="6">
                  <c:v>1981.49999999342</c:v>
                </c:pt>
                <c:pt idx="7">
                  <c:v>1981.5833333267799</c:v>
                </c:pt>
                <c:pt idx="8">
                  <c:v>1981.66666666014</c:v>
                </c:pt>
                <c:pt idx="9">
                  <c:v>1981.7499999935001</c:v>
                </c:pt>
                <c:pt idx="10">
                  <c:v>1981.8333333268599</c:v>
                </c:pt>
                <c:pt idx="11">
                  <c:v>1981.91666666022</c:v>
                </c:pt>
                <c:pt idx="12">
                  <c:v>1981.9999999935801</c:v>
                </c:pt>
                <c:pt idx="13">
                  <c:v>1982.08333332694</c:v>
                </c:pt>
                <c:pt idx="14">
                  <c:v>1982.1666666603001</c:v>
                </c:pt>
                <c:pt idx="15">
                  <c:v>1982.2499999936599</c:v>
                </c:pt>
                <c:pt idx="16">
                  <c:v>1982.33333332702</c:v>
                </c:pt>
                <c:pt idx="17">
                  <c:v>1982.4166666603801</c:v>
                </c:pt>
                <c:pt idx="18">
                  <c:v>1982.4999999937399</c:v>
                </c:pt>
                <c:pt idx="19">
                  <c:v>1982.5833333271</c:v>
                </c:pt>
                <c:pt idx="20">
                  <c:v>1982.6666666604599</c:v>
                </c:pt>
                <c:pt idx="21">
                  <c:v>1982.74999999382</c:v>
                </c:pt>
                <c:pt idx="22">
                  <c:v>1982.8333333271801</c:v>
                </c:pt>
                <c:pt idx="23">
                  <c:v>1982.9166666605399</c:v>
                </c:pt>
                <c:pt idx="24">
                  <c:v>1982.9999999939</c:v>
                </c:pt>
                <c:pt idx="25">
                  <c:v>1983.0833333272601</c:v>
                </c:pt>
                <c:pt idx="26">
                  <c:v>1983.16666666062</c:v>
                </c:pt>
                <c:pt idx="27">
                  <c:v>1983.2499999939801</c:v>
                </c:pt>
                <c:pt idx="28">
                  <c:v>1983.3333333273399</c:v>
                </c:pt>
                <c:pt idx="29">
                  <c:v>1983.4166666607</c:v>
                </c:pt>
                <c:pt idx="30">
                  <c:v>1983.4999999940601</c:v>
                </c:pt>
                <c:pt idx="31">
                  <c:v>1983.58333332742</c:v>
                </c:pt>
                <c:pt idx="32">
                  <c:v>1983.66666666078</c:v>
                </c:pt>
                <c:pt idx="33">
                  <c:v>1983.7499999941399</c:v>
                </c:pt>
                <c:pt idx="34">
                  <c:v>1983.8333333275</c:v>
                </c:pt>
                <c:pt idx="35">
                  <c:v>1983.9166666608601</c:v>
                </c:pt>
                <c:pt idx="36">
                  <c:v>1983.9999999942199</c:v>
                </c:pt>
                <c:pt idx="37">
                  <c:v>1984.08333332758</c:v>
                </c:pt>
                <c:pt idx="38">
                  <c:v>1984.1666666609401</c:v>
                </c:pt>
                <c:pt idx="39">
                  <c:v>1984.2499999943</c:v>
                </c:pt>
                <c:pt idx="40">
                  <c:v>1984.3333333276601</c:v>
                </c:pt>
                <c:pt idx="41">
                  <c:v>1984.4166666610199</c:v>
                </c:pt>
                <c:pt idx="42">
                  <c:v>1984.49999999438</c:v>
                </c:pt>
                <c:pt idx="43">
                  <c:v>1984.5833333277401</c:v>
                </c:pt>
                <c:pt idx="44">
                  <c:v>1984.6666666611</c:v>
                </c:pt>
                <c:pt idx="45">
                  <c:v>1984.74999999446</c:v>
                </c:pt>
                <c:pt idx="46">
                  <c:v>1984.8333333278199</c:v>
                </c:pt>
                <c:pt idx="47">
                  <c:v>1984.91666666118</c:v>
                </c:pt>
                <c:pt idx="48">
                  <c:v>1984.9999999945401</c:v>
                </c:pt>
                <c:pt idx="49">
                  <c:v>1985.0833333278999</c:v>
                </c:pt>
                <c:pt idx="50">
                  <c:v>1985.16666666126</c:v>
                </c:pt>
                <c:pt idx="51">
                  <c:v>1985.2499999946201</c:v>
                </c:pt>
                <c:pt idx="52">
                  <c:v>1985.33333332798</c:v>
                </c:pt>
                <c:pt idx="53">
                  <c:v>1985.4166666613401</c:v>
                </c:pt>
                <c:pt idx="54">
                  <c:v>1985.4999999946999</c:v>
                </c:pt>
                <c:pt idx="55">
                  <c:v>1985.58333332806</c:v>
                </c:pt>
                <c:pt idx="56">
                  <c:v>1985.6666666614201</c:v>
                </c:pt>
                <c:pt idx="57">
                  <c:v>1985.74999999478</c:v>
                </c:pt>
                <c:pt idx="58">
                  <c:v>1985.83333332814</c:v>
                </c:pt>
                <c:pt idx="59">
                  <c:v>1985.9166666614999</c:v>
                </c:pt>
                <c:pt idx="60">
                  <c:v>1985.99999999486</c:v>
                </c:pt>
                <c:pt idx="61">
                  <c:v>1986.0833333282201</c:v>
                </c:pt>
                <c:pt idx="62">
                  <c:v>1986.1666666615799</c:v>
                </c:pt>
                <c:pt idx="63">
                  <c:v>1986.24999999494</c:v>
                </c:pt>
                <c:pt idx="64">
                  <c:v>1986.3333333282999</c:v>
                </c:pt>
                <c:pt idx="65">
                  <c:v>1986.41666666166</c:v>
                </c:pt>
                <c:pt idx="66">
                  <c:v>1986.4999999950201</c:v>
                </c:pt>
                <c:pt idx="67">
                  <c:v>1986.5833333283799</c:v>
                </c:pt>
                <c:pt idx="68">
                  <c:v>1986.66666666174</c:v>
                </c:pt>
                <c:pt idx="69">
                  <c:v>1986.7499999951001</c:v>
                </c:pt>
                <c:pt idx="70">
                  <c:v>1986.83333332846</c:v>
                </c:pt>
                <c:pt idx="71">
                  <c:v>1986.91666666182</c:v>
                </c:pt>
                <c:pt idx="72">
                  <c:v>1986.9999999951799</c:v>
                </c:pt>
                <c:pt idx="73">
                  <c:v>1987.08333332854</c:v>
                </c:pt>
                <c:pt idx="74">
                  <c:v>1987.1666666619001</c:v>
                </c:pt>
                <c:pt idx="75">
                  <c:v>1987.2499999952599</c:v>
                </c:pt>
                <c:pt idx="76">
                  <c:v>1987.33333332862</c:v>
                </c:pt>
                <c:pt idx="77">
                  <c:v>1987.4166666619799</c:v>
                </c:pt>
                <c:pt idx="78">
                  <c:v>1987.49999999534</c:v>
                </c:pt>
                <c:pt idx="79">
                  <c:v>1987.5833333287001</c:v>
                </c:pt>
                <c:pt idx="80">
                  <c:v>1987.6666666620599</c:v>
                </c:pt>
                <c:pt idx="81">
                  <c:v>1987.74999999543</c:v>
                </c:pt>
                <c:pt idx="82">
                  <c:v>1987.8333333287901</c:v>
                </c:pt>
                <c:pt idx="83">
                  <c:v>1987.91666666215</c:v>
                </c:pt>
                <c:pt idx="84">
                  <c:v>1987.9999999955101</c:v>
                </c:pt>
                <c:pt idx="85">
                  <c:v>1988.0833333288699</c:v>
                </c:pt>
                <c:pt idx="86">
                  <c:v>1988.16666666223</c:v>
                </c:pt>
                <c:pt idx="87">
                  <c:v>1988.2499999955901</c:v>
                </c:pt>
                <c:pt idx="88">
                  <c:v>1988.3333333289499</c:v>
                </c:pt>
                <c:pt idx="89">
                  <c:v>1988.41666666231</c:v>
                </c:pt>
                <c:pt idx="90">
                  <c:v>1988.4999999956699</c:v>
                </c:pt>
                <c:pt idx="91">
                  <c:v>1988.58333332903</c:v>
                </c:pt>
                <c:pt idx="92">
                  <c:v>1988.6666666623901</c:v>
                </c:pt>
                <c:pt idx="93">
                  <c:v>1988.7499999957499</c:v>
                </c:pt>
                <c:pt idx="94">
                  <c:v>1988.83333332911</c:v>
                </c:pt>
                <c:pt idx="95">
                  <c:v>1988.9166666624701</c:v>
                </c:pt>
                <c:pt idx="96">
                  <c:v>1988.99999999583</c:v>
                </c:pt>
                <c:pt idx="97">
                  <c:v>1989.0833333291901</c:v>
                </c:pt>
                <c:pt idx="98">
                  <c:v>1989.1666666625499</c:v>
                </c:pt>
                <c:pt idx="99">
                  <c:v>1989.24999999591</c:v>
                </c:pt>
                <c:pt idx="100">
                  <c:v>1989.3333333292701</c:v>
                </c:pt>
                <c:pt idx="101">
                  <c:v>1989.41666666263</c:v>
                </c:pt>
                <c:pt idx="102">
                  <c:v>1989.49999999599</c:v>
                </c:pt>
                <c:pt idx="103">
                  <c:v>1989.5833333293499</c:v>
                </c:pt>
                <c:pt idx="104">
                  <c:v>1989.66666666271</c:v>
                </c:pt>
                <c:pt idx="105">
                  <c:v>1989.7499999960701</c:v>
                </c:pt>
                <c:pt idx="106">
                  <c:v>1989.8333333294299</c:v>
                </c:pt>
                <c:pt idx="107">
                  <c:v>1989.91666666279</c:v>
                </c:pt>
                <c:pt idx="108">
                  <c:v>1989.9999999961501</c:v>
                </c:pt>
                <c:pt idx="109">
                  <c:v>1990.08333332951</c:v>
                </c:pt>
                <c:pt idx="110">
                  <c:v>1990.1666666628701</c:v>
                </c:pt>
                <c:pt idx="111">
                  <c:v>1990.2499999962299</c:v>
                </c:pt>
                <c:pt idx="112">
                  <c:v>1990.33333332959</c:v>
                </c:pt>
                <c:pt idx="113">
                  <c:v>1990.4166666629501</c:v>
                </c:pt>
                <c:pt idx="114">
                  <c:v>1990.49999999631</c:v>
                </c:pt>
                <c:pt idx="115">
                  <c:v>1990.58333332967</c:v>
                </c:pt>
                <c:pt idx="116">
                  <c:v>1990.6666666630299</c:v>
                </c:pt>
                <c:pt idx="117">
                  <c:v>1990.74999999639</c:v>
                </c:pt>
                <c:pt idx="118">
                  <c:v>1990.8333333297501</c:v>
                </c:pt>
                <c:pt idx="119">
                  <c:v>1990.9166666631099</c:v>
                </c:pt>
                <c:pt idx="120">
                  <c:v>1990.99999999647</c:v>
                </c:pt>
                <c:pt idx="121">
                  <c:v>1991.0833333298301</c:v>
                </c:pt>
                <c:pt idx="122">
                  <c:v>1991.16666666319</c:v>
                </c:pt>
                <c:pt idx="123">
                  <c:v>1991.2499999965501</c:v>
                </c:pt>
                <c:pt idx="124">
                  <c:v>1991.3333333299099</c:v>
                </c:pt>
                <c:pt idx="125">
                  <c:v>1991.41666666327</c:v>
                </c:pt>
                <c:pt idx="126">
                  <c:v>1991.4999999966301</c:v>
                </c:pt>
                <c:pt idx="127">
                  <c:v>1991.58333332999</c:v>
                </c:pt>
                <c:pt idx="128">
                  <c:v>1991.66666666335</c:v>
                </c:pt>
                <c:pt idx="129">
                  <c:v>1991.7499999967099</c:v>
                </c:pt>
                <c:pt idx="130">
                  <c:v>1991.83333333007</c:v>
                </c:pt>
                <c:pt idx="131">
                  <c:v>1991.9166666634301</c:v>
                </c:pt>
                <c:pt idx="132">
                  <c:v>1991.9999999967899</c:v>
                </c:pt>
                <c:pt idx="133">
                  <c:v>1992.08333333015</c:v>
                </c:pt>
                <c:pt idx="134">
                  <c:v>1992.1666666635101</c:v>
                </c:pt>
                <c:pt idx="135">
                  <c:v>1992.24999999687</c:v>
                </c:pt>
                <c:pt idx="136">
                  <c:v>1992.3333333302301</c:v>
                </c:pt>
                <c:pt idx="137">
                  <c:v>1992.4166666635899</c:v>
                </c:pt>
                <c:pt idx="138">
                  <c:v>1992.49999999695</c:v>
                </c:pt>
                <c:pt idx="139">
                  <c:v>1992.5833333303101</c:v>
                </c:pt>
                <c:pt idx="140">
                  <c:v>1992.66666666367</c:v>
                </c:pt>
                <c:pt idx="141">
                  <c:v>1992.74999999703</c:v>
                </c:pt>
                <c:pt idx="142">
                  <c:v>1992.8333333303899</c:v>
                </c:pt>
                <c:pt idx="143">
                  <c:v>1992.91666666375</c:v>
                </c:pt>
                <c:pt idx="144">
                  <c:v>1992.9999999971101</c:v>
                </c:pt>
                <c:pt idx="145">
                  <c:v>1993.0833333304699</c:v>
                </c:pt>
                <c:pt idx="146">
                  <c:v>1993.16666666383</c:v>
                </c:pt>
                <c:pt idx="147">
                  <c:v>1993.2499999971899</c:v>
                </c:pt>
                <c:pt idx="148">
                  <c:v>1993.33333333055</c:v>
                </c:pt>
                <c:pt idx="149">
                  <c:v>1993.4166666639101</c:v>
                </c:pt>
                <c:pt idx="150">
                  <c:v>1993.4999999972699</c:v>
                </c:pt>
                <c:pt idx="151">
                  <c:v>1993.58333333063</c:v>
                </c:pt>
                <c:pt idx="152">
                  <c:v>1993.6666666639901</c:v>
                </c:pt>
                <c:pt idx="153">
                  <c:v>1993.74999999735</c:v>
                </c:pt>
                <c:pt idx="154">
                  <c:v>1993.83333333071</c:v>
                </c:pt>
                <c:pt idx="155">
                  <c:v>1993.9166666640699</c:v>
                </c:pt>
                <c:pt idx="156">
                  <c:v>1993.99999999743</c:v>
                </c:pt>
                <c:pt idx="157">
                  <c:v>1994.0833333307901</c:v>
                </c:pt>
                <c:pt idx="158">
                  <c:v>1994.1666666641499</c:v>
                </c:pt>
                <c:pt idx="159">
                  <c:v>1994.24999999751</c:v>
                </c:pt>
                <c:pt idx="160">
                  <c:v>1994.3333333308699</c:v>
                </c:pt>
                <c:pt idx="161">
                  <c:v>1994.41666666423</c:v>
                </c:pt>
                <c:pt idx="162">
                  <c:v>1994.4999999975901</c:v>
                </c:pt>
                <c:pt idx="163">
                  <c:v>1994.5833333309499</c:v>
                </c:pt>
                <c:pt idx="164">
                  <c:v>1994.66666666431</c:v>
                </c:pt>
                <c:pt idx="165">
                  <c:v>1994.7499999976701</c:v>
                </c:pt>
                <c:pt idx="166">
                  <c:v>1994.83333333103</c:v>
                </c:pt>
                <c:pt idx="167">
                  <c:v>1994.91666666439</c:v>
                </c:pt>
                <c:pt idx="168">
                  <c:v>1994.9999999977499</c:v>
                </c:pt>
                <c:pt idx="169">
                  <c:v>1995.08333333111</c:v>
                </c:pt>
                <c:pt idx="170">
                  <c:v>1995.1666666644701</c:v>
                </c:pt>
                <c:pt idx="171">
                  <c:v>1995.2499999978299</c:v>
                </c:pt>
                <c:pt idx="172">
                  <c:v>1995.33333333119</c:v>
                </c:pt>
                <c:pt idx="173">
                  <c:v>1995.4166666645499</c:v>
                </c:pt>
                <c:pt idx="174">
                  <c:v>1995.49999999791</c:v>
                </c:pt>
                <c:pt idx="175">
                  <c:v>1995.5833333312701</c:v>
                </c:pt>
                <c:pt idx="176">
                  <c:v>1995.6666666646299</c:v>
                </c:pt>
                <c:pt idx="177">
                  <c:v>1995.74999999799</c:v>
                </c:pt>
                <c:pt idx="178">
                  <c:v>1995.8333333313501</c:v>
                </c:pt>
                <c:pt idx="179">
                  <c:v>1995.91666666471</c:v>
                </c:pt>
                <c:pt idx="180">
                  <c:v>1995.9999999980701</c:v>
                </c:pt>
                <c:pt idx="181">
                  <c:v>1996.0833333314299</c:v>
                </c:pt>
                <c:pt idx="182">
                  <c:v>1996.16666666479</c:v>
                </c:pt>
                <c:pt idx="183">
                  <c:v>1996.2499999981501</c:v>
                </c:pt>
                <c:pt idx="184">
                  <c:v>1996.3333333315099</c:v>
                </c:pt>
                <c:pt idx="185">
                  <c:v>1996.41666666487</c:v>
                </c:pt>
                <c:pt idx="186">
                  <c:v>1996.4999999982299</c:v>
                </c:pt>
                <c:pt idx="187">
                  <c:v>1996.58333333159</c:v>
                </c:pt>
                <c:pt idx="188">
                  <c:v>1996.6666666649501</c:v>
                </c:pt>
                <c:pt idx="189">
                  <c:v>1996.7499999983099</c:v>
                </c:pt>
                <c:pt idx="190">
                  <c:v>1996.83333333167</c:v>
                </c:pt>
                <c:pt idx="191">
                  <c:v>1996.9166666650301</c:v>
                </c:pt>
                <c:pt idx="192">
                  <c:v>1996.99999999839</c:v>
                </c:pt>
                <c:pt idx="193">
                  <c:v>1997.0833333317501</c:v>
                </c:pt>
                <c:pt idx="194">
                  <c:v>1997.1666666651099</c:v>
                </c:pt>
                <c:pt idx="195">
                  <c:v>1997.24999999848</c:v>
                </c:pt>
                <c:pt idx="196">
                  <c:v>1997.3333333318401</c:v>
                </c:pt>
                <c:pt idx="197">
                  <c:v>1997.4166666652</c:v>
                </c:pt>
                <c:pt idx="198">
                  <c:v>1997.49999999856</c:v>
                </c:pt>
                <c:pt idx="199">
                  <c:v>1997.5833333319199</c:v>
                </c:pt>
                <c:pt idx="200">
                  <c:v>1997.66666666528</c:v>
                </c:pt>
                <c:pt idx="201">
                  <c:v>1997.7499999986401</c:v>
                </c:pt>
                <c:pt idx="202">
                  <c:v>1997.8333333319999</c:v>
                </c:pt>
                <c:pt idx="203">
                  <c:v>1997.91666666536</c:v>
                </c:pt>
                <c:pt idx="204">
                  <c:v>1997.9999999987201</c:v>
                </c:pt>
                <c:pt idx="205">
                  <c:v>1998.08333333208</c:v>
                </c:pt>
                <c:pt idx="206">
                  <c:v>1998.1666666654401</c:v>
                </c:pt>
                <c:pt idx="207">
                  <c:v>1998.2499999987999</c:v>
                </c:pt>
                <c:pt idx="208">
                  <c:v>1998.33333333216</c:v>
                </c:pt>
                <c:pt idx="209">
                  <c:v>1998.4166666655201</c:v>
                </c:pt>
                <c:pt idx="210">
                  <c:v>1998.49999999888</c:v>
                </c:pt>
                <c:pt idx="211">
                  <c:v>1998.58333333224</c:v>
                </c:pt>
                <c:pt idx="212">
                  <c:v>1998.6666666655999</c:v>
                </c:pt>
                <c:pt idx="213">
                  <c:v>1998.74999999896</c:v>
                </c:pt>
                <c:pt idx="214">
                  <c:v>1998.8333333323201</c:v>
                </c:pt>
                <c:pt idx="215">
                  <c:v>1998.9166666656799</c:v>
                </c:pt>
                <c:pt idx="216">
                  <c:v>1998.99999999904</c:v>
                </c:pt>
                <c:pt idx="217">
                  <c:v>1999.0833333323999</c:v>
                </c:pt>
                <c:pt idx="218">
                  <c:v>1999.16666666576</c:v>
                </c:pt>
                <c:pt idx="219">
                  <c:v>1999.2499999991201</c:v>
                </c:pt>
                <c:pt idx="220">
                  <c:v>1999.3333333324799</c:v>
                </c:pt>
                <c:pt idx="221">
                  <c:v>1999.41666666584</c:v>
                </c:pt>
                <c:pt idx="222">
                  <c:v>1999.4999999992001</c:v>
                </c:pt>
                <c:pt idx="223">
                  <c:v>1999.58333333256</c:v>
                </c:pt>
                <c:pt idx="224">
                  <c:v>1999.66666666592</c:v>
                </c:pt>
                <c:pt idx="225">
                  <c:v>1999.7499999992799</c:v>
                </c:pt>
                <c:pt idx="226">
                  <c:v>1999.83333333264</c:v>
                </c:pt>
                <c:pt idx="227">
                  <c:v>1999.9166666660001</c:v>
                </c:pt>
                <c:pt idx="228">
                  <c:v>2000</c:v>
                </c:pt>
                <c:pt idx="229">
                  <c:v>2000.0833333333101</c:v>
                </c:pt>
                <c:pt idx="230">
                  <c:v>2000.1666666666399</c:v>
                </c:pt>
                <c:pt idx="231">
                  <c:v>2000.24999999997</c:v>
                </c:pt>
                <c:pt idx="232">
                  <c:v>2000.3333333333101</c:v>
                </c:pt>
                <c:pt idx="233">
                  <c:v>2000.4166666666399</c:v>
                </c:pt>
                <c:pt idx="234">
                  <c:v>2000.49999999997</c:v>
                </c:pt>
                <c:pt idx="235">
                  <c:v>2000.5833333333101</c:v>
                </c:pt>
                <c:pt idx="236">
                  <c:v>2000.6666666666399</c:v>
                </c:pt>
                <c:pt idx="237">
                  <c:v>2000.74999999997</c:v>
                </c:pt>
                <c:pt idx="238">
                  <c:v>2000.8333333333101</c:v>
                </c:pt>
                <c:pt idx="239">
                  <c:v>2000.9166666666399</c:v>
                </c:pt>
                <c:pt idx="240">
                  <c:v>2001</c:v>
                </c:pt>
                <c:pt idx="241">
                  <c:v>2001.0833333333101</c:v>
                </c:pt>
                <c:pt idx="242">
                  <c:v>2001.1666666666399</c:v>
                </c:pt>
                <c:pt idx="243">
                  <c:v>2001.24999999997</c:v>
                </c:pt>
                <c:pt idx="244">
                  <c:v>2001.3333333333101</c:v>
                </c:pt>
                <c:pt idx="245">
                  <c:v>2001.4166666666399</c:v>
                </c:pt>
                <c:pt idx="246">
                  <c:v>2001.49999999998</c:v>
                </c:pt>
                <c:pt idx="247">
                  <c:v>2001.5833333333101</c:v>
                </c:pt>
                <c:pt idx="248">
                  <c:v>2001.6666666666399</c:v>
                </c:pt>
                <c:pt idx="249">
                  <c:v>2001.74999999998</c:v>
                </c:pt>
                <c:pt idx="250">
                  <c:v>2001.8333333333101</c:v>
                </c:pt>
                <c:pt idx="251">
                  <c:v>2001.9166666666399</c:v>
                </c:pt>
                <c:pt idx="252">
                  <c:v>2002</c:v>
                </c:pt>
                <c:pt idx="253">
                  <c:v>2002.0833333333101</c:v>
                </c:pt>
                <c:pt idx="254">
                  <c:v>2002.1666666666399</c:v>
                </c:pt>
                <c:pt idx="255">
                  <c:v>2002.24999999998</c:v>
                </c:pt>
                <c:pt idx="256">
                  <c:v>2002.3333333333101</c:v>
                </c:pt>
                <c:pt idx="257">
                  <c:v>2002.4166666666399</c:v>
                </c:pt>
                <c:pt idx="258">
                  <c:v>2002.49999999998</c:v>
                </c:pt>
                <c:pt idx="259">
                  <c:v>2002.5833333333101</c:v>
                </c:pt>
                <c:pt idx="260">
                  <c:v>2002.6666666666399</c:v>
                </c:pt>
                <c:pt idx="261">
                  <c:v>2002.74999999998</c:v>
                </c:pt>
                <c:pt idx="262">
                  <c:v>2002.8333333333101</c:v>
                </c:pt>
                <c:pt idx="263">
                  <c:v>2002.9166666666399</c:v>
                </c:pt>
                <c:pt idx="264">
                  <c:v>2003</c:v>
                </c:pt>
                <c:pt idx="265">
                  <c:v>2003.0833333333101</c:v>
                </c:pt>
                <c:pt idx="266">
                  <c:v>2003.1666666666499</c:v>
                </c:pt>
                <c:pt idx="267">
                  <c:v>2003.24999999998</c:v>
                </c:pt>
                <c:pt idx="268">
                  <c:v>2003.3333333333101</c:v>
                </c:pt>
                <c:pt idx="269">
                  <c:v>2003.4166666666499</c:v>
                </c:pt>
                <c:pt idx="270">
                  <c:v>2003.49999999998</c:v>
                </c:pt>
                <c:pt idx="271">
                  <c:v>2003.5833333333101</c:v>
                </c:pt>
                <c:pt idx="272">
                  <c:v>2003.6666666666499</c:v>
                </c:pt>
                <c:pt idx="273">
                  <c:v>2003.74999999998</c:v>
                </c:pt>
                <c:pt idx="274">
                  <c:v>2003.8333333333101</c:v>
                </c:pt>
                <c:pt idx="275">
                  <c:v>2003.9166666666499</c:v>
                </c:pt>
                <c:pt idx="276">
                  <c:v>2004</c:v>
                </c:pt>
                <c:pt idx="277">
                  <c:v>2004.0833333333101</c:v>
                </c:pt>
                <c:pt idx="278">
                  <c:v>2004.1666666666499</c:v>
                </c:pt>
                <c:pt idx="279">
                  <c:v>2004.24999999998</c:v>
                </c:pt>
                <c:pt idx="280">
                  <c:v>2004.3333333333101</c:v>
                </c:pt>
                <c:pt idx="281">
                  <c:v>2004.4166666666499</c:v>
                </c:pt>
                <c:pt idx="282">
                  <c:v>2004.49999999998</c:v>
                </c:pt>
                <c:pt idx="283">
                  <c:v>2004.5833333333101</c:v>
                </c:pt>
                <c:pt idx="284">
                  <c:v>2004.6666666666499</c:v>
                </c:pt>
                <c:pt idx="285">
                  <c:v>2004.74999999998</c:v>
                </c:pt>
                <c:pt idx="286">
                  <c:v>2004.8333333333101</c:v>
                </c:pt>
                <c:pt idx="287">
                  <c:v>2004.9166666666499</c:v>
                </c:pt>
                <c:pt idx="288">
                  <c:v>2005</c:v>
                </c:pt>
                <c:pt idx="289">
                  <c:v>2005.0833333333201</c:v>
                </c:pt>
                <c:pt idx="290">
                  <c:v>2005.1666666666499</c:v>
                </c:pt>
                <c:pt idx="291">
                  <c:v>2005.24999999998</c:v>
                </c:pt>
                <c:pt idx="292">
                  <c:v>2005.3333333333201</c:v>
                </c:pt>
                <c:pt idx="293">
                  <c:v>2005.4166666666499</c:v>
                </c:pt>
                <c:pt idx="294">
                  <c:v>2005.49999999998</c:v>
                </c:pt>
                <c:pt idx="295">
                  <c:v>2005.5833333333201</c:v>
                </c:pt>
                <c:pt idx="296">
                  <c:v>2005.6666666666499</c:v>
                </c:pt>
                <c:pt idx="297">
                  <c:v>2005.74999999998</c:v>
                </c:pt>
                <c:pt idx="298">
                  <c:v>2005.8333333333201</c:v>
                </c:pt>
                <c:pt idx="299">
                  <c:v>2005.9166666666499</c:v>
                </c:pt>
                <c:pt idx="300">
                  <c:v>2006</c:v>
                </c:pt>
                <c:pt idx="301">
                  <c:v>2006.0833333333201</c:v>
                </c:pt>
                <c:pt idx="302">
                  <c:v>2006.1666666666499</c:v>
                </c:pt>
                <c:pt idx="303">
                  <c:v>2006.24999999998</c:v>
                </c:pt>
                <c:pt idx="304">
                  <c:v>2006.3333333333201</c:v>
                </c:pt>
                <c:pt idx="305">
                  <c:v>2006.4166666666499</c:v>
                </c:pt>
                <c:pt idx="306">
                  <c:v>2006.49999999998</c:v>
                </c:pt>
                <c:pt idx="307">
                  <c:v>2006.5833333333201</c:v>
                </c:pt>
                <c:pt idx="308">
                  <c:v>2006.6666666666499</c:v>
                </c:pt>
                <c:pt idx="309">
                  <c:v>2006.74999999998</c:v>
                </c:pt>
                <c:pt idx="310">
                  <c:v>2006.8333333333201</c:v>
                </c:pt>
                <c:pt idx="311">
                  <c:v>2006.9166666666499</c:v>
                </c:pt>
                <c:pt idx="312">
                  <c:v>2007</c:v>
                </c:pt>
                <c:pt idx="313">
                  <c:v>2007.0833333333201</c:v>
                </c:pt>
                <c:pt idx="314">
                  <c:v>2007.1666666666499</c:v>
                </c:pt>
                <c:pt idx="315">
                  <c:v>2007.24999999999</c:v>
                </c:pt>
                <c:pt idx="316">
                  <c:v>2007.3333333333201</c:v>
                </c:pt>
                <c:pt idx="317">
                  <c:v>2007.4166666666499</c:v>
                </c:pt>
                <c:pt idx="318">
                  <c:v>2007.49999999999</c:v>
                </c:pt>
                <c:pt idx="319">
                  <c:v>2007.5833333333201</c:v>
                </c:pt>
                <c:pt idx="320">
                  <c:v>2007.6666666666499</c:v>
                </c:pt>
                <c:pt idx="321">
                  <c:v>2007.74999999999</c:v>
                </c:pt>
                <c:pt idx="322">
                  <c:v>2007.8333333333201</c:v>
                </c:pt>
                <c:pt idx="323">
                  <c:v>2007.9166666666499</c:v>
                </c:pt>
                <c:pt idx="324">
                  <c:v>2008</c:v>
                </c:pt>
                <c:pt idx="325">
                  <c:v>2008.0833333333201</c:v>
                </c:pt>
                <c:pt idx="326">
                  <c:v>2008.1666666666499</c:v>
                </c:pt>
                <c:pt idx="327">
                  <c:v>2008.24999999999</c:v>
                </c:pt>
                <c:pt idx="328">
                  <c:v>2008.3333333333201</c:v>
                </c:pt>
                <c:pt idx="329">
                  <c:v>2008.4166666666499</c:v>
                </c:pt>
                <c:pt idx="330">
                  <c:v>2008.49999999999</c:v>
                </c:pt>
                <c:pt idx="331">
                  <c:v>2008.5833333333201</c:v>
                </c:pt>
                <c:pt idx="332">
                  <c:v>2008.6666666666599</c:v>
                </c:pt>
                <c:pt idx="333">
                  <c:v>2008.74999999999</c:v>
                </c:pt>
                <c:pt idx="334">
                  <c:v>2008.8333333333201</c:v>
                </c:pt>
                <c:pt idx="335">
                  <c:v>2008.9166666666599</c:v>
                </c:pt>
                <c:pt idx="336">
                  <c:v>2009</c:v>
                </c:pt>
                <c:pt idx="337">
                  <c:v>2009.0833333333201</c:v>
                </c:pt>
                <c:pt idx="338">
                  <c:v>2009.1666666666599</c:v>
                </c:pt>
                <c:pt idx="339">
                  <c:v>2009.24999999999</c:v>
                </c:pt>
                <c:pt idx="340">
                  <c:v>2009.3333333333201</c:v>
                </c:pt>
                <c:pt idx="341">
                  <c:v>2009.4166666666599</c:v>
                </c:pt>
                <c:pt idx="342">
                  <c:v>2009.49999999999</c:v>
                </c:pt>
                <c:pt idx="343">
                  <c:v>2009.5833333333201</c:v>
                </c:pt>
                <c:pt idx="344">
                  <c:v>2009.6666666666599</c:v>
                </c:pt>
                <c:pt idx="345">
                  <c:v>2009.74999999999</c:v>
                </c:pt>
                <c:pt idx="346">
                  <c:v>2009.8333333333201</c:v>
                </c:pt>
                <c:pt idx="347">
                  <c:v>2009.9166666666599</c:v>
                </c:pt>
                <c:pt idx="348">
                  <c:v>2010</c:v>
                </c:pt>
                <c:pt idx="349">
                  <c:v>2010.0833333333201</c:v>
                </c:pt>
                <c:pt idx="350">
                  <c:v>2010.1666666666599</c:v>
                </c:pt>
                <c:pt idx="351">
                  <c:v>2010.24999999999</c:v>
                </c:pt>
                <c:pt idx="352">
                  <c:v>2010.3333333333201</c:v>
                </c:pt>
                <c:pt idx="353">
                  <c:v>2010.4166666666599</c:v>
                </c:pt>
                <c:pt idx="354">
                  <c:v>2010.49999999999</c:v>
                </c:pt>
                <c:pt idx="355">
                  <c:v>2010.5833333333301</c:v>
                </c:pt>
                <c:pt idx="356">
                  <c:v>2010.6666666666599</c:v>
                </c:pt>
                <c:pt idx="357">
                  <c:v>2010.74999999999</c:v>
                </c:pt>
                <c:pt idx="358">
                  <c:v>2010.8333333333301</c:v>
                </c:pt>
                <c:pt idx="359">
                  <c:v>2010.9166666666599</c:v>
                </c:pt>
                <c:pt idx="360">
                  <c:v>2011</c:v>
                </c:pt>
                <c:pt idx="361">
                  <c:v>2011.0833333333301</c:v>
                </c:pt>
                <c:pt idx="362">
                  <c:v>2011.1666666666599</c:v>
                </c:pt>
                <c:pt idx="363">
                  <c:v>2011.24999999999</c:v>
                </c:pt>
                <c:pt idx="364">
                  <c:v>2011.3333333333301</c:v>
                </c:pt>
                <c:pt idx="365">
                  <c:v>2011.4166666666599</c:v>
                </c:pt>
                <c:pt idx="366">
                  <c:v>2011.49999999999</c:v>
                </c:pt>
                <c:pt idx="367">
                  <c:v>2011.5833333333301</c:v>
                </c:pt>
                <c:pt idx="368">
                  <c:v>2011.6666666666599</c:v>
                </c:pt>
                <c:pt idx="369">
                  <c:v>2011.74999999999</c:v>
                </c:pt>
                <c:pt idx="370">
                  <c:v>2011.8333333333301</c:v>
                </c:pt>
                <c:pt idx="371">
                  <c:v>2011.9166666666599</c:v>
                </c:pt>
                <c:pt idx="372">
                  <c:v>2012</c:v>
                </c:pt>
                <c:pt idx="373">
                  <c:v>2012.0833333333301</c:v>
                </c:pt>
                <c:pt idx="374">
                  <c:v>2012.1666666666599</c:v>
                </c:pt>
                <c:pt idx="375">
                  <c:v>2012.24999999999</c:v>
                </c:pt>
                <c:pt idx="376">
                  <c:v>2012.3333333333301</c:v>
                </c:pt>
                <c:pt idx="377">
                  <c:v>2012.4166666666599</c:v>
                </c:pt>
                <c:pt idx="378">
                  <c:v>2012.5</c:v>
                </c:pt>
                <c:pt idx="379">
                  <c:v>2012.5833333333301</c:v>
                </c:pt>
                <c:pt idx="380">
                  <c:v>2012.6666666666599</c:v>
                </c:pt>
                <c:pt idx="381">
                  <c:v>2012.75</c:v>
                </c:pt>
                <c:pt idx="382">
                  <c:v>2012.8333333333301</c:v>
                </c:pt>
                <c:pt idx="383">
                  <c:v>2012.9166666666599</c:v>
                </c:pt>
                <c:pt idx="384">
                  <c:v>2013</c:v>
                </c:pt>
                <c:pt idx="385">
                  <c:v>2013.0833333333301</c:v>
                </c:pt>
                <c:pt idx="386">
                  <c:v>2013.1666666666599</c:v>
                </c:pt>
                <c:pt idx="387">
                  <c:v>2013.25</c:v>
                </c:pt>
                <c:pt idx="388">
                  <c:v>2013.3333333333301</c:v>
                </c:pt>
                <c:pt idx="389">
                  <c:v>2013.4166666666599</c:v>
                </c:pt>
                <c:pt idx="390">
                  <c:v>2013.5</c:v>
                </c:pt>
                <c:pt idx="391">
                  <c:v>2013.5833333333301</c:v>
                </c:pt>
                <c:pt idx="392">
                  <c:v>2013.6666666666599</c:v>
                </c:pt>
                <c:pt idx="393">
                  <c:v>2013.75</c:v>
                </c:pt>
                <c:pt idx="394">
                  <c:v>2013.8333333333301</c:v>
                </c:pt>
                <c:pt idx="395">
                  <c:v>2013.9166666666599</c:v>
                </c:pt>
                <c:pt idx="396">
                  <c:v>2014</c:v>
                </c:pt>
                <c:pt idx="397">
                  <c:v>2014.0833333333333</c:v>
                </c:pt>
                <c:pt idx="398">
                  <c:v>2014.1666666666665</c:v>
                </c:pt>
                <c:pt idx="399">
                  <c:v>2014.25</c:v>
                </c:pt>
                <c:pt idx="400">
                  <c:v>2014.3333333333333</c:v>
                </c:pt>
                <c:pt idx="401">
                  <c:v>2014.4166666666665</c:v>
                </c:pt>
                <c:pt idx="402">
                  <c:v>2014.5</c:v>
                </c:pt>
                <c:pt idx="403">
                  <c:v>2014.5833333333333</c:v>
                </c:pt>
                <c:pt idx="404">
                  <c:v>2014.6666666666665</c:v>
                </c:pt>
                <c:pt idx="405">
                  <c:v>2014.75</c:v>
                </c:pt>
                <c:pt idx="406">
                  <c:v>2014.8333333333333</c:v>
                </c:pt>
                <c:pt idx="407">
                  <c:v>2014.9166666666665</c:v>
                </c:pt>
                <c:pt idx="408">
                  <c:v>2015</c:v>
                </c:pt>
                <c:pt idx="409">
                  <c:v>2015.0833333333333</c:v>
                </c:pt>
                <c:pt idx="410">
                  <c:v>2015.1666666666665</c:v>
                </c:pt>
                <c:pt idx="411">
                  <c:v>2015.25</c:v>
                </c:pt>
                <c:pt idx="412">
                  <c:v>2015.3333333333333</c:v>
                </c:pt>
                <c:pt idx="413">
                  <c:v>2015.4166666666665</c:v>
                </c:pt>
                <c:pt idx="414">
                  <c:v>2015.5</c:v>
                </c:pt>
                <c:pt idx="415">
                  <c:v>2015.5833333333333</c:v>
                </c:pt>
                <c:pt idx="416">
                  <c:v>2015.6666666666665</c:v>
                </c:pt>
                <c:pt idx="417">
                  <c:v>2015.75</c:v>
                </c:pt>
                <c:pt idx="418">
                  <c:v>2015.8333333333333</c:v>
                </c:pt>
                <c:pt idx="419">
                  <c:v>2015.9166666666665</c:v>
                </c:pt>
              </c:numCache>
            </c:numRef>
          </c:xVal>
          <c:yVal>
            <c:numRef>
              <c:f>Caudal!$O$11:$O$430</c:f>
              <c:numCache>
                <c:formatCode>0.0</c:formatCode>
                <c:ptCount val="420"/>
                <c:pt idx="0">
                  <c:v>-1.1510549038499207</c:v>
                </c:pt>
                <c:pt idx="1">
                  <c:v>-1.2450679121398904</c:v>
                </c:pt>
                <c:pt idx="2">
                  <c:v>-1.1022385938563706</c:v>
                </c:pt>
                <c:pt idx="3">
                  <c:v>-1.2173666019923512</c:v>
                </c:pt>
                <c:pt idx="4">
                  <c:v>-0.98348989152964084</c:v>
                </c:pt>
                <c:pt idx="5">
                  <c:v>-0.38680473347340255</c:v>
                </c:pt>
                <c:pt idx="6">
                  <c:v>-9.068485964279896E-2</c:v>
                </c:pt>
                <c:pt idx="7">
                  <c:v>-0.25737009408265771</c:v>
                </c:pt>
                <c:pt idx="8">
                  <c:v>-0.60383360319817303</c:v>
                </c:pt>
                <c:pt idx="9">
                  <c:v>-1.0386485010172171</c:v>
                </c:pt>
                <c:pt idx="10">
                  <c:v>-1.3935348805624559</c:v>
                </c:pt>
                <c:pt idx="11">
                  <c:v>-1.0576966925685223</c:v>
                </c:pt>
                <c:pt idx="12">
                  <c:v>-0.52229808163394065</c:v>
                </c:pt>
                <c:pt idx="13">
                  <c:v>-0.44006402607114797</c:v>
                </c:pt>
                <c:pt idx="14">
                  <c:v>-0.85146377856494282</c:v>
                </c:pt>
                <c:pt idx="15">
                  <c:v>-0.80810556817344292</c:v>
                </c:pt>
                <c:pt idx="16">
                  <c:v>-0.77483633543832442</c:v>
                </c:pt>
                <c:pt idx="17">
                  <c:v>-0.37426358880312055</c:v>
                </c:pt>
                <c:pt idx="18">
                  <c:v>-0.3867193775087559</c:v>
                </c:pt>
                <c:pt idx="19">
                  <c:v>-1.2256692688634347</c:v>
                </c:pt>
                <c:pt idx="20">
                  <c:v>-1.6811021443553007</c:v>
                </c:pt>
                <c:pt idx="21">
                  <c:v>-1.7207203494175924</c:v>
                </c:pt>
                <c:pt idx="22">
                  <c:v>-1.5778833820036338</c:v>
                </c:pt>
                <c:pt idx="23">
                  <c:v>-1.6231956239739143</c:v>
                </c:pt>
                <c:pt idx="24">
                  <c:v>-1.9523168029302849</c:v>
                </c:pt>
                <c:pt idx="25">
                  <c:v>-1.6299473190837923</c:v>
                </c:pt>
                <c:pt idx="26">
                  <c:v>-1.7107967134506039</c:v>
                </c:pt>
                <c:pt idx="27">
                  <c:v>-1.6240932211522894</c:v>
                </c:pt>
                <c:pt idx="28">
                  <c:v>-2.2311658959839069</c:v>
                </c:pt>
                <c:pt idx="29">
                  <c:v>-2.5976293796344923</c:v>
                </c:pt>
                <c:pt idx="30">
                  <c:v>-2.0429124909750556</c:v>
                </c:pt>
                <c:pt idx="31">
                  <c:v>-1.3149559972215987</c:v>
                </c:pt>
                <c:pt idx="32">
                  <c:v>-1.2645172403052607</c:v>
                </c:pt>
                <c:pt idx="33">
                  <c:v>-1.29844612162921</c:v>
                </c:pt>
                <c:pt idx="34">
                  <c:v>-1.4590615990842015</c:v>
                </c:pt>
                <c:pt idx="35">
                  <c:v>-1.2868149692927713</c:v>
                </c:pt>
                <c:pt idx="36">
                  <c:v>-0.1911259519838571</c:v>
                </c:pt>
                <c:pt idx="37">
                  <c:v>-0.15681595740241819</c:v>
                </c:pt>
                <c:pt idx="38">
                  <c:v>-0.30062283611464163</c:v>
                </c:pt>
                <c:pt idx="39">
                  <c:v>-0.98175990591770446</c:v>
                </c:pt>
                <c:pt idx="40">
                  <c:v>-0.98439315367722224</c:v>
                </c:pt>
                <c:pt idx="41">
                  <c:v>-0.65106456759719578</c:v>
                </c:pt>
                <c:pt idx="42">
                  <c:v>-5.3880568232437025E-2</c:v>
                </c:pt>
                <c:pt idx="43">
                  <c:v>0.45307516690514565</c:v>
                </c:pt>
                <c:pt idx="44">
                  <c:v>0.29247846392612753</c:v>
                </c:pt>
                <c:pt idx="45">
                  <c:v>0.36755766769214243</c:v>
                </c:pt>
                <c:pt idx="46">
                  <c:v>0.83786830749805485</c:v>
                </c:pt>
                <c:pt idx="47">
                  <c:v>1.0372032197732588</c:v>
                </c:pt>
                <c:pt idx="48">
                  <c:v>0.40471518188961958</c:v>
                </c:pt>
                <c:pt idx="49">
                  <c:v>-0.12945676895146127</c:v>
                </c:pt>
                <c:pt idx="50">
                  <c:v>-0.62817834873805212</c:v>
                </c:pt>
                <c:pt idx="51">
                  <c:v>-0.65604068863522447</c:v>
                </c:pt>
                <c:pt idx="52">
                  <c:v>-0.91122891972312425</c:v>
                </c:pt>
                <c:pt idx="53">
                  <c:v>-1.0228199274662606</c:v>
                </c:pt>
                <c:pt idx="54">
                  <c:v>-1.4588443881584376</c:v>
                </c:pt>
                <c:pt idx="55">
                  <c:v>-0.87929833988779904</c:v>
                </c:pt>
                <c:pt idx="56">
                  <c:v>-0.33201387837439444</c:v>
                </c:pt>
                <c:pt idx="57">
                  <c:v>-0.1924505367381536</c:v>
                </c:pt>
                <c:pt idx="58">
                  <c:v>-0.17998005353972718</c:v>
                </c:pt>
                <c:pt idx="59">
                  <c:v>-6.2418573295032309E-2</c:v>
                </c:pt>
                <c:pt idx="60">
                  <c:v>-0.45713845369061801</c:v>
                </c:pt>
                <c:pt idx="61">
                  <c:v>-0.49880581303937893</c:v>
                </c:pt>
                <c:pt idx="62">
                  <c:v>-9.8402069478966819E-2</c:v>
                </c:pt>
                <c:pt idx="63">
                  <c:v>-2.2437023892648473E-2</c:v>
                </c:pt>
                <c:pt idx="64">
                  <c:v>-1.338634502715641E-2</c:v>
                </c:pt>
                <c:pt idx="65">
                  <c:v>-7.1484524620605394E-2</c:v>
                </c:pt>
                <c:pt idx="66">
                  <c:v>-6.2681594439262495E-2</c:v>
                </c:pt>
                <c:pt idx="67">
                  <c:v>-0.84466124699023548</c:v>
                </c:pt>
                <c:pt idx="68">
                  <c:v>-1.1005013723521024</c:v>
                </c:pt>
                <c:pt idx="69">
                  <c:v>-0.75740726727534491</c:v>
                </c:pt>
                <c:pt idx="70">
                  <c:v>-0.17124315773682777</c:v>
                </c:pt>
                <c:pt idx="71">
                  <c:v>-7.7012094105494033E-2</c:v>
                </c:pt>
                <c:pt idx="72">
                  <c:v>-0.81383703552468356</c:v>
                </c:pt>
                <c:pt idx="73">
                  <c:v>-1.1063407330532737</c:v>
                </c:pt>
                <c:pt idx="74">
                  <c:v>-1.2927684724209203</c:v>
                </c:pt>
                <c:pt idx="75">
                  <c:v>-1.0972165737152406</c:v>
                </c:pt>
                <c:pt idx="76">
                  <c:v>-0.72696344161650706</c:v>
                </c:pt>
                <c:pt idx="77">
                  <c:v>-0.6546477517887046</c:v>
                </c:pt>
                <c:pt idx="78">
                  <c:v>-0.93958384195571887</c:v>
                </c:pt>
                <c:pt idx="79">
                  <c:v>-0.2242724275360973</c:v>
                </c:pt>
                <c:pt idx="80">
                  <c:v>-2.3232831194974952E-2</c:v>
                </c:pt>
                <c:pt idx="81">
                  <c:v>0.22487516494333343</c:v>
                </c:pt>
                <c:pt idx="82">
                  <c:v>0.58711939795484114</c:v>
                </c:pt>
                <c:pt idx="83">
                  <c:v>0.84967647735882523</c:v>
                </c:pt>
                <c:pt idx="84">
                  <c:v>0.42218064917339654</c:v>
                </c:pt>
                <c:pt idx="85">
                  <c:v>-0.40948610956713727</c:v>
                </c:pt>
                <c:pt idx="86">
                  <c:v>-0.82302648325680117</c:v>
                </c:pt>
                <c:pt idx="87">
                  <c:v>-0.56968285581105127</c:v>
                </c:pt>
                <c:pt idx="88">
                  <c:v>-0.37920751479764631</c:v>
                </c:pt>
                <c:pt idx="89">
                  <c:v>-0.42442816748424761</c:v>
                </c:pt>
                <c:pt idx="90">
                  <c:v>0.6117970503202016</c:v>
                </c:pt>
                <c:pt idx="91">
                  <c:v>1.3490213031887897</c:v>
                </c:pt>
                <c:pt idx="92">
                  <c:v>1.8132828733509505</c:v>
                </c:pt>
                <c:pt idx="93">
                  <c:v>2.0954180333496844</c:v>
                </c:pt>
                <c:pt idx="94">
                  <c:v>1.721168473171186</c:v>
                </c:pt>
                <c:pt idx="95">
                  <c:v>1.336370396387724</c:v>
                </c:pt>
                <c:pt idx="96">
                  <c:v>1.1510280339002537</c:v>
                </c:pt>
                <c:pt idx="97">
                  <c:v>1.0526211085325279</c:v>
                </c:pt>
                <c:pt idx="98">
                  <c:v>0.55986865524653662</c:v>
                </c:pt>
                <c:pt idx="99">
                  <c:v>-0.15009642893707881</c:v>
                </c:pt>
                <c:pt idx="100">
                  <c:v>-0.82180596711256004</c:v>
                </c:pt>
                <c:pt idx="101">
                  <c:v>-0.72899882376251768</c:v>
                </c:pt>
                <c:pt idx="102">
                  <c:v>-0.63154792471681775</c:v>
                </c:pt>
                <c:pt idx="103">
                  <c:v>-0.57218278286273561</c:v>
                </c:pt>
                <c:pt idx="104">
                  <c:v>-0.2450007653288222</c:v>
                </c:pt>
                <c:pt idx="105">
                  <c:v>0.1976582713554107</c:v>
                </c:pt>
                <c:pt idx="106">
                  <c:v>0.43072896308294184</c:v>
                </c:pt>
                <c:pt idx="107">
                  <c:v>0.2593685605756485</c:v>
                </c:pt>
                <c:pt idx="108">
                  <c:v>-0.30532323807009276</c:v>
                </c:pt>
                <c:pt idx="109">
                  <c:v>-0.27590889536540675</c:v>
                </c:pt>
                <c:pt idx="110">
                  <c:v>-0.18582042172251381</c:v>
                </c:pt>
                <c:pt idx="111">
                  <c:v>-0.29465193170797743</c:v>
                </c:pt>
                <c:pt idx="112">
                  <c:v>-0.19313551239586657</c:v>
                </c:pt>
                <c:pt idx="113">
                  <c:v>-0.53013210113376497</c:v>
                </c:pt>
                <c:pt idx="114">
                  <c:v>-0.57634148760127413</c:v>
                </c:pt>
                <c:pt idx="115">
                  <c:v>-0.65608151899238942</c:v>
                </c:pt>
                <c:pt idx="116">
                  <c:v>-0.64926522859364855</c:v>
                </c:pt>
                <c:pt idx="117">
                  <c:v>-0.52812555765587155</c:v>
                </c:pt>
                <c:pt idx="118">
                  <c:v>-0.21842239507248443</c:v>
                </c:pt>
                <c:pt idx="119">
                  <c:v>-5.6581164970847531E-2</c:v>
                </c:pt>
                <c:pt idx="120">
                  <c:v>-0.62641913659492021</c:v>
                </c:pt>
                <c:pt idx="121">
                  <c:v>-0.68871076816955001</c:v>
                </c:pt>
                <c:pt idx="122">
                  <c:v>-0.46387397584656653</c:v>
                </c:pt>
                <c:pt idx="123">
                  <c:v>-0.59878169078441401</c:v>
                </c:pt>
                <c:pt idx="124">
                  <c:v>-0.86877559878679589</c:v>
                </c:pt>
                <c:pt idx="125">
                  <c:v>-1.1249406769242687</c:v>
                </c:pt>
                <c:pt idx="126">
                  <c:v>-1.0403955966884499</c:v>
                </c:pt>
                <c:pt idx="127">
                  <c:v>-0.9970644557395153</c:v>
                </c:pt>
                <c:pt idx="128">
                  <c:v>-1.3576905737434397</c:v>
                </c:pt>
                <c:pt idx="129">
                  <c:v>-1.1442170579643127</c:v>
                </c:pt>
                <c:pt idx="130">
                  <c:v>-1.4739143219491309</c:v>
                </c:pt>
                <c:pt idx="131">
                  <c:v>-1.2817072370091098</c:v>
                </c:pt>
                <c:pt idx="132">
                  <c:v>-0.92266033167744943</c:v>
                </c:pt>
                <c:pt idx="133">
                  <c:v>-0.82953012049065156</c:v>
                </c:pt>
                <c:pt idx="134">
                  <c:v>-0.76720512580007827</c:v>
                </c:pt>
                <c:pt idx="135">
                  <c:v>-0.98926928268502379</c:v>
                </c:pt>
                <c:pt idx="136">
                  <c:v>-1.1650455831935136</c:v>
                </c:pt>
                <c:pt idx="137">
                  <c:v>-1.1760010516532726</c:v>
                </c:pt>
                <c:pt idx="138">
                  <c:v>-1.3780349657139468</c:v>
                </c:pt>
                <c:pt idx="139">
                  <c:v>-0.82464870442719906</c:v>
                </c:pt>
                <c:pt idx="140">
                  <c:v>-0.64464506329919369</c:v>
                </c:pt>
                <c:pt idx="141">
                  <c:v>-0.36812321353292998</c:v>
                </c:pt>
                <c:pt idx="142">
                  <c:v>-1.1314280064754734</c:v>
                </c:pt>
                <c:pt idx="143">
                  <c:v>-1.0124567780560907</c:v>
                </c:pt>
                <c:pt idx="144">
                  <c:v>-0.82592851287499092</c:v>
                </c:pt>
                <c:pt idx="145">
                  <c:v>-0.59295360859120094</c:v>
                </c:pt>
                <c:pt idx="146">
                  <c:v>-0.60922015186595746</c:v>
                </c:pt>
                <c:pt idx="147">
                  <c:v>-0.11161087300456658</c:v>
                </c:pt>
                <c:pt idx="148">
                  <c:v>0.10945730704392137</c:v>
                </c:pt>
                <c:pt idx="149">
                  <c:v>2.7053040645893749E-2</c:v>
                </c:pt>
                <c:pt idx="150">
                  <c:v>-9.068485964279896E-2</c:v>
                </c:pt>
                <c:pt idx="151">
                  <c:v>-0.39514875249741077</c:v>
                </c:pt>
                <c:pt idx="152">
                  <c:v>-0.28273211523353958</c:v>
                </c:pt>
                <c:pt idx="153">
                  <c:v>-0.18172873017321411</c:v>
                </c:pt>
                <c:pt idx="154">
                  <c:v>-0.41937099853917098</c:v>
                </c:pt>
                <c:pt idx="155">
                  <c:v>-0.22148795012906522</c:v>
                </c:pt>
                <c:pt idx="156">
                  <c:v>0.45912682996600224</c:v>
                </c:pt>
                <c:pt idx="157">
                  <c:v>0.21655649675181687</c:v>
                </c:pt>
                <c:pt idx="158">
                  <c:v>0.32183796118579466</c:v>
                </c:pt>
                <c:pt idx="159">
                  <c:v>0.64308149211103494</c:v>
                </c:pt>
                <c:pt idx="160">
                  <c:v>0.46443933104343388</c:v>
                </c:pt>
                <c:pt idx="161">
                  <c:v>0.44807718314820827</c:v>
                </c:pt>
                <c:pt idx="162">
                  <c:v>0.3925714884410873</c:v>
                </c:pt>
                <c:pt idx="163">
                  <c:v>-2.1837862379225741E-2</c:v>
                </c:pt>
                <c:pt idx="164">
                  <c:v>-0.29351250092060144</c:v>
                </c:pt>
                <c:pt idx="165">
                  <c:v>-0.13719199521115835</c:v>
                </c:pt>
                <c:pt idx="166">
                  <c:v>-5.7663512299135355E-2</c:v>
                </c:pt>
                <c:pt idx="167">
                  <c:v>-1.2070926498939514E-2</c:v>
                </c:pt>
                <c:pt idx="168">
                  <c:v>-0.20724792178426707</c:v>
                </c:pt>
                <c:pt idx="169">
                  <c:v>-0.76113214936325935</c:v>
                </c:pt>
                <c:pt idx="170">
                  <c:v>-0.70085143674774775</c:v>
                </c:pt>
                <c:pt idx="171">
                  <c:v>-0.50022112071334657</c:v>
                </c:pt>
                <c:pt idx="172">
                  <c:v>-0.3466900774847142</c:v>
                </c:pt>
                <c:pt idx="173">
                  <c:v>-0.21481189228096781</c:v>
                </c:pt>
                <c:pt idx="174">
                  <c:v>0.34216561107472154</c:v>
                </c:pt>
                <c:pt idx="175">
                  <c:v>1.1450473116809152</c:v>
                </c:pt>
                <c:pt idx="176">
                  <c:v>1.4583001732269789</c:v>
                </c:pt>
                <c:pt idx="177">
                  <c:v>1.1180841272379007</c:v>
                </c:pt>
                <c:pt idx="178">
                  <c:v>0.79855227638500748</c:v>
                </c:pt>
                <c:pt idx="179">
                  <c:v>0.41624890928811209</c:v>
                </c:pt>
                <c:pt idx="180">
                  <c:v>3.3909876480195555E-2</c:v>
                </c:pt>
                <c:pt idx="181">
                  <c:v>0.44267214247884246</c:v>
                </c:pt>
                <c:pt idx="182">
                  <c:v>1.1760100535896076</c:v>
                </c:pt>
                <c:pt idx="183">
                  <c:v>1.0654839352727523</c:v>
                </c:pt>
                <c:pt idx="184">
                  <c:v>0.3641772326618925</c:v>
                </c:pt>
                <c:pt idx="185">
                  <c:v>0.30385401943996893</c:v>
                </c:pt>
                <c:pt idx="186">
                  <c:v>0.53578818762488833</c:v>
                </c:pt>
                <c:pt idx="187">
                  <c:v>0.75788158440370523</c:v>
                </c:pt>
                <c:pt idx="188">
                  <c:v>0.55351780306284426</c:v>
                </c:pt>
                <c:pt idx="189">
                  <c:v>0.19188499089736605</c:v>
                </c:pt>
                <c:pt idx="190">
                  <c:v>-0.20706443052871557</c:v>
                </c:pt>
                <c:pt idx="191">
                  <c:v>-0.3520999613826975</c:v>
                </c:pt>
                <c:pt idx="192">
                  <c:v>-0.58409896586884458</c:v>
                </c:pt>
                <c:pt idx="193">
                  <c:v>-0.20187815014517063</c:v>
                </c:pt>
                <c:pt idx="194">
                  <c:v>-0.72718226573676792</c:v>
                </c:pt>
                <c:pt idx="195">
                  <c:v>-0.97518920124629982</c:v>
                </c:pt>
                <c:pt idx="196">
                  <c:v>-1.3980872172695293</c:v>
                </c:pt>
                <c:pt idx="197">
                  <c:v>-1.5656723324798831</c:v>
                </c:pt>
                <c:pt idx="198">
                  <c:v>-1.1676104300416588</c:v>
                </c:pt>
                <c:pt idx="199">
                  <c:v>-1.4719774850238867</c:v>
                </c:pt>
                <c:pt idx="200">
                  <c:v>-1.5371069926781149</c:v>
                </c:pt>
                <c:pt idx="201">
                  <c:v>-1.473294044072837</c:v>
                </c:pt>
                <c:pt idx="202">
                  <c:v>-1.7456317814193025</c:v>
                </c:pt>
                <c:pt idx="203">
                  <c:v>-1.7209722134040077</c:v>
                </c:pt>
                <c:pt idx="204">
                  <c:v>-1.5594781387936341</c:v>
                </c:pt>
                <c:pt idx="205">
                  <c:v>-0.86413144706097922</c:v>
                </c:pt>
                <c:pt idx="206">
                  <c:v>-0.62817834873805212</c:v>
                </c:pt>
                <c:pt idx="207">
                  <c:v>-0.29277458751614771</c:v>
                </c:pt>
                <c:pt idx="208">
                  <c:v>-8.3840792538510123E-2</c:v>
                </c:pt>
                <c:pt idx="209">
                  <c:v>7.542602723126636E-2</c:v>
                </c:pt>
                <c:pt idx="210">
                  <c:v>0.4165742871869757</c:v>
                </c:pt>
                <c:pt idx="211">
                  <c:v>0.65397030571101444</c:v>
                </c:pt>
                <c:pt idx="212">
                  <c:v>0.6875025966020436</c:v>
                </c:pt>
                <c:pt idx="213">
                  <c:v>0.57622051853288614</c:v>
                </c:pt>
                <c:pt idx="214">
                  <c:v>0.35996010707945636</c:v>
                </c:pt>
                <c:pt idx="215">
                  <c:v>0.38633219162666538</c:v>
                </c:pt>
                <c:pt idx="216">
                  <c:v>1.0657159437064192</c:v>
                </c:pt>
                <c:pt idx="217">
                  <c:v>1.787295786642046</c:v>
                </c:pt>
                <c:pt idx="218">
                  <c:v>2.7569130260903774</c:v>
                </c:pt>
                <c:pt idx="219">
                  <c:v>2.2162959248644536</c:v>
                </c:pt>
                <c:pt idx="220">
                  <c:v>1.6693910359170971</c:v>
                </c:pt>
                <c:pt idx="221">
                  <c:v>1.2444398697110965</c:v>
                </c:pt>
                <c:pt idx="222">
                  <c:v>1.2118670189674117</c:v>
                </c:pt>
                <c:pt idx="223">
                  <c:v>1.2997596599566994</c:v>
                </c:pt>
                <c:pt idx="224">
                  <c:v>1.2665633135070902</c:v>
                </c:pt>
                <c:pt idx="225">
                  <c:v>1.180765457925238</c:v>
                </c:pt>
                <c:pt idx="226">
                  <c:v>1.2301549290482385</c:v>
                </c:pt>
                <c:pt idx="227">
                  <c:v>1.0350141916516897</c:v>
                </c:pt>
                <c:pt idx="228">
                  <c:v>1.4539867163996203</c:v>
                </c:pt>
                <c:pt idx="229">
                  <c:v>1.881443582193868</c:v>
                </c:pt>
                <c:pt idx="230">
                  <c:v>2.0417677107485903</c:v>
                </c:pt>
                <c:pt idx="231">
                  <c:v>1.1828179472621181</c:v>
                </c:pt>
                <c:pt idx="232">
                  <c:v>0.83748659799457559</c:v>
                </c:pt>
                <c:pt idx="233">
                  <c:v>1.0652806601356437</c:v>
                </c:pt>
                <c:pt idx="234">
                  <c:v>1.4086899686836967</c:v>
                </c:pt>
                <c:pt idx="235">
                  <c:v>1.3721126984538319</c:v>
                </c:pt>
                <c:pt idx="236">
                  <c:v>1.058655875256608</c:v>
                </c:pt>
                <c:pt idx="237">
                  <c:v>1.1733426687648956</c:v>
                </c:pt>
                <c:pt idx="238">
                  <c:v>0.97329019244299575</c:v>
                </c:pt>
                <c:pt idx="239">
                  <c:v>0.53299707577180588</c:v>
                </c:pt>
                <c:pt idx="240">
                  <c:v>-0.16559949979987532</c:v>
                </c:pt>
                <c:pt idx="241">
                  <c:v>-0.44811084620378233</c:v>
                </c:pt>
                <c:pt idx="242">
                  <c:v>-0.20056568595636515</c:v>
                </c:pt>
                <c:pt idx="243">
                  <c:v>-0.48614103927462271</c:v>
                </c:pt>
                <c:pt idx="244">
                  <c:v>-0.9509724542167084</c:v>
                </c:pt>
                <c:pt idx="245">
                  <c:v>-0.7379567842412903</c:v>
                </c:pt>
                <c:pt idx="246">
                  <c:v>-0.84837320672134264</c:v>
                </c:pt>
                <c:pt idx="247">
                  <c:v>-0.92163256454037679</c:v>
                </c:pt>
                <c:pt idx="248">
                  <c:v>-0.88027349331640647</c:v>
                </c:pt>
                <c:pt idx="249">
                  <c:v>-0.81843908926038489</c:v>
                </c:pt>
                <c:pt idx="250">
                  <c:v>-0.78457324310036669</c:v>
                </c:pt>
                <c:pt idx="251">
                  <c:v>-0.40025858005722137</c:v>
                </c:pt>
                <c:pt idx="252">
                  <c:v>0.11855021793234648</c:v>
                </c:pt>
                <c:pt idx="253">
                  <c:v>-0.16727682357484275</c:v>
                </c:pt>
                <c:pt idx="254">
                  <c:v>5.8680133175529822E-3</c:v>
                </c:pt>
                <c:pt idx="255">
                  <c:v>0.60553460827443784</c:v>
                </c:pt>
                <c:pt idx="256">
                  <c:v>0.65593090633070261</c:v>
                </c:pt>
                <c:pt idx="257">
                  <c:v>0.45345195943547206</c:v>
                </c:pt>
                <c:pt idx="258">
                  <c:v>0.28375880079306015</c:v>
                </c:pt>
                <c:pt idx="259">
                  <c:v>-0.31278944271875975</c:v>
                </c:pt>
                <c:pt idx="260">
                  <c:v>-0.30352285905858772</c:v>
                </c:pt>
                <c:pt idx="261">
                  <c:v>-0.29801909368524931</c:v>
                </c:pt>
                <c:pt idx="262">
                  <c:v>-0.12755867872233068</c:v>
                </c:pt>
                <c:pt idx="263">
                  <c:v>-0.67242774317233267</c:v>
                </c:pt>
                <c:pt idx="264">
                  <c:v>-0.88504240214315988</c:v>
                </c:pt>
                <c:pt idx="265">
                  <c:v>-0.54225864175560434</c:v>
                </c:pt>
                <c:pt idx="266">
                  <c:v>-0.30272930243376317</c:v>
                </c:pt>
                <c:pt idx="268">
                  <c:v>-3.5064636569111678E-2</c:v>
                </c:pt>
                <c:pt idx="269">
                  <c:v>-1.7736761747969499E-2</c:v>
                </c:pt>
                <c:pt idx="270">
                  <c:v>0.4181744737700348</c:v>
                </c:pt>
                <c:pt idx="271">
                  <c:v>0.48771225980270921</c:v>
                </c:pt>
                <c:pt idx="272">
                  <c:v>9.5351411362707708E-2</c:v>
                </c:pt>
                <c:pt idx="273">
                  <c:v>0.3139486348674454</c:v>
                </c:pt>
                <c:pt idx="274">
                  <c:v>0.33112835092988868</c:v>
                </c:pt>
                <c:pt idx="275">
                  <c:v>0.58042601840580654</c:v>
                </c:pt>
                <c:pt idx="276">
                  <c:v>0.66535369366291053</c:v>
                </c:pt>
                <c:pt idx="277">
                  <c:v>-0.18578450987990189</c:v>
                </c:pt>
                <c:pt idx="278">
                  <c:v>-0.80196182006558503</c:v>
                </c:pt>
                <c:pt idx="279">
                  <c:v>-0.71705437486969481</c:v>
                </c:pt>
                <c:pt idx="280">
                  <c:v>0.19526721106415973</c:v>
                </c:pt>
                <c:pt idx="281">
                  <c:v>0.32893630878053248</c:v>
                </c:pt>
                <c:pt idx="282">
                  <c:v>-0.13709027055151662</c:v>
                </c:pt>
                <c:pt idx="283">
                  <c:v>8.1809514653296087E-3</c:v>
                </c:pt>
                <c:pt idx="284">
                  <c:v>9.6891466460859332E-2</c:v>
                </c:pt>
                <c:pt idx="285">
                  <c:v>0.23642172585942228</c:v>
                </c:pt>
                <c:pt idx="286">
                  <c:v>0.52945588565570578</c:v>
                </c:pt>
                <c:pt idx="287">
                  <c:v>0.2980413907233726</c:v>
                </c:pt>
                <c:pt idx="288">
                  <c:v>0.38389097089742347</c:v>
                </c:pt>
                <c:pt idx="289">
                  <c:v>0.38634440155040184</c:v>
                </c:pt>
                <c:pt idx="290">
                  <c:v>0.19018381624069394</c:v>
                </c:pt>
                <c:pt idx="291">
                  <c:v>0.18876419768821021</c:v>
                </c:pt>
                <c:pt idx="292">
                  <c:v>0.46895564178134119</c:v>
                </c:pt>
                <c:pt idx="293">
                  <c:v>0.62007002434064362</c:v>
                </c:pt>
                <c:pt idx="294">
                  <c:v>0.55419033333006906</c:v>
                </c:pt>
                <c:pt idx="295">
                  <c:v>0.13364419907205949</c:v>
                </c:pt>
                <c:pt idx="296">
                  <c:v>1.1418408513438734E-2</c:v>
                </c:pt>
                <c:pt idx="297">
                  <c:v>0.10281152097325449</c:v>
                </c:pt>
                <c:pt idx="298">
                  <c:v>0.34598107379481807</c:v>
                </c:pt>
                <c:pt idx="299">
                  <c:v>0.55415768094697526</c:v>
                </c:pt>
                <c:pt idx="300">
                  <c:v>0.89307651709369795</c:v>
                </c:pt>
                <c:pt idx="301">
                  <c:v>1.1660812724026726</c:v>
                </c:pt>
                <c:pt idx="302">
                  <c:v>0.80000581562640005</c:v>
                </c:pt>
                <c:pt idx="303">
                  <c:v>1.3865097920756573</c:v>
                </c:pt>
                <c:pt idx="304">
                  <c:v>1.6431964336372347</c:v>
                </c:pt>
                <c:pt idx="305">
                  <c:v>1.7783343142459467</c:v>
                </c:pt>
                <c:pt idx="306">
                  <c:v>1.4622962192161801</c:v>
                </c:pt>
                <c:pt idx="307">
                  <c:v>0.80483408810929147</c:v>
                </c:pt>
                <c:pt idx="308">
                  <c:v>0.66440177012976787</c:v>
                </c:pt>
                <c:pt idx="309">
                  <c:v>0.35683586112720289</c:v>
                </c:pt>
                <c:pt idx="310">
                  <c:v>0.41325517147714297</c:v>
                </c:pt>
                <c:pt idx="311">
                  <c:v>0.74241409940193204</c:v>
                </c:pt>
                <c:pt idx="312">
                  <c:v>1.1066926169491267</c:v>
                </c:pt>
                <c:pt idx="314">
                  <c:v>-0.12262643214886547</c:v>
                </c:pt>
                <c:pt idx="315">
                  <c:v>1.0438944770667089</c:v>
                </c:pt>
                <c:pt idx="316">
                  <c:v>1.3532492842635875</c:v>
                </c:pt>
                <c:pt idx="317">
                  <c:v>1.6789009529315702</c:v>
                </c:pt>
                <c:pt idx="318">
                  <c:v>1.6319159970204586</c:v>
                </c:pt>
                <c:pt idx="319">
                  <c:v>1.4613994268119961</c:v>
                </c:pt>
                <c:pt idx="320">
                  <c:v>1.5953650769624825</c:v>
                </c:pt>
                <c:pt idx="321">
                  <c:v>1.4413878328883805</c:v>
                </c:pt>
                <c:pt idx="322">
                  <c:v>1.3603346765114395</c:v>
                </c:pt>
                <c:pt idx="323">
                  <c:v>1.1021443873798134</c:v>
                </c:pt>
                <c:pt idx="324">
                  <c:v>1.2161876618435767</c:v>
                </c:pt>
                <c:pt idx="325">
                  <c:v>1.5378443625303804</c:v>
                </c:pt>
                <c:pt idx="326">
                  <c:v>1.8837827368144693</c:v>
                </c:pt>
                <c:pt idx="327">
                  <c:v>1.3029679755392289</c:v>
                </c:pt>
                <c:pt idx="328">
                  <c:v>1.3288612062788876</c:v>
                </c:pt>
                <c:pt idx="329">
                  <c:v>1.6511312754473757</c:v>
                </c:pt>
                <c:pt idx="330">
                  <c:v>1.8927464100591127</c:v>
                </c:pt>
                <c:pt idx="331">
                  <c:v>2.0086654945935005</c:v>
                </c:pt>
                <c:pt idx="332">
                  <c:v>2.0127200085615979</c:v>
                </c:pt>
                <c:pt idx="333">
                  <c:v>1.8455174649514807</c:v>
                </c:pt>
                <c:pt idx="334">
                  <c:v>1.7456317814193041</c:v>
                </c:pt>
                <c:pt idx="335">
                  <c:v>1.3225065516177856</c:v>
                </c:pt>
                <c:pt idx="336">
                  <c:v>1.4378647465992107</c:v>
                </c:pt>
                <c:pt idx="337">
                  <c:v>1.9023653145387176</c:v>
                </c:pt>
                <c:pt idx="338">
                  <c:v>1.6626037733067003</c:v>
                </c:pt>
                <c:pt idx="339">
                  <c:v>1.4907023947222144</c:v>
                </c:pt>
                <c:pt idx="340">
                  <c:v>1.1409826795819451</c:v>
                </c:pt>
                <c:pt idx="341">
                  <c:v>0.73921089870831946</c:v>
                </c:pt>
                <c:pt idx="342">
                  <c:v>0.50938510900441103</c:v>
                </c:pt>
                <c:pt idx="343">
                  <c:v>-8.2645203243837145E-2</c:v>
                </c:pt>
                <c:pt idx="344">
                  <c:v>-0.14797729414526414</c:v>
                </c:pt>
                <c:pt idx="345">
                  <c:v>-0.87369763078738005</c:v>
                </c:pt>
                <c:pt idx="346">
                  <c:v>-0.54168753977976281</c:v>
                </c:pt>
                <c:pt idx="347">
                  <c:v>-1.1065849872835691</c:v>
                </c:pt>
                <c:pt idx="348">
                  <c:v>-1.2699544311279425</c:v>
                </c:pt>
                <c:pt idx="349">
                  <c:v>-0.79251474788053344</c:v>
                </c:pt>
                <c:pt idx="350">
                  <c:v>-0.39857351995379642</c:v>
                </c:pt>
                <c:pt idx="351">
                  <c:v>-0.22706754080210276</c:v>
                </c:pt>
                <c:pt idx="352">
                  <c:v>0.12300623925764322</c:v>
                </c:pt>
                <c:pt idx="353">
                  <c:v>0.68098415559629721</c:v>
                </c:pt>
                <c:pt idx="354">
                  <c:v>1.5247034959554906</c:v>
                </c:pt>
                <c:pt idx="355">
                  <c:v>2.0102049209445036</c:v>
                </c:pt>
                <c:pt idx="356">
                  <c:v>1.8872055180622331</c:v>
                </c:pt>
                <c:pt idx="357">
                  <c:v>1.9692306176238583</c:v>
                </c:pt>
                <c:pt idx="358">
                  <c:v>1.9151275599955524</c:v>
                </c:pt>
                <c:pt idx="359">
                  <c:v>2.5410655392913397</c:v>
                </c:pt>
                <c:pt idx="360">
                  <c:v>2.3198708444299601</c:v>
                </c:pt>
                <c:pt idx="361">
                  <c:v>1.5475005466895417</c:v>
                </c:pt>
                <c:pt idx="362">
                  <c:v>1.4203601466077149</c:v>
                </c:pt>
                <c:pt idx="363">
                  <c:v>1.5000891156813638</c:v>
                </c:pt>
                <c:pt idx="364">
                  <c:v>2.4091627347863098</c:v>
                </c:pt>
                <c:pt idx="365">
                  <c:v>2.0846965626199716</c:v>
                </c:pt>
                <c:pt idx="366">
                  <c:v>1.2014658061775261</c:v>
                </c:pt>
                <c:pt idx="367">
                  <c:v>0.83485290195384643</c:v>
                </c:pt>
                <c:pt idx="368">
                  <c:v>0.36024088824480327</c:v>
                </c:pt>
                <c:pt idx="369">
                  <c:v>0.30405158265365528</c:v>
                </c:pt>
                <c:pt idx="370">
                  <c:v>0.45169751300990024</c:v>
                </c:pt>
                <c:pt idx="371">
                  <c:v>0.90440218039805664</c:v>
                </c:pt>
                <c:pt idx="372">
                  <c:v>1.3478504152135897</c:v>
                </c:pt>
                <c:pt idx="373">
                  <c:v>1.2280417874239571</c:v>
                </c:pt>
                <c:pt idx="374">
                  <c:v>0.15964005461343053</c:v>
                </c:pt>
                <c:pt idx="375">
                  <c:v>0.36992791219979132</c:v>
                </c:pt>
                <c:pt idx="376">
                  <c:v>0.89619863758737017</c:v>
                </c:pt>
                <c:pt idx="377">
                  <c:v>0.29579185500907323</c:v>
                </c:pt>
                <c:pt idx="378">
                  <c:v>-0.66835221612717965</c:v>
                </c:pt>
                <c:pt idx="379">
                  <c:v>-0.67070606932691657</c:v>
                </c:pt>
                <c:pt idx="380">
                  <c:v>-0.56918236348975937</c:v>
                </c:pt>
                <c:pt idx="381">
                  <c:v>-0.91905912010058521</c:v>
                </c:pt>
                <c:pt idx="382">
                  <c:v>-0.89378444063660945</c:v>
                </c:pt>
                <c:pt idx="383">
                  <c:v>-1.0584263686090452</c:v>
                </c:pt>
                <c:pt idx="384">
                  <c:v>-1.2538324613275327</c:v>
                </c:pt>
                <c:pt idx="385">
                  <c:v>-0.64203921140027065</c:v>
                </c:pt>
                <c:pt idx="386">
                  <c:v>-0.25006764445572288</c:v>
                </c:pt>
                <c:pt idx="387">
                  <c:v>-0.50397580909700634</c:v>
                </c:pt>
                <c:pt idx="388">
                  <c:v>-0.49030875895016557</c:v>
                </c:pt>
                <c:pt idx="389">
                  <c:v>-0.38411734532977065</c:v>
                </c:pt>
                <c:pt idx="390">
                  <c:v>-0.63794867104905473</c:v>
                </c:pt>
                <c:pt idx="391">
                  <c:v>-0.82772755712920454</c:v>
                </c:pt>
                <c:pt idx="392">
                  <c:v>-0.23422037964176035</c:v>
                </c:pt>
                <c:pt idx="393">
                  <c:v>-0.20729611505883902</c:v>
                </c:pt>
                <c:pt idx="394">
                  <c:v>-0.46130809839308828</c:v>
                </c:pt>
                <c:pt idx="395">
                  <c:v>-0.55276087252654627</c:v>
                </c:pt>
                <c:pt idx="396">
                  <c:v>-0.24755284628529142</c:v>
                </c:pt>
                <c:pt idx="397">
                  <c:v>-0.35959582474480423</c:v>
                </c:pt>
                <c:pt idx="398">
                  <c:v>0.15648035513474798</c:v>
                </c:pt>
                <c:pt idx="399">
                  <c:v>-0.3612976505179375</c:v>
                </c:pt>
                <c:pt idx="400">
                  <c:v>0.10042468556810681</c:v>
                </c:pt>
                <c:pt idx="401">
                  <c:v>-0.22466564880761741</c:v>
                </c:pt>
                <c:pt idx="402">
                  <c:v>-0.9331830956234819</c:v>
                </c:pt>
                <c:pt idx="403">
                  <c:v>-1.1517768040152991</c:v>
                </c:pt>
                <c:pt idx="404">
                  <c:v>-0.5791927216277456</c:v>
                </c:pt>
                <c:pt idx="405">
                  <c:v>-0.14708904742494847</c:v>
                </c:pt>
                <c:pt idx="406">
                  <c:v>0.14590615990842115</c:v>
                </c:pt>
                <c:pt idx="407">
                  <c:v>0.26593564494035615</c:v>
                </c:pt>
                <c:pt idx="408">
                  <c:v>-0.53909180017603409</c:v>
                </c:pt>
                <c:pt idx="409">
                  <c:v>-0.18095641780032129</c:v>
                </c:pt>
                <c:pt idx="410">
                  <c:v>-0.16896869116954097</c:v>
                </c:pt>
                <c:pt idx="411">
                  <c:v>0.18876419768821021</c:v>
                </c:pt>
                <c:pt idx="412">
                  <c:v>-0.40178906848718271</c:v>
                </c:pt>
                <c:pt idx="413">
                  <c:v>-0.58746304819790973</c:v>
                </c:pt>
                <c:pt idx="414">
                  <c:v>-1.2532204122353272</c:v>
                </c:pt>
                <c:pt idx="415">
                  <c:v>-1.1279156955747554</c:v>
                </c:pt>
                <c:pt idx="416">
                  <c:v>-1.1243722263734541</c:v>
                </c:pt>
                <c:pt idx="417">
                  <c:v>-1.5920586706383197</c:v>
                </c:pt>
                <c:pt idx="418">
                  <c:v>-1.3332502995224502</c:v>
                </c:pt>
                <c:pt idx="419">
                  <c:v>-1.6093317792039754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6C-45F6-B455-57D7DE894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2255056"/>
        <c:axId val="852259216"/>
      </c:scatterChart>
      <c:valAx>
        <c:axId val="1197610303"/>
        <c:scaling>
          <c:orientation val="minMax"/>
          <c:max val="2015"/>
          <c:min val="19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605311"/>
        <c:crosses val="autoZero"/>
        <c:crossBetween val="midCat"/>
      </c:valAx>
      <c:valAx>
        <c:axId val="119760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610303"/>
        <c:crosses val="autoZero"/>
        <c:crossBetween val="midCat"/>
      </c:valAx>
      <c:valAx>
        <c:axId val="852259216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crossAx val="852255056"/>
        <c:crosses val="max"/>
        <c:crossBetween val="midCat"/>
      </c:valAx>
      <c:valAx>
        <c:axId val="852255056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852259216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Caudal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Caudal!$D$11:$D$430</c:f>
              <c:numCache>
                <c:formatCode>0.0</c:formatCode>
                <c:ptCount val="420"/>
                <c:pt idx="0">
                  <c:v>1980.99999999326</c:v>
                </c:pt>
                <c:pt idx="1">
                  <c:v>1981.08333332662</c:v>
                </c:pt>
                <c:pt idx="2">
                  <c:v>1981.1666666599799</c:v>
                </c:pt>
                <c:pt idx="3">
                  <c:v>1981.24999999334</c:v>
                </c:pt>
                <c:pt idx="4">
                  <c:v>1981.3333333267001</c:v>
                </c:pt>
                <c:pt idx="5">
                  <c:v>1981.4166666600599</c:v>
                </c:pt>
                <c:pt idx="6">
                  <c:v>1981.49999999342</c:v>
                </c:pt>
                <c:pt idx="7">
                  <c:v>1981.5833333267799</c:v>
                </c:pt>
                <c:pt idx="8">
                  <c:v>1981.66666666014</c:v>
                </c:pt>
                <c:pt idx="9">
                  <c:v>1981.7499999935001</c:v>
                </c:pt>
                <c:pt idx="10">
                  <c:v>1981.8333333268599</c:v>
                </c:pt>
                <c:pt idx="11">
                  <c:v>1981.91666666022</c:v>
                </c:pt>
                <c:pt idx="12">
                  <c:v>1981.9999999935801</c:v>
                </c:pt>
                <c:pt idx="13">
                  <c:v>1982.08333332694</c:v>
                </c:pt>
                <c:pt idx="14">
                  <c:v>1982.1666666603001</c:v>
                </c:pt>
                <c:pt idx="15">
                  <c:v>1982.2499999936599</c:v>
                </c:pt>
                <c:pt idx="16">
                  <c:v>1982.33333332702</c:v>
                </c:pt>
                <c:pt idx="17">
                  <c:v>1982.4166666603801</c:v>
                </c:pt>
                <c:pt idx="18">
                  <c:v>1982.4999999937399</c:v>
                </c:pt>
                <c:pt idx="19">
                  <c:v>1982.5833333271</c:v>
                </c:pt>
                <c:pt idx="20">
                  <c:v>1982.6666666604599</c:v>
                </c:pt>
                <c:pt idx="21">
                  <c:v>1982.74999999382</c:v>
                </c:pt>
                <c:pt idx="22">
                  <c:v>1982.8333333271801</c:v>
                </c:pt>
                <c:pt idx="23">
                  <c:v>1982.9166666605399</c:v>
                </c:pt>
                <c:pt idx="24">
                  <c:v>1982.9999999939</c:v>
                </c:pt>
                <c:pt idx="25">
                  <c:v>1983.0833333272601</c:v>
                </c:pt>
                <c:pt idx="26">
                  <c:v>1983.16666666062</c:v>
                </c:pt>
                <c:pt idx="27">
                  <c:v>1983.2499999939801</c:v>
                </c:pt>
                <c:pt idx="28">
                  <c:v>1983.3333333273399</c:v>
                </c:pt>
                <c:pt idx="29">
                  <c:v>1983.4166666607</c:v>
                </c:pt>
                <c:pt idx="30">
                  <c:v>1983.4999999940601</c:v>
                </c:pt>
                <c:pt idx="31">
                  <c:v>1983.58333332742</c:v>
                </c:pt>
                <c:pt idx="32">
                  <c:v>1983.66666666078</c:v>
                </c:pt>
                <c:pt idx="33">
                  <c:v>1983.7499999941399</c:v>
                </c:pt>
                <c:pt idx="34">
                  <c:v>1983.8333333275</c:v>
                </c:pt>
                <c:pt idx="35">
                  <c:v>1983.9166666608601</c:v>
                </c:pt>
                <c:pt idx="36">
                  <c:v>1983.9999999942199</c:v>
                </c:pt>
                <c:pt idx="37">
                  <c:v>1984.08333332758</c:v>
                </c:pt>
                <c:pt idx="38">
                  <c:v>1984.1666666609401</c:v>
                </c:pt>
                <c:pt idx="39">
                  <c:v>1984.2499999943</c:v>
                </c:pt>
                <c:pt idx="40">
                  <c:v>1984.3333333276601</c:v>
                </c:pt>
                <c:pt idx="41">
                  <c:v>1984.4166666610199</c:v>
                </c:pt>
                <c:pt idx="42">
                  <c:v>1984.49999999438</c:v>
                </c:pt>
                <c:pt idx="43">
                  <c:v>1984.5833333277401</c:v>
                </c:pt>
                <c:pt idx="44">
                  <c:v>1984.6666666611</c:v>
                </c:pt>
                <c:pt idx="45">
                  <c:v>1984.74999999446</c:v>
                </c:pt>
                <c:pt idx="46">
                  <c:v>1984.8333333278199</c:v>
                </c:pt>
                <c:pt idx="47">
                  <c:v>1984.91666666118</c:v>
                </c:pt>
                <c:pt idx="48">
                  <c:v>1984.9999999945401</c:v>
                </c:pt>
                <c:pt idx="49">
                  <c:v>1985.0833333278999</c:v>
                </c:pt>
                <c:pt idx="50">
                  <c:v>1985.16666666126</c:v>
                </c:pt>
                <c:pt idx="51">
                  <c:v>1985.2499999946201</c:v>
                </c:pt>
                <c:pt idx="52">
                  <c:v>1985.33333332798</c:v>
                </c:pt>
                <c:pt idx="53">
                  <c:v>1985.4166666613401</c:v>
                </c:pt>
                <c:pt idx="54">
                  <c:v>1985.4999999946999</c:v>
                </c:pt>
                <c:pt idx="55">
                  <c:v>1985.58333332806</c:v>
                </c:pt>
                <c:pt idx="56">
                  <c:v>1985.6666666614201</c:v>
                </c:pt>
                <c:pt idx="57">
                  <c:v>1985.74999999478</c:v>
                </c:pt>
                <c:pt idx="58">
                  <c:v>1985.83333332814</c:v>
                </c:pt>
                <c:pt idx="59">
                  <c:v>1985.9166666614999</c:v>
                </c:pt>
                <c:pt idx="60">
                  <c:v>1985.99999999486</c:v>
                </c:pt>
                <c:pt idx="61">
                  <c:v>1986.0833333282201</c:v>
                </c:pt>
                <c:pt idx="62">
                  <c:v>1986.1666666615799</c:v>
                </c:pt>
                <c:pt idx="63">
                  <c:v>1986.24999999494</c:v>
                </c:pt>
                <c:pt idx="64">
                  <c:v>1986.3333333282999</c:v>
                </c:pt>
                <c:pt idx="65">
                  <c:v>1986.41666666166</c:v>
                </c:pt>
                <c:pt idx="66">
                  <c:v>1986.4999999950201</c:v>
                </c:pt>
                <c:pt idx="67">
                  <c:v>1986.5833333283799</c:v>
                </c:pt>
                <c:pt idx="68">
                  <c:v>1986.66666666174</c:v>
                </c:pt>
                <c:pt idx="69">
                  <c:v>1986.7499999951001</c:v>
                </c:pt>
                <c:pt idx="70">
                  <c:v>1986.83333332846</c:v>
                </c:pt>
                <c:pt idx="71">
                  <c:v>1986.91666666182</c:v>
                </c:pt>
                <c:pt idx="72">
                  <c:v>1986.9999999951799</c:v>
                </c:pt>
                <c:pt idx="73">
                  <c:v>1987.08333332854</c:v>
                </c:pt>
                <c:pt idx="74">
                  <c:v>1987.1666666619001</c:v>
                </c:pt>
                <c:pt idx="75">
                  <c:v>1987.2499999952599</c:v>
                </c:pt>
                <c:pt idx="76">
                  <c:v>1987.33333332862</c:v>
                </c:pt>
                <c:pt idx="77">
                  <c:v>1987.4166666619799</c:v>
                </c:pt>
                <c:pt idx="78">
                  <c:v>1987.49999999534</c:v>
                </c:pt>
                <c:pt idx="79">
                  <c:v>1987.5833333287001</c:v>
                </c:pt>
                <c:pt idx="80">
                  <c:v>1987.6666666620599</c:v>
                </c:pt>
                <c:pt idx="81">
                  <c:v>1987.74999999543</c:v>
                </c:pt>
                <c:pt idx="82">
                  <c:v>1987.8333333287901</c:v>
                </c:pt>
                <c:pt idx="83">
                  <c:v>1987.91666666215</c:v>
                </c:pt>
                <c:pt idx="84">
                  <c:v>1987.9999999955101</c:v>
                </c:pt>
                <c:pt idx="85">
                  <c:v>1988.0833333288699</c:v>
                </c:pt>
                <c:pt idx="86">
                  <c:v>1988.16666666223</c:v>
                </c:pt>
                <c:pt idx="87">
                  <c:v>1988.2499999955901</c:v>
                </c:pt>
                <c:pt idx="88">
                  <c:v>1988.3333333289499</c:v>
                </c:pt>
                <c:pt idx="89">
                  <c:v>1988.41666666231</c:v>
                </c:pt>
                <c:pt idx="90">
                  <c:v>1988.4999999956699</c:v>
                </c:pt>
                <c:pt idx="91">
                  <c:v>1988.58333332903</c:v>
                </c:pt>
                <c:pt idx="92">
                  <c:v>1988.6666666623901</c:v>
                </c:pt>
                <c:pt idx="93">
                  <c:v>1988.7499999957499</c:v>
                </c:pt>
                <c:pt idx="94">
                  <c:v>1988.83333332911</c:v>
                </c:pt>
                <c:pt idx="95">
                  <c:v>1988.9166666624701</c:v>
                </c:pt>
                <c:pt idx="96">
                  <c:v>1988.99999999583</c:v>
                </c:pt>
                <c:pt idx="97">
                  <c:v>1989.0833333291901</c:v>
                </c:pt>
                <c:pt idx="98">
                  <c:v>1989.1666666625499</c:v>
                </c:pt>
                <c:pt idx="99">
                  <c:v>1989.24999999591</c:v>
                </c:pt>
                <c:pt idx="100">
                  <c:v>1989.3333333292701</c:v>
                </c:pt>
                <c:pt idx="101">
                  <c:v>1989.41666666263</c:v>
                </c:pt>
                <c:pt idx="102">
                  <c:v>1989.49999999599</c:v>
                </c:pt>
                <c:pt idx="103">
                  <c:v>1989.5833333293499</c:v>
                </c:pt>
                <c:pt idx="104">
                  <c:v>1989.66666666271</c:v>
                </c:pt>
                <c:pt idx="105">
                  <c:v>1989.7499999960701</c:v>
                </c:pt>
                <c:pt idx="106">
                  <c:v>1989.8333333294299</c:v>
                </c:pt>
                <c:pt idx="107">
                  <c:v>1989.91666666279</c:v>
                </c:pt>
                <c:pt idx="108">
                  <c:v>1989.9999999961501</c:v>
                </c:pt>
                <c:pt idx="109">
                  <c:v>1990.08333332951</c:v>
                </c:pt>
                <c:pt idx="110">
                  <c:v>1990.1666666628701</c:v>
                </c:pt>
                <c:pt idx="111">
                  <c:v>1990.2499999962299</c:v>
                </c:pt>
                <c:pt idx="112">
                  <c:v>1990.33333332959</c:v>
                </c:pt>
                <c:pt idx="113">
                  <c:v>1990.4166666629501</c:v>
                </c:pt>
                <c:pt idx="114">
                  <c:v>1990.49999999631</c:v>
                </c:pt>
                <c:pt idx="115">
                  <c:v>1990.58333332967</c:v>
                </c:pt>
                <c:pt idx="116">
                  <c:v>1990.6666666630299</c:v>
                </c:pt>
                <c:pt idx="117">
                  <c:v>1990.74999999639</c:v>
                </c:pt>
                <c:pt idx="118">
                  <c:v>1990.8333333297501</c:v>
                </c:pt>
                <c:pt idx="119">
                  <c:v>1990.9166666631099</c:v>
                </c:pt>
                <c:pt idx="120">
                  <c:v>1990.99999999647</c:v>
                </c:pt>
                <c:pt idx="121">
                  <c:v>1991.0833333298301</c:v>
                </c:pt>
                <c:pt idx="122">
                  <c:v>1991.16666666319</c:v>
                </c:pt>
                <c:pt idx="123">
                  <c:v>1991.2499999965501</c:v>
                </c:pt>
                <c:pt idx="124">
                  <c:v>1991.3333333299099</c:v>
                </c:pt>
                <c:pt idx="125">
                  <c:v>1991.41666666327</c:v>
                </c:pt>
                <c:pt idx="126">
                  <c:v>1991.4999999966301</c:v>
                </c:pt>
                <c:pt idx="127">
                  <c:v>1991.58333332999</c:v>
                </c:pt>
                <c:pt idx="128">
                  <c:v>1991.66666666335</c:v>
                </c:pt>
                <c:pt idx="129">
                  <c:v>1991.7499999967099</c:v>
                </c:pt>
                <c:pt idx="130">
                  <c:v>1991.83333333007</c:v>
                </c:pt>
                <c:pt idx="131">
                  <c:v>1991.9166666634301</c:v>
                </c:pt>
                <c:pt idx="132">
                  <c:v>1991.9999999967899</c:v>
                </c:pt>
                <c:pt idx="133">
                  <c:v>1992.08333333015</c:v>
                </c:pt>
                <c:pt idx="134">
                  <c:v>1992.1666666635101</c:v>
                </c:pt>
                <c:pt idx="135">
                  <c:v>1992.24999999687</c:v>
                </c:pt>
                <c:pt idx="136">
                  <c:v>1992.3333333302301</c:v>
                </c:pt>
                <c:pt idx="137">
                  <c:v>1992.4166666635899</c:v>
                </c:pt>
                <c:pt idx="138">
                  <c:v>1992.49999999695</c:v>
                </c:pt>
                <c:pt idx="139">
                  <c:v>1992.5833333303101</c:v>
                </c:pt>
                <c:pt idx="140">
                  <c:v>1992.66666666367</c:v>
                </c:pt>
                <c:pt idx="141">
                  <c:v>1992.74999999703</c:v>
                </c:pt>
                <c:pt idx="142">
                  <c:v>1992.8333333303899</c:v>
                </c:pt>
                <c:pt idx="143">
                  <c:v>1992.91666666375</c:v>
                </c:pt>
                <c:pt idx="144">
                  <c:v>1992.9999999971101</c:v>
                </c:pt>
                <c:pt idx="145">
                  <c:v>1993.0833333304699</c:v>
                </c:pt>
                <c:pt idx="146">
                  <c:v>1993.16666666383</c:v>
                </c:pt>
                <c:pt idx="147">
                  <c:v>1993.2499999971899</c:v>
                </c:pt>
                <c:pt idx="148">
                  <c:v>1993.33333333055</c:v>
                </c:pt>
                <c:pt idx="149">
                  <c:v>1993.4166666639101</c:v>
                </c:pt>
                <c:pt idx="150">
                  <c:v>1993.4999999972699</c:v>
                </c:pt>
                <c:pt idx="151">
                  <c:v>1993.58333333063</c:v>
                </c:pt>
                <c:pt idx="152">
                  <c:v>1993.6666666639901</c:v>
                </c:pt>
                <c:pt idx="153">
                  <c:v>1993.74999999735</c:v>
                </c:pt>
                <c:pt idx="154">
                  <c:v>1993.83333333071</c:v>
                </c:pt>
                <c:pt idx="155">
                  <c:v>1993.9166666640699</c:v>
                </c:pt>
                <c:pt idx="156">
                  <c:v>1993.99999999743</c:v>
                </c:pt>
                <c:pt idx="157">
                  <c:v>1994.0833333307901</c:v>
                </c:pt>
                <c:pt idx="158">
                  <c:v>1994.1666666641499</c:v>
                </c:pt>
                <c:pt idx="159">
                  <c:v>1994.24999999751</c:v>
                </c:pt>
                <c:pt idx="160">
                  <c:v>1994.3333333308699</c:v>
                </c:pt>
                <c:pt idx="161">
                  <c:v>1994.41666666423</c:v>
                </c:pt>
                <c:pt idx="162">
                  <c:v>1994.4999999975901</c:v>
                </c:pt>
                <c:pt idx="163">
                  <c:v>1994.5833333309499</c:v>
                </c:pt>
                <c:pt idx="164">
                  <c:v>1994.66666666431</c:v>
                </c:pt>
                <c:pt idx="165">
                  <c:v>1994.7499999976701</c:v>
                </c:pt>
                <c:pt idx="166">
                  <c:v>1994.83333333103</c:v>
                </c:pt>
                <c:pt idx="167">
                  <c:v>1994.91666666439</c:v>
                </c:pt>
                <c:pt idx="168">
                  <c:v>1994.9999999977499</c:v>
                </c:pt>
                <c:pt idx="169">
                  <c:v>1995.08333333111</c:v>
                </c:pt>
                <c:pt idx="170">
                  <c:v>1995.1666666644701</c:v>
                </c:pt>
                <c:pt idx="171">
                  <c:v>1995.2499999978299</c:v>
                </c:pt>
                <c:pt idx="172">
                  <c:v>1995.33333333119</c:v>
                </c:pt>
                <c:pt idx="173">
                  <c:v>1995.4166666645499</c:v>
                </c:pt>
                <c:pt idx="174">
                  <c:v>1995.49999999791</c:v>
                </c:pt>
                <c:pt idx="175">
                  <c:v>1995.5833333312701</c:v>
                </c:pt>
                <c:pt idx="176">
                  <c:v>1995.6666666646299</c:v>
                </c:pt>
                <c:pt idx="177">
                  <c:v>1995.74999999799</c:v>
                </c:pt>
                <c:pt idx="178">
                  <c:v>1995.8333333313501</c:v>
                </c:pt>
                <c:pt idx="179">
                  <c:v>1995.91666666471</c:v>
                </c:pt>
                <c:pt idx="180">
                  <c:v>1995.9999999980701</c:v>
                </c:pt>
                <c:pt idx="181">
                  <c:v>1996.0833333314299</c:v>
                </c:pt>
                <c:pt idx="182">
                  <c:v>1996.16666666479</c:v>
                </c:pt>
                <c:pt idx="183">
                  <c:v>1996.2499999981501</c:v>
                </c:pt>
                <c:pt idx="184">
                  <c:v>1996.3333333315099</c:v>
                </c:pt>
                <c:pt idx="185">
                  <c:v>1996.41666666487</c:v>
                </c:pt>
                <c:pt idx="186">
                  <c:v>1996.4999999982299</c:v>
                </c:pt>
                <c:pt idx="187">
                  <c:v>1996.58333333159</c:v>
                </c:pt>
                <c:pt idx="188">
                  <c:v>1996.6666666649501</c:v>
                </c:pt>
                <c:pt idx="189">
                  <c:v>1996.7499999983099</c:v>
                </c:pt>
                <c:pt idx="190">
                  <c:v>1996.83333333167</c:v>
                </c:pt>
                <c:pt idx="191">
                  <c:v>1996.9166666650301</c:v>
                </c:pt>
                <c:pt idx="192">
                  <c:v>1996.99999999839</c:v>
                </c:pt>
                <c:pt idx="193">
                  <c:v>1997.0833333317501</c:v>
                </c:pt>
                <c:pt idx="194">
                  <c:v>1997.1666666651099</c:v>
                </c:pt>
                <c:pt idx="195">
                  <c:v>1997.24999999848</c:v>
                </c:pt>
                <c:pt idx="196">
                  <c:v>1997.3333333318401</c:v>
                </c:pt>
                <c:pt idx="197">
                  <c:v>1997.4166666652</c:v>
                </c:pt>
                <c:pt idx="198">
                  <c:v>1997.49999999856</c:v>
                </c:pt>
                <c:pt idx="199">
                  <c:v>1997.5833333319199</c:v>
                </c:pt>
                <c:pt idx="200">
                  <c:v>1997.66666666528</c:v>
                </c:pt>
                <c:pt idx="201">
                  <c:v>1997.7499999986401</c:v>
                </c:pt>
                <c:pt idx="202">
                  <c:v>1997.8333333319999</c:v>
                </c:pt>
                <c:pt idx="203">
                  <c:v>1997.91666666536</c:v>
                </c:pt>
                <c:pt idx="204">
                  <c:v>1997.9999999987201</c:v>
                </c:pt>
                <c:pt idx="205">
                  <c:v>1998.08333333208</c:v>
                </c:pt>
                <c:pt idx="206">
                  <c:v>1998.1666666654401</c:v>
                </c:pt>
                <c:pt idx="207">
                  <c:v>1998.2499999987999</c:v>
                </c:pt>
                <c:pt idx="208">
                  <c:v>1998.33333333216</c:v>
                </c:pt>
                <c:pt idx="209">
                  <c:v>1998.4166666655201</c:v>
                </c:pt>
                <c:pt idx="210">
                  <c:v>1998.49999999888</c:v>
                </c:pt>
                <c:pt idx="211">
                  <c:v>1998.58333333224</c:v>
                </c:pt>
                <c:pt idx="212">
                  <c:v>1998.6666666655999</c:v>
                </c:pt>
                <c:pt idx="213">
                  <c:v>1998.74999999896</c:v>
                </c:pt>
                <c:pt idx="214">
                  <c:v>1998.8333333323201</c:v>
                </c:pt>
                <c:pt idx="215">
                  <c:v>1998.9166666656799</c:v>
                </c:pt>
                <c:pt idx="216">
                  <c:v>1998.99999999904</c:v>
                </c:pt>
                <c:pt idx="217">
                  <c:v>1999.0833333323999</c:v>
                </c:pt>
                <c:pt idx="218">
                  <c:v>1999.16666666576</c:v>
                </c:pt>
                <c:pt idx="219">
                  <c:v>1999.2499999991201</c:v>
                </c:pt>
                <c:pt idx="220">
                  <c:v>1999.3333333324799</c:v>
                </c:pt>
                <c:pt idx="221">
                  <c:v>1999.41666666584</c:v>
                </c:pt>
                <c:pt idx="222">
                  <c:v>1999.4999999992001</c:v>
                </c:pt>
                <c:pt idx="223">
                  <c:v>1999.58333333256</c:v>
                </c:pt>
                <c:pt idx="224">
                  <c:v>1999.66666666592</c:v>
                </c:pt>
                <c:pt idx="225">
                  <c:v>1999.7499999992799</c:v>
                </c:pt>
                <c:pt idx="226">
                  <c:v>1999.83333333264</c:v>
                </c:pt>
                <c:pt idx="227">
                  <c:v>1999.9166666660001</c:v>
                </c:pt>
                <c:pt idx="228">
                  <c:v>2000</c:v>
                </c:pt>
                <c:pt idx="229">
                  <c:v>2000.0833333333101</c:v>
                </c:pt>
                <c:pt idx="230">
                  <c:v>2000.1666666666399</c:v>
                </c:pt>
                <c:pt idx="231">
                  <c:v>2000.24999999997</c:v>
                </c:pt>
                <c:pt idx="232">
                  <c:v>2000.3333333333101</c:v>
                </c:pt>
                <c:pt idx="233">
                  <c:v>2000.4166666666399</c:v>
                </c:pt>
                <c:pt idx="234">
                  <c:v>2000.49999999997</c:v>
                </c:pt>
                <c:pt idx="235">
                  <c:v>2000.5833333333101</c:v>
                </c:pt>
                <c:pt idx="236">
                  <c:v>2000.6666666666399</c:v>
                </c:pt>
                <c:pt idx="237">
                  <c:v>2000.74999999997</c:v>
                </c:pt>
                <c:pt idx="238">
                  <c:v>2000.8333333333101</c:v>
                </c:pt>
                <c:pt idx="239">
                  <c:v>2000.9166666666399</c:v>
                </c:pt>
                <c:pt idx="240">
                  <c:v>2001</c:v>
                </c:pt>
                <c:pt idx="241">
                  <c:v>2001.0833333333101</c:v>
                </c:pt>
                <c:pt idx="242">
                  <c:v>2001.1666666666399</c:v>
                </c:pt>
                <c:pt idx="243">
                  <c:v>2001.24999999997</c:v>
                </c:pt>
                <c:pt idx="244">
                  <c:v>2001.3333333333101</c:v>
                </c:pt>
                <c:pt idx="245">
                  <c:v>2001.4166666666399</c:v>
                </c:pt>
                <c:pt idx="246">
                  <c:v>2001.49999999998</c:v>
                </c:pt>
                <c:pt idx="247">
                  <c:v>2001.5833333333101</c:v>
                </c:pt>
                <c:pt idx="248">
                  <c:v>2001.6666666666399</c:v>
                </c:pt>
                <c:pt idx="249">
                  <c:v>2001.74999999998</c:v>
                </c:pt>
                <c:pt idx="250">
                  <c:v>2001.8333333333101</c:v>
                </c:pt>
                <c:pt idx="251">
                  <c:v>2001.9166666666399</c:v>
                </c:pt>
                <c:pt idx="252">
                  <c:v>2002</c:v>
                </c:pt>
                <c:pt idx="253">
                  <c:v>2002.0833333333101</c:v>
                </c:pt>
                <c:pt idx="254">
                  <c:v>2002.1666666666399</c:v>
                </c:pt>
                <c:pt idx="255">
                  <c:v>2002.24999999998</c:v>
                </c:pt>
                <c:pt idx="256">
                  <c:v>2002.3333333333101</c:v>
                </c:pt>
                <c:pt idx="257">
                  <c:v>2002.4166666666399</c:v>
                </c:pt>
                <c:pt idx="258">
                  <c:v>2002.49999999998</c:v>
                </c:pt>
                <c:pt idx="259">
                  <c:v>2002.5833333333101</c:v>
                </c:pt>
                <c:pt idx="260">
                  <c:v>2002.6666666666399</c:v>
                </c:pt>
                <c:pt idx="261">
                  <c:v>2002.74999999998</c:v>
                </c:pt>
                <c:pt idx="262">
                  <c:v>2002.8333333333101</c:v>
                </c:pt>
                <c:pt idx="263">
                  <c:v>2002.9166666666399</c:v>
                </c:pt>
                <c:pt idx="264">
                  <c:v>2003</c:v>
                </c:pt>
                <c:pt idx="265">
                  <c:v>2003.0833333333101</c:v>
                </c:pt>
                <c:pt idx="266">
                  <c:v>2003.1666666666499</c:v>
                </c:pt>
                <c:pt idx="267">
                  <c:v>2003.24999999998</c:v>
                </c:pt>
                <c:pt idx="268">
                  <c:v>2003.3333333333101</c:v>
                </c:pt>
                <c:pt idx="269">
                  <c:v>2003.4166666666499</c:v>
                </c:pt>
                <c:pt idx="270">
                  <c:v>2003.49999999998</c:v>
                </c:pt>
                <c:pt idx="271">
                  <c:v>2003.5833333333101</c:v>
                </c:pt>
                <c:pt idx="272">
                  <c:v>2003.6666666666499</c:v>
                </c:pt>
                <c:pt idx="273">
                  <c:v>2003.74999999998</c:v>
                </c:pt>
                <c:pt idx="274">
                  <c:v>2003.8333333333101</c:v>
                </c:pt>
                <c:pt idx="275">
                  <c:v>2003.9166666666499</c:v>
                </c:pt>
                <c:pt idx="276">
                  <c:v>2004</c:v>
                </c:pt>
                <c:pt idx="277">
                  <c:v>2004.0833333333101</c:v>
                </c:pt>
                <c:pt idx="278">
                  <c:v>2004.1666666666499</c:v>
                </c:pt>
                <c:pt idx="279">
                  <c:v>2004.24999999998</c:v>
                </c:pt>
                <c:pt idx="280">
                  <c:v>2004.3333333333101</c:v>
                </c:pt>
                <c:pt idx="281">
                  <c:v>2004.4166666666499</c:v>
                </c:pt>
                <c:pt idx="282">
                  <c:v>2004.49999999998</c:v>
                </c:pt>
                <c:pt idx="283">
                  <c:v>2004.5833333333101</c:v>
                </c:pt>
                <c:pt idx="284">
                  <c:v>2004.6666666666499</c:v>
                </c:pt>
                <c:pt idx="285">
                  <c:v>2004.74999999998</c:v>
                </c:pt>
                <c:pt idx="286">
                  <c:v>2004.8333333333101</c:v>
                </c:pt>
                <c:pt idx="287">
                  <c:v>2004.9166666666499</c:v>
                </c:pt>
                <c:pt idx="288">
                  <c:v>2005</c:v>
                </c:pt>
                <c:pt idx="289">
                  <c:v>2005.0833333333201</c:v>
                </c:pt>
                <c:pt idx="290">
                  <c:v>2005.1666666666499</c:v>
                </c:pt>
                <c:pt idx="291">
                  <c:v>2005.24999999998</c:v>
                </c:pt>
                <c:pt idx="292">
                  <c:v>2005.3333333333201</c:v>
                </c:pt>
                <c:pt idx="293">
                  <c:v>2005.4166666666499</c:v>
                </c:pt>
                <c:pt idx="294">
                  <c:v>2005.49999999998</c:v>
                </c:pt>
                <c:pt idx="295">
                  <c:v>2005.5833333333201</c:v>
                </c:pt>
                <c:pt idx="296">
                  <c:v>2005.6666666666499</c:v>
                </c:pt>
                <c:pt idx="297">
                  <c:v>2005.74999999998</c:v>
                </c:pt>
                <c:pt idx="298">
                  <c:v>2005.8333333333201</c:v>
                </c:pt>
                <c:pt idx="299">
                  <c:v>2005.9166666666499</c:v>
                </c:pt>
                <c:pt idx="300">
                  <c:v>2006</c:v>
                </c:pt>
                <c:pt idx="301">
                  <c:v>2006.0833333333201</c:v>
                </c:pt>
                <c:pt idx="302">
                  <c:v>2006.1666666666499</c:v>
                </c:pt>
                <c:pt idx="303">
                  <c:v>2006.24999999998</c:v>
                </c:pt>
                <c:pt idx="304">
                  <c:v>2006.3333333333201</c:v>
                </c:pt>
                <c:pt idx="305">
                  <c:v>2006.4166666666499</c:v>
                </c:pt>
                <c:pt idx="306">
                  <c:v>2006.49999999998</c:v>
                </c:pt>
                <c:pt idx="307">
                  <c:v>2006.5833333333201</c:v>
                </c:pt>
                <c:pt idx="308">
                  <c:v>2006.6666666666499</c:v>
                </c:pt>
                <c:pt idx="309">
                  <c:v>2006.74999999998</c:v>
                </c:pt>
                <c:pt idx="310">
                  <c:v>2006.8333333333201</c:v>
                </c:pt>
                <c:pt idx="311">
                  <c:v>2006.9166666666499</c:v>
                </c:pt>
                <c:pt idx="312">
                  <c:v>2007</c:v>
                </c:pt>
                <c:pt idx="313">
                  <c:v>2007.0833333333201</c:v>
                </c:pt>
                <c:pt idx="314">
                  <c:v>2007.1666666666499</c:v>
                </c:pt>
                <c:pt idx="315">
                  <c:v>2007.24999999999</c:v>
                </c:pt>
                <c:pt idx="316">
                  <c:v>2007.3333333333201</c:v>
                </c:pt>
                <c:pt idx="317">
                  <c:v>2007.4166666666499</c:v>
                </c:pt>
                <c:pt idx="318">
                  <c:v>2007.49999999999</c:v>
                </c:pt>
                <c:pt idx="319">
                  <c:v>2007.5833333333201</c:v>
                </c:pt>
                <c:pt idx="320">
                  <c:v>2007.6666666666499</c:v>
                </c:pt>
                <c:pt idx="321">
                  <c:v>2007.74999999999</c:v>
                </c:pt>
                <c:pt idx="322">
                  <c:v>2007.8333333333201</c:v>
                </c:pt>
                <c:pt idx="323">
                  <c:v>2007.9166666666499</c:v>
                </c:pt>
                <c:pt idx="324">
                  <c:v>2008</c:v>
                </c:pt>
                <c:pt idx="325">
                  <c:v>2008.0833333333201</c:v>
                </c:pt>
                <c:pt idx="326">
                  <c:v>2008.1666666666499</c:v>
                </c:pt>
                <c:pt idx="327">
                  <c:v>2008.24999999999</c:v>
                </c:pt>
                <c:pt idx="328">
                  <c:v>2008.3333333333201</c:v>
                </c:pt>
                <c:pt idx="329">
                  <c:v>2008.4166666666499</c:v>
                </c:pt>
                <c:pt idx="330">
                  <c:v>2008.49999999999</c:v>
                </c:pt>
                <c:pt idx="331">
                  <c:v>2008.5833333333201</c:v>
                </c:pt>
                <c:pt idx="332">
                  <c:v>2008.6666666666599</c:v>
                </c:pt>
                <c:pt idx="333">
                  <c:v>2008.74999999999</c:v>
                </c:pt>
                <c:pt idx="334">
                  <c:v>2008.8333333333201</c:v>
                </c:pt>
                <c:pt idx="335">
                  <c:v>2008.9166666666599</c:v>
                </c:pt>
                <c:pt idx="336">
                  <c:v>2009</c:v>
                </c:pt>
                <c:pt idx="337">
                  <c:v>2009.0833333333201</c:v>
                </c:pt>
                <c:pt idx="338">
                  <c:v>2009.1666666666599</c:v>
                </c:pt>
                <c:pt idx="339">
                  <c:v>2009.24999999999</c:v>
                </c:pt>
                <c:pt idx="340">
                  <c:v>2009.3333333333201</c:v>
                </c:pt>
                <c:pt idx="341">
                  <c:v>2009.4166666666599</c:v>
                </c:pt>
                <c:pt idx="342">
                  <c:v>2009.49999999999</c:v>
                </c:pt>
                <c:pt idx="343">
                  <c:v>2009.5833333333201</c:v>
                </c:pt>
                <c:pt idx="344">
                  <c:v>2009.6666666666599</c:v>
                </c:pt>
                <c:pt idx="345">
                  <c:v>2009.74999999999</c:v>
                </c:pt>
                <c:pt idx="346">
                  <c:v>2009.8333333333201</c:v>
                </c:pt>
                <c:pt idx="347">
                  <c:v>2009.9166666666599</c:v>
                </c:pt>
                <c:pt idx="348">
                  <c:v>2010</c:v>
                </c:pt>
                <c:pt idx="349">
                  <c:v>2010.0833333333201</c:v>
                </c:pt>
                <c:pt idx="350">
                  <c:v>2010.1666666666599</c:v>
                </c:pt>
                <c:pt idx="351">
                  <c:v>2010.24999999999</c:v>
                </c:pt>
                <c:pt idx="352">
                  <c:v>2010.3333333333201</c:v>
                </c:pt>
                <c:pt idx="353">
                  <c:v>2010.4166666666599</c:v>
                </c:pt>
                <c:pt idx="354">
                  <c:v>2010.49999999999</c:v>
                </c:pt>
                <c:pt idx="355">
                  <c:v>2010.5833333333301</c:v>
                </c:pt>
                <c:pt idx="356">
                  <c:v>2010.6666666666599</c:v>
                </c:pt>
                <c:pt idx="357">
                  <c:v>2010.74999999999</c:v>
                </c:pt>
                <c:pt idx="358">
                  <c:v>2010.8333333333301</c:v>
                </c:pt>
                <c:pt idx="359">
                  <c:v>2010.9166666666599</c:v>
                </c:pt>
                <c:pt idx="360">
                  <c:v>2011</c:v>
                </c:pt>
                <c:pt idx="361">
                  <c:v>2011.0833333333301</c:v>
                </c:pt>
                <c:pt idx="362">
                  <c:v>2011.1666666666599</c:v>
                </c:pt>
                <c:pt idx="363">
                  <c:v>2011.24999999999</c:v>
                </c:pt>
                <c:pt idx="364">
                  <c:v>2011.3333333333301</c:v>
                </c:pt>
                <c:pt idx="365">
                  <c:v>2011.4166666666599</c:v>
                </c:pt>
                <c:pt idx="366">
                  <c:v>2011.49999999999</c:v>
                </c:pt>
                <c:pt idx="367">
                  <c:v>2011.5833333333301</c:v>
                </c:pt>
                <c:pt idx="368">
                  <c:v>2011.6666666666599</c:v>
                </c:pt>
                <c:pt idx="369">
                  <c:v>2011.74999999999</c:v>
                </c:pt>
                <c:pt idx="370">
                  <c:v>2011.8333333333301</c:v>
                </c:pt>
                <c:pt idx="371">
                  <c:v>2011.9166666666599</c:v>
                </c:pt>
                <c:pt idx="372">
                  <c:v>2012</c:v>
                </c:pt>
                <c:pt idx="373">
                  <c:v>2012.0833333333301</c:v>
                </c:pt>
                <c:pt idx="374">
                  <c:v>2012.1666666666599</c:v>
                </c:pt>
                <c:pt idx="375">
                  <c:v>2012.24999999999</c:v>
                </c:pt>
                <c:pt idx="376">
                  <c:v>2012.3333333333301</c:v>
                </c:pt>
                <c:pt idx="377">
                  <c:v>2012.4166666666599</c:v>
                </c:pt>
                <c:pt idx="378">
                  <c:v>2012.5</c:v>
                </c:pt>
                <c:pt idx="379">
                  <c:v>2012.5833333333301</c:v>
                </c:pt>
                <c:pt idx="380">
                  <c:v>2012.6666666666599</c:v>
                </c:pt>
                <c:pt idx="381">
                  <c:v>2012.75</c:v>
                </c:pt>
                <c:pt idx="382">
                  <c:v>2012.8333333333301</c:v>
                </c:pt>
                <c:pt idx="383">
                  <c:v>2012.9166666666599</c:v>
                </c:pt>
                <c:pt idx="384">
                  <c:v>2013</c:v>
                </c:pt>
                <c:pt idx="385">
                  <c:v>2013.0833333333301</c:v>
                </c:pt>
                <c:pt idx="386">
                  <c:v>2013.1666666666599</c:v>
                </c:pt>
                <c:pt idx="387">
                  <c:v>2013.25</c:v>
                </c:pt>
                <c:pt idx="388">
                  <c:v>2013.3333333333301</c:v>
                </c:pt>
                <c:pt idx="389">
                  <c:v>2013.4166666666599</c:v>
                </c:pt>
                <c:pt idx="390">
                  <c:v>2013.5</c:v>
                </c:pt>
                <c:pt idx="391">
                  <c:v>2013.5833333333301</c:v>
                </c:pt>
                <c:pt idx="392">
                  <c:v>2013.6666666666599</c:v>
                </c:pt>
                <c:pt idx="393">
                  <c:v>2013.75</c:v>
                </c:pt>
                <c:pt idx="394">
                  <c:v>2013.8333333333301</c:v>
                </c:pt>
                <c:pt idx="395">
                  <c:v>2013.9166666666599</c:v>
                </c:pt>
                <c:pt idx="396">
                  <c:v>2014</c:v>
                </c:pt>
                <c:pt idx="397">
                  <c:v>2014.0833333333333</c:v>
                </c:pt>
                <c:pt idx="398">
                  <c:v>2014.1666666666665</c:v>
                </c:pt>
                <c:pt idx="399">
                  <c:v>2014.25</c:v>
                </c:pt>
                <c:pt idx="400">
                  <c:v>2014.3333333333333</c:v>
                </c:pt>
                <c:pt idx="401">
                  <c:v>2014.4166666666665</c:v>
                </c:pt>
                <c:pt idx="402">
                  <c:v>2014.5</c:v>
                </c:pt>
                <c:pt idx="403">
                  <c:v>2014.5833333333333</c:v>
                </c:pt>
                <c:pt idx="404">
                  <c:v>2014.6666666666665</c:v>
                </c:pt>
                <c:pt idx="405">
                  <c:v>2014.75</c:v>
                </c:pt>
                <c:pt idx="406">
                  <c:v>2014.8333333333333</c:v>
                </c:pt>
                <c:pt idx="407">
                  <c:v>2014.9166666666665</c:v>
                </c:pt>
                <c:pt idx="408">
                  <c:v>2015</c:v>
                </c:pt>
                <c:pt idx="409">
                  <c:v>2015.0833333333333</c:v>
                </c:pt>
                <c:pt idx="410">
                  <c:v>2015.1666666666665</c:v>
                </c:pt>
                <c:pt idx="411">
                  <c:v>2015.25</c:v>
                </c:pt>
                <c:pt idx="412">
                  <c:v>2015.3333333333333</c:v>
                </c:pt>
                <c:pt idx="413">
                  <c:v>2015.4166666666665</c:v>
                </c:pt>
                <c:pt idx="414">
                  <c:v>2015.5</c:v>
                </c:pt>
                <c:pt idx="415">
                  <c:v>2015.5833333333333</c:v>
                </c:pt>
                <c:pt idx="416">
                  <c:v>2015.6666666666665</c:v>
                </c:pt>
                <c:pt idx="417">
                  <c:v>2015.75</c:v>
                </c:pt>
                <c:pt idx="418">
                  <c:v>2015.8333333333333</c:v>
                </c:pt>
                <c:pt idx="419">
                  <c:v>2015.9166666666665</c:v>
                </c:pt>
              </c:numCache>
            </c:numRef>
          </c:xVal>
          <c:yVal>
            <c:numRef>
              <c:f>Caudal!$C$11:$C$430</c:f>
              <c:numCache>
                <c:formatCode>General</c:formatCode>
                <c:ptCount val="420"/>
                <c:pt idx="0">
                  <c:v>204.2</c:v>
                </c:pt>
                <c:pt idx="1">
                  <c:v>88.46</c:v>
                </c:pt>
                <c:pt idx="2">
                  <c:v>97.09</c:v>
                </c:pt>
                <c:pt idx="3">
                  <c:v>106</c:v>
                </c:pt>
                <c:pt idx="4">
                  <c:v>219.4</c:v>
                </c:pt>
                <c:pt idx="5">
                  <c:v>351.2</c:v>
                </c:pt>
                <c:pt idx="6">
                  <c:v>385.8</c:v>
                </c:pt>
                <c:pt idx="7">
                  <c:v>346.6</c:v>
                </c:pt>
                <c:pt idx="8">
                  <c:v>310</c:v>
                </c:pt>
                <c:pt idx="9">
                  <c:v>303.7</c:v>
                </c:pt>
                <c:pt idx="10">
                  <c:v>320.60000000000002</c:v>
                </c:pt>
                <c:pt idx="11">
                  <c:v>341.9</c:v>
                </c:pt>
                <c:pt idx="12">
                  <c:v>297.8</c:v>
                </c:pt>
                <c:pt idx="13">
                  <c:v>188.5</c:v>
                </c:pt>
                <c:pt idx="14">
                  <c:v>120.9</c:v>
                </c:pt>
                <c:pt idx="15">
                  <c:v>149.6</c:v>
                </c:pt>
                <c:pt idx="16">
                  <c:v>242.5</c:v>
                </c:pt>
                <c:pt idx="17">
                  <c:v>352.6</c:v>
                </c:pt>
                <c:pt idx="18">
                  <c:v>348.8</c:v>
                </c:pt>
                <c:pt idx="19">
                  <c:v>220.8</c:v>
                </c:pt>
                <c:pt idx="20">
                  <c:v>170.1</c:v>
                </c:pt>
                <c:pt idx="21">
                  <c:v>221</c:v>
                </c:pt>
                <c:pt idx="22">
                  <c:v>299.5</c:v>
                </c:pt>
                <c:pt idx="23">
                  <c:v>264.39999999999998</c:v>
                </c:pt>
                <c:pt idx="24">
                  <c:v>84.92</c:v>
                </c:pt>
                <c:pt idx="25">
                  <c:v>40.630000000000003</c:v>
                </c:pt>
                <c:pt idx="26">
                  <c:v>39.31</c:v>
                </c:pt>
                <c:pt idx="27">
                  <c:v>62.67</c:v>
                </c:pt>
                <c:pt idx="28">
                  <c:v>81.27</c:v>
                </c:pt>
                <c:pt idx="29">
                  <c:v>104.4</c:v>
                </c:pt>
                <c:pt idx="30">
                  <c:v>141.80000000000001</c:v>
                </c:pt>
                <c:pt idx="31">
                  <c:v>209.2</c:v>
                </c:pt>
                <c:pt idx="32">
                  <c:v>224.2</c:v>
                </c:pt>
                <c:pt idx="33">
                  <c:v>272.2</c:v>
                </c:pt>
                <c:pt idx="34">
                  <c:v>313.10000000000002</c:v>
                </c:pt>
                <c:pt idx="35">
                  <c:v>310.5</c:v>
                </c:pt>
                <c:pt idx="36">
                  <c:v>347.1</c:v>
                </c:pt>
                <c:pt idx="37">
                  <c:v>223.7</c:v>
                </c:pt>
                <c:pt idx="38">
                  <c:v>173.2</c:v>
                </c:pt>
                <c:pt idx="39">
                  <c:v>131.1</c:v>
                </c:pt>
                <c:pt idx="40">
                  <c:v>219.3</c:v>
                </c:pt>
                <c:pt idx="41">
                  <c:v>321.7</c:v>
                </c:pt>
                <c:pt idx="42">
                  <c:v>390.4</c:v>
                </c:pt>
                <c:pt idx="43">
                  <c:v>438.9</c:v>
                </c:pt>
                <c:pt idx="44">
                  <c:v>426.4</c:v>
                </c:pt>
                <c:pt idx="45">
                  <c:v>474.2</c:v>
                </c:pt>
                <c:pt idx="46">
                  <c:v>576</c:v>
                </c:pt>
                <c:pt idx="47">
                  <c:v>629</c:v>
                </c:pt>
                <c:pt idx="48">
                  <c:v>435.8</c:v>
                </c:pt>
                <c:pt idx="49">
                  <c:v>227.1</c:v>
                </c:pt>
                <c:pt idx="50">
                  <c:v>142.1</c:v>
                </c:pt>
                <c:pt idx="51">
                  <c:v>165.8</c:v>
                </c:pt>
                <c:pt idx="52">
                  <c:v>227.4</c:v>
                </c:pt>
                <c:pt idx="53">
                  <c:v>280.2</c:v>
                </c:pt>
                <c:pt idx="54">
                  <c:v>214.8</c:v>
                </c:pt>
                <c:pt idx="55">
                  <c:v>265.8</c:v>
                </c:pt>
                <c:pt idx="56">
                  <c:v>345.3</c:v>
                </c:pt>
                <c:pt idx="57">
                  <c:v>406.3</c:v>
                </c:pt>
                <c:pt idx="58">
                  <c:v>459.5</c:v>
                </c:pt>
                <c:pt idx="59">
                  <c:v>478.3</c:v>
                </c:pt>
                <c:pt idx="60">
                  <c:v>307.5</c:v>
                </c:pt>
                <c:pt idx="61">
                  <c:v>181.2</c:v>
                </c:pt>
                <c:pt idx="62">
                  <c:v>192.4</c:v>
                </c:pt>
                <c:pt idx="63">
                  <c:v>233.3</c:v>
                </c:pt>
                <c:pt idx="64">
                  <c:v>326.8</c:v>
                </c:pt>
                <c:pt idx="65">
                  <c:v>386.4</c:v>
                </c:pt>
                <c:pt idx="66">
                  <c:v>389.3</c:v>
                </c:pt>
                <c:pt idx="67">
                  <c:v>270.3</c:v>
                </c:pt>
                <c:pt idx="68">
                  <c:v>245.5</c:v>
                </c:pt>
                <c:pt idx="69">
                  <c:v>337.8</c:v>
                </c:pt>
                <c:pt idx="70">
                  <c:v>460.5</c:v>
                </c:pt>
                <c:pt idx="71">
                  <c:v>476.3</c:v>
                </c:pt>
                <c:pt idx="72">
                  <c:v>254.4</c:v>
                </c:pt>
                <c:pt idx="73">
                  <c:v>105.7</c:v>
                </c:pt>
                <c:pt idx="74">
                  <c:v>79</c:v>
                </c:pt>
                <c:pt idx="75">
                  <c:v>118.8</c:v>
                </c:pt>
                <c:pt idx="76">
                  <c:v>247.8</c:v>
                </c:pt>
                <c:pt idx="77">
                  <c:v>321.3</c:v>
                </c:pt>
                <c:pt idx="78">
                  <c:v>279.7</c:v>
                </c:pt>
                <c:pt idx="79">
                  <c:v>350.9</c:v>
                </c:pt>
                <c:pt idx="80">
                  <c:v>385.4</c:v>
                </c:pt>
                <c:pt idx="81">
                  <c:v>456.9</c:v>
                </c:pt>
                <c:pt idx="82">
                  <c:v>547.29999999999995</c:v>
                </c:pt>
                <c:pt idx="83">
                  <c:v>603.29999999999995</c:v>
                </c:pt>
                <c:pt idx="84">
                  <c:v>438.4</c:v>
                </c:pt>
                <c:pt idx="85">
                  <c:v>192.3</c:v>
                </c:pt>
                <c:pt idx="86">
                  <c:v>123.6</c:v>
                </c:pt>
                <c:pt idx="87">
                  <c:v>175</c:v>
                </c:pt>
                <c:pt idx="88">
                  <c:v>286.3</c:v>
                </c:pt>
                <c:pt idx="89">
                  <c:v>347</c:v>
                </c:pt>
                <c:pt idx="90">
                  <c:v>473.6</c:v>
                </c:pt>
                <c:pt idx="91">
                  <c:v>555.29999999999995</c:v>
                </c:pt>
                <c:pt idx="92">
                  <c:v>623.9</c:v>
                </c:pt>
                <c:pt idx="93">
                  <c:v>683.7</c:v>
                </c:pt>
                <c:pt idx="94">
                  <c:v>677.1</c:v>
                </c:pt>
                <c:pt idx="95">
                  <c:v>670</c:v>
                </c:pt>
                <c:pt idx="96">
                  <c:v>546.9</c:v>
                </c:pt>
                <c:pt idx="97">
                  <c:v>374</c:v>
                </c:pt>
                <c:pt idx="98">
                  <c:v>254.9</c:v>
                </c:pt>
                <c:pt idx="99">
                  <c:v>219.7</c:v>
                </c:pt>
                <c:pt idx="100">
                  <c:v>237.3</c:v>
                </c:pt>
                <c:pt idx="101">
                  <c:v>313</c:v>
                </c:pt>
                <c:pt idx="102">
                  <c:v>318.2</c:v>
                </c:pt>
                <c:pt idx="103">
                  <c:v>305.7</c:v>
                </c:pt>
                <c:pt idx="104">
                  <c:v>356.6</c:v>
                </c:pt>
                <c:pt idx="105">
                  <c:v>453.6</c:v>
                </c:pt>
                <c:pt idx="106">
                  <c:v>529.4</c:v>
                </c:pt>
                <c:pt idx="107">
                  <c:v>522.4</c:v>
                </c:pt>
                <c:pt idx="108">
                  <c:v>330.1</c:v>
                </c:pt>
                <c:pt idx="109">
                  <c:v>208.9</c:v>
                </c:pt>
                <c:pt idx="110">
                  <c:v>184.1</c:v>
                </c:pt>
                <c:pt idx="111">
                  <c:v>204.3</c:v>
                </c:pt>
                <c:pt idx="112">
                  <c:v>306.89999999999998</c:v>
                </c:pt>
                <c:pt idx="113">
                  <c:v>335.2</c:v>
                </c:pt>
                <c:pt idx="114">
                  <c:v>325.10000000000002</c:v>
                </c:pt>
                <c:pt idx="115">
                  <c:v>294.8</c:v>
                </c:pt>
                <c:pt idx="116">
                  <c:v>304.10000000000002</c:v>
                </c:pt>
                <c:pt idx="117">
                  <c:v>365.6</c:v>
                </c:pt>
                <c:pt idx="118">
                  <c:v>455.1</c:v>
                </c:pt>
                <c:pt idx="119">
                  <c:v>479.1</c:v>
                </c:pt>
                <c:pt idx="120">
                  <c:v>282.3</c:v>
                </c:pt>
                <c:pt idx="121">
                  <c:v>157.6</c:v>
                </c:pt>
                <c:pt idx="122">
                  <c:v>157.69999999999999</c:v>
                </c:pt>
                <c:pt idx="123">
                  <c:v>171.9</c:v>
                </c:pt>
                <c:pt idx="124">
                  <c:v>232.1</c:v>
                </c:pt>
                <c:pt idx="125">
                  <c:v>268.8</c:v>
                </c:pt>
                <c:pt idx="126">
                  <c:v>267.10000000000002</c:v>
                </c:pt>
                <c:pt idx="127">
                  <c:v>250.5</c:v>
                </c:pt>
                <c:pt idx="128">
                  <c:v>212.1</c:v>
                </c:pt>
                <c:pt idx="129">
                  <c:v>290.89999999999998</c:v>
                </c:pt>
                <c:pt idx="130">
                  <c:v>311.39999999999998</c:v>
                </c:pt>
                <c:pt idx="131">
                  <c:v>311.2</c:v>
                </c:pt>
                <c:pt idx="132">
                  <c:v>238.2</c:v>
                </c:pt>
                <c:pt idx="133">
                  <c:v>140.1</c:v>
                </c:pt>
                <c:pt idx="134">
                  <c:v>128.9</c:v>
                </c:pt>
                <c:pt idx="135">
                  <c:v>130.30000000000001</c:v>
                </c:pt>
                <c:pt idx="136">
                  <c:v>199.3</c:v>
                </c:pt>
                <c:pt idx="137">
                  <c:v>263.10000000000002</c:v>
                </c:pt>
                <c:pt idx="138">
                  <c:v>224.9</c:v>
                </c:pt>
                <c:pt idx="139">
                  <c:v>272.89999999999998</c:v>
                </c:pt>
                <c:pt idx="140">
                  <c:v>304.7</c:v>
                </c:pt>
                <c:pt idx="141">
                  <c:v>385</c:v>
                </c:pt>
                <c:pt idx="142">
                  <c:v>350.6</c:v>
                </c:pt>
                <c:pt idx="143">
                  <c:v>348.1</c:v>
                </c:pt>
                <c:pt idx="144">
                  <c:v>252.6</c:v>
                </c:pt>
                <c:pt idx="145">
                  <c:v>169.5</c:v>
                </c:pt>
                <c:pt idx="146">
                  <c:v>143.9</c:v>
                </c:pt>
                <c:pt idx="147">
                  <c:v>223.8</c:v>
                </c:pt>
                <c:pt idx="148">
                  <c:v>340.4</c:v>
                </c:pt>
                <c:pt idx="149">
                  <c:v>397.4</c:v>
                </c:pt>
                <c:pt idx="150">
                  <c:v>385.8</c:v>
                </c:pt>
                <c:pt idx="151">
                  <c:v>328.7</c:v>
                </c:pt>
                <c:pt idx="152">
                  <c:v>351.7</c:v>
                </c:pt>
                <c:pt idx="153">
                  <c:v>407.6</c:v>
                </c:pt>
                <c:pt idx="154">
                  <c:v>432.1</c:v>
                </c:pt>
                <c:pt idx="155">
                  <c:v>456.5</c:v>
                </c:pt>
                <c:pt idx="156">
                  <c:v>443.9</c:v>
                </c:pt>
                <c:pt idx="157">
                  <c:v>270.10000000000002</c:v>
                </c:pt>
                <c:pt idx="158">
                  <c:v>232.3</c:v>
                </c:pt>
                <c:pt idx="159">
                  <c:v>304.2</c:v>
                </c:pt>
                <c:pt idx="160">
                  <c:v>379.7</c:v>
                </c:pt>
                <c:pt idx="161">
                  <c:v>444.4</c:v>
                </c:pt>
                <c:pt idx="162">
                  <c:v>446.2</c:v>
                </c:pt>
                <c:pt idx="163">
                  <c:v>377.2</c:v>
                </c:pt>
                <c:pt idx="164">
                  <c:v>350.3</c:v>
                </c:pt>
                <c:pt idx="165">
                  <c:v>413</c:v>
                </c:pt>
                <c:pt idx="166">
                  <c:v>473.5</c:v>
                </c:pt>
                <c:pt idx="167">
                  <c:v>485.2</c:v>
                </c:pt>
                <c:pt idx="168">
                  <c:v>344.7</c:v>
                </c:pt>
                <c:pt idx="169">
                  <c:v>148.6</c:v>
                </c:pt>
                <c:pt idx="170">
                  <c:v>135.19999999999999</c:v>
                </c:pt>
                <c:pt idx="171">
                  <c:v>182.4</c:v>
                </c:pt>
                <c:pt idx="172">
                  <c:v>289.89999999999998</c:v>
                </c:pt>
                <c:pt idx="173">
                  <c:v>370.4</c:v>
                </c:pt>
                <c:pt idx="174">
                  <c:v>439.9</c:v>
                </c:pt>
                <c:pt idx="175">
                  <c:v>528.79999999999995</c:v>
                </c:pt>
                <c:pt idx="176">
                  <c:v>577.79999999999995</c:v>
                </c:pt>
                <c:pt idx="177">
                  <c:v>565.20000000000005</c:v>
                </c:pt>
                <c:pt idx="178">
                  <c:v>571.5</c:v>
                </c:pt>
                <c:pt idx="179">
                  <c:v>543.9</c:v>
                </c:pt>
                <c:pt idx="180">
                  <c:v>380.6</c:v>
                </c:pt>
                <c:pt idx="181">
                  <c:v>298.2</c:v>
                </c:pt>
                <c:pt idx="182">
                  <c:v>313.39999999999998</c:v>
                </c:pt>
                <c:pt idx="183">
                  <c:v>349.2</c:v>
                </c:pt>
                <c:pt idx="184">
                  <c:v>368.6</c:v>
                </c:pt>
                <c:pt idx="185">
                  <c:v>428.3</c:v>
                </c:pt>
                <c:pt idx="186">
                  <c:v>464.1</c:v>
                </c:pt>
                <c:pt idx="187">
                  <c:v>478.5</c:v>
                </c:pt>
                <c:pt idx="188">
                  <c:v>460.3</c:v>
                </c:pt>
                <c:pt idx="189">
                  <c:v>452.9</c:v>
                </c:pt>
                <c:pt idx="190">
                  <c:v>456.4</c:v>
                </c:pt>
                <c:pt idx="191">
                  <c:v>438.6</c:v>
                </c:pt>
                <c:pt idx="192">
                  <c:v>288.60000000000002</c:v>
                </c:pt>
                <c:pt idx="193">
                  <c:v>218.1</c:v>
                </c:pt>
                <c:pt idx="194">
                  <c:v>132.69999999999999</c:v>
                </c:pt>
                <c:pt idx="195">
                  <c:v>131.80000000000001</c:v>
                </c:pt>
                <c:pt idx="196">
                  <c:v>173.5</c:v>
                </c:pt>
                <c:pt idx="197">
                  <c:v>219.6</c:v>
                </c:pt>
                <c:pt idx="198">
                  <c:v>251.2</c:v>
                </c:pt>
                <c:pt idx="199">
                  <c:v>188.8</c:v>
                </c:pt>
                <c:pt idx="200">
                  <c:v>188.8</c:v>
                </c:pt>
                <c:pt idx="201">
                  <c:v>251</c:v>
                </c:pt>
                <c:pt idx="202">
                  <c:v>280.3</c:v>
                </c:pt>
                <c:pt idx="203">
                  <c:v>251</c:v>
                </c:pt>
                <c:pt idx="204">
                  <c:v>143.4</c:v>
                </c:pt>
                <c:pt idx="205">
                  <c:v>135.80000000000001</c:v>
                </c:pt>
                <c:pt idx="206">
                  <c:v>142.1</c:v>
                </c:pt>
                <c:pt idx="207">
                  <c:v>204.5</c:v>
                </c:pt>
                <c:pt idx="208">
                  <c:v>319</c:v>
                </c:pt>
                <c:pt idx="209">
                  <c:v>402.8</c:v>
                </c:pt>
                <c:pt idx="210">
                  <c:v>449.2</c:v>
                </c:pt>
                <c:pt idx="211">
                  <c:v>465</c:v>
                </c:pt>
                <c:pt idx="212">
                  <c:v>477.7</c:v>
                </c:pt>
                <c:pt idx="213">
                  <c:v>499.5</c:v>
                </c:pt>
                <c:pt idx="214">
                  <c:v>521.29999999999995</c:v>
                </c:pt>
                <c:pt idx="215">
                  <c:v>539.79999999999995</c:v>
                </c:pt>
                <c:pt idx="216">
                  <c:v>534.20000000000005</c:v>
                </c:pt>
                <c:pt idx="217">
                  <c:v>465.3</c:v>
                </c:pt>
                <c:pt idx="218">
                  <c:v>463.5</c:v>
                </c:pt>
                <c:pt idx="219">
                  <c:v>471.8</c:v>
                </c:pt>
                <c:pt idx="220">
                  <c:v>513.1</c:v>
                </c:pt>
                <c:pt idx="221">
                  <c:v>533.29999999999995</c:v>
                </c:pt>
                <c:pt idx="222">
                  <c:v>548.6</c:v>
                </c:pt>
                <c:pt idx="223">
                  <c:v>548.9</c:v>
                </c:pt>
                <c:pt idx="224">
                  <c:v>552.9</c:v>
                </c:pt>
                <c:pt idx="225">
                  <c:v>572.79999999999995</c:v>
                </c:pt>
                <c:pt idx="226">
                  <c:v>620.9</c:v>
                </c:pt>
                <c:pt idx="227">
                  <c:v>628.70000000000005</c:v>
                </c:pt>
                <c:pt idx="228">
                  <c:v>592</c:v>
                </c:pt>
                <c:pt idx="229">
                  <c:v>477</c:v>
                </c:pt>
                <c:pt idx="230">
                  <c:v>395.6</c:v>
                </c:pt>
                <c:pt idx="231">
                  <c:v>361.7</c:v>
                </c:pt>
                <c:pt idx="232">
                  <c:v>421</c:v>
                </c:pt>
                <c:pt idx="233">
                  <c:v>513.29999999999995</c:v>
                </c:pt>
                <c:pt idx="234">
                  <c:v>573.20000000000005</c:v>
                </c:pt>
                <c:pt idx="235">
                  <c:v>558.29999999999995</c:v>
                </c:pt>
                <c:pt idx="236">
                  <c:v>525.9</c:v>
                </c:pt>
                <c:pt idx="237">
                  <c:v>571.9</c:v>
                </c:pt>
                <c:pt idx="238">
                  <c:v>591.5</c:v>
                </c:pt>
                <c:pt idx="239">
                  <c:v>559.9</c:v>
                </c:pt>
                <c:pt idx="240">
                  <c:v>350.9</c:v>
                </c:pt>
                <c:pt idx="241">
                  <c:v>187.5</c:v>
                </c:pt>
                <c:pt idx="242">
                  <c:v>182.7</c:v>
                </c:pt>
                <c:pt idx="243">
                  <c:v>183.9</c:v>
                </c:pt>
                <c:pt idx="244">
                  <c:v>223</c:v>
                </c:pt>
                <c:pt idx="245">
                  <c:v>312</c:v>
                </c:pt>
                <c:pt idx="246">
                  <c:v>291.10000000000002</c:v>
                </c:pt>
                <c:pt idx="247">
                  <c:v>260.3</c:v>
                </c:pt>
                <c:pt idx="248">
                  <c:v>274.10000000000002</c:v>
                </c:pt>
                <c:pt idx="249">
                  <c:v>330.4</c:v>
                </c:pt>
                <c:pt idx="250">
                  <c:v>390.3</c:v>
                </c:pt>
                <c:pt idx="251">
                  <c:v>432</c:v>
                </c:pt>
                <c:pt idx="252">
                  <c:v>393.2</c:v>
                </c:pt>
                <c:pt idx="253">
                  <c:v>222.4</c:v>
                </c:pt>
                <c:pt idx="254">
                  <c:v>202.3</c:v>
                </c:pt>
                <c:pt idx="255">
                  <c:v>300.2</c:v>
                </c:pt>
                <c:pt idx="256">
                  <c:v>400.9</c:v>
                </c:pt>
                <c:pt idx="257">
                  <c:v>445</c:v>
                </c:pt>
                <c:pt idx="258">
                  <c:v>432.6</c:v>
                </c:pt>
                <c:pt idx="259">
                  <c:v>339.4</c:v>
                </c:pt>
                <c:pt idx="260">
                  <c:v>349</c:v>
                </c:pt>
                <c:pt idx="261">
                  <c:v>393.5</c:v>
                </c:pt>
                <c:pt idx="262">
                  <c:v>465.5</c:v>
                </c:pt>
                <c:pt idx="263">
                  <c:v>394.7</c:v>
                </c:pt>
                <c:pt idx="264">
                  <c:v>243.8</c:v>
                </c:pt>
                <c:pt idx="265">
                  <c:v>175.8</c:v>
                </c:pt>
                <c:pt idx="266">
                  <c:v>173</c:v>
                </c:pt>
                <c:pt idx="268">
                  <c:v>324.39999999999998</c:v>
                </c:pt>
                <c:pt idx="269">
                  <c:v>392.4</c:v>
                </c:pt>
                <c:pt idx="270">
                  <c:v>449.4</c:v>
                </c:pt>
                <c:pt idx="271">
                  <c:v>443.4</c:v>
                </c:pt>
                <c:pt idx="272">
                  <c:v>400.8</c:v>
                </c:pt>
                <c:pt idx="273">
                  <c:v>467.7</c:v>
                </c:pt>
                <c:pt idx="274">
                  <c:v>518</c:v>
                </c:pt>
                <c:pt idx="275">
                  <c:v>566.4</c:v>
                </c:pt>
                <c:pt idx="276">
                  <c:v>474.6</c:v>
                </c:pt>
                <c:pt idx="277">
                  <c:v>220.1</c:v>
                </c:pt>
                <c:pt idx="278">
                  <c:v>125.6</c:v>
                </c:pt>
                <c:pt idx="279">
                  <c:v>159.30000000000001</c:v>
                </c:pt>
                <c:pt idx="280">
                  <c:v>349.9</c:v>
                </c:pt>
                <c:pt idx="281">
                  <c:v>431.1</c:v>
                </c:pt>
                <c:pt idx="282">
                  <c:v>380</c:v>
                </c:pt>
                <c:pt idx="283">
                  <c:v>381.1</c:v>
                </c:pt>
                <c:pt idx="284">
                  <c:v>401</c:v>
                </c:pt>
                <c:pt idx="285">
                  <c:v>458.3</c:v>
                </c:pt>
                <c:pt idx="286">
                  <c:v>540.70000000000005</c:v>
                </c:pt>
                <c:pt idx="287">
                  <c:v>527.70000000000005</c:v>
                </c:pt>
                <c:pt idx="288">
                  <c:v>432.7</c:v>
                </c:pt>
                <c:pt idx="289">
                  <c:v>291.2</c:v>
                </c:pt>
                <c:pt idx="290">
                  <c:v>219.8</c:v>
                </c:pt>
                <c:pt idx="291">
                  <c:v>255.8</c:v>
                </c:pt>
                <c:pt idx="292">
                  <c:v>380.2</c:v>
                </c:pt>
                <c:pt idx="293">
                  <c:v>463.6</c:v>
                </c:pt>
                <c:pt idx="294">
                  <c:v>466.4</c:v>
                </c:pt>
                <c:pt idx="295">
                  <c:v>397.4</c:v>
                </c:pt>
                <c:pt idx="296">
                  <c:v>389.9</c:v>
                </c:pt>
                <c:pt idx="297">
                  <c:v>442.1</c:v>
                </c:pt>
                <c:pt idx="298">
                  <c:v>519.70000000000005</c:v>
                </c:pt>
                <c:pt idx="299">
                  <c:v>562.79999999999995</c:v>
                </c:pt>
                <c:pt idx="300">
                  <c:v>508.5</c:v>
                </c:pt>
                <c:pt idx="301">
                  <c:v>388.1</c:v>
                </c:pt>
                <c:pt idx="302">
                  <c:v>277.7</c:v>
                </c:pt>
                <c:pt idx="303">
                  <c:v>383.4</c:v>
                </c:pt>
                <c:pt idx="304">
                  <c:v>510.2</c:v>
                </c:pt>
                <c:pt idx="305">
                  <c:v>592.9</c:v>
                </c:pt>
                <c:pt idx="306">
                  <c:v>579.9</c:v>
                </c:pt>
                <c:pt idx="307">
                  <c:v>484.6</c:v>
                </c:pt>
                <c:pt idx="308">
                  <c:v>474.7</c:v>
                </c:pt>
                <c:pt idx="309">
                  <c:v>472.9</c:v>
                </c:pt>
                <c:pt idx="310">
                  <c:v>527.4</c:v>
                </c:pt>
                <c:pt idx="311">
                  <c:v>588.6</c:v>
                </c:pt>
                <c:pt idx="312">
                  <c:v>540.29999999999995</c:v>
                </c:pt>
                <c:pt idx="314">
                  <c:v>190.1</c:v>
                </c:pt>
                <c:pt idx="315">
                  <c:v>346.9</c:v>
                </c:pt>
                <c:pt idx="316">
                  <c:v>478.1</c:v>
                </c:pt>
                <c:pt idx="317">
                  <c:v>581.79999999999995</c:v>
                </c:pt>
                <c:pt idx="318">
                  <c:v>601.1</c:v>
                </c:pt>
                <c:pt idx="319">
                  <c:v>569.9</c:v>
                </c:pt>
                <c:pt idx="320">
                  <c:v>595.6</c:v>
                </c:pt>
                <c:pt idx="321">
                  <c:v>604.4</c:v>
                </c:pt>
                <c:pt idx="322">
                  <c:v>635.79999999999995</c:v>
                </c:pt>
                <c:pt idx="323">
                  <c:v>637.9</c:v>
                </c:pt>
                <c:pt idx="324">
                  <c:v>556.6</c:v>
                </c:pt>
                <c:pt idx="325">
                  <c:v>434.3</c:v>
                </c:pt>
                <c:pt idx="326">
                  <c:v>380.6</c:v>
                </c:pt>
                <c:pt idx="327">
                  <c:v>374.5</c:v>
                </c:pt>
                <c:pt idx="328">
                  <c:v>475.4</c:v>
                </c:pt>
                <c:pt idx="329">
                  <c:v>578.70000000000005</c:v>
                </c:pt>
                <c:pt idx="330">
                  <c:v>633.70000000000005</c:v>
                </c:pt>
                <c:pt idx="331">
                  <c:v>641</c:v>
                </c:pt>
                <c:pt idx="332">
                  <c:v>649.79999999999995</c:v>
                </c:pt>
                <c:pt idx="333">
                  <c:v>653.4</c:v>
                </c:pt>
                <c:pt idx="334">
                  <c:v>679.9</c:v>
                </c:pt>
                <c:pt idx="335">
                  <c:v>668.1</c:v>
                </c:pt>
                <c:pt idx="336">
                  <c:v>589.6</c:v>
                </c:pt>
                <c:pt idx="337">
                  <c:v>479.6</c:v>
                </c:pt>
                <c:pt idx="338">
                  <c:v>359.6</c:v>
                </c:pt>
                <c:pt idx="339">
                  <c:v>394.5</c:v>
                </c:pt>
                <c:pt idx="340">
                  <c:v>454.6</c:v>
                </c:pt>
                <c:pt idx="341">
                  <c:v>476.9</c:v>
                </c:pt>
                <c:pt idx="342">
                  <c:v>460.8</c:v>
                </c:pt>
                <c:pt idx="343">
                  <c:v>369.3</c:v>
                </c:pt>
                <c:pt idx="344">
                  <c:v>369.2</c:v>
                </c:pt>
                <c:pt idx="345">
                  <c:v>323.7</c:v>
                </c:pt>
                <c:pt idx="346">
                  <c:v>418.1</c:v>
                </c:pt>
                <c:pt idx="347">
                  <c:v>335.2</c:v>
                </c:pt>
                <c:pt idx="348">
                  <c:v>186.5</c:v>
                </c:pt>
                <c:pt idx="349">
                  <c:v>144.69999999999999</c:v>
                </c:pt>
                <c:pt idx="350">
                  <c:v>163.9</c:v>
                </c:pt>
                <c:pt idx="351">
                  <c:v>211.5</c:v>
                </c:pt>
                <c:pt idx="352">
                  <c:v>341.9</c:v>
                </c:pt>
                <c:pt idx="353">
                  <c:v>470.4</c:v>
                </c:pt>
                <c:pt idx="354">
                  <c:v>587.70000000000005</c:v>
                </c:pt>
                <c:pt idx="355">
                  <c:v>641.20000000000005</c:v>
                </c:pt>
                <c:pt idx="356">
                  <c:v>633.5</c:v>
                </c:pt>
                <c:pt idx="357">
                  <c:v>668.4</c:v>
                </c:pt>
                <c:pt idx="358">
                  <c:v>699.3</c:v>
                </c:pt>
                <c:pt idx="359">
                  <c:v>835.1</c:v>
                </c:pt>
                <c:pt idx="360">
                  <c:v>720.9</c:v>
                </c:pt>
                <c:pt idx="361">
                  <c:v>435.5</c:v>
                </c:pt>
                <c:pt idx="362">
                  <c:v>336.6</c:v>
                </c:pt>
                <c:pt idx="363">
                  <c:v>395.5</c:v>
                </c:pt>
                <c:pt idx="364">
                  <c:v>595</c:v>
                </c:pt>
                <c:pt idx="365">
                  <c:v>627.1</c:v>
                </c:pt>
                <c:pt idx="366">
                  <c:v>547.29999999999995</c:v>
                </c:pt>
                <c:pt idx="367">
                  <c:v>488.5</c:v>
                </c:pt>
                <c:pt idx="368">
                  <c:v>435.2</c:v>
                </c:pt>
                <c:pt idx="369">
                  <c:v>466.5</c:v>
                </c:pt>
                <c:pt idx="370">
                  <c:v>531.79999999999995</c:v>
                </c:pt>
                <c:pt idx="371">
                  <c:v>610.79999999999995</c:v>
                </c:pt>
                <c:pt idx="372">
                  <c:v>576.20000000000005</c:v>
                </c:pt>
                <c:pt idx="373">
                  <c:v>395.8</c:v>
                </c:pt>
                <c:pt idx="374">
                  <c:v>216.9</c:v>
                </c:pt>
                <c:pt idx="375">
                  <c:v>275.10000000000002</c:v>
                </c:pt>
                <c:pt idx="376">
                  <c:v>427.5</c:v>
                </c:pt>
                <c:pt idx="377">
                  <c:v>427.4</c:v>
                </c:pt>
                <c:pt idx="378">
                  <c:v>313.60000000000002</c:v>
                </c:pt>
                <c:pt idx="379">
                  <c:v>292.89999999999998</c:v>
                </c:pt>
                <c:pt idx="380">
                  <c:v>314.5</c:v>
                </c:pt>
                <c:pt idx="381">
                  <c:v>318.2</c:v>
                </c:pt>
                <c:pt idx="382">
                  <c:v>377.8</c:v>
                </c:pt>
                <c:pt idx="383">
                  <c:v>341.8</c:v>
                </c:pt>
                <c:pt idx="384">
                  <c:v>188.9</c:v>
                </c:pt>
                <c:pt idx="385">
                  <c:v>163.4</c:v>
                </c:pt>
                <c:pt idx="386">
                  <c:v>178</c:v>
                </c:pt>
                <c:pt idx="387">
                  <c:v>182</c:v>
                </c:pt>
                <c:pt idx="388">
                  <c:v>274</c:v>
                </c:pt>
                <c:pt idx="389">
                  <c:v>351.5</c:v>
                </c:pt>
                <c:pt idx="390">
                  <c:v>317.39999999999998</c:v>
                </c:pt>
                <c:pt idx="391">
                  <c:v>272.5</c:v>
                </c:pt>
                <c:pt idx="392">
                  <c:v>358</c:v>
                </c:pt>
                <c:pt idx="393">
                  <c:v>404.5</c:v>
                </c:pt>
                <c:pt idx="394">
                  <c:v>427.3</c:v>
                </c:pt>
                <c:pt idx="395">
                  <c:v>411.1</c:v>
                </c:pt>
                <c:pt idx="396">
                  <c:v>338.7</c:v>
                </c:pt>
                <c:pt idx="397">
                  <c:v>198.5</c:v>
                </c:pt>
                <c:pt idx="398">
                  <c:v>216.6</c:v>
                </c:pt>
                <c:pt idx="399">
                  <c:v>197.2</c:v>
                </c:pt>
                <c:pt idx="400">
                  <c:v>339.4</c:v>
                </c:pt>
                <c:pt idx="401">
                  <c:v>369.3</c:v>
                </c:pt>
                <c:pt idx="402">
                  <c:v>280.5</c:v>
                </c:pt>
                <c:pt idx="403">
                  <c:v>230.4</c:v>
                </c:pt>
                <c:pt idx="404">
                  <c:v>313.2</c:v>
                </c:pt>
                <c:pt idx="405">
                  <c:v>411.8</c:v>
                </c:pt>
                <c:pt idx="406">
                  <c:v>496.8</c:v>
                </c:pt>
                <c:pt idx="407">
                  <c:v>523.29999999999995</c:v>
                </c:pt>
                <c:pt idx="408">
                  <c:v>295.3</c:v>
                </c:pt>
                <c:pt idx="409">
                  <c:v>220.7</c:v>
                </c:pt>
                <c:pt idx="410">
                  <c:v>185.7</c:v>
                </c:pt>
                <c:pt idx="411">
                  <c:v>255.8</c:v>
                </c:pt>
                <c:pt idx="412">
                  <c:v>283.8</c:v>
                </c:pt>
                <c:pt idx="413">
                  <c:v>328.8</c:v>
                </c:pt>
                <c:pt idx="414">
                  <c:v>240.5</c:v>
                </c:pt>
                <c:pt idx="415">
                  <c:v>233.5</c:v>
                </c:pt>
                <c:pt idx="416">
                  <c:v>242.4</c:v>
                </c:pt>
                <c:pt idx="417">
                  <c:v>236.6</c:v>
                </c:pt>
                <c:pt idx="418">
                  <c:v>327.5</c:v>
                </c:pt>
                <c:pt idx="419">
                  <c:v>266.3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28-4D5B-84C8-7D3C137BB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9659151"/>
        <c:axId val="399656655"/>
      </c:scatterChart>
      <c:scatterChart>
        <c:scatterStyle val="lineMarker"/>
        <c:varyColors val="0"/>
        <c:ser>
          <c:idx val="1"/>
          <c:order val="1"/>
          <c:tx>
            <c:v>Nivel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Nivel!$D$10:$D$429</c:f>
              <c:numCache>
                <c:formatCode>0.0</c:formatCode>
                <c:ptCount val="420"/>
                <c:pt idx="0">
                  <c:v>1980.99999999326</c:v>
                </c:pt>
                <c:pt idx="1">
                  <c:v>1981.08333332662</c:v>
                </c:pt>
                <c:pt idx="2">
                  <c:v>1981.1666666599799</c:v>
                </c:pt>
                <c:pt idx="3">
                  <c:v>1981.24999999334</c:v>
                </c:pt>
                <c:pt idx="4">
                  <c:v>1981.3333333267001</c:v>
                </c:pt>
                <c:pt idx="5">
                  <c:v>1981.4166666600599</c:v>
                </c:pt>
                <c:pt idx="6">
                  <c:v>1981.49999999342</c:v>
                </c:pt>
                <c:pt idx="7">
                  <c:v>1981.5833333267799</c:v>
                </c:pt>
                <c:pt idx="8">
                  <c:v>1981.66666666014</c:v>
                </c:pt>
                <c:pt idx="9">
                  <c:v>1981.7499999935001</c:v>
                </c:pt>
                <c:pt idx="10">
                  <c:v>1981.8333333268599</c:v>
                </c:pt>
                <c:pt idx="11">
                  <c:v>1981.91666666022</c:v>
                </c:pt>
                <c:pt idx="12">
                  <c:v>1981.9999999935801</c:v>
                </c:pt>
                <c:pt idx="13">
                  <c:v>1982.08333332694</c:v>
                </c:pt>
                <c:pt idx="14">
                  <c:v>1982.1666666603001</c:v>
                </c:pt>
                <c:pt idx="15">
                  <c:v>1982.2499999936599</c:v>
                </c:pt>
                <c:pt idx="16">
                  <c:v>1982.33333332702</c:v>
                </c:pt>
                <c:pt idx="17">
                  <c:v>1982.4166666603801</c:v>
                </c:pt>
                <c:pt idx="18">
                  <c:v>1982.4999999937399</c:v>
                </c:pt>
                <c:pt idx="19">
                  <c:v>1982.5833333271</c:v>
                </c:pt>
                <c:pt idx="20">
                  <c:v>1982.6666666604599</c:v>
                </c:pt>
                <c:pt idx="21">
                  <c:v>1982.74999999382</c:v>
                </c:pt>
                <c:pt idx="22">
                  <c:v>1982.8333333271801</c:v>
                </c:pt>
                <c:pt idx="23">
                  <c:v>1982.9166666605399</c:v>
                </c:pt>
                <c:pt idx="24">
                  <c:v>1982.9999999939</c:v>
                </c:pt>
                <c:pt idx="25">
                  <c:v>1983.0833333272601</c:v>
                </c:pt>
                <c:pt idx="26">
                  <c:v>1983.16666666062</c:v>
                </c:pt>
                <c:pt idx="27">
                  <c:v>1983.2499999939801</c:v>
                </c:pt>
                <c:pt idx="28">
                  <c:v>1983.3333333273399</c:v>
                </c:pt>
                <c:pt idx="29">
                  <c:v>1983.4166666607</c:v>
                </c:pt>
                <c:pt idx="30">
                  <c:v>1983.4999999940601</c:v>
                </c:pt>
                <c:pt idx="31">
                  <c:v>1983.58333332742</c:v>
                </c:pt>
                <c:pt idx="32">
                  <c:v>1983.66666666078</c:v>
                </c:pt>
                <c:pt idx="33">
                  <c:v>1983.7499999941399</c:v>
                </c:pt>
                <c:pt idx="34">
                  <c:v>1983.8333333275</c:v>
                </c:pt>
                <c:pt idx="35">
                  <c:v>1983.9166666608601</c:v>
                </c:pt>
                <c:pt idx="36">
                  <c:v>1983.9999999942199</c:v>
                </c:pt>
                <c:pt idx="37">
                  <c:v>1984.08333332758</c:v>
                </c:pt>
                <c:pt idx="38">
                  <c:v>1984.1666666609401</c:v>
                </c:pt>
                <c:pt idx="39">
                  <c:v>1984.2499999943</c:v>
                </c:pt>
                <c:pt idx="40">
                  <c:v>1984.3333333276601</c:v>
                </c:pt>
                <c:pt idx="41">
                  <c:v>1984.4166666610199</c:v>
                </c:pt>
                <c:pt idx="42">
                  <c:v>1984.49999999438</c:v>
                </c:pt>
                <c:pt idx="43">
                  <c:v>1984.5833333277401</c:v>
                </c:pt>
                <c:pt idx="44">
                  <c:v>1984.6666666611</c:v>
                </c:pt>
                <c:pt idx="45">
                  <c:v>1984.74999999446</c:v>
                </c:pt>
                <c:pt idx="46">
                  <c:v>1984.8333333278199</c:v>
                </c:pt>
                <c:pt idx="47">
                  <c:v>1984.91666666118</c:v>
                </c:pt>
                <c:pt idx="48">
                  <c:v>1984.9999999945401</c:v>
                </c:pt>
                <c:pt idx="49">
                  <c:v>1985.0833333278999</c:v>
                </c:pt>
                <c:pt idx="50">
                  <c:v>1985.16666666126</c:v>
                </c:pt>
                <c:pt idx="51">
                  <c:v>1985.2499999946201</c:v>
                </c:pt>
                <c:pt idx="52">
                  <c:v>1985.33333332798</c:v>
                </c:pt>
                <c:pt idx="53">
                  <c:v>1985.4166666613401</c:v>
                </c:pt>
                <c:pt idx="54">
                  <c:v>1985.4999999946999</c:v>
                </c:pt>
                <c:pt idx="55">
                  <c:v>1985.58333332806</c:v>
                </c:pt>
                <c:pt idx="56">
                  <c:v>1985.6666666614201</c:v>
                </c:pt>
                <c:pt idx="57">
                  <c:v>1985.74999999478</c:v>
                </c:pt>
                <c:pt idx="58">
                  <c:v>1985.83333332814</c:v>
                </c:pt>
                <c:pt idx="59">
                  <c:v>1985.9166666614999</c:v>
                </c:pt>
                <c:pt idx="60">
                  <c:v>1985.99999999486</c:v>
                </c:pt>
                <c:pt idx="61">
                  <c:v>1986.0833333282201</c:v>
                </c:pt>
                <c:pt idx="62">
                  <c:v>1986.1666666615799</c:v>
                </c:pt>
                <c:pt idx="63">
                  <c:v>1986.24999999494</c:v>
                </c:pt>
                <c:pt idx="64">
                  <c:v>1986.3333333282999</c:v>
                </c:pt>
                <c:pt idx="65">
                  <c:v>1986.41666666166</c:v>
                </c:pt>
                <c:pt idx="66">
                  <c:v>1986.4999999950201</c:v>
                </c:pt>
                <c:pt idx="67">
                  <c:v>1986.5833333283799</c:v>
                </c:pt>
                <c:pt idx="68">
                  <c:v>1986.66666666174</c:v>
                </c:pt>
                <c:pt idx="69">
                  <c:v>1986.7499999951001</c:v>
                </c:pt>
                <c:pt idx="70">
                  <c:v>1986.83333332846</c:v>
                </c:pt>
                <c:pt idx="71">
                  <c:v>1986.91666666182</c:v>
                </c:pt>
                <c:pt idx="72">
                  <c:v>1986.9999999951799</c:v>
                </c:pt>
                <c:pt idx="73">
                  <c:v>1987.08333332854</c:v>
                </c:pt>
                <c:pt idx="74">
                  <c:v>1987.1666666619001</c:v>
                </c:pt>
                <c:pt idx="75">
                  <c:v>1987.2499999952599</c:v>
                </c:pt>
                <c:pt idx="76">
                  <c:v>1987.33333332862</c:v>
                </c:pt>
                <c:pt idx="77">
                  <c:v>1987.4166666619799</c:v>
                </c:pt>
                <c:pt idx="78">
                  <c:v>1987.49999999534</c:v>
                </c:pt>
                <c:pt idx="79">
                  <c:v>1987.5833333287001</c:v>
                </c:pt>
                <c:pt idx="80">
                  <c:v>1987.6666666620599</c:v>
                </c:pt>
                <c:pt idx="81">
                  <c:v>1987.74999999543</c:v>
                </c:pt>
                <c:pt idx="82">
                  <c:v>1987.8333333287901</c:v>
                </c:pt>
                <c:pt idx="83">
                  <c:v>1987.91666666215</c:v>
                </c:pt>
                <c:pt idx="84">
                  <c:v>1987.9999999955101</c:v>
                </c:pt>
                <c:pt idx="85">
                  <c:v>1988.0833333288699</c:v>
                </c:pt>
                <c:pt idx="86">
                  <c:v>1988.16666666223</c:v>
                </c:pt>
                <c:pt idx="87">
                  <c:v>1988.2499999955901</c:v>
                </c:pt>
                <c:pt idx="88">
                  <c:v>1988.3333333289499</c:v>
                </c:pt>
                <c:pt idx="89">
                  <c:v>1988.41666666231</c:v>
                </c:pt>
                <c:pt idx="90">
                  <c:v>1988.4999999956699</c:v>
                </c:pt>
                <c:pt idx="91">
                  <c:v>1988.58333332903</c:v>
                </c:pt>
                <c:pt idx="92">
                  <c:v>1988.6666666623901</c:v>
                </c:pt>
                <c:pt idx="93">
                  <c:v>1988.7499999957499</c:v>
                </c:pt>
                <c:pt idx="94">
                  <c:v>1988.83333332911</c:v>
                </c:pt>
                <c:pt idx="95">
                  <c:v>1988.9166666624701</c:v>
                </c:pt>
                <c:pt idx="96">
                  <c:v>1988.99999999583</c:v>
                </c:pt>
                <c:pt idx="97">
                  <c:v>1989.0833333291901</c:v>
                </c:pt>
                <c:pt idx="98">
                  <c:v>1989.1666666625499</c:v>
                </c:pt>
                <c:pt idx="99">
                  <c:v>1989.24999999591</c:v>
                </c:pt>
                <c:pt idx="100">
                  <c:v>1989.3333333292701</c:v>
                </c:pt>
                <c:pt idx="101">
                  <c:v>1989.41666666263</c:v>
                </c:pt>
                <c:pt idx="102">
                  <c:v>1989.49999999599</c:v>
                </c:pt>
                <c:pt idx="103">
                  <c:v>1989.5833333293499</c:v>
                </c:pt>
                <c:pt idx="104">
                  <c:v>1989.66666666271</c:v>
                </c:pt>
                <c:pt idx="105">
                  <c:v>1989.7499999960701</c:v>
                </c:pt>
                <c:pt idx="106">
                  <c:v>1989.8333333294299</c:v>
                </c:pt>
                <c:pt idx="107">
                  <c:v>1989.91666666279</c:v>
                </c:pt>
                <c:pt idx="108">
                  <c:v>1989.9999999961501</c:v>
                </c:pt>
                <c:pt idx="109">
                  <c:v>1990.08333332951</c:v>
                </c:pt>
                <c:pt idx="110">
                  <c:v>1990.1666666628701</c:v>
                </c:pt>
                <c:pt idx="111">
                  <c:v>1990.2499999962299</c:v>
                </c:pt>
                <c:pt idx="112">
                  <c:v>1990.33333332959</c:v>
                </c:pt>
                <c:pt idx="113">
                  <c:v>1990.4166666629501</c:v>
                </c:pt>
                <c:pt idx="114">
                  <c:v>1990.49999999631</c:v>
                </c:pt>
                <c:pt idx="115">
                  <c:v>1990.58333332967</c:v>
                </c:pt>
                <c:pt idx="116">
                  <c:v>1990.6666666630299</c:v>
                </c:pt>
                <c:pt idx="117">
                  <c:v>1990.74999999639</c:v>
                </c:pt>
                <c:pt idx="118">
                  <c:v>1990.8333333297501</c:v>
                </c:pt>
                <c:pt idx="119">
                  <c:v>1990.9166666631099</c:v>
                </c:pt>
                <c:pt idx="120">
                  <c:v>1990.99999999647</c:v>
                </c:pt>
                <c:pt idx="121">
                  <c:v>1991.0833333298301</c:v>
                </c:pt>
                <c:pt idx="122">
                  <c:v>1991.16666666319</c:v>
                </c:pt>
                <c:pt idx="123">
                  <c:v>1991.2499999965501</c:v>
                </c:pt>
                <c:pt idx="124">
                  <c:v>1991.3333333299099</c:v>
                </c:pt>
                <c:pt idx="125">
                  <c:v>1991.41666666327</c:v>
                </c:pt>
                <c:pt idx="126">
                  <c:v>1991.4999999966301</c:v>
                </c:pt>
                <c:pt idx="127">
                  <c:v>1991.58333332999</c:v>
                </c:pt>
                <c:pt idx="128">
                  <c:v>1991.66666666335</c:v>
                </c:pt>
                <c:pt idx="129">
                  <c:v>1991.7499999967099</c:v>
                </c:pt>
                <c:pt idx="130">
                  <c:v>1991.83333333007</c:v>
                </c:pt>
                <c:pt idx="131">
                  <c:v>1991.9166666634301</c:v>
                </c:pt>
                <c:pt idx="132">
                  <c:v>1991.9999999967899</c:v>
                </c:pt>
                <c:pt idx="133">
                  <c:v>1992.08333333015</c:v>
                </c:pt>
                <c:pt idx="134">
                  <c:v>1992.1666666635101</c:v>
                </c:pt>
                <c:pt idx="135">
                  <c:v>1992.24999999687</c:v>
                </c:pt>
                <c:pt idx="136">
                  <c:v>1992.3333333302301</c:v>
                </c:pt>
                <c:pt idx="137">
                  <c:v>1992.4166666635899</c:v>
                </c:pt>
                <c:pt idx="138">
                  <c:v>1992.49999999695</c:v>
                </c:pt>
                <c:pt idx="139">
                  <c:v>1992.5833333303101</c:v>
                </c:pt>
                <c:pt idx="140">
                  <c:v>1992.66666666367</c:v>
                </c:pt>
                <c:pt idx="141">
                  <c:v>1992.74999999703</c:v>
                </c:pt>
                <c:pt idx="142">
                  <c:v>1992.8333333303899</c:v>
                </c:pt>
                <c:pt idx="143">
                  <c:v>1992.91666666375</c:v>
                </c:pt>
                <c:pt idx="144">
                  <c:v>1992.9999999971101</c:v>
                </c:pt>
                <c:pt idx="145">
                  <c:v>1993.0833333304699</c:v>
                </c:pt>
                <c:pt idx="146">
                  <c:v>1993.16666666383</c:v>
                </c:pt>
                <c:pt idx="147">
                  <c:v>1993.2499999971899</c:v>
                </c:pt>
                <c:pt idx="148">
                  <c:v>1993.33333333055</c:v>
                </c:pt>
                <c:pt idx="149">
                  <c:v>1993.4166666639101</c:v>
                </c:pt>
                <c:pt idx="150">
                  <c:v>1993.4999999972699</c:v>
                </c:pt>
                <c:pt idx="151">
                  <c:v>1993.58333333063</c:v>
                </c:pt>
                <c:pt idx="152">
                  <c:v>1993.6666666639901</c:v>
                </c:pt>
                <c:pt idx="153">
                  <c:v>1993.74999999735</c:v>
                </c:pt>
                <c:pt idx="154">
                  <c:v>1993.83333333071</c:v>
                </c:pt>
                <c:pt idx="155">
                  <c:v>1993.9166666640699</c:v>
                </c:pt>
                <c:pt idx="156">
                  <c:v>1993.99999999743</c:v>
                </c:pt>
                <c:pt idx="157">
                  <c:v>1994.0833333307901</c:v>
                </c:pt>
                <c:pt idx="158">
                  <c:v>1994.1666666641499</c:v>
                </c:pt>
                <c:pt idx="159">
                  <c:v>1994.24999999751</c:v>
                </c:pt>
                <c:pt idx="160">
                  <c:v>1994.3333333308699</c:v>
                </c:pt>
                <c:pt idx="161">
                  <c:v>1994.41666666423</c:v>
                </c:pt>
                <c:pt idx="162">
                  <c:v>1994.4999999975901</c:v>
                </c:pt>
                <c:pt idx="163">
                  <c:v>1994.5833333309499</c:v>
                </c:pt>
                <c:pt idx="164">
                  <c:v>1994.66666666431</c:v>
                </c:pt>
                <c:pt idx="165">
                  <c:v>1994.7499999976701</c:v>
                </c:pt>
                <c:pt idx="166">
                  <c:v>1994.83333333103</c:v>
                </c:pt>
                <c:pt idx="167">
                  <c:v>1994.91666666439</c:v>
                </c:pt>
                <c:pt idx="168">
                  <c:v>1994.9999999977499</c:v>
                </c:pt>
                <c:pt idx="169">
                  <c:v>1995.08333333111</c:v>
                </c:pt>
                <c:pt idx="170">
                  <c:v>1995.1666666644701</c:v>
                </c:pt>
                <c:pt idx="171">
                  <c:v>1995.2499999978299</c:v>
                </c:pt>
                <c:pt idx="172">
                  <c:v>1995.33333333119</c:v>
                </c:pt>
                <c:pt idx="173">
                  <c:v>1995.4166666645499</c:v>
                </c:pt>
                <c:pt idx="174">
                  <c:v>1995.49999999791</c:v>
                </c:pt>
                <c:pt idx="175">
                  <c:v>1995.5833333312701</c:v>
                </c:pt>
                <c:pt idx="176">
                  <c:v>1995.6666666646299</c:v>
                </c:pt>
                <c:pt idx="177">
                  <c:v>1995.74999999799</c:v>
                </c:pt>
                <c:pt idx="178">
                  <c:v>1995.8333333313501</c:v>
                </c:pt>
                <c:pt idx="179">
                  <c:v>1995.91666666471</c:v>
                </c:pt>
                <c:pt idx="180">
                  <c:v>1995.9999999980701</c:v>
                </c:pt>
                <c:pt idx="181">
                  <c:v>1996.0833333314299</c:v>
                </c:pt>
                <c:pt idx="182">
                  <c:v>1996.16666666479</c:v>
                </c:pt>
                <c:pt idx="183">
                  <c:v>1996.2499999981501</c:v>
                </c:pt>
                <c:pt idx="184">
                  <c:v>1996.3333333315099</c:v>
                </c:pt>
                <c:pt idx="185">
                  <c:v>1996.41666666487</c:v>
                </c:pt>
                <c:pt idx="186">
                  <c:v>1996.4999999982299</c:v>
                </c:pt>
                <c:pt idx="187">
                  <c:v>1996.58333333159</c:v>
                </c:pt>
                <c:pt idx="188">
                  <c:v>1996.6666666649501</c:v>
                </c:pt>
                <c:pt idx="189">
                  <c:v>1996.7499999983099</c:v>
                </c:pt>
                <c:pt idx="190">
                  <c:v>1996.83333333167</c:v>
                </c:pt>
                <c:pt idx="191">
                  <c:v>1996.9166666650301</c:v>
                </c:pt>
                <c:pt idx="192">
                  <c:v>1996.99999999839</c:v>
                </c:pt>
                <c:pt idx="193">
                  <c:v>1997.0833333317501</c:v>
                </c:pt>
                <c:pt idx="194">
                  <c:v>1997.1666666651099</c:v>
                </c:pt>
                <c:pt idx="195">
                  <c:v>1997.24999999848</c:v>
                </c:pt>
                <c:pt idx="196">
                  <c:v>1997.3333333318401</c:v>
                </c:pt>
                <c:pt idx="197">
                  <c:v>1997.4166666652</c:v>
                </c:pt>
                <c:pt idx="198">
                  <c:v>1997.49999999856</c:v>
                </c:pt>
                <c:pt idx="199">
                  <c:v>1997.5833333319199</c:v>
                </c:pt>
                <c:pt idx="200">
                  <c:v>1997.66666666528</c:v>
                </c:pt>
                <c:pt idx="201">
                  <c:v>1997.7499999986401</c:v>
                </c:pt>
                <c:pt idx="202">
                  <c:v>1997.8333333319999</c:v>
                </c:pt>
                <c:pt idx="203">
                  <c:v>1997.91666666536</c:v>
                </c:pt>
                <c:pt idx="204">
                  <c:v>1997.9999999987201</c:v>
                </c:pt>
                <c:pt idx="205">
                  <c:v>1998.08333333208</c:v>
                </c:pt>
                <c:pt idx="206">
                  <c:v>1998.1666666654401</c:v>
                </c:pt>
                <c:pt idx="207">
                  <c:v>1998.2499999987999</c:v>
                </c:pt>
                <c:pt idx="208">
                  <c:v>1998.33333333216</c:v>
                </c:pt>
                <c:pt idx="209">
                  <c:v>1998.4166666655201</c:v>
                </c:pt>
                <c:pt idx="210">
                  <c:v>1998.49999999888</c:v>
                </c:pt>
                <c:pt idx="211">
                  <c:v>1998.58333333224</c:v>
                </c:pt>
                <c:pt idx="212">
                  <c:v>1998.6666666655999</c:v>
                </c:pt>
                <c:pt idx="213">
                  <c:v>1998.74999999896</c:v>
                </c:pt>
                <c:pt idx="214">
                  <c:v>1998.8333333323201</c:v>
                </c:pt>
                <c:pt idx="215">
                  <c:v>1998.9166666656799</c:v>
                </c:pt>
                <c:pt idx="216">
                  <c:v>1998.99999999904</c:v>
                </c:pt>
                <c:pt idx="217">
                  <c:v>1999.0833333323999</c:v>
                </c:pt>
                <c:pt idx="218">
                  <c:v>1999.16666666576</c:v>
                </c:pt>
                <c:pt idx="219">
                  <c:v>1999.2499999991201</c:v>
                </c:pt>
                <c:pt idx="220">
                  <c:v>1999.3333333324799</c:v>
                </c:pt>
                <c:pt idx="221">
                  <c:v>1999.41666666584</c:v>
                </c:pt>
                <c:pt idx="222">
                  <c:v>1999.4999999992001</c:v>
                </c:pt>
                <c:pt idx="223">
                  <c:v>1999.58333333256</c:v>
                </c:pt>
                <c:pt idx="224">
                  <c:v>1999.66666666592</c:v>
                </c:pt>
                <c:pt idx="225">
                  <c:v>1999.7499999992799</c:v>
                </c:pt>
                <c:pt idx="226">
                  <c:v>1999.83333333264</c:v>
                </c:pt>
                <c:pt idx="227">
                  <c:v>1999.9166666660001</c:v>
                </c:pt>
                <c:pt idx="228">
                  <c:v>2000</c:v>
                </c:pt>
                <c:pt idx="229">
                  <c:v>2000.0833333333101</c:v>
                </c:pt>
                <c:pt idx="230">
                  <c:v>2000.1666666666399</c:v>
                </c:pt>
                <c:pt idx="231">
                  <c:v>2000.24999999997</c:v>
                </c:pt>
                <c:pt idx="232">
                  <c:v>2000.3333333333101</c:v>
                </c:pt>
                <c:pt idx="233">
                  <c:v>2000.4166666666399</c:v>
                </c:pt>
                <c:pt idx="234">
                  <c:v>2000.49999999997</c:v>
                </c:pt>
                <c:pt idx="235">
                  <c:v>2000.5833333333101</c:v>
                </c:pt>
                <c:pt idx="236">
                  <c:v>2000.6666666666399</c:v>
                </c:pt>
                <c:pt idx="237">
                  <c:v>2000.74999999997</c:v>
                </c:pt>
                <c:pt idx="238">
                  <c:v>2000.8333333333101</c:v>
                </c:pt>
                <c:pt idx="239">
                  <c:v>2000.9166666666399</c:v>
                </c:pt>
                <c:pt idx="240">
                  <c:v>2001</c:v>
                </c:pt>
                <c:pt idx="241">
                  <c:v>2001.0833333333101</c:v>
                </c:pt>
                <c:pt idx="242">
                  <c:v>2001.1666666666399</c:v>
                </c:pt>
                <c:pt idx="243">
                  <c:v>2001.24999999997</c:v>
                </c:pt>
                <c:pt idx="244">
                  <c:v>2001.3333333333101</c:v>
                </c:pt>
                <c:pt idx="245">
                  <c:v>2001.4166666666399</c:v>
                </c:pt>
                <c:pt idx="246">
                  <c:v>2001.49999999998</c:v>
                </c:pt>
                <c:pt idx="247">
                  <c:v>2001.5833333333101</c:v>
                </c:pt>
                <c:pt idx="248">
                  <c:v>2001.6666666666399</c:v>
                </c:pt>
                <c:pt idx="249">
                  <c:v>2001.74999999998</c:v>
                </c:pt>
                <c:pt idx="250">
                  <c:v>2001.8333333333101</c:v>
                </c:pt>
                <c:pt idx="251">
                  <c:v>2001.9166666666399</c:v>
                </c:pt>
                <c:pt idx="252">
                  <c:v>2002</c:v>
                </c:pt>
                <c:pt idx="253">
                  <c:v>2002.0833333333101</c:v>
                </c:pt>
                <c:pt idx="254">
                  <c:v>2002.1666666666399</c:v>
                </c:pt>
                <c:pt idx="255">
                  <c:v>2002.24999999998</c:v>
                </c:pt>
                <c:pt idx="256">
                  <c:v>2002.3333333333101</c:v>
                </c:pt>
                <c:pt idx="257">
                  <c:v>2002.4166666666399</c:v>
                </c:pt>
                <c:pt idx="258">
                  <c:v>2002.49999999998</c:v>
                </c:pt>
                <c:pt idx="259">
                  <c:v>2002.5833333333101</c:v>
                </c:pt>
                <c:pt idx="260">
                  <c:v>2002.6666666666399</c:v>
                </c:pt>
                <c:pt idx="261">
                  <c:v>2002.74999999998</c:v>
                </c:pt>
                <c:pt idx="262">
                  <c:v>2002.8333333333101</c:v>
                </c:pt>
                <c:pt idx="263">
                  <c:v>2002.9166666666399</c:v>
                </c:pt>
                <c:pt idx="264">
                  <c:v>2003</c:v>
                </c:pt>
                <c:pt idx="265">
                  <c:v>2003.0833333333101</c:v>
                </c:pt>
                <c:pt idx="266">
                  <c:v>2003.1666666666499</c:v>
                </c:pt>
                <c:pt idx="267">
                  <c:v>2003.24999999998</c:v>
                </c:pt>
                <c:pt idx="268">
                  <c:v>2003.3333333333101</c:v>
                </c:pt>
                <c:pt idx="269">
                  <c:v>2003.4166666666499</c:v>
                </c:pt>
                <c:pt idx="270">
                  <c:v>2003.49999999998</c:v>
                </c:pt>
                <c:pt idx="271">
                  <c:v>2003.5833333333101</c:v>
                </c:pt>
                <c:pt idx="272">
                  <c:v>2003.6666666666499</c:v>
                </c:pt>
                <c:pt idx="273">
                  <c:v>2003.74999999998</c:v>
                </c:pt>
                <c:pt idx="274">
                  <c:v>2003.8333333333101</c:v>
                </c:pt>
                <c:pt idx="275">
                  <c:v>2003.9166666666499</c:v>
                </c:pt>
                <c:pt idx="276">
                  <c:v>2004</c:v>
                </c:pt>
                <c:pt idx="277">
                  <c:v>2004.0833333333101</c:v>
                </c:pt>
                <c:pt idx="278">
                  <c:v>2004.1666666666499</c:v>
                </c:pt>
                <c:pt idx="279">
                  <c:v>2004.24999999998</c:v>
                </c:pt>
                <c:pt idx="280">
                  <c:v>2004.3333333333101</c:v>
                </c:pt>
                <c:pt idx="281">
                  <c:v>2004.4166666666499</c:v>
                </c:pt>
                <c:pt idx="282">
                  <c:v>2004.49999999998</c:v>
                </c:pt>
                <c:pt idx="283">
                  <c:v>2004.5833333333101</c:v>
                </c:pt>
                <c:pt idx="284">
                  <c:v>2004.6666666666499</c:v>
                </c:pt>
                <c:pt idx="285">
                  <c:v>2004.74999999998</c:v>
                </c:pt>
                <c:pt idx="286">
                  <c:v>2004.8333333333101</c:v>
                </c:pt>
                <c:pt idx="287">
                  <c:v>2004.9166666666499</c:v>
                </c:pt>
                <c:pt idx="288">
                  <c:v>2005</c:v>
                </c:pt>
                <c:pt idx="289">
                  <c:v>2005.0833333333201</c:v>
                </c:pt>
                <c:pt idx="290">
                  <c:v>2005.1666666666499</c:v>
                </c:pt>
                <c:pt idx="291">
                  <c:v>2005.24999999998</c:v>
                </c:pt>
                <c:pt idx="292">
                  <c:v>2005.3333333333201</c:v>
                </c:pt>
                <c:pt idx="293">
                  <c:v>2005.4166666666499</c:v>
                </c:pt>
                <c:pt idx="294">
                  <c:v>2005.49999999998</c:v>
                </c:pt>
                <c:pt idx="295">
                  <c:v>2005.5833333333201</c:v>
                </c:pt>
                <c:pt idx="296">
                  <c:v>2005.6666666666499</c:v>
                </c:pt>
                <c:pt idx="297">
                  <c:v>2005.74999999998</c:v>
                </c:pt>
                <c:pt idx="298">
                  <c:v>2005.8333333333201</c:v>
                </c:pt>
                <c:pt idx="299">
                  <c:v>2005.9166666666499</c:v>
                </c:pt>
                <c:pt idx="300">
                  <c:v>2006</c:v>
                </c:pt>
                <c:pt idx="301">
                  <c:v>2006.0833333333201</c:v>
                </c:pt>
                <c:pt idx="302">
                  <c:v>2006.1666666666499</c:v>
                </c:pt>
                <c:pt idx="303">
                  <c:v>2006.24999999998</c:v>
                </c:pt>
                <c:pt idx="304">
                  <c:v>2006.3333333333201</c:v>
                </c:pt>
                <c:pt idx="305">
                  <c:v>2006.4166666666499</c:v>
                </c:pt>
                <c:pt idx="306">
                  <c:v>2006.49999999998</c:v>
                </c:pt>
                <c:pt idx="307">
                  <c:v>2006.5833333333201</c:v>
                </c:pt>
                <c:pt idx="308">
                  <c:v>2006.6666666666499</c:v>
                </c:pt>
                <c:pt idx="309">
                  <c:v>2006.74999999998</c:v>
                </c:pt>
                <c:pt idx="310">
                  <c:v>2006.8333333333201</c:v>
                </c:pt>
                <c:pt idx="311">
                  <c:v>2006.9166666666499</c:v>
                </c:pt>
                <c:pt idx="312">
                  <c:v>2007</c:v>
                </c:pt>
                <c:pt idx="313">
                  <c:v>2007.0833333333201</c:v>
                </c:pt>
                <c:pt idx="314">
                  <c:v>2007.1666666666499</c:v>
                </c:pt>
                <c:pt idx="315">
                  <c:v>2007.24999999999</c:v>
                </c:pt>
                <c:pt idx="316">
                  <c:v>2007.3333333333201</c:v>
                </c:pt>
                <c:pt idx="317">
                  <c:v>2007.4166666666499</c:v>
                </c:pt>
                <c:pt idx="318">
                  <c:v>2007.49999999999</c:v>
                </c:pt>
                <c:pt idx="319">
                  <c:v>2007.5833333333201</c:v>
                </c:pt>
                <c:pt idx="320">
                  <c:v>2007.6666666666499</c:v>
                </c:pt>
                <c:pt idx="321">
                  <c:v>2007.74999999999</c:v>
                </c:pt>
                <c:pt idx="322">
                  <c:v>2007.8333333333201</c:v>
                </c:pt>
                <c:pt idx="323">
                  <c:v>2007.9166666666499</c:v>
                </c:pt>
                <c:pt idx="324">
                  <c:v>2008</c:v>
                </c:pt>
                <c:pt idx="325">
                  <c:v>2008.0833333333201</c:v>
                </c:pt>
                <c:pt idx="326">
                  <c:v>2008.1666666666499</c:v>
                </c:pt>
                <c:pt idx="327">
                  <c:v>2008.24999999999</c:v>
                </c:pt>
                <c:pt idx="328">
                  <c:v>2008.3333333333201</c:v>
                </c:pt>
                <c:pt idx="329">
                  <c:v>2008.4166666666499</c:v>
                </c:pt>
                <c:pt idx="330">
                  <c:v>2008.49999999999</c:v>
                </c:pt>
                <c:pt idx="331">
                  <c:v>2008.5833333333201</c:v>
                </c:pt>
                <c:pt idx="332">
                  <c:v>2008.6666666666599</c:v>
                </c:pt>
                <c:pt idx="333">
                  <c:v>2008.74999999999</c:v>
                </c:pt>
                <c:pt idx="334">
                  <c:v>2008.8333333333201</c:v>
                </c:pt>
                <c:pt idx="335">
                  <c:v>2008.9166666666599</c:v>
                </c:pt>
                <c:pt idx="336">
                  <c:v>2009</c:v>
                </c:pt>
                <c:pt idx="337">
                  <c:v>2009.0833333333201</c:v>
                </c:pt>
                <c:pt idx="338">
                  <c:v>2009.1666666666599</c:v>
                </c:pt>
                <c:pt idx="339">
                  <c:v>2009.24999999999</c:v>
                </c:pt>
                <c:pt idx="340">
                  <c:v>2009.3333333333201</c:v>
                </c:pt>
                <c:pt idx="341">
                  <c:v>2009.4166666666599</c:v>
                </c:pt>
                <c:pt idx="342">
                  <c:v>2009.49999999999</c:v>
                </c:pt>
                <c:pt idx="343">
                  <c:v>2009.5833333333201</c:v>
                </c:pt>
                <c:pt idx="344">
                  <c:v>2009.6666666666599</c:v>
                </c:pt>
                <c:pt idx="345">
                  <c:v>2009.74999999999</c:v>
                </c:pt>
                <c:pt idx="346">
                  <c:v>2009.8333333333201</c:v>
                </c:pt>
                <c:pt idx="347">
                  <c:v>2009.9166666666599</c:v>
                </c:pt>
                <c:pt idx="348">
                  <c:v>2010</c:v>
                </c:pt>
                <c:pt idx="349">
                  <c:v>2010.0833333333201</c:v>
                </c:pt>
                <c:pt idx="350">
                  <c:v>2010.1666666666599</c:v>
                </c:pt>
                <c:pt idx="351">
                  <c:v>2010.24999999999</c:v>
                </c:pt>
                <c:pt idx="352">
                  <c:v>2010.3333333333201</c:v>
                </c:pt>
                <c:pt idx="353">
                  <c:v>2010.4166666666599</c:v>
                </c:pt>
                <c:pt idx="354">
                  <c:v>2010.49999999999</c:v>
                </c:pt>
                <c:pt idx="355">
                  <c:v>2010.5833333333301</c:v>
                </c:pt>
                <c:pt idx="356">
                  <c:v>2010.6666666666599</c:v>
                </c:pt>
                <c:pt idx="357">
                  <c:v>2010.74999999999</c:v>
                </c:pt>
                <c:pt idx="358">
                  <c:v>2010.8333333333301</c:v>
                </c:pt>
                <c:pt idx="359">
                  <c:v>2010.9166666666599</c:v>
                </c:pt>
                <c:pt idx="360">
                  <c:v>2011</c:v>
                </c:pt>
                <c:pt idx="361">
                  <c:v>2011.0833333333301</c:v>
                </c:pt>
                <c:pt idx="362">
                  <c:v>2011.1666666666599</c:v>
                </c:pt>
                <c:pt idx="363">
                  <c:v>2011.24999999999</c:v>
                </c:pt>
                <c:pt idx="364">
                  <c:v>2011.3333333333301</c:v>
                </c:pt>
                <c:pt idx="365">
                  <c:v>2011.4166666666599</c:v>
                </c:pt>
                <c:pt idx="366">
                  <c:v>2011.49999999999</c:v>
                </c:pt>
                <c:pt idx="367">
                  <c:v>2011.5833333333301</c:v>
                </c:pt>
                <c:pt idx="368">
                  <c:v>2011.6666666666599</c:v>
                </c:pt>
                <c:pt idx="369">
                  <c:v>2011.74999999999</c:v>
                </c:pt>
                <c:pt idx="370">
                  <c:v>2011.8333333333301</c:v>
                </c:pt>
                <c:pt idx="371">
                  <c:v>2011.9166666666599</c:v>
                </c:pt>
                <c:pt idx="372">
                  <c:v>2012</c:v>
                </c:pt>
                <c:pt idx="373">
                  <c:v>2012.0833333333301</c:v>
                </c:pt>
                <c:pt idx="374">
                  <c:v>2012.1666666666599</c:v>
                </c:pt>
                <c:pt idx="375">
                  <c:v>2012.24999999999</c:v>
                </c:pt>
                <c:pt idx="376">
                  <c:v>2012.3333333333301</c:v>
                </c:pt>
                <c:pt idx="377">
                  <c:v>2012.4166666666599</c:v>
                </c:pt>
                <c:pt idx="378">
                  <c:v>2012.5</c:v>
                </c:pt>
                <c:pt idx="379">
                  <c:v>2012.5833333333301</c:v>
                </c:pt>
                <c:pt idx="380">
                  <c:v>2012.6666666666599</c:v>
                </c:pt>
                <c:pt idx="381">
                  <c:v>2012.75</c:v>
                </c:pt>
                <c:pt idx="382">
                  <c:v>2012.8333333333301</c:v>
                </c:pt>
                <c:pt idx="383">
                  <c:v>2012.9166666666599</c:v>
                </c:pt>
                <c:pt idx="384">
                  <c:v>2013</c:v>
                </c:pt>
                <c:pt idx="385">
                  <c:v>2013.0833333333301</c:v>
                </c:pt>
                <c:pt idx="386">
                  <c:v>2013.1666666666599</c:v>
                </c:pt>
                <c:pt idx="387">
                  <c:v>2013.25</c:v>
                </c:pt>
                <c:pt idx="388">
                  <c:v>2013.3333333333301</c:v>
                </c:pt>
                <c:pt idx="389">
                  <c:v>2013.4166666666599</c:v>
                </c:pt>
                <c:pt idx="390">
                  <c:v>2013.5</c:v>
                </c:pt>
                <c:pt idx="391">
                  <c:v>2013.5833333333301</c:v>
                </c:pt>
                <c:pt idx="392">
                  <c:v>2013.6666666666599</c:v>
                </c:pt>
                <c:pt idx="393">
                  <c:v>2013.75</c:v>
                </c:pt>
                <c:pt idx="394">
                  <c:v>2013.8333333333301</c:v>
                </c:pt>
                <c:pt idx="395">
                  <c:v>2013.9166666666599</c:v>
                </c:pt>
                <c:pt idx="396">
                  <c:v>2014</c:v>
                </c:pt>
                <c:pt idx="397">
                  <c:v>2014.0833333333333</c:v>
                </c:pt>
                <c:pt idx="398">
                  <c:v>2014.1666666666665</c:v>
                </c:pt>
                <c:pt idx="399">
                  <c:v>2014.25</c:v>
                </c:pt>
                <c:pt idx="400">
                  <c:v>2014.3333333333333</c:v>
                </c:pt>
                <c:pt idx="401">
                  <c:v>2014.4166666666665</c:v>
                </c:pt>
                <c:pt idx="402">
                  <c:v>2014.5</c:v>
                </c:pt>
                <c:pt idx="403">
                  <c:v>2014.5833333333333</c:v>
                </c:pt>
                <c:pt idx="404">
                  <c:v>2014.6666666666665</c:v>
                </c:pt>
                <c:pt idx="405">
                  <c:v>2014.75</c:v>
                </c:pt>
                <c:pt idx="406">
                  <c:v>2014.8333333333333</c:v>
                </c:pt>
                <c:pt idx="407">
                  <c:v>2014.9166666666665</c:v>
                </c:pt>
                <c:pt idx="408">
                  <c:v>2015</c:v>
                </c:pt>
                <c:pt idx="409">
                  <c:v>2015.0833333333333</c:v>
                </c:pt>
                <c:pt idx="410">
                  <c:v>2015.1666666666665</c:v>
                </c:pt>
                <c:pt idx="411">
                  <c:v>2015.25</c:v>
                </c:pt>
                <c:pt idx="412">
                  <c:v>2015.3333333333333</c:v>
                </c:pt>
                <c:pt idx="413">
                  <c:v>2015.4166666666665</c:v>
                </c:pt>
                <c:pt idx="414">
                  <c:v>2015.5</c:v>
                </c:pt>
                <c:pt idx="415">
                  <c:v>2015.5833333333333</c:v>
                </c:pt>
                <c:pt idx="416">
                  <c:v>2015.6666666666665</c:v>
                </c:pt>
                <c:pt idx="417">
                  <c:v>2015.75</c:v>
                </c:pt>
                <c:pt idx="418">
                  <c:v>2015.8333333333333</c:v>
                </c:pt>
                <c:pt idx="419">
                  <c:v>2015.9166666666665</c:v>
                </c:pt>
              </c:numCache>
            </c:numRef>
          </c:xVal>
          <c:yVal>
            <c:numRef>
              <c:f>Nivel!$C$10:$C$429</c:f>
              <c:numCache>
                <c:formatCode>General</c:formatCode>
                <c:ptCount val="420"/>
                <c:pt idx="0">
                  <c:v>771</c:v>
                </c:pt>
                <c:pt idx="1">
                  <c:v>672</c:v>
                </c:pt>
                <c:pt idx="2">
                  <c:v>682</c:v>
                </c:pt>
                <c:pt idx="3">
                  <c:v>685</c:v>
                </c:pt>
                <c:pt idx="4">
                  <c:v>766</c:v>
                </c:pt>
                <c:pt idx="5">
                  <c:v>834</c:v>
                </c:pt>
                <c:pt idx="6">
                  <c:v>849</c:v>
                </c:pt>
                <c:pt idx="7">
                  <c:v>832</c:v>
                </c:pt>
                <c:pt idx="8">
                  <c:v>815</c:v>
                </c:pt>
                <c:pt idx="9">
                  <c:v>813</c:v>
                </c:pt>
                <c:pt idx="10">
                  <c:v>820</c:v>
                </c:pt>
                <c:pt idx="11">
                  <c:v>830</c:v>
                </c:pt>
                <c:pt idx="12">
                  <c:v>811</c:v>
                </c:pt>
                <c:pt idx="13">
                  <c:v>757</c:v>
                </c:pt>
                <c:pt idx="14">
                  <c:v>713</c:v>
                </c:pt>
                <c:pt idx="15">
                  <c:v>738</c:v>
                </c:pt>
                <c:pt idx="16">
                  <c:v>792</c:v>
                </c:pt>
                <c:pt idx="17">
                  <c:v>839</c:v>
                </c:pt>
                <c:pt idx="18">
                  <c:v>838</c:v>
                </c:pt>
                <c:pt idx="19">
                  <c:v>782</c:v>
                </c:pt>
                <c:pt idx="20">
                  <c:v>753</c:v>
                </c:pt>
                <c:pt idx="21">
                  <c:v>782</c:v>
                </c:pt>
                <c:pt idx="22">
                  <c:v>818</c:v>
                </c:pt>
                <c:pt idx="23">
                  <c:v>802</c:v>
                </c:pt>
                <c:pt idx="24">
                  <c:v>583</c:v>
                </c:pt>
                <c:pt idx="25">
                  <c:v>559</c:v>
                </c:pt>
                <c:pt idx="26">
                  <c:v>555</c:v>
                </c:pt>
                <c:pt idx="27">
                  <c:v>622</c:v>
                </c:pt>
                <c:pt idx="28">
                  <c:v>659</c:v>
                </c:pt>
                <c:pt idx="29">
                  <c:v>688</c:v>
                </c:pt>
                <c:pt idx="30">
                  <c:v>705</c:v>
                </c:pt>
                <c:pt idx="31">
                  <c:v>769</c:v>
                </c:pt>
                <c:pt idx="32">
                  <c:v>778</c:v>
                </c:pt>
                <c:pt idx="33">
                  <c:v>804</c:v>
                </c:pt>
                <c:pt idx="34">
                  <c:v>823</c:v>
                </c:pt>
                <c:pt idx="35">
                  <c:v>821</c:v>
                </c:pt>
                <c:pt idx="37">
                  <c:v>572</c:v>
                </c:pt>
                <c:pt idx="38">
                  <c:v>543</c:v>
                </c:pt>
                <c:pt idx="39">
                  <c:v>519</c:v>
                </c:pt>
                <c:pt idx="40">
                  <c:v>569</c:v>
                </c:pt>
                <c:pt idx="41">
                  <c:v>612</c:v>
                </c:pt>
                <c:pt idx="42">
                  <c:v>632</c:v>
                </c:pt>
                <c:pt idx="43">
                  <c:v>642</c:v>
                </c:pt>
                <c:pt idx="44">
                  <c:v>639</c:v>
                </c:pt>
                <c:pt idx="45">
                  <c:v>648</c:v>
                </c:pt>
                <c:pt idx="46">
                  <c:v>659</c:v>
                </c:pt>
                <c:pt idx="47">
                  <c:v>662</c:v>
                </c:pt>
                <c:pt idx="48">
                  <c:v>622</c:v>
                </c:pt>
                <c:pt idx="49">
                  <c:v>532</c:v>
                </c:pt>
                <c:pt idx="50">
                  <c:v>483</c:v>
                </c:pt>
                <c:pt idx="51">
                  <c:v>499</c:v>
                </c:pt>
                <c:pt idx="52">
                  <c:v>533</c:v>
                </c:pt>
                <c:pt idx="53">
                  <c:v>559</c:v>
                </c:pt>
                <c:pt idx="54">
                  <c:v>527</c:v>
                </c:pt>
                <c:pt idx="55">
                  <c:v>552</c:v>
                </c:pt>
                <c:pt idx="56">
                  <c:v>587</c:v>
                </c:pt>
                <c:pt idx="57">
                  <c:v>612</c:v>
                </c:pt>
                <c:pt idx="58">
                  <c:v>631</c:v>
                </c:pt>
                <c:pt idx="59">
                  <c:v>638</c:v>
                </c:pt>
                <c:pt idx="60">
                  <c:v>570</c:v>
                </c:pt>
                <c:pt idx="61">
                  <c:v>508</c:v>
                </c:pt>
                <c:pt idx="62">
                  <c:v>515</c:v>
                </c:pt>
                <c:pt idx="63">
                  <c:v>536</c:v>
                </c:pt>
                <c:pt idx="64">
                  <c:v>579</c:v>
                </c:pt>
                <c:pt idx="65">
                  <c:v>604</c:v>
                </c:pt>
                <c:pt idx="66">
                  <c:v>605</c:v>
                </c:pt>
                <c:pt idx="67">
                  <c:v>554</c:v>
                </c:pt>
                <c:pt idx="68">
                  <c:v>542</c:v>
                </c:pt>
                <c:pt idx="69">
                  <c:v>583</c:v>
                </c:pt>
                <c:pt idx="70">
                  <c:v>631</c:v>
                </c:pt>
                <c:pt idx="71">
                  <c:v>637</c:v>
                </c:pt>
                <c:pt idx="72">
                  <c:v>545</c:v>
                </c:pt>
                <c:pt idx="73">
                  <c:v>483</c:v>
                </c:pt>
                <c:pt idx="74">
                  <c:v>469</c:v>
                </c:pt>
                <c:pt idx="75">
                  <c:v>489</c:v>
                </c:pt>
                <c:pt idx="76">
                  <c:v>544</c:v>
                </c:pt>
                <c:pt idx="77">
                  <c:v>572</c:v>
                </c:pt>
                <c:pt idx="78">
                  <c:v>556</c:v>
                </c:pt>
                <c:pt idx="79">
                  <c:v>582</c:v>
                </c:pt>
                <c:pt idx="80">
                  <c:v>594</c:v>
                </c:pt>
                <c:pt idx="81">
                  <c:v>617</c:v>
                </c:pt>
                <c:pt idx="82">
                  <c:v>644</c:v>
                </c:pt>
                <c:pt idx="83">
                  <c:v>660</c:v>
                </c:pt>
                <c:pt idx="84">
                  <c:v>596</c:v>
                </c:pt>
                <c:pt idx="85">
                  <c:v>503</c:v>
                </c:pt>
                <c:pt idx="86">
                  <c:v>470</c:v>
                </c:pt>
                <c:pt idx="87">
                  <c:v>494</c:v>
                </c:pt>
                <c:pt idx="88">
                  <c:v>542</c:v>
                </c:pt>
                <c:pt idx="89">
                  <c:v>565</c:v>
                </c:pt>
                <c:pt idx="90">
                  <c:v>609</c:v>
                </c:pt>
                <c:pt idx="91">
                  <c:v>635</c:v>
                </c:pt>
                <c:pt idx="92">
                  <c:v>657</c:v>
                </c:pt>
                <c:pt idx="93">
                  <c:v>676</c:v>
                </c:pt>
                <c:pt idx="94">
                  <c:v>673</c:v>
                </c:pt>
                <c:pt idx="95">
                  <c:v>671</c:v>
                </c:pt>
                <c:pt idx="96">
                  <c:v>650</c:v>
                </c:pt>
                <c:pt idx="97">
                  <c:v>594</c:v>
                </c:pt>
                <c:pt idx="98">
                  <c:v>552</c:v>
                </c:pt>
                <c:pt idx="99">
                  <c:v>538</c:v>
                </c:pt>
                <c:pt idx="100">
                  <c:v>545</c:v>
                </c:pt>
                <c:pt idx="101">
                  <c:v>574</c:v>
                </c:pt>
                <c:pt idx="102">
                  <c:v>576</c:v>
                </c:pt>
                <c:pt idx="103">
                  <c:v>571</c:v>
                </c:pt>
                <c:pt idx="104">
                  <c:v>589</c:v>
                </c:pt>
                <c:pt idx="105">
                  <c:v>621</c:v>
                </c:pt>
                <c:pt idx="106">
                  <c:v>645</c:v>
                </c:pt>
                <c:pt idx="107">
                  <c:v>642</c:v>
                </c:pt>
                <c:pt idx="108">
                  <c:v>555</c:v>
                </c:pt>
                <c:pt idx="109">
                  <c:v>484</c:v>
                </c:pt>
                <c:pt idx="110">
                  <c:v>466</c:v>
                </c:pt>
                <c:pt idx="111">
                  <c:v>481</c:v>
                </c:pt>
                <c:pt idx="112">
                  <c:v>543</c:v>
                </c:pt>
                <c:pt idx="113">
                  <c:v>559</c:v>
                </c:pt>
                <c:pt idx="114">
                  <c:v>554</c:v>
                </c:pt>
                <c:pt idx="115">
                  <c:v>537</c:v>
                </c:pt>
                <c:pt idx="116">
                  <c:v>542</c:v>
                </c:pt>
                <c:pt idx="117">
                  <c:v>574</c:v>
                </c:pt>
                <c:pt idx="118">
                  <c:v>610</c:v>
                </c:pt>
                <c:pt idx="119">
                  <c:v>618</c:v>
                </c:pt>
                <c:pt idx="120">
                  <c:v>566</c:v>
                </c:pt>
                <c:pt idx="121">
                  <c:v>471</c:v>
                </c:pt>
                <c:pt idx="122">
                  <c:v>471</c:v>
                </c:pt>
                <c:pt idx="123">
                  <c:v>484</c:v>
                </c:pt>
                <c:pt idx="124">
                  <c:v>533</c:v>
                </c:pt>
                <c:pt idx="125">
                  <c:v>559</c:v>
                </c:pt>
                <c:pt idx="126">
                  <c:v>558</c:v>
                </c:pt>
                <c:pt idx="127">
                  <c:v>546</c:v>
                </c:pt>
                <c:pt idx="128">
                  <c:v>518</c:v>
                </c:pt>
                <c:pt idx="129">
                  <c:v>573</c:v>
                </c:pt>
                <c:pt idx="130">
                  <c:v>586</c:v>
                </c:pt>
                <c:pt idx="131">
                  <c:v>586</c:v>
                </c:pt>
                <c:pt idx="132">
                  <c:v>525</c:v>
                </c:pt>
                <c:pt idx="133">
                  <c:v>463</c:v>
                </c:pt>
                <c:pt idx="134">
                  <c:v>455</c:v>
                </c:pt>
                <c:pt idx="135">
                  <c:v>456</c:v>
                </c:pt>
                <c:pt idx="136">
                  <c:v>503</c:v>
                </c:pt>
                <c:pt idx="137">
                  <c:v>540</c:v>
                </c:pt>
                <c:pt idx="138">
                  <c:v>519</c:v>
                </c:pt>
                <c:pt idx="139">
                  <c:v>546</c:v>
                </c:pt>
                <c:pt idx="140">
                  <c:v>562</c:v>
                </c:pt>
                <c:pt idx="141">
                  <c:v>597</c:v>
                </c:pt>
                <c:pt idx="142">
                  <c:v>583</c:v>
                </c:pt>
                <c:pt idx="143">
                  <c:v>582</c:v>
                </c:pt>
                <c:pt idx="144">
                  <c:v>534</c:v>
                </c:pt>
                <c:pt idx="145">
                  <c:v>484</c:v>
                </c:pt>
                <c:pt idx="146">
                  <c:v>466</c:v>
                </c:pt>
                <c:pt idx="147">
                  <c:v>518</c:v>
                </c:pt>
                <c:pt idx="148">
                  <c:v>578</c:v>
                </c:pt>
                <c:pt idx="149">
                  <c:v>602</c:v>
                </c:pt>
                <c:pt idx="150">
                  <c:v>598</c:v>
                </c:pt>
                <c:pt idx="151">
                  <c:v>573</c:v>
                </c:pt>
                <c:pt idx="152">
                  <c:v>583</c:v>
                </c:pt>
                <c:pt idx="153">
                  <c:v>606</c:v>
                </c:pt>
                <c:pt idx="154">
                  <c:v>615</c:v>
                </c:pt>
                <c:pt idx="155">
                  <c:v>624</c:v>
                </c:pt>
                <c:pt idx="156">
                  <c:v>613</c:v>
                </c:pt>
                <c:pt idx="157">
                  <c:v>543</c:v>
                </c:pt>
                <c:pt idx="158">
                  <c:v>523</c:v>
                </c:pt>
                <c:pt idx="159">
                  <c:v>560</c:v>
                </c:pt>
                <c:pt idx="160">
                  <c:v>593</c:v>
                </c:pt>
                <c:pt idx="161">
                  <c:v>613</c:v>
                </c:pt>
                <c:pt idx="162">
                  <c:v>614</c:v>
                </c:pt>
                <c:pt idx="163">
                  <c:v>592</c:v>
                </c:pt>
                <c:pt idx="164">
                  <c:v>582</c:v>
                </c:pt>
                <c:pt idx="165">
                  <c:v>604</c:v>
                </c:pt>
                <c:pt idx="166">
                  <c:v>622</c:v>
                </c:pt>
                <c:pt idx="167">
                  <c:v>625</c:v>
                </c:pt>
                <c:pt idx="168">
                  <c:v>570</c:v>
                </c:pt>
                <c:pt idx="169">
                  <c:v>469</c:v>
                </c:pt>
                <c:pt idx="170">
                  <c:v>460</c:v>
                </c:pt>
                <c:pt idx="171">
                  <c:v>492</c:v>
                </c:pt>
                <c:pt idx="172">
                  <c:v>554</c:v>
                </c:pt>
                <c:pt idx="173">
                  <c:v>587</c:v>
                </c:pt>
                <c:pt idx="174">
                  <c:v>606</c:v>
                </c:pt>
                <c:pt idx="175">
                  <c:v>623</c:v>
                </c:pt>
                <c:pt idx="176">
                  <c:v>630</c:v>
                </c:pt>
                <c:pt idx="177">
                  <c:v>628</c:v>
                </c:pt>
                <c:pt idx="178">
                  <c:v>629</c:v>
                </c:pt>
                <c:pt idx="179">
                  <c:v>625</c:v>
                </c:pt>
                <c:pt idx="180">
                  <c:v>595</c:v>
                </c:pt>
                <c:pt idx="181">
                  <c:v>555</c:v>
                </c:pt>
                <c:pt idx="182">
                  <c:v>563</c:v>
                </c:pt>
                <c:pt idx="183">
                  <c:v>581</c:v>
                </c:pt>
                <c:pt idx="184">
                  <c:v>590</c:v>
                </c:pt>
                <c:pt idx="185">
                  <c:v>616</c:v>
                </c:pt>
                <c:pt idx="186">
                  <c:v>630</c:v>
                </c:pt>
                <c:pt idx="187">
                  <c:v>636</c:v>
                </c:pt>
                <c:pt idx="188">
                  <c:v>629</c:v>
                </c:pt>
                <c:pt idx="189">
                  <c:v>626</c:v>
                </c:pt>
                <c:pt idx="190">
                  <c:v>627</c:v>
                </c:pt>
                <c:pt idx="191">
                  <c:v>620</c:v>
                </c:pt>
                <c:pt idx="192">
                  <c:v>549</c:v>
                </c:pt>
                <c:pt idx="193">
                  <c:v>508</c:v>
                </c:pt>
                <c:pt idx="194">
                  <c:v>440</c:v>
                </c:pt>
                <c:pt idx="195">
                  <c:v>439</c:v>
                </c:pt>
                <c:pt idx="196">
                  <c:v>476</c:v>
                </c:pt>
                <c:pt idx="197">
                  <c:v>508</c:v>
                </c:pt>
                <c:pt idx="198">
                  <c:v>529</c:v>
                </c:pt>
                <c:pt idx="199">
                  <c:v>487</c:v>
                </c:pt>
                <c:pt idx="200">
                  <c:v>487</c:v>
                </c:pt>
                <c:pt idx="201">
                  <c:v>529</c:v>
                </c:pt>
                <c:pt idx="202">
                  <c:v>545</c:v>
                </c:pt>
                <c:pt idx="203">
                  <c:v>526</c:v>
                </c:pt>
                <c:pt idx="204">
                  <c:v>450</c:v>
                </c:pt>
                <c:pt idx="205">
                  <c:v>443</c:v>
                </c:pt>
                <c:pt idx="206">
                  <c:v>449</c:v>
                </c:pt>
                <c:pt idx="207">
                  <c:v>498</c:v>
                </c:pt>
                <c:pt idx="208">
                  <c:v>566</c:v>
                </c:pt>
                <c:pt idx="209">
                  <c:v>605</c:v>
                </c:pt>
                <c:pt idx="210">
                  <c:v>624</c:v>
                </c:pt>
                <c:pt idx="211">
                  <c:v>631</c:v>
                </c:pt>
                <c:pt idx="212">
                  <c:v>636</c:v>
                </c:pt>
                <c:pt idx="213">
                  <c:v>644</c:v>
                </c:pt>
                <c:pt idx="214">
                  <c:v>652</c:v>
                </c:pt>
                <c:pt idx="215">
                  <c:v>658</c:v>
                </c:pt>
                <c:pt idx="216">
                  <c:v>656</c:v>
                </c:pt>
                <c:pt idx="217">
                  <c:v>631</c:v>
                </c:pt>
                <c:pt idx="218">
                  <c:v>630</c:v>
                </c:pt>
                <c:pt idx="219">
                  <c:v>633</c:v>
                </c:pt>
                <c:pt idx="220">
                  <c:v>649</c:v>
                </c:pt>
                <c:pt idx="221">
                  <c:v>656</c:v>
                </c:pt>
                <c:pt idx="222">
                  <c:v>661</c:v>
                </c:pt>
                <c:pt idx="223">
                  <c:v>661</c:v>
                </c:pt>
                <c:pt idx="224">
                  <c:v>663</c:v>
                </c:pt>
                <c:pt idx="225">
                  <c:v>669</c:v>
                </c:pt>
                <c:pt idx="226">
                  <c:v>685</c:v>
                </c:pt>
                <c:pt idx="227">
                  <c:v>687</c:v>
                </c:pt>
                <c:pt idx="228">
                  <c:v>677</c:v>
                </c:pt>
                <c:pt idx="229">
                  <c:v>635</c:v>
                </c:pt>
                <c:pt idx="230">
                  <c:v>601</c:v>
                </c:pt>
                <c:pt idx="231">
                  <c:v>586</c:v>
                </c:pt>
                <c:pt idx="232">
                  <c:v>612</c:v>
                </c:pt>
                <c:pt idx="233">
                  <c:v>649</c:v>
                </c:pt>
                <c:pt idx="234">
                  <c:v>671</c:v>
                </c:pt>
                <c:pt idx="235">
                  <c:v>665</c:v>
                </c:pt>
                <c:pt idx="236">
                  <c:v>654</c:v>
                </c:pt>
                <c:pt idx="237">
                  <c:v>670</c:v>
                </c:pt>
                <c:pt idx="238">
                  <c:v>677</c:v>
                </c:pt>
                <c:pt idx="239">
                  <c:v>666</c:v>
                </c:pt>
                <c:pt idx="240">
                  <c:v>579</c:v>
                </c:pt>
                <c:pt idx="241">
                  <c:v>485</c:v>
                </c:pt>
                <c:pt idx="242">
                  <c:v>482</c:v>
                </c:pt>
                <c:pt idx="243">
                  <c:v>484</c:v>
                </c:pt>
                <c:pt idx="244">
                  <c:v>510</c:v>
                </c:pt>
                <c:pt idx="245">
                  <c:v>563</c:v>
                </c:pt>
                <c:pt idx="246">
                  <c:v>552</c:v>
                </c:pt>
                <c:pt idx="247">
                  <c:v>533</c:v>
                </c:pt>
                <c:pt idx="248">
                  <c:v>541</c:v>
                </c:pt>
                <c:pt idx="249">
                  <c:v>572</c:v>
                </c:pt>
                <c:pt idx="250">
                  <c:v>600</c:v>
                </c:pt>
                <c:pt idx="251">
                  <c:v>617</c:v>
                </c:pt>
                <c:pt idx="252">
                  <c:v>599</c:v>
                </c:pt>
                <c:pt idx="253">
                  <c:v>507</c:v>
                </c:pt>
                <c:pt idx="254">
                  <c:v>493</c:v>
                </c:pt>
                <c:pt idx="255">
                  <c:v>553</c:v>
                </c:pt>
                <c:pt idx="256">
                  <c:v>604</c:v>
                </c:pt>
                <c:pt idx="257">
                  <c:v>623</c:v>
                </c:pt>
                <c:pt idx="258">
                  <c:v>617</c:v>
                </c:pt>
                <c:pt idx="259">
                  <c:v>574</c:v>
                </c:pt>
                <c:pt idx="260">
                  <c:v>580</c:v>
                </c:pt>
                <c:pt idx="261">
                  <c:v>600</c:v>
                </c:pt>
                <c:pt idx="262">
                  <c:v>631</c:v>
                </c:pt>
                <c:pt idx="263">
                  <c:v>601</c:v>
                </c:pt>
                <c:pt idx="264">
                  <c:v>518</c:v>
                </c:pt>
                <c:pt idx="265">
                  <c:v>474</c:v>
                </c:pt>
                <c:pt idx="266">
                  <c:v>471</c:v>
                </c:pt>
                <c:pt idx="268">
                  <c:v>567</c:v>
                </c:pt>
                <c:pt idx="269">
                  <c:v>599</c:v>
                </c:pt>
                <c:pt idx="270">
                  <c:v>624</c:v>
                </c:pt>
                <c:pt idx="271">
                  <c:v>622</c:v>
                </c:pt>
                <c:pt idx="272">
                  <c:v>604</c:v>
                </c:pt>
                <c:pt idx="273">
                  <c:v>631</c:v>
                </c:pt>
                <c:pt idx="274">
                  <c:v>651</c:v>
                </c:pt>
                <c:pt idx="275">
                  <c:v>668</c:v>
                </c:pt>
                <c:pt idx="276">
                  <c:v>583</c:v>
                </c:pt>
                <c:pt idx="277">
                  <c:v>470</c:v>
                </c:pt>
                <c:pt idx="278">
                  <c:v>408</c:v>
                </c:pt>
                <c:pt idx="279">
                  <c:v>431</c:v>
                </c:pt>
                <c:pt idx="280">
                  <c:v>537</c:v>
                </c:pt>
                <c:pt idx="281">
                  <c:v>569</c:v>
                </c:pt>
                <c:pt idx="282">
                  <c:v>550</c:v>
                </c:pt>
                <c:pt idx="283">
                  <c:v>550</c:v>
                </c:pt>
                <c:pt idx="284">
                  <c:v>558</c:v>
                </c:pt>
                <c:pt idx="285">
                  <c:v>578</c:v>
                </c:pt>
                <c:pt idx="286">
                  <c:v>604</c:v>
                </c:pt>
                <c:pt idx="287">
                  <c:v>600</c:v>
                </c:pt>
                <c:pt idx="288">
                  <c:v>569</c:v>
                </c:pt>
                <c:pt idx="289">
                  <c:v>512</c:v>
                </c:pt>
                <c:pt idx="290">
                  <c:v>475</c:v>
                </c:pt>
                <c:pt idx="291">
                  <c:v>493</c:v>
                </c:pt>
                <c:pt idx="292">
                  <c:v>549</c:v>
                </c:pt>
                <c:pt idx="293">
                  <c:v>580</c:v>
                </c:pt>
                <c:pt idx="294">
                  <c:v>581</c:v>
                </c:pt>
                <c:pt idx="295">
                  <c:v>557</c:v>
                </c:pt>
                <c:pt idx="296">
                  <c:v>554</c:v>
                </c:pt>
                <c:pt idx="297">
                  <c:v>573</c:v>
                </c:pt>
                <c:pt idx="298">
                  <c:v>598</c:v>
                </c:pt>
                <c:pt idx="299">
                  <c:v>610</c:v>
                </c:pt>
                <c:pt idx="300">
                  <c:v>594</c:v>
                </c:pt>
                <c:pt idx="301">
                  <c:v>552</c:v>
                </c:pt>
                <c:pt idx="302">
                  <c:v>505</c:v>
                </c:pt>
                <c:pt idx="303">
                  <c:v>551</c:v>
                </c:pt>
                <c:pt idx="304">
                  <c:v>595</c:v>
                </c:pt>
                <c:pt idx="305">
                  <c:v>618</c:v>
                </c:pt>
                <c:pt idx="306">
                  <c:v>615</c:v>
                </c:pt>
                <c:pt idx="307">
                  <c:v>587</c:v>
                </c:pt>
                <c:pt idx="308">
                  <c:v>584</c:v>
                </c:pt>
                <c:pt idx="309">
                  <c:v>583</c:v>
                </c:pt>
                <c:pt idx="310">
                  <c:v>600</c:v>
                </c:pt>
                <c:pt idx="311">
                  <c:v>617</c:v>
                </c:pt>
                <c:pt idx="312">
                  <c:v>604</c:v>
                </c:pt>
                <c:pt idx="314">
                  <c:v>457</c:v>
                </c:pt>
                <c:pt idx="315">
                  <c:v>536</c:v>
                </c:pt>
                <c:pt idx="316">
                  <c:v>584</c:v>
                </c:pt>
                <c:pt idx="317">
                  <c:v>615</c:v>
                </c:pt>
                <c:pt idx="318">
                  <c:v>621</c:v>
                </c:pt>
                <c:pt idx="319">
                  <c:v>612</c:v>
                </c:pt>
                <c:pt idx="320">
                  <c:v>619</c:v>
                </c:pt>
                <c:pt idx="321">
                  <c:v>622</c:v>
                </c:pt>
                <c:pt idx="322">
                  <c:v>630</c:v>
                </c:pt>
                <c:pt idx="323">
                  <c:v>631</c:v>
                </c:pt>
                <c:pt idx="324">
                  <c:v>608</c:v>
                </c:pt>
                <c:pt idx="325">
                  <c:v>570</c:v>
                </c:pt>
                <c:pt idx="326">
                  <c:v>550</c:v>
                </c:pt>
                <c:pt idx="327">
                  <c:v>548</c:v>
                </c:pt>
                <c:pt idx="328">
                  <c:v>584</c:v>
                </c:pt>
                <c:pt idx="329">
                  <c:v>615</c:v>
                </c:pt>
                <c:pt idx="330">
                  <c:v>630</c:v>
                </c:pt>
                <c:pt idx="331">
                  <c:v>632</c:v>
                </c:pt>
                <c:pt idx="332">
                  <c:v>634</c:v>
                </c:pt>
                <c:pt idx="333">
                  <c:v>635</c:v>
                </c:pt>
                <c:pt idx="334">
                  <c:v>642</c:v>
                </c:pt>
                <c:pt idx="335">
                  <c:v>639</c:v>
                </c:pt>
                <c:pt idx="336">
                  <c:v>618</c:v>
                </c:pt>
                <c:pt idx="337">
                  <c:v>585</c:v>
                </c:pt>
                <c:pt idx="338">
                  <c:v>542</c:v>
                </c:pt>
                <c:pt idx="339">
                  <c:v>555</c:v>
                </c:pt>
                <c:pt idx="340">
                  <c:v>577</c:v>
                </c:pt>
                <c:pt idx="341">
                  <c:v>584</c:v>
                </c:pt>
                <c:pt idx="342">
                  <c:v>579</c:v>
                </c:pt>
                <c:pt idx="343">
                  <c:v>546</c:v>
                </c:pt>
                <c:pt idx="344">
                  <c:v>546</c:v>
                </c:pt>
                <c:pt idx="345">
                  <c:v>527</c:v>
                </c:pt>
                <c:pt idx="346">
                  <c:v>564</c:v>
                </c:pt>
                <c:pt idx="347">
                  <c:v>530</c:v>
                </c:pt>
                <c:pt idx="348">
                  <c:v>452</c:v>
                </c:pt>
                <c:pt idx="349">
                  <c:v>424</c:v>
                </c:pt>
                <c:pt idx="350">
                  <c:v>439</c:v>
                </c:pt>
                <c:pt idx="351">
                  <c:v>468</c:v>
                </c:pt>
                <c:pt idx="352">
                  <c:v>534</c:v>
                </c:pt>
                <c:pt idx="353">
                  <c:v>582</c:v>
                </c:pt>
                <c:pt idx="354">
                  <c:v>617</c:v>
                </c:pt>
                <c:pt idx="355">
                  <c:v>632</c:v>
                </c:pt>
                <c:pt idx="356">
                  <c:v>630</c:v>
                </c:pt>
                <c:pt idx="357">
                  <c:v>639</c:v>
                </c:pt>
                <c:pt idx="358">
                  <c:v>647</c:v>
                </c:pt>
                <c:pt idx="359">
                  <c:v>678</c:v>
                </c:pt>
                <c:pt idx="360">
                  <c:v>651</c:v>
                </c:pt>
                <c:pt idx="361">
                  <c:v>569</c:v>
                </c:pt>
                <c:pt idx="362">
                  <c:v>532</c:v>
                </c:pt>
                <c:pt idx="363">
                  <c:v>555</c:v>
                </c:pt>
                <c:pt idx="364">
                  <c:v>619</c:v>
                </c:pt>
                <c:pt idx="365">
                  <c:v>628</c:v>
                </c:pt>
                <c:pt idx="366">
                  <c:v>606</c:v>
                </c:pt>
                <c:pt idx="367">
                  <c:v>588</c:v>
                </c:pt>
                <c:pt idx="368">
                  <c:v>570</c:v>
                </c:pt>
                <c:pt idx="369">
                  <c:v>580</c:v>
                </c:pt>
                <c:pt idx="370">
                  <c:v>601</c:v>
                </c:pt>
                <c:pt idx="371">
                  <c:v>623</c:v>
                </c:pt>
                <c:pt idx="372">
                  <c:v>614</c:v>
                </c:pt>
                <c:pt idx="373">
                  <c:v>555</c:v>
                </c:pt>
                <c:pt idx="374">
                  <c:v>473</c:v>
                </c:pt>
                <c:pt idx="375">
                  <c:v>504</c:v>
                </c:pt>
                <c:pt idx="376">
                  <c:v>567</c:v>
                </c:pt>
                <c:pt idx="377">
                  <c:v>567</c:v>
                </c:pt>
                <c:pt idx="378">
                  <c:v>522</c:v>
                </c:pt>
                <c:pt idx="379">
                  <c:v>513</c:v>
                </c:pt>
                <c:pt idx="380">
                  <c:v>523</c:v>
                </c:pt>
                <c:pt idx="381">
                  <c:v>524</c:v>
                </c:pt>
                <c:pt idx="382">
                  <c:v>549</c:v>
                </c:pt>
                <c:pt idx="383">
                  <c:v>534</c:v>
                </c:pt>
                <c:pt idx="384">
                  <c:v>454</c:v>
                </c:pt>
                <c:pt idx="385">
                  <c:v>438</c:v>
                </c:pt>
                <c:pt idx="386">
                  <c:v>449</c:v>
                </c:pt>
                <c:pt idx="387">
                  <c:v>451</c:v>
                </c:pt>
                <c:pt idx="388">
                  <c:v>503</c:v>
                </c:pt>
                <c:pt idx="389">
                  <c:v>539</c:v>
                </c:pt>
                <c:pt idx="390">
                  <c:v>524</c:v>
                </c:pt>
                <c:pt idx="391">
                  <c:v>503</c:v>
                </c:pt>
                <c:pt idx="392">
                  <c:v>541</c:v>
                </c:pt>
                <c:pt idx="393">
                  <c:v>559</c:v>
                </c:pt>
                <c:pt idx="394">
                  <c:v>567</c:v>
                </c:pt>
                <c:pt idx="395">
                  <c:v>562</c:v>
                </c:pt>
                <c:pt idx="396">
                  <c:v>514</c:v>
                </c:pt>
                <c:pt idx="397">
                  <c:v>453</c:v>
                </c:pt>
                <c:pt idx="398">
                  <c:v>463</c:v>
                </c:pt>
                <c:pt idx="399">
                  <c:v>453</c:v>
                </c:pt>
                <c:pt idx="400">
                  <c:v>515</c:v>
                </c:pt>
                <c:pt idx="401">
                  <c:v>527</c:v>
                </c:pt>
                <c:pt idx="402">
                  <c:v>492</c:v>
                </c:pt>
                <c:pt idx="403">
                  <c:v>470</c:v>
                </c:pt>
                <c:pt idx="404">
                  <c:v>505</c:v>
                </c:pt>
                <c:pt idx="405">
                  <c:v>541</c:v>
                </c:pt>
                <c:pt idx="406">
                  <c:v>568</c:v>
                </c:pt>
                <c:pt idx="407">
                  <c:v>576</c:v>
                </c:pt>
                <c:pt idx="408">
                  <c:v>496</c:v>
                </c:pt>
                <c:pt idx="409">
                  <c:v>465</c:v>
                </c:pt>
                <c:pt idx="410">
                  <c:v>446</c:v>
                </c:pt>
                <c:pt idx="411">
                  <c:v>481</c:v>
                </c:pt>
                <c:pt idx="412">
                  <c:v>493</c:v>
                </c:pt>
                <c:pt idx="413">
                  <c:v>512</c:v>
                </c:pt>
                <c:pt idx="414">
                  <c:v>475</c:v>
                </c:pt>
                <c:pt idx="415">
                  <c:v>472</c:v>
                </c:pt>
                <c:pt idx="416">
                  <c:v>476</c:v>
                </c:pt>
                <c:pt idx="417">
                  <c:v>472</c:v>
                </c:pt>
                <c:pt idx="418">
                  <c:v>511</c:v>
                </c:pt>
                <c:pt idx="419">
                  <c:v>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28-4D5B-84C8-7D3C137BB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480911"/>
        <c:axId val="400479551"/>
      </c:scatterChart>
      <c:valAx>
        <c:axId val="399659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656655"/>
        <c:crosses val="autoZero"/>
        <c:crossBetween val="midCat"/>
      </c:valAx>
      <c:valAx>
        <c:axId val="399656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659151"/>
        <c:crosses val="autoZero"/>
        <c:crossBetween val="midCat"/>
      </c:valAx>
      <c:valAx>
        <c:axId val="400479551"/>
        <c:scaling>
          <c:orientation val="minMax"/>
          <c:min val="3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480911"/>
        <c:crosses val="max"/>
        <c:crossBetween val="midCat"/>
      </c:valAx>
      <c:valAx>
        <c:axId val="402480911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004795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Caudal!$M$11:$M$22</c:f>
                <c:numCache>
                  <c:formatCode>General</c:formatCode>
                  <c:ptCount val="12"/>
                  <c:pt idx="0">
                    <c:v>148.86518395159155</c:v>
                  </c:pt>
                  <c:pt idx="1">
                    <c:v>124.27269200965968</c:v>
                  </c:pt>
                  <c:pt idx="2">
                    <c:v>94.945738360250303</c:v>
                  </c:pt>
                  <c:pt idx="3">
                    <c:v>106.53347471944353</c:v>
                  </c:pt>
                  <c:pt idx="4">
                    <c:v>110.70983132389256</c:v>
                  </c:pt>
                  <c:pt idx="5">
                    <c:v>111.63255323236392</c:v>
                  </c:pt>
                  <c:pt idx="6">
                    <c:v>124.98542489816485</c:v>
                  </c:pt>
                  <c:pt idx="7">
                    <c:v>129.91852443588124</c:v>
                  </c:pt>
                  <c:pt idx="8">
                    <c:v>129.86548354018493</c:v>
                  </c:pt>
                  <c:pt idx="9">
                    <c:v>121.24822362035852</c:v>
                  </c:pt>
                  <c:pt idx="10">
                    <c:v>114.45712785863157</c:v>
                  </c:pt>
                  <c:pt idx="11">
                    <c:v>137.04712015528497</c:v>
                  </c:pt>
                </c:numCache>
              </c:numRef>
            </c:plus>
            <c:minus>
              <c:numRef>
                <c:f>Caudal!$M$11:$M$22</c:f>
                <c:numCache>
                  <c:formatCode>General</c:formatCode>
                  <c:ptCount val="12"/>
                  <c:pt idx="0">
                    <c:v>148.86518395159155</c:v>
                  </c:pt>
                  <c:pt idx="1">
                    <c:v>124.27269200965968</c:v>
                  </c:pt>
                  <c:pt idx="2">
                    <c:v>94.945738360250303</c:v>
                  </c:pt>
                  <c:pt idx="3">
                    <c:v>106.53347471944353</c:v>
                  </c:pt>
                  <c:pt idx="4">
                    <c:v>110.70983132389256</c:v>
                  </c:pt>
                  <c:pt idx="5">
                    <c:v>111.63255323236392</c:v>
                  </c:pt>
                  <c:pt idx="6">
                    <c:v>124.98542489816485</c:v>
                  </c:pt>
                  <c:pt idx="7">
                    <c:v>129.91852443588124</c:v>
                  </c:pt>
                  <c:pt idx="8">
                    <c:v>129.86548354018493</c:v>
                  </c:pt>
                  <c:pt idx="9">
                    <c:v>121.24822362035852</c:v>
                  </c:pt>
                  <c:pt idx="10">
                    <c:v>114.45712785863157</c:v>
                  </c:pt>
                  <c:pt idx="11">
                    <c:v>137.04712015528497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strRef>
              <c:f>Caudal!$K$11:$K$22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xVal>
          <c:yVal>
            <c:numRef>
              <c:f>Caudal!$L$11:$L$22</c:f>
              <c:numCache>
                <c:formatCode>0.00</c:formatCode>
                <c:ptCount val="12"/>
                <c:pt idx="0">
                  <c:v>375.55199999999996</c:v>
                </c:pt>
                <c:pt idx="1">
                  <c:v>243.18794117647062</c:v>
                </c:pt>
                <c:pt idx="2">
                  <c:v>201.74285714285716</c:v>
                </c:pt>
                <c:pt idx="3">
                  <c:v>235.69029411764703</c:v>
                </c:pt>
                <c:pt idx="4">
                  <c:v>328.28199999999993</c:v>
                </c:pt>
                <c:pt idx="5">
                  <c:v>394.37999999999994</c:v>
                </c:pt>
                <c:pt idx="6">
                  <c:v>397.13428571428568</c:v>
                </c:pt>
                <c:pt idx="7">
                  <c:v>380.03714285714284</c:v>
                </c:pt>
                <c:pt idx="8">
                  <c:v>388.41714285714289</c:v>
                </c:pt>
                <c:pt idx="9">
                  <c:v>429.63428571428568</c:v>
                </c:pt>
                <c:pt idx="10">
                  <c:v>480.09999999999991</c:v>
                </c:pt>
                <c:pt idx="11">
                  <c:v>486.85428571428577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E-45CB-865A-FDF0A9C89E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3704176"/>
        <c:axId val="643694336"/>
      </c:scatterChart>
      <c:valAx>
        <c:axId val="64370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694336"/>
        <c:crosses val="autoZero"/>
        <c:crossBetween val="midCat"/>
      </c:valAx>
      <c:valAx>
        <c:axId val="64369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704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km 107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Nivel!$D$10:$D$429</c:f>
              <c:numCache>
                <c:formatCode>0.0</c:formatCode>
                <c:ptCount val="420"/>
                <c:pt idx="0">
                  <c:v>1980.99999999326</c:v>
                </c:pt>
                <c:pt idx="1">
                  <c:v>1981.08333332662</c:v>
                </c:pt>
                <c:pt idx="2">
                  <c:v>1981.1666666599799</c:v>
                </c:pt>
                <c:pt idx="3">
                  <c:v>1981.24999999334</c:v>
                </c:pt>
                <c:pt idx="4">
                  <c:v>1981.3333333267001</c:v>
                </c:pt>
                <c:pt idx="5">
                  <c:v>1981.4166666600599</c:v>
                </c:pt>
                <c:pt idx="6">
                  <c:v>1981.49999999342</c:v>
                </c:pt>
                <c:pt idx="7">
                  <c:v>1981.5833333267799</c:v>
                </c:pt>
                <c:pt idx="8">
                  <c:v>1981.66666666014</c:v>
                </c:pt>
                <c:pt idx="9">
                  <c:v>1981.7499999935001</c:v>
                </c:pt>
                <c:pt idx="10">
                  <c:v>1981.8333333268599</c:v>
                </c:pt>
                <c:pt idx="11">
                  <c:v>1981.91666666022</c:v>
                </c:pt>
                <c:pt idx="12">
                  <c:v>1981.9999999935801</c:v>
                </c:pt>
                <c:pt idx="13">
                  <c:v>1982.08333332694</c:v>
                </c:pt>
                <c:pt idx="14">
                  <c:v>1982.1666666603001</c:v>
                </c:pt>
                <c:pt idx="15">
                  <c:v>1982.2499999936599</c:v>
                </c:pt>
                <c:pt idx="16">
                  <c:v>1982.33333332702</c:v>
                </c:pt>
                <c:pt idx="17">
                  <c:v>1982.4166666603801</c:v>
                </c:pt>
                <c:pt idx="18">
                  <c:v>1982.4999999937399</c:v>
                </c:pt>
                <c:pt idx="19">
                  <c:v>1982.5833333271</c:v>
                </c:pt>
                <c:pt idx="20">
                  <c:v>1982.6666666604599</c:v>
                </c:pt>
                <c:pt idx="21">
                  <c:v>1982.74999999382</c:v>
                </c:pt>
                <c:pt idx="22">
                  <c:v>1982.8333333271801</c:v>
                </c:pt>
                <c:pt idx="23">
                  <c:v>1982.9166666605399</c:v>
                </c:pt>
                <c:pt idx="24">
                  <c:v>1982.9999999939</c:v>
                </c:pt>
                <c:pt idx="25">
                  <c:v>1983.0833333272601</c:v>
                </c:pt>
                <c:pt idx="26">
                  <c:v>1983.16666666062</c:v>
                </c:pt>
                <c:pt idx="27">
                  <c:v>1983.2499999939801</c:v>
                </c:pt>
                <c:pt idx="28">
                  <c:v>1983.3333333273399</c:v>
                </c:pt>
                <c:pt idx="29">
                  <c:v>1983.4166666607</c:v>
                </c:pt>
                <c:pt idx="30">
                  <c:v>1983.4999999940601</c:v>
                </c:pt>
                <c:pt idx="31">
                  <c:v>1983.58333332742</c:v>
                </c:pt>
                <c:pt idx="32">
                  <c:v>1983.66666666078</c:v>
                </c:pt>
                <c:pt idx="33">
                  <c:v>1983.7499999941399</c:v>
                </c:pt>
                <c:pt idx="34">
                  <c:v>1983.8333333275</c:v>
                </c:pt>
                <c:pt idx="35">
                  <c:v>1983.9166666608601</c:v>
                </c:pt>
                <c:pt idx="36">
                  <c:v>1983.9999999942199</c:v>
                </c:pt>
                <c:pt idx="37">
                  <c:v>1984.08333332758</c:v>
                </c:pt>
                <c:pt idx="38">
                  <c:v>1984.1666666609401</c:v>
                </c:pt>
                <c:pt idx="39">
                  <c:v>1984.2499999943</c:v>
                </c:pt>
                <c:pt idx="40">
                  <c:v>1984.3333333276601</c:v>
                </c:pt>
                <c:pt idx="41">
                  <c:v>1984.4166666610199</c:v>
                </c:pt>
                <c:pt idx="42">
                  <c:v>1984.49999999438</c:v>
                </c:pt>
                <c:pt idx="43">
                  <c:v>1984.5833333277401</c:v>
                </c:pt>
                <c:pt idx="44">
                  <c:v>1984.6666666611</c:v>
                </c:pt>
                <c:pt idx="45">
                  <c:v>1984.74999999446</c:v>
                </c:pt>
                <c:pt idx="46">
                  <c:v>1984.8333333278199</c:v>
                </c:pt>
                <c:pt idx="47">
                  <c:v>1984.91666666118</c:v>
                </c:pt>
                <c:pt idx="48">
                  <c:v>1984.9999999945401</c:v>
                </c:pt>
                <c:pt idx="49">
                  <c:v>1985.0833333278999</c:v>
                </c:pt>
                <c:pt idx="50">
                  <c:v>1985.16666666126</c:v>
                </c:pt>
                <c:pt idx="51">
                  <c:v>1985.2499999946201</c:v>
                </c:pt>
                <c:pt idx="52">
                  <c:v>1985.33333332798</c:v>
                </c:pt>
                <c:pt idx="53">
                  <c:v>1985.4166666613401</c:v>
                </c:pt>
                <c:pt idx="54">
                  <c:v>1985.4999999946999</c:v>
                </c:pt>
                <c:pt idx="55">
                  <c:v>1985.58333332806</c:v>
                </c:pt>
                <c:pt idx="56">
                  <c:v>1985.6666666614201</c:v>
                </c:pt>
                <c:pt idx="57">
                  <c:v>1985.74999999478</c:v>
                </c:pt>
                <c:pt idx="58">
                  <c:v>1985.83333332814</c:v>
                </c:pt>
                <c:pt idx="59">
                  <c:v>1985.9166666614999</c:v>
                </c:pt>
                <c:pt idx="60">
                  <c:v>1985.99999999486</c:v>
                </c:pt>
                <c:pt idx="61">
                  <c:v>1986.0833333282201</c:v>
                </c:pt>
                <c:pt idx="62">
                  <c:v>1986.1666666615799</c:v>
                </c:pt>
                <c:pt idx="63">
                  <c:v>1986.24999999494</c:v>
                </c:pt>
                <c:pt idx="64">
                  <c:v>1986.3333333282999</c:v>
                </c:pt>
                <c:pt idx="65">
                  <c:v>1986.41666666166</c:v>
                </c:pt>
                <c:pt idx="66">
                  <c:v>1986.4999999950201</c:v>
                </c:pt>
                <c:pt idx="67">
                  <c:v>1986.5833333283799</c:v>
                </c:pt>
                <c:pt idx="68">
                  <c:v>1986.66666666174</c:v>
                </c:pt>
                <c:pt idx="69">
                  <c:v>1986.7499999951001</c:v>
                </c:pt>
                <c:pt idx="70">
                  <c:v>1986.83333332846</c:v>
                </c:pt>
                <c:pt idx="71">
                  <c:v>1986.91666666182</c:v>
                </c:pt>
                <c:pt idx="72">
                  <c:v>1986.9999999951799</c:v>
                </c:pt>
                <c:pt idx="73">
                  <c:v>1987.08333332854</c:v>
                </c:pt>
                <c:pt idx="74">
                  <c:v>1987.1666666619001</c:v>
                </c:pt>
                <c:pt idx="75">
                  <c:v>1987.2499999952599</c:v>
                </c:pt>
                <c:pt idx="76">
                  <c:v>1987.33333332862</c:v>
                </c:pt>
                <c:pt idx="77">
                  <c:v>1987.4166666619799</c:v>
                </c:pt>
                <c:pt idx="78">
                  <c:v>1987.49999999534</c:v>
                </c:pt>
                <c:pt idx="79">
                  <c:v>1987.5833333287001</c:v>
                </c:pt>
                <c:pt idx="80">
                  <c:v>1987.6666666620599</c:v>
                </c:pt>
                <c:pt idx="81">
                  <c:v>1987.74999999543</c:v>
                </c:pt>
                <c:pt idx="82">
                  <c:v>1987.8333333287901</c:v>
                </c:pt>
                <c:pt idx="83">
                  <c:v>1987.91666666215</c:v>
                </c:pt>
                <c:pt idx="84">
                  <c:v>1987.9999999955101</c:v>
                </c:pt>
                <c:pt idx="85">
                  <c:v>1988.0833333288699</c:v>
                </c:pt>
                <c:pt idx="86">
                  <c:v>1988.16666666223</c:v>
                </c:pt>
                <c:pt idx="87">
                  <c:v>1988.2499999955901</c:v>
                </c:pt>
                <c:pt idx="88">
                  <c:v>1988.3333333289499</c:v>
                </c:pt>
                <c:pt idx="89">
                  <c:v>1988.41666666231</c:v>
                </c:pt>
                <c:pt idx="90">
                  <c:v>1988.4999999956699</c:v>
                </c:pt>
                <c:pt idx="91">
                  <c:v>1988.58333332903</c:v>
                </c:pt>
                <c:pt idx="92">
                  <c:v>1988.6666666623901</c:v>
                </c:pt>
                <c:pt idx="93">
                  <c:v>1988.7499999957499</c:v>
                </c:pt>
                <c:pt idx="94">
                  <c:v>1988.83333332911</c:v>
                </c:pt>
                <c:pt idx="95">
                  <c:v>1988.9166666624701</c:v>
                </c:pt>
                <c:pt idx="96">
                  <c:v>1988.99999999583</c:v>
                </c:pt>
                <c:pt idx="97">
                  <c:v>1989.0833333291901</c:v>
                </c:pt>
                <c:pt idx="98">
                  <c:v>1989.1666666625499</c:v>
                </c:pt>
                <c:pt idx="99">
                  <c:v>1989.24999999591</c:v>
                </c:pt>
                <c:pt idx="100">
                  <c:v>1989.3333333292701</c:v>
                </c:pt>
                <c:pt idx="101">
                  <c:v>1989.41666666263</c:v>
                </c:pt>
                <c:pt idx="102">
                  <c:v>1989.49999999599</c:v>
                </c:pt>
                <c:pt idx="103">
                  <c:v>1989.5833333293499</c:v>
                </c:pt>
                <c:pt idx="104">
                  <c:v>1989.66666666271</c:v>
                </c:pt>
                <c:pt idx="105">
                  <c:v>1989.7499999960701</c:v>
                </c:pt>
                <c:pt idx="106">
                  <c:v>1989.8333333294299</c:v>
                </c:pt>
                <c:pt idx="107">
                  <c:v>1989.91666666279</c:v>
                </c:pt>
                <c:pt idx="108">
                  <c:v>1989.9999999961501</c:v>
                </c:pt>
                <c:pt idx="109">
                  <c:v>1990.08333332951</c:v>
                </c:pt>
                <c:pt idx="110">
                  <c:v>1990.1666666628701</c:v>
                </c:pt>
                <c:pt idx="111">
                  <c:v>1990.2499999962299</c:v>
                </c:pt>
                <c:pt idx="112">
                  <c:v>1990.33333332959</c:v>
                </c:pt>
                <c:pt idx="113">
                  <c:v>1990.4166666629501</c:v>
                </c:pt>
                <c:pt idx="114">
                  <c:v>1990.49999999631</c:v>
                </c:pt>
                <c:pt idx="115">
                  <c:v>1990.58333332967</c:v>
                </c:pt>
                <c:pt idx="116">
                  <c:v>1990.6666666630299</c:v>
                </c:pt>
                <c:pt idx="117">
                  <c:v>1990.74999999639</c:v>
                </c:pt>
                <c:pt idx="118">
                  <c:v>1990.8333333297501</c:v>
                </c:pt>
                <c:pt idx="119">
                  <c:v>1990.9166666631099</c:v>
                </c:pt>
                <c:pt idx="120">
                  <c:v>1990.99999999647</c:v>
                </c:pt>
                <c:pt idx="121">
                  <c:v>1991.0833333298301</c:v>
                </c:pt>
                <c:pt idx="122">
                  <c:v>1991.16666666319</c:v>
                </c:pt>
                <c:pt idx="123">
                  <c:v>1991.2499999965501</c:v>
                </c:pt>
                <c:pt idx="124">
                  <c:v>1991.3333333299099</c:v>
                </c:pt>
                <c:pt idx="125">
                  <c:v>1991.41666666327</c:v>
                </c:pt>
                <c:pt idx="126">
                  <c:v>1991.4999999966301</c:v>
                </c:pt>
                <c:pt idx="127">
                  <c:v>1991.58333332999</c:v>
                </c:pt>
                <c:pt idx="128">
                  <c:v>1991.66666666335</c:v>
                </c:pt>
                <c:pt idx="129">
                  <c:v>1991.7499999967099</c:v>
                </c:pt>
                <c:pt idx="130">
                  <c:v>1991.83333333007</c:v>
                </c:pt>
                <c:pt idx="131">
                  <c:v>1991.9166666634301</c:v>
                </c:pt>
                <c:pt idx="132">
                  <c:v>1991.9999999967899</c:v>
                </c:pt>
                <c:pt idx="133">
                  <c:v>1992.08333333015</c:v>
                </c:pt>
                <c:pt idx="134">
                  <c:v>1992.1666666635101</c:v>
                </c:pt>
                <c:pt idx="135">
                  <c:v>1992.24999999687</c:v>
                </c:pt>
                <c:pt idx="136">
                  <c:v>1992.3333333302301</c:v>
                </c:pt>
                <c:pt idx="137">
                  <c:v>1992.4166666635899</c:v>
                </c:pt>
                <c:pt idx="138">
                  <c:v>1992.49999999695</c:v>
                </c:pt>
                <c:pt idx="139">
                  <c:v>1992.5833333303101</c:v>
                </c:pt>
                <c:pt idx="140">
                  <c:v>1992.66666666367</c:v>
                </c:pt>
                <c:pt idx="141">
                  <c:v>1992.74999999703</c:v>
                </c:pt>
                <c:pt idx="142">
                  <c:v>1992.8333333303899</c:v>
                </c:pt>
                <c:pt idx="143">
                  <c:v>1992.91666666375</c:v>
                </c:pt>
                <c:pt idx="144">
                  <c:v>1992.9999999971101</c:v>
                </c:pt>
                <c:pt idx="145">
                  <c:v>1993.0833333304699</c:v>
                </c:pt>
                <c:pt idx="146">
                  <c:v>1993.16666666383</c:v>
                </c:pt>
                <c:pt idx="147">
                  <c:v>1993.2499999971899</c:v>
                </c:pt>
                <c:pt idx="148">
                  <c:v>1993.33333333055</c:v>
                </c:pt>
                <c:pt idx="149">
                  <c:v>1993.4166666639101</c:v>
                </c:pt>
                <c:pt idx="150">
                  <c:v>1993.4999999972699</c:v>
                </c:pt>
                <c:pt idx="151">
                  <c:v>1993.58333333063</c:v>
                </c:pt>
                <c:pt idx="152">
                  <c:v>1993.6666666639901</c:v>
                </c:pt>
                <c:pt idx="153">
                  <c:v>1993.74999999735</c:v>
                </c:pt>
                <c:pt idx="154">
                  <c:v>1993.83333333071</c:v>
                </c:pt>
                <c:pt idx="155">
                  <c:v>1993.9166666640699</c:v>
                </c:pt>
                <c:pt idx="156">
                  <c:v>1993.99999999743</c:v>
                </c:pt>
                <c:pt idx="157">
                  <c:v>1994.0833333307901</c:v>
                </c:pt>
                <c:pt idx="158">
                  <c:v>1994.1666666641499</c:v>
                </c:pt>
                <c:pt idx="159">
                  <c:v>1994.24999999751</c:v>
                </c:pt>
                <c:pt idx="160">
                  <c:v>1994.3333333308699</c:v>
                </c:pt>
                <c:pt idx="161">
                  <c:v>1994.41666666423</c:v>
                </c:pt>
                <c:pt idx="162">
                  <c:v>1994.4999999975901</c:v>
                </c:pt>
                <c:pt idx="163">
                  <c:v>1994.5833333309499</c:v>
                </c:pt>
                <c:pt idx="164">
                  <c:v>1994.66666666431</c:v>
                </c:pt>
                <c:pt idx="165">
                  <c:v>1994.7499999976701</c:v>
                </c:pt>
                <c:pt idx="166">
                  <c:v>1994.83333333103</c:v>
                </c:pt>
                <c:pt idx="167">
                  <c:v>1994.91666666439</c:v>
                </c:pt>
                <c:pt idx="168">
                  <c:v>1994.9999999977499</c:v>
                </c:pt>
                <c:pt idx="169">
                  <c:v>1995.08333333111</c:v>
                </c:pt>
                <c:pt idx="170">
                  <c:v>1995.1666666644701</c:v>
                </c:pt>
                <c:pt idx="171">
                  <c:v>1995.2499999978299</c:v>
                </c:pt>
                <c:pt idx="172">
                  <c:v>1995.33333333119</c:v>
                </c:pt>
                <c:pt idx="173">
                  <c:v>1995.4166666645499</c:v>
                </c:pt>
                <c:pt idx="174">
                  <c:v>1995.49999999791</c:v>
                </c:pt>
                <c:pt idx="175">
                  <c:v>1995.5833333312701</c:v>
                </c:pt>
                <c:pt idx="176">
                  <c:v>1995.6666666646299</c:v>
                </c:pt>
                <c:pt idx="177">
                  <c:v>1995.74999999799</c:v>
                </c:pt>
                <c:pt idx="178">
                  <c:v>1995.8333333313501</c:v>
                </c:pt>
                <c:pt idx="179">
                  <c:v>1995.91666666471</c:v>
                </c:pt>
                <c:pt idx="180">
                  <c:v>1995.9999999980701</c:v>
                </c:pt>
                <c:pt idx="181">
                  <c:v>1996.0833333314299</c:v>
                </c:pt>
                <c:pt idx="182">
                  <c:v>1996.16666666479</c:v>
                </c:pt>
                <c:pt idx="183">
                  <c:v>1996.2499999981501</c:v>
                </c:pt>
                <c:pt idx="184">
                  <c:v>1996.3333333315099</c:v>
                </c:pt>
                <c:pt idx="185">
                  <c:v>1996.41666666487</c:v>
                </c:pt>
                <c:pt idx="186">
                  <c:v>1996.4999999982299</c:v>
                </c:pt>
                <c:pt idx="187">
                  <c:v>1996.58333333159</c:v>
                </c:pt>
                <c:pt idx="188">
                  <c:v>1996.6666666649501</c:v>
                </c:pt>
                <c:pt idx="189">
                  <c:v>1996.7499999983099</c:v>
                </c:pt>
                <c:pt idx="190">
                  <c:v>1996.83333333167</c:v>
                </c:pt>
                <c:pt idx="191">
                  <c:v>1996.9166666650301</c:v>
                </c:pt>
                <c:pt idx="192">
                  <c:v>1996.99999999839</c:v>
                </c:pt>
                <c:pt idx="193">
                  <c:v>1997.0833333317501</c:v>
                </c:pt>
                <c:pt idx="194">
                  <c:v>1997.1666666651099</c:v>
                </c:pt>
                <c:pt idx="195">
                  <c:v>1997.24999999848</c:v>
                </c:pt>
                <c:pt idx="196">
                  <c:v>1997.3333333318401</c:v>
                </c:pt>
                <c:pt idx="197">
                  <c:v>1997.4166666652</c:v>
                </c:pt>
                <c:pt idx="198">
                  <c:v>1997.49999999856</c:v>
                </c:pt>
                <c:pt idx="199">
                  <c:v>1997.5833333319199</c:v>
                </c:pt>
                <c:pt idx="200">
                  <c:v>1997.66666666528</c:v>
                </c:pt>
                <c:pt idx="201">
                  <c:v>1997.7499999986401</c:v>
                </c:pt>
                <c:pt idx="202">
                  <c:v>1997.8333333319999</c:v>
                </c:pt>
                <c:pt idx="203">
                  <c:v>1997.91666666536</c:v>
                </c:pt>
                <c:pt idx="204">
                  <c:v>1997.9999999987201</c:v>
                </c:pt>
                <c:pt idx="205">
                  <c:v>1998.08333333208</c:v>
                </c:pt>
                <c:pt idx="206">
                  <c:v>1998.1666666654401</c:v>
                </c:pt>
                <c:pt idx="207">
                  <c:v>1998.2499999987999</c:v>
                </c:pt>
                <c:pt idx="208">
                  <c:v>1998.33333333216</c:v>
                </c:pt>
                <c:pt idx="209">
                  <c:v>1998.4166666655201</c:v>
                </c:pt>
                <c:pt idx="210">
                  <c:v>1998.49999999888</c:v>
                </c:pt>
                <c:pt idx="211">
                  <c:v>1998.58333333224</c:v>
                </c:pt>
                <c:pt idx="212">
                  <c:v>1998.6666666655999</c:v>
                </c:pt>
                <c:pt idx="213">
                  <c:v>1998.74999999896</c:v>
                </c:pt>
                <c:pt idx="214">
                  <c:v>1998.8333333323201</c:v>
                </c:pt>
                <c:pt idx="215">
                  <c:v>1998.9166666656799</c:v>
                </c:pt>
                <c:pt idx="216">
                  <c:v>1998.99999999904</c:v>
                </c:pt>
                <c:pt idx="217">
                  <c:v>1999.0833333323999</c:v>
                </c:pt>
                <c:pt idx="218">
                  <c:v>1999.16666666576</c:v>
                </c:pt>
                <c:pt idx="219">
                  <c:v>1999.2499999991201</c:v>
                </c:pt>
                <c:pt idx="220">
                  <c:v>1999.3333333324799</c:v>
                </c:pt>
                <c:pt idx="221">
                  <c:v>1999.41666666584</c:v>
                </c:pt>
                <c:pt idx="222">
                  <c:v>1999.4999999992001</c:v>
                </c:pt>
                <c:pt idx="223">
                  <c:v>1999.58333333256</c:v>
                </c:pt>
                <c:pt idx="224">
                  <c:v>1999.66666666592</c:v>
                </c:pt>
                <c:pt idx="225">
                  <c:v>1999.7499999992799</c:v>
                </c:pt>
                <c:pt idx="226">
                  <c:v>1999.83333333264</c:v>
                </c:pt>
                <c:pt idx="227">
                  <c:v>1999.9166666660001</c:v>
                </c:pt>
                <c:pt idx="228">
                  <c:v>2000</c:v>
                </c:pt>
                <c:pt idx="229">
                  <c:v>2000.0833333333101</c:v>
                </c:pt>
                <c:pt idx="230">
                  <c:v>2000.1666666666399</c:v>
                </c:pt>
                <c:pt idx="231">
                  <c:v>2000.24999999997</c:v>
                </c:pt>
                <c:pt idx="232">
                  <c:v>2000.3333333333101</c:v>
                </c:pt>
                <c:pt idx="233">
                  <c:v>2000.4166666666399</c:v>
                </c:pt>
                <c:pt idx="234">
                  <c:v>2000.49999999997</c:v>
                </c:pt>
                <c:pt idx="235">
                  <c:v>2000.5833333333101</c:v>
                </c:pt>
                <c:pt idx="236">
                  <c:v>2000.6666666666399</c:v>
                </c:pt>
                <c:pt idx="237">
                  <c:v>2000.74999999997</c:v>
                </c:pt>
                <c:pt idx="238">
                  <c:v>2000.8333333333101</c:v>
                </c:pt>
                <c:pt idx="239">
                  <c:v>2000.9166666666399</c:v>
                </c:pt>
                <c:pt idx="240">
                  <c:v>2001</c:v>
                </c:pt>
                <c:pt idx="241">
                  <c:v>2001.0833333333101</c:v>
                </c:pt>
                <c:pt idx="242">
                  <c:v>2001.1666666666399</c:v>
                </c:pt>
                <c:pt idx="243">
                  <c:v>2001.24999999997</c:v>
                </c:pt>
                <c:pt idx="244">
                  <c:v>2001.3333333333101</c:v>
                </c:pt>
                <c:pt idx="245">
                  <c:v>2001.4166666666399</c:v>
                </c:pt>
                <c:pt idx="246">
                  <c:v>2001.49999999998</c:v>
                </c:pt>
                <c:pt idx="247">
                  <c:v>2001.5833333333101</c:v>
                </c:pt>
                <c:pt idx="248">
                  <c:v>2001.6666666666399</c:v>
                </c:pt>
                <c:pt idx="249">
                  <c:v>2001.74999999998</c:v>
                </c:pt>
                <c:pt idx="250">
                  <c:v>2001.8333333333101</c:v>
                </c:pt>
                <c:pt idx="251">
                  <c:v>2001.9166666666399</c:v>
                </c:pt>
                <c:pt idx="252">
                  <c:v>2002</c:v>
                </c:pt>
                <c:pt idx="253">
                  <c:v>2002.0833333333101</c:v>
                </c:pt>
                <c:pt idx="254">
                  <c:v>2002.1666666666399</c:v>
                </c:pt>
                <c:pt idx="255">
                  <c:v>2002.24999999998</c:v>
                </c:pt>
                <c:pt idx="256">
                  <c:v>2002.3333333333101</c:v>
                </c:pt>
                <c:pt idx="257">
                  <c:v>2002.4166666666399</c:v>
                </c:pt>
                <c:pt idx="258">
                  <c:v>2002.49999999998</c:v>
                </c:pt>
                <c:pt idx="259">
                  <c:v>2002.5833333333101</c:v>
                </c:pt>
                <c:pt idx="260">
                  <c:v>2002.6666666666399</c:v>
                </c:pt>
                <c:pt idx="261">
                  <c:v>2002.74999999998</c:v>
                </c:pt>
                <c:pt idx="262">
                  <c:v>2002.8333333333101</c:v>
                </c:pt>
                <c:pt idx="263">
                  <c:v>2002.9166666666399</c:v>
                </c:pt>
                <c:pt idx="264">
                  <c:v>2003</c:v>
                </c:pt>
                <c:pt idx="265">
                  <c:v>2003.0833333333101</c:v>
                </c:pt>
                <c:pt idx="266">
                  <c:v>2003.1666666666499</c:v>
                </c:pt>
                <c:pt idx="267">
                  <c:v>2003.24999999998</c:v>
                </c:pt>
                <c:pt idx="268">
                  <c:v>2003.3333333333101</c:v>
                </c:pt>
                <c:pt idx="269">
                  <c:v>2003.4166666666499</c:v>
                </c:pt>
                <c:pt idx="270">
                  <c:v>2003.49999999998</c:v>
                </c:pt>
                <c:pt idx="271">
                  <c:v>2003.5833333333101</c:v>
                </c:pt>
                <c:pt idx="272">
                  <c:v>2003.6666666666499</c:v>
                </c:pt>
                <c:pt idx="273">
                  <c:v>2003.74999999998</c:v>
                </c:pt>
                <c:pt idx="274">
                  <c:v>2003.8333333333101</c:v>
                </c:pt>
                <c:pt idx="275">
                  <c:v>2003.9166666666499</c:v>
                </c:pt>
                <c:pt idx="276">
                  <c:v>2004</c:v>
                </c:pt>
                <c:pt idx="277">
                  <c:v>2004.0833333333101</c:v>
                </c:pt>
                <c:pt idx="278">
                  <c:v>2004.1666666666499</c:v>
                </c:pt>
                <c:pt idx="279">
                  <c:v>2004.24999999998</c:v>
                </c:pt>
                <c:pt idx="280">
                  <c:v>2004.3333333333101</c:v>
                </c:pt>
                <c:pt idx="281">
                  <c:v>2004.4166666666499</c:v>
                </c:pt>
                <c:pt idx="282">
                  <c:v>2004.49999999998</c:v>
                </c:pt>
                <c:pt idx="283">
                  <c:v>2004.5833333333101</c:v>
                </c:pt>
                <c:pt idx="284">
                  <c:v>2004.6666666666499</c:v>
                </c:pt>
                <c:pt idx="285">
                  <c:v>2004.74999999998</c:v>
                </c:pt>
                <c:pt idx="286">
                  <c:v>2004.8333333333101</c:v>
                </c:pt>
                <c:pt idx="287">
                  <c:v>2004.9166666666499</c:v>
                </c:pt>
                <c:pt idx="288">
                  <c:v>2005</c:v>
                </c:pt>
                <c:pt idx="289">
                  <c:v>2005.0833333333201</c:v>
                </c:pt>
                <c:pt idx="290">
                  <c:v>2005.1666666666499</c:v>
                </c:pt>
                <c:pt idx="291">
                  <c:v>2005.24999999998</c:v>
                </c:pt>
                <c:pt idx="292">
                  <c:v>2005.3333333333201</c:v>
                </c:pt>
                <c:pt idx="293">
                  <c:v>2005.4166666666499</c:v>
                </c:pt>
                <c:pt idx="294">
                  <c:v>2005.49999999998</c:v>
                </c:pt>
                <c:pt idx="295">
                  <c:v>2005.5833333333201</c:v>
                </c:pt>
                <c:pt idx="296">
                  <c:v>2005.6666666666499</c:v>
                </c:pt>
                <c:pt idx="297">
                  <c:v>2005.74999999998</c:v>
                </c:pt>
                <c:pt idx="298">
                  <c:v>2005.8333333333201</c:v>
                </c:pt>
                <c:pt idx="299">
                  <c:v>2005.9166666666499</c:v>
                </c:pt>
                <c:pt idx="300">
                  <c:v>2006</c:v>
                </c:pt>
                <c:pt idx="301">
                  <c:v>2006.0833333333201</c:v>
                </c:pt>
                <c:pt idx="302">
                  <c:v>2006.1666666666499</c:v>
                </c:pt>
                <c:pt idx="303">
                  <c:v>2006.24999999998</c:v>
                </c:pt>
                <c:pt idx="304">
                  <c:v>2006.3333333333201</c:v>
                </c:pt>
                <c:pt idx="305">
                  <c:v>2006.4166666666499</c:v>
                </c:pt>
                <c:pt idx="306">
                  <c:v>2006.49999999998</c:v>
                </c:pt>
                <c:pt idx="307">
                  <c:v>2006.5833333333201</c:v>
                </c:pt>
                <c:pt idx="308">
                  <c:v>2006.6666666666499</c:v>
                </c:pt>
                <c:pt idx="309">
                  <c:v>2006.74999999998</c:v>
                </c:pt>
                <c:pt idx="310">
                  <c:v>2006.8333333333201</c:v>
                </c:pt>
                <c:pt idx="311">
                  <c:v>2006.9166666666499</c:v>
                </c:pt>
                <c:pt idx="312">
                  <c:v>2007</c:v>
                </c:pt>
                <c:pt idx="313">
                  <c:v>2007.0833333333201</c:v>
                </c:pt>
                <c:pt idx="314">
                  <c:v>2007.1666666666499</c:v>
                </c:pt>
                <c:pt idx="315">
                  <c:v>2007.24999999999</c:v>
                </c:pt>
                <c:pt idx="316">
                  <c:v>2007.3333333333201</c:v>
                </c:pt>
                <c:pt idx="317">
                  <c:v>2007.4166666666499</c:v>
                </c:pt>
                <c:pt idx="318">
                  <c:v>2007.49999999999</c:v>
                </c:pt>
                <c:pt idx="319">
                  <c:v>2007.5833333333201</c:v>
                </c:pt>
                <c:pt idx="320">
                  <c:v>2007.6666666666499</c:v>
                </c:pt>
                <c:pt idx="321">
                  <c:v>2007.74999999999</c:v>
                </c:pt>
                <c:pt idx="322">
                  <c:v>2007.8333333333201</c:v>
                </c:pt>
                <c:pt idx="323">
                  <c:v>2007.9166666666499</c:v>
                </c:pt>
                <c:pt idx="324">
                  <c:v>2008</c:v>
                </c:pt>
                <c:pt idx="325">
                  <c:v>2008.0833333333201</c:v>
                </c:pt>
                <c:pt idx="326">
                  <c:v>2008.1666666666499</c:v>
                </c:pt>
                <c:pt idx="327">
                  <c:v>2008.24999999999</c:v>
                </c:pt>
                <c:pt idx="328">
                  <c:v>2008.3333333333201</c:v>
                </c:pt>
                <c:pt idx="329">
                  <c:v>2008.4166666666499</c:v>
                </c:pt>
                <c:pt idx="330">
                  <c:v>2008.49999999999</c:v>
                </c:pt>
                <c:pt idx="331">
                  <c:v>2008.5833333333201</c:v>
                </c:pt>
                <c:pt idx="332">
                  <c:v>2008.6666666666599</c:v>
                </c:pt>
                <c:pt idx="333">
                  <c:v>2008.74999999999</c:v>
                </c:pt>
                <c:pt idx="334">
                  <c:v>2008.8333333333201</c:v>
                </c:pt>
                <c:pt idx="335">
                  <c:v>2008.9166666666599</c:v>
                </c:pt>
                <c:pt idx="336">
                  <c:v>2009</c:v>
                </c:pt>
                <c:pt idx="337">
                  <c:v>2009.0833333333201</c:v>
                </c:pt>
                <c:pt idx="338">
                  <c:v>2009.1666666666599</c:v>
                </c:pt>
                <c:pt idx="339">
                  <c:v>2009.24999999999</c:v>
                </c:pt>
                <c:pt idx="340">
                  <c:v>2009.3333333333201</c:v>
                </c:pt>
                <c:pt idx="341">
                  <c:v>2009.4166666666599</c:v>
                </c:pt>
                <c:pt idx="342">
                  <c:v>2009.49999999999</c:v>
                </c:pt>
                <c:pt idx="343">
                  <c:v>2009.5833333333201</c:v>
                </c:pt>
                <c:pt idx="344">
                  <c:v>2009.6666666666599</c:v>
                </c:pt>
                <c:pt idx="345">
                  <c:v>2009.74999999999</c:v>
                </c:pt>
                <c:pt idx="346">
                  <c:v>2009.8333333333201</c:v>
                </c:pt>
                <c:pt idx="347">
                  <c:v>2009.9166666666599</c:v>
                </c:pt>
                <c:pt idx="348">
                  <c:v>2010</c:v>
                </c:pt>
                <c:pt idx="349">
                  <c:v>2010.0833333333201</c:v>
                </c:pt>
                <c:pt idx="350">
                  <c:v>2010.1666666666599</c:v>
                </c:pt>
                <c:pt idx="351">
                  <c:v>2010.24999999999</c:v>
                </c:pt>
                <c:pt idx="352">
                  <c:v>2010.3333333333201</c:v>
                </c:pt>
                <c:pt idx="353">
                  <c:v>2010.4166666666599</c:v>
                </c:pt>
                <c:pt idx="354">
                  <c:v>2010.49999999999</c:v>
                </c:pt>
                <c:pt idx="355">
                  <c:v>2010.5833333333301</c:v>
                </c:pt>
                <c:pt idx="356">
                  <c:v>2010.6666666666599</c:v>
                </c:pt>
                <c:pt idx="357">
                  <c:v>2010.74999999999</c:v>
                </c:pt>
                <c:pt idx="358">
                  <c:v>2010.8333333333301</c:v>
                </c:pt>
                <c:pt idx="359">
                  <c:v>2010.9166666666599</c:v>
                </c:pt>
                <c:pt idx="360">
                  <c:v>2011</c:v>
                </c:pt>
                <c:pt idx="361">
                  <c:v>2011.0833333333301</c:v>
                </c:pt>
                <c:pt idx="362">
                  <c:v>2011.1666666666599</c:v>
                </c:pt>
                <c:pt idx="363">
                  <c:v>2011.24999999999</c:v>
                </c:pt>
                <c:pt idx="364">
                  <c:v>2011.3333333333301</c:v>
                </c:pt>
                <c:pt idx="365">
                  <c:v>2011.4166666666599</c:v>
                </c:pt>
                <c:pt idx="366">
                  <c:v>2011.49999999999</c:v>
                </c:pt>
                <c:pt idx="367">
                  <c:v>2011.5833333333301</c:v>
                </c:pt>
                <c:pt idx="368">
                  <c:v>2011.6666666666599</c:v>
                </c:pt>
                <c:pt idx="369">
                  <c:v>2011.74999999999</c:v>
                </c:pt>
                <c:pt idx="370">
                  <c:v>2011.8333333333301</c:v>
                </c:pt>
                <c:pt idx="371">
                  <c:v>2011.9166666666599</c:v>
                </c:pt>
                <c:pt idx="372">
                  <c:v>2012</c:v>
                </c:pt>
                <c:pt idx="373">
                  <c:v>2012.0833333333301</c:v>
                </c:pt>
                <c:pt idx="374">
                  <c:v>2012.1666666666599</c:v>
                </c:pt>
                <c:pt idx="375">
                  <c:v>2012.24999999999</c:v>
                </c:pt>
                <c:pt idx="376">
                  <c:v>2012.3333333333301</c:v>
                </c:pt>
                <c:pt idx="377">
                  <c:v>2012.4166666666599</c:v>
                </c:pt>
                <c:pt idx="378">
                  <c:v>2012.5</c:v>
                </c:pt>
                <c:pt idx="379">
                  <c:v>2012.5833333333301</c:v>
                </c:pt>
                <c:pt idx="380">
                  <c:v>2012.6666666666599</c:v>
                </c:pt>
                <c:pt idx="381">
                  <c:v>2012.75</c:v>
                </c:pt>
                <c:pt idx="382">
                  <c:v>2012.8333333333301</c:v>
                </c:pt>
                <c:pt idx="383">
                  <c:v>2012.9166666666599</c:v>
                </c:pt>
                <c:pt idx="384">
                  <c:v>2013</c:v>
                </c:pt>
                <c:pt idx="385">
                  <c:v>2013.0833333333301</c:v>
                </c:pt>
                <c:pt idx="386">
                  <c:v>2013.1666666666599</c:v>
                </c:pt>
                <c:pt idx="387">
                  <c:v>2013.25</c:v>
                </c:pt>
                <c:pt idx="388">
                  <c:v>2013.3333333333301</c:v>
                </c:pt>
                <c:pt idx="389">
                  <c:v>2013.4166666666599</c:v>
                </c:pt>
                <c:pt idx="390">
                  <c:v>2013.5</c:v>
                </c:pt>
                <c:pt idx="391">
                  <c:v>2013.5833333333301</c:v>
                </c:pt>
                <c:pt idx="392">
                  <c:v>2013.6666666666599</c:v>
                </c:pt>
                <c:pt idx="393">
                  <c:v>2013.75</c:v>
                </c:pt>
                <c:pt idx="394">
                  <c:v>2013.8333333333301</c:v>
                </c:pt>
                <c:pt idx="395">
                  <c:v>2013.9166666666599</c:v>
                </c:pt>
                <c:pt idx="396">
                  <c:v>2014</c:v>
                </c:pt>
                <c:pt idx="397">
                  <c:v>2014.0833333333333</c:v>
                </c:pt>
                <c:pt idx="398">
                  <c:v>2014.1666666666665</c:v>
                </c:pt>
                <c:pt idx="399">
                  <c:v>2014.25</c:v>
                </c:pt>
                <c:pt idx="400">
                  <c:v>2014.3333333333333</c:v>
                </c:pt>
                <c:pt idx="401">
                  <c:v>2014.4166666666665</c:v>
                </c:pt>
                <c:pt idx="402">
                  <c:v>2014.5</c:v>
                </c:pt>
                <c:pt idx="403">
                  <c:v>2014.5833333333333</c:v>
                </c:pt>
                <c:pt idx="404">
                  <c:v>2014.6666666666665</c:v>
                </c:pt>
                <c:pt idx="405">
                  <c:v>2014.75</c:v>
                </c:pt>
                <c:pt idx="406">
                  <c:v>2014.8333333333333</c:v>
                </c:pt>
                <c:pt idx="407">
                  <c:v>2014.9166666666665</c:v>
                </c:pt>
                <c:pt idx="408">
                  <c:v>2015</c:v>
                </c:pt>
                <c:pt idx="409">
                  <c:v>2015.0833333333333</c:v>
                </c:pt>
                <c:pt idx="410">
                  <c:v>2015.1666666666665</c:v>
                </c:pt>
                <c:pt idx="411">
                  <c:v>2015.25</c:v>
                </c:pt>
                <c:pt idx="412">
                  <c:v>2015.3333333333333</c:v>
                </c:pt>
                <c:pt idx="413">
                  <c:v>2015.4166666666665</c:v>
                </c:pt>
                <c:pt idx="414">
                  <c:v>2015.5</c:v>
                </c:pt>
                <c:pt idx="415">
                  <c:v>2015.5833333333333</c:v>
                </c:pt>
                <c:pt idx="416">
                  <c:v>2015.6666666666665</c:v>
                </c:pt>
                <c:pt idx="417">
                  <c:v>2015.75</c:v>
                </c:pt>
                <c:pt idx="418">
                  <c:v>2015.8333333333333</c:v>
                </c:pt>
                <c:pt idx="419">
                  <c:v>2015.9166666666665</c:v>
                </c:pt>
              </c:numCache>
            </c:numRef>
          </c:xVal>
          <c:yVal>
            <c:numRef>
              <c:f>Nivel!$H$10:$H$441</c:f>
              <c:numCache>
                <c:formatCode>General</c:formatCode>
                <c:ptCount val="432"/>
                <c:pt idx="3">
                  <c:v>640</c:v>
                </c:pt>
                <c:pt idx="4">
                  <c:v>656</c:v>
                </c:pt>
                <c:pt idx="5">
                  <c:v>663</c:v>
                </c:pt>
                <c:pt idx="6">
                  <c:v>664</c:v>
                </c:pt>
                <c:pt idx="7">
                  <c:v>663</c:v>
                </c:pt>
                <c:pt idx="8">
                  <c:v>664</c:v>
                </c:pt>
                <c:pt idx="10">
                  <c:v>665</c:v>
                </c:pt>
                <c:pt idx="11">
                  <c:v>663</c:v>
                </c:pt>
                <c:pt idx="12">
                  <c:v>663</c:v>
                </c:pt>
                <c:pt idx="13">
                  <c:v>661</c:v>
                </c:pt>
                <c:pt idx="14">
                  <c:v>638</c:v>
                </c:pt>
                <c:pt idx="15">
                  <c:v>642</c:v>
                </c:pt>
                <c:pt idx="16">
                  <c:v>651</c:v>
                </c:pt>
                <c:pt idx="17">
                  <c:v>658</c:v>
                </c:pt>
                <c:pt idx="18">
                  <c:v>653</c:v>
                </c:pt>
                <c:pt idx="19">
                  <c:v>647</c:v>
                </c:pt>
                <c:pt idx="20">
                  <c:v>649</c:v>
                </c:pt>
                <c:pt idx="21">
                  <c:v>653</c:v>
                </c:pt>
                <c:pt idx="22">
                  <c:v>649</c:v>
                </c:pt>
                <c:pt idx="23">
                  <c:v>655</c:v>
                </c:pt>
                <c:pt idx="24">
                  <c:v>647</c:v>
                </c:pt>
                <c:pt idx="25">
                  <c:v>636</c:v>
                </c:pt>
                <c:pt idx="26">
                  <c:v>635</c:v>
                </c:pt>
                <c:pt idx="27">
                  <c:v>636</c:v>
                </c:pt>
                <c:pt idx="28">
                  <c:v>639</c:v>
                </c:pt>
                <c:pt idx="29">
                  <c:v>638</c:v>
                </c:pt>
                <c:pt idx="30">
                  <c:v>642</c:v>
                </c:pt>
                <c:pt idx="31">
                  <c:v>643</c:v>
                </c:pt>
                <c:pt idx="32">
                  <c:v>647</c:v>
                </c:pt>
                <c:pt idx="33">
                  <c:v>654</c:v>
                </c:pt>
                <c:pt idx="34">
                  <c:v>650</c:v>
                </c:pt>
                <c:pt idx="35">
                  <c:v>647</c:v>
                </c:pt>
                <c:pt idx="36">
                  <c:v>649</c:v>
                </c:pt>
                <c:pt idx="37">
                  <c:v>647</c:v>
                </c:pt>
                <c:pt idx="38">
                  <c:v>646</c:v>
                </c:pt>
                <c:pt idx="39">
                  <c:v>646</c:v>
                </c:pt>
                <c:pt idx="40">
                  <c:v>649</c:v>
                </c:pt>
                <c:pt idx="41">
                  <c:v>656</c:v>
                </c:pt>
                <c:pt idx="42">
                  <c:v>663</c:v>
                </c:pt>
                <c:pt idx="43">
                  <c:v>665</c:v>
                </c:pt>
                <c:pt idx="44">
                  <c:v>672</c:v>
                </c:pt>
                <c:pt idx="45">
                  <c:v>677</c:v>
                </c:pt>
                <c:pt idx="46">
                  <c:v>678</c:v>
                </c:pt>
                <c:pt idx="47">
                  <c:v>667</c:v>
                </c:pt>
                <c:pt idx="48">
                  <c:v>655</c:v>
                </c:pt>
                <c:pt idx="49">
                  <c:v>644</c:v>
                </c:pt>
                <c:pt idx="50">
                  <c:v>642</c:v>
                </c:pt>
                <c:pt idx="51">
                  <c:v>642</c:v>
                </c:pt>
                <c:pt idx="52">
                  <c:v>648</c:v>
                </c:pt>
                <c:pt idx="53">
                  <c:v>646</c:v>
                </c:pt>
                <c:pt idx="54">
                  <c:v>645</c:v>
                </c:pt>
                <c:pt idx="55">
                  <c:v>646</c:v>
                </c:pt>
                <c:pt idx="56">
                  <c:v>652</c:v>
                </c:pt>
                <c:pt idx="57">
                  <c:v>659</c:v>
                </c:pt>
                <c:pt idx="58">
                  <c:v>657</c:v>
                </c:pt>
                <c:pt idx="59">
                  <c:v>659</c:v>
                </c:pt>
                <c:pt idx="60">
                  <c:v>646</c:v>
                </c:pt>
                <c:pt idx="61">
                  <c:v>634</c:v>
                </c:pt>
                <c:pt idx="62">
                  <c:v>634</c:v>
                </c:pt>
                <c:pt idx="63">
                  <c:v>638</c:v>
                </c:pt>
                <c:pt idx="64">
                  <c:v>656</c:v>
                </c:pt>
                <c:pt idx="65">
                  <c:v>661</c:v>
                </c:pt>
                <c:pt idx="66">
                  <c:v>661</c:v>
                </c:pt>
                <c:pt idx="67">
                  <c:v>654</c:v>
                </c:pt>
                <c:pt idx="68">
                  <c:v>656</c:v>
                </c:pt>
                <c:pt idx="69">
                  <c:v>663</c:v>
                </c:pt>
                <c:pt idx="70">
                  <c:v>670</c:v>
                </c:pt>
                <c:pt idx="71">
                  <c:v>665</c:v>
                </c:pt>
                <c:pt idx="72">
                  <c:v>653</c:v>
                </c:pt>
                <c:pt idx="73">
                  <c:v>645</c:v>
                </c:pt>
                <c:pt idx="74">
                  <c:v>639</c:v>
                </c:pt>
                <c:pt idx="75">
                  <c:v>646</c:v>
                </c:pt>
                <c:pt idx="76">
                  <c:v>652</c:v>
                </c:pt>
                <c:pt idx="77">
                  <c:v>655</c:v>
                </c:pt>
                <c:pt idx="78">
                  <c:v>655</c:v>
                </c:pt>
                <c:pt idx="79">
                  <c:v>662</c:v>
                </c:pt>
                <c:pt idx="80">
                  <c:v>664</c:v>
                </c:pt>
                <c:pt idx="81">
                  <c:v>669</c:v>
                </c:pt>
                <c:pt idx="82">
                  <c:v>671</c:v>
                </c:pt>
                <c:pt idx="83">
                  <c:v>674</c:v>
                </c:pt>
                <c:pt idx="84">
                  <c:v>658</c:v>
                </c:pt>
                <c:pt idx="85">
                  <c:v>645</c:v>
                </c:pt>
                <c:pt idx="86">
                  <c:v>631</c:v>
                </c:pt>
                <c:pt idx="87">
                  <c:v>636</c:v>
                </c:pt>
                <c:pt idx="88">
                  <c:v>646</c:v>
                </c:pt>
                <c:pt idx="89">
                  <c:v>653</c:v>
                </c:pt>
                <c:pt idx="90">
                  <c:v>661</c:v>
                </c:pt>
                <c:pt idx="91">
                  <c:v>667</c:v>
                </c:pt>
                <c:pt idx="92">
                  <c:v>670</c:v>
                </c:pt>
                <c:pt idx="93">
                  <c:v>681</c:v>
                </c:pt>
                <c:pt idx="94">
                  <c:v>676</c:v>
                </c:pt>
                <c:pt idx="95">
                  <c:v>670</c:v>
                </c:pt>
                <c:pt idx="96">
                  <c:v>665</c:v>
                </c:pt>
                <c:pt idx="97">
                  <c:v>657</c:v>
                </c:pt>
                <c:pt idx="98">
                  <c:v>649</c:v>
                </c:pt>
                <c:pt idx="99">
                  <c:v>644</c:v>
                </c:pt>
                <c:pt idx="100">
                  <c:v>652</c:v>
                </c:pt>
                <c:pt idx="101">
                  <c:v>659</c:v>
                </c:pt>
                <c:pt idx="102">
                  <c:v>660</c:v>
                </c:pt>
                <c:pt idx="103">
                  <c:v>660</c:v>
                </c:pt>
                <c:pt idx="104">
                  <c:v>670</c:v>
                </c:pt>
                <c:pt idx="105">
                  <c:v>672</c:v>
                </c:pt>
                <c:pt idx="106">
                  <c:v>671</c:v>
                </c:pt>
                <c:pt idx="107">
                  <c:v>660</c:v>
                </c:pt>
                <c:pt idx="108">
                  <c:v>656</c:v>
                </c:pt>
                <c:pt idx="109">
                  <c:v>637</c:v>
                </c:pt>
                <c:pt idx="110">
                  <c:v>641</c:v>
                </c:pt>
                <c:pt idx="111">
                  <c:v>642</c:v>
                </c:pt>
                <c:pt idx="112">
                  <c:v>656</c:v>
                </c:pt>
                <c:pt idx="113">
                  <c:v>660</c:v>
                </c:pt>
                <c:pt idx="114">
                  <c:v>659</c:v>
                </c:pt>
                <c:pt idx="115">
                  <c:v>659</c:v>
                </c:pt>
                <c:pt idx="116">
                  <c:v>661</c:v>
                </c:pt>
                <c:pt idx="117">
                  <c:v>657</c:v>
                </c:pt>
                <c:pt idx="118">
                  <c:v>677</c:v>
                </c:pt>
                <c:pt idx="119">
                  <c:v>680</c:v>
                </c:pt>
                <c:pt idx="120">
                  <c:v>665</c:v>
                </c:pt>
                <c:pt idx="121">
                  <c:v>637</c:v>
                </c:pt>
                <c:pt idx="122">
                  <c:v>637</c:v>
                </c:pt>
                <c:pt idx="123">
                  <c:v>639</c:v>
                </c:pt>
                <c:pt idx="124">
                  <c:v>651</c:v>
                </c:pt>
                <c:pt idx="125">
                  <c:v>656</c:v>
                </c:pt>
                <c:pt idx="126">
                  <c:v>653</c:v>
                </c:pt>
                <c:pt idx="127">
                  <c:v>657</c:v>
                </c:pt>
                <c:pt idx="128">
                  <c:v>658</c:v>
                </c:pt>
                <c:pt idx="129">
                  <c:v>668</c:v>
                </c:pt>
                <c:pt idx="130">
                  <c:v>670</c:v>
                </c:pt>
                <c:pt idx="131">
                  <c:v>664</c:v>
                </c:pt>
                <c:pt idx="132">
                  <c:v>652</c:v>
                </c:pt>
                <c:pt idx="133">
                  <c:v>641</c:v>
                </c:pt>
                <c:pt idx="134">
                  <c:v>639</c:v>
                </c:pt>
                <c:pt idx="135">
                  <c:v>642</c:v>
                </c:pt>
                <c:pt idx="136">
                  <c:v>651</c:v>
                </c:pt>
                <c:pt idx="137">
                  <c:v>656</c:v>
                </c:pt>
                <c:pt idx="138">
                  <c:v>648</c:v>
                </c:pt>
                <c:pt idx="139">
                  <c:v>659</c:v>
                </c:pt>
                <c:pt idx="140">
                  <c:v>667</c:v>
                </c:pt>
                <c:pt idx="141">
                  <c:v>673</c:v>
                </c:pt>
                <c:pt idx="142">
                  <c:v>667</c:v>
                </c:pt>
                <c:pt idx="143">
                  <c:v>667</c:v>
                </c:pt>
                <c:pt idx="144">
                  <c:v>659</c:v>
                </c:pt>
                <c:pt idx="145">
                  <c:v>645</c:v>
                </c:pt>
                <c:pt idx="146">
                  <c:v>642</c:v>
                </c:pt>
                <c:pt idx="147">
                  <c:v>653</c:v>
                </c:pt>
                <c:pt idx="148">
                  <c:v>667</c:v>
                </c:pt>
                <c:pt idx="149">
                  <c:v>672</c:v>
                </c:pt>
                <c:pt idx="150">
                  <c:v>674</c:v>
                </c:pt>
                <c:pt idx="151">
                  <c:v>670</c:v>
                </c:pt>
                <c:pt idx="152">
                  <c:v>675</c:v>
                </c:pt>
                <c:pt idx="153">
                  <c:v>681</c:v>
                </c:pt>
                <c:pt idx="154">
                  <c:v>685</c:v>
                </c:pt>
                <c:pt idx="155">
                  <c:v>679</c:v>
                </c:pt>
                <c:pt idx="156">
                  <c:v>682</c:v>
                </c:pt>
                <c:pt idx="157">
                  <c:v>664</c:v>
                </c:pt>
                <c:pt idx="158">
                  <c:v>661</c:v>
                </c:pt>
                <c:pt idx="159">
                  <c:v>669</c:v>
                </c:pt>
                <c:pt idx="160">
                  <c:v>679</c:v>
                </c:pt>
                <c:pt idx="161">
                  <c:v>684</c:v>
                </c:pt>
                <c:pt idx="162">
                  <c:v>682</c:v>
                </c:pt>
                <c:pt idx="163">
                  <c:v>680</c:v>
                </c:pt>
                <c:pt idx="164">
                  <c:v>677</c:v>
                </c:pt>
                <c:pt idx="165">
                  <c:v>688</c:v>
                </c:pt>
                <c:pt idx="166">
                  <c:v>691</c:v>
                </c:pt>
                <c:pt idx="167">
                  <c:v>687</c:v>
                </c:pt>
                <c:pt idx="168">
                  <c:v>670</c:v>
                </c:pt>
                <c:pt idx="169">
                  <c:v>643</c:v>
                </c:pt>
                <c:pt idx="170">
                  <c:v>644</c:v>
                </c:pt>
                <c:pt idx="171">
                  <c:v>646</c:v>
                </c:pt>
                <c:pt idx="172">
                  <c:v>663</c:v>
                </c:pt>
                <c:pt idx="173">
                  <c:v>671</c:v>
                </c:pt>
                <c:pt idx="174">
                  <c:v>677</c:v>
                </c:pt>
                <c:pt idx="175">
                  <c:v>682</c:v>
                </c:pt>
                <c:pt idx="176">
                  <c:v>688</c:v>
                </c:pt>
                <c:pt idx="177">
                  <c:v>691</c:v>
                </c:pt>
                <c:pt idx="178">
                  <c:v>694</c:v>
                </c:pt>
                <c:pt idx="179">
                  <c:v>686</c:v>
                </c:pt>
                <c:pt idx="180">
                  <c:v>678</c:v>
                </c:pt>
                <c:pt idx="181">
                  <c:v>666</c:v>
                </c:pt>
                <c:pt idx="182">
                  <c:v>666</c:v>
                </c:pt>
                <c:pt idx="183">
                  <c:v>672</c:v>
                </c:pt>
                <c:pt idx="184">
                  <c:v>675</c:v>
                </c:pt>
                <c:pt idx="185">
                  <c:v>684</c:v>
                </c:pt>
                <c:pt idx="186">
                  <c:v>688</c:v>
                </c:pt>
                <c:pt idx="187">
                  <c:v>686</c:v>
                </c:pt>
                <c:pt idx="188">
                  <c:v>691</c:v>
                </c:pt>
                <c:pt idx="189">
                  <c:v>699</c:v>
                </c:pt>
                <c:pt idx="190">
                  <c:v>694</c:v>
                </c:pt>
                <c:pt idx="191">
                  <c:v>682</c:v>
                </c:pt>
                <c:pt idx="192">
                  <c:v>661</c:v>
                </c:pt>
                <c:pt idx="193">
                  <c:v>660</c:v>
                </c:pt>
                <c:pt idx="194">
                  <c:v>643</c:v>
                </c:pt>
                <c:pt idx="195">
                  <c:v>646</c:v>
                </c:pt>
                <c:pt idx="196">
                  <c:v>658</c:v>
                </c:pt>
                <c:pt idx="197">
                  <c:v>658</c:v>
                </c:pt>
                <c:pt idx="198">
                  <c:v>660</c:v>
                </c:pt>
                <c:pt idx="199">
                  <c:v>653</c:v>
                </c:pt>
                <c:pt idx="200">
                  <c:v>655</c:v>
                </c:pt>
                <c:pt idx="201">
                  <c:v>662</c:v>
                </c:pt>
                <c:pt idx="202">
                  <c:v>667</c:v>
                </c:pt>
                <c:pt idx="203">
                  <c:v>664</c:v>
                </c:pt>
                <c:pt idx="204">
                  <c:v>645</c:v>
                </c:pt>
                <c:pt idx="205">
                  <c:v>643</c:v>
                </c:pt>
                <c:pt idx="206">
                  <c:v>643</c:v>
                </c:pt>
                <c:pt idx="207">
                  <c:v>654</c:v>
                </c:pt>
                <c:pt idx="208">
                  <c:v>665</c:v>
                </c:pt>
                <c:pt idx="209">
                  <c:v>675</c:v>
                </c:pt>
                <c:pt idx="210">
                  <c:v>676</c:v>
                </c:pt>
                <c:pt idx="211">
                  <c:v>683</c:v>
                </c:pt>
                <c:pt idx="212">
                  <c:v>687</c:v>
                </c:pt>
                <c:pt idx="213">
                  <c:v>690</c:v>
                </c:pt>
                <c:pt idx="214">
                  <c:v>695</c:v>
                </c:pt>
                <c:pt idx="215">
                  <c:v>695</c:v>
                </c:pt>
                <c:pt idx="216">
                  <c:v>694</c:v>
                </c:pt>
                <c:pt idx="217">
                  <c:v>684</c:v>
                </c:pt>
                <c:pt idx="218">
                  <c:v>686</c:v>
                </c:pt>
                <c:pt idx="219">
                  <c:v>684</c:v>
                </c:pt>
                <c:pt idx="220">
                  <c:v>688</c:v>
                </c:pt>
                <c:pt idx="221">
                  <c:v>694</c:v>
                </c:pt>
                <c:pt idx="222">
                  <c:v>695</c:v>
                </c:pt>
                <c:pt idx="223">
                  <c:v>697</c:v>
                </c:pt>
                <c:pt idx="224">
                  <c:v>697</c:v>
                </c:pt>
                <c:pt idx="225">
                  <c:v>699</c:v>
                </c:pt>
                <c:pt idx="226">
                  <c:v>700</c:v>
                </c:pt>
                <c:pt idx="227">
                  <c:v>700</c:v>
                </c:pt>
                <c:pt idx="228">
                  <c:v>695</c:v>
                </c:pt>
                <c:pt idx="229">
                  <c:v>678</c:v>
                </c:pt>
                <c:pt idx="230">
                  <c:v>665</c:v>
                </c:pt>
                <c:pt idx="232">
                  <c:v>676</c:v>
                </c:pt>
                <c:pt idx="233">
                  <c:v>681</c:v>
                </c:pt>
                <c:pt idx="234">
                  <c:v>692</c:v>
                </c:pt>
                <c:pt idx="235">
                  <c:v>693</c:v>
                </c:pt>
                <c:pt idx="236">
                  <c:v>684</c:v>
                </c:pt>
                <c:pt idx="237">
                  <c:v>682</c:v>
                </c:pt>
                <c:pt idx="238">
                  <c:v>698</c:v>
                </c:pt>
                <c:pt idx="239">
                  <c:v>708</c:v>
                </c:pt>
                <c:pt idx="240">
                  <c:v>674</c:v>
                </c:pt>
                <c:pt idx="241">
                  <c:v>648</c:v>
                </c:pt>
                <c:pt idx="242">
                  <c:v>648</c:v>
                </c:pt>
                <c:pt idx="243">
                  <c:v>650</c:v>
                </c:pt>
                <c:pt idx="244">
                  <c:v>657</c:v>
                </c:pt>
                <c:pt idx="245">
                  <c:v>664</c:v>
                </c:pt>
                <c:pt idx="246">
                  <c:v>663</c:v>
                </c:pt>
                <c:pt idx="247">
                  <c:v>661</c:v>
                </c:pt>
                <c:pt idx="248">
                  <c:v>662</c:v>
                </c:pt>
                <c:pt idx="249">
                  <c:v>667</c:v>
                </c:pt>
                <c:pt idx="250">
                  <c:v>686</c:v>
                </c:pt>
                <c:pt idx="251">
                  <c:v>687</c:v>
                </c:pt>
                <c:pt idx="252">
                  <c:v>684</c:v>
                </c:pt>
                <c:pt idx="253">
                  <c:v>653</c:v>
                </c:pt>
                <c:pt idx="254">
                  <c:v>651</c:v>
                </c:pt>
                <c:pt idx="255">
                  <c:v>660</c:v>
                </c:pt>
                <c:pt idx="256">
                  <c:v>672</c:v>
                </c:pt>
                <c:pt idx="257">
                  <c:v>672</c:v>
                </c:pt>
                <c:pt idx="258">
                  <c:v>675</c:v>
                </c:pt>
                <c:pt idx="259">
                  <c:v>668</c:v>
                </c:pt>
                <c:pt idx="260">
                  <c:v>670</c:v>
                </c:pt>
                <c:pt idx="261">
                  <c:v>674</c:v>
                </c:pt>
                <c:pt idx="262">
                  <c:v>688</c:v>
                </c:pt>
                <c:pt idx="263">
                  <c:v>683</c:v>
                </c:pt>
                <c:pt idx="264">
                  <c:v>663</c:v>
                </c:pt>
                <c:pt idx="265">
                  <c:v>652</c:v>
                </c:pt>
                <c:pt idx="266">
                  <c:v>648</c:v>
                </c:pt>
                <c:pt idx="267">
                  <c:v>656</c:v>
                </c:pt>
                <c:pt idx="268">
                  <c:v>671</c:v>
                </c:pt>
                <c:pt idx="269">
                  <c:v>676</c:v>
                </c:pt>
                <c:pt idx="270">
                  <c:v>684</c:v>
                </c:pt>
                <c:pt idx="271">
                  <c:v>689</c:v>
                </c:pt>
                <c:pt idx="272">
                  <c:v>688</c:v>
                </c:pt>
                <c:pt idx="273">
                  <c:v>695</c:v>
                </c:pt>
                <c:pt idx="274">
                  <c:v>701</c:v>
                </c:pt>
                <c:pt idx="275">
                  <c:v>703</c:v>
                </c:pt>
                <c:pt idx="276">
                  <c:v>695</c:v>
                </c:pt>
                <c:pt idx="277">
                  <c:v>666</c:v>
                </c:pt>
                <c:pt idx="278">
                  <c:v>650</c:v>
                </c:pt>
                <c:pt idx="279">
                  <c:v>649</c:v>
                </c:pt>
                <c:pt idx="280">
                  <c:v>676</c:v>
                </c:pt>
                <c:pt idx="281">
                  <c:v>687</c:v>
                </c:pt>
                <c:pt idx="282">
                  <c:v>680</c:v>
                </c:pt>
                <c:pt idx="283">
                  <c:v>684</c:v>
                </c:pt>
                <c:pt idx="284">
                  <c:v>688</c:v>
                </c:pt>
                <c:pt idx="285">
                  <c:v>693</c:v>
                </c:pt>
                <c:pt idx="286">
                  <c:v>702</c:v>
                </c:pt>
                <c:pt idx="287">
                  <c:v>703</c:v>
                </c:pt>
                <c:pt idx="288">
                  <c:v>692</c:v>
                </c:pt>
                <c:pt idx="289">
                  <c:v>665</c:v>
                </c:pt>
                <c:pt idx="290">
                  <c:v>655</c:v>
                </c:pt>
                <c:pt idx="291">
                  <c:v>660</c:v>
                </c:pt>
                <c:pt idx="292">
                  <c:v>677</c:v>
                </c:pt>
                <c:pt idx="293">
                  <c:v>691</c:v>
                </c:pt>
                <c:pt idx="294">
                  <c:v>690</c:v>
                </c:pt>
                <c:pt idx="295">
                  <c:v>687</c:v>
                </c:pt>
                <c:pt idx="296">
                  <c:v>689</c:v>
                </c:pt>
                <c:pt idx="297">
                  <c:v>694</c:v>
                </c:pt>
                <c:pt idx="298">
                  <c:v>704</c:v>
                </c:pt>
                <c:pt idx="299">
                  <c:v>706</c:v>
                </c:pt>
                <c:pt idx="300">
                  <c:v>698</c:v>
                </c:pt>
                <c:pt idx="301">
                  <c:v>671</c:v>
                </c:pt>
                <c:pt idx="302">
                  <c:v>653</c:v>
                </c:pt>
                <c:pt idx="303">
                  <c:v>675</c:v>
                </c:pt>
                <c:pt idx="304">
                  <c:v>687</c:v>
                </c:pt>
                <c:pt idx="305">
                  <c:v>698</c:v>
                </c:pt>
                <c:pt idx="306">
                  <c:v>699</c:v>
                </c:pt>
                <c:pt idx="307">
                  <c:v>691</c:v>
                </c:pt>
                <c:pt idx="308">
                  <c:v>695</c:v>
                </c:pt>
                <c:pt idx="309">
                  <c:v>700</c:v>
                </c:pt>
                <c:pt idx="310">
                  <c:v>702</c:v>
                </c:pt>
                <c:pt idx="311">
                  <c:v>708</c:v>
                </c:pt>
                <c:pt idx="312">
                  <c:v>688</c:v>
                </c:pt>
                <c:pt idx="313">
                  <c:v>655</c:v>
                </c:pt>
                <c:pt idx="314">
                  <c:v>653</c:v>
                </c:pt>
                <c:pt idx="315">
                  <c:v>668</c:v>
                </c:pt>
                <c:pt idx="316">
                  <c:v>693</c:v>
                </c:pt>
                <c:pt idx="317">
                  <c:v>701</c:v>
                </c:pt>
                <c:pt idx="318">
                  <c:v>703</c:v>
                </c:pt>
                <c:pt idx="319">
                  <c:v>704</c:v>
                </c:pt>
                <c:pt idx="320">
                  <c:v>708</c:v>
                </c:pt>
                <c:pt idx="321">
                  <c:v>712</c:v>
                </c:pt>
                <c:pt idx="322">
                  <c:v>717</c:v>
                </c:pt>
                <c:pt idx="323">
                  <c:v>710</c:v>
                </c:pt>
                <c:pt idx="324">
                  <c:v>700</c:v>
                </c:pt>
                <c:pt idx="325">
                  <c:v>675</c:v>
                </c:pt>
                <c:pt idx="326">
                  <c:v>672</c:v>
                </c:pt>
                <c:pt idx="327">
                  <c:v>672</c:v>
                </c:pt>
                <c:pt idx="328">
                  <c:v>683</c:v>
                </c:pt>
                <c:pt idx="329">
                  <c:v>694</c:v>
                </c:pt>
                <c:pt idx="330">
                  <c:v>702</c:v>
                </c:pt>
                <c:pt idx="331">
                  <c:v>710</c:v>
                </c:pt>
                <c:pt idx="332">
                  <c:v>715</c:v>
                </c:pt>
                <c:pt idx="333">
                  <c:v>714</c:v>
                </c:pt>
                <c:pt idx="334">
                  <c:v>719</c:v>
                </c:pt>
                <c:pt idx="335">
                  <c:v>715</c:v>
                </c:pt>
                <c:pt idx="336">
                  <c:v>702</c:v>
                </c:pt>
                <c:pt idx="337">
                  <c:v>689</c:v>
                </c:pt>
                <c:pt idx="338">
                  <c:v>674</c:v>
                </c:pt>
                <c:pt idx="339">
                  <c:v>680</c:v>
                </c:pt>
                <c:pt idx="340">
                  <c:v>690</c:v>
                </c:pt>
                <c:pt idx="341">
                  <c:v>692</c:v>
                </c:pt>
                <c:pt idx="342">
                  <c:v>693</c:v>
                </c:pt>
                <c:pt idx="343">
                  <c:v>688</c:v>
                </c:pt>
                <c:pt idx="344">
                  <c:v>688</c:v>
                </c:pt>
                <c:pt idx="345">
                  <c:v>687</c:v>
                </c:pt>
                <c:pt idx="346">
                  <c:v>700</c:v>
                </c:pt>
                <c:pt idx="347">
                  <c:v>669</c:v>
                </c:pt>
                <c:pt idx="348">
                  <c:v>658</c:v>
                </c:pt>
                <c:pt idx="349">
                  <c:v>652</c:v>
                </c:pt>
                <c:pt idx="350">
                  <c:v>656</c:v>
                </c:pt>
                <c:pt idx="351">
                  <c:v>659</c:v>
                </c:pt>
                <c:pt idx="352">
                  <c:v>675</c:v>
                </c:pt>
                <c:pt idx="353">
                  <c:v>693</c:v>
                </c:pt>
                <c:pt idx="354">
                  <c:v>704</c:v>
                </c:pt>
                <c:pt idx="355">
                  <c:v>714</c:v>
                </c:pt>
                <c:pt idx="356">
                  <c:v>715</c:v>
                </c:pt>
                <c:pt idx="357">
                  <c:v>722</c:v>
                </c:pt>
                <c:pt idx="358">
                  <c:v>723</c:v>
                </c:pt>
                <c:pt idx="359">
                  <c:v>728</c:v>
                </c:pt>
                <c:pt idx="372">
                  <c:v>706</c:v>
                </c:pt>
                <c:pt idx="373">
                  <c:v>682</c:v>
                </c:pt>
                <c:pt idx="374">
                  <c:v>665</c:v>
                </c:pt>
                <c:pt idx="375">
                  <c:v>675</c:v>
                </c:pt>
                <c:pt idx="376">
                  <c:v>691</c:v>
                </c:pt>
                <c:pt idx="377">
                  <c:v>695</c:v>
                </c:pt>
                <c:pt idx="378">
                  <c:v>682</c:v>
                </c:pt>
                <c:pt idx="379">
                  <c:v>683</c:v>
                </c:pt>
                <c:pt idx="380">
                  <c:v>690</c:v>
                </c:pt>
                <c:pt idx="381">
                  <c:v>690</c:v>
                </c:pt>
                <c:pt idx="382">
                  <c:v>694</c:v>
                </c:pt>
                <c:pt idx="383">
                  <c:v>688</c:v>
                </c:pt>
                <c:pt idx="384">
                  <c:v>659</c:v>
                </c:pt>
                <c:pt idx="385">
                  <c:v>661</c:v>
                </c:pt>
                <c:pt idx="386">
                  <c:v>664</c:v>
                </c:pt>
                <c:pt idx="387">
                  <c:v>663</c:v>
                </c:pt>
                <c:pt idx="388">
                  <c:v>681</c:v>
                </c:pt>
                <c:pt idx="389">
                  <c:v>687</c:v>
                </c:pt>
                <c:pt idx="390">
                  <c:v>688</c:v>
                </c:pt>
                <c:pt idx="391">
                  <c:v>682</c:v>
                </c:pt>
                <c:pt idx="392">
                  <c:v>689</c:v>
                </c:pt>
                <c:pt idx="393">
                  <c:v>701</c:v>
                </c:pt>
                <c:pt idx="394">
                  <c:v>701</c:v>
                </c:pt>
                <c:pt idx="395">
                  <c:v>698</c:v>
                </c:pt>
                <c:pt idx="396">
                  <c:v>681</c:v>
                </c:pt>
                <c:pt idx="397">
                  <c:v>660</c:v>
                </c:pt>
                <c:pt idx="398">
                  <c:v>666</c:v>
                </c:pt>
                <c:pt idx="399">
                  <c:v>662</c:v>
                </c:pt>
                <c:pt idx="400">
                  <c:v>682</c:v>
                </c:pt>
                <c:pt idx="401">
                  <c:v>689</c:v>
                </c:pt>
                <c:pt idx="402">
                  <c:v>676</c:v>
                </c:pt>
                <c:pt idx="403">
                  <c:v>666</c:v>
                </c:pt>
                <c:pt idx="404">
                  <c:v>685</c:v>
                </c:pt>
                <c:pt idx="405">
                  <c:v>697</c:v>
                </c:pt>
                <c:pt idx="406">
                  <c:v>705</c:v>
                </c:pt>
                <c:pt idx="407">
                  <c:v>706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40-417E-892C-B46D6AFD4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458319"/>
        <c:axId val="1264444591"/>
      </c:scatterChart>
      <c:scatterChart>
        <c:scatterStyle val="lineMarker"/>
        <c:varyColors val="0"/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Nivel!$D$46:$D$429</c:f>
              <c:numCache>
                <c:formatCode>0.0</c:formatCode>
                <c:ptCount val="384"/>
                <c:pt idx="0">
                  <c:v>1983.9999999942199</c:v>
                </c:pt>
                <c:pt idx="1">
                  <c:v>1984.08333332758</c:v>
                </c:pt>
                <c:pt idx="2">
                  <c:v>1984.1666666609401</c:v>
                </c:pt>
                <c:pt idx="3">
                  <c:v>1984.2499999943</c:v>
                </c:pt>
                <c:pt idx="4">
                  <c:v>1984.3333333276601</c:v>
                </c:pt>
                <c:pt idx="5">
                  <c:v>1984.4166666610199</c:v>
                </c:pt>
                <c:pt idx="6">
                  <c:v>1984.49999999438</c:v>
                </c:pt>
                <c:pt idx="7">
                  <c:v>1984.5833333277401</c:v>
                </c:pt>
                <c:pt idx="8">
                  <c:v>1984.6666666611</c:v>
                </c:pt>
                <c:pt idx="9">
                  <c:v>1984.74999999446</c:v>
                </c:pt>
                <c:pt idx="10">
                  <c:v>1984.8333333278199</c:v>
                </c:pt>
                <c:pt idx="11">
                  <c:v>1984.91666666118</c:v>
                </c:pt>
                <c:pt idx="12">
                  <c:v>1984.9999999945401</c:v>
                </c:pt>
                <c:pt idx="13">
                  <c:v>1985.0833333278999</c:v>
                </c:pt>
                <c:pt idx="14">
                  <c:v>1985.16666666126</c:v>
                </c:pt>
                <c:pt idx="15">
                  <c:v>1985.2499999946201</c:v>
                </c:pt>
                <c:pt idx="16">
                  <c:v>1985.33333332798</c:v>
                </c:pt>
                <c:pt idx="17">
                  <c:v>1985.4166666613401</c:v>
                </c:pt>
                <c:pt idx="18">
                  <c:v>1985.4999999946999</c:v>
                </c:pt>
                <c:pt idx="19">
                  <c:v>1985.58333332806</c:v>
                </c:pt>
                <c:pt idx="20">
                  <c:v>1985.6666666614201</c:v>
                </c:pt>
                <c:pt idx="21">
                  <c:v>1985.74999999478</c:v>
                </c:pt>
                <c:pt idx="22">
                  <c:v>1985.83333332814</c:v>
                </c:pt>
                <c:pt idx="23">
                  <c:v>1985.9166666614999</c:v>
                </c:pt>
                <c:pt idx="24">
                  <c:v>1985.99999999486</c:v>
                </c:pt>
                <c:pt idx="25">
                  <c:v>1986.0833333282201</c:v>
                </c:pt>
                <c:pt idx="26">
                  <c:v>1986.1666666615799</c:v>
                </c:pt>
                <c:pt idx="27">
                  <c:v>1986.24999999494</c:v>
                </c:pt>
                <c:pt idx="28">
                  <c:v>1986.3333333282999</c:v>
                </c:pt>
                <c:pt idx="29">
                  <c:v>1986.41666666166</c:v>
                </c:pt>
                <c:pt idx="30">
                  <c:v>1986.4999999950201</c:v>
                </c:pt>
                <c:pt idx="31">
                  <c:v>1986.5833333283799</c:v>
                </c:pt>
                <c:pt idx="32">
                  <c:v>1986.66666666174</c:v>
                </c:pt>
                <c:pt idx="33">
                  <c:v>1986.7499999951001</c:v>
                </c:pt>
                <c:pt idx="34">
                  <c:v>1986.83333332846</c:v>
                </c:pt>
                <c:pt idx="35">
                  <c:v>1986.91666666182</c:v>
                </c:pt>
                <c:pt idx="36">
                  <c:v>1986.9999999951799</c:v>
                </c:pt>
                <c:pt idx="37">
                  <c:v>1987.08333332854</c:v>
                </c:pt>
                <c:pt idx="38">
                  <c:v>1987.1666666619001</c:v>
                </c:pt>
                <c:pt idx="39">
                  <c:v>1987.2499999952599</c:v>
                </c:pt>
                <c:pt idx="40">
                  <c:v>1987.33333332862</c:v>
                </c:pt>
                <c:pt idx="41">
                  <c:v>1987.4166666619799</c:v>
                </c:pt>
                <c:pt idx="42">
                  <c:v>1987.49999999534</c:v>
                </c:pt>
                <c:pt idx="43">
                  <c:v>1987.5833333287001</c:v>
                </c:pt>
                <c:pt idx="44">
                  <c:v>1987.6666666620599</c:v>
                </c:pt>
                <c:pt idx="45">
                  <c:v>1987.74999999543</c:v>
                </c:pt>
                <c:pt idx="46">
                  <c:v>1987.8333333287901</c:v>
                </c:pt>
                <c:pt idx="47">
                  <c:v>1987.91666666215</c:v>
                </c:pt>
                <c:pt idx="48">
                  <c:v>1987.9999999955101</c:v>
                </c:pt>
                <c:pt idx="49">
                  <c:v>1988.0833333288699</c:v>
                </c:pt>
                <c:pt idx="50">
                  <c:v>1988.16666666223</c:v>
                </c:pt>
                <c:pt idx="51">
                  <c:v>1988.2499999955901</c:v>
                </c:pt>
                <c:pt idx="52">
                  <c:v>1988.3333333289499</c:v>
                </c:pt>
                <c:pt idx="53">
                  <c:v>1988.41666666231</c:v>
                </c:pt>
                <c:pt idx="54">
                  <c:v>1988.4999999956699</c:v>
                </c:pt>
                <c:pt idx="55">
                  <c:v>1988.58333332903</c:v>
                </c:pt>
                <c:pt idx="56">
                  <c:v>1988.6666666623901</c:v>
                </c:pt>
                <c:pt idx="57">
                  <c:v>1988.7499999957499</c:v>
                </c:pt>
                <c:pt idx="58">
                  <c:v>1988.83333332911</c:v>
                </c:pt>
                <c:pt idx="59">
                  <c:v>1988.9166666624701</c:v>
                </c:pt>
                <c:pt idx="60">
                  <c:v>1988.99999999583</c:v>
                </c:pt>
                <c:pt idx="61">
                  <c:v>1989.0833333291901</c:v>
                </c:pt>
                <c:pt idx="62">
                  <c:v>1989.1666666625499</c:v>
                </c:pt>
                <c:pt idx="63">
                  <c:v>1989.24999999591</c:v>
                </c:pt>
                <c:pt idx="64">
                  <c:v>1989.3333333292701</c:v>
                </c:pt>
                <c:pt idx="65">
                  <c:v>1989.41666666263</c:v>
                </c:pt>
                <c:pt idx="66">
                  <c:v>1989.49999999599</c:v>
                </c:pt>
                <c:pt idx="67">
                  <c:v>1989.5833333293499</c:v>
                </c:pt>
                <c:pt idx="68">
                  <c:v>1989.66666666271</c:v>
                </c:pt>
                <c:pt idx="69">
                  <c:v>1989.7499999960701</c:v>
                </c:pt>
                <c:pt idx="70">
                  <c:v>1989.8333333294299</c:v>
                </c:pt>
                <c:pt idx="71">
                  <c:v>1989.91666666279</c:v>
                </c:pt>
                <c:pt idx="72">
                  <c:v>1989.9999999961501</c:v>
                </c:pt>
                <c:pt idx="73">
                  <c:v>1990.08333332951</c:v>
                </c:pt>
                <c:pt idx="74">
                  <c:v>1990.1666666628701</c:v>
                </c:pt>
                <c:pt idx="75">
                  <c:v>1990.2499999962299</c:v>
                </c:pt>
                <c:pt idx="76">
                  <c:v>1990.33333332959</c:v>
                </c:pt>
                <c:pt idx="77">
                  <c:v>1990.4166666629501</c:v>
                </c:pt>
                <c:pt idx="78">
                  <c:v>1990.49999999631</c:v>
                </c:pt>
                <c:pt idx="79">
                  <c:v>1990.58333332967</c:v>
                </c:pt>
                <c:pt idx="80">
                  <c:v>1990.6666666630299</c:v>
                </c:pt>
                <c:pt idx="81">
                  <c:v>1990.74999999639</c:v>
                </c:pt>
                <c:pt idx="82">
                  <c:v>1990.8333333297501</c:v>
                </c:pt>
                <c:pt idx="83">
                  <c:v>1990.9166666631099</c:v>
                </c:pt>
                <c:pt idx="84">
                  <c:v>1990.99999999647</c:v>
                </c:pt>
                <c:pt idx="85">
                  <c:v>1991.0833333298301</c:v>
                </c:pt>
                <c:pt idx="86">
                  <c:v>1991.16666666319</c:v>
                </c:pt>
                <c:pt idx="87">
                  <c:v>1991.2499999965501</c:v>
                </c:pt>
                <c:pt idx="88">
                  <c:v>1991.3333333299099</c:v>
                </c:pt>
                <c:pt idx="89">
                  <c:v>1991.41666666327</c:v>
                </c:pt>
                <c:pt idx="90">
                  <c:v>1991.4999999966301</c:v>
                </c:pt>
                <c:pt idx="91">
                  <c:v>1991.58333332999</c:v>
                </c:pt>
                <c:pt idx="92">
                  <c:v>1991.66666666335</c:v>
                </c:pt>
                <c:pt idx="93">
                  <c:v>1991.7499999967099</c:v>
                </c:pt>
                <c:pt idx="94">
                  <c:v>1991.83333333007</c:v>
                </c:pt>
                <c:pt idx="95">
                  <c:v>1991.9166666634301</c:v>
                </c:pt>
                <c:pt idx="96">
                  <c:v>1991.9999999967899</c:v>
                </c:pt>
                <c:pt idx="97">
                  <c:v>1992.08333333015</c:v>
                </c:pt>
                <c:pt idx="98">
                  <c:v>1992.1666666635101</c:v>
                </c:pt>
                <c:pt idx="99">
                  <c:v>1992.24999999687</c:v>
                </c:pt>
                <c:pt idx="100">
                  <c:v>1992.3333333302301</c:v>
                </c:pt>
                <c:pt idx="101">
                  <c:v>1992.4166666635899</c:v>
                </c:pt>
                <c:pt idx="102">
                  <c:v>1992.49999999695</c:v>
                </c:pt>
                <c:pt idx="103">
                  <c:v>1992.5833333303101</c:v>
                </c:pt>
                <c:pt idx="104">
                  <c:v>1992.66666666367</c:v>
                </c:pt>
                <c:pt idx="105">
                  <c:v>1992.74999999703</c:v>
                </c:pt>
                <c:pt idx="106">
                  <c:v>1992.8333333303899</c:v>
                </c:pt>
                <c:pt idx="107">
                  <c:v>1992.91666666375</c:v>
                </c:pt>
                <c:pt idx="108">
                  <c:v>1992.9999999971101</c:v>
                </c:pt>
                <c:pt idx="109">
                  <c:v>1993.0833333304699</c:v>
                </c:pt>
                <c:pt idx="110">
                  <c:v>1993.16666666383</c:v>
                </c:pt>
                <c:pt idx="111">
                  <c:v>1993.2499999971899</c:v>
                </c:pt>
                <c:pt idx="112">
                  <c:v>1993.33333333055</c:v>
                </c:pt>
                <c:pt idx="113">
                  <c:v>1993.4166666639101</c:v>
                </c:pt>
                <c:pt idx="114">
                  <c:v>1993.4999999972699</c:v>
                </c:pt>
                <c:pt idx="115">
                  <c:v>1993.58333333063</c:v>
                </c:pt>
                <c:pt idx="116">
                  <c:v>1993.6666666639901</c:v>
                </c:pt>
                <c:pt idx="117">
                  <c:v>1993.74999999735</c:v>
                </c:pt>
                <c:pt idx="118">
                  <c:v>1993.83333333071</c:v>
                </c:pt>
                <c:pt idx="119">
                  <c:v>1993.9166666640699</c:v>
                </c:pt>
                <c:pt idx="120">
                  <c:v>1993.99999999743</c:v>
                </c:pt>
                <c:pt idx="121">
                  <c:v>1994.0833333307901</c:v>
                </c:pt>
                <c:pt idx="122">
                  <c:v>1994.1666666641499</c:v>
                </c:pt>
                <c:pt idx="123">
                  <c:v>1994.24999999751</c:v>
                </c:pt>
                <c:pt idx="124">
                  <c:v>1994.3333333308699</c:v>
                </c:pt>
                <c:pt idx="125">
                  <c:v>1994.41666666423</c:v>
                </c:pt>
                <c:pt idx="126">
                  <c:v>1994.4999999975901</c:v>
                </c:pt>
                <c:pt idx="127">
                  <c:v>1994.5833333309499</c:v>
                </c:pt>
                <c:pt idx="128">
                  <c:v>1994.66666666431</c:v>
                </c:pt>
                <c:pt idx="129">
                  <c:v>1994.7499999976701</c:v>
                </c:pt>
                <c:pt idx="130">
                  <c:v>1994.83333333103</c:v>
                </c:pt>
                <c:pt idx="131">
                  <c:v>1994.91666666439</c:v>
                </c:pt>
                <c:pt idx="132">
                  <c:v>1994.9999999977499</c:v>
                </c:pt>
                <c:pt idx="133">
                  <c:v>1995.08333333111</c:v>
                </c:pt>
                <c:pt idx="134">
                  <c:v>1995.1666666644701</c:v>
                </c:pt>
                <c:pt idx="135">
                  <c:v>1995.2499999978299</c:v>
                </c:pt>
                <c:pt idx="136">
                  <c:v>1995.33333333119</c:v>
                </c:pt>
                <c:pt idx="137">
                  <c:v>1995.4166666645499</c:v>
                </c:pt>
                <c:pt idx="138">
                  <c:v>1995.49999999791</c:v>
                </c:pt>
                <c:pt idx="139">
                  <c:v>1995.5833333312701</c:v>
                </c:pt>
                <c:pt idx="140">
                  <c:v>1995.6666666646299</c:v>
                </c:pt>
                <c:pt idx="141">
                  <c:v>1995.74999999799</c:v>
                </c:pt>
                <c:pt idx="142">
                  <c:v>1995.8333333313501</c:v>
                </c:pt>
                <c:pt idx="143">
                  <c:v>1995.91666666471</c:v>
                </c:pt>
                <c:pt idx="144">
                  <c:v>1995.9999999980701</c:v>
                </c:pt>
                <c:pt idx="145">
                  <c:v>1996.0833333314299</c:v>
                </c:pt>
                <c:pt idx="146">
                  <c:v>1996.16666666479</c:v>
                </c:pt>
                <c:pt idx="147">
                  <c:v>1996.2499999981501</c:v>
                </c:pt>
                <c:pt idx="148">
                  <c:v>1996.3333333315099</c:v>
                </c:pt>
                <c:pt idx="149">
                  <c:v>1996.41666666487</c:v>
                </c:pt>
                <c:pt idx="150">
                  <c:v>1996.4999999982299</c:v>
                </c:pt>
                <c:pt idx="151">
                  <c:v>1996.58333333159</c:v>
                </c:pt>
                <c:pt idx="152">
                  <c:v>1996.6666666649501</c:v>
                </c:pt>
                <c:pt idx="153">
                  <c:v>1996.7499999983099</c:v>
                </c:pt>
                <c:pt idx="154">
                  <c:v>1996.83333333167</c:v>
                </c:pt>
                <c:pt idx="155">
                  <c:v>1996.9166666650301</c:v>
                </c:pt>
                <c:pt idx="156">
                  <c:v>1996.99999999839</c:v>
                </c:pt>
                <c:pt idx="157">
                  <c:v>1997.0833333317501</c:v>
                </c:pt>
                <c:pt idx="158">
                  <c:v>1997.1666666651099</c:v>
                </c:pt>
                <c:pt idx="159">
                  <c:v>1997.24999999848</c:v>
                </c:pt>
                <c:pt idx="160">
                  <c:v>1997.3333333318401</c:v>
                </c:pt>
                <c:pt idx="161">
                  <c:v>1997.4166666652</c:v>
                </c:pt>
                <c:pt idx="162">
                  <c:v>1997.49999999856</c:v>
                </c:pt>
                <c:pt idx="163">
                  <c:v>1997.5833333319199</c:v>
                </c:pt>
                <c:pt idx="164">
                  <c:v>1997.66666666528</c:v>
                </c:pt>
                <c:pt idx="165">
                  <c:v>1997.7499999986401</c:v>
                </c:pt>
                <c:pt idx="166">
                  <c:v>1997.8333333319999</c:v>
                </c:pt>
                <c:pt idx="167">
                  <c:v>1997.91666666536</c:v>
                </c:pt>
                <c:pt idx="168">
                  <c:v>1997.9999999987201</c:v>
                </c:pt>
                <c:pt idx="169">
                  <c:v>1998.08333333208</c:v>
                </c:pt>
                <c:pt idx="170">
                  <c:v>1998.1666666654401</c:v>
                </c:pt>
                <c:pt idx="171">
                  <c:v>1998.2499999987999</c:v>
                </c:pt>
                <c:pt idx="172">
                  <c:v>1998.33333333216</c:v>
                </c:pt>
                <c:pt idx="173">
                  <c:v>1998.4166666655201</c:v>
                </c:pt>
                <c:pt idx="174">
                  <c:v>1998.49999999888</c:v>
                </c:pt>
                <c:pt idx="175">
                  <c:v>1998.58333333224</c:v>
                </c:pt>
                <c:pt idx="176">
                  <c:v>1998.6666666655999</c:v>
                </c:pt>
                <c:pt idx="177">
                  <c:v>1998.74999999896</c:v>
                </c:pt>
                <c:pt idx="178">
                  <c:v>1998.8333333323201</c:v>
                </c:pt>
                <c:pt idx="179">
                  <c:v>1998.9166666656799</c:v>
                </c:pt>
                <c:pt idx="180">
                  <c:v>1998.99999999904</c:v>
                </c:pt>
                <c:pt idx="181">
                  <c:v>1999.0833333323999</c:v>
                </c:pt>
                <c:pt idx="182">
                  <c:v>1999.16666666576</c:v>
                </c:pt>
                <c:pt idx="183">
                  <c:v>1999.2499999991201</c:v>
                </c:pt>
                <c:pt idx="184">
                  <c:v>1999.3333333324799</c:v>
                </c:pt>
                <c:pt idx="185">
                  <c:v>1999.41666666584</c:v>
                </c:pt>
                <c:pt idx="186">
                  <c:v>1999.4999999992001</c:v>
                </c:pt>
                <c:pt idx="187">
                  <c:v>1999.58333333256</c:v>
                </c:pt>
                <c:pt idx="188">
                  <c:v>1999.66666666592</c:v>
                </c:pt>
                <c:pt idx="189">
                  <c:v>1999.7499999992799</c:v>
                </c:pt>
                <c:pt idx="190">
                  <c:v>1999.83333333264</c:v>
                </c:pt>
                <c:pt idx="191">
                  <c:v>1999.9166666660001</c:v>
                </c:pt>
                <c:pt idx="192">
                  <c:v>2000</c:v>
                </c:pt>
                <c:pt idx="193">
                  <c:v>2000.0833333333101</c:v>
                </c:pt>
                <c:pt idx="194">
                  <c:v>2000.1666666666399</c:v>
                </c:pt>
                <c:pt idx="195">
                  <c:v>2000.24999999997</c:v>
                </c:pt>
                <c:pt idx="196">
                  <c:v>2000.3333333333101</c:v>
                </c:pt>
                <c:pt idx="197">
                  <c:v>2000.4166666666399</c:v>
                </c:pt>
                <c:pt idx="198">
                  <c:v>2000.49999999997</c:v>
                </c:pt>
                <c:pt idx="199">
                  <c:v>2000.5833333333101</c:v>
                </c:pt>
                <c:pt idx="200">
                  <c:v>2000.6666666666399</c:v>
                </c:pt>
                <c:pt idx="201">
                  <c:v>2000.74999999997</c:v>
                </c:pt>
                <c:pt idx="202">
                  <c:v>2000.8333333333101</c:v>
                </c:pt>
                <c:pt idx="203">
                  <c:v>2000.9166666666399</c:v>
                </c:pt>
                <c:pt idx="204">
                  <c:v>2001</c:v>
                </c:pt>
                <c:pt idx="205">
                  <c:v>2001.0833333333101</c:v>
                </c:pt>
                <c:pt idx="206">
                  <c:v>2001.1666666666399</c:v>
                </c:pt>
                <c:pt idx="207">
                  <c:v>2001.24999999997</c:v>
                </c:pt>
                <c:pt idx="208">
                  <c:v>2001.3333333333101</c:v>
                </c:pt>
                <c:pt idx="209">
                  <c:v>2001.4166666666399</c:v>
                </c:pt>
                <c:pt idx="210">
                  <c:v>2001.49999999998</c:v>
                </c:pt>
                <c:pt idx="211">
                  <c:v>2001.5833333333101</c:v>
                </c:pt>
                <c:pt idx="212">
                  <c:v>2001.6666666666399</c:v>
                </c:pt>
                <c:pt idx="213">
                  <c:v>2001.74999999998</c:v>
                </c:pt>
                <c:pt idx="214">
                  <c:v>2001.8333333333101</c:v>
                </c:pt>
                <c:pt idx="215">
                  <c:v>2001.9166666666399</c:v>
                </c:pt>
                <c:pt idx="216">
                  <c:v>2002</c:v>
                </c:pt>
                <c:pt idx="217">
                  <c:v>2002.0833333333101</c:v>
                </c:pt>
                <c:pt idx="218">
                  <c:v>2002.1666666666399</c:v>
                </c:pt>
                <c:pt idx="219">
                  <c:v>2002.24999999998</c:v>
                </c:pt>
                <c:pt idx="220">
                  <c:v>2002.3333333333101</c:v>
                </c:pt>
                <c:pt idx="221">
                  <c:v>2002.4166666666399</c:v>
                </c:pt>
                <c:pt idx="222">
                  <c:v>2002.49999999998</c:v>
                </c:pt>
                <c:pt idx="223">
                  <c:v>2002.5833333333101</c:v>
                </c:pt>
                <c:pt idx="224">
                  <c:v>2002.6666666666399</c:v>
                </c:pt>
                <c:pt idx="225">
                  <c:v>2002.74999999998</c:v>
                </c:pt>
                <c:pt idx="226">
                  <c:v>2002.8333333333101</c:v>
                </c:pt>
                <c:pt idx="227">
                  <c:v>2002.9166666666399</c:v>
                </c:pt>
                <c:pt idx="228">
                  <c:v>2003</c:v>
                </c:pt>
                <c:pt idx="229">
                  <c:v>2003.0833333333101</c:v>
                </c:pt>
                <c:pt idx="230">
                  <c:v>2003.1666666666499</c:v>
                </c:pt>
                <c:pt idx="231">
                  <c:v>2003.24999999998</c:v>
                </c:pt>
                <c:pt idx="232">
                  <c:v>2003.3333333333101</c:v>
                </c:pt>
                <c:pt idx="233">
                  <c:v>2003.4166666666499</c:v>
                </c:pt>
                <c:pt idx="234">
                  <c:v>2003.49999999998</c:v>
                </c:pt>
                <c:pt idx="235">
                  <c:v>2003.5833333333101</c:v>
                </c:pt>
                <c:pt idx="236">
                  <c:v>2003.6666666666499</c:v>
                </c:pt>
                <c:pt idx="237">
                  <c:v>2003.74999999998</c:v>
                </c:pt>
                <c:pt idx="238">
                  <c:v>2003.8333333333101</c:v>
                </c:pt>
                <c:pt idx="239">
                  <c:v>2003.9166666666499</c:v>
                </c:pt>
                <c:pt idx="240">
                  <c:v>2004</c:v>
                </c:pt>
                <c:pt idx="241">
                  <c:v>2004.0833333333101</c:v>
                </c:pt>
                <c:pt idx="242">
                  <c:v>2004.1666666666499</c:v>
                </c:pt>
                <c:pt idx="243">
                  <c:v>2004.24999999998</c:v>
                </c:pt>
                <c:pt idx="244">
                  <c:v>2004.3333333333101</c:v>
                </c:pt>
                <c:pt idx="245">
                  <c:v>2004.4166666666499</c:v>
                </c:pt>
                <c:pt idx="246">
                  <c:v>2004.49999999998</c:v>
                </c:pt>
                <c:pt idx="247">
                  <c:v>2004.5833333333101</c:v>
                </c:pt>
                <c:pt idx="248">
                  <c:v>2004.6666666666499</c:v>
                </c:pt>
                <c:pt idx="249">
                  <c:v>2004.74999999998</c:v>
                </c:pt>
                <c:pt idx="250">
                  <c:v>2004.8333333333101</c:v>
                </c:pt>
                <c:pt idx="251">
                  <c:v>2004.9166666666499</c:v>
                </c:pt>
                <c:pt idx="252">
                  <c:v>2005</c:v>
                </c:pt>
                <c:pt idx="253">
                  <c:v>2005.0833333333201</c:v>
                </c:pt>
                <c:pt idx="254">
                  <c:v>2005.1666666666499</c:v>
                </c:pt>
                <c:pt idx="255">
                  <c:v>2005.24999999998</c:v>
                </c:pt>
                <c:pt idx="256">
                  <c:v>2005.3333333333201</c:v>
                </c:pt>
                <c:pt idx="257">
                  <c:v>2005.4166666666499</c:v>
                </c:pt>
                <c:pt idx="258">
                  <c:v>2005.49999999998</c:v>
                </c:pt>
                <c:pt idx="259">
                  <c:v>2005.5833333333201</c:v>
                </c:pt>
                <c:pt idx="260">
                  <c:v>2005.6666666666499</c:v>
                </c:pt>
                <c:pt idx="261">
                  <c:v>2005.74999999998</c:v>
                </c:pt>
                <c:pt idx="262">
                  <c:v>2005.8333333333201</c:v>
                </c:pt>
                <c:pt idx="263">
                  <c:v>2005.9166666666499</c:v>
                </c:pt>
                <c:pt idx="264">
                  <c:v>2006</c:v>
                </c:pt>
                <c:pt idx="265">
                  <c:v>2006.0833333333201</c:v>
                </c:pt>
                <c:pt idx="266">
                  <c:v>2006.1666666666499</c:v>
                </c:pt>
                <c:pt idx="267">
                  <c:v>2006.24999999998</c:v>
                </c:pt>
                <c:pt idx="268">
                  <c:v>2006.3333333333201</c:v>
                </c:pt>
                <c:pt idx="269">
                  <c:v>2006.4166666666499</c:v>
                </c:pt>
                <c:pt idx="270">
                  <c:v>2006.49999999998</c:v>
                </c:pt>
                <c:pt idx="271">
                  <c:v>2006.5833333333201</c:v>
                </c:pt>
                <c:pt idx="272">
                  <c:v>2006.6666666666499</c:v>
                </c:pt>
                <c:pt idx="273">
                  <c:v>2006.74999999998</c:v>
                </c:pt>
                <c:pt idx="274">
                  <c:v>2006.8333333333201</c:v>
                </c:pt>
                <c:pt idx="275">
                  <c:v>2006.9166666666499</c:v>
                </c:pt>
                <c:pt idx="276">
                  <c:v>2007</c:v>
                </c:pt>
                <c:pt idx="277">
                  <c:v>2007.0833333333201</c:v>
                </c:pt>
                <c:pt idx="278">
                  <c:v>2007.1666666666499</c:v>
                </c:pt>
                <c:pt idx="279">
                  <c:v>2007.24999999999</c:v>
                </c:pt>
                <c:pt idx="280">
                  <c:v>2007.3333333333201</c:v>
                </c:pt>
                <c:pt idx="281">
                  <c:v>2007.4166666666499</c:v>
                </c:pt>
                <c:pt idx="282">
                  <c:v>2007.49999999999</c:v>
                </c:pt>
                <c:pt idx="283">
                  <c:v>2007.5833333333201</c:v>
                </c:pt>
                <c:pt idx="284">
                  <c:v>2007.6666666666499</c:v>
                </c:pt>
                <c:pt idx="285">
                  <c:v>2007.74999999999</c:v>
                </c:pt>
                <c:pt idx="286">
                  <c:v>2007.8333333333201</c:v>
                </c:pt>
                <c:pt idx="287">
                  <c:v>2007.9166666666499</c:v>
                </c:pt>
                <c:pt idx="288">
                  <c:v>2008</c:v>
                </c:pt>
                <c:pt idx="289">
                  <c:v>2008.0833333333201</c:v>
                </c:pt>
                <c:pt idx="290">
                  <c:v>2008.1666666666499</c:v>
                </c:pt>
                <c:pt idx="291">
                  <c:v>2008.24999999999</c:v>
                </c:pt>
                <c:pt idx="292">
                  <c:v>2008.3333333333201</c:v>
                </c:pt>
                <c:pt idx="293">
                  <c:v>2008.4166666666499</c:v>
                </c:pt>
                <c:pt idx="294">
                  <c:v>2008.49999999999</c:v>
                </c:pt>
                <c:pt idx="295">
                  <c:v>2008.5833333333201</c:v>
                </c:pt>
                <c:pt idx="296">
                  <c:v>2008.6666666666599</c:v>
                </c:pt>
                <c:pt idx="297">
                  <c:v>2008.74999999999</c:v>
                </c:pt>
                <c:pt idx="298">
                  <c:v>2008.8333333333201</c:v>
                </c:pt>
                <c:pt idx="299">
                  <c:v>2008.9166666666599</c:v>
                </c:pt>
                <c:pt idx="300">
                  <c:v>2009</c:v>
                </c:pt>
                <c:pt idx="301">
                  <c:v>2009.0833333333201</c:v>
                </c:pt>
                <c:pt idx="302">
                  <c:v>2009.1666666666599</c:v>
                </c:pt>
                <c:pt idx="303">
                  <c:v>2009.24999999999</c:v>
                </c:pt>
                <c:pt idx="304">
                  <c:v>2009.3333333333201</c:v>
                </c:pt>
                <c:pt idx="305">
                  <c:v>2009.4166666666599</c:v>
                </c:pt>
                <c:pt idx="306">
                  <c:v>2009.49999999999</c:v>
                </c:pt>
                <c:pt idx="307">
                  <c:v>2009.5833333333201</c:v>
                </c:pt>
                <c:pt idx="308">
                  <c:v>2009.6666666666599</c:v>
                </c:pt>
                <c:pt idx="309">
                  <c:v>2009.74999999999</c:v>
                </c:pt>
                <c:pt idx="310">
                  <c:v>2009.8333333333201</c:v>
                </c:pt>
                <c:pt idx="311">
                  <c:v>2009.9166666666599</c:v>
                </c:pt>
                <c:pt idx="312">
                  <c:v>2010</c:v>
                </c:pt>
                <c:pt idx="313">
                  <c:v>2010.0833333333201</c:v>
                </c:pt>
                <c:pt idx="314">
                  <c:v>2010.1666666666599</c:v>
                </c:pt>
                <c:pt idx="315">
                  <c:v>2010.24999999999</c:v>
                </c:pt>
                <c:pt idx="316">
                  <c:v>2010.3333333333201</c:v>
                </c:pt>
                <c:pt idx="317">
                  <c:v>2010.4166666666599</c:v>
                </c:pt>
                <c:pt idx="318">
                  <c:v>2010.49999999999</c:v>
                </c:pt>
                <c:pt idx="319">
                  <c:v>2010.5833333333301</c:v>
                </c:pt>
                <c:pt idx="320">
                  <c:v>2010.6666666666599</c:v>
                </c:pt>
                <c:pt idx="321">
                  <c:v>2010.74999999999</c:v>
                </c:pt>
                <c:pt idx="322">
                  <c:v>2010.8333333333301</c:v>
                </c:pt>
                <c:pt idx="323">
                  <c:v>2010.9166666666599</c:v>
                </c:pt>
                <c:pt idx="324">
                  <c:v>2011</c:v>
                </c:pt>
                <c:pt idx="325">
                  <c:v>2011.0833333333301</c:v>
                </c:pt>
                <c:pt idx="326">
                  <c:v>2011.1666666666599</c:v>
                </c:pt>
                <c:pt idx="327">
                  <c:v>2011.24999999999</c:v>
                </c:pt>
                <c:pt idx="328">
                  <c:v>2011.3333333333301</c:v>
                </c:pt>
                <c:pt idx="329">
                  <c:v>2011.4166666666599</c:v>
                </c:pt>
                <c:pt idx="330">
                  <c:v>2011.49999999999</c:v>
                </c:pt>
                <c:pt idx="331">
                  <c:v>2011.5833333333301</c:v>
                </c:pt>
                <c:pt idx="332">
                  <c:v>2011.6666666666599</c:v>
                </c:pt>
                <c:pt idx="333">
                  <c:v>2011.74999999999</c:v>
                </c:pt>
                <c:pt idx="334">
                  <c:v>2011.8333333333301</c:v>
                </c:pt>
                <c:pt idx="335">
                  <c:v>2011.9166666666599</c:v>
                </c:pt>
                <c:pt idx="336">
                  <c:v>2012</c:v>
                </c:pt>
                <c:pt idx="337">
                  <c:v>2012.0833333333301</c:v>
                </c:pt>
                <c:pt idx="338">
                  <c:v>2012.1666666666599</c:v>
                </c:pt>
                <c:pt idx="339">
                  <c:v>2012.24999999999</c:v>
                </c:pt>
                <c:pt idx="340">
                  <c:v>2012.3333333333301</c:v>
                </c:pt>
                <c:pt idx="341">
                  <c:v>2012.4166666666599</c:v>
                </c:pt>
                <c:pt idx="342">
                  <c:v>2012.5</c:v>
                </c:pt>
                <c:pt idx="343">
                  <c:v>2012.5833333333301</c:v>
                </c:pt>
                <c:pt idx="344">
                  <c:v>2012.6666666666599</c:v>
                </c:pt>
                <c:pt idx="345">
                  <c:v>2012.75</c:v>
                </c:pt>
                <c:pt idx="346">
                  <c:v>2012.8333333333301</c:v>
                </c:pt>
                <c:pt idx="347">
                  <c:v>2012.9166666666599</c:v>
                </c:pt>
                <c:pt idx="348">
                  <c:v>2013</c:v>
                </c:pt>
                <c:pt idx="349">
                  <c:v>2013.0833333333301</c:v>
                </c:pt>
                <c:pt idx="350">
                  <c:v>2013.1666666666599</c:v>
                </c:pt>
                <c:pt idx="351">
                  <c:v>2013.25</c:v>
                </c:pt>
                <c:pt idx="352">
                  <c:v>2013.3333333333301</c:v>
                </c:pt>
                <c:pt idx="353">
                  <c:v>2013.4166666666599</c:v>
                </c:pt>
                <c:pt idx="354">
                  <c:v>2013.5</c:v>
                </c:pt>
                <c:pt idx="355">
                  <c:v>2013.5833333333301</c:v>
                </c:pt>
                <c:pt idx="356">
                  <c:v>2013.6666666666599</c:v>
                </c:pt>
                <c:pt idx="357">
                  <c:v>2013.75</c:v>
                </c:pt>
                <c:pt idx="358">
                  <c:v>2013.8333333333301</c:v>
                </c:pt>
                <c:pt idx="359">
                  <c:v>2013.9166666666599</c:v>
                </c:pt>
                <c:pt idx="360">
                  <c:v>2014</c:v>
                </c:pt>
                <c:pt idx="361">
                  <c:v>2014.0833333333333</c:v>
                </c:pt>
                <c:pt idx="362">
                  <c:v>2014.1666666666665</c:v>
                </c:pt>
                <c:pt idx="363">
                  <c:v>2014.25</c:v>
                </c:pt>
                <c:pt idx="364">
                  <c:v>2014.3333333333333</c:v>
                </c:pt>
                <c:pt idx="365">
                  <c:v>2014.4166666666665</c:v>
                </c:pt>
                <c:pt idx="366">
                  <c:v>2014.5</c:v>
                </c:pt>
                <c:pt idx="367">
                  <c:v>2014.5833333333333</c:v>
                </c:pt>
                <c:pt idx="368">
                  <c:v>2014.6666666666665</c:v>
                </c:pt>
                <c:pt idx="369">
                  <c:v>2014.75</c:v>
                </c:pt>
                <c:pt idx="370">
                  <c:v>2014.8333333333333</c:v>
                </c:pt>
                <c:pt idx="371">
                  <c:v>2014.9166666666665</c:v>
                </c:pt>
                <c:pt idx="372">
                  <c:v>2015</c:v>
                </c:pt>
                <c:pt idx="373">
                  <c:v>2015.0833333333333</c:v>
                </c:pt>
                <c:pt idx="374">
                  <c:v>2015.1666666666665</c:v>
                </c:pt>
                <c:pt idx="375">
                  <c:v>2015.25</c:v>
                </c:pt>
                <c:pt idx="376">
                  <c:v>2015.3333333333333</c:v>
                </c:pt>
                <c:pt idx="377">
                  <c:v>2015.4166666666665</c:v>
                </c:pt>
                <c:pt idx="378">
                  <c:v>2015.5</c:v>
                </c:pt>
                <c:pt idx="379">
                  <c:v>2015.5833333333333</c:v>
                </c:pt>
                <c:pt idx="380">
                  <c:v>2015.6666666666665</c:v>
                </c:pt>
                <c:pt idx="381">
                  <c:v>2015.75</c:v>
                </c:pt>
                <c:pt idx="382">
                  <c:v>2015.8333333333333</c:v>
                </c:pt>
                <c:pt idx="383">
                  <c:v>2015.9166666666665</c:v>
                </c:pt>
              </c:numCache>
            </c:numRef>
          </c:xVal>
          <c:yVal>
            <c:numRef>
              <c:f>Nivel!$C$46:$C$429</c:f>
              <c:numCache>
                <c:formatCode>General</c:formatCode>
                <c:ptCount val="384"/>
                <c:pt idx="1">
                  <c:v>572</c:v>
                </c:pt>
                <c:pt idx="2">
                  <c:v>543</c:v>
                </c:pt>
                <c:pt idx="3">
                  <c:v>519</c:v>
                </c:pt>
                <c:pt idx="4">
                  <c:v>569</c:v>
                </c:pt>
                <c:pt idx="5">
                  <c:v>612</c:v>
                </c:pt>
                <c:pt idx="6">
                  <c:v>632</c:v>
                </c:pt>
                <c:pt idx="7">
                  <c:v>642</c:v>
                </c:pt>
                <c:pt idx="8">
                  <c:v>639</c:v>
                </c:pt>
                <c:pt idx="9">
                  <c:v>648</c:v>
                </c:pt>
                <c:pt idx="10">
                  <c:v>659</c:v>
                </c:pt>
                <c:pt idx="11">
                  <c:v>662</c:v>
                </c:pt>
                <c:pt idx="12">
                  <c:v>622</c:v>
                </c:pt>
                <c:pt idx="13">
                  <c:v>532</c:v>
                </c:pt>
                <c:pt idx="14">
                  <c:v>483</c:v>
                </c:pt>
                <c:pt idx="15">
                  <c:v>499</c:v>
                </c:pt>
                <c:pt idx="16">
                  <c:v>533</c:v>
                </c:pt>
                <c:pt idx="17">
                  <c:v>559</c:v>
                </c:pt>
                <c:pt idx="18">
                  <c:v>527</c:v>
                </c:pt>
                <c:pt idx="19">
                  <c:v>552</c:v>
                </c:pt>
                <c:pt idx="20">
                  <c:v>587</c:v>
                </c:pt>
                <c:pt idx="21">
                  <c:v>612</c:v>
                </c:pt>
                <c:pt idx="22">
                  <c:v>631</c:v>
                </c:pt>
                <c:pt idx="23">
                  <c:v>638</c:v>
                </c:pt>
                <c:pt idx="24">
                  <c:v>570</c:v>
                </c:pt>
                <c:pt idx="25">
                  <c:v>508</c:v>
                </c:pt>
                <c:pt idx="26">
                  <c:v>515</c:v>
                </c:pt>
                <c:pt idx="27">
                  <c:v>536</c:v>
                </c:pt>
                <c:pt idx="28">
                  <c:v>579</c:v>
                </c:pt>
                <c:pt idx="29">
                  <c:v>604</c:v>
                </c:pt>
                <c:pt idx="30">
                  <c:v>605</c:v>
                </c:pt>
                <c:pt idx="31">
                  <c:v>554</c:v>
                </c:pt>
                <c:pt idx="32">
                  <c:v>542</c:v>
                </c:pt>
                <c:pt idx="33">
                  <c:v>583</c:v>
                </c:pt>
                <c:pt idx="34">
                  <c:v>631</c:v>
                </c:pt>
                <c:pt idx="35">
                  <c:v>637</c:v>
                </c:pt>
                <c:pt idx="36">
                  <c:v>545</c:v>
                </c:pt>
                <c:pt idx="37">
                  <c:v>483</c:v>
                </c:pt>
                <c:pt idx="38">
                  <c:v>469</c:v>
                </c:pt>
                <c:pt idx="39">
                  <c:v>489</c:v>
                </c:pt>
                <c:pt idx="40">
                  <c:v>544</c:v>
                </c:pt>
                <c:pt idx="41">
                  <c:v>572</c:v>
                </c:pt>
                <c:pt idx="42">
                  <c:v>556</c:v>
                </c:pt>
                <c:pt idx="43">
                  <c:v>582</c:v>
                </c:pt>
                <c:pt idx="44">
                  <c:v>594</c:v>
                </c:pt>
                <c:pt idx="45">
                  <c:v>617</c:v>
                </c:pt>
                <c:pt idx="46">
                  <c:v>644</c:v>
                </c:pt>
                <c:pt idx="47">
                  <c:v>660</c:v>
                </c:pt>
                <c:pt idx="48">
                  <c:v>596</c:v>
                </c:pt>
                <c:pt idx="49">
                  <c:v>503</c:v>
                </c:pt>
                <c:pt idx="50">
                  <c:v>470</c:v>
                </c:pt>
                <c:pt idx="51">
                  <c:v>494</c:v>
                </c:pt>
                <c:pt idx="52">
                  <c:v>542</c:v>
                </c:pt>
                <c:pt idx="53">
                  <c:v>565</c:v>
                </c:pt>
                <c:pt idx="54">
                  <c:v>609</c:v>
                </c:pt>
                <c:pt idx="55">
                  <c:v>635</c:v>
                </c:pt>
                <c:pt idx="56">
                  <c:v>657</c:v>
                </c:pt>
                <c:pt idx="57">
                  <c:v>676</c:v>
                </c:pt>
                <c:pt idx="58">
                  <c:v>673</c:v>
                </c:pt>
                <c:pt idx="59">
                  <c:v>671</c:v>
                </c:pt>
                <c:pt idx="60">
                  <c:v>650</c:v>
                </c:pt>
                <c:pt idx="61">
                  <c:v>594</c:v>
                </c:pt>
                <c:pt idx="62">
                  <c:v>552</c:v>
                </c:pt>
                <c:pt idx="63">
                  <c:v>538</c:v>
                </c:pt>
                <c:pt idx="64">
                  <c:v>545</c:v>
                </c:pt>
                <c:pt idx="65">
                  <c:v>574</c:v>
                </c:pt>
                <c:pt idx="66">
                  <c:v>576</c:v>
                </c:pt>
                <c:pt idx="67">
                  <c:v>571</c:v>
                </c:pt>
                <c:pt idx="68">
                  <c:v>589</c:v>
                </c:pt>
                <c:pt idx="69">
                  <c:v>621</c:v>
                </c:pt>
                <c:pt idx="70">
                  <c:v>645</c:v>
                </c:pt>
                <c:pt idx="71">
                  <c:v>642</c:v>
                </c:pt>
                <c:pt idx="72">
                  <c:v>555</c:v>
                </c:pt>
                <c:pt idx="73">
                  <c:v>484</c:v>
                </c:pt>
                <c:pt idx="74">
                  <c:v>466</c:v>
                </c:pt>
                <c:pt idx="75">
                  <c:v>481</c:v>
                </c:pt>
                <c:pt idx="76">
                  <c:v>543</c:v>
                </c:pt>
                <c:pt idx="77">
                  <c:v>559</c:v>
                </c:pt>
                <c:pt idx="78">
                  <c:v>554</c:v>
                </c:pt>
                <c:pt idx="79">
                  <c:v>537</c:v>
                </c:pt>
                <c:pt idx="80">
                  <c:v>542</c:v>
                </c:pt>
                <c:pt idx="81">
                  <c:v>574</c:v>
                </c:pt>
                <c:pt idx="82">
                  <c:v>610</c:v>
                </c:pt>
                <c:pt idx="83">
                  <c:v>618</c:v>
                </c:pt>
                <c:pt idx="84">
                  <c:v>566</c:v>
                </c:pt>
                <c:pt idx="85">
                  <c:v>471</c:v>
                </c:pt>
                <c:pt idx="86">
                  <c:v>471</c:v>
                </c:pt>
                <c:pt idx="87">
                  <c:v>484</c:v>
                </c:pt>
                <c:pt idx="88">
                  <c:v>533</c:v>
                </c:pt>
                <c:pt idx="89">
                  <c:v>559</c:v>
                </c:pt>
                <c:pt idx="90">
                  <c:v>558</c:v>
                </c:pt>
                <c:pt idx="91">
                  <c:v>546</c:v>
                </c:pt>
                <c:pt idx="92">
                  <c:v>518</c:v>
                </c:pt>
                <c:pt idx="93">
                  <c:v>573</c:v>
                </c:pt>
                <c:pt idx="94">
                  <c:v>586</c:v>
                </c:pt>
                <c:pt idx="95">
                  <c:v>586</c:v>
                </c:pt>
                <c:pt idx="96">
                  <c:v>525</c:v>
                </c:pt>
                <c:pt idx="97">
                  <c:v>463</c:v>
                </c:pt>
                <c:pt idx="98">
                  <c:v>455</c:v>
                </c:pt>
                <c:pt idx="99">
                  <c:v>456</c:v>
                </c:pt>
                <c:pt idx="100">
                  <c:v>503</c:v>
                </c:pt>
                <c:pt idx="101">
                  <c:v>540</c:v>
                </c:pt>
                <c:pt idx="102">
                  <c:v>519</c:v>
                </c:pt>
                <c:pt idx="103">
                  <c:v>546</c:v>
                </c:pt>
                <c:pt idx="104">
                  <c:v>562</c:v>
                </c:pt>
                <c:pt idx="105">
                  <c:v>597</c:v>
                </c:pt>
                <c:pt idx="106">
                  <c:v>583</c:v>
                </c:pt>
                <c:pt idx="107">
                  <c:v>582</c:v>
                </c:pt>
                <c:pt idx="108">
                  <c:v>534</c:v>
                </c:pt>
                <c:pt idx="109">
                  <c:v>484</c:v>
                </c:pt>
                <c:pt idx="110">
                  <c:v>466</c:v>
                </c:pt>
                <c:pt idx="111">
                  <c:v>518</c:v>
                </c:pt>
                <c:pt idx="112">
                  <c:v>578</c:v>
                </c:pt>
                <c:pt idx="113">
                  <c:v>602</c:v>
                </c:pt>
                <c:pt idx="114">
                  <c:v>598</c:v>
                </c:pt>
                <c:pt idx="115">
                  <c:v>573</c:v>
                </c:pt>
                <c:pt idx="116">
                  <c:v>583</c:v>
                </c:pt>
                <c:pt idx="117">
                  <c:v>606</c:v>
                </c:pt>
                <c:pt idx="118">
                  <c:v>615</c:v>
                </c:pt>
                <c:pt idx="119">
                  <c:v>624</c:v>
                </c:pt>
                <c:pt idx="120">
                  <c:v>613</c:v>
                </c:pt>
                <c:pt idx="121">
                  <c:v>543</c:v>
                </c:pt>
                <c:pt idx="122">
                  <c:v>523</c:v>
                </c:pt>
                <c:pt idx="123">
                  <c:v>560</c:v>
                </c:pt>
                <c:pt idx="124">
                  <c:v>593</c:v>
                </c:pt>
                <c:pt idx="125">
                  <c:v>613</c:v>
                </c:pt>
                <c:pt idx="126">
                  <c:v>614</c:v>
                </c:pt>
                <c:pt idx="127">
                  <c:v>592</c:v>
                </c:pt>
                <c:pt idx="128">
                  <c:v>582</c:v>
                </c:pt>
                <c:pt idx="129">
                  <c:v>604</c:v>
                </c:pt>
                <c:pt idx="130">
                  <c:v>622</c:v>
                </c:pt>
                <c:pt idx="131">
                  <c:v>625</c:v>
                </c:pt>
                <c:pt idx="132">
                  <c:v>570</c:v>
                </c:pt>
                <c:pt idx="133">
                  <c:v>469</c:v>
                </c:pt>
                <c:pt idx="134">
                  <c:v>460</c:v>
                </c:pt>
                <c:pt idx="135">
                  <c:v>492</c:v>
                </c:pt>
                <c:pt idx="136">
                  <c:v>554</c:v>
                </c:pt>
                <c:pt idx="137">
                  <c:v>587</c:v>
                </c:pt>
                <c:pt idx="138">
                  <c:v>606</c:v>
                </c:pt>
                <c:pt idx="139">
                  <c:v>623</c:v>
                </c:pt>
                <c:pt idx="140">
                  <c:v>630</c:v>
                </c:pt>
                <c:pt idx="141">
                  <c:v>628</c:v>
                </c:pt>
                <c:pt idx="142">
                  <c:v>629</c:v>
                </c:pt>
                <c:pt idx="143">
                  <c:v>625</c:v>
                </c:pt>
                <c:pt idx="144">
                  <c:v>595</c:v>
                </c:pt>
                <c:pt idx="145">
                  <c:v>555</c:v>
                </c:pt>
                <c:pt idx="146">
                  <c:v>563</c:v>
                </c:pt>
                <c:pt idx="147">
                  <c:v>581</c:v>
                </c:pt>
                <c:pt idx="148">
                  <c:v>590</c:v>
                </c:pt>
                <c:pt idx="149">
                  <c:v>616</c:v>
                </c:pt>
                <c:pt idx="150">
                  <c:v>630</c:v>
                </c:pt>
                <c:pt idx="151">
                  <c:v>636</c:v>
                </c:pt>
                <c:pt idx="152">
                  <c:v>629</c:v>
                </c:pt>
                <c:pt idx="153">
                  <c:v>626</c:v>
                </c:pt>
                <c:pt idx="154">
                  <c:v>627</c:v>
                </c:pt>
                <c:pt idx="155">
                  <c:v>620</c:v>
                </c:pt>
                <c:pt idx="156">
                  <c:v>549</c:v>
                </c:pt>
                <c:pt idx="157">
                  <c:v>508</c:v>
                </c:pt>
                <c:pt idx="158">
                  <c:v>440</c:v>
                </c:pt>
                <c:pt idx="159">
                  <c:v>439</c:v>
                </c:pt>
                <c:pt idx="160">
                  <c:v>476</c:v>
                </c:pt>
                <c:pt idx="161">
                  <c:v>508</c:v>
                </c:pt>
                <c:pt idx="162">
                  <c:v>529</c:v>
                </c:pt>
                <c:pt idx="163">
                  <c:v>487</c:v>
                </c:pt>
                <c:pt idx="164">
                  <c:v>487</c:v>
                </c:pt>
                <c:pt idx="165">
                  <c:v>529</c:v>
                </c:pt>
                <c:pt idx="166">
                  <c:v>545</c:v>
                </c:pt>
                <c:pt idx="167">
                  <c:v>526</c:v>
                </c:pt>
                <c:pt idx="168">
                  <c:v>450</c:v>
                </c:pt>
                <c:pt idx="169">
                  <c:v>443</c:v>
                </c:pt>
                <c:pt idx="170">
                  <c:v>449</c:v>
                </c:pt>
                <c:pt idx="171">
                  <c:v>498</c:v>
                </c:pt>
                <c:pt idx="172">
                  <c:v>566</c:v>
                </c:pt>
                <c:pt idx="173">
                  <c:v>605</c:v>
                </c:pt>
                <c:pt idx="174">
                  <c:v>624</c:v>
                </c:pt>
                <c:pt idx="175">
                  <c:v>631</c:v>
                </c:pt>
                <c:pt idx="176">
                  <c:v>636</c:v>
                </c:pt>
                <c:pt idx="177">
                  <c:v>644</c:v>
                </c:pt>
                <c:pt idx="178">
                  <c:v>652</c:v>
                </c:pt>
                <c:pt idx="179">
                  <c:v>658</c:v>
                </c:pt>
                <c:pt idx="180">
                  <c:v>656</c:v>
                </c:pt>
                <c:pt idx="181">
                  <c:v>631</c:v>
                </c:pt>
                <c:pt idx="182">
                  <c:v>630</c:v>
                </c:pt>
                <c:pt idx="183">
                  <c:v>633</c:v>
                </c:pt>
                <c:pt idx="184">
                  <c:v>649</c:v>
                </c:pt>
                <c:pt idx="185">
                  <c:v>656</c:v>
                </c:pt>
                <c:pt idx="186">
                  <c:v>661</c:v>
                </c:pt>
                <c:pt idx="187">
                  <c:v>661</c:v>
                </c:pt>
                <c:pt idx="188">
                  <c:v>663</c:v>
                </c:pt>
                <c:pt idx="189">
                  <c:v>669</c:v>
                </c:pt>
                <c:pt idx="190">
                  <c:v>685</c:v>
                </c:pt>
                <c:pt idx="191">
                  <c:v>687</c:v>
                </c:pt>
                <c:pt idx="192">
                  <c:v>677</c:v>
                </c:pt>
                <c:pt idx="193">
                  <c:v>635</c:v>
                </c:pt>
                <c:pt idx="194">
                  <c:v>601</c:v>
                </c:pt>
                <c:pt idx="195">
                  <c:v>586</c:v>
                </c:pt>
                <c:pt idx="196">
                  <c:v>612</c:v>
                </c:pt>
                <c:pt idx="197">
                  <c:v>649</c:v>
                </c:pt>
                <c:pt idx="198">
                  <c:v>671</c:v>
                </c:pt>
                <c:pt idx="199">
                  <c:v>665</c:v>
                </c:pt>
                <c:pt idx="200">
                  <c:v>654</c:v>
                </c:pt>
                <c:pt idx="201">
                  <c:v>670</c:v>
                </c:pt>
                <c:pt idx="202">
                  <c:v>677</c:v>
                </c:pt>
                <c:pt idx="203">
                  <c:v>666</c:v>
                </c:pt>
                <c:pt idx="204">
                  <c:v>579</c:v>
                </c:pt>
                <c:pt idx="205">
                  <c:v>485</c:v>
                </c:pt>
                <c:pt idx="206">
                  <c:v>482</c:v>
                </c:pt>
                <c:pt idx="207">
                  <c:v>484</c:v>
                </c:pt>
                <c:pt idx="208">
                  <c:v>510</c:v>
                </c:pt>
                <c:pt idx="209">
                  <c:v>563</c:v>
                </c:pt>
                <c:pt idx="210">
                  <c:v>552</c:v>
                </c:pt>
                <c:pt idx="211">
                  <c:v>533</c:v>
                </c:pt>
                <c:pt idx="212">
                  <c:v>541</c:v>
                </c:pt>
                <c:pt idx="213">
                  <c:v>572</c:v>
                </c:pt>
                <c:pt idx="214">
                  <c:v>600</c:v>
                </c:pt>
                <c:pt idx="215">
                  <c:v>617</c:v>
                </c:pt>
                <c:pt idx="216">
                  <c:v>599</c:v>
                </c:pt>
                <c:pt idx="217">
                  <c:v>507</c:v>
                </c:pt>
                <c:pt idx="218">
                  <c:v>493</c:v>
                </c:pt>
                <c:pt idx="219">
                  <c:v>553</c:v>
                </c:pt>
                <c:pt idx="220">
                  <c:v>604</c:v>
                </c:pt>
                <c:pt idx="221">
                  <c:v>623</c:v>
                </c:pt>
                <c:pt idx="222">
                  <c:v>617</c:v>
                </c:pt>
                <c:pt idx="223">
                  <c:v>574</c:v>
                </c:pt>
                <c:pt idx="224">
                  <c:v>580</c:v>
                </c:pt>
                <c:pt idx="225">
                  <c:v>600</c:v>
                </c:pt>
                <c:pt idx="226">
                  <c:v>631</c:v>
                </c:pt>
                <c:pt idx="227">
                  <c:v>601</c:v>
                </c:pt>
                <c:pt idx="228">
                  <c:v>518</c:v>
                </c:pt>
                <c:pt idx="229">
                  <c:v>474</c:v>
                </c:pt>
                <c:pt idx="230">
                  <c:v>471</c:v>
                </c:pt>
                <c:pt idx="232">
                  <c:v>567</c:v>
                </c:pt>
                <c:pt idx="233">
                  <c:v>599</c:v>
                </c:pt>
                <c:pt idx="234">
                  <c:v>624</c:v>
                </c:pt>
                <c:pt idx="235">
                  <c:v>622</c:v>
                </c:pt>
                <c:pt idx="236">
                  <c:v>604</c:v>
                </c:pt>
                <c:pt idx="237">
                  <c:v>631</c:v>
                </c:pt>
                <c:pt idx="238">
                  <c:v>651</c:v>
                </c:pt>
                <c:pt idx="239">
                  <c:v>668</c:v>
                </c:pt>
                <c:pt idx="240">
                  <c:v>583</c:v>
                </c:pt>
                <c:pt idx="241">
                  <c:v>470</c:v>
                </c:pt>
                <c:pt idx="242">
                  <c:v>408</c:v>
                </c:pt>
                <c:pt idx="243">
                  <c:v>431</c:v>
                </c:pt>
                <c:pt idx="244">
                  <c:v>537</c:v>
                </c:pt>
                <c:pt idx="245">
                  <c:v>569</c:v>
                </c:pt>
                <c:pt idx="246">
                  <c:v>550</c:v>
                </c:pt>
                <c:pt idx="247">
                  <c:v>550</c:v>
                </c:pt>
                <c:pt idx="248">
                  <c:v>558</c:v>
                </c:pt>
                <c:pt idx="249">
                  <c:v>578</c:v>
                </c:pt>
                <c:pt idx="250">
                  <c:v>604</c:v>
                </c:pt>
                <c:pt idx="251">
                  <c:v>600</c:v>
                </c:pt>
                <c:pt idx="252">
                  <c:v>569</c:v>
                </c:pt>
                <c:pt idx="253">
                  <c:v>512</c:v>
                </c:pt>
                <c:pt idx="254">
                  <c:v>475</c:v>
                </c:pt>
                <c:pt idx="255">
                  <c:v>493</c:v>
                </c:pt>
                <c:pt idx="256">
                  <c:v>549</c:v>
                </c:pt>
                <c:pt idx="257">
                  <c:v>580</c:v>
                </c:pt>
                <c:pt idx="258">
                  <c:v>581</c:v>
                </c:pt>
                <c:pt idx="259">
                  <c:v>557</c:v>
                </c:pt>
                <c:pt idx="260">
                  <c:v>554</c:v>
                </c:pt>
                <c:pt idx="261">
                  <c:v>573</c:v>
                </c:pt>
                <c:pt idx="262">
                  <c:v>598</c:v>
                </c:pt>
                <c:pt idx="263">
                  <c:v>610</c:v>
                </c:pt>
                <c:pt idx="264">
                  <c:v>594</c:v>
                </c:pt>
                <c:pt idx="265">
                  <c:v>552</c:v>
                </c:pt>
                <c:pt idx="266">
                  <c:v>505</c:v>
                </c:pt>
                <c:pt idx="267">
                  <c:v>551</c:v>
                </c:pt>
                <c:pt idx="268">
                  <c:v>595</c:v>
                </c:pt>
                <c:pt idx="269">
                  <c:v>618</c:v>
                </c:pt>
                <c:pt idx="270">
                  <c:v>615</c:v>
                </c:pt>
                <c:pt idx="271">
                  <c:v>587</c:v>
                </c:pt>
                <c:pt idx="272">
                  <c:v>584</c:v>
                </c:pt>
                <c:pt idx="273">
                  <c:v>583</c:v>
                </c:pt>
                <c:pt idx="274">
                  <c:v>600</c:v>
                </c:pt>
                <c:pt idx="275">
                  <c:v>617</c:v>
                </c:pt>
                <c:pt idx="276">
                  <c:v>604</c:v>
                </c:pt>
                <c:pt idx="278">
                  <c:v>457</c:v>
                </c:pt>
                <c:pt idx="279">
                  <c:v>536</c:v>
                </c:pt>
                <c:pt idx="280">
                  <c:v>584</c:v>
                </c:pt>
                <c:pt idx="281">
                  <c:v>615</c:v>
                </c:pt>
                <c:pt idx="282">
                  <c:v>621</c:v>
                </c:pt>
                <c:pt idx="283">
                  <c:v>612</c:v>
                </c:pt>
                <c:pt idx="284">
                  <c:v>619</c:v>
                </c:pt>
                <c:pt idx="285">
                  <c:v>622</c:v>
                </c:pt>
                <c:pt idx="286">
                  <c:v>630</c:v>
                </c:pt>
                <c:pt idx="287">
                  <c:v>631</c:v>
                </c:pt>
                <c:pt idx="288">
                  <c:v>608</c:v>
                </c:pt>
                <c:pt idx="289">
                  <c:v>570</c:v>
                </c:pt>
                <c:pt idx="290">
                  <c:v>550</c:v>
                </c:pt>
                <c:pt idx="291">
                  <c:v>548</c:v>
                </c:pt>
                <c:pt idx="292">
                  <c:v>584</c:v>
                </c:pt>
                <c:pt idx="293">
                  <c:v>615</c:v>
                </c:pt>
                <c:pt idx="294">
                  <c:v>630</c:v>
                </c:pt>
                <c:pt idx="295">
                  <c:v>632</c:v>
                </c:pt>
                <c:pt idx="296">
                  <c:v>634</c:v>
                </c:pt>
                <c:pt idx="297">
                  <c:v>635</c:v>
                </c:pt>
                <c:pt idx="298">
                  <c:v>642</c:v>
                </c:pt>
                <c:pt idx="299">
                  <c:v>639</c:v>
                </c:pt>
                <c:pt idx="300">
                  <c:v>618</c:v>
                </c:pt>
                <c:pt idx="301">
                  <c:v>585</c:v>
                </c:pt>
                <c:pt idx="302">
                  <c:v>542</c:v>
                </c:pt>
                <c:pt idx="303">
                  <c:v>555</c:v>
                </c:pt>
                <c:pt idx="304">
                  <c:v>577</c:v>
                </c:pt>
                <c:pt idx="305">
                  <c:v>584</c:v>
                </c:pt>
                <c:pt idx="306">
                  <c:v>579</c:v>
                </c:pt>
                <c:pt idx="307">
                  <c:v>546</c:v>
                </c:pt>
                <c:pt idx="308">
                  <c:v>546</c:v>
                </c:pt>
                <c:pt idx="309">
                  <c:v>527</c:v>
                </c:pt>
                <c:pt idx="310">
                  <c:v>564</c:v>
                </c:pt>
                <c:pt idx="311">
                  <c:v>530</c:v>
                </c:pt>
                <c:pt idx="312">
                  <c:v>452</c:v>
                </c:pt>
                <c:pt idx="313">
                  <c:v>424</c:v>
                </c:pt>
                <c:pt idx="314">
                  <c:v>439</c:v>
                </c:pt>
                <c:pt idx="315">
                  <c:v>468</c:v>
                </c:pt>
                <c:pt idx="316">
                  <c:v>534</c:v>
                </c:pt>
                <c:pt idx="317">
                  <c:v>582</c:v>
                </c:pt>
                <c:pt idx="318">
                  <c:v>617</c:v>
                </c:pt>
                <c:pt idx="319">
                  <c:v>632</c:v>
                </c:pt>
                <c:pt idx="320">
                  <c:v>630</c:v>
                </c:pt>
                <c:pt idx="321">
                  <c:v>639</c:v>
                </c:pt>
                <c:pt idx="322">
                  <c:v>647</c:v>
                </c:pt>
                <c:pt idx="323">
                  <c:v>678</c:v>
                </c:pt>
                <c:pt idx="324">
                  <c:v>651</c:v>
                </c:pt>
                <c:pt idx="325">
                  <c:v>569</c:v>
                </c:pt>
                <c:pt idx="326">
                  <c:v>532</c:v>
                </c:pt>
                <c:pt idx="327">
                  <c:v>555</c:v>
                </c:pt>
                <c:pt idx="328">
                  <c:v>619</c:v>
                </c:pt>
                <c:pt idx="329">
                  <c:v>628</c:v>
                </c:pt>
                <c:pt idx="330">
                  <c:v>606</c:v>
                </c:pt>
                <c:pt idx="331">
                  <c:v>588</c:v>
                </c:pt>
                <c:pt idx="332">
                  <c:v>570</c:v>
                </c:pt>
                <c:pt idx="333">
                  <c:v>580</c:v>
                </c:pt>
                <c:pt idx="334">
                  <c:v>601</c:v>
                </c:pt>
                <c:pt idx="335">
                  <c:v>623</c:v>
                </c:pt>
                <c:pt idx="336">
                  <c:v>614</c:v>
                </c:pt>
                <c:pt idx="337">
                  <c:v>555</c:v>
                </c:pt>
                <c:pt idx="338">
                  <c:v>473</c:v>
                </c:pt>
                <c:pt idx="339">
                  <c:v>504</c:v>
                </c:pt>
                <c:pt idx="340">
                  <c:v>567</c:v>
                </c:pt>
                <c:pt idx="341">
                  <c:v>567</c:v>
                </c:pt>
                <c:pt idx="342">
                  <c:v>522</c:v>
                </c:pt>
                <c:pt idx="343">
                  <c:v>513</c:v>
                </c:pt>
                <c:pt idx="344">
                  <c:v>523</c:v>
                </c:pt>
                <c:pt idx="345">
                  <c:v>524</c:v>
                </c:pt>
                <c:pt idx="346">
                  <c:v>549</c:v>
                </c:pt>
                <c:pt idx="347">
                  <c:v>534</c:v>
                </c:pt>
                <c:pt idx="348">
                  <c:v>454</c:v>
                </c:pt>
                <c:pt idx="349">
                  <c:v>438</c:v>
                </c:pt>
                <c:pt idx="350">
                  <c:v>449</c:v>
                </c:pt>
                <c:pt idx="351">
                  <c:v>451</c:v>
                </c:pt>
                <c:pt idx="352">
                  <c:v>503</c:v>
                </c:pt>
                <c:pt idx="353">
                  <c:v>539</c:v>
                </c:pt>
                <c:pt idx="354">
                  <c:v>524</c:v>
                </c:pt>
                <c:pt idx="355">
                  <c:v>503</c:v>
                </c:pt>
                <c:pt idx="356">
                  <c:v>541</c:v>
                </c:pt>
                <c:pt idx="357">
                  <c:v>559</c:v>
                </c:pt>
                <c:pt idx="358">
                  <c:v>567</c:v>
                </c:pt>
                <c:pt idx="359">
                  <c:v>562</c:v>
                </c:pt>
                <c:pt idx="360">
                  <c:v>514</c:v>
                </c:pt>
                <c:pt idx="361">
                  <c:v>453</c:v>
                </c:pt>
                <c:pt idx="362">
                  <c:v>463</c:v>
                </c:pt>
                <c:pt idx="363">
                  <c:v>453</c:v>
                </c:pt>
                <c:pt idx="364">
                  <c:v>515</c:v>
                </c:pt>
                <c:pt idx="365">
                  <c:v>527</c:v>
                </c:pt>
                <c:pt idx="366">
                  <c:v>492</c:v>
                </c:pt>
                <c:pt idx="367">
                  <c:v>470</c:v>
                </c:pt>
                <c:pt idx="368">
                  <c:v>505</c:v>
                </c:pt>
                <c:pt idx="369">
                  <c:v>541</c:v>
                </c:pt>
                <c:pt idx="370">
                  <c:v>568</c:v>
                </c:pt>
                <c:pt idx="371">
                  <c:v>576</c:v>
                </c:pt>
                <c:pt idx="372">
                  <c:v>496</c:v>
                </c:pt>
                <c:pt idx="373">
                  <c:v>465</c:v>
                </c:pt>
                <c:pt idx="374">
                  <c:v>446</c:v>
                </c:pt>
                <c:pt idx="375">
                  <c:v>481</c:v>
                </c:pt>
                <c:pt idx="376">
                  <c:v>493</c:v>
                </c:pt>
                <c:pt idx="377">
                  <c:v>512</c:v>
                </c:pt>
                <c:pt idx="378">
                  <c:v>475</c:v>
                </c:pt>
                <c:pt idx="379">
                  <c:v>472</c:v>
                </c:pt>
                <c:pt idx="380">
                  <c:v>476</c:v>
                </c:pt>
                <c:pt idx="381">
                  <c:v>472</c:v>
                </c:pt>
                <c:pt idx="382">
                  <c:v>511</c:v>
                </c:pt>
                <c:pt idx="383">
                  <c:v>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9D-4A2C-9A40-F9DFA61BC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908016"/>
        <c:axId val="195888464"/>
      </c:scatterChart>
      <c:valAx>
        <c:axId val="1264458319"/>
        <c:scaling>
          <c:orientation val="minMax"/>
          <c:max val="2015"/>
          <c:min val="19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444591"/>
        <c:crosses val="autoZero"/>
        <c:crossBetween val="midCat"/>
      </c:valAx>
      <c:valAx>
        <c:axId val="126444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458319"/>
        <c:crosses val="autoZero"/>
        <c:crossBetween val="midCat"/>
      </c:valAx>
      <c:valAx>
        <c:axId val="195888464"/>
        <c:scaling>
          <c:orientation val="minMax"/>
          <c:min val="4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08016"/>
        <c:crosses val="max"/>
        <c:crossBetween val="midCat"/>
      </c:valAx>
      <c:valAx>
        <c:axId val="195908016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195888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marker>
            <c:symbol val="none"/>
          </c:marker>
          <c:xVal>
            <c:numRef>
              <c:f>Sedimentos!$C$10:$C$381</c:f>
              <c:numCache>
                <c:formatCode>0.0</c:formatCode>
                <c:ptCount val="372"/>
                <c:pt idx="0">
                  <c:v>2014.9166666667199</c:v>
                </c:pt>
                <c:pt idx="1">
                  <c:v>2014.8333333333901</c:v>
                </c:pt>
                <c:pt idx="2">
                  <c:v>2014.75000000006</c:v>
                </c:pt>
                <c:pt idx="3">
                  <c:v>2014.6666666667199</c:v>
                </c:pt>
                <c:pt idx="4">
                  <c:v>2014.5833333333901</c:v>
                </c:pt>
                <c:pt idx="5">
                  <c:v>2014.50000000006</c:v>
                </c:pt>
                <c:pt idx="6">
                  <c:v>2014.4166666667199</c:v>
                </c:pt>
                <c:pt idx="7">
                  <c:v>2014.3333333333901</c:v>
                </c:pt>
                <c:pt idx="8">
                  <c:v>2014.25000000006</c:v>
                </c:pt>
                <c:pt idx="9">
                  <c:v>2014.1666666667199</c:v>
                </c:pt>
                <c:pt idx="10">
                  <c:v>2014.0833333333901</c:v>
                </c:pt>
                <c:pt idx="11">
                  <c:v>2014.00000000005</c:v>
                </c:pt>
                <c:pt idx="12">
                  <c:v>2013.9166666667199</c:v>
                </c:pt>
                <c:pt idx="13">
                  <c:v>2013.8333333333901</c:v>
                </c:pt>
                <c:pt idx="14">
                  <c:v>2013.75000000005</c:v>
                </c:pt>
                <c:pt idx="15">
                  <c:v>2013.6666666667199</c:v>
                </c:pt>
                <c:pt idx="16">
                  <c:v>2013.5833333333901</c:v>
                </c:pt>
                <c:pt idx="17">
                  <c:v>2013.50000000005</c:v>
                </c:pt>
                <c:pt idx="18">
                  <c:v>2013.4166666667199</c:v>
                </c:pt>
                <c:pt idx="19">
                  <c:v>2013.3333333333901</c:v>
                </c:pt>
                <c:pt idx="20">
                  <c:v>2013.25000000005</c:v>
                </c:pt>
                <c:pt idx="21">
                  <c:v>2013.1666666667199</c:v>
                </c:pt>
                <c:pt idx="22">
                  <c:v>2013.0833333333901</c:v>
                </c:pt>
                <c:pt idx="23">
                  <c:v>2013.00000000005</c:v>
                </c:pt>
                <c:pt idx="24">
                  <c:v>2012.9166666667199</c:v>
                </c:pt>
                <c:pt idx="25">
                  <c:v>2012.8333333333901</c:v>
                </c:pt>
                <c:pt idx="26">
                  <c:v>2012.75000000005</c:v>
                </c:pt>
                <c:pt idx="27">
                  <c:v>2012.6666666667199</c:v>
                </c:pt>
                <c:pt idx="28">
                  <c:v>2012.5833333333901</c:v>
                </c:pt>
                <c:pt idx="29">
                  <c:v>2012.50000000005</c:v>
                </c:pt>
                <c:pt idx="30">
                  <c:v>2012.4166666667199</c:v>
                </c:pt>
                <c:pt idx="31">
                  <c:v>2012.3333333333801</c:v>
                </c:pt>
                <c:pt idx="32">
                  <c:v>2012.25000000005</c:v>
                </c:pt>
                <c:pt idx="33">
                  <c:v>2012.1666666667199</c:v>
                </c:pt>
                <c:pt idx="34">
                  <c:v>2012.0833333333801</c:v>
                </c:pt>
                <c:pt idx="35">
                  <c:v>2012.00000000005</c:v>
                </c:pt>
                <c:pt idx="36">
                  <c:v>2011.9166666667199</c:v>
                </c:pt>
                <c:pt idx="37">
                  <c:v>2011.8333333333801</c:v>
                </c:pt>
                <c:pt idx="38">
                  <c:v>2011.75000000005</c:v>
                </c:pt>
                <c:pt idx="39">
                  <c:v>2011.6666666667199</c:v>
                </c:pt>
                <c:pt idx="40">
                  <c:v>2011.5833333333801</c:v>
                </c:pt>
                <c:pt idx="41">
                  <c:v>2011.50000000005</c:v>
                </c:pt>
                <c:pt idx="42">
                  <c:v>2011.4166666667199</c:v>
                </c:pt>
                <c:pt idx="43">
                  <c:v>2011.3333333333801</c:v>
                </c:pt>
                <c:pt idx="44">
                  <c:v>2011.25000000005</c:v>
                </c:pt>
                <c:pt idx="45">
                  <c:v>2011.1666666667199</c:v>
                </c:pt>
                <c:pt idx="46">
                  <c:v>2011.0833333333801</c:v>
                </c:pt>
                <c:pt idx="47">
                  <c:v>2011.00000000005</c:v>
                </c:pt>
                <c:pt idx="48">
                  <c:v>2010.9166666667199</c:v>
                </c:pt>
                <c:pt idx="49">
                  <c:v>2010.8333333333801</c:v>
                </c:pt>
                <c:pt idx="50">
                  <c:v>2010.75000000005</c:v>
                </c:pt>
                <c:pt idx="51">
                  <c:v>2010.6666666667199</c:v>
                </c:pt>
                <c:pt idx="52">
                  <c:v>2010.5833333333801</c:v>
                </c:pt>
                <c:pt idx="53">
                  <c:v>2010.50000000005</c:v>
                </c:pt>
                <c:pt idx="54">
                  <c:v>2010.4166666667099</c:v>
                </c:pt>
                <c:pt idx="55">
                  <c:v>2010.3333333333801</c:v>
                </c:pt>
                <c:pt idx="56">
                  <c:v>2010.25000000005</c:v>
                </c:pt>
                <c:pt idx="57">
                  <c:v>2010.1666666667099</c:v>
                </c:pt>
                <c:pt idx="58">
                  <c:v>2010.0833333333801</c:v>
                </c:pt>
                <c:pt idx="59">
                  <c:v>2010.00000000005</c:v>
                </c:pt>
                <c:pt idx="60">
                  <c:v>2009.9166666667099</c:v>
                </c:pt>
                <c:pt idx="61">
                  <c:v>2009.8333333333801</c:v>
                </c:pt>
                <c:pt idx="62">
                  <c:v>2009.75000000005</c:v>
                </c:pt>
                <c:pt idx="63">
                  <c:v>2009.6666666667099</c:v>
                </c:pt>
                <c:pt idx="64">
                  <c:v>2009.5833333333801</c:v>
                </c:pt>
                <c:pt idx="65">
                  <c:v>2009.50000000005</c:v>
                </c:pt>
                <c:pt idx="66">
                  <c:v>2009.4166666667099</c:v>
                </c:pt>
                <c:pt idx="67">
                  <c:v>2009.3333333333801</c:v>
                </c:pt>
                <c:pt idx="68">
                  <c:v>2009.25000000005</c:v>
                </c:pt>
                <c:pt idx="69">
                  <c:v>2009.1666666667099</c:v>
                </c:pt>
                <c:pt idx="70">
                  <c:v>2009.0833333333801</c:v>
                </c:pt>
                <c:pt idx="71">
                  <c:v>2009.00000000005</c:v>
                </c:pt>
                <c:pt idx="72">
                  <c:v>2008.9166666667099</c:v>
                </c:pt>
                <c:pt idx="73">
                  <c:v>2008.8333333333801</c:v>
                </c:pt>
                <c:pt idx="74">
                  <c:v>2008.75000000005</c:v>
                </c:pt>
                <c:pt idx="75">
                  <c:v>2008.6666666667099</c:v>
                </c:pt>
                <c:pt idx="76">
                  <c:v>2008.5833333333801</c:v>
                </c:pt>
                <c:pt idx="77">
                  <c:v>2008.50000000004</c:v>
                </c:pt>
                <c:pt idx="78">
                  <c:v>2008.4166666667099</c:v>
                </c:pt>
                <c:pt idx="79">
                  <c:v>2008.3333333333801</c:v>
                </c:pt>
                <c:pt idx="80">
                  <c:v>2008.25000000004</c:v>
                </c:pt>
                <c:pt idx="81">
                  <c:v>2008.1666666667099</c:v>
                </c:pt>
                <c:pt idx="82">
                  <c:v>2008.0833333333801</c:v>
                </c:pt>
                <c:pt idx="83">
                  <c:v>2008.00000000004</c:v>
                </c:pt>
                <c:pt idx="84">
                  <c:v>2007.9166666667099</c:v>
                </c:pt>
                <c:pt idx="85">
                  <c:v>2007.8333333333801</c:v>
                </c:pt>
                <c:pt idx="86">
                  <c:v>2007.75000000004</c:v>
                </c:pt>
                <c:pt idx="87">
                  <c:v>2007.6666666667099</c:v>
                </c:pt>
                <c:pt idx="88">
                  <c:v>2007.5833333333801</c:v>
                </c:pt>
                <c:pt idx="89">
                  <c:v>2007.50000000004</c:v>
                </c:pt>
                <c:pt idx="90">
                  <c:v>2007.4166666667099</c:v>
                </c:pt>
                <c:pt idx="91">
                  <c:v>2007.3333333333801</c:v>
                </c:pt>
                <c:pt idx="92">
                  <c:v>2007.25000000004</c:v>
                </c:pt>
                <c:pt idx="93">
                  <c:v>2007.1666666667099</c:v>
                </c:pt>
                <c:pt idx="94">
                  <c:v>2007.0833333333801</c:v>
                </c:pt>
                <c:pt idx="95">
                  <c:v>2007.00000000004</c:v>
                </c:pt>
                <c:pt idx="96">
                  <c:v>2006.9166666667099</c:v>
                </c:pt>
                <c:pt idx="97">
                  <c:v>2006.8333333333701</c:v>
                </c:pt>
                <c:pt idx="98">
                  <c:v>2006.75000000004</c:v>
                </c:pt>
                <c:pt idx="99">
                  <c:v>2006.6666666667099</c:v>
                </c:pt>
                <c:pt idx="100">
                  <c:v>2006.5833333333701</c:v>
                </c:pt>
                <c:pt idx="101">
                  <c:v>2006.50000000004</c:v>
                </c:pt>
                <c:pt idx="102">
                  <c:v>2006.4166666667099</c:v>
                </c:pt>
                <c:pt idx="103">
                  <c:v>2006.3333333333701</c:v>
                </c:pt>
                <c:pt idx="104">
                  <c:v>2006.25000000004</c:v>
                </c:pt>
                <c:pt idx="105">
                  <c:v>2006.1666666667099</c:v>
                </c:pt>
                <c:pt idx="106">
                  <c:v>2006.0833333333701</c:v>
                </c:pt>
                <c:pt idx="107">
                  <c:v>2006.00000000004</c:v>
                </c:pt>
                <c:pt idx="108">
                  <c:v>2005.9166666667099</c:v>
                </c:pt>
                <c:pt idx="109">
                  <c:v>2005.8333333333701</c:v>
                </c:pt>
                <c:pt idx="110">
                  <c:v>2005.75000000004</c:v>
                </c:pt>
                <c:pt idx="111">
                  <c:v>2005.6666666667099</c:v>
                </c:pt>
                <c:pt idx="112">
                  <c:v>2005.5833333333701</c:v>
                </c:pt>
                <c:pt idx="113">
                  <c:v>2005.50000000004</c:v>
                </c:pt>
                <c:pt idx="114">
                  <c:v>2005.4166666667099</c:v>
                </c:pt>
                <c:pt idx="115">
                  <c:v>2005.3333333333701</c:v>
                </c:pt>
                <c:pt idx="116">
                  <c:v>2005.25000000004</c:v>
                </c:pt>
                <c:pt idx="117">
                  <c:v>2005.1666666667099</c:v>
                </c:pt>
                <c:pt idx="118">
                  <c:v>2005.0833333333701</c:v>
                </c:pt>
                <c:pt idx="119">
                  <c:v>2005.00000000004</c:v>
                </c:pt>
                <c:pt idx="120">
                  <c:v>2004.9166666666999</c:v>
                </c:pt>
                <c:pt idx="121">
                  <c:v>2004.8333333333701</c:v>
                </c:pt>
                <c:pt idx="122">
                  <c:v>2004.75000000004</c:v>
                </c:pt>
                <c:pt idx="123">
                  <c:v>2004.6666666666999</c:v>
                </c:pt>
                <c:pt idx="124">
                  <c:v>2004.5833333333701</c:v>
                </c:pt>
                <c:pt idx="125">
                  <c:v>2004.50000000004</c:v>
                </c:pt>
                <c:pt idx="126">
                  <c:v>2004.4166666666999</c:v>
                </c:pt>
                <c:pt idx="127">
                  <c:v>2004.3333333333701</c:v>
                </c:pt>
                <c:pt idx="128">
                  <c:v>2004.25000000004</c:v>
                </c:pt>
                <c:pt idx="129">
                  <c:v>2004.1666666666999</c:v>
                </c:pt>
                <c:pt idx="130">
                  <c:v>2004.0833333333701</c:v>
                </c:pt>
                <c:pt idx="131">
                  <c:v>2004.00000000004</c:v>
                </c:pt>
                <c:pt idx="132">
                  <c:v>2003.9166666666999</c:v>
                </c:pt>
                <c:pt idx="133">
                  <c:v>2003.8333333333701</c:v>
                </c:pt>
                <c:pt idx="134">
                  <c:v>2003.75000000004</c:v>
                </c:pt>
                <c:pt idx="135">
                  <c:v>2003.6666666666999</c:v>
                </c:pt>
                <c:pt idx="136">
                  <c:v>2003.5833333333701</c:v>
                </c:pt>
                <c:pt idx="137">
                  <c:v>2003.50000000004</c:v>
                </c:pt>
                <c:pt idx="138">
                  <c:v>2003.4166666666999</c:v>
                </c:pt>
                <c:pt idx="139">
                  <c:v>2003.3333333333701</c:v>
                </c:pt>
                <c:pt idx="140">
                  <c:v>2003.25000000004</c:v>
                </c:pt>
                <c:pt idx="141">
                  <c:v>2003.1666666666999</c:v>
                </c:pt>
                <c:pt idx="142">
                  <c:v>2003.0833333333701</c:v>
                </c:pt>
                <c:pt idx="143">
                  <c:v>2003.00000000003</c:v>
                </c:pt>
                <c:pt idx="144">
                  <c:v>2002.9166666666999</c:v>
                </c:pt>
                <c:pt idx="145">
                  <c:v>2002.8333333333701</c:v>
                </c:pt>
                <c:pt idx="146">
                  <c:v>2002.75000000003</c:v>
                </c:pt>
                <c:pt idx="147">
                  <c:v>2002.6666666666999</c:v>
                </c:pt>
                <c:pt idx="148">
                  <c:v>2002.5833333333701</c:v>
                </c:pt>
                <c:pt idx="149">
                  <c:v>2002.50000000003</c:v>
                </c:pt>
                <c:pt idx="150">
                  <c:v>2002.4166666666999</c:v>
                </c:pt>
                <c:pt idx="151">
                  <c:v>2002.3333333333701</c:v>
                </c:pt>
                <c:pt idx="152">
                  <c:v>2002.25000000003</c:v>
                </c:pt>
                <c:pt idx="153">
                  <c:v>2002.1666666666999</c:v>
                </c:pt>
                <c:pt idx="154">
                  <c:v>2002.0833333333701</c:v>
                </c:pt>
                <c:pt idx="155">
                  <c:v>2002.00000000003</c:v>
                </c:pt>
                <c:pt idx="156">
                  <c:v>2001.9166666666999</c:v>
                </c:pt>
                <c:pt idx="157">
                  <c:v>2001.8333333333701</c:v>
                </c:pt>
                <c:pt idx="158">
                  <c:v>2001.75000000003</c:v>
                </c:pt>
                <c:pt idx="159">
                  <c:v>2001.6666666666999</c:v>
                </c:pt>
                <c:pt idx="160">
                  <c:v>2001.5833333333701</c:v>
                </c:pt>
                <c:pt idx="161">
                  <c:v>2001.50000000003</c:v>
                </c:pt>
                <c:pt idx="162">
                  <c:v>2001.4166666666999</c:v>
                </c:pt>
                <c:pt idx="163">
                  <c:v>2001.3333333333601</c:v>
                </c:pt>
                <c:pt idx="164">
                  <c:v>2001.25000000003</c:v>
                </c:pt>
                <c:pt idx="165">
                  <c:v>2001.1666666666999</c:v>
                </c:pt>
                <c:pt idx="166">
                  <c:v>2001.0833333333601</c:v>
                </c:pt>
                <c:pt idx="167">
                  <c:v>2001.00000000003</c:v>
                </c:pt>
                <c:pt idx="168">
                  <c:v>2000.9166666666999</c:v>
                </c:pt>
                <c:pt idx="169">
                  <c:v>2000.8333333333601</c:v>
                </c:pt>
                <c:pt idx="170">
                  <c:v>2000.75000000003</c:v>
                </c:pt>
                <c:pt idx="171">
                  <c:v>2000.6666666666999</c:v>
                </c:pt>
                <c:pt idx="172">
                  <c:v>2000.5833333333601</c:v>
                </c:pt>
                <c:pt idx="173">
                  <c:v>2000.50000000003</c:v>
                </c:pt>
                <c:pt idx="174">
                  <c:v>2000.4166666666999</c:v>
                </c:pt>
                <c:pt idx="175">
                  <c:v>2000.3333333333601</c:v>
                </c:pt>
                <c:pt idx="176">
                  <c:v>2000.25000000003</c:v>
                </c:pt>
                <c:pt idx="177">
                  <c:v>2000.1666666666999</c:v>
                </c:pt>
                <c:pt idx="178">
                  <c:v>2000.0833333333601</c:v>
                </c:pt>
                <c:pt idx="179">
                  <c:v>2000.00000000003</c:v>
                </c:pt>
                <c:pt idx="180">
                  <c:v>1999.9166666666999</c:v>
                </c:pt>
                <c:pt idx="181">
                  <c:v>1999.8333333333601</c:v>
                </c:pt>
                <c:pt idx="182">
                  <c:v>1999.75000000003</c:v>
                </c:pt>
                <c:pt idx="183">
                  <c:v>1999.6666666666999</c:v>
                </c:pt>
                <c:pt idx="184">
                  <c:v>1999.5833333333601</c:v>
                </c:pt>
                <c:pt idx="185">
                  <c:v>1999.50000000003</c:v>
                </c:pt>
                <c:pt idx="186">
                  <c:v>1999.4166666666899</c:v>
                </c:pt>
                <c:pt idx="187">
                  <c:v>1999.3333333333601</c:v>
                </c:pt>
                <c:pt idx="188">
                  <c:v>1999.25000000003</c:v>
                </c:pt>
                <c:pt idx="189">
                  <c:v>1999.1666666666899</c:v>
                </c:pt>
                <c:pt idx="190">
                  <c:v>1999.0833333333601</c:v>
                </c:pt>
                <c:pt idx="191">
                  <c:v>1999.00000000003</c:v>
                </c:pt>
                <c:pt idx="192">
                  <c:v>1998.9166666666899</c:v>
                </c:pt>
                <c:pt idx="193">
                  <c:v>1998.8333333333601</c:v>
                </c:pt>
                <c:pt idx="194">
                  <c:v>1998.75000000003</c:v>
                </c:pt>
                <c:pt idx="195">
                  <c:v>1998.6666666666899</c:v>
                </c:pt>
                <c:pt idx="196">
                  <c:v>1998.5833333333601</c:v>
                </c:pt>
                <c:pt idx="197">
                  <c:v>1998.50000000003</c:v>
                </c:pt>
                <c:pt idx="198">
                  <c:v>1998.4166666666899</c:v>
                </c:pt>
                <c:pt idx="199">
                  <c:v>1998.3333333333601</c:v>
                </c:pt>
                <c:pt idx="200">
                  <c:v>1998.25000000003</c:v>
                </c:pt>
                <c:pt idx="201">
                  <c:v>1998.1666666666899</c:v>
                </c:pt>
                <c:pt idx="202">
                  <c:v>1998.0833333333601</c:v>
                </c:pt>
                <c:pt idx="203">
                  <c:v>1998.00000000003</c:v>
                </c:pt>
                <c:pt idx="204">
                  <c:v>1997.9166666666899</c:v>
                </c:pt>
                <c:pt idx="205">
                  <c:v>1997.8333333333601</c:v>
                </c:pt>
                <c:pt idx="206">
                  <c:v>1997.75000000003</c:v>
                </c:pt>
                <c:pt idx="207">
                  <c:v>1997.6666666666899</c:v>
                </c:pt>
                <c:pt idx="208">
                  <c:v>1997.5833333333601</c:v>
                </c:pt>
                <c:pt idx="209">
                  <c:v>1997.50000000002</c:v>
                </c:pt>
                <c:pt idx="210">
                  <c:v>1997.4166666666899</c:v>
                </c:pt>
                <c:pt idx="211">
                  <c:v>1997.3333333333601</c:v>
                </c:pt>
                <c:pt idx="212">
                  <c:v>1997.25000000002</c:v>
                </c:pt>
                <c:pt idx="213">
                  <c:v>1997.1666666666899</c:v>
                </c:pt>
                <c:pt idx="214">
                  <c:v>1997.0833333333601</c:v>
                </c:pt>
                <c:pt idx="215">
                  <c:v>1997.00000000002</c:v>
                </c:pt>
                <c:pt idx="216">
                  <c:v>1996.9166666666899</c:v>
                </c:pt>
                <c:pt idx="217">
                  <c:v>1996.8333333333601</c:v>
                </c:pt>
                <c:pt idx="218">
                  <c:v>1996.75000000002</c:v>
                </c:pt>
                <c:pt idx="219">
                  <c:v>1996.6666666666899</c:v>
                </c:pt>
                <c:pt idx="220">
                  <c:v>1996.5833333333601</c:v>
                </c:pt>
                <c:pt idx="221">
                  <c:v>1996.50000000002</c:v>
                </c:pt>
                <c:pt idx="222">
                  <c:v>1996.4166666666899</c:v>
                </c:pt>
                <c:pt idx="223">
                  <c:v>1996.3333333333601</c:v>
                </c:pt>
                <c:pt idx="224">
                  <c:v>1996.25000000002</c:v>
                </c:pt>
                <c:pt idx="225">
                  <c:v>1996.1666666666899</c:v>
                </c:pt>
                <c:pt idx="226">
                  <c:v>1996.0833333333601</c:v>
                </c:pt>
                <c:pt idx="227">
                  <c:v>1996.00000000002</c:v>
                </c:pt>
                <c:pt idx="228">
                  <c:v>1995.9166666666899</c:v>
                </c:pt>
                <c:pt idx="229">
                  <c:v>1995.8333333333501</c:v>
                </c:pt>
                <c:pt idx="230">
                  <c:v>1995.75000000002</c:v>
                </c:pt>
                <c:pt idx="231">
                  <c:v>1995.6666666666899</c:v>
                </c:pt>
                <c:pt idx="232">
                  <c:v>1995.5833333333501</c:v>
                </c:pt>
                <c:pt idx="233">
                  <c:v>1995.50000000002</c:v>
                </c:pt>
                <c:pt idx="234">
                  <c:v>1995.4166666666899</c:v>
                </c:pt>
                <c:pt idx="235">
                  <c:v>1995.3333333333501</c:v>
                </c:pt>
                <c:pt idx="236">
                  <c:v>1995.25000000002</c:v>
                </c:pt>
                <c:pt idx="237">
                  <c:v>1995.1666666666899</c:v>
                </c:pt>
                <c:pt idx="238">
                  <c:v>1995.0833333333501</c:v>
                </c:pt>
                <c:pt idx="239">
                  <c:v>1995.00000000002</c:v>
                </c:pt>
                <c:pt idx="240">
                  <c:v>1994.9166666666899</c:v>
                </c:pt>
                <c:pt idx="241">
                  <c:v>1994.8333333333501</c:v>
                </c:pt>
                <c:pt idx="242">
                  <c:v>1994.75000000002</c:v>
                </c:pt>
                <c:pt idx="243">
                  <c:v>1994.6666666666899</c:v>
                </c:pt>
                <c:pt idx="244">
                  <c:v>1994.5833333333501</c:v>
                </c:pt>
                <c:pt idx="245">
                  <c:v>1994.50000000002</c:v>
                </c:pt>
                <c:pt idx="246">
                  <c:v>1994.4166666666899</c:v>
                </c:pt>
                <c:pt idx="247">
                  <c:v>1994.3333333333501</c:v>
                </c:pt>
                <c:pt idx="248">
                  <c:v>1994.25000000002</c:v>
                </c:pt>
                <c:pt idx="249">
                  <c:v>1994.1666666666899</c:v>
                </c:pt>
                <c:pt idx="250">
                  <c:v>1994.0833333333501</c:v>
                </c:pt>
                <c:pt idx="251">
                  <c:v>1994.00000000002</c:v>
                </c:pt>
                <c:pt idx="252">
                  <c:v>1993.9166666666799</c:v>
                </c:pt>
                <c:pt idx="253">
                  <c:v>1993.8333333333501</c:v>
                </c:pt>
                <c:pt idx="254">
                  <c:v>1993.75000000002</c:v>
                </c:pt>
                <c:pt idx="255">
                  <c:v>1993.6666666666799</c:v>
                </c:pt>
                <c:pt idx="256">
                  <c:v>1993.5833333333501</c:v>
                </c:pt>
                <c:pt idx="257">
                  <c:v>1993.50000000002</c:v>
                </c:pt>
                <c:pt idx="258">
                  <c:v>1993.4166666666799</c:v>
                </c:pt>
                <c:pt idx="259">
                  <c:v>1993.3333333333501</c:v>
                </c:pt>
                <c:pt idx="260">
                  <c:v>1993.25000000002</c:v>
                </c:pt>
                <c:pt idx="261">
                  <c:v>1993.1666666666799</c:v>
                </c:pt>
                <c:pt idx="262">
                  <c:v>1993.0833333333501</c:v>
                </c:pt>
                <c:pt idx="263">
                  <c:v>1993.00000000002</c:v>
                </c:pt>
                <c:pt idx="264">
                  <c:v>1992.9166666666799</c:v>
                </c:pt>
                <c:pt idx="265">
                  <c:v>1992.8333333333501</c:v>
                </c:pt>
                <c:pt idx="266">
                  <c:v>1992.75000000002</c:v>
                </c:pt>
                <c:pt idx="267">
                  <c:v>1992.6666666666799</c:v>
                </c:pt>
                <c:pt idx="268">
                  <c:v>1992.5833333333501</c:v>
                </c:pt>
                <c:pt idx="269">
                  <c:v>1992.50000000002</c:v>
                </c:pt>
                <c:pt idx="270">
                  <c:v>1992.4166666666799</c:v>
                </c:pt>
                <c:pt idx="271">
                  <c:v>1992.3333333333501</c:v>
                </c:pt>
                <c:pt idx="272">
                  <c:v>1992.25000000002</c:v>
                </c:pt>
                <c:pt idx="273">
                  <c:v>1992.1666666666799</c:v>
                </c:pt>
                <c:pt idx="274">
                  <c:v>1992.0833333333501</c:v>
                </c:pt>
                <c:pt idx="275">
                  <c:v>1992.00000000001</c:v>
                </c:pt>
                <c:pt idx="276">
                  <c:v>1991.9166666666799</c:v>
                </c:pt>
                <c:pt idx="277">
                  <c:v>1991.8333333333501</c:v>
                </c:pt>
                <c:pt idx="278">
                  <c:v>1991.75000000001</c:v>
                </c:pt>
                <c:pt idx="279">
                  <c:v>1991.6666666666799</c:v>
                </c:pt>
                <c:pt idx="280">
                  <c:v>1991.5833333333501</c:v>
                </c:pt>
                <c:pt idx="281">
                  <c:v>1991.50000000001</c:v>
                </c:pt>
                <c:pt idx="282">
                  <c:v>1991.4166666666799</c:v>
                </c:pt>
                <c:pt idx="283">
                  <c:v>1991.3333333333501</c:v>
                </c:pt>
                <c:pt idx="284">
                  <c:v>1991.25000000001</c:v>
                </c:pt>
                <c:pt idx="285">
                  <c:v>1991.1666666666799</c:v>
                </c:pt>
                <c:pt idx="286">
                  <c:v>1991.0833333333501</c:v>
                </c:pt>
                <c:pt idx="287">
                  <c:v>1991.00000000001</c:v>
                </c:pt>
                <c:pt idx="288">
                  <c:v>1990.9166666666799</c:v>
                </c:pt>
                <c:pt idx="289">
                  <c:v>1990.8333333333501</c:v>
                </c:pt>
                <c:pt idx="290">
                  <c:v>1990.75000000001</c:v>
                </c:pt>
                <c:pt idx="291">
                  <c:v>1990.6666666666799</c:v>
                </c:pt>
                <c:pt idx="292">
                  <c:v>1990.5833333333501</c:v>
                </c:pt>
                <c:pt idx="293">
                  <c:v>1990.50000000001</c:v>
                </c:pt>
                <c:pt idx="294">
                  <c:v>1990.4166666666799</c:v>
                </c:pt>
                <c:pt idx="295">
                  <c:v>1990.3333333333401</c:v>
                </c:pt>
                <c:pt idx="296">
                  <c:v>1990.25000000001</c:v>
                </c:pt>
                <c:pt idx="297">
                  <c:v>1990.1666666666799</c:v>
                </c:pt>
                <c:pt idx="298">
                  <c:v>1990.0833333333401</c:v>
                </c:pt>
                <c:pt idx="299">
                  <c:v>1990.00000000001</c:v>
                </c:pt>
                <c:pt idx="300">
                  <c:v>1989.9166666666799</c:v>
                </c:pt>
                <c:pt idx="301">
                  <c:v>1989.8333333333401</c:v>
                </c:pt>
                <c:pt idx="302">
                  <c:v>1989.75000000001</c:v>
                </c:pt>
                <c:pt idx="303">
                  <c:v>1989.6666666666799</c:v>
                </c:pt>
                <c:pt idx="304">
                  <c:v>1989.5833333333401</c:v>
                </c:pt>
                <c:pt idx="305">
                  <c:v>1989.50000000001</c:v>
                </c:pt>
                <c:pt idx="306">
                  <c:v>1989.4166666666799</c:v>
                </c:pt>
                <c:pt idx="307">
                  <c:v>1989.3333333333401</c:v>
                </c:pt>
                <c:pt idx="308">
                  <c:v>1989.25000000001</c:v>
                </c:pt>
                <c:pt idx="309">
                  <c:v>1989.1666666666799</c:v>
                </c:pt>
                <c:pt idx="310">
                  <c:v>1989.0833333333401</c:v>
                </c:pt>
                <c:pt idx="311">
                  <c:v>1989.00000000001</c:v>
                </c:pt>
                <c:pt idx="312">
                  <c:v>1988.9166666666799</c:v>
                </c:pt>
                <c:pt idx="313">
                  <c:v>1988.8333333333401</c:v>
                </c:pt>
                <c:pt idx="314">
                  <c:v>1988.75000000001</c:v>
                </c:pt>
                <c:pt idx="315">
                  <c:v>1988.6666666666799</c:v>
                </c:pt>
                <c:pt idx="316">
                  <c:v>1988.5833333333401</c:v>
                </c:pt>
                <c:pt idx="317">
                  <c:v>1988.50000000001</c:v>
                </c:pt>
                <c:pt idx="318">
                  <c:v>1988.4166666666699</c:v>
                </c:pt>
                <c:pt idx="319">
                  <c:v>1988.3333333333401</c:v>
                </c:pt>
                <c:pt idx="320">
                  <c:v>1988.25000000001</c:v>
                </c:pt>
                <c:pt idx="321">
                  <c:v>1988.1666666666699</c:v>
                </c:pt>
                <c:pt idx="322">
                  <c:v>1988.0833333333401</c:v>
                </c:pt>
                <c:pt idx="323">
                  <c:v>1988.00000000001</c:v>
                </c:pt>
                <c:pt idx="324">
                  <c:v>1987.9166666666699</c:v>
                </c:pt>
                <c:pt idx="325">
                  <c:v>1987.8333333333401</c:v>
                </c:pt>
                <c:pt idx="326">
                  <c:v>1987.75000000001</c:v>
                </c:pt>
                <c:pt idx="327">
                  <c:v>1987.6666666666699</c:v>
                </c:pt>
                <c:pt idx="328">
                  <c:v>1987.5833333333401</c:v>
                </c:pt>
                <c:pt idx="329">
                  <c:v>1987.50000000001</c:v>
                </c:pt>
                <c:pt idx="330">
                  <c:v>1987.4166666666699</c:v>
                </c:pt>
                <c:pt idx="331">
                  <c:v>1987.3333333333401</c:v>
                </c:pt>
                <c:pt idx="332">
                  <c:v>1987.25000000001</c:v>
                </c:pt>
                <c:pt idx="333">
                  <c:v>1987.1666666666699</c:v>
                </c:pt>
                <c:pt idx="334">
                  <c:v>1987.0833333333401</c:v>
                </c:pt>
                <c:pt idx="335">
                  <c:v>1987.00000000001</c:v>
                </c:pt>
                <c:pt idx="336">
                  <c:v>1986.9166666666699</c:v>
                </c:pt>
                <c:pt idx="337">
                  <c:v>1986.8333333333401</c:v>
                </c:pt>
                <c:pt idx="338">
                  <c:v>1986.75000000001</c:v>
                </c:pt>
                <c:pt idx="339">
                  <c:v>1986.6666666666699</c:v>
                </c:pt>
                <c:pt idx="340">
                  <c:v>1986.5833333333401</c:v>
                </c:pt>
                <c:pt idx="341">
                  <c:v>1986.5</c:v>
                </c:pt>
                <c:pt idx="342">
                  <c:v>1986.4166666666699</c:v>
                </c:pt>
                <c:pt idx="343">
                  <c:v>1986.3333333333401</c:v>
                </c:pt>
                <c:pt idx="344">
                  <c:v>1986.25</c:v>
                </c:pt>
                <c:pt idx="345">
                  <c:v>1986.1666666666699</c:v>
                </c:pt>
                <c:pt idx="346">
                  <c:v>1986.0833333333401</c:v>
                </c:pt>
                <c:pt idx="347">
                  <c:v>1986</c:v>
                </c:pt>
                <c:pt idx="348">
                  <c:v>1985.9166666666699</c:v>
                </c:pt>
                <c:pt idx="349">
                  <c:v>1985.8333333333401</c:v>
                </c:pt>
                <c:pt idx="350">
                  <c:v>1985.75</c:v>
                </c:pt>
                <c:pt idx="351">
                  <c:v>1985.6666666666699</c:v>
                </c:pt>
                <c:pt idx="352">
                  <c:v>1985.5833333333401</c:v>
                </c:pt>
                <c:pt idx="353">
                  <c:v>1985.5</c:v>
                </c:pt>
                <c:pt idx="354">
                  <c:v>1985.4166666666699</c:v>
                </c:pt>
                <c:pt idx="355">
                  <c:v>1985.3333333333401</c:v>
                </c:pt>
                <c:pt idx="356">
                  <c:v>1985.25</c:v>
                </c:pt>
                <c:pt idx="357">
                  <c:v>1985.1666666666699</c:v>
                </c:pt>
                <c:pt idx="358">
                  <c:v>1985.0833333333401</c:v>
                </c:pt>
                <c:pt idx="359">
                  <c:v>1985</c:v>
                </c:pt>
                <c:pt idx="360">
                  <c:v>1984.9166666666667</c:v>
                </c:pt>
                <c:pt idx="361">
                  <c:v>1984.8333333333335</c:v>
                </c:pt>
                <c:pt idx="362">
                  <c:v>1984.75</c:v>
                </c:pt>
                <c:pt idx="363">
                  <c:v>1984.6666666666667</c:v>
                </c:pt>
                <c:pt idx="364">
                  <c:v>1984.5833333333335</c:v>
                </c:pt>
                <c:pt idx="365">
                  <c:v>1984.5</c:v>
                </c:pt>
                <c:pt idx="366">
                  <c:v>1984.4166666666667</c:v>
                </c:pt>
                <c:pt idx="367">
                  <c:v>1984.3333333333335</c:v>
                </c:pt>
                <c:pt idx="368">
                  <c:v>1984.25</c:v>
                </c:pt>
                <c:pt idx="369">
                  <c:v>1984.1666666666667</c:v>
                </c:pt>
                <c:pt idx="370">
                  <c:v>1984.0833333333335</c:v>
                </c:pt>
                <c:pt idx="371">
                  <c:v>1984</c:v>
                </c:pt>
              </c:numCache>
            </c:numRef>
          </c:xVal>
          <c:yVal>
            <c:numRef>
              <c:f>Sedimentos!$D$10:$D$381</c:f>
              <c:numCache>
                <c:formatCode>General</c:formatCode>
                <c:ptCount val="372"/>
                <c:pt idx="0">
                  <c:v>741</c:v>
                </c:pt>
                <c:pt idx="1">
                  <c:v>675</c:v>
                </c:pt>
                <c:pt idx="2">
                  <c:v>560.70000000000005</c:v>
                </c:pt>
                <c:pt idx="3">
                  <c:v>394.5</c:v>
                </c:pt>
                <c:pt idx="4">
                  <c:v>285</c:v>
                </c:pt>
                <c:pt idx="5">
                  <c:v>359</c:v>
                </c:pt>
                <c:pt idx="6">
                  <c:v>477.6</c:v>
                </c:pt>
                <c:pt idx="7">
                  <c:v>448</c:v>
                </c:pt>
                <c:pt idx="8">
                  <c:v>230</c:v>
                </c:pt>
                <c:pt idx="9">
                  <c:v>264.89999999999998</c:v>
                </c:pt>
                <c:pt idx="10">
                  <c:v>216.2</c:v>
                </c:pt>
                <c:pt idx="11">
                  <c:v>447.8</c:v>
                </c:pt>
                <c:pt idx="24">
                  <c:v>451.4</c:v>
                </c:pt>
                <c:pt idx="25">
                  <c:v>490.5</c:v>
                </c:pt>
                <c:pt idx="26">
                  <c:v>415</c:v>
                </c:pt>
                <c:pt idx="27">
                  <c:v>396.1</c:v>
                </c:pt>
                <c:pt idx="28">
                  <c:v>376.8</c:v>
                </c:pt>
                <c:pt idx="29">
                  <c:v>408.2</c:v>
                </c:pt>
                <c:pt idx="30">
                  <c:v>566.5</c:v>
                </c:pt>
                <c:pt idx="31">
                  <c:v>586.20000000000005</c:v>
                </c:pt>
                <c:pt idx="32">
                  <c:v>339.4</c:v>
                </c:pt>
                <c:pt idx="33">
                  <c:v>265.7</c:v>
                </c:pt>
                <c:pt idx="34">
                  <c:v>501.6</c:v>
                </c:pt>
                <c:pt idx="35">
                  <c:v>829.6</c:v>
                </c:pt>
                <c:pt idx="36">
                  <c:v>887.5</c:v>
                </c:pt>
                <c:pt idx="37">
                  <c:v>730.7</c:v>
                </c:pt>
                <c:pt idx="38">
                  <c:v>439.3</c:v>
                </c:pt>
                <c:pt idx="39">
                  <c:v>578.4</c:v>
                </c:pt>
                <c:pt idx="40">
                  <c:v>683.8</c:v>
                </c:pt>
                <c:pt idx="41">
                  <c:v>780.9</c:v>
                </c:pt>
                <c:pt idx="42">
                  <c:v>885.5</c:v>
                </c:pt>
                <c:pt idx="43">
                  <c:v>861</c:v>
                </c:pt>
                <c:pt idx="44">
                  <c:v>518.1</c:v>
                </c:pt>
                <c:pt idx="45">
                  <c:v>443</c:v>
                </c:pt>
                <c:pt idx="46">
                  <c:v>502.8</c:v>
                </c:pt>
                <c:pt idx="47">
                  <c:v>1079</c:v>
                </c:pt>
                <c:pt idx="48">
                  <c:v>1280</c:v>
                </c:pt>
                <c:pt idx="49">
                  <c:v>1005</c:v>
                </c:pt>
                <c:pt idx="50">
                  <c:v>985.7</c:v>
                </c:pt>
                <c:pt idx="51">
                  <c:v>896</c:v>
                </c:pt>
                <c:pt idx="52">
                  <c:v>939</c:v>
                </c:pt>
                <c:pt idx="53">
                  <c:v>848.4</c:v>
                </c:pt>
                <c:pt idx="54">
                  <c:v>633.9</c:v>
                </c:pt>
                <c:pt idx="55">
                  <c:v>451.5</c:v>
                </c:pt>
                <c:pt idx="56">
                  <c:v>250.3</c:v>
                </c:pt>
                <c:pt idx="57">
                  <c:v>191.4</c:v>
                </c:pt>
                <c:pt idx="58">
                  <c:v>149.5</c:v>
                </c:pt>
                <c:pt idx="59">
                  <c:v>223.6</c:v>
                </c:pt>
                <c:pt idx="60">
                  <c:v>442.3</c:v>
                </c:pt>
                <c:pt idx="61">
                  <c:v>552.20000000000005</c:v>
                </c:pt>
                <c:pt idx="62">
                  <c:v>423.3</c:v>
                </c:pt>
                <c:pt idx="63">
                  <c:v>477.5</c:v>
                </c:pt>
                <c:pt idx="64">
                  <c:v>493.5</c:v>
                </c:pt>
                <c:pt idx="65">
                  <c:v>639.20000000000005</c:v>
                </c:pt>
                <c:pt idx="66">
                  <c:v>643.6</c:v>
                </c:pt>
                <c:pt idx="67">
                  <c:v>628.9</c:v>
                </c:pt>
                <c:pt idx="68">
                  <c:v>515.9</c:v>
                </c:pt>
                <c:pt idx="69">
                  <c:v>478.7</c:v>
                </c:pt>
                <c:pt idx="70">
                  <c:v>605.20000000000005</c:v>
                </c:pt>
                <c:pt idx="71">
                  <c:v>851.6</c:v>
                </c:pt>
                <c:pt idx="72">
                  <c:v>985.1</c:v>
                </c:pt>
                <c:pt idx="74">
                  <c:v>650.20000000000005</c:v>
                </c:pt>
                <c:pt idx="75">
                  <c:v>923</c:v>
                </c:pt>
                <c:pt idx="76">
                  <c:v>938.6</c:v>
                </c:pt>
                <c:pt idx="77">
                  <c:v>926.2</c:v>
                </c:pt>
                <c:pt idx="78">
                  <c:v>806.4</c:v>
                </c:pt>
                <c:pt idx="79">
                  <c:v>662.8</c:v>
                </c:pt>
                <c:pt idx="80">
                  <c:v>485.5</c:v>
                </c:pt>
                <c:pt idx="81">
                  <c:v>511.3</c:v>
                </c:pt>
                <c:pt idx="82">
                  <c:v>558.1</c:v>
                </c:pt>
                <c:pt idx="83">
                  <c:v>796.5</c:v>
                </c:pt>
                <c:pt idx="84">
                  <c:v>933.4</c:v>
                </c:pt>
                <c:pt idx="85">
                  <c:v>899.9</c:v>
                </c:pt>
                <c:pt idx="86">
                  <c:v>876.4</c:v>
                </c:pt>
                <c:pt idx="87">
                  <c:v>833.8</c:v>
                </c:pt>
                <c:pt idx="88">
                  <c:v>818.3</c:v>
                </c:pt>
                <c:pt idx="89">
                  <c:v>870.9</c:v>
                </c:pt>
                <c:pt idx="90">
                  <c:v>811.4</c:v>
                </c:pt>
                <c:pt idx="91">
                  <c:v>667.3</c:v>
                </c:pt>
                <c:pt idx="92">
                  <c:v>444.7</c:v>
                </c:pt>
                <c:pt idx="93">
                  <c:v>227.7</c:v>
                </c:pt>
                <c:pt idx="95">
                  <c:v>545.9</c:v>
                </c:pt>
                <c:pt idx="96">
                  <c:v>850</c:v>
                </c:pt>
                <c:pt idx="97">
                  <c:v>723.9</c:v>
                </c:pt>
                <c:pt idx="98">
                  <c:v>658.4</c:v>
                </c:pt>
                <c:pt idx="99">
                  <c:v>640.1</c:v>
                </c:pt>
                <c:pt idx="100">
                  <c:v>677.6</c:v>
                </c:pt>
                <c:pt idx="101">
                  <c:v>835.3</c:v>
                </c:pt>
                <c:pt idx="102">
                  <c:v>829.4</c:v>
                </c:pt>
                <c:pt idx="103">
                  <c:v>719.9</c:v>
                </c:pt>
                <c:pt idx="104">
                  <c:v>499.1</c:v>
                </c:pt>
                <c:pt idx="105">
                  <c:v>354.3</c:v>
                </c:pt>
                <c:pt idx="106">
                  <c:v>473.2</c:v>
                </c:pt>
                <c:pt idx="107">
                  <c:v>716.9</c:v>
                </c:pt>
                <c:pt idx="110">
                  <c:v>434.8</c:v>
                </c:pt>
                <c:pt idx="111">
                  <c:v>368.3</c:v>
                </c:pt>
                <c:pt idx="112">
                  <c:v>388.5</c:v>
                </c:pt>
                <c:pt idx="113">
                  <c:v>462</c:v>
                </c:pt>
                <c:pt idx="114">
                  <c:v>444</c:v>
                </c:pt>
                <c:pt idx="115">
                  <c:v>368.9</c:v>
                </c:pt>
                <c:pt idx="116">
                  <c:v>231.9</c:v>
                </c:pt>
                <c:pt idx="117">
                  <c:v>202.8</c:v>
                </c:pt>
                <c:pt idx="118">
                  <c:v>249.2</c:v>
                </c:pt>
                <c:pt idx="119">
                  <c:v>425.9</c:v>
                </c:pt>
                <c:pt idx="120">
                  <c:v>528</c:v>
                </c:pt>
                <c:pt idx="121">
                  <c:v>524.1</c:v>
                </c:pt>
                <c:pt idx="122">
                  <c:v>453</c:v>
                </c:pt>
                <c:pt idx="123">
                  <c:v>379.3</c:v>
                </c:pt>
                <c:pt idx="124">
                  <c:v>371.1</c:v>
                </c:pt>
                <c:pt idx="125">
                  <c:v>370.4</c:v>
                </c:pt>
                <c:pt idx="126">
                  <c:v>410.1</c:v>
                </c:pt>
                <c:pt idx="127">
                  <c:v>337.1</c:v>
                </c:pt>
                <c:pt idx="128">
                  <c:v>125.7</c:v>
                </c:pt>
                <c:pt idx="130">
                  <c:v>191.3</c:v>
                </c:pt>
                <c:pt idx="131">
                  <c:v>470.7</c:v>
                </c:pt>
                <c:pt idx="132">
                  <c:v>817.7</c:v>
                </c:pt>
                <c:pt idx="133">
                  <c:v>710.9</c:v>
                </c:pt>
                <c:pt idx="134">
                  <c:v>650.20000000000005</c:v>
                </c:pt>
                <c:pt idx="135">
                  <c:v>522.6</c:v>
                </c:pt>
                <c:pt idx="136">
                  <c:v>609.70000000000005</c:v>
                </c:pt>
                <c:pt idx="137">
                  <c:v>619.5</c:v>
                </c:pt>
                <c:pt idx="138">
                  <c:v>509.9</c:v>
                </c:pt>
                <c:pt idx="139">
                  <c:v>419.2</c:v>
                </c:pt>
                <c:pt idx="141">
                  <c:v>196.7</c:v>
                </c:pt>
                <c:pt idx="142">
                  <c:v>181.2</c:v>
                </c:pt>
                <c:pt idx="143">
                  <c:v>299.5</c:v>
                </c:pt>
                <c:pt idx="144">
                  <c:v>530.5</c:v>
                </c:pt>
                <c:pt idx="145">
                  <c:v>625.6</c:v>
                </c:pt>
                <c:pt idx="146">
                  <c:v>528.29999999999995</c:v>
                </c:pt>
                <c:pt idx="147">
                  <c:v>442.7</c:v>
                </c:pt>
                <c:pt idx="148">
                  <c:v>442.9</c:v>
                </c:pt>
                <c:pt idx="149">
                  <c:v>592</c:v>
                </c:pt>
                <c:pt idx="150">
                  <c:v>592.6</c:v>
                </c:pt>
                <c:pt idx="151">
                  <c:v>540.20000000000005</c:v>
                </c:pt>
                <c:pt idx="152">
                  <c:v>370.2</c:v>
                </c:pt>
                <c:pt idx="153">
                  <c:v>237.8</c:v>
                </c:pt>
                <c:pt idx="154">
                  <c:v>240.9</c:v>
                </c:pt>
                <c:pt idx="155">
                  <c:v>528.70000000000005</c:v>
                </c:pt>
                <c:pt idx="156">
                  <c:v>592.4</c:v>
                </c:pt>
                <c:pt idx="157">
                  <c:v>509.5</c:v>
                </c:pt>
                <c:pt idx="158">
                  <c:v>433.7</c:v>
                </c:pt>
                <c:pt idx="159">
                  <c:v>337.7</c:v>
                </c:pt>
                <c:pt idx="160">
                  <c:v>328.9</c:v>
                </c:pt>
                <c:pt idx="161">
                  <c:v>374</c:v>
                </c:pt>
                <c:pt idx="162">
                  <c:v>392.4</c:v>
                </c:pt>
                <c:pt idx="163">
                  <c:v>274.89999999999998</c:v>
                </c:pt>
                <c:pt idx="164">
                  <c:v>211.9</c:v>
                </c:pt>
                <c:pt idx="165">
                  <c:v>217.4</c:v>
                </c:pt>
                <c:pt idx="166">
                  <c:v>202.6</c:v>
                </c:pt>
                <c:pt idx="167">
                  <c:v>466.7</c:v>
                </c:pt>
                <c:pt idx="168">
                  <c:v>802</c:v>
                </c:pt>
                <c:pt idx="169">
                  <c:v>827.2</c:v>
                </c:pt>
                <c:pt idx="170">
                  <c:v>821.9</c:v>
                </c:pt>
                <c:pt idx="171">
                  <c:v>721.2</c:v>
                </c:pt>
                <c:pt idx="172">
                  <c:v>798.9</c:v>
                </c:pt>
                <c:pt idx="173">
                  <c:v>823.9</c:v>
                </c:pt>
                <c:pt idx="174">
                  <c:v>701.2</c:v>
                </c:pt>
                <c:pt idx="175">
                  <c:v>575.1</c:v>
                </c:pt>
                <c:pt idx="176">
                  <c:v>466.2</c:v>
                </c:pt>
                <c:pt idx="177">
                  <c:v>534.79999999999995</c:v>
                </c:pt>
                <c:pt idx="178">
                  <c:v>622.6</c:v>
                </c:pt>
                <c:pt idx="179">
                  <c:v>855.5</c:v>
                </c:pt>
                <c:pt idx="192">
                  <c:v>868.9</c:v>
                </c:pt>
                <c:pt idx="193">
                  <c:v>560.9</c:v>
                </c:pt>
                <c:pt idx="194">
                  <c:v>528.9</c:v>
                </c:pt>
                <c:pt idx="195">
                  <c:v>710.6</c:v>
                </c:pt>
                <c:pt idx="196">
                  <c:v>707.5</c:v>
                </c:pt>
                <c:pt idx="197">
                  <c:v>674.7</c:v>
                </c:pt>
                <c:pt idx="198">
                  <c:v>561.9</c:v>
                </c:pt>
                <c:pt idx="199">
                  <c:v>422.1</c:v>
                </c:pt>
                <c:pt idx="200">
                  <c:v>222.1</c:v>
                </c:pt>
                <c:pt idx="201">
                  <c:v>138.19999999999999</c:v>
                </c:pt>
                <c:pt idx="202">
                  <c:v>117.2</c:v>
                </c:pt>
                <c:pt idx="203">
                  <c:v>140.1</c:v>
                </c:pt>
                <c:pt idx="204">
                  <c:v>305.8</c:v>
                </c:pt>
                <c:pt idx="205">
                  <c:v>341.7</c:v>
                </c:pt>
                <c:pt idx="206">
                  <c:v>302.5</c:v>
                </c:pt>
                <c:pt idx="207">
                  <c:v>198</c:v>
                </c:pt>
                <c:pt idx="208">
                  <c:v>204.4</c:v>
                </c:pt>
                <c:pt idx="209">
                  <c:v>303.5</c:v>
                </c:pt>
                <c:pt idx="210">
                  <c:v>244.6</c:v>
                </c:pt>
                <c:pt idx="211">
                  <c:v>181.8</c:v>
                </c:pt>
                <c:pt idx="212">
                  <c:v>121.2</c:v>
                </c:pt>
                <c:pt idx="213">
                  <c:v>126.5</c:v>
                </c:pt>
                <c:pt idx="214">
                  <c:v>225.2</c:v>
                </c:pt>
                <c:pt idx="215">
                  <c:v>369.6</c:v>
                </c:pt>
                <c:pt idx="216">
                  <c:v>653</c:v>
                </c:pt>
                <c:pt idx="217">
                  <c:v>667.2</c:v>
                </c:pt>
                <c:pt idx="218">
                  <c:v>682.2</c:v>
                </c:pt>
                <c:pt idx="219">
                  <c:v>675.1</c:v>
                </c:pt>
                <c:pt idx="220">
                  <c:v>735.8</c:v>
                </c:pt>
                <c:pt idx="221">
                  <c:v>705.5</c:v>
                </c:pt>
                <c:pt idx="222">
                  <c:v>611.4</c:v>
                </c:pt>
                <c:pt idx="223">
                  <c:v>513.9</c:v>
                </c:pt>
                <c:pt idx="224">
                  <c:v>461.3</c:v>
                </c:pt>
                <c:pt idx="225">
                  <c:v>411.4</c:v>
                </c:pt>
                <c:pt idx="226">
                  <c:v>358.9</c:v>
                </c:pt>
                <c:pt idx="227">
                  <c:v>537.6</c:v>
                </c:pt>
                <c:pt idx="228">
                  <c:v>878.7</c:v>
                </c:pt>
                <c:pt idx="229">
                  <c:v>909.5</c:v>
                </c:pt>
                <c:pt idx="230">
                  <c:v>925.6</c:v>
                </c:pt>
                <c:pt idx="231">
                  <c:v>923.4</c:v>
                </c:pt>
                <c:pt idx="232">
                  <c:v>845.7</c:v>
                </c:pt>
                <c:pt idx="233">
                  <c:v>656.3</c:v>
                </c:pt>
                <c:pt idx="234">
                  <c:v>501.2</c:v>
                </c:pt>
                <c:pt idx="235">
                  <c:v>369.3</c:v>
                </c:pt>
                <c:pt idx="236">
                  <c:v>189.2</c:v>
                </c:pt>
                <c:pt idx="237">
                  <c:v>129</c:v>
                </c:pt>
                <c:pt idx="238">
                  <c:v>133.4</c:v>
                </c:pt>
                <c:pt idx="239">
                  <c:v>477.6</c:v>
                </c:pt>
                <c:pt idx="240">
                  <c:v>753.6</c:v>
                </c:pt>
                <c:pt idx="241">
                  <c:v>705.2</c:v>
                </c:pt>
                <c:pt idx="242">
                  <c:v>604.1</c:v>
                </c:pt>
                <c:pt idx="243">
                  <c:v>465.6</c:v>
                </c:pt>
                <c:pt idx="244">
                  <c:v>532.70000000000005</c:v>
                </c:pt>
                <c:pt idx="245">
                  <c:v>671.7</c:v>
                </c:pt>
                <c:pt idx="246">
                  <c:v>646.20000000000005</c:v>
                </c:pt>
                <c:pt idx="247">
                  <c:v>537.9</c:v>
                </c:pt>
                <c:pt idx="248">
                  <c:v>385.3</c:v>
                </c:pt>
                <c:pt idx="249">
                  <c:v>273.2</c:v>
                </c:pt>
                <c:pt idx="250">
                  <c:v>305.5</c:v>
                </c:pt>
                <c:pt idx="251">
                  <c:v>668.1</c:v>
                </c:pt>
                <c:pt idx="252">
                  <c:v>494.9</c:v>
                </c:pt>
                <c:pt idx="253">
                  <c:v>458.4</c:v>
                </c:pt>
                <c:pt idx="254">
                  <c:v>452</c:v>
                </c:pt>
                <c:pt idx="255">
                  <c:v>388.8</c:v>
                </c:pt>
                <c:pt idx="256">
                  <c:v>380.7</c:v>
                </c:pt>
                <c:pt idx="257">
                  <c:v>432.7</c:v>
                </c:pt>
                <c:pt idx="258">
                  <c:v>428.8</c:v>
                </c:pt>
                <c:pt idx="259">
                  <c:v>391.3</c:v>
                </c:pt>
                <c:pt idx="260">
                  <c:v>270.89999999999998</c:v>
                </c:pt>
                <c:pt idx="261">
                  <c:v>196.8</c:v>
                </c:pt>
                <c:pt idx="262">
                  <c:v>202.6</c:v>
                </c:pt>
                <c:pt idx="263">
                  <c:v>308.2</c:v>
                </c:pt>
                <c:pt idx="264">
                  <c:v>398.6</c:v>
                </c:pt>
                <c:pt idx="265">
                  <c:v>388</c:v>
                </c:pt>
                <c:pt idx="266">
                  <c:v>432</c:v>
                </c:pt>
                <c:pt idx="267">
                  <c:v>346.8</c:v>
                </c:pt>
                <c:pt idx="268">
                  <c:v>328.2</c:v>
                </c:pt>
                <c:pt idx="269">
                  <c:v>281.2</c:v>
                </c:pt>
                <c:pt idx="270">
                  <c:v>308.39999999999998</c:v>
                </c:pt>
                <c:pt idx="271">
                  <c:v>255.1</c:v>
                </c:pt>
                <c:pt idx="272">
                  <c:v>176</c:v>
                </c:pt>
                <c:pt idx="273">
                  <c:v>180.4</c:v>
                </c:pt>
                <c:pt idx="274">
                  <c:v>180.3</c:v>
                </c:pt>
                <c:pt idx="275">
                  <c:v>293.10000000000002</c:v>
                </c:pt>
                <c:pt idx="288">
                  <c:v>569.6</c:v>
                </c:pt>
                <c:pt idx="289">
                  <c:v>526.79999999999995</c:v>
                </c:pt>
                <c:pt idx="290">
                  <c:v>448.8</c:v>
                </c:pt>
                <c:pt idx="291">
                  <c:v>369.5</c:v>
                </c:pt>
                <c:pt idx="292">
                  <c:v>371.6</c:v>
                </c:pt>
                <c:pt idx="293">
                  <c:v>404.9</c:v>
                </c:pt>
                <c:pt idx="294">
                  <c:v>402.5</c:v>
                </c:pt>
                <c:pt idx="295">
                  <c:v>384.8</c:v>
                </c:pt>
                <c:pt idx="296">
                  <c:v>260.39999999999998</c:v>
                </c:pt>
                <c:pt idx="297">
                  <c:v>245.5</c:v>
                </c:pt>
                <c:pt idx="298">
                  <c:v>247.8</c:v>
                </c:pt>
                <c:pt idx="299">
                  <c:v>409.9</c:v>
                </c:pt>
                <c:pt idx="300">
                  <c:v>614.6</c:v>
                </c:pt>
                <c:pt idx="301">
                  <c:v>601.9</c:v>
                </c:pt>
                <c:pt idx="302">
                  <c:v>542.9</c:v>
                </c:pt>
                <c:pt idx="303">
                  <c:v>425</c:v>
                </c:pt>
                <c:pt idx="304">
                  <c:v>383.6</c:v>
                </c:pt>
                <c:pt idx="305">
                  <c:v>397.4</c:v>
                </c:pt>
                <c:pt idx="306">
                  <c:v>379</c:v>
                </c:pt>
                <c:pt idx="307">
                  <c:v>306.5</c:v>
                </c:pt>
                <c:pt idx="308">
                  <c:v>277.2</c:v>
                </c:pt>
                <c:pt idx="309">
                  <c:v>326.89999999999998</c:v>
                </c:pt>
                <c:pt idx="310">
                  <c:v>413.2</c:v>
                </c:pt>
                <c:pt idx="311">
                  <c:v>639.9</c:v>
                </c:pt>
                <c:pt idx="312">
                  <c:v>765.2</c:v>
                </c:pt>
                <c:pt idx="313">
                  <c:v>747.4</c:v>
                </c:pt>
                <c:pt idx="314">
                  <c:v>778.8</c:v>
                </c:pt>
                <c:pt idx="315">
                  <c:v>695.4</c:v>
                </c:pt>
                <c:pt idx="316">
                  <c:v>648.6</c:v>
                </c:pt>
                <c:pt idx="317">
                  <c:v>563.79999999999995</c:v>
                </c:pt>
                <c:pt idx="318">
                  <c:v>414.8</c:v>
                </c:pt>
                <c:pt idx="319">
                  <c:v>361.9</c:v>
                </c:pt>
                <c:pt idx="320">
                  <c:v>226.1</c:v>
                </c:pt>
                <c:pt idx="321">
                  <c:v>172.6</c:v>
                </c:pt>
                <c:pt idx="322">
                  <c:v>238.2</c:v>
                </c:pt>
                <c:pt idx="323">
                  <c:v>525.9</c:v>
                </c:pt>
                <c:pt idx="324">
                  <c:v>697.7</c:v>
                </c:pt>
                <c:pt idx="325">
                  <c:v>619.70000000000005</c:v>
                </c:pt>
                <c:pt idx="326">
                  <c:v>546.20000000000005</c:v>
                </c:pt>
                <c:pt idx="327">
                  <c:v>455.2</c:v>
                </c:pt>
                <c:pt idx="328">
                  <c:v>433</c:v>
                </c:pt>
                <c:pt idx="329">
                  <c:v>354.7</c:v>
                </c:pt>
                <c:pt idx="330">
                  <c:v>387.9</c:v>
                </c:pt>
                <c:pt idx="331">
                  <c:v>318.5</c:v>
                </c:pt>
                <c:pt idx="332">
                  <c:v>161.19999999999999</c:v>
                </c:pt>
                <c:pt idx="333">
                  <c:v>116.5</c:v>
                </c:pt>
                <c:pt idx="334">
                  <c:v>135.9</c:v>
                </c:pt>
                <c:pt idx="335">
                  <c:v>324.39999999999998</c:v>
                </c:pt>
                <c:pt idx="336">
                  <c:v>566.6</c:v>
                </c:pt>
                <c:pt idx="337">
                  <c:v>532.29999999999995</c:v>
                </c:pt>
                <c:pt idx="338">
                  <c:v>418.2</c:v>
                </c:pt>
                <c:pt idx="339">
                  <c:v>306</c:v>
                </c:pt>
                <c:pt idx="340">
                  <c:v>344.1</c:v>
                </c:pt>
                <c:pt idx="341">
                  <c:v>474.5</c:v>
                </c:pt>
                <c:pt idx="342">
                  <c:v>456.3</c:v>
                </c:pt>
                <c:pt idx="343">
                  <c:v>406.7</c:v>
                </c:pt>
                <c:pt idx="344">
                  <c:v>292.2</c:v>
                </c:pt>
                <c:pt idx="345">
                  <c:v>255.2</c:v>
                </c:pt>
                <c:pt idx="346">
                  <c:v>218.4</c:v>
                </c:pt>
                <c:pt idx="347">
                  <c:v>384.6</c:v>
                </c:pt>
                <c:pt idx="348">
                  <c:v>568.79999999999995</c:v>
                </c:pt>
                <c:pt idx="349">
                  <c:v>531.29999999999995</c:v>
                </c:pt>
                <c:pt idx="350">
                  <c:v>492.7</c:v>
                </c:pt>
                <c:pt idx="351">
                  <c:v>413.2</c:v>
                </c:pt>
                <c:pt idx="352">
                  <c:v>339</c:v>
                </c:pt>
                <c:pt idx="353">
                  <c:v>281</c:v>
                </c:pt>
                <c:pt idx="354">
                  <c:v>343.8</c:v>
                </c:pt>
                <c:pt idx="355">
                  <c:v>295.5</c:v>
                </c:pt>
                <c:pt idx="356">
                  <c:v>216.5</c:v>
                </c:pt>
                <c:pt idx="357">
                  <c:v>195.5</c:v>
                </c:pt>
                <c:pt idx="358">
                  <c:v>266.10000000000002</c:v>
                </c:pt>
                <c:pt idx="359">
                  <c:v>523.6</c:v>
                </c:pt>
                <c:pt idx="360">
                  <c:v>722.7</c:v>
                </c:pt>
                <c:pt idx="361">
                  <c:v>648.29999999999995</c:v>
                </c:pt>
                <c:pt idx="362">
                  <c:v>564.5</c:v>
                </c:pt>
                <c:pt idx="363">
                  <c:v>497.4</c:v>
                </c:pt>
                <c:pt idx="364">
                  <c:v>527.70000000000005</c:v>
                </c:pt>
                <c:pt idx="365">
                  <c:v>475.7</c:v>
                </c:pt>
                <c:pt idx="366">
                  <c:v>388.3</c:v>
                </c:pt>
                <c:pt idx="367">
                  <c:v>285.89999999999998</c:v>
                </c:pt>
                <c:pt idx="368">
                  <c:v>176.2</c:v>
                </c:pt>
                <c:pt idx="369">
                  <c:v>232.1</c:v>
                </c:pt>
                <c:pt idx="370">
                  <c:v>197.4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9A5-42C0-AD02-0EFE866A7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8373184"/>
        <c:axId val="1388378624"/>
      </c:scatterChart>
      <c:scatterChart>
        <c:scatterStyle val="smoothMarker"/>
        <c:varyColors val="0"/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[1]Transporte!$L$5:$L$520</c:f>
              <c:numCache>
                <c:formatCode>General</c:formatCode>
                <c:ptCount val="516"/>
                <c:pt idx="0">
                  <c:v>2014.9166666666665</c:v>
                </c:pt>
                <c:pt idx="1">
                  <c:v>2014.8333333333333</c:v>
                </c:pt>
                <c:pt idx="2">
                  <c:v>2014.75</c:v>
                </c:pt>
                <c:pt idx="3">
                  <c:v>2014.6666666666665</c:v>
                </c:pt>
                <c:pt idx="4">
                  <c:v>2014.5833333333333</c:v>
                </c:pt>
                <c:pt idx="5">
                  <c:v>2014.5</c:v>
                </c:pt>
                <c:pt idx="6">
                  <c:v>2014.4166666666665</c:v>
                </c:pt>
                <c:pt idx="7">
                  <c:v>2014.3333333333333</c:v>
                </c:pt>
                <c:pt idx="8">
                  <c:v>2014.25</c:v>
                </c:pt>
                <c:pt idx="9">
                  <c:v>2014.1666666666665</c:v>
                </c:pt>
                <c:pt idx="10">
                  <c:v>2014.0833333333333</c:v>
                </c:pt>
                <c:pt idx="11">
                  <c:v>2014</c:v>
                </c:pt>
                <c:pt idx="12">
                  <c:v>2013.9166666666599</c:v>
                </c:pt>
                <c:pt idx="13">
                  <c:v>2013.8333333333301</c:v>
                </c:pt>
                <c:pt idx="14">
                  <c:v>2013.75</c:v>
                </c:pt>
                <c:pt idx="15">
                  <c:v>2013.6666666666599</c:v>
                </c:pt>
                <c:pt idx="16">
                  <c:v>2013.5833333333301</c:v>
                </c:pt>
                <c:pt idx="17">
                  <c:v>2013.5</c:v>
                </c:pt>
                <c:pt idx="18">
                  <c:v>2013.4166666666599</c:v>
                </c:pt>
                <c:pt idx="19">
                  <c:v>2013.3333333333301</c:v>
                </c:pt>
                <c:pt idx="20">
                  <c:v>2013.25</c:v>
                </c:pt>
                <c:pt idx="21">
                  <c:v>2013.1666666666599</c:v>
                </c:pt>
                <c:pt idx="22">
                  <c:v>2013.0833333333301</c:v>
                </c:pt>
                <c:pt idx="23">
                  <c:v>2013</c:v>
                </c:pt>
                <c:pt idx="24">
                  <c:v>2012.9166666666599</c:v>
                </c:pt>
                <c:pt idx="25">
                  <c:v>2012.8333333333301</c:v>
                </c:pt>
                <c:pt idx="26">
                  <c:v>2012.75</c:v>
                </c:pt>
                <c:pt idx="27">
                  <c:v>2012.6666666666599</c:v>
                </c:pt>
                <c:pt idx="28">
                  <c:v>2012.5833333333301</c:v>
                </c:pt>
                <c:pt idx="29">
                  <c:v>2012.5</c:v>
                </c:pt>
                <c:pt idx="30">
                  <c:v>2012.4166666666599</c:v>
                </c:pt>
                <c:pt idx="31">
                  <c:v>2012.3333333333301</c:v>
                </c:pt>
                <c:pt idx="32">
                  <c:v>2012.24999999999</c:v>
                </c:pt>
                <c:pt idx="33">
                  <c:v>2012.1666666666599</c:v>
                </c:pt>
                <c:pt idx="34">
                  <c:v>2012.0833333333301</c:v>
                </c:pt>
                <c:pt idx="35">
                  <c:v>2012</c:v>
                </c:pt>
                <c:pt idx="36">
                  <c:v>2011.9166666666599</c:v>
                </c:pt>
                <c:pt idx="37">
                  <c:v>2011.8333333333301</c:v>
                </c:pt>
                <c:pt idx="38">
                  <c:v>2011.74999999999</c:v>
                </c:pt>
                <c:pt idx="39">
                  <c:v>2011.6666666666599</c:v>
                </c:pt>
                <c:pt idx="40">
                  <c:v>2011.5833333333301</c:v>
                </c:pt>
                <c:pt idx="41">
                  <c:v>2011.49999999999</c:v>
                </c:pt>
                <c:pt idx="42">
                  <c:v>2011.4166666666599</c:v>
                </c:pt>
                <c:pt idx="43">
                  <c:v>2011.3333333333301</c:v>
                </c:pt>
                <c:pt idx="44">
                  <c:v>2011.24999999999</c:v>
                </c:pt>
                <c:pt idx="45">
                  <c:v>2011.1666666666599</c:v>
                </c:pt>
                <c:pt idx="46">
                  <c:v>2011.0833333333301</c:v>
                </c:pt>
                <c:pt idx="47">
                  <c:v>2011</c:v>
                </c:pt>
                <c:pt idx="48">
                  <c:v>2010.9166666666599</c:v>
                </c:pt>
                <c:pt idx="49">
                  <c:v>2010.8333333333301</c:v>
                </c:pt>
                <c:pt idx="50">
                  <c:v>2010.74999999999</c:v>
                </c:pt>
                <c:pt idx="51">
                  <c:v>2010.6666666666599</c:v>
                </c:pt>
                <c:pt idx="52">
                  <c:v>2010.5833333333301</c:v>
                </c:pt>
                <c:pt idx="53">
                  <c:v>2010.49999999999</c:v>
                </c:pt>
                <c:pt idx="54">
                  <c:v>2010.4166666666599</c:v>
                </c:pt>
                <c:pt idx="55">
                  <c:v>2010.3333333333201</c:v>
                </c:pt>
                <c:pt idx="56">
                  <c:v>2010.24999999999</c:v>
                </c:pt>
                <c:pt idx="57">
                  <c:v>2010.1666666666599</c:v>
                </c:pt>
                <c:pt idx="58">
                  <c:v>2010.0833333333201</c:v>
                </c:pt>
                <c:pt idx="59">
                  <c:v>2010</c:v>
                </c:pt>
                <c:pt idx="60">
                  <c:v>2009.9166666666599</c:v>
                </c:pt>
                <c:pt idx="61">
                  <c:v>2009.8333333333201</c:v>
                </c:pt>
                <c:pt idx="62">
                  <c:v>2009.74999999999</c:v>
                </c:pt>
                <c:pt idx="63">
                  <c:v>2009.6666666666599</c:v>
                </c:pt>
                <c:pt idx="64">
                  <c:v>2009.5833333333201</c:v>
                </c:pt>
                <c:pt idx="65">
                  <c:v>2009.49999999999</c:v>
                </c:pt>
                <c:pt idx="66">
                  <c:v>2009.4166666666599</c:v>
                </c:pt>
                <c:pt idx="67">
                  <c:v>2009.3333333333201</c:v>
                </c:pt>
                <c:pt idx="68">
                  <c:v>2009.24999999999</c:v>
                </c:pt>
                <c:pt idx="69">
                  <c:v>2009.1666666666599</c:v>
                </c:pt>
                <c:pt idx="70">
                  <c:v>2009.0833333333201</c:v>
                </c:pt>
                <c:pt idx="71">
                  <c:v>2009</c:v>
                </c:pt>
                <c:pt idx="72">
                  <c:v>2008.9166666666599</c:v>
                </c:pt>
                <c:pt idx="73">
                  <c:v>2008.8333333333201</c:v>
                </c:pt>
                <c:pt idx="74">
                  <c:v>2008.74999999999</c:v>
                </c:pt>
                <c:pt idx="75">
                  <c:v>2008.6666666666599</c:v>
                </c:pt>
                <c:pt idx="76">
                  <c:v>2008.5833333333201</c:v>
                </c:pt>
                <c:pt idx="77">
                  <c:v>2008.49999999999</c:v>
                </c:pt>
                <c:pt idx="78">
                  <c:v>2008.4166666666499</c:v>
                </c:pt>
                <c:pt idx="79">
                  <c:v>2008.3333333333201</c:v>
                </c:pt>
                <c:pt idx="80">
                  <c:v>2008.24999999999</c:v>
                </c:pt>
                <c:pt idx="81">
                  <c:v>2008.1666666666499</c:v>
                </c:pt>
                <c:pt idx="82">
                  <c:v>2008.0833333333201</c:v>
                </c:pt>
                <c:pt idx="83">
                  <c:v>2008</c:v>
                </c:pt>
                <c:pt idx="84">
                  <c:v>2007.9166666666499</c:v>
                </c:pt>
                <c:pt idx="85">
                  <c:v>2007.8333333333201</c:v>
                </c:pt>
                <c:pt idx="86">
                  <c:v>2007.74999999999</c:v>
                </c:pt>
                <c:pt idx="87">
                  <c:v>2007.6666666666499</c:v>
                </c:pt>
                <c:pt idx="88">
                  <c:v>2007.5833333333201</c:v>
                </c:pt>
                <c:pt idx="89">
                  <c:v>2007.49999999999</c:v>
                </c:pt>
                <c:pt idx="90">
                  <c:v>2007.4166666666499</c:v>
                </c:pt>
                <c:pt idx="91">
                  <c:v>2007.3333333333201</c:v>
                </c:pt>
                <c:pt idx="92">
                  <c:v>2007.24999999999</c:v>
                </c:pt>
                <c:pt idx="93">
                  <c:v>2007.1666666666499</c:v>
                </c:pt>
                <c:pt idx="94">
                  <c:v>2007.0833333333201</c:v>
                </c:pt>
                <c:pt idx="95">
                  <c:v>2007</c:v>
                </c:pt>
                <c:pt idx="96">
                  <c:v>2006.9166666666499</c:v>
                </c:pt>
                <c:pt idx="97">
                  <c:v>2006.8333333333201</c:v>
                </c:pt>
                <c:pt idx="98">
                  <c:v>2006.74999999998</c:v>
                </c:pt>
                <c:pt idx="99">
                  <c:v>2006.6666666666499</c:v>
                </c:pt>
                <c:pt idx="100">
                  <c:v>2006.5833333333201</c:v>
                </c:pt>
                <c:pt idx="101">
                  <c:v>2006.49999999998</c:v>
                </c:pt>
                <c:pt idx="102">
                  <c:v>2006.4166666666499</c:v>
                </c:pt>
                <c:pt idx="103">
                  <c:v>2006.3333333333201</c:v>
                </c:pt>
                <c:pt idx="104">
                  <c:v>2006.24999999998</c:v>
                </c:pt>
                <c:pt idx="105">
                  <c:v>2006.1666666666499</c:v>
                </c:pt>
                <c:pt idx="106">
                  <c:v>2006.0833333333201</c:v>
                </c:pt>
                <c:pt idx="107">
                  <c:v>2006</c:v>
                </c:pt>
                <c:pt idx="108">
                  <c:v>2005.9166666666499</c:v>
                </c:pt>
                <c:pt idx="109">
                  <c:v>2005.8333333333201</c:v>
                </c:pt>
                <c:pt idx="110">
                  <c:v>2005.74999999998</c:v>
                </c:pt>
                <c:pt idx="111">
                  <c:v>2005.6666666666499</c:v>
                </c:pt>
                <c:pt idx="112">
                  <c:v>2005.5833333333201</c:v>
                </c:pt>
                <c:pt idx="113">
                  <c:v>2005.49999999998</c:v>
                </c:pt>
                <c:pt idx="114">
                  <c:v>2005.4166666666499</c:v>
                </c:pt>
                <c:pt idx="115">
                  <c:v>2005.3333333333201</c:v>
                </c:pt>
                <c:pt idx="116">
                  <c:v>2005.24999999998</c:v>
                </c:pt>
                <c:pt idx="117">
                  <c:v>2005.1666666666499</c:v>
                </c:pt>
                <c:pt idx="118">
                  <c:v>2005.0833333333201</c:v>
                </c:pt>
                <c:pt idx="119">
                  <c:v>2005</c:v>
                </c:pt>
                <c:pt idx="120">
                  <c:v>2004.9166666666499</c:v>
                </c:pt>
                <c:pt idx="121">
                  <c:v>2004.8333333333101</c:v>
                </c:pt>
                <c:pt idx="122">
                  <c:v>2004.74999999998</c:v>
                </c:pt>
                <c:pt idx="123">
                  <c:v>2004.6666666666499</c:v>
                </c:pt>
                <c:pt idx="124">
                  <c:v>2004.5833333333101</c:v>
                </c:pt>
                <c:pt idx="125">
                  <c:v>2004.49999999998</c:v>
                </c:pt>
                <c:pt idx="126">
                  <c:v>2004.4166666666499</c:v>
                </c:pt>
                <c:pt idx="127">
                  <c:v>2004.3333333333101</c:v>
                </c:pt>
                <c:pt idx="128">
                  <c:v>2004.24999999998</c:v>
                </c:pt>
                <c:pt idx="129">
                  <c:v>2004.1666666666499</c:v>
                </c:pt>
                <c:pt idx="130">
                  <c:v>2004.0833333333101</c:v>
                </c:pt>
                <c:pt idx="131">
                  <c:v>2004</c:v>
                </c:pt>
                <c:pt idx="132">
                  <c:v>2003.9166666666499</c:v>
                </c:pt>
                <c:pt idx="133">
                  <c:v>2003.8333333333101</c:v>
                </c:pt>
                <c:pt idx="134">
                  <c:v>2003.74999999998</c:v>
                </c:pt>
                <c:pt idx="135">
                  <c:v>2003.6666666666499</c:v>
                </c:pt>
                <c:pt idx="136">
                  <c:v>2003.5833333333101</c:v>
                </c:pt>
                <c:pt idx="137">
                  <c:v>2003.49999999998</c:v>
                </c:pt>
                <c:pt idx="138">
                  <c:v>2003.4166666666499</c:v>
                </c:pt>
                <c:pt idx="139">
                  <c:v>2003.3333333333101</c:v>
                </c:pt>
                <c:pt idx="140">
                  <c:v>2003.24999999998</c:v>
                </c:pt>
                <c:pt idx="141">
                  <c:v>2003.1666666666499</c:v>
                </c:pt>
                <c:pt idx="142">
                  <c:v>2003.0833333333101</c:v>
                </c:pt>
                <c:pt idx="143">
                  <c:v>2003</c:v>
                </c:pt>
                <c:pt idx="144">
                  <c:v>2002.9166666666399</c:v>
                </c:pt>
                <c:pt idx="145">
                  <c:v>2002.8333333333101</c:v>
                </c:pt>
                <c:pt idx="146">
                  <c:v>2002.74999999998</c:v>
                </c:pt>
                <c:pt idx="147">
                  <c:v>2002.6666666666399</c:v>
                </c:pt>
                <c:pt idx="148">
                  <c:v>2002.5833333333101</c:v>
                </c:pt>
                <c:pt idx="149">
                  <c:v>2002.49999999998</c:v>
                </c:pt>
                <c:pt idx="150">
                  <c:v>2002.4166666666399</c:v>
                </c:pt>
                <c:pt idx="151">
                  <c:v>2002.3333333333101</c:v>
                </c:pt>
                <c:pt idx="152">
                  <c:v>2002.24999999998</c:v>
                </c:pt>
                <c:pt idx="153">
                  <c:v>2002.1666666666399</c:v>
                </c:pt>
                <c:pt idx="154">
                  <c:v>2002.0833333333101</c:v>
                </c:pt>
                <c:pt idx="155">
                  <c:v>2002</c:v>
                </c:pt>
                <c:pt idx="156">
                  <c:v>2001.9166666666399</c:v>
                </c:pt>
                <c:pt idx="157">
                  <c:v>2001.8333333333101</c:v>
                </c:pt>
                <c:pt idx="158">
                  <c:v>2001.74999999998</c:v>
                </c:pt>
                <c:pt idx="159">
                  <c:v>2001.6666666666399</c:v>
                </c:pt>
                <c:pt idx="160">
                  <c:v>2001.5833333333101</c:v>
                </c:pt>
                <c:pt idx="161">
                  <c:v>2001.49999999998</c:v>
                </c:pt>
                <c:pt idx="162">
                  <c:v>2001.4166666666399</c:v>
                </c:pt>
                <c:pt idx="163">
                  <c:v>2001.3333333333101</c:v>
                </c:pt>
                <c:pt idx="164">
                  <c:v>2001.24999999997</c:v>
                </c:pt>
                <c:pt idx="165">
                  <c:v>2001.1666666666399</c:v>
                </c:pt>
                <c:pt idx="166">
                  <c:v>2001.0833333333101</c:v>
                </c:pt>
                <c:pt idx="167">
                  <c:v>2001</c:v>
                </c:pt>
                <c:pt idx="168">
                  <c:v>2000.9166666666399</c:v>
                </c:pt>
                <c:pt idx="169">
                  <c:v>2000.8333333333101</c:v>
                </c:pt>
                <c:pt idx="170">
                  <c:v>2000.74999999997</c:v>
                </c:pt>
                <c:pt idx="171">
                  <c:v>2000.6666666666399</c:v>
                </c:pt>
                <c:pt idx="172">
                  <c:v>2000.5833333333101</c:v>
                </c:pt>
                <c:pt idx="173">
                  <c:v>2000.49999999997</c:v>
                </c:pt>
                <c:pt idx="174">
                  <c:v>2000.4166666666399</c:v>
                </c:pt>
                <c:pt idx="175">
                  <c:v>2000.3333333333101</c:v>
                </c:pt>
                <c:pt idx="176">
                  <c:v>2000.24999999997</c:v>
                </c:pt>
                <c:pt idx="177">
                  <c:v>2000.1666666666399</c:v>
                </c:pt>
                <c:pt idx="178">
                  <c:v>2000.0833333333101</c:v>
                </c:pt>
                <c:pt idx="179">
                  <c:v>2000</c:v>
                </c:pt>
                <c:pt idx="180">
                  <c:v>1999.9166666660001</c:v>
                </c:pt>
                <c:pt idx="181">
                  <c:v>1999.83333333264</c:v>
                </c:pt>
                <c:pt idx="182">
                  <c:v>1999.7499999992799</c:v>
                </c:pt>
                <c:pt idx="183">
                  <c:v>1999.66666666592</c:v>
                </c:pt>
                <c:pt idx="184">
                  <c:v>1999.58333333256</c:v>
                </c:pt>
                <c:pt idx="185">
                  <c:v>1999.4999999992001</c:v>
                </c:pt>
                <c:pt idx="186">
                  <c:v>1999.41666666584</c:v>
                </c:pt>
                <c:pt idx="187">
                  <c:v>1999.3333333324799</c:v>
                </c:pt>
                <c:pt idx="188">
                  <c:v>1999.2499999991201</c:v>
                </c:pt>
                <c:pt idx="189">
                  <c:v>1999.16666666576</c:v>
                </c:pt>
                <c:pt idx="190">
                  <c:v>1999.0833333323999</c:v>
                </c:pt>
                <c:pt idx="191">
                  <c:v>1998.99999999904</c:v>
                </c:pt>
                <c:pt idx="192">
                  <c:v>1998.9166666656799</c:v>
                </c:pt>
                <c:pt idx="193">
                  <c:v>1998.8333333323201</c:v>
                </c:pt>
                <c:pt idx="194">
                  <c:v>1998.74999999896</c:v>
                </c:pt>
                <c:pt idx="195">
                  <c:v>1998.6666666655999</c:v>
                </c:pt>
                <c:pt idx="196">
                  <c:v>1998.58333333224</c:v>
                </c:pt>
                <c:pt idx="197">
                  <c:v>1998.49999999888</c:v>
                </c:pt>
                <c:pt idx="198">
                  <c:v>1998.4166666655201</c:v>
                </c:pt>
                <c:pt idx="199">
                  <c:v>1998.33333333216</c:v>
                </c:pt>
                <c:pt idx="200">
                  <c:v>1998.2499999987999</c:v>
                </c:pt>
                <c:pt idx="201">
                  <c:v>1998.1666666654401</c:v>
                </c:pt>
                <c:pt idx="202">
                  <c:v>1998.08333333208</c:v>
                </c:pt>
                <c:pt idx="203">
                  <c:v>1997.9999999987201</c:v>
                </c:pt>
                <c:pt idx="204">
                  <c:v>1997.91666666536</c:v>
                </c:pt>
                <c:pt idx="205">
                  <c:v>1997.8333333319999</c:v>
                </c:pt>
                <c:pt idx="206">
                  <c:v>1997.7499999986401</c:v>
                </c:pt>
                <c:pt idx="207">
                  <c:v>1997.66666666528</c:v>
                </c:pt>
                <c:pt idx="208">
                  <c:v>1997.5833333319199</c:v>
                </c:pt>
                <c:pt idx="209">
                  <c:v>1997.49999999856</c:v>
                </c:pt>
                <c:pt idx="210">
                  <c:v>1997.4166666652</c:v>
                </c:pt>
                <c:pt idx="211">
                  <c:v>1997.3333333318401</c:v>
                </c:pt>
                <c:pt idx="212">
                  <c:v>1997.24999999848</c:v>
                </c:pt>
                <c:pt idx="213">
                  <c:v>1997.1666666651099</c:v>
                </c:pt>
                <c:pt idx="214">
                  <c:v>1997.0833333317501</c:v>
                </c:pt>
                <c:pt idx="215">
                  <c:v>1996.99999999839</c:v>
                </c:pt>
                <c:pt idx="216">
                  <c:v>1996.9166666650301</c:v>
                </c:pt>
                <c:pt idx="217">
                  <c:v>1996.83333333167</c:v>
                </c:pt>
                <c:pt idx="218">
                  <c:v>1996.7499999983099</c:v>
                </c:pt>
                <c:pt idx="219">
                  <c:v>1996.6666666649501</c:v>
                </c:pt>
                <c:pt idx="220">
                  <c:v>1996.58333333159</c:v>
                </c:pt>
                <c:pt idx="221">
                  <c:v>1996.4999999982299</c:v>
                </c:pt>
                <c:pt idx="222">
                  <c:v>1996.41666666487</c:v>
                </c:pt>
                <c:pt idx="223">
                  <c:v>1996.3333333315099</c:v>
                </c:pt>
                <c:pt idx="224">
                  <c:v>1996.2499999981501</c:v>
                </c:pt>
                <c:pt idx="225">
                  <c:v>1996.16666666479</c:v>
                </c:pt>
                <c:pt idx="226">
                  <c:v>1996.0833333314299</c:v>
                </c:pt>
                <c:pt idx="227">
                  <c:v>1995.9999999980701</c:v>
                </c:pt>
                <c:pt idx="228">
                  <c:v>1995.91666666471</c:v>
                </c:pt>
                <c:pt idx="229">
                  <c:v>1995.8333333313501</c:v>
                </c:pt>
                <c:pt idx="230">
                  <c:v>1995.74999999799</c:v>
                </c:pt>
                <c:pt idx="231">
                  <c:v>1995.6666666646299</c:v>
                </c:pt>
                <c:pt idx="232">
                  <c:v>1995.5833333312701</c:v>
                </c:pt>
                <c:pt idx="233">
                  <c:v>1995.49999999791</c:v>
                </c:pt>
                <c:pt idx="234">
                  <c:v>1995.4166666645499</c:v>
                </c:pt>
                <c:pt idx="235">
                  <c:v>1995.33333333119</c:v>
                </c:pt>
                <c:pt idx="236">
                  <c:v>1995.2499999978299</c:v>
                </c:pt>
                <c:pt idx="237">
                  <c:v>1995.1666666644701</c:v>
                </c:pt>
                <c:pt idx="238">
                  <c:v>1995.08333333111</c:v>
                </c:pt>
                <c:pt idx="239">
                  <c:v>1994.9999999977499</c:v>
                </c:pt>
                <c:pt idx="240">
                  <c:v>1994.91666666439</c:v>
                </c:pt>
                <c:pt idx="241">
                  <c:v>1994.83333333103</c:v>
                </c:pt>
                <c:pt idx="242">
                  <c:v>1994.7499999976701</c:v>
                </c:pt>
                <c:pt idx="243">
                  <c:v>1994.66666666431</c:v>
                </c:pt>
                <c:pt idx="244">
                  <c:v>1994.5833333309499</c:v>
                </c:pt>
                <c:pt idx="245">
                  <c:v>1994.4999999975901</c:v>
                </c:pt>
                <c:pt idx="246">
                  <c:v>1994.41666666423</c:v>
                </c:pt>
                <c:pt idx="247">
                  <c:v>1994.3333333308699</c:v>
                </c:pt>
                <c:pt idx="248">
                  <c:v>1994.24999999751</c:v>
                </c:pt>
                <c:pt idx="249">
                  <c:v>1994.1666666641499</c:v>
                </c:pt>
                <c:pt idx="250">
                  <c:v>1994.0833333307901</c:v>
                </c:pt>
                <c:pt idx="251">
                  <c:v>1993.99999999743</c:v>
                </c:pt>
                <c:pt idx="252">
                  <c:v>1993.9166666640699</c:v>
                </c:pt>
                <c:pt idx="253">
                  <c:v>1993.83333333071</c:v>
                </c:pt>
                <c:pt idx="254">
                  <c:v>1993.74999999735</c:v>
                </c:pt>
                <c:pt idx="255">
                  <c:v>1993.6666666639901</c:v>
                </c:pt>
                <c:pt idx="256">
                  <c:v>1993.58333333063</c:v>
                </c:pt>
                <c:pt idx="257">
                  <c:v>1993.4999999972699</c:v>
                </c:pt>
                <c:pt idx="258">
                  <c:v>1993.4166666639101</c:v>
                </c:pt>
                <c:pt idx="259">
                  <c:v>1993.33333333055</c:v>
                </c:pt>
                <c:pt idx="260">
                  <c:v>1993.2499999971899</c:v>
                </c:pt>
                <c:pt idx="261">
                  <c:v>1993.16666666383</c:v>
                </c:pt>
                <c:pt idx="262">
                  <c:v>1993.0833333304699</c:v>
                </c:pt>
                <c:pt idx="263">
                  <c:v>1992.9999999971101</c:v>
                </c:pt>
                <c:pt idx="264">
                  <c:v>1992.91666666375</c:v>
                </c:pt>
                <c:pt idx="265">
                  <c:v>1992.8333333303899</c:v>
                </c:pt>
                <c:pt idx="266">
                  <c:v>1992.74999999703</c:v>
                </c:pt>
                <c:pt idx="267">
                  <c:v>1992.66666666367</c:v>
                </c:pt>
                <c:pt idx="268">
                  <c:v>1992.5833333303101</c:v>
                </c:pt>
                <c:pt idx="269">
                  <c:v>1992.49999999695</c:v>
                </c:pt>
                <c:pt idx="270">
                  <c:v>1992.4166666635899</c:v>
                </c:pt>
                <c:pt idx="271">
                  <c:v>1992.3333333302301</c:v>
                </c:pt>
                <c:pt idx="272">
                  <c:v>1992.24999999687</c:v>
                </c:pt>
                <c:pt idx="273">
                  <c:v>1992.1666666635101</c:v>
                </c:pt>
                <c:pt idx="274">
                  <c:v>1992.08333333015</c:v>
                </c:pt>
                <c:pt idx="275">
                  <c:v>1991.9999999967899</c:v>
                </c:pt>
                <c:pt idx="276">
                  <c:v>1991.9166666634301</c:v>
                </c:pt>
                <c:pt idx="277">
                  <c:v>1991.83333333007</c:v>
                </c:pt>
                <c:pt idx="278">
                  <c:v>1991.7499999967099</c:v>
                </c:pt>
                <c:pt idx="279">
                  <c:v>1991.66666666335</c:v>
                </c:pt>
                <c:pt idx="280">
                  <c:v>1991.58333332999</c:v>
                </c:pt>
                <c:pt idx="281">
                  <c:v>1991.4999999966301</c:v>
                </c:pt>
                <c:pt idx="282">
                  <c:v>1991.41666666327</c:v>
                </c:pt>
                <c:pt idx="283">
                  <c:v>1991.3333333299099</c:v>
                </c:pt>
                <c:pt idx="284">
                  <c:v>1991.2499999965501</c:v>
                </c:pt>
                <c:pt idx="285">
                  <c:v>1991.16666666319</c:v>
                </c:pt>
                <c:pt idx="286">
                  <c:v>1991.0833333298301</c:v>
                </c:pt>
                <c:pt idx="287">
                  <c:v>1990.99999999647</c:v>
                </c:pt>
                <c:pt idx="288">
                  <c:v>1990.9166666631099</c:v>
                </c:pt>
                <c:pt idx="289">
                  <c:v>1990.8333333297501</c:v>
                </c:pt>
                <c:pt idx="290">
                  <c:v>1990.74999999639</c:v>
                </c:pt>
                <c:pt idx="291">
                  <c:v>1990.6666666630299</c:v>
                </c:pt>
                <c:pt idx="292">
                  <c:v>1990.58333332967</c:v>
                </c:pt>
                <c:pt idx="293">
                  <c:v>1990.49999999631</c:v>
                </c:pt>
                <c:pt idx="294">
                  <c:v>1990.4166666629501</c:v>
                </c:pt>
                <c:pt idx="295">
                  <c:v>1990.33333332959</c:v>
                </c:pt>
                <c:pt idx="296">
                  <c:v>1990.2499999962299</c:v>
                </c:pt>
                <c:pt idx="297">
                  <c:v>1990.1666666628701</c:v>
                </c:pt>
                <c:pt idx="298">
                  <c:v>1990.08333332951</c:v>
                </c:pt>
                <c:pt idx="299">
                  <c:v>1989.9999999961501</c:v>
                </c:pt>
                <c:pt idx="300">
                  <c:v>1989.91666666279</c:v>
                </c:pt>
                <c:pt idx="301">
                  <c:v>1989.8333333294299</c:v>
                </c:pt>
                <c:pt idx="302">
                  <c:v>1989.7499999960701</c:v>
                </c:pt>
                <c:pt idx="303">
                  <c:v>1989.66666666271</c:v>
                </c:pt>
                <c:pt idx="304">
                  <c:v>1989.5833333293499</c:v>
                </c:pt>
                <c:pt idx="305">
                  <c:v>1989.49999999599</c:v>
                </c:pt>
                <c:pt idx="306">
                  <c:v>1989.41666666263</c:v>
                </c:pt>
                <c:pt idx="307">
                  <c:v>1989.3333333292701</c:v>
                </c:pt>
                <c:pt idx="308">
                  <c:v>1989.24999999591</c:v>
                </c:pt>
                <c:pt idx="309">
                  <c:v>1989.1666666625499</c:v>
                </c:pt>
                <c:pt idx="310">
                  <c:v>1989.0833333291901</c:v>
                </c:pt>
                <c:pt idx="311">
                  <c:v>1988.99999999583</c:v>
                </c:pt>
                <c:pt idx="312">
                  <c:v>1988.9166666624701</c:v>
                </c:pt>
                <c:pt idx="313">
                  <c:v>1988.83333332911</c:v>
                </c:pt>
                <c:pt idx="314">
                  <c:v>1988.7499999957499</c:v>
                </c:pt>
                <c:pt idx="315">
                  <c:v>1988.6666666623901</c:v>
                </c:pt>
                <c:pt idx="316">
                  <c:v>1988.58333332903</c:v>
                </c:pt>
                <c:pt idx="317">
                  <c:v>1988.4999999956699</c:v>
                </c:pt>
                <c:pt idx="318">
                  <c:v>1988.41666666231</c:v>
                </c:pt>
                <c:pt idx="319">
                  <c:v>1988.3333333289499</c:v>
                </c:pt>
                <c:pt idx="320">
                  <c:v>1988.2499999955901</c:v>
                </c:pt>
                <c:pt idx="321">
                  <c:v>1988.16666666223</c:v>
                </c:pt>
                <c:pt idx="322">
                  <c:v>1988.0833333288699</c:v>
                </c:pt>
                <c:pt idx="323">
                  <c:v>1987.9999999955101</c:v>
                </c:pt>
                <c:pt idx="324">
                  <c:v>1987.91666666215</c:v>
                </c:pt>
                <c:pt idx="325">
                  <c:v>1987.8333333287901</c:v>
                </c:pt>
                <c:pt idx="326">
                  <c:v>1987.74999999543</c:v>
                </c:pt>
                <c:pt idx="327">
                  <c:v>1987.6666666620599</c:v>
                </c:pt>
                <c:pt idx="328">
                  <c:v>1987.5833333287001</c:v>
                </c:pt>
                <c:pt idx="329">
                  <c:v>1987.49999999534</c:v>
                </c:pt>
                <c:pt idx="330">
                  <c:v>1987.4166666619799</c:v>
                </c:pt>
                <c:pt idx="331">
                  <c:v>1987.33333332862</c:v>
                </c:pt>
                <c:pt idx="332">
                  <c:v>1987.2499999952599</c:v>
                </c:pt>
                <c:pt idx="333">
                  <c:v>1987.1666666619001</c:v>
                </c:pt>
                <c:pt idx="334">
                  <c:v>1987.08333332854</c:v>
                </c:pt>
                <c:pt idx="335">
                  <c:v>1986.9999999951799</c:v>
                </c:pt>
                <c:pt idx="336">
                  <c:v>1986.91666666182</c:v>
                </c:pt>
                <c:pt idx="337">
                  <c:v>1986.83333332846</c:v>
                </c:pt>
                <c:pt idx="338">
                  <c:v>1986.7499999951001</c:v>
                </c:pt>
                <c:pt idx="339">
                  <c:v>1986.66666666174</c:v>
                </c:pt>
                <c:pt idx="340">
                  <c:v>1986.5833333283799</c:v>
                </c:pt>
                <c:pt idx="341">
                  <c:v>1986.4999999950201</c:v>
                </c:pt>
                <c:pt idx="342">
                  <c:v>1986.41666666166</c:v>
                </c:pt>
                <c:pt idx="343">
                  <c:v>1986.3333333282999</c:v>
                </c:pt>
                <c:pt idx="344">
                  <c:v>1986.24999999494</c:v>
                </c:pt>
                <c:pt idx="345">
                  <c:v>1986.1666666615799</c:v>
                </c:pt>
                <c:pt idx="346">
                  <c:v>1986.0833333282201</c:v>
                </c:pt>
                <c:pt idx="347">
                  <c:v>1985.99999999486</c:v>
                </c:pt>
                <c:pt idx="348">
                  <c:v>1985.9166666614999</c:v>
                </c:pt>
                <c:pt idx="349">
                  <c:v>1985.83333332814</c:v>
                </c:pt>
                <c:pt idx="350">
                  <c:v>1985.74999999478</c:v>
                </c:pt>
                <c:pt idx="351">
                  <c:v>1985.6666666614201</c:v>
                </c:pt>
                <c:pt idx="352">
                  <c:v>1985.58333332806</c:v>
                </c:pt>
                <c:pt idx="353">
                  <c:v>1985.4999999946999</c:v>
                </c:pt>
                <c:pt idx="354">
                  <c:v>1985.4166666613401</c:v>
                </c:pt>
                <c:pt idx="355">
                  <c:v>1985.33333332798</c:v>
                </c:pt>
                <c:pt idx="356">
                  <c:v>1985.2499999946201</c:v>
                </c:pt>
                <c:pt idx="357">
                  <c:v>1985.16666666126</c:v>
                </c:pt>
                <c:pt idx="358">
                  <c:v>1985.0833333278999</c:v>
                </c:pt>
                <c:pt idx="359">
                  <c:v>1984.9999999945401</c:v>
                </c:pt>
                <c:pt idx="360">
                  <c:v>1984.91666666118</c:v>
                </c:pt>
                <c:pt idx="361">
                  <c:v>1984.8333333278199</c:v>
                </c:pt>
                <c:pt idx="362">
                  <c:v>1984.74999999446</c:v>
                </c:pt>
                <c:pt idx="363">
                  <c:v>1984.6666666611</c:v>
                </c:pt>
                <c:pt idx="364">
                  <c:v>1984.5833333277401</c:v>
                </c:pt>
                <c:pt idx="365">
                  <c:v>1984.49999999438</c:v>
                </c:pt>
                <c:pt idx="366">
                  <c:v>1984.4166666610199</c:v>
                </c:pt>
                <c:pt idx="367">
                  <c:v>1984.3333333276601</c:v>
                </c:pt>
                <c:pt idx="368">
                  <c:v>1984.2499999943</c:v>
                </c:pt>
                <c:pt idx="369">
                  <c:v>1984.1666666609401</c:v>
                </c:pt>
                <c:pt idx="370">
                  <c:v>1984.08333332758</c:v>
                </c:pt>
                <c:pt idx="371">
                  <c:v>1983.9999999942199</c:v>
                </c:pt>
                <c:pt idx="372">
                  <c:v>1983.9166666608601</c:v>
                </c:pt>
                <c:pt idx="373">
                  <c:v>1983.8333333275</c:v>
                </c:pt>
                <c:pt idx="374">
                  <c:v>1983.7499999941399</c:v>
                </c:pt>
                <c:pt idx="375">
                  <c:v>1983.66666666078</c:v>
                </c:pt>
                <c:pt idx="376">
                  <c:v>1983.58333332742</c:v>
                </c:pt>
                <c:pt idx="377">
                  <c:v>1983.4999999940601</c:v>
                </c:pt>
                <c:pt idx="378">
                  <c:v>1983.4166666607</c:v>
                </c:pt>
                <c:pt idx="379">
                  <c:v>1983.3333333273399</c:v>
                </c:pt>
                <c:pt idx="380">
                  <c:v>1983.2499999939801</c:v>
                </c:pt>
                <c:pt idx="381">
                  <c:v>1983.16666666062</c:v>
                </c:pt>
                <c:pt idx="382">
                  <c:v>1983.0833333272601</c:v>
                </c:pt>
                <c:pt idx="383">
                  <c:v>1982.9999999939</c:v>
                </c:pt>
                <c:pt idx="384">
                  <c:v>1982.9166666605399</c:v>
                </c:pt>
                <c:pt idx="385">
                  <c:v>1982.8333333271801</c:v>
                </c:pt>
                <c:pt idx="386">
                  <c:v>1982.74999999382</c:v>
                </c:pt>
                <c:pt idx="387">
                  <c:v>1982.6666666604599</c:v>
                </c:pt>
                <c:pt idx="388">
                  <c:v>1982.5833333271</c:v>
                </c:pt>
                <c:pt idx="389">
                  <c:v>1982.4999999937399</c:v>
                </c:pt>
                <c:pt idx="390">
                  <c:v>1982.4166666603801</c:v>
                </c:pt>
                <c:pt idx="391">
                  <c:v>1982.33333332702</c:v>
                </c:pt>
                <c:pt idx="392">
                  <c:v>1982.2499999936599</c:v>
                </c:pt>
                <c:pt idx="393">
                  <c:v>1982.1666666603001</c:v>
                </c:pt>
                <c:pt idx="394">
                  <c:v>1982.08333332694</c:v>
                </c:pt>
                <c:pt idx="395">
                  <c:v>1981.9999999935801</c:v>
                </c:pt>
                <c:pt idx="396">
                  <c:v>1981.91666666022</c:v>
                </c:pt>
                <c:pt idx="397">
                  <c:v>1981.8333333268599</c:v>
                </c:pt>
                <c:pt idx="398">
                  <c:v>1981.7499999935001</c:v>
                </c:pt>
                <c:pt idx="399">
                  <c:v>1981.66666666014</c:v>
                </c:pt>
                <c:pt idx="400">
                  <c:v>1981.5833333267799</c:v>
                </c:pt>
                <c:pt idx="401">
                  <c:v>1981.49999999342</c:v>
                </c:pt>
                <c:pt idx="402">
                  <c:v>1981.4166666600599</c:v>
                </c:pt>
                <c:pt idx="403">
                  <c:v>1981.3333333267001</c:v>
                </c:pt>
                <c:pt idx="404">
                  <c:v>1981.24999999334</c:v>
                </c:pt>
                <c:pt idx="405">
                  <c:v>1981.1666666599799</c:v>
                </c:pt>
                <c:pt idx="406">
                  <c:v>1981.08333332662</c:v>
                </c:pt>
                <c:pt idx="407">
                  <c:v>1980.99999999326</c:v>
                </c:pt>
                <c:pt idx="408">
                  <c:v>1980.9166666599001</c:v>
                </c:pt>
                <c:pt idx="409">
                  <c:v>1980.83333332654</c:v>
                </c:pt>
                <c:pt idx="410">
                  <c:v>1980.7499999931799</c:v>
                </c:pt>
                <c:pt idx="411">
                  <c:v>1980.6666666598201</c:v>
                </c:pt>
                <c:pt idx="412">
                  <c:v>1980.58333332646</c:v>
                </c:pt>
                <c:pt idx="413">
                  <c:v>1980.4999999930999</c:v>
                </c:pt>
                <c:pt idx="414">
                  <c:v>1980.41666665974</c:v>
                </c:pt>
                <c:pt idx="415">
                  <c:v>1980.3333333263799</c:v>
                </c:pt>
                <c:pt idx="416">
                  <c:v>1980.2499999930201</c:v>
                </c:pt>
                <c:pt idx="417">
                  <c:v>1980.16666665966</c:v>
                </c:pt>
                <c:pt idx="418">
                  <c:v>1980.0833333262999</c:v>
                </c:pt>
                <c:pt idx="419">
                  <c:v>1979.99999999294</c:v>
                </c:pt>
                <c:pt idx="420">
                  <c:v>1979.91666665958</c:v>
                </c:pt>
                <c:pt idx="421">
                  <c:v>1979.8333333262201</c:v>
                </c:pt>
                <c:pt idx="422">
                  <c:v>1979.74999999286</c:v>
                </c:pt>
                <c:pt idx="423">
                  <c:v>1979.6666666594999</c:v>
                </c:pt>
                <c:pt idx="424">
                  <c:v>1979.5833333261401</c:v>
                </c:pt>
                <c:pt idx="425">
                  <c:v>1979.49999999278</c:v>
                </c:pt>
                <c:pt idx="426">
                  <c:v>1979.4166666594199</c:v>
                </c:pt>
                <c:pt idx="427">
                  <c:v>1979.33333332606</c:v>
                </c:pt>
                <c:pt idx="428">
                  <c:v>1979.2499999926999</c:v>
                </c:pt>
                <c:pt idx="429">
                  <c:v>1979.1666666593401</c:v>
                </c:pt>
                <c:pt idx="430">
                  <c:v>1979.08333332598</c:v>
                </c:pt>
                <c:pt idx="431">
                  <c:v>1978.9999999926199</c:v>
                </c:pt>
                <c:pt idx="432">
                  <c:v>1978.91666665926</c:v>
                </c:pt>
                <c:pt idx="433">
                  <c:v>1978.8333333259</c:v>
                </c:pt>
                <c:pt idx="434">
                  <c:v>1978.7499999925401</c:v>
                </c:pt>
                <c:pt idx="435">
                  <c:v>1978.66666665918</c:v>
                </c:pt>
                <c:pt idx="436">
                  <c:v>1978.5833333258199</c:v>
                </c:pt>
                <c:pt idx="437">
                  <c:v>1978.4999999924601</c:v>
                </c:pt>
                <c:pt idx="438">
                  <c:v>1978.4166666591</c:v>
                </c:pt>
                <c:pt idx="439">
                  <c:v>1978.3333333257401</c:v>
                </c:pt>
                <c:pt idx="440">
                  <c:v>1978.24999999238</c:v>
                </c:pt>
                <c:pt idx="441">
                  <c:v>1978.1666666590099</c:v>
                </c:pt>
                <c:pt idx="442">
                  <c:v>1978.0833333256501</c:v>
                </c:pt>
                <c:pt idx="443">
                  <c:v>1977.99999999229</c:v>
                </c:pt>
                <c:pt idx="444">
                  <c:v>1977.9166666589299</c:v>
                </c:pt>
                <c:pt idx="445">
                  <c:v>1977.83333332557</c:v>
                </c:pt>
                <c:pt idx="446">
                  <c:v>1977.74999999221</c:v>
                </c:pt>
                <c:pt idx="447">
                  <c:v>1977.6666666588501</c:v>
                </c:pt>
                <c:pt idx="448">
                  <c:v>1977.58333332549</c:v>
                </c:pt>
                <c:pt idx="449">
                  <c:v>1977.4999999921299</c:v>
                </c:pt>
                <c:pt idx="450">
                  <c:v>1977.4166666587701</c:v>
                </c:pt>
                <c:pt idx="451">
                  <c:v>1977.33333332541</c:v>
                </c:pt>
                <c:pt idx="452">
                  <c:v>1977.2499999920501</c:v>
                </c:pt>
                <c:pt idx="453">
                  <c:v>1977.16666665869</c:v>
                </c:pt>
                <c:pt idx="454">
                  <c:v>1977.0833333253299</c:v>
                </c:pt>
                <c:pt idx="455">
                  <c:v>1976.9999999919701</c:v>
                </c:pt>
                <c:pt idx="456">
                  <c:v>1976.91666665861</c:v>
                </c:pt>
                <c:pt idx="457">
                  <c:v>1976.8333333252499</c:v>
                </c:pt>
                <c:pt idx="458">
                  <c:v>1976.74999999189</c:v>
                </c:pt>
                <c:pt idx="459">
                  <c:v>1976.6666666585299</c:v>
                </c:pt>
                <c:pt idx="460">
                  <c:v>1976.5833333251701</c:v>
                </c:pt>
                <c:pt idx="461">
                  <c:v>1976.49999999181</c:v>
                </c:pt>
                <c:pt idx="462">
                  <c:v>1976.4166666584499</c:v>
                </c:pt>
                <c:pt idx="463">
                  <c:v>1976.3333333250901</c:v>
                </c:pt>
                <c:pt idx="464">
                  <c:v>1976.24999999173</c:v>
                </c:pt>
                <c:pt idx="465">
                  <c:v>1976.1666666583701</c:v>
                </c:pt>
                <c:pt idx="466">
                  <c:v>1976.08333332501</c:v>
                </c:pt>
                <c:pt idx="467">
                  <c:v>1975.9999999916499</c:v>
                </c:pt>
                <c:pt idx="468">
                  <c:v>1975.9166666582901</c:v>
                </c:pt>
                <c:pt idx="469">
                  <c:v>1975.83333332493</c:v>
                </c:pt>
                <c:pt idx="470">
                  <c:v>1975.7499999915699</c:v>
                </c:pt>
                <c:pt idx="471">
                  <c:v>1975.66666665821</c:v>
                </c:pt>
                <c:pt idx="472">
                  <c:v>1975.5833333248499</c:v>
                </c:pt>
                <c:pt idx="473">
                  <c:v>1975.4999999914901</c:v>
                </c:pt>
                <c:pt idx="474">
                  <c:v>1975.41666665813</c:v>
                </c:pt>
                <c:pt idx="475">
                  <c:v>1975.3333333247699</c:v>
                </c:pt>
                <c:pt idx="476">
                  <c:v>1975.24999999141</c:v>
                </c:pt>
                <c:pt idx="477">
                  <c:v>1975.16666665805</c:v>
                </c:pt>
                <c:pt idx="478">
                  <c:v>1975.0833333246901</c:v>
                </c:pt>
                <c:pt idx="479">
                  <c:v>1974.99999999133</c:v>
                </c:pt>
                <c:pt idx="480">
                  <c:v>1974.9166666579699</c:v>
                </c:pt>
                <c:pt idx="481">
                  <c:v>1974.8333333246101</c:v>
                </c:pt>
                <c:pt idx="482">
                  <c:v>1974.74999999125</c:v>
                </c:pt>
                <c:pt idx="483">
                  <c:v>1974.6666666578899</c:v>
                </c:pt>
                <c:pt idx="484">
                  <c:v>1974.58333332453</c:v>
                </c:pt>
                <c:pt idx="485">
                  <c:v>1974.4999999911699</c:v>
                </c:pt>
                <c:pt idx="486">
                  <c:v>1974.4166666578101</c:v>
                </c:pt>
                <c:pt idx="487">
                  <c:v>1974.33333332445</c:v>
                </c:pt>
                <c:pt idx="488">
                  <c:v>1974.2499999910899</c:v>
                </c:pt>
                <c:pt idx="489">
                  <c:v>1974.16666665773</c:v>
                </c:pt>
                <c:pt idx="490">
                  <c:v>1974.08333332437</c:v>
                </c:pt>
                <c:pt idx="491">
                  <c:v>1973.9999999910101</c:v>
                </c:pt>
                <c:pt idx="492">
                  <c:v>1973.91666665765</c:v>
                </c:pt>
                <c:pt idx="493">
                  <c:v>1973.8333333242899</c:v>
                </c:pt>
                <c:pt idx="494">
                  <c:v>1973.7499999909301</c:v>
                </c:pt>
                <c:pt idx="495">
                  <c:v>1973.66666665757</c:v>
                </c:pt>
                <c:pt idx="496">
                  <c:v>1973.5833333242099</c:v>
                </c:pt>
                <c:pt idx="497">
                  <c:v>1973.49999999085</c:v>
                </c:pt>
                <c:pt idx="498">
                  <c:v>1973.4166666574899</c:v>
                </c:pt>
                <c:pt idx="499">
                  <c:v>1973.3333333241301</c:v>
                </c:pt>
                <c:pt idx="500">
                  <c:v>1973.24999999077</c:v>
                </c:pt>
                <c:pt idx="501">
                  <c:v>1973.1666666574099</c:v>
                </c:pt>
                <c:pt idx="502">
                  <c:v>1973.08333332405</c:v>
                </c:pt>
                <c:pt idx="503">
                  <c:v>1972.99999999069</c:v>
                </c:pt>
                <c:pt idx="504">
                  <c:v>1972.9166666573401</c:v>
                </c:pt>
                <c:pt idx="505">
                  <c:v>1972.83333332398</c:v>
                </c:pt>
                <c:pt idx="506">
                  <c:v>1972.7499999906199</c:v>
                </c:pt>
                <c:pt idx="507">
                  <c:v>1972.6666666572601</c:v>
                </c:pt>
                <c:pt idx="508">
                  <c:v>1972.5833333239</c:v>
                </c:pt>
                <c:pt idx="509">
                  <c:v>1972.4999999905399</c:v>
                </c:pt>
                <c:pt idx="510">
                  <c:v>1972.41666665718</c:v>
                </c:pt>
                <c:pt idx="511">
                  <c:v>1972.3333333238199</c:v>
                </c:pt>
                <c:pt idx="512">
                  <c:v>1972.2499999904601</c:v>
                </c:pt>
                <c:pt idx="513">
                  <c:v>1972.1666666571</c:v>
                </c:pt>
                <c:pt idx="514">
                  <c:v>1972.0833333237399</c:v>
                </c:pt>
                <c:pt idx="515">
                  <c:v>1971.99999999038</c:v>
                </c:pt>
              </c:numCache>
            </c:numRef>
          </c:xVal>
          <c:yVal>
            <c:numRef>
              <c:f>[1]Transporte!$O$5:$O$520</c:f>
              <c:numCache>
                <c:formatCode>General</c:formatCode>
                <c:ptCount val="516"/>
                <c:pt idx="0">
                  <c:v>13733</c:v>
                </c:pt>
                <c:pt idx="1">
                  <c:v>12934</c:v>
                </c:pt>
                <c:pt idx="2">
                  <c:v>10429</c:v>
                </c:pt>
                <c:pt idx="3">
                  <c:v>6985</c:v>
                </c:pt>
                <c:pt idx="4">
                  <c:v>4832</c:v>
                </c:pt>
                <c:pt idx="5">
                  <c:v>5803</c:v>
                </c:pt>
                <c:pt idx="6">
                  <c:v>9247</c:v>
                </c:pt>
                <c:pt idx="7">
                  <c:v>9219</c:v>
                </c:pt>
                <c:pt idx="8">
                  <c:v>4464</c:v>
                </c:pt>
                <c:pt idx="9">
                  <c:v>5428</c:v>
                </c:pt>
                <c:pt idx="10">
                  <c:v>3702</c:v>
                </c:pt>
                <c:pt idx="11">
                  <c:v>7869</c:v>
                </c:pt>
                <c:pt idx="24">
                  <c:v>10054</c:v>
                </c:pt>
                <c:pt idx="25">
                  <c:v>11863</c:v>
                </c:pt>
                <c:pt idx="26">
                  <c:v>9083</c:v>
                </c:pt>
                <c:pt idx="27">
                  <c:v>8957</c:v>
                </c:pt>
                <c:pt idx="28">
                  <c:v>8613</c:v>
                </c:pt>
                <c:pt idx="29">
                  <c:v>9084</c:v>
                </c:pt>
                <c:pt idx="30">
                  <c:v>14584</c:v>
                </c:pt>
                <c:pt idx="31">
                  <c:v>16730</c:v>
                </c:pt>
                <c:pt idx="32">
                  <c:v>9180</c:v>
                </c:pt>
                <c:pt idx="33">
                  <c:v>5412</c:v>
                </c:pt>
                <c:pt idx="34">
                  <c:v>9640</c:v>
                </c:pt>
                <c:pt idx="35">
                  <c:v>21327</c:v>
                </c:pt>
                <c:pt idx="36">
                  <c:v>32570</c:v>
                </c:pt>
                <c:pt idx="37">
                  <c:v>23485</c:v>
                </c:pt>
                <c:pt idx="38">
                  <c:v>17415</c:v>
                </c:pt>
                <c:pt idx="39">
                  <c:v>15310</c:v>
                </c:pt>
                <c:pt idx="40">
                  <c:v>19387</c:v>
                </c:pt>
                <c:pt idx="41">
                  <c:v>23579</c:v>
                </c:pt>
                <c:pt idx="42">
                  <c:v>29180</c:v>
                </c:pt>
                <c:pt idx="43">
                  <c:v>26750</c:v>
                </c:pt>
                <c:pt idx="44">
                  <c:v>13049</c:v>
                </c:pt>
                <c:pt idx="45">
                  <c:v>9190</c:v>
                </c:pt>
                <c:pt idx="46">
                  <c:v>8644</c:v>
                </c:pt>
                <c:pt idx="47">
                  <c:v>24530</c:v>
                </c:pt>
                <c:pt idx="48">
                  <c:v>34857</c:v>
                </c:pt>
                <c:pt idx="49">
                  <c:v>32856</c:v>
                </c:pt>
                <c:pt idx="50">
                  <c:v>33804</c:v>
                </c:pt>
                <c:pt idx="51">
                  <c:v>29191</c:v>
                </c:pt>
                <c:pt idx="52">
                  <c:v>29793</c:v>
                </c:pt>
                <c:pt idx="53">
                  <c:v>22569</c:v>
                </c:pt>
                <c:pt idx="54">
                  <c:v>15899</c:v>
                </c:pt>
                <c:pt idx="55">
                  <c:v>10630</c:v>
                </c:pt>
                <c:pt idx="56">
                  <c:v>5225</c:v>
                </c:pt>
                <c:pt idx="57">
                  <c:v>3231</c:v>
                </c:pt>
                <c:pt idx="58">
                  <c:v>2047</c:v>
                </c:pt>
                <c:pt idx="59">
                  <c:v>3620</c:v>
                </c:pt>
                <c:pt idx="60">
                  <c:v>7124</c:v>
                </c:pt>
                <c:pt idx="61">
                  <c:v>10275</c:v>
                </c:pt>
                <c:pt idx="62">
                  <c:v>6802</c:v>
                </c:pt>
                <c:pt idx="63">
                  <c:v>8097</c:v>
                </c:pt>
                <c:pt idx="64">
                  <c:v>8274</c:v>
                </c:pt>
                <c:pt idx="65">
                  <c:v>11240</c:v>
                </c:pt>
                <c:pt idx="66">
                  <c:v>11709</c:v>
                </c:pt>
                <c:pt idx="67">
                  <c:v>12244</c:v>
                </c:pt>
                <c:pt idx="68">
                  <c:v>9875</c:v>
                </c:pt>
                <c:pt idx="69">
                  <c:v>7483</c:v>
                </c:pt>
                <c:pt idx="70">
                  <c:v>8904</c:v>
                </c:pt>
                <c:pt idx="71">
                  <c:v>18391</c:v>
                </c:pt>
                <c:pt idx="72">
                  <c:v>30406</c:v>
                </c:pt>
                <c:pt idx="73">
                  <c:v>26105</c:v>
                </c:pt>
                <c:pt idx="74">
                  <c:v>23173</c:v>
                </c:pt>
                <c:pt idx="75">
                  <c:v>22667</c:v>
                </c:pt>
                <c:pt idx="76">
                  <c:v>22880</c:v>
                </c:pt>
                <c:pt idx="77">
                  <c:v>21718</c:v>
                </c:pt>
                <c:pt idx="78">
                  <c:v>16964</c:v>
                </c:pt>
                <c:pt idx="79">
                  <c:v>11940</c:v>
                </c:pt>
                <c:pt idx="80">
                  <c:v>7302</c:v>
                </c:pt>
                <c:pt idx="81">
                  <c:v>7041</c:v>
                </c:pt>
                <c:pt idx="82">
                  <c:v>6649</c:v>
                </c:pt>
                <c:pt idx="83">
                  <c:v>14942</c:v>
                </c:pt>
                <c:pt idx="84">
                  <c:v>24612</c:v>
                </c:pt>
                <c:pt idx="85">
                  <c:v>25594</c:v>
                </c:pt>
                <c:pt idx="86">
                  <c:v>18750</c:v>
                </c:pt>
                <c:pt idx="87">
                  <c:v>18077</c:v>
                </c:pt>
                <c:pt idx="88">
                  <c:v>15776</c:v>
                </c:pt>
                <c:pt idx="89">
                  <c:v>20584</c:v>
                </c:pt>
                <c:pt idx="90">
                  <c:v>20340</c:v>
                </c:pt>
                <c:pt idx="91">
                  <c:v>13691</c:v>
                </c:pt>
                <c:pt idx="92">
                  <c:v>7312</c:v>
                </c:pt>
                <c:pt idx="93">
                  <c:v>2809</c:v>
                </c:pt>
                <c:pt idx="94">
                  <c:v>3732</c:v>
                </c:pt>
                <c:pt idx="95">
                  <c:v>12575</c:v>
                </c:pt>
                <c:pt idx="96">
                  <c:v>19098</c:v>
                </c:pt>
                <c:pt idx="97">
                  <c:v>14827</c:v>
                </c:pt>
                <c:pt idx="98">
                  <c:v>10805</c:v>
                </c:pt>
                <c:pt idx="99">
                  <c:v>10109</c:v>
                </c:pt>
                <c:pt idx="100">
                  <c:v>10301</c:v>
                </c:pt>
                <c:pt idx="101">
                  <c:v>18071</c:v>
                </c:pt>
                <c:pt idx="102">
                  <c:v>19737</c:v>
                </c:pt>
                <c:pt idx="103">
                  <c:v>14451</c:v>
                </c:pt>
                <c:pt idx="104">
                  <c:v>8536</c:v>
                </c:pt>
                <c:pt idx="105">
                  <c:v>5064</c:v>
                </c:pt>
                <c:pt idx="106">
                  <c:v>6610</c:v>
                </c:pt>
                <c:pt idx="107">
                  <c:v>15637</c:v>
                </c:pt>
                <c:pt idx="110">
                  <c:v>11363</c:v>
                </c:pt>
                <c:pt idx="111">
                  <c:v>8571</c:v>
                </c:pt>
                <c:pt idx="112">
                  <c:v>9587</c:v>
                </c:pt>
                <c:pt idx="115">
                  <c:v>9492</c:v>
                </c:pt>
                <c:pt idx="116">
                  <c:v>5103</c:v>
                </c:pt>
                <c:pt idx="117">
                  <c:v>4210</c:v>
                </c:pt>
                <c:pt idx="118">
                  <c:v>4937</c:v>
                </c:pt>
                <c:pt idx="119">
                  <c:v>10582</c:v>
                </c:pt>
                <c:pt idx="120">
                  <c:v>20571</c:v>
                </c:pt>
                <c:pt idx="121">
                  <c:v>17435</c:v>
                </c:pt>
                <c:pt idx="122">
                  <c:v>12564</c:v>
                </c:pt>
                <c:pt idx="123">
                  <c:v>8509</c:v>
                </c:pt>
                <c:pt idx="124">
                  <c:v>8098</c:v>
                </c:pt>
                <c:pt idx="125">
                  <c:v>8598</c:v>
                </c:pt>
                <c:pt idx="126">
                  <c:v>10993</c:v>
                </c:pt>
                <c:pt idx="127">
                  <c:v>8244</c:v>
                </c:pt>
                <c:pt idx="128">
                  <c:v>3768</c:v>
                </c:pt>
                <c:pt idx="129">
                  <c:v>2799</c:v>
                </c:pt>
                <c:pt idx="130">
                  <c:v>3812</c:v>
                </c:pt>
                <c:pt idx="131">
                  <c:v>13563</c:v>
                </c:pt>
                <c:pt idx="132">
                  <c:v>20657</c:v>
                </c:pt>
                <c:pt idx="133">
                  <c:v>17053</c:v>
                </c:pt>
                <c:pt idx="134">
                  <c:v>12280</c:v>
                </c:pt>
                <c:pt idx="135">
                  <c:v>8210</c:v>
                </c:pt>
                <c:pt idx="136">
                  <c:v>10123</c:v>
                </c:pt>
                <c:pt idx="137">
                  <c:v>11497</c:v>
                </c:pt>
                <c:pt idx="138">
                  <c:v>10185</c:v>
                </c:pt>
                <c:pt idx="139">
                  <c:v>8114</c:v>
                </c:pt>
                <c:pt idx="140">
                  <c:v>4128</c:v>
                </c:pt>
                <c:pt idx="141">
                  <c:v>2472</c:v>
                </c:pt>
                <c:pt idx="142">
                  <c:v>1859</c:v>
                </c:pt>
                <c:pt idx="143">
                  <c:v>3783</c:v>
                </c:pt>
                <c:pt idx="144">
                  <c:v>8688</c:v>
                </c:pt>
                <c:pt idx="145">
                  <c:v>10968</c:v>
                </c:pt>
                <c:pt idx="146">
                  <c:v>6424</c:v>
                </c:pt>
                <c:pt idx="147">
                  <c:v>5310</c:v>
                </c:pt>
                <c:pt idx="148">
                  <c:v>5245</c:v>
                </c:pt>
                <c:pt idx="149">
                  <c:v>9728</c:v>
                </c:pt>
                <c:pt idx="150">
                  <c:v>11108</c:v>
                </c:pt>
                <c:pt idx="151">
                  <c:v>8108</c:v>
                </c:pt>
                <c:pt idx="152">
                  <c:v>5226</c:v>
                </c:pt>
                <c:pt idx="153">
                  <c:v>2779</c:v>
                </c:pt>
                <c:pt idx="154">
                  <c:v>3086</c:v>
                </c:pt>
                <c:pt idx="155">
                  <c:v>9792</c:v>
                </c:pt>
                <c:pt idx="156">
                  <c:v>13872</c:v>
                </c:pt>
                <c:pt idx="157">
                  <c:v>11591</c:v>
                </c:pt>
                <c:pt idx="158">
                  <c:v>8679</c:v>
                </c:pt>
                <c:pt idx="159">
                  <c:v>5349</c:v>
                </c:pt>
                <c:pt idx="160">
                  <c:v>5003</c:v>
                </c:pt>
                <c:pt idx="161">
                  <c:v>6038</c:v>
                </c:pt>
                <c:pt idx="162">
                  <c:v>7683</c:v>
                </c:pt>
                <c:pt idx="163">
                  <c:v>5479</c:v>
                </c:pt>
                <c:pt idx="164">
                  <c:v>3952</c:v>
                </c:pt>
                <c:pt idx="165">
                  <c:v>3362</c:v>
                </c:pt>
                <c:pt idx="166">
                  <c:v>2594</c:v>
                </c:pt>
                <c:pt idx="167">
                  <c:v>6781</c:v>
                </c:pt>
                <c:pt idx="168">
                  <c:v>15503</c:v>
                </c:pt>
                <c:pt idx="169">
                  <c:v>18466</c:v>
                </c:pt>
                <c:pt idx="170">
                  <c:v>18190</c:v>
                </c:pt>
                <c:pt idx="171">
                  <c:v>13526</c:v>
                </c:pt>
                <c:pt idx="172">
                  <c:v>13949</c:v>
                </c:pt>
                <c:pt idx="173">
                  <c:v>16465</c:v>
                </c:pt>
                <c:pt idx="174">
                  <c:v>14474</c:v>
                </c:pt>
                <c:pt idx="175">
                  <c:v>10167</c:v>
                </c:pt>
                <c:pt idx="176">
                  <c:v>7215</c:v>
                </c:pt>
                <c:pt idx="177">
                  <c:v>8152</c:v>
                </c:pt>
                <c:pt idx="178">
                  <c:v>7908</c:v>
                </c:pt>
                <c:pt idx="179">
                  <c:v>19861</c:v>
                </c:pt>
                <c:pt idx="192">
                  <c:v>31579</c:v>
                </c:pt>
                <c:pt idx="193">
                  <c:v>25031</c:v>
                </c:pt>
                <c:pt idx="194">
                  <c:v>22450</c:v>
                </c:pt>
                <c:pt idx="195">
                  <c:v>17885</c:v>
                </c:pt>
                <c:pt idx="196">
                  <c:v>17338</c:v>
                </c:pt>
                <c:pt idx="197">
                  <c:v>19257</c:v>
                </c:pt>
                <c:pt idx="198">
                  <c:v>15554</c:v>
                </c:pt>
                <c:pt idx="199">
                  <c:v>11028</c:v>
                </c:pt>
                <c:pt idx="200">
                  <c:v>4329</c:v>
                </c:pt>
                <c:pt idx="201">
                  <c:v>1626</c:v>
                </c:pt>
                <c:pt idx="202">
                  <c:v>1747</c:v>
                </c:pt>
                <c:pt idx="203">
                  <c:v>1750</c:v>
                </c:pt>
                <c:pt idx="204">
                  <c:v>6312</c:v>
                </c:pt>
                <c:pt idx="205">
                  <c:v>8111</c:v>
                </c:pt>
                <c:pt idx="206">
                  <c:v>6523</c:v>
                </c:pt>
                <c:pt idx="207">
                  <c:v>3348</c:v>
                </c:pt>
                <c:pt idx="208">
                  <c:v>3550</c:v>
                </c:pt>
                <c:pt idx="209">
                  <c:v>6650</c:v>
                </c:pt>
                <c:pt idx="210">
                  <c:v>7390</c:v>
                </c:pt>
                <c:pt idx="211">
                  <c:v>5373</c:v>
                </c:pt>
                <c:pt idx="212">
                  <c:v>3443</c:v>
                </c:pt>
                <c:pt idx="213">
                  <c:v>3501</c:v>
                </c:pt>
                <c:pt idx="214">
                  <c:v>5632</c:v>
                </c:pt>
                <c:pt idx="215">
                  <c:v>8426</c:v>
                </c:pt>
                <c:pt idx="216">
                  <c:v>22990</c:v>
                </c:pt>
                <c:pt idx="217">
                  <c:v>27769</c:v>
                </c:pt>
                <c:pt idx="218">
                  <c:v>25414</c:v>
                </c:pt>
                <c:pt idx="219">
                  <c:v>26320</c:v>
                </c:pt>
                <c:pt idx="220">
                  <c:v>32200</c:v>
                </c:pt>
                <c:pt idx="221">
                  <c:v>31709</c:v>
                </c:pt>
                <c:pt idx="222">
                  <c:v>21393</c:v>
                </c:pt>
                <c:pt idx="223">
                  <c:v>13290</c:v>
                </c:pt>
                <c:pt idx="224">
                  <c:v>10949</c:v>
                </c:pt>
                <c:pt idx="225">
                  <c:v>9054</c:v>
                </c:pt>
                <c:pt idx="226">
                  <c:v>5953</c:v>
                </c:pt>
                <c:pt idx="227">
                  <c:v>12245</c:v>
                </c:pt>
                <c:pt idx="228">
                  <c:v>22700</c:v>
                </c:pt>
                <c:pt idx="229">
                  <c:v>12625</c:v>
                </c:pt>
                <c:pt idx="230">
                  <c:v>21754</c:v>
                </c:pt>
                <c:pt idx="231">
                  <c:v>22612</c:v>
                </c:pt>
                <c:pt idx="232">
                  <c:v>20332</c:v>
                </c:pt>
                <c:pt idx="233">
                  <c:v>15478</c:v>
                </c:pt>
                <c:pt idx="234">
                  <c:v>13104</c:v>
                </c:pt>
                <c:pt idx="235">
                  <c:v>8745</c:v>
                </c:pt>
                <c:pt idx="236">
                  <c:v>3423</c:v>
                </c:pt>
                <c:pt idx="237">
                  <c:v>1767</c:v>
                </c:pt>
                <c:pt idx="238">
                  <c:v>1497</c:v>
                </c:pt>
                <c:pt idx="239">
                  <c:v>7567</c:v>
                </c:pt>
                <c:pt idx="240">
                  <c:v>25821</c:v>
                </c:pt>
                <c:pt idx="241">
                  <c:v>22969</c:v>
                </c:pt>
                <c:pt idx="242">
                  <c:v>16391</c:v>
                </c:pt>
                <c:pt idx="243">
                  <c:v>10837</c:v>
                </c:pt>
                <c:pt idx="244">
                  <c:v>12208</c:v>
                </c:pt>
                <c:pt idx="245">
                  <c:v>18320</c:v>
                </c:pt>
                <c:pt idx="246">
                  <c:v>20773</c:v>
                </c:pt>
                <c:pt idx="247">
                  <c:v>16971</c:v>
                </c:pt>
                <c:pt idx="248">
                  <c:v>10474</c:v>
                </c:pt>
                <c:pt idx="249">
                  <c:v>6830</c:v>
                </c:pt>
                <c:pt idx="250">
                  <c:v>6237</c:v>
                </c:pt>
                <c:pt idx="251">
                  <c:v>17094</c:v>
                </c:pt>
                <c:pt idx="252">
                  <c:v>26148</c:v>
                </c:pt>
                <c:pt idx="253">
                  <c:v>20331</c:v>
                </c:pt>
                <c:pt idx="254">
                  <c:v>17756</c:v>
                </c:pt>
                <c:pt idx="255">
                  <c:v>13251</c:v>
                </c:pt>
                <c:pt idx="256">
                  <c:v>10202</c:v>
                </c:pt>
                <c:pt idx="257">
                  <c:v>15703</c:v>
                </c:pt>
                <c:pt idx="258">
                  <c:v>18468</c:v>
                </c:pt>
                <c:pt idx="259">
                  <c:v>14387</c:v>
                </c:pt>
                <c:pt idx="260">
                  <c:v>6970</c:v>
                </c:pt>
                <c:pt idx="261">
                  <c:v>3348</c:v>
                </c:pt>
                <c:pt idx="262">
                  <c:v>3469</c:v>
                </c:pt>
                <c:pt idx="263">
                  <c:v>6770</c:v>
                </c:pt>
                <c:pt idx="264">
                  <c:v>13090</c:v>
                </c:pt>
                <c:pt idx="265">
                  <c:v>11977</c:v>
                </c:pt>
                <c:pt idx="266">
                  <c:v>12356</c:v>
                </c:pt>
                <c:pt idx="267">
                  <c:v>9242</c:v>
                </c:pt>
                <c:pt idx="268">
                  <c:v>8444</c:v>
                </c:pt>
                <c:pt idx="269">
                  <c:v>6194</c:v>
                </c:pt>
                <c:pt idx="270">
                  <c:v>7588</c:v>
                </c:pt>
                <c:pt idx="271">
                  <c:v>5545</c:v>
                </c:pt>
                <c:pt idx="272">
                  <c:v>2027</c:v>
                </c:pt>
                <c:pt idx="273">
                  <c:v>2122</c:v>
                </c:pt>
                <c:pt idx="274">
                  <c:v>2247</c:v>
                </c:pt>
                <c:pt idx="275">
                  <c:v>5564</c:v>
                </c:pt>
                <c:pt idx="276">
                  <c:v>18596</c:v>
                </c:pt>
                <c:pt idx="277">
                  <c:v>17123</c:v>
                </c:pt>
                <c:pt idx="278">
                  <c:v>15690</c:v>
                </c:pt>
                <c:pt idx="279">
                  <c:v>7373</c:v>
                </c:pt>
                <c:pt idx="280">
                  <c:v>10448</c:v>
                </c:pt>
                <c:pt idx="281">
                  <c:v>11781</c:v>
                </c:pt>
                <c:pt idx="282">
                  <c:v>12770</c:v>
                </c:pt>
                <c:pt idx="283">
                  <c:v>10803</c:v>
                </c:pt>
                <c:pt idx="284">
                  <c:v>5907</c:v>
                </c:pt>
                <c:pt idx="285">
                  <c:v>4498</c:v>
                </c:pt>
                <c:pt idx="286">
                  <c:v>3168</c:v>
                </c:pt>
                <c:pt idx="287">
                  <c:v>13451</c:v>
                </c:pt>
                <c:pt idx="288">
                  <c:v>27156</c:v>
                </c:pt>
                <c:pt idx="289">
                  <c:v>24705</c:v>
                </c:pt>
                <c:pt idx="290">
                  <c:v>16755</c:v>
                </c:pt>
                <c:pt idx="291">
                  <c:v>10931</c:v>
                </c:pt>
                <c:pt idx="292">
                  <c:v>10393</c:v>
                </c:pt>
                <c:pt idx="293">
                  <c:v>13023</c:v>
                </c:pt>
                <c:pt idx="294">
                  <c:v>14917</c:v>
                </c:pt>
                <c:pt idx="295">
                  <c:v>14255</c:v>
                </c:pt>
                <c:pt idx="296">
                  <c:v>6965</c:v>
                </c:pt>
                <c:pt idx="297">
                  <c:v>5647</c:v>
                </c:pt>
                <c:pt idx="298">
                  <c:v>5953</c:v>
                </c:pt>
                <c:pt idx="299">
                  <c:v>11692</c:v>
                </c:pt>
                <c:pt idx="300">
                  <c:v>30546</c:v>
                </c:pt>
                <c:pt idx="301">
                  <c:v>37097</c:v>
                </c:pt>
                <c:pt idx="302">
                  <c:v>29276</c:v>
                </c:pt>
                <c:pt idx="303">
                  <c:v>17615</c:v>
                </c:pt>
                <c:pt idx="304">
                  <c:v>12404</c:v>
                </c:pt>
                <c:pt idx="305">
                  <c:v>13639</c:v>
                </c:pt>
                <c:pt idx="306">
                  <c:v>14416</c:v>
                </c:pt>
                <c:pt idx="307">
                  <c:v>10998</c:v>
                </c:pt>
                <c:pt idx="308">
                  <c:v>8708</c:v>
                </c:pt>
                <c:pt idx="309">
                  <c:v>9785</c:v>
                </c:pt>
                <c:pt idx="310">
                  <c:v>12516</c:v>
                </c:pt>
                <c:pt idx="311">
                  <c:v>35773</c:v>
                </c:pt>
                <c:pt idx="312">
                  <c:v>48474</c:v>
                </c:pt>
                <c:pt idx="313">
                  <c:v>44340</c:v>
                </c:pt>
                <c:pt idx="314">
                  <c:v>43958</c:v>
                </c:pt>
                <c:pt idx="315">
                  <c:v>33975</c:v>
                </c:pt>
                <c:pt idx="316">
                  <c:v>24646</c:v>
                </c:pt>
                <c:pt idx="317">
                  <c:v>19620</c:v>
                </c:pt>
                <c:pt idx="318">
                  <c:v>10445</c:v>
                </c:pt>
                <c:pt idx="319">
                  <c:v>8554</c:v>
                </c:pt>
                <c:pt idx="320">
                  <c:v>5584</c:v>
                </c:pt>
                <c:pt idx="321">
                  <c:v>4462</c:v>
                </c:pt>
                <c:pt idx="322">
                  <c:v>4680</c:v>
                </c:pt>
                <c:pt idx="323">
                  <c:v>11614</c:v>
                </c:pt>
                <c:pt idx="324">
                  <c:v>32778</c:v>
                </c:pt>
                <c:pt idx="325">
                  <c:v>31425</c:v>
                </c:pt>
                <c:pt idx="326">
                  <c:v>21013</c:v>
                </c:pt>
                <c:pt idx="327">
                  <c:v>14837</c:v>
                </c:pt>
                <c:pt idx="328">
                  <c:v>15014</c:v>
                </c:pt>
                <c:pt idx="329">
                  <c:v>9210</c:v>
                </c:pt>
                <c:pt idx="330">
                  <c:v>12357</c:v>
                </c:pt>
                <c:pt idx="331">
                  <c:v>9941</c:v>
                </c:pt>
                <c:pt idx="332">
                  <c:v>4980</c:v>
                </c:pt>
                <c:pt idx="333">
                  <c:v>4374</c:v>
                </c:pt>
                <c:pt idx="334">
                  <c:v>4163</c:v>
                </c:pt>
                <c:pt idx="335">
                  <c:v>6813</c:v>
                </c:pt>
                <c:pt idx="336">
                  <c:v>22384</c:v>
                </c:pt>
                <c:pt idx="337">
                  <c:v>26260</c:v>
                </c:pt>
                <c:pt idx="338">
                  <c:v>17170</c:v>
                </c:pt>
                <c:pt idx="339">
                  <c:v>8871</c:v>
                </c:pt>
                <c:pt idx="340">
                  <c:v>9243</c:v>
                </c:pt>
                <c:pt idx="341">
                  <c:v>18280</c:v>
                </c:pt>
                <c:pt idx="342">
                  <c:v>19769</c:v>
                </c:pt>
                <c:pt idx="343">
                  <c:v>16694</c:v>
                </c:pt>
                <c:pt idx="344">
                  <c:v>10111</c:v>
                </c:pt>
                <c:pt idx="345">
                  <c:v>7676</c:v>
                </c:pt>
                <c:pt idx="346">
                  <c:v>5635</c:v>
                </c:pt>
                <c:pt idx="347">
                  <c:v>10411</c:v>
                </c:pt>
                <c:pt idx="348">
                  <c:v>14668</c:v>
                </c:pt>
                <c:pt idx="349">
                  <c:v>14495</c:v>
                </c:pt>
                <c:pt idx="350">
                  <c:v>13231</c:v>
                </c:pt>
                <c:pt idx="351">
                  <c:v>10361</c:v>
                </c:pt>
                <c:pt idx="352">
                  <c:v>7406</c:v>
                </c:pt>
                <c:pt idx="353">
                  <c:v>5177</c:v>
                </c:pt>
                <c:pt idx="354">
                  <c:v>7408</c:v>
                </c:pt>
                <c:pt idx="355">
                  <c:v>6468</c:v>
                </c:pt>
                <c:pt idx="356">
                  <c:v>3908</c:v>
                </c:pt>
                <c:pt idx="357">
                  <c:v>2685</c:v>
                </c:pt>
                <c:pt idx="358">
                  <c:v>3595</c:v>
                </c:pt>
                <c:pt idx="359">
                  <c:v>11085</c:v>
                </c:pt>
                <c:pt idx="360">
                  <c:v>20986</c:v>
                </c:pt>
                <c:pt idx="361">
                  <c:v>20887</c:v>
                </c:pt>
                <c:pt idx="362">
                  <c:v>18103</c:v>
                </c:pt>
                <c:pt idx="363">
                  <c:v>14932</c:v>
                </c:pt>
                <c:pt idx="364">
                  <c:v>16099</c:v>
                </c:pt>
                <c:pt idx="365">
                  <c:v>16075</c:v>
                </c:pt>
                <c:pt idx="366">
                  <c:v>12971</c:v>
                </c:pt>
                <c:pt idx="367">
                  <c:v>8713</c:v>
                </c:pt>
                <c:pt idx="368">
                  <c:v>4827</c:v>
                </c:pt>
                <c:pt idx="369">
                  <c:v>5673</c:v>
                </c:pt>
                <c:pt idx="370">
                  <c:v>6436</c:v>
                </c:pt>
                <c:pt idx="371">
                  <c:v>9188</c:v>
                </c:pt>
                <c:pt idx="372">
                  <c:v>10014</c:v>
                </c:pt>
                <c:pt idx="373">
                  <c:v>10670</c:v>
                </c:pt>
                <c:pt idx="374">
                  <c:v>9521</c:v>
                </c:pt>
                <c:pt idx="375">
                  <c:v>7864</c:v>
                </c:pt>
                <c:pt idx="376">
                  <c:v>6987</c:v>
                </c:pt>
                <c:pt idx="377">
                  <c:v>7930</c:v>
                </c:pt>
                <c:pt idx="378">
                  <c:v>11051</c:v>
                </c:pt>
                <c:pt idx="379">
                  <c:v>9694</c:v>
                </c:pt>
                <c:pt idx="380">
                  <c:v>4736</c:v>
                </c:pt>
                <c:pt idx="381">
                  <c:v>2325</c:v>
                </c:pt>
                <c:pt idx="382">
                  <c:v>1854</c:v>
                </c:pt>
                <c:pt idx="383">
                  <c:v>4809</c:v>
                </c:pt>
                <c:pt idx="384">
                  <c:v>10222</c:v>
                </c:pt>
                <c:pt idx="385">
                  <c:v>13438</c:v>
                </c:pt>
                <c:pt idx="386">
                  <c:v>10474</c:v>
                </c:pt>
                <c:pt idx="387">
                  <c:v>7095</c:v>
                </c:pt>
                <c:pt idx="388">
                  <c:v>8919</c:v>
                </c:pt>
                <c:pt idx="389">
                  <c:v>14304</c:v>
                </c:pt>
                <c:pt idx="390">
                  <c:v>17063</c:v>
                </c:pt>
                <c:pt idx="391">
                  <c:v>13127</c:v>
                </c:pt>
                <c:pt idx="392">
                  <c:v>7727</c:v>
                </c:pt>
                <c:pt idx="393">
                  <c:v>5829</c:v>
                </c:pt>
                <c:pt idx="394">
                  <c:v>6299</c:v>
                </c:pt>
                <c:pt idx="395">
                  <c:v>11683</c:v>
                </c:pt>
                <c:pt idx="396">
                  <c:v>18756</c:v>
                </c:pt>
                <c:pt idx="397">
                  <c:v>17187</c:v>
                </c:pt>
                <c:pt idx="398">
                  <c:v>15022</c:v>
                </c:pt>
                <c:pt idx="399">
                  <c:v>15424</c:v>
                </c:pt>
                <c:pt idx="400">
                  <c:v>17108</c:v>
                </c:pt>
                <c:pt idx="401">
                  <c:v>23566</c:v>
                </c:pt>
                <c:pt idx="402">
                  <c:v>22747</c:v>
                </c:pt>
                <c:pt idx="403">
                  <c:v>14518</c:v>
                </c:pt>
                <c:pt idx="404">
                  <c:v>5555</c:v>
                </c:pt>
                <c:pt idx="405">
                  <c:v>5562</c:v>
                </c:pt>
                <c:pt idx="406">
                  <c:v>3408</c:v>
                </c:pt>
                <c:pt idx="407">
                  <c:v>8646</c:v>
                </c:pt>
                <c:pt idx="408">
                  <c:v>12460</c:v>
                </c:pt>
                <c:pt idx="409">
                  <c:v>12703</c:v>
                </c:pt>
                <c:pt idx="410">
                  <c:v>11058</c:v>
                </c:pt>
                <c:pt idx="411">
                  <c:v>7279</c:v>
                </c:pt>
                <c:pt idx="412">
                  <c:v>7734</c:v>
                </c:pt>
                <c:pt idx="413">
                  <c:v>7106</c:v>
                </c:pt>
                <c:pt idx="414">
                  <c:v>8147</c:v>
                </c:pt>
                <c:pt idx="415">
                  <c:v>5833</c:v>
                </c:pt>
                <c:pt idx="416">
                  <c:v>3056</c:v>
                </c:pt>
                <c:pt idx="417">
                  <c:v>2900</c:v>
                </c:pt>
                <c:pt idx="418">
                  <c:v>4741</c:v>
                </c:pt>
                <c:pt idx="419">
                  <c:v>10166</c:v>
                </c:pt>
                <c:pt idx="420">
                  <c:v>20599</c:v>
                </c:pt>
                <c:pt idx="421">
                  <c:v>16581</c:v>
                </c:pt>
                <c:pt idx="422">
                  <c:v>13337</c:v>
                </c:pt>
                <c:pt idx="423">
                  <c:v>11027</c:v>
                </c:pt>
                <c:pt idx="424">
                  <c:v>8957</c:v>
                </c:pt>
                <c:pt idx="425">
                  <c:v>12617</c:v>
                </c:pt>
                <c:pt idx="426">
                  <c:v>12284</c:v>
                </c:pt>
                <c:pt idx="427">
                  <c:v>9025</c:v>
                </c:pt>
                <c:pt idx="428">
                  <c:v>4315</c:v>
                </c:pt>
                <c:pt idx="429">
                  <c:v>3143</c:v>
                </c:pt>
                <c:pt idx="430">
                  <c:v>2232</c:v>
                </c:pt>
                <c:pt idx="431">
                  <c:v>6510</c:v>
                </c:pt>
                <c:pt idx="432">
                  <c:v>13372</c:v>
                </c:pt>
                <c:pt idx="433">
                  <c:v>13692</c:v>
                </c:pt>
                <c:pt idx="434">
                  <c:v>10883</c:v>
                </c:pt>
                <c:pt idx="435">
                  <c:v>7999</c:v>
                </c:pt>
                <c:pt idx="436">
                  <c:v>9114</c:v>
                </c:pt>
                <c:pt idx="437">
                  <c:v>12430</c:v>
                </c:pt>
                <c:pt idx="438">
                  <c:v>12694</c:v>
                </c:pt>
                <c:pt idx="439">
                  <c:v>11764</c:v>
                </c:pt>
                <c:pt idx="440">
                  <c:v>6983</c:v>
                </c:pt>
                <c:pt idx="441">
                  <c:v>2316</c:v>
                </c:pt>
                <c:pt idx="442">
                  <c:v>2178</c:v>
                </c:pt>
                <c:pt idx="443">
                  <c:v>5931</c:v>
                </c:pt>
                <c:pt idx="444">
                  <c:v>15051</c:v>
                </c:pt>
                <c:pt idx="445">
                  <c:v>15399</c:v>
                </c:pt>
                <c:pt idx="446">
                  <c:v>11594</c:v>
                </c:pt>
                <c:pt idx="447">
                  <c:v>6601</c:v>
                </c:pt>
                <c:pt idx="448">
                  <c:v>7969</c:v>
                </c:pt>
                <c:pt idx="449">
                  <c:v>7805</c:v>
                </c:pt>
                <c:pt idx="450">
                  <c:v>8395</c:v>
                </c:pt>
                <c:pt idx="451">
                  <c:v>5257</c:v>
                </c:pt>
                <c:pt idx="452">
                  <c:v>2541</c:v>
                </c:pt>
                <c:pt idx="453">
                  <c:v>1452</c:v>
                </c:pt>
                <c:pt idx="454">
                  <c:v>1471</c:v>
                </c:pt>
                <c:pt idx="455">
                  <c:v>2908</c:v>
                </c:pt>
                <c:pt idx="456">
                  <c:v>9052</c:v>
                </c:pt>
                <c:pt idx="457">
                  <c:v>12712</c:v>
                </c:pt>
                <c:pt idx="458">
                  <c:v>9534</c:v>
                </c:pt>
                <c:pt idx="459">
                  <c:v>4779</c:v>
                </c:pt>
                <c:pt idx="460">
                  <c:v>6593</c:v>
                </c:pt>
                <c:pt idx="461">
                  <c:v>9901</c:v>
                </c:pt>
                <c:pt idx="462">
                  <c:v>11249</c:v>
                </c:pt>
                <c:pt idx="463">
                  <c:v>10810</c:v>
                </c:pt>
                <c:pt idx="464">
                  <c:v>7028</c:v>
                </c:pt>
                <c:pt idx="465">
                  <c:v>6282</c:v>
                </c:pt>
                <c:pt idx="466">
                  <c:v>6925</c:v>
                </c:pt>
                <c:pt idx="467">
                  <c:v>16268</c:v>
                </c:pt>
                <c:pt idx="468">
                  <c:v>28250</c:v>
                </c:pt>
                <c:pt idx="469">
                  <c:v>27350</c:v>
                </c:pt>
                <c:pt idx="470">
                  <c:v>21437</c:v>
                </c:pt>
                <c:pt idx="471">
                  <c:v>16201</c:v>
                </c:pt>
                <c:pt idx="472">
                  <c:v>13448</c:v>
                </c:pt>
                <c:pt idx="473">
                  <c:v>12456</c:v>
                </c:pt>
                <c:pt idx="474">
                  <c:v>10248</c:v>
                </c:pt>
                <c:pt idx="475">
                  <c:v>7720</c:v>
                </c:pt>
                <c:pt idx="476">
                  <c:v>4285</c:v>
                </c:pt>
                <c:pt idx="477">
                  <c:v>5439</c:v>
                </c:pt>
                <c:pt idx="478">
                  <c:v>3510</c:v>
                </c:pt>
                <c:pt idx="479">
                  <c:v>9313</c:v>
                </c:pt>
                <c:pt idx="480">
                  <c:v>25114</c:v>
                </c:pt>
                <c:pt idx="481">
                  <c:v>25046</c:v>
                </c:pt>
                <c:pt idx="482">
                  <c:v>16554</c:v>
                </c:pt>
                <c:pt idx="483">
                  <c:v>9388</c:v>
                </c:pt>
                <c:pt idx="484">
                  <c:v>9134</c:v>
                </c:pt>
                <c:pt idx="485">
                  <c:v>9567</c:v>
                </c:pt>
                <c:pt idx="486">
                  <c:v>10574</c:v>
                </c:pt>
                <c:pt idx="487">
                  <c:v>10353</c:v>
                </c:pt>
                <c:pt idx="488">
                  <c:v>7395</c:v>
                </c:pt>
                <c:pt idx="489">
                  <c:v>8075</c:v>
                </c:pt>
                <c:pt idx="490">
                  <c:v>8708</c:v>
                </c:pt>
                <c:pt idx="491">
                  <c:v>16332</c:v>
                </c:pt>
                <c:pt idx="492">
                  <c:v>21496</c:v>
                </c:pt>
                <c:pt idx="493">
                  <c:v>20016</c:v>
                </c:pt>
                <c:pt idx="494">
                  <c:v>18298</c:v>
                </c:pt>
                <c:pt idx="495">
                  <c:v>12900</c:v>
                </c:pt>
                <c:pt idx="496">
                  <c:v>9879</c:v>
                </c:pt>
                <c:pt idx="497">
                  <c:v>8250</c:v>
                </c:pt>
                <c:pt idx="498">
                  <c:v>6141</c:v>
                </c:pt>
                <c:pt idx="499">
                  <c:v>4871</c:v>
                </c:pt>
                <c:pt idx="500">
                  <c:v>2567</c:v>
                </c:pt>
                <c:pt idx="501">
                  <c:v>1846</c:v>
                </c:pt>
                <c:pt idx="502">
                  <c:v>1802</c:v>
                </c:pt>
                <c:pt idx="503">
                  <c:v>4356</c:v>
                </c:pt>
                <c:pt idx="504">
                  <c:v>10156</c:v>
                </c:pt>
                <c:pt idx="505">
                  <c:v>10729</c:v>
                </c:pt>
                <c:pt idx="506">
                  <c:v>9184</c:v>
                </c:pt>
                <c:pt idx="507">
                  <c:v>8061</c:v>
                </c:pt>
                <c:pt idx="508">
                  <c:v>8281</c:v>
                </c:pt>
                <c:pt idx="509">
                  <c:v>14206</c:v>
                </c:pt>
                <c:pt idx="510">
                  <c:v>14463</c:v>
                </c:pt>
                <c:pt idx="511">
                  <c:v>10971</c:v>
                </c:pt>
                <c:pt idx="512">
                  <c:v>6112</c:v>
                </c:pt>
                <c:pt idx="513">
                  <c:v>4586</c:v>
                </c:pt>
                <c:pt idx="514">
                  <c:v>6683</c:v>
                </c:pt>
                <c:pt idx="515">
                  <c:v>9515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9A5-42C0-AD02-0EFE866A7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0695855"/>
        <c:axId val="1260684207"/>
      </c:scatterChart>
      <c:valAx>
        <c:axId val="1388373184"/>
        <c:scaling>
          <c:orientation val="minMax"/>
          <c:max val="2015"/>
          <c:min val="19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378624"/>
        <c:crosses val="autoZero"/>
        <c:crossBetween val="midCat"/>
      </c:valAx>
      <c:valAx>
        <c:axId val="138837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Sedimentos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373184"/>
        <c:crosses val="autoZero"/>
        <c:crossBetween val="midCat"/>
      </c:valAx>
      <c:valAx>
        <c:axId val="12606842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260695855"/>
        <c:crosses val="max"/>
        <c:crossBetween val="midCat"/>
      </c:valAx>
      <c:valAx>
        <c:axId val="12606958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60684207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49757633420822395"/>
                  <c:y val="-0.1239282589676290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Sedimentos!$F$10:$F$381</c:f>
              <c:numCache>
                <c:formatCode>General</c:formatCode>
                <c:ptCount val="372"/>
                <c:pt idx="0">
                  <c:v>523.29999999999995</c:v>
                </c:pt>
                <c:pt idx="1">
                  <c:v>496.8</c:v>
                </c:pt>
                <c:pt idx="2">
                  <c:v>411.8</c:v>
                </c:pt>
                <c:pt idx="3">
                  <c:v>313.2</c:v>
                </c:pt>
                <c:pt idx="4">
                  <c:v>230.4</c:v>
                </c:pt>
                <c:pt idx="5">
                  <c:v>280.5</c:v>
                </c:pt>
                <c:pt idx="6">
                  <c:v>369.3</c:v>
                </c:pt>
                <c:pt idx="7">
                  <c:v>339.4</c:v>
                </c:pt>
                <c:pt idx="8">
                  <c:v>197.2</c:v>
                </c:pt>
                <c:pt idx="9">
                  <c:v>216.6</c:v>
                </c:pt>
                <c:pt idx="10">
                  <c:v>198.5</c:v>
                </c:pt>
                <c:pt idx="11">
                  <c:v>338.7</c:v>
                </c:pt>
                <c:pt idx="12">
                  <c:v>411.1</c:v>
                </c:pt>
                <c:pt idx="13">
                  <c:v>427.3</c:v>
                </c:pt>
                <c:pt idx="14">
                  <c:v>404.5</c:v>
                </c:pt>
                <c:pt idx="15">
                  <c:v>358</c:v>
                </c:pt>
                <c:pt idx="16">
                  <c:v>272.5</c:v>
                </c:pt>
                <c:pt idx="17">
                  <c:v>317.39999999999998</c:v>
                </c:pt>
                <c:pt idx="18">
                  <c:v>351.5</c:v>
                </c:pt>
                <c:pt idx="19">
                  <c:v>274</c:v>
                </c:pt>
                <c:pt idx="20">
                  <c:v>182</c:v>
                </c:pt>
                <c:pt idx="21">
                  <c:v>178</c:v>
                </c:pt>
                <c:pt idx="22">
                  <c:v>163.4</c:v>
                </c:pt>
                <c:pt idx="23">
                  <c:v>188.9</c:v>
                </c:pt>
                <c:pt idx="24">
                  <c:v>341.8</c:v>
                </c:pt>
                <c:pt idx="25">
                  <c:v>377.8</c:v>
                </c:pt>
                <c:pt idx="26">
                  <c:v>318.2</c:v>
                </c:pt>
                <c:pt idx="27">
                  <c:v>314.5</c:v>
                </c:pt>
                <c:pt idx="28">
                  <c:v>292.89999999999998</c:v>
                </c:pt>
                <c:pt idx="29">
                  <c:v>313.60000000000002</c:v>
                </c:pt>
                <c:pt idx="30">
                  <c:v>427.4</c:v>
                </c:pt>
                <c:pt idx="31">
                  <c:v>427.5</c:v>
                </c:pt>
                <c:pt idx="32">
                  <c:v>275.10000000000002</c:v>
                </c:pt>
                <c:pt idx="33">
                  <c:v>216.9</c:v>
                </c:pt>
                <c:pt idx="34">
                  <c:v>395.8</c:v>
                </c:pt>
                <c:pt idx="35">
                  <c:v>576.20000000000005</c:v>
                </c:pt>
                <c:pt idx="36">
                  <c:v>610.79999999999995</c:v>
                </c:pt>
                <c:pt idx="37">
                  <c:v>531.79999999999995</c:v>
                </c:pt>
                <c:pt idx="38">
                  <c:v>466.5</c:v>
                </c:pt>
                <c:pt idx="39">
                  <c:v>435.2</c:v>
                </c:pt>
                <c:pt idx="40">
                  <c:v>488.5</c:v>
                </c:pt>
                <c:pt idx="41">
                  <c:v>547.29999999999995</c:v>
                </c:pt>
                <c:pt idx="42">
                  <c:v>627.1</c:v>
                </c:pt>
                <c:pt idx="43">
                  <c:v>595</c:v>
                </c:pt>
                <c:pt idx="44">
                  <c:v>395.5</c:v>
                </c:pt>
                <c:pt idx="45">
                  <c:v>336.6</c:v>
                </c:pt>
                <c:pt idx="46">
                  <c:v>435.5</c:v>
                </c:pt>
                <c:pt idx="47">
                  <c:v>720.9</c:v>
                </c:pt>
                <c:pt idx="48">
                  <c:v>835.1</c:v>
                </c:pt>
                <c:pt idx="49">
                  <c:v>699.3</c:v>
                </c:pt>
                <c:pt idx="50">
                  <c:v>668.4</c:v>
                </c:pt>
                <c:pt idx="51">
                  <c:v>633.5</c:v>
                </c:pt>
                <c:pt idx="52">
                  <c:v>641.20000000000005</c:v>
                </c:pt>
                <c:pt idx="53">
                  <c:v>587.70000000000005</c:v>
                </c:pt>
                <c:pt idx="54">
                  <c:v>470.4</c:v>
                </c:pt>
                <c:pt idx="55">
                  <c:v>341.9</c:v>
                </c:pt>
                <c:pt idx="56">
                  <c:v>211.5</c:v>
                </c:pt>
                <c:pt idx="57">
                  <c:v>163.9</c:v>
                </c:pt>
                <c:pt idx="58">
                  <c:v>144.69999999999999</c:v>
                </c:pt>
                <c:pt idx="59">
                  <c:v>186.5</c:v>
                </c:pt>
                <c:pt idx="60">
                  <c:v>335.2</c:v>
                </c:pt>
                <c:pt idx="61">
                  <c:v>418.1</c:v>
                </c:pt>
                <c:pt idx="62">
                  <c:v>323.7</c:v>
                </c:pt>
                <c:pt idx="63">
                  <c:v>369.2</c:v>
                </c:pt>
                <c:pt idx="64">
                  <c:v>369.3</c:v>
                </c:pt>
                <c:pt idx="65">
                  <c:v>460.8</c:v>
                </c:pt>
                <c:pt idx="66">
                  <c:v>476.9</c:v>
                </c:pt>
                <c:pt idx="67">
                  <c:v>454.6</c:v>
                </c:pt>
                <c:pt idx="68">
                  <c:v>394.5</c:v>
                </c:pt>
                <c:pt idx="69">
                  <c:v>359.6</c:v>
                </c:pt>
                <c:pt idx="70">
                  <c:v>479.6</c:v>
                </c:pt>
                <c:pt idx="71">
                  <c:v>589.6</c:v>
                </c:pt>
                <c:pt idx="72">
                  <c:v>668.1</c:v>
                </c:pt>
                <c:pt idx="73">
                  <c:v>679.9</c:v>
                </c:pt>
                <c:pt idx="74">
                  <c:v>653.4</c:v>
                </c:pt>
                <c:pt idx="75">
                  <c:v>649.79999999999995</c:v>
                </c:pt>
                <c:pt idx="76">
                  <c:v>641</c:v>
                </c:pt>
                <c:pt idx="77">
                  <c:v>633.70000000000005</c:v>
                </c:pt>
                <c:pt idx="78">
                  <c:v>578.70000000000005</c:v>
                </c:pt>
                <c:pt idx="79">
                  <c:v>475.4</c:v>
                </c:pt>
                <c:pt idx="80">
                  <c:v>374.5</c:v>
                </c:pt>
                <c:pt idx="81">
                  <c:v>380.6</c:v>
                </c:pt>
                <c:pt idx="82">
                  <c:v>434.3</c:v>
                </c:pt>
                <c:pt idx="83">
                  <c:v>556.6</c:v>
                </c:pt>
                <c:pt idx="84">
                  <c:v>637.9</c:v>
                </c:pt>
                <c:pt idx="85">
                  <c:v>635.79999999999995</c:v>
                </c:pt>
                <c:pt idx="86">
                  <c:v>604.4</c:v>
                </c:pt>
                <c:pt idx="87">
                  <c:v>595.6</c:v>
                </c:pt>
                <c:pt idx="88">
                  <c:v>569.9</c:v>
                </c:pt>
                <c:pt idx="89">
                  <c:v>601.1</c:v>
                </c:pt>
                <c:pt idx="90">
                  <c:v>581.79999999999995</c:v>
                </c:pt>
                <c:pt idx="91">
                  <c:v>478.1</c:v>
                </c:pt>
                <c:pt idx="92">
                  <c:v>346.9</c:v>
                </c:pt>
                <c:pt idx="93">
                  <c:v>190.1</c:v>
                </c:pt>
                <c:pt idx="95">
                  <c:v>540.29999999999995</c:v>
                </c:pt>
                <c:pt idx="96">
                  <c:v>588.6</c:v>
                </c:pt>
                <c:pt idx="97">
                  <c:v>527.4</c:v>
                </c:pt>
                <c:pt idx="98">
                  <c:v>472.9</c:v>
                </c:pt>
                <c:pt idx="99">
                  <c:v>474.7</c:v>
                </c:pt>
                <c:pt idx="100">
                  <c:v>484.6</c:v>
                </c:pt>
                <c:pt idx="101">
                  <c:v>579.9</c:v>
                </c:pt>
                <c:pt idx="102">
                  <c:v>592.9</c:v>
                </c:pt>
                <c:pt idx="103">
                  <c:v>510.2</c:v>
                </c:pt>
                <c:pt idx="104">
                  <c:v>383.4</c:v>
                </c:pt>
                <c:pt idx="105">
                  <c:v>277.7</c:v>
                </c:pt>
                <c:pt idx="106">
                  <c:v>388.1</c:v>
                </c:pt>
                <c:pt idx="107">
                  <c:v>508.5</c:v>
                </c:pt>
                <c:pt idx="108">
                  <c:v>562.79999999999995</c:v>
                </c:pt>
                <c:pt idx="109">
                  <c:v>519.70000000000005</c:v>
                </c:pt>
                <c:pt idx="110">
                  <c:v>442.1</c:v>
                </c:pt>
                <c:pt idx="111">
                  <c:v>389.9</c:v>
                </c:pt>
                <c:pt idx="112">
                  <c:v>397.4</c:v>
                </c:pt>
                <c:pt idx="113">
                  <c:v>466.4</c:v>
                </c:pt>
                <c:pt idx="114">
                  <c:v>463.6</c:v>
                </c:pt>
                <c:pt idx="115">
                  <c:v>380.2</c:v>
                </c:pt>
                <c:pt idx="116">
                  <c:v>255.8</c:v>
                </c:pt>
                <c:pt idx="117">
                  <c:v>219.8</c:v>
                </c:pt>
                <c:pt idx="118">
                  <c:v>291.2</c:v>
                </c:pt>
                <c:pt idx="119">
                  <c:v>432.7</c:v>
                </c:pt>
                <c:pt idx="120">
                  <c:v>527.70000000000005</c:v>
                </c:pt>
                <c:pt idx="121">
                  <c:v>540.70000000000005</c:v>
                </c:pt>
                <c:pt idx="122">
                  <c:v>458.3</c:v>
                </c:pt>
                <c:pt idx="123">
                  <c:v>401</c:v>
                </c:pt>
                <c:pt idx="124">
                  <c:v>381.1</c:v>
                </c:pt>
                <c:pt idx="125">
                  <c:v>380</c:v>
                </c:pt>
                <c:pt idx="126">
                  <c:v>431.1</c:v>
                </c:pt>
                <c:pt idx="127">
                  <c:v>349.9</c:v>
                </c:pt>
                <c:pt idx="128">
                  <c:v>159.30000000000001</c:v>
                </c:pt>
                <c:pt idx="129">
                  <c:v>125.6</c:v>
                </c:pt>
                <c:pt idx="130">
                  <c:v>220.1</c:v>
                </c:pt>
                <c:pt idx="131">
                  <c:v>474.6</c:v>
                </c:pt>
                <c:pt idx="132">
                  <c:v>566.4</c:v>
                </c:pt>
                <c:pt idx="133">
                  <c:v>518</c:v>
                </c:pt>
                <c:pt idx="134">
                  <c:v>467.7</c:v>
                </c:pt>
                <c:pt idx="135">
                  <c:v>400.8</c:v>
                </c:pt>
                <c:pt idx="136">
                  <c:v>443.4</c:v>
                </c:pt>
                <c:pt idx="137">
                  <c:v>449.4</c:v>
                </c:pt>
                <c:pt idx="138">
                  <c:v>392.4</c:v>
                </c:pt>
                <c:pt idx="139">
                  <c:v>324.39999999999998</c:v>
                </c:pt>
                <c:pt idx="141">
                  <c:v>173</c:v>
                </c:pt>
                <c:pt idx="142">
                  <c:v>175.8</c:v>
                </c:pt>
                <c:pt idx="143">
                  <c:v>243.8</c:v>
                </c:pt>
                <c:pt idx="144">
                  <c:v>394.7</c:v>
                </c:pt>
                <c:pt idx="145">
                  <c:v>465.5</c:v>
                </c:pt>
                <c:pt idx="146">
                  <c:v>393.5</c:v>
                </c:pt>
                <c:pt idx="147">
                  <c:v>349</c:v>
                </c:pt>
                <c:pt idx="148">
                  <c:v>339.4</c:v>
                </c:pt>
                <c:pt idx="149">
                  <c:v>432.6</c:v>
                </c:pt>
                <c:pt idx="150">
                  <c:v>445</c:v>
                </c:pt>
                <c:pt idx="151">
                  <c:v>400.9</c:v>
                </c:pt>
                <c:pt idx="152">
                  <c:v>300.2</c:v>
                </c:pt>
                <c:pt idx="153">
                  <c:v>202.3</c:v>
                </c:pt>
                <c:pt idx="154">
                  <c:v>222.4</c:v>
                </c:pt>
                <c:pt idx="155">
                  <c:v>393.2</c:v>
                </c:pt>
                <c:pt idx="156">
                  <c:v>432</c:v>
                </c:pt>
                <c:pt idx="157">
                  <c:v>390.3</c:v>
                </c:pt>
                <c:pt idx="158">
                  <c:v>330.4</c:v>
                </c:pt>
                <c:pt idx="159">
                  <c:v>274.10000000000002</c:v>
                </c:pt>
                <c:pt idx="160">
                  <c:v>260.3</c:v>
                </c:pt>
                <c:pt idx="161">
                  <c:v>291.10000000000002</c:v>
                </c:pt>
                <c:pt idx="162">
                  <c:v>312</c:v>
                </c:pt>
                <c:pt idx="163">
                  <c:v>223</c:v>
                </c:pt>
                <c:pt idx="164">
                  <c:v>183.9</c:v>
                </c:pt>
                <c:pt idx="165">
                  <c:v>182.7</c:v>
                </c:pt>
                <c:pt idx="166">
                  <c:v>187.5</c:v>
                </c:pt>
                <c:pt idx="167">
                  <c:v>350.9</c:v>
                </c:pt>
                <c:pt idx="168">
                  <c:v>559.9</c:v>
                </c:pt>
                <c:pt idx="169">
                  <c:v>591.5</c:v>
                </c:pt>
                <c:pt idx="170">
                  <c:v>571.9</c:v>
                </c:pt>
                <c:pt idx="171">
                  <c:v>525.9</c:v>
                </c:pt>
                <c:pt idx="172">
                  <c:v>558.29999999999995</c:v>
                </c:pt>
                <c:pt idx="173">
                  <c:v>573.20000000000005</c:v>
                </c:pt>
                <c:pt idx="174">
                  <c:v>513.29999999999995</c:v>
                </c:pt>
                <c:pt idx="175">
                  <c:v>421</c:v>
                </c:pt>
                <c:pt idx="176">
                  <c:v>361.7</c:v>
                </c:pt>
                <c:pt idx="177">
                  <c:v>395.6</c:v>
                </c:pt>
                <c:pt idx="178">
                  <c:v>477</c:v>
                </c:pt>
                <c:pt idx="179">
                  <c:v>592</c:v>
                </c:pt>
                <c:pt idx="180">
                  <c:v>628.70000000000005</c:v>
                </c:pt>
                <c:pt idx="181">
                  <c:v>620.9</c:v>
                </c:pt>
                <c:pt idx="182">
                  <c:v>572.79999999999995</c:v>
                </c:pt>
                <c:pt idx="183">
                  <c:v>552.9</c:v>
                </c:pt>
                <c:pt idx="184">
                  <c:v>548.9</c:v>
                </c:pt>
                <c:pt idx="185">
                  <c:v>548.6</c:v>
                </c:pt>
                <c:pt idx="186">
                  <c:v>533.29999999999995</c:v>
                </c:pt>
                <c:pt idx="187">
                  <c:v>513.1</c:v>
                </c:pt>
                <c:pt idx="188">
                  <c:v>471.8</c:v>
                </c:pt>
                <c:pt idx="189">
                  <c:v>463.5</c:v>
                </c:pt>
                <c:pt idx="190">
                  <c:v>465.3</c:v>
                </c:pt>
                <c:pt idx="191">
                  <c:v>534.20000000000005</c:v>
                </c:pt>
                <c:pt idx="192">
                  <c:v>539.79999999999995</c:v>
                </c:pt>
                <c:pt idx="193">
                  <c:v>521.29999999999995</c:v>
                </c:pt>
                <c:pt idx="194">
                  <c:v>499.5</c:v>
                </c:pt>
                <c:pt idx="195">
                  <c:v>477.7</c:v>
                </c:pt>
                <c:pt idx="196">
                  <c:v>465</c:v>
                </c:pt>
                <c:pt idx="197">
                  <c:v>449.2</c:v>
                </c:pt>
                <c:pt idx="198">
                  <c:v>402.8</c:v>
                </c:pt>
                <c:pt idx="199">
                  <c:v>319</c:v>
                </c:pt>
                <c:pt idx="200">
                  <c:v>204.5</c:v>
                </c:pt>
                <c:pt idx="201">
                  <c:v>142.1</c:v>
                </c:pt>
                <c:pt idx="202">
                  <c:v>135.80000000000001</c:v>
                </c:pt>
                <c:pt idx="203">
                  <c:v>143.4</c:v>
                </c:pt>
                <c:pt idx="204">
                  <c:v>251</c:v>
                </c:pt>
                <c:pt idx="205">
                  <c:v>280.3</c:v>
                </c:pt>
                <c:pt idx="206">
                  <c:v>251</c:v>
                </c:pt>
                <c:pt idx="207">
                  <c:v>188.8</c:v>
                </c:pt>
                <c:pt idx="208">
                  <c:v>188.8</c:v>
                </c:pt>
                <c:pt idx="209">
                  <c:v>251.2</c:v>
                </c:pt>
                <c:pt idx="210">
                  <c:v>219.6</c:v>
                </c:pt>
                <c:pt idx="211">
                  <c:v>173.5</c:v>
                </c:pt>
                <c:pt idx="212">
                  <c:v>131.80000000000001</c:v>
                </c:pt>
                <c:pt idx="213">
                  <c:v>132.69999999999999</c:v>
                </c:pt>
                <c:pt idx="214">
                  <c:v>218.1</c:v>
                </c:pt>
                <c:pt idx="215">
                  <c:v>288.60000000000002</c:v>
                </c:pt>
                <c:pt idx="216">
                  <c:v>438.6</c:v>
                </c:pt>
                <c:pt idx="217">
                  <c:v>456.4</c:v>
                </c:pt>
                <c:pt idx="218">
                  <c:v>452.9</c:v>
                </c:pt>
                <c:pt idx="219">
                  <c:v>460.3</c:v>
                </c:pt>
                <c:pt idx="220">
                  <c:v>478.5</c:v>
                </c:pt>
                <c:pt idx="221">
                  <c:v>464.1</c:v>
                </c:pt>
                <c:pt idx="222">
                  <c:v>428.3</c:v>
                </c:pt>
                <c:pt idx="223">
                  <c:v>368.6</c:v>
                </c:pt>
                <c:pt idx="224">
                  <c:v>349.2</c:v>
                </c:pt>
                <c:pt idx="225">
                  <c:v>313.39999999999998</c:v>
                </c:pt>
                <c:pt idx="226">
                  <c:v>298.2</c:v>
                </c:pt>
                <c:pt idx="227">
                  <c:v>380.6</c:v>
                </c:pt>
                <c:pt idx="228">
                  <c:v>543.9</c:v>
                </c:pt>
                <c:pt idx="229">
                  <c:v>571.5</c:v>
                </c:pt>
                <c:pt idx="230">
                  <c:v>565.20000000000005</c:v>
                </c:pt>
                <c:pt idx="231">
                  <c:v>577.79999999999995</c:v>
                </c:pt>
                <c:pt idx="232">
                  <c:v>528.79999999999995</c:v>
                </c:pt>
                <c:pt idx="233">
                  <c:v>439.9</c:v>
                </c:pt>
                <c:pt idx="234">
                  <c:v>370.4</c:v>
                </c:pt>
                <c:pt idx="235">
                  <c:v>289.89999999999998</c:v>
                </c:pt>
                <c:pt idx="236">
                  <c:v>182.4</c:v>
                </c:pt>
                <c:pt idx="237">
                  <c:v>135.19999999999999</c:v>
                </c:pt>
                <c:pt idx="238">
                  <c:v>148.6</c:v>
                </c:pt>
                <c:pt idx="239">
                  <c:v>344.7</c:v>
                </c:pt>
                <c:pt idx="240">
                  <c:v>485.2</c:v>
                </c:pt>
                <c:pt idx="241">
                  <c:v>473.5</c:v>
                </c:pt>
                <c:pt idx="242">
                  <c:v>413</c:v>
                </c:pt>
                <c:pt idx="243">
                  <c:v>350.3</c:v>
                </c:pt>
                <c:pt idx="244">
                  <c:v>377.2</c:v>
                </c:pt>
                <c:pt idx="245">
                  <c:v>446.2</c:v>
                </c:pt>
                <c:pt idx="246">
                  <c:v>444.4</c:v>
                </c:pt>
                <c:pt idx="247">
                  <c:v>379.7</c:v>
                </c:pt>
                <c:pt idx="248">
                  <c:v>304.2</c:v>
                </c:pt>
                <c:pt idx="249">
                  <c:v>232.3</c:v>
                </c:pt>
                <c:pt idx="250">
                  <c:v>270.10000000000002</c:v>
                </c:pt>
                <c:pt idx="251">
                  <c:v>443.9</c:v>
                </c:pt>
                <c:pt idx="252">
                  <c:v>456.5</c:v>
                </c:pt>
                <c:pt idx="253">
                  <c:v>432.1</c:v>
                </c:pt>
                <c:pt idx="254">
                  <c:v>407.6</c:v>
                </c:pt>
                <c:pt idx="255">
                  <c:v>351.7</c:v>
                </c:pt>
                <c:pt idx="256">
                  <c:v>328.7</c:v>
                </c:pt>
                <c:pt idx="257">
                  <c:v>385.8</c:v>
                </c:pt>
                <c:pt idx="258">
                  <c:v>397.4</c:v>
                </c:pt>
                <c:pt idx="259">
                  <c:v>340.4</c:v>
                </c:pt>
                <c:pt idx="260">
                  <c:v>223.8</c:v>
                </c:pt>
                <c:pt idx="261">
                  <c:v>143.9</c:v>
                </c:pt>
                <c:pt idx="262">
                  <c:v>169.5</c:v>
                </c:pt>
                <c:pt idx="263">
                  <c:v>252.6</c:v>
                </c:pt>
                <c:pt idx="264">
                  <c:v>348.1</c:v>
                </c:pt>
                <c:pt idx="265">
                  <c:v>350.6</c:v>
                </c:pt>
                <c:pt idx="266">
                  <c:v>385</c:v>
                </c:pt>
                <c:pt idx="267">
                  <c:v>304.7</c:v>
                </c:pt>
                <c:pt idx="268">
                  <c:v>272.89999999999998</c:v>
                </c:pt>
                <c:pt idx="269">
                  <c:v>224.9</c:v>
                </c:pt>
                <c:pt idx="270">
                  <c:v>263.10000000000002</c:v>
                </c:pt>
                <c:pt idx="271">
                  <c:v>199.3</c:v>
                </c:pt>
                <c:pt idx="272">
                  <c:v>130.30000000000001</c:v>
                </c:pt>
                <c:pt idx="273">
                  <c:v>128.9</c:v>
                </c:pt>
                <c:pt idx="274">
                  <c:v>140.1</c:v>
                </c:pt>
                <c:pt idx="275">
                  <c:v>238.2</c:v>
                </c:pt>
                <c:pt idx="276">
                  <c:v>311.2</c:v>
                </c:pt>
                <c:pt idx="277">
                  <c:v>311.39999999999998</c:v>
                </c:pt>
                <c:pt idx="278">
                  <c:v>290.89999999999998</c:v>
                </c:pt>
                <c:pt idx="279">
                  <c:v>212.1</c:v>
                </c:pt>
                <c:pt idx="280">
                  <c:v>250.5</c:v>
                </c:pt>
                <c:pt idx="281">
                  <c:v>267.10000000000002</c:v>
                </c:pt>
                <c:pt idx="282">
                  <c:v>268.8</c:v>
                </c:pt>
                <c:pt idx="283">
                  <c:v>232.1</c:v>
                </c:pt>
                <c:pt idx="284">
                  <c:v>171.9</c:v>
                </c:pt>
                <c:pt idx="285">
                  <c:v>157.69999999999999</c:v>
                </c:pt>
                <c:pt idx="286">
                  <c:v>157.6</c:v>
                </c:pt>
                <c:pt idx="287">
                  <c:v>282.3</c:v>
                </c:pt>
                <c:pt idx="288">
                  <c:v>479.1</c:v>
                </c:pt>
                <c:pt idx="289">
                  <c:v>455.1</c:v>
                </c:pt>
                <c:pt idx="290">
                  <c:v>365.6</c:v>
                </c:pt>
                <c:pt idx="291">
                  <c:v>304.10000000000002</c:v>
                </c:pt>
                <c:pt idx="292">
                  <c:v>294.8</c:v>
                </c:pt>
                <c:pt idx="293">
                  <c:v>325.10000000000002</c:v>
                </c:pt>
                <c:pt idx="294">
                  <c:v>335.2</c:v>
                </c:pt>
                <c:pt idx="295">
                  <c:v>306.89999999999998</c:v>
                </c:pt>
                <c:pt idx="296">
                  <c:v>204.3</c:v>
                </c:pt>
                <c:pt idx="297">
                  <c:v>184.1</c:v>
                </c:pt>
                <c:pt idx="298">
                  <c:v>208.9</c:v>
                </c:pt>
                <c:pt idx="299">
                  <c:v>330.1</c:v>
                </c:pt>
                <c:pt idx="300">
                  <c:v>522.4</c:v>
                </c:pt>
                <c:pt idx="301">
                  <c:v>529.4</c:v>
                </c:pt>
                <c:pt idx="302">
                  <c:v>453.6</c:v>
                </c:pt>
                <c:pt idx="303">
                  <c:v>356.6</c:v>
                </c:pt>
                <c:pt idx="304">
                  <c:v>305.7</c:v>
                </c:pt>
                <c:pt idx="305">
                  <c:v>318.2</c:v>
                </c:pt>
                <c:pt idx="306">
                  <c:v>313</c:v>
                </c:pt>
                <c:pt idx="307">
                  <c:v>237.3</c:v>
                </c:pt>
                <c:pt idx="308">
                  <c:v>219.7</c:v>
                </c:pt>
                <c:pt idx="309">
                  <c:v>254.9</c:v>
                </c:pt>
                <c:pt idx="310">
                  <c:v>374</c:v>
                </c:pt>
                <c:pt idx="311">
                  <c:v>546.9</c:v>
                </c:pt>
                <c:pt idx="312">
                  <c:v>670</c:v>
                </c:pt>
                <c:pt idx="313">
                  <c:v>677.1</c:v>
                </c:pt>
                <c:pt idx="314">
                  <c:v>683.7</c:v>
                </c:pt>
                <c:pt idx="315">
                  <c:v>623.9</c:v>
                </c:pt>
                <c:pt idx="316">
                  <c:v>555.29999999999995</c:v>
                </c:pt>
                <c:pt idx="317">
                  <c:v>473.6</c:v>
                </c:pt>
                <c:pt idx="318">
                  <c:v>347</c:v>
                </c:pt>
                <c:pt idx="319">
                  <c:v>286.3</c:v>
                </c:pt>
                <c:pt idx="320">
                  <c:v>175</c:v>
                </c:pt>
                <c:pt idx="321">
                  <c:v>123.6</c:v>
                </c:pt>
                <c:pt idx="322">
                  <c:v>192.3</c:v>
                </c:pt>
                <c:pt idx="323">
                  <c:v>438.4</c:v>
                </c:pt>
                <c:pt idx="324">
                  <c:v>603.29999999999995</c:v>
                </c:pt>
                <c:pt idx="325">
                  <c:v>547.29999999999995</c:v>
                </c:pt>
                <c:pt idx="326">
                  <c:v>456.9</c:v>
                </c:pt>
                <c:pt idx="327">
                  <c:v>385.4</c:v>
                </c:pt>
                <c:pt idx="328">
                  <c:v>350.9</c:v>
                </c:pt>
                <c:pt idx="329">
                  <c:v>279.7</c:v>
                </c:pt>
                <c:pt idx="330">
                  <c:v>321.3</c:v>
                </c:pt>
                <c:pt idx="331">
                  <c:v>247.8</c:v>
                </c:pt>
                <c:pt idx="332">
                  <c:v>118.8</c:v>
                </c:pt>
                <c:pt idx="333">
                  <c:v>79</c:v>
                </c:pt>
                <c:pt idx="334">
                  <c:v>105.7</c:v>
                </c:pt>
                <c:pt idx="335">
                  <c:v>254.4</c:v>
                </c:pt>
                <c:pt idx="336">
                  <c:v>476.3</c:v>
                </c:pt>
                <c:pt idx="337">
                  <c:v>460.5</c:v>
                </c:pt>
                <c:pt idx="338">
                  <c:v>337.8</c:v>
                </c:pt>
                <c:pt idx="339">
                  <c:v>245.5</c:v>
                </c:pt>
                <c:pt idx="340">
                  <c:v>270.3</c:v>
                </c:pt>
                <c:pt idx="341">
                  <c:v>389.3</c:v>
                </c:pt>
                <c:pt idx="342">
                  <c:v>386.4</c:v>
                </c:pt>
                <c:pt idx="343">
                  <c:v>326.8</c:v>
                </c:pt>
                <c:pt idx="344">
                  <c:v>233.3</c:v>
                </c:pt>
                <c:pt idx="345">
                  <c:v>192.4</c:v>
                </c:pt>
                <c:pt idx="346">
                  <c:v>181.2</c:v>
                </c:pt>
                <c:pt idx="347">
                  <c:v>307.5</c:v>
                </c:pt>
                <c:pt idx="348">
                  <c:v>478.3</c:v>
                </c:pt>
                <c:pt idx="349">
                  <c:v>459.5</c:v>
                </c:pt>
                <c:pt idx="350">
                  <c:v>406.3</c:v>
                </c:pt>
                <c:pt idx="351">
                  <c:v>345.3</c:v>
                </c:pt>
                <c:pt idx="352">
                  <c:v>265.8</c:v>
                </c:pt>
                <c:pt idx="353">
                  <c:v>214.8</c:v>
                </c:pt>
                <c:pt idx="354">
                  <c:v>280.2</c:v>
                </c:pt>
                <c:pt idx="355">
                  <c:v>227.4</c:v>
                </c:pt>
                <c:pt idx="356">
                  <c:v>165.8</c:v>
                </c:pt>
                <c:pt idx="357">
                  <c:v>142.1</c:v>
                </c:pt>
                <c:pt idx="358">
                  <c:v>227.1</c:v>
                </c:pt>
                <c:pt idx="359">
                  <c:v>435.8</c:v>
                </c:pt>
                <c:pt idx="360">
                  <c:v>629</c:v>
                </c:pt>
                <c:pt idx="361">
                  <c:v>576</c:v>
                </c:pt>
                <c:pt idx="362">
                  <c:v>474.2</c:v>
                </c:pt>
                <c:pt idx="363">
                  <c:v>426.4</c:v>
                </c:pt>
                <c:pt idx="364">
                  <c:v>438.9</c:v>
                </c:pt>
                <c:pt idx="365">
                  <c:v>390.4</c:v>
                </c:pt>
                <c:pt idx="366">
                  <c:v>321.7</c:v>
                </c:pt>
                <c:pt idx="367">
                  <c:v>219.3</c:v>
                </c:pt>
                <c:pt idx="368">
                  <c:v>131.1</c:v>
                </c:pt>
                <c:pt idx="369">
                  <c:v>173.2</c:v>
                </c:pt>
                <c:pt idx="370">
                  <c:v>223.7</c:v>
                </c:pt>
                <c:pt idx="371">
                  <c:v>347.1</c:v>
                </c:pt>
              </c:numCache>
            </c:numRef>
          </c:xVal>
          <c:yVal>
            <c:numRef>
              <c:f>Sedimentos!$D$10:$D$381</c:f>
              <c:numCache>
                <c:formatCode>General</c:formatCode>
                <c:ptCount val="372"/>
                <c:pt idx="0">
                  <c:v>741</c:v>
                </c:pt>
                <c:pt idx="1">
                  <c:v>675</c:v>
                </c:pt>
                <c:pt idx="2">
                  <c:v>560.70000000000005</c:v>
                </c:pt>
                <c:pt idx="3">
                  <c:v>394.5</c:v>
                </c:pt>
                <c:pt idx="4">
                  <c:v>285</c:v>
                </c:pt>
                <c:pt idx="5">
                  <c:v>359</c:v>
                </c:pt>
                <c:pt idx="6">
                  <c:v>477.6</c:v>
                </c:pt>
                <c:pt idx="7">
                  <c:v>448</c:v>
                </c:pt>
                <c:pt idx="8">
                  <c:v>230</c:v>
                </c:pt>
                <c:pt idx="9">
                  <c:v>264.89999999999998</c:v>
                </c:pt>
                <c:pt idx="10">
                  <c:v>216.2</c:v>
                </c:pt>
                <c:pt idx="11">
                  <c:v>447.8</c:v>
                </c:pt>
                <c:pt idx="24">
                  <c:v>451.4</c:v>
                </c:pt>
                <c:pt idx="25">
                  <c:v>490.5</c:v>
                </c:pt>
                <c:pt idx="26">
                  <c:v>415</c:v>
                </c:pt>
                <c:pt idx="27">
                  <c:v>396.1</c:v>
                </c:pt>
                <c:pt idx="28">
                  <c:v>376.8</c:v>
                </c:pt>
                <c:pt idx="29">
                  <c:v>408.2</c:v>
                </c:pt>
                <c:pt idx="30">
                  <c:v>566.5</c:v>
                </c:pt>
                <c:pt idx="31">
                  <c:v>586.20000000000005</c:v>
                </c:pt>
                <c:pt idx="32">
                  <c:v>339.4</c:v>
                </c:pt>
                <c:pt idx="33">
                  <c:v>265.7</c:v>
                </c:pt>
                <c:pt idx="34">
                  <c:v>501.6</c:v>
                </c:pt>
                <c:pt idx="35">
                  <c:v>829.6</c:v>
                </c:pt>
                <c:pt idx="36">
                  <c:v>887.5</c:v>
                </c:pt>
                <c:pt idx="37">
                  <c:v>730.7</c:v>
                </c:pt>
                <c:pt idx="38">
                  <c:v>439.3</c:v>
                </c:pt>
                <c:pt idx="39">
                  <c:v>578.4</c:v>
                </c:pt>
                <c:pt idx="40">
                  <c:v>683.8</c:v>
                </c:pt>
                <c:pt idx="41">
                  <c:v>780.9</c:v>
                </c:pt>
                <c:pt idx="42">
                  <c:v>885.5</c:v>
                </c:pt>
                <c:pt idx="43">
                  <c:v>861</c:v>
                </c:pt>
                <c:pt idx="44">
                  <c:v>518.1</c:v>
                </c:pt>
                <c:pt idx="45">
                  <c:v>443</c:v>
                </c:pt>
                <c:pt idx="46">
                  <c:v>502.8</c:v>
                </c:pt>
                <c:pt idx="47">
                  <c:v>1079</c:v>
                </c:pt>
                <c:pt idx="48">
                  <c:v>1280</c:v>
                </c:pt>
                <c:pt idx="49">
                  <c:v>1005</c:v>
                </c:pt>
                <c:pt idx="50">
                  <c:v>985.7</c:v>
                </c:pt>
                <c:pt idx="51">
                  <c:v>896</c:v>
                </c:pt>
                <c:pt idx="52">
                  <c:v>939</c:v>
                </c:pt>
                <c:pt idx="53">
                  <c:v>848.4</c:v>
                </c:pt>
                <c:pt idx="54">
                  <c:v>633.9</c:v>
                </c:pt>
                <c:pt idx="55">
                  <c:v>451.5</c:v>
                </c:pt>
                <c:pt idx="56">
                  <c:v>250.3</c:v>
                </c:pt>
                <c:pt idx="57">
                  <c:v>191.4</c:v>
                </c:pt>
                <c:pt idx="58">
                  <c:v>149.5</c:v>
                </c:pt>
                <c:pt idx="59">
                  <c:v>223.6</c:v>
                </c:pt>
                <c:pt idx="60">
                  <c:v>442.3</c:v>
                </c:pt>
                <c:pt idx="61">
                  <c:v>552.20000000000005</c:v>
                </c:pt>
                <c:pt idx="62">
                  <c:v>423.3</c:v>
                </c:pt>
                <c:pt idx="63">
                  <c:v>477.5</c:v>
                </c:pt>
                <c:pt idx="64">
                  <c:v>493.5</c:v>
                </c:pt>
                <c:pt idx="65">
                  <c:v>639.20000000000005</c:v>
                </c:pt>
                <c:pt idx="66">
                  <c:v>643.6</c:v>
                </c:pt>
                <c:pt idx="67">
                  <c:v>628.9</c:v>
                </c:pt>
                <c:pt idx="68">
                  <c:v>515.9</c:v>
                </c:pt>
                <c:pt idx="69">
                  <c:v>478.7</c:v>
                </c:pt>
                <c:pt idx="70">
                  <c:v>605.20000000000005</c:v>
                </c:pt>
                <c:pt idx="71">
                  <c:v>851.6</c:v>
                </c:pt>
                <c:pt idx="72">
                  <c:v>985.1</c:v>
                </c:pt>
                <c:pt idx="74">
                  <c:v>650.20000000000005</c:v>
                </c:pt>
                <c:pt idx="75">
                  <c:v>923</c:v>
                </c:pt>
                <c:pt idx="76">
                  <c:v>938.6</c:v>
                </c:pt>
                <c:pt idx="77">
                  <c:v>926.2</c:v>
                </c:pt>
                <c:pt idx="78">
                  <c:v>806.4</c:v>
                </c:pt>
                <c:pt idx="79">
                  <c:v>662.8</c:v>
                </c:pt>
                <c:pt idx="80">
                  <c:v>485.5</c:v>
                </c:pt>
                <c:pt idx="81">
                  <c:v>511.3</c:v>
                </c:pt>
                <c:pt idx="82">
                  <c:v>558.1</c:v>
                </c:pt>
                <c:pt idx="83">
                  <c:v>796.5</c:v>
                </c:pt>
                <c:pt idx="84">
                  <c:v>933.4</c:v>
                </c:pt>
                <c:pt idx="85">
                  <c:v>899.9</c:v>
                </c:pt>
                <c:pt idx="86">
                  <c:v>876.4</c:v>
                </c:pt>
                <c:pt idx="87">
                  <c:v>833.8</c:v>
                </c:pt>
                <c:pt idx="88">
                  <c:v>818.3</c:v>
                </c:pt>
                <c:pt idx="89">
                  <c:v>870.9</c:v>
                </c:pt>
                <c:pt idx="90">
                  <c:v>811.4</c:v>
                </c:pt>
                <c:pt idx="91">
                  <c:v>667.3</c:v>
                </c:pt>
                <c:pt idx="92">
                  <c:v>444.7</c:v>
                </c:pt>
                <c:pt idx="93">
                  <c:v>227.7</c:v>
                </c:pt>
                <c:pt idx="95">
                  <c:v>545.9</c:v>
                </c:pt>
                <c:pt idx="96">
                  <c:v>850</c:v>
                </c:pt>
                <c:pt idx="97">
                  <c:v>723.9</c:v>
                </c:pt>
                <c:pt idx="98">
                  <c:v>658.4</c:v>
                </c:pt>
                <c:pt idx="99">
                  <c:v>640.1</c:v>
                </c:pt>
                <c:pt idx="100">
                  <c:v>677.6</c:v>
                </c:pt>
                <c:pt idx="101">
                  <c:v>835.3</c:v>
                </c:pt>
                <c:pt idx="102">
                  <c:v>829.4</c:v>
                </c:pt>
                <c:pt idx="103">
                  <c:v>719.9</c:v>
                </c:pt>
                <c:pt idx="104">
                  <c:v>499.1</c:v>
                </c:pt>
                <c:pt idx="105">
                  <c:v>354.3</c:v>
                </c:pt>
                <c:pt idx="106">
                  <c:v>473.2</c:v>
                </c:pt>
                <c:pt idx="107">
                  <c:v>716.9</c:v>
                </c:pt>
                <c:pt idx="110">
                  <c:v>434.8</c:v>
                </c:pt>
                <c:pt idx="111">
                  <c:v>368.3</c:v>
                </c:pt>
                <c:pt idx="112">
                  <c:v>388.5</c:v>
                </c:pt>
                <c:pt idx="113">
                  <c:v>462</c:v>
                </c:pt>
                <c:pt idx="114">
                  <c:v>444</c:v>
                </c:pt>
                <c:pt idx="115">
                  <c:v>368.9</c:v>
                </c:pt>
                <c:pt idx="116">
                  <c:v>231.9</c:v>
                </c:pt>
                <c:pt idx="117">
                  <c:v>202.8</c:v>
                </c:pt>
                <c:pt idx="118">
                  <c:v>249.2</c:v>
                </c:pt>
                <c:pt idx="119">
                  <c:v>425.9</c:v>
                </c:pt>
                <c:pt idx="120">
                  <c:v>528</c:v>
                </c:pt>
                <c:pt idx="121">
                  <c:v>524.1</c:v>
                </c:pt>
                <c:pt idx="122">
                  <c:v>453</c:v>
                </c:pt>
                <c:pt idx="123">
                  <c:v>379.3</c:v>
                </c:pt>
                <c:pt idx="124">
                  <c:v>371.1</c:v>
                </c:pt>
                <c:pt idx="125">
                  <c:v>370.4</c:v>
                </c:pt>
                <c:pt idx="126">
                  <c:v>410.1</c:v>
                </c:pt>
                <c:pt idx="127">
                  <c:v>337.1</c:v>
                </c:pt>
                <c:pt idx="128">
                  <c:v>125.7</c:v>
                </c:pt>
                <c:pt idx="130">
                  <c:v>191.3</c:v>
                </c:pt>
                <c:pt idx="131">
                  <c:v>470.7</c:v>
                </c:pt>
                <c:pt idx="132">
                  <c:v>817.7</c:v>
                </c:pt>
                <c:pt idx="133">
                  <c:v>710.9</c:v>
                </c:pt>
                <c:pt idx="134">
                  <c:v>650.20000000000005</c:v>
                </c:pt>
                <c:pt idx="135">
                  <c:v>522.6</c:v>
                </c:pt>
                <c:pt idx="136">
                  <c:v>609.70000000000005</c:v>
                </c:pt>
                <c:pt idx="137">
                  <c:v>619.5</c:v>
                </c:pt>
                <c:pt idx="138">
                  <c:v>509.9</c:v>
                </c:pt>
                <c:pt idx="139">
                  <c:v>419.2</c:v>
                </c:pt>
                <c:pt idx="141">
                  <c:v>196.7</c:v>
                </c:pt>
                <c:pt idx="142">
                  <c:v>181.2</c:v>
                </c:pt>
                <c:pt idx="143">
                  <c:v>299.5</c:v>
                </c:pt>
                <c:pt idx="144">
                  <c:v>530.5</c:v>
                </c:pt>
                <c:pt idx="145">
                  <c:v>625.6</c:v>
                </c:pt>
                <c:pt idx="146">
                  <c:v>528.29999999999995</c:v>
                </c:pt>
                <c:pt idx="147">
                  <c:v>442.7</c:v>
                </c:pt>
                <c:pt idx="148">
                  <c:v>442.9</c:v>
                </c:pt>
                <c:pt idx="149">
                  <c:v>592</c:v>
                </c:pt>
                <c:pt idx="150">
                  <c:v>592.6</c:v>
                </c:pt>
                <c:pt idx="151">
                  <c:v>540.20000000000005</c:v>
                </c:pt>
                <c:pt idx="152">
                  <c:v>370.2</c:v>
                </c:pt>
                <c:pt idx="153">
                  <c:v>237.8</c:v>
                </c:pt>
                <c:pt idx="154">
                  <c:v>240.9</c:v>
                </c:pt>
                <c:pt idx="155">
                  <c:v>528.70000000000005</c:v>
                </c:pt>
                <c:pt idx="156">
                  <c:v>592.4</c:v>
                </c:pt>
                <c:pt idx="157">
                  <c:v>509.5</c:v>
                </c:pt>
                <c:pt idx="158">
                  <c:v>433.7</c:v>
                </c:pt>
                <c:pt idx="159">
                  <c:v>337.7</c:v>
                </c:pt>
                <c:pt idx="160">
                  <c:v>328.9</c:v>
                </c:pt>
                <c:pt idx="161">
                  <c:v>374</c:v>
                </c:pt>
                <c:pt idx="162">
                  <c:v>392.4</c:v>
                </c:pt>
                <c:pt idx="163">
                  <c:v>274.89999999999998</c:v>
                </c:pt>
                <c:pt idx="164">
                  <c:v>211.9</c:v>
                </c:pt>
                <c:pt idx="165">
                  <c:v>217.4</c:v>
                </c:pt>
                <c:pt idx="166">
                  <c:v>202.6</c:v>
                </c:pt>
                <c:pt idx="167">
                  <c:v>466.7</c:v>
                </c:pt>
                <c:pt idx="168">
                  <c:v>802</c:v>
                </c:pt>
                <c:pt idx="169">
                  <c:v>827.2</c:v>
                </c:pt>
                <c:pt idx="170">
                  <c:v>821.9</c:v>
                </c:pt>
                <c:pt idx="171">
                  <c:v>721.2</c:v>
                </c:pt>
                <c:pt idx="172">
                  <c:v>798.9</c:v>
                </c:pt>
                <c:pt idx="173">
                  <c:v>823.9</c:v>
                </c:pt>
                <c:pt idx="174">
                  <c:v>701.2</c:v>
                </c:pt>
                <c:pt idx="175">
                  <c:v>575.1</c:v>
                </c:pt>
                <c:pt idx="176">
                  <c:v>466.2</c:v>
                </c:pt>
                <c:pt idx="177">
                  <c:v>534.79999999999995</c:v>
                </c:pt>
                <c:pt idx="178">
                  <c:v>622.6</c:v>
                </c:pt>
                <c:pt idx="179">
                  <c:v>855.5</c:v>
                </c:pt>
                <c:pt idx="192">
                  <c:v>868.9</c:v>
                </c:pt>
                <c:pt idx="193">
                  <c:v>560.9</c:v>
                </c:pt>
                <c:pt idx="194">
                  <c:v>528.9</c:v>
                </c:pt>
                <c:pt idx="195">
                  <c:v>710.6</c:v>
                </c:pt>
                <c:pt idx="196">
                  <c:v>707.5</c:v>
                </c:pt>
                <c:pt idx="197">
                  <c:v>674.7</c:v>
                </c:pt>
                <c:pt idx="198">
                  <c:v>561.9</c:v>
                </c:pt>
                <c:pt idx="199">
                  <c:v>422.1</c:v>
                </c:pt>
                <c:pt idx="200">
                  <c:v>222.1</c:v>
                </c:pt>
                <c:pt idx="201">
                  <c:v>138.19999999999999</c:v>
                </c:pt>
                <c:pt idx="202">
                  <c:v>117.2</c:v>
                </c:pt>
                <c:pt idx="203">
                  <c:v>140.1</c:v>
                </c:pt>
                <c:pt idx="204">
                  <c:v>305.8</c:v>
                </c:pt>
                <c:pt idx="205">
                  <c:v>341.7</c:v>
                </c:pt>
                <c:pt idx="206">
                  <c:v>302.5</c:v>
                </c:pt>
                <c:pt idx="207">
                  <c:v>198</c:v>
                </c:pt>
                <c:pt idx="208">
                  <c:v>204.4</c:v>
                </c:pt>
                <c:pt idx="209">
                  <c:v>303.5</c:v>
                </c:pt>
                <c:pt idx="210">
                  <c:v>244.6</c:v>
                </c:pt>
                <c:pt idx="211">
                  <c:v>181.8</c:v>
                </c:pt>
                <c:pt idx="212">
                  <c:v>121.2</c:v>
                </c:pt>
                <c:pt idx="213">
                  <c:v>126.5</c:v>
                </c:pt>
                <c:pt idx="214">
                  <c:v>225.2</c:v>
                </c:pt>
                <c:pt idx="215">
                  <c:v>369.6</c:v>
                </c:pt>
                <c:pt idx="216">
                  <c:v>653</c:v>
                </c:pt>
                <c:pt idx="217">
                  <c:v>667.2</c:v>
                </c:pt>
                <c:pt idx="218">
                  <c:v>682.2</c:v>
                </c:pt>
                <c:pt idx="219">
                  <c:v>675.1</c:v>
                </c:pt>
                <c:pt idx="220">
                  <c:v>735.8</c:v>
                </c:pt>
                <c:pt idx="221">
                  <c:v>705.5</c:v>
                </c:pt>
                <c:pt idx="222">
                  <c:v>611.4</c:v>
                </c:pt>
                <c:pt idx="223">
                  <c:v>513.9</c:v>
                </c:pt>
                <c:pt idx="224">
                  <c:v>461.3</c:v>
                </c:pt>
                <c:pt idx="225">
                  <c:v>411.4</c:v>
                </c:pt>
                <c:pt idx="226">
                  <c:v>358.9</c:v>
                </c:pt>
                <c:pt idx="227">
                  <c:v>537.6</c:v>
                </c:pt>
                <c:pt idx="228">
                  <c:v>878.7</c:v>
                </c:pt>
                <c:pt idx="229">
                  <c:v>909.5</c:v>
                </c:pt>
                <c:pt idx="230">
                  <c:v>925.6</c:v>
                </c:pt>
                <c:pt idx="231">
                  <c:v>923.4</c:v>
                </c:pt>
                <c:pt idx="232">
                  <c:v>845.7</c:v>
                </c:pt>
                <c:pt idx="233">
                  <c:v>656.3</c:v>
                </c:pt>
                <c:pt idx="234">
                  <c:v>501.2</c:v>
                </c:pt>
                <c:pt idx="235">
                  <c:v>369.3</c:v>
                </c:pt>
                <c:pt idx="236">
                  <c:v>189.2</c:v>
                </c:pt>
                <c:pt idx="237">
                  <c:v>129</c:v>
                </c:pt>
                <c:pt idx="238">
                  <c:v>133.4</c:v>
                </c:pt>
                <c:pt idx="239">
                  <c:v>477.6</c:v>
                </c:pt>
                <c:pt idx="240">
                  <c:v>753.6</c:v>
                </c:pt>
                <c:pt idx="241">
                  <c:v>705.2</c:v>
                </c:pt>
                <c:pt idx="242">
                  <c:v>604.1</c:v>
                </c:pt>
                <c:pt idx="243">
                  <c:v>465.6</c:v>
                </c:pt>
                <c:pt idx="244">
                  <c:v>532.70000000000005</c:v>
                </c:pt>
                <c:pt idx="245">
                  <c:v>671.7</c:v>
                </c:pt>
                <c:pt idx="246">
                  <c:v>646.20000000000005</c:v>
                </c:pt>
                <c:pt idx="247">
                  <c:v>537.9</c:v>
                </c:pt>
                <c:pt idx="248">
                  <c:v>385.3</c:v>
                </c:pt>
                <c:pt idx="249">
                  <c:v>273.2</c:v>
                </c:pt>
                <c:pt idx="250">
                  <c:v>305.5</c:v>
                </c:pt>
                <c:pt idx="251">
                  <c:v>668.1</c:v>
                </c:pt>
                <c:pt idx="252">
                  <c:v>494.9</c:v>
                </c:pt>
                <c:pt idx="253">
                  <c:v>458.4</c:v>
                </c:pt>
                <c:pt idx="254">
                  <c:v>452</c:v>
                </c:pt>
                <c:pt idx="255">
                  <c:v>388.8</c:v>
                </c:pt>
                <c:pt idx="256">
                  <c:v>380.7</c:v>
                </c:pt>
                <c:pt idx="257">
                  <c:v>432.7</c:v>
                </c:pt>
                <c:pt idx="258">
                  <c:v>428.8</c:v>
                </c:pt>
                <c:pt idx="259">
                  <c:v>391.3</c:v>
                </c:pt>
                <c:pt idx="260">
                  <c:v>270.89999999999998</c:v>
                </c:pt>
                <c:pt idx="261">
                  <c:v>196.8</c:v>
                </c:pt>
                <c:pt idx="262">
                  <c:v>202.6</c:v>
                </c:pt>
                <c:pt idx="263">
                  <c:v>308.2</c:v>
                </c:pt>
                <c:pt idx="264">
                  <c:v>398.6</c:v>
                </c:pt>
                <c:pt idx="265">
                  <c:v>388</c:v>
                </c:pt>
                <c:pt idx="266">
                  <c:v>432</c:v>
                </c:pt>
                <c:pt idx="267">
                  <c:v>346.8</c:v>
                </c:pt>
                <c:pt idx="268">
                  <c:v>328.2</c:v>
                </c:pt>
                <c:pt idx="269">
                  <c:v>281.2</c:v>
                </c:pt>
                <c:pt idx="270">
                  <c:v>308.39999999999998</c:v>
                </c:pt>
                <c:pt idx="271">
                  <c:v>255.1</c:v>
                </c:pt>
                <c:pt idx="272">
                  <c:v>176</c:v>
                </c:pt>
                <c:pt idx="273">
                  <c:v>180.4</c:v>
                </c:pt>
                <c:pt idx="274">
                  <c:v>180.3</c:v>
                </c:pt>
                <c:pt idx="275">
                  <c:v>293.10000000000002</c:v>
                </c:pt>
                <c:pt idx="288">
                  <c:v>569.6</c:v>
                </c:pt>
                <c:pt idx="289">
                  <c:v>526.79999999999995</c:v>
                </c:pt>
                <c:pt idx="290">
                  <c:v>448.8</c:v>
                </c:pt>
                <c:pt idx="291">
                  <c:v>369.5</c:v>
                </c:pt>
                <c:pt idx="292">
                  <c:v>371.6</c:v>
                </c:pt>
                <c:pt idx="293">
                  <c:v>404.9</c:v>
                </c:pt>
                <c:pt idx="294">
                  <c:v>402.5</c:v>
                </c:pt>
                <c:pt idx="295">
                  <c:v>384.8</c:v>
                </c:pt>
                <c:pt idx="296">
                  <c:v>260.39999999999998</c:v>
                </c:pt>
                <c:pt idx="297">
                  <c:v>245.5</c:v>
                </c:pt>
                <c:pt idx="298">
                  <c:v>247.8</c:v>
                </c:pt>
                <c:pt idx="299">
                  <c:v>409.9</c:v>
                </c:pt>
                <c:pt idx="300">
                  <c:v>614.6</c:v>
                </c:pt>
                <c:pt idx="301">
                  <c:v>601.9</c:v>
                </c:pt>
                <c:pt idx="302">
                  <c:v>542.9</c:v>
                </c:pt>
                <c:pt idx="303">
                  <c:v>425</c:v>
                </c:pt>
                <c:pt idx="304">
                  <c:v>383.6</c:v>
                </c:pt>
                <c:pt idx="305">
                  <c:v>397.4</c:v>
                </c:pt>
                <c:pt idx="306">
                  <c:v>379</c:v>
                </c:pt>
                <c:pt idx="307">
                  <c:v>306.5</c:v>
                </c:pt>
                <c:pt idx="308">
                  <c:v>277.2</c:v>
                </c:pt>
                <c:pt idx="309">
                  <c:v>326.89999999999998</c:v>
                </c:pt>
                <c:pt idx="310">
                  <c:v>413.2</c:v>
                </c:pt>
                <c:pt idx="311">
                  <c:v>639.9</c:v>
                </c:pt>
                <c:pt idx="312">
                  <c:v>765.2</c:v>
                </c:pt>
                <c:pt idx="313">
                  <c:v>747.4</c:v>
                </c:pt>
                <c:pt idx="314">
                  <c:v>778.8</c:v>
                </c:pt>
                <c:pt idx="315">
                  <c:v>695.4</c:v>
                </c:pt>
                <c:pt idx="316">
                  <c:v>648.6</c:v>
                </c:pt>
                <c:pt idx="317">
                  <c:v>563.79999999999995</c:v>
                </c:pt>
                <c:pt idx="318">
                  <c:v>414.8</c:v>
                </c:pt>
                <c:pt idx="319">
                  <c:v>361.9</c:v>
                </c:pt>
                <c:pt idx="320">
                  <c:v>226.1</c:v>
                </c:pt>
                <c:pt idx="321">
                  <c:v>172.6</c:v>
                </c:pt>
                <c:pt idx="322">
                  <c:v>238.2</c:v>
                </c:pt>
                <c:pt idx="323">
                  <c:v>525.9</c:v>
                </c:pt>
                <c:pt idx="324">
                  <c:v>697.7</c:v>
                </c:pt>
                <c:pt idx="325">
                  <c:v>619.70000000000005</c:v>
                </c:pt>
                <c:pt idx="326">
                  <c:v>546.20000000000005</c:v>
                </c:pt>
                <c:pt idx="327">
                  <c:v>455.2</c:v>
                </c:pt>
                <c:pt idx="328">
                  <c:v>433</c:v>
                </c:pt>
                <c:pt idx="329">
                  <c:v>354.7</c:v>
                </c:pt>
                <c:pt idx="330">
                  <c:v>387.9</c:v>
                </c:pt>
                <c:pt idx="331">
                  <c:v>318.5</c:v>
                </c:pt>
                <c:pt idx="332">
                  <c:v>161.19999999999999</c:v>
                </c:pt>
                <c:pt idx="333">
                  <c:v>116.5</c:v>
                </c:pt>
                <c:pt idx="334">
                  <c:v>135.9</c:v>
                </c:pt>
                <c:pt idx="335">
                  <c:v>324.39999999999998</c:v>
                </c:pt>
                <c:pt idx="336">
                  <c:v>566.6</c:v>
                </c:pt>
                <c:pt idx="337">
                  <c:v>532.29999999999995</c:v>
                </c:pt>
                <c:pt idx="338">
                  <c:v>418.2</c:v>
                </c:pt>
                <c:pt idx="339">
                  <c:v>306</c:v>
                </c:pt>
                <c:pt idx="340">
                  <c:v>344.1</c:v>
                </c:pt>
                <c:pt idx="341">
                  <c:v>474.5</c:v>
                </c:pt>
                <c:pt idx="342">
                  <c:v>456.3</c:v>
                </c:pt>
                <c:pt idx="343">
                  <c:v>406.7</c:v>
                </c:pt>
                <c:pt idx="344">
                  <c:v>292.2</c:v>
                </c:pt>
                <c:pt idx="345">
                  <c:v>255.2</c:v>
                </c:pt>
                <c:pt idx="346">
                  <c:v>218.4</c:v>
                </c:pt>
                <c:pt idx="347">
                  <c:v>384.6</c:v>
                </c:pt>
                <c:pt idx="348">
                  <c:v>568.79999999999995</c:v>
                </c:pt>
                <c:pt idx="349">
                  <c:v>531.29999999999995</c:v>
                </c:pt>
                <c:pt idx="350">
                  <c:v>492.7</c:v>
                </c:pt>
                <c:pt idx="351">
                  <c:v>413.2</c:v>
                </c:pt>
                <c:pt idx="352">
                  <c:v>339</c:v>
                </c:pt>
                <c:pt idx="353">
                  <c:v>281</c:v>
                </c:pt>
                <c:pt idx="354">
                  <c:v>343.8</c:v>
                </c:pt>
                <c:pt idx="355">
                  <c:v>295.5</c:v>
                </c:pt>
                <c:pt idx="356">
                  <c:v>216.5</c:v>
                </c:pt>
                <c:pt idx="357">
                  <c:v>195.5</c:v>
                </c:pt>
                <c:pt idx="358">
                  <c:v>266.10000000000002</c:v>
                </c:pt>
                <c:pt idx="359">
                  <c:v>523.6</c:v>
                </c:pt>
                <c:pt idx="360">
                  <c:v>722.7</c:v>
                </c:pt>
                <c:pt idx="361">
                  <c:v>648.29999999999995</c:v>
                </c:pt>
                <c:pt idx="362">
                  <c:v>564.5</c:v>
                </c:pt>
                <c:pt idx="363">
                  <c:v>497.4</c:v>
                </c:pt>
                <c:pt idx="364">
                  <c:v>527.70000000000005</c:v>
                </c:pt>
                <c:pt idx="365">
                  <c:v>475.7</c:v>
                </c:pt>
                <c:pt idx="366">
                  <c:v>388.3</c:v>
                </c:pt>
                <c:pt idx="367">
                  <c:v>285.89999999999998</c:v>
                </c:pt>
                <c:pt idx="368">
                  <c:v>176.2</c:v>
                </c:pt>
                <c:pt idx="369">
                  <c:v>232.1</c:v>
                </c:pt>
                <c:pt idx="370">
                  <c:v>197.4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9F-4F46-A09F-307AE8430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8851743"/>
        <c:axId val="408843839"/>
      </c:scatterChart>
      <c:valAx>
        <c:axId val="408851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843839"/>
        <c:crosses val="autoZero"/>
        <c:crossBetween val="midCat"/>
      </c:valAx>
      <c:valAx>
        <c:axId val="40884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851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Precipitacion!$C$8:$C$811</c:f>
              <c:numCache>
                <c:formatCode>0.0</c:formatCode>
                <c:ptCount val="804"/>
                <c:pt idx="0">
                  <c:v>1946.9999999823399</c:v>
                </c:pt>
                <c:pt idx="1">
                  <c:v>1947.0833333157</c:v>
                </c:pt>
                <c:pt idx="2">
                  <c:v>1947.1666666490601</c:v>
                </c:pt>
                <c:pt idx="3">
                  <c:v>1947.2499999824199</c:v>
                </c:pt>
                <c:pt idx="4">
                  <c:v>1947.33333331578</c:v>
                </c:pt>
                <c:pt idx="5">
                  <c:v>1947.4166666491401</c:v>
                </c:pt>
                <c:pt idx="6">
                  <c:v>1947.4999999825</c:v>
                </c:pt>
                <c:pt idx="7">
                  <c:v>1947.58333331586</c:v>
                </c:pt>
                <c:pt idx="8">
                  <c:v>1947.6666666492199</c:v>
                </c:pt>
                <c:pt idx="9">
                  <c:v>1947.74999998258</c:v>
                </c:pt>
                <c:pt idx="10">
                  <c:v>1947.8333333159401</c:v>
                </c:pt>
                <c:pt idx="11">
                  <c:v>1947.9166666492999</c:v>
                </c:pt>
                <c:pt idx="12">
                  <c:v>1947.99999998266</c:v>
                </c:pt>
                <c:pt idx="13">
                  <c:v>1948.0833333160199</c:v>
                </c:pt>
                <c:pt idx="14">
                  <c:v>1948.16666664938</c:v>
                </c:pt>
                <c:pt idx="15">
                  <c:v>1948.2499999827401</c:v>
                </c:pt>
                <c:pt idx="16">
                  <c:v>1948.3333333160999</c:v>
                </c:pt>
                <c:pt idx="17">
                  <c:v>1948.41666664946</c:v>
                </c:pt>
                <c:pt idx="18">
                  <c:v>1948.4999999828201</c:v>
                </c:pt>
                <c:pt idx="19">
                  <c:v>1948.58333331618</c:v>
                </c:pt>
                <c:pt idx="20">
                  <c:v>1948.66666664954</c:v>
                </c:pt>
                <c:pt idx="21">
                  <c:v>1948.7499999828999</c:v>
                </c:pt>
                <c:pt idx="22">
                  <c:v>1948.83333331626</c:v>
                </c:pt>
                <c:pt idx="23">
                  <c:v>1948.9166666496201</c:v>
                </c:pt>
                <c:pt idx="24">
                  <c:v>1948.9999999829804</c:v>
                </c:pt>
                <c:pt idx="25">
                  <c:v>1949.0833333163407</c:v>
                </c:pt>
                <c:pt idx="26">
                  <c:v>1949.1666666497008</c:v>
                </c:pt>
                <c:pt idx="27">
                  <c:v>1949.2499999830611</c:v>
                </c:pt>
                <c:pt idx="28">
                  <c:v>1949.3333333164212</c:v>
                </c:pt>
                <c:pt idx="29">
                  <c:v>1949.4166666497815</c:v>
                </c:pt>
                <c:pt idx="30">
                  <c:v>1949.4999999831416</c:v>
                </c:pt>
                <c:pt idx="31">
                  <c:v>1949.5833333165019</c:v>
                </c:pt>
                <c:pt idx="32">
                  <c:v>1949.666666649862</c:v>
                </c:pt>
                <c:pt idx="33">
                  <c:v>1949.7499999832223</c:v>
                </c:pt>
                <c:pt idx="34">
                  <c:v>1949.8333333165824</c:v>
                </c:pt>
                <c:pt idx="35">
                  <c:v>1949.9166666499427</c:v>
                </c:pt>
                <c:pt idx="36">
                  <c:v>1949.9999999833028</c:v>
                </c:pt>
                <c:pt idx="37">
                  <c:v>1950.0833333166631</c:v>
                </c:pt>
                <c:pt idx="38">
                  <c:v>1950.1666666500232</c:v>
                </c:pt>
                <c:pt idx="39">
                  <c:v>1950.2499999833835</c:v>
                </c:pt>
                <c:pt idx="40">
                  <c:v>1950.3333333167436</c:v>
                </c:pt>
                <c:pt idx="41">
                  <c:v>1950.4166666501039</c:v>
                </c:pt>
                <c:pt idx="42">
                  <c:v>1950.499999983464</c:v>
                </c:pt>
                <c:pt idx="43">
                  <c:v>1950.5833333168243</c:v>
                </c:pt>
                <c:pt idx="44">
                  <c:v>1950.6666666501844</c:v>
                </c:pt>
                <c:pt idx="45">
                  <c:v>1950.7499999835447</c:v>
                </c:pt>
                <c:pt idx="46">
                  <c:v>1950.8333333169048</c:v>
                </c:pt>
                <c:pt idx="47">
                  <c:v>1950.9166666502651</c:v>
                </c:pt>
                <c:pt idx="48">
                  <c:v>1950.9999999836252</c:v>
                </c:pt>
                <c:pt idx="49">
                  <c:v>1951.0833333169855</c:v>
                </c:pt>
                <c:pt idx="50">
                  <c:v>1951.1666666503456</c:v>
                </c:pt>
                <c:pt idx="51">
                  <c:v>1951.2499999837059</c:v>
                </c:pt>
                <c:pt idx="52">
                  <c:v>1951.333333317066</c:v>
                </c:pt>
                <c:pt idx="53">
                  <c:v>1951.4166666504264</c:v>
                </c:pt>
                <c:pt idx="54">
                  <c:v>1951.4999999837864</c:v>
                </c:pt>
                <c:pt idx="55">
                  <c:v>1951.5833333171468</c:v>
                </c:pt>
                <c:pt idx="56">
                  <c:v>1951.6666666505068</c:v>
                </c:pt>
                <c:pt idx="57">
                  <c:v>1951.7499999838672</c:v>
                </c:pt>
                <c:pt idx="58">
                  <c:v>1951.8333333172272</c:v>
                </c:pt>
                <c:pt idx="59">
                  <c:v>1951.9166666505876</c:v>
                </c:pt>
                <c:pt idx="60">
                  <c:v>1951.9999999839476</c:v>
                </c:pt>
                <c:pt idx="61">
                  <c:v>1952.083333317308</c:v>
                </c:pt>
                <c:pt idx="62">
                  <c:v>1952.166666650668</c:v>
                </c:pt>
                <c:pt idx="63">
                  <c:v>1952.2499999840284</c:v>
                </c:pt>
                <c:pt idx="64">
                  <c:v>1952.3333333173885</c:v>
                </c:pt>
                <c:pt idx="65">
                  <c:v>1952.4166666507488</c:v>
                </c:pt>
                <c:pt idx="66">
                  <c:v>1952.4999999841089</c:v>
                </c:pt>
                <c:pt idx="67">
                  <c:v>1952.5833333174692</c:v>
                </c:pt>
                <c:pt idx="68">
                  <c:v>1952.6666666508293</c:v>
                </c:pt>
                <c:pt idx="69">
                  <c:v>1952.7499999841896</c:v>
                </c:pt>
                <c:pt idx="70">
                  <c:v>1952.8333333175497</c:v>
                </c:pt>
                <c:pt idx="71">
                  <c:v>1952.91666665091</c:v>
                </c:pt>
                <c:pt idx="72">
                  <c:v>1952.9999999842701</c:v>
                </c:pt>
                <c:pt idx="73">
                  <c:v>1953.0833333176299</c:v>
                </c:pt>
                <c:pt idx="74">
                  <c:v>1953.16666665099</c:v>
                </c:pt>
                <c:pt idx="75">
                  <c:v>1953.2499999843501</c:v>
                </c:pt>
                <c:pt idx="76">
                  <c:v>1953.33333331771</c:v>
                </c:pt>
                <c:pt idx="77">
                  <c:v>1953.41666665107</c:v>
                </c:pt>
                <c:pt idx="78">
                  <c:v>1953.4999999844299</c:v>
                </c:pt>
                <c:pt idx="79">
                  <c:v>1953.58333331779</c:v>
                </c:pt>
                <c:pt idx="80">
                  <c:v>1953.6666666511501</c:v>
                </c:pt>
                <c:pt idx="81">
                  <c:v>1953.7499999845099</c:v>
                </c:pt>
                <c:pt idx="82">
                  <c:v>1953.83333331787</c:v>
                </c:pt>
                <c:pt idx="83">
                  <c:v>1953.9166666512299</c:v>
                </c:pt>
                <c:pt idx="84">
                  <c:v>1953.99999998459</c:v>
                </c:pt>
                <c:pt idx="85">
                  <c:v>1954.0833333179501</c:v>
                </c:pt>
                <c:pt idx="86">
                  <c:v>1954.1666666513099</c:v>
                </c:pt>
                <c:pt idx="87">
                  <c:v>1954.24999998467</c:v>
                </c:pt>
                <c:pt idx="88">
                  <c:v>1954.3333333180301</c:v>
                </c:pt>
                <c:pt idx="89">
                  <c:v>1954.41666665139</c:v>
                </c:pt>
                <c:pt idx="90">
                  <c:v>1954.49999998475</c:v>
                </c:pt>
                <c:pt idx="91">
                  <c:v>1954.5833333181099</c:v>
                </c:pt>
                <c:pt idx="92">
                  <c:v>1954.66666665147</c:v>
                </c:pt>
                <c:pt idx="93">
                  <c:v>1954.7499999848301</c:v>
                </c:pt>
                <c:pt idx="94">
                  <c:v>1954.8333333181899</c:v>
                </c:pt>
                <c:pt idx="95">
                  <c:v>1954.91666665155</c:v>
                </c:pt>
                <c:pt idx="96">
                  <c:v>1954.9999999849099</c:v>
                </c:pt>
                <c:pt idx="97">
                  <c:v>1955.08333331827</c:v>
                </c:pt>
                <c:pt idx="98">
                  <c:v>1955.1666666516301</c:v>
                </c:pt>
                <c:pt idx="99">
                  <c:v>1955.2499999849899</c:v>
                </c:pt>
                <c:pt idx="100">
                  <c:v>1955.33333331835</c:v>
                </c:pt>
                <c:pt idx="101">
                  <c:v>1955.4166666517101</c:v>
                </c:pt>
                <c:pt idx="102">
                  <c:v>1955.49999998507</c:v>
                </c:pt>
                <c:pt idx="103">
                  <c:v>1955.58333331843</c:v>
                </c:pt>
                <c:pt idx="104">
                  <c:v>1955.6666666517899</c:v>
                </c:pt>
                <c:pt idx="105">
                  <c:v>1955.74999998515</c:v>
                </c:pt>
                <c:pt idx="106">
                  <c:v>1955.8333333185101</c:v>
                </c:pt>
                <c:pt idx="107">
                  <c:v>1955.9166666518699</c:v>
                </c:pt>
                <c:pt idx="108">
                  <c:v>1955.99999998523</c:v>
                </c:pt>
                <c:pt idx="109">
                  <c:v>1956.0833333185899</c:v>
                </c:pt>
                <c:pt idx="110">
                  <c:v>1956.16666665195</c:v>
                </c:pt>
                <c:pt idx="111">
                  <c:v>1956.2499999853101</c:v>
                </c:pt>
                <c:pt idx="112">
                  <c:v>1956.3333333186699</c:v>
                </c:pt>
                <c:pt idx="113">
                  <c:v>1956.41666665203</c:v>
                </c:pt>
                <c:pt idx="114">
                  <c:v>1956.4999999853901</c:v>
                </c:pt>
                <c:pt idx="115">
                  <c:v>1956.58333331875</c:v>
                </c:pt>
                <c:pt idx="116">
                  <c:v>1956.6666666521101</c:v>
                </c:pt>
                <c:pt idx="117">
                  <c:v>1956.7499999854699</c:v>
                </c:pt>
                <c:pt idx="118">
                  <c:v>1956.83333331883</c:v>
                </c:pt>
                <c:pt idx="119">
                  <c:v>1956.9166666521901</c:v>
                </c:pt>
                <c:pt idx="120">
                  <c:v>1956.9999999855499</c:v>
                </c:pt>
                <c:pt idx="121">
                  <c:v>1957.08333331891</c:v>
                </c:pt>
                <c:pt idx="122">
                  <c:v>1957.1666666522699</c:v>
                </c:pt>
                <c:pt idx="123">
                  <c:v>1957.24999998563</c:v>
                </c:pt>
                <c:pt idx="124">
                  <c:v>1957.3333333189901</c:v>
                </c:pt>
                <c:pt idx="125">
                  <c:v>1957.4166666523499</c:v>
                </c:pt>
                <c:pt idx="126">
                  <c:v>1957.49999998571</c:v>
                </c:pt>
                <c:pt idx="127">
                  <c:v>1957.5833333190701</c:v>
                </c:pt>
                <c:pt idx="128">
                  <c:v>1957.66666665243</c:v>
                </c:pt>
                <c:pt idx="129">
                  <c:v>1957.7499999857901</c:v>
                </c:pt>
                <c:pt idx="130">
                  <c:v>1957.8333333191499</c:v>
                </c:pt>
                <c:pt idx="131">
                  <c:v>1957.91666665251</c:v>
                </c:pt>
                <c:pt idx="132">
                  <c:v>1957.9999999858701</c:v>
                </c:pt>
                <c:pt idx="133">
                  <c:v>1958.08333331923</c:v>
                </c:pt>
                <c:pt idx="134">
                  <c:v>1958.16666665259</c:v>
                </c:pt>
                <c:pt idx="135">
                  <c:v>1958.2499999859499</c:v>
                </c:pt>
                <c:pt idx="136">
                  <c:v>1958.33333331931</c:v>
                </c:pt>
                <c:pt idx="137">
                  <c:v>1958.4166666526701</c:v>
                </c:pt>
                <c:pt idx="138">
                  <c:v>1958.4999999860299</c:v>
                </c:pt>
                <c:pt idx="139">
                  <c:v>1958.58333331939</c:v>
                </c:pt>
                <c:pt idx="140">
                  <c:v>1958.6666666527501</c:v>
                </c:pt>
                <c:pt idx="141">
                  <c:v>1958.74999998611</c:v>
                </c:pt>
                <c:pt idx="142">
                  <c:v>1958.8333333194701</c:v>
                </c:pt>
                <c:pt idx="143">
                  <c:v>1958.9166666528299</c:v>
                </c:pt>
                <c:pt idx="144">
                  <c:v>1958.99999998619</c:v>
                </c:pt>
                <c:pt idx="145">
                  <c:v>1959.0833333195501</c:v>
                </c:pt>
                <c:pt idx="146">
                  <c:v>1959.16666665291</c:v>
                </c:pt>
                <c:pt idx="147">
                  <c:v>1959.24999998628</c:v>
                </c:pt>
                <c:pt idx="148">
                  <c:v>1959.3333333196399</c:v>
                </c:pt>
                <c:pt idx="149">
                  <c:v>1959.416666653</c:v>
                </c:pt>
                <c:pt idx="150">
                  <c:v>1959.4999999863601</c:v>
                </c:pt>
                <c:pt idx="151">
                  <c:v>1959.5833333197199</c:v>
                </c:pt>
                <c:pt idx="152">
                  <c:v>1959.66666665308</c:v>
                </c:pt>
                <c:pt idx="153">
                  <c:v>1959.7499999864399</c:v>
                </c:pt>
                <c:pt idx="154">
                  <c:v>1959.8333333198</c:v>
                </c:pt>
                <c:pt idx="155">
                  <c:v>1959.9166666531601</c:v>
                </c:pt>
                <c:pt idx="156">
                  <c:v>1959.9999999865199</c:v>
                </c:pt>
                <c:pt idx="157">
                  <c:v>1960.08333331988</c:v>
                </c:pt>
                <c:pt idx="158">
                  <c:v>1960.1666666532401</c:v>
                </c:pt>
                <c:pt idx="159">
                  <c:v>1960.2499999866</c:v>
                </c:pt>
                <c:pt idx="160">
                  <c:v>1960.33333331996</c:v>
                </c:pt>
                <c:pt idx="161">
                  <c:v>1960.4166666533199</c:v>
                </c:pt>
                <c:pt idx="162">
                  <c:v>1960.49999998668</c:v>
                </c:pt>
                <c:pt idx="163">
                  <c:v>1960.5833333200401</c:v>
                </c:pt>
                <c:pt idx="164">
                  <c:v>1960.6666666533999</c:v>
                </c:pt>
                <c:pt idx="165">
                  <c:v>1960.74999998676</c:v>
                </c:pt>
                <c:pt idx="166">
                  <c:v>1960.8333333201199</c:v>
                </c:pt>
                <c:pt idx="167">
                  <c:v>1960.91666665348</c:v>
                </c:pt>
                <c:pt idx="168">
                  <c:v>1960.9999999868401</c:v>
                </c:pt>
                <c:pt idx="169">
                  <c:v>1961.0833333201999</c:v>
                </c:pt>
                <c:pt idx="170">
                  <c:v>1961.16666665356</c:v>
                </c:pt>
                <c:pt idx="171">
                  <c:v>1961.2499999869201</c:v>
                </c:pt>
                <c:pt idx="172">
                  <c:v>1961.33333332028</c:v>
                </c:pt>
                <c:pt idx="173">
                  <c:v>1961.41666665364</c:v>
                </c:pt>
                <c:pt idx="174">
                  <c:v>1961.4999999869999</c:v>
                </c:pt>
                <c:pt idx="175">
                  <c:v>1961.58333332036</c:v>
                </c:pt>
                <c:pt idx="176">
                  <c:v>1961.6666666537201</c:v>
                </c:pt>
                <c:pt idx="177">
                  <c:v>1961.7499999870799</c:v>
                </c:pt>
                <c:pt idx="178">
                  <c:v>1961.83333332044</c:v>
                </c:pt>
                <c:pt idx="179">
                  <c:v>1961.9166666537999</c:v>
                </c:pt>
                <c:pt idx="180">
                  <c:v>1961.99999998716</c:v>
                </c:pt>
                <c:pt idx="181">
                  <c:v>1962.0833333205201</c:v>
                </c:pt>
                <c:pt idx="182">
                  <c:v>1962.1666666538799</c:v>
                </c:pt>
                <c:pt idx="183">
                  <c:v>1962.24999998724</c:v>
                </c:pt>
                <c:pt idx="184">
                  <c:v>1962.3333333205999</c:v>
                </c:pt>
                <c:pt idx="185">
                  <c:v>1962.41666665396</c:v>
                </c:pt>
                <c:pt idx="186">
                  <c:v>1962.4999999873201</c:v>
                </c:pt>
                <c:pt idx="187">
                  <c:v>1962.5833333206799</c:v>
                </c:pt>
                <c:pt idx="188">
                  <c:v>1962.66666665404</c:v>
                </c:pt>
                <c:pt idx="189">
                  <c:v>1962.7499999874001</c:v>
                </c:pt>
                <c:pt idx="190">
                  <c:v>1962.8333333207599</c:v>
                </c:pt>
                <c:pt idx="191">
                  <c:v>1962.91666665412</c:v>
                </c:pt>
                <c:pt idx="192">
                  <c:v>1962.9999999874799</c:v>
                </c:pt>
                <c:pt idx="193">
                  <c:v>1963.08333332084</c:v>
                </c:pt>
                <c:pt idx="194">
                  <c:v>1963.1666666542001</c:v>
                </c:pt>
                <c:pt idx="195">
                  <c:v>1963.2499999875599</c:v>
                </c:pt>
                <c:pt idx="196">
                  <c:v>1963.33333332092</c:v>
                </c:pt>
                <c:pt idx="197">
                  <c:v>1963.4166666542801</c:v>
                </c:pt>
                <c:pt idx="198">
                  <c:v>1963.49999998764</c:v>
                </c:pt>
                <c:pt idx="199">
                  <c:v>1963.5833333210001</c:v>
                </c:pt>
                <c:pt idx="200">
                  <c:v>1963.6666666543599</c:v>
                </c:pt>
                <c:pt idx="201">
                  <c:v>1963.74999998772</c:v>
                </c:pt>
                <c:pt idx="202">
                  <c:v>1963.8333333210801</c:v>
                </c:pt>
                <c:pt idx="203">
                  <c:v>1963.91666665444</c:v>
                </c:pt>
                <c:pt idx="204">
                  <c:v>1963.9999999878</c:v>
                </c:pt>
                <c:pt idx="205">
                  <c:v>1964.0833333211599</c:v>
                </c:pt>
                <c:pt idx="206">
                  <c:v>1964.16666665452</c:v>
                </c:pt>
                <c:pt idx="207">
                  <c:v>1964.2499999878801</c:v>
                </c:pt>
                <c:pt idx="208">
                  <c:v>1964.3333333212399</c:v>
                </c:pt>
                <c:pt idx="209">
                  <c:v>1964.4166666546</c:v>
                </c:pt>
                <c:pt idx="210">
                  <c:v>1964.4999999879601</c:v>
                </c:pt>
                <c:pt idx="211">
                  <c:v>1964.58333332132</c:v>
                </c:pt>
                <c:pt idx="212">
                  <c:v>1964.6666666546801</c:v>
                </c:pt>
                <c:pt idx="213">
                  <c:v>1964.7499999880399</c:v>
                </c:pt>
                <c:pt idx="214">
                  <c:v>1964.8333333214</c:v>
                </c:pt>
                <c:pt idx="215">
                  <c:v>1964.9166666547601</c:v>
                </c:pt>
                <c:pt idx="216">
                  <c:v>1964.99999998812</c:v>
                </c:pt>
                <c:pt idx="217">
                  <c:v>1965.08333332148</c:v>
                </c:pt>
                <c:pt idx="218">
                  <c:v>1965.1666666548399</c:v>
                </c:pt>
                <c:pt idx="219">
                  <c:v>1965.2499999882</c:v>
                </c:pt>
                <c:pt idx="220">
                  <c:v>1965.3333333215601</c:v>
                </c:pt>
                <c:pt idx="221">
                  <c:v>1965.4166666549199</c:v>
                </c:pt>
                <c:pt idx="222">
                  <c:v>1965.49999998828</c:v>
                </c:pt>
                <c:pt idx="223">
                  <c:v>1965.5833333216401</c:v>
                </c:pt>
                <c:pt idx="224">
                  <c:v>1965.666666655</c:v>
                </c:pt>
                <c:pt idx="225">
                  <c:v>1965.7499999883601</c:v>
                </c:pt>
                <c:pt idx="226">
                  <c:v>1965.8333333217199</c:v>
                </c:pt>
                <c:pt idx="227">
                  <c:v>1965.91666665508</c:v>
                </c:pt>
                <c:pt idx="228">
                  <c:v>1965.9999999884401</c:v>
                </c:pt>
                <c:pt idx="229">
                  <c:v>1966.0833333218</c:v>
                </c:pt>
                <c:pt idx="230">
                  <c:v>1966.16666665516</c:v>
                </c:pt>
                <c:pt idx="231">
                  <c:v>1966.2499999885199</c:v>
                </c:pt>
                <c:pt idx="232">
                  <c:v>1966.33333332188</c:v>
                </c:pt>
                <c:pt idx="233">
                  <c:v>1966.4166666552401</c:v>
                </c:pt>
                <c:pt idx="234">
                  <c:v>1966.4999999885999</c:v>
                </c:pt>
                <c:pt idx="235">
                  <c:v>1966.58333332196</c:v>
                </c:pt>
                <c:pt idx="236">
                  <c:v>1966.6666666553199</c:v>
                </c:pt>
                <c:pt idx="237">
                  <c:v>1966.74999998868</c:v>
                </c:pt>
                <c:pt idx="238">
                  <c:v>1966.8333333220401</c:v>
                </c:pt>
                <c:pt idx="239">
                  <c:v>1966.9166666553999</c:v>
                </c:pt>
                <c:pt idx="240">
                  <c:v>1966.99999998876</c:v>
                </c:pt>
                <c:pt idx="241">
                  <c:v>1967.0833333221201</c:v>
                </c:pt>
                <c:pt idx="242">
                  <c:v>1967.16666665548</c:v>
                </c:pt>
                <c:pt idx="243">
                  <c:v>1967.24999998884</c:v>
                </c:pt>
                <c:pt idx="244">
                  <c:v>1967.3333333221999</c:v>
                </c:pt>
                <c:pt idx="245">
                  <c:v>1967.41666665556</c:v>
                </c:pt>
                <c:pt idx="246">
                  <c:v>1967.4999999889201</c:v>
                </c:pt>
                <c:pt idx="247">
                  <c:v>1967.5833333222799</c:v>
                </c:pt>
                <c:pt idx="248">
                  <c:v>1967.66666665564</c:v>
                </c:pt>
                <c:pt idx="249">
                  <c:v>1967.7499999889999</c:v>
                </c:pt>
                <c:pt idx="250">
                  <c:v>1967.83333332236</c:v>
                </c:pt>
                <c:pt idx="251">
                  <c:v>1967.9166666557201</c:v>
                </c:pt>
                <c:pt idx="252">
                  <c:v>1967.9999999890799</c:v>
                </c:pt>
                <c:pt idx="253">
                  <c:v>1968.08333332244</c:v>
                </c:pt>
                <c:pt idx="254">
                  <c:v>1968.1666666558001</c:v>
                </c:pt>
                <c:pt idx="255">
                  <c:v>1968.24999998916</c:v>
                </c:pt>
                <c:pt idx="256">
                  <c:v>1968.33333332252</c:v>
                </c:pt>
                <c:pt idx="257">
                  <c:v>1968.4166666558799</c:v>
                </c:pt>
                <c:pt idx="258">
                  <c:v>1968.49999998924</c:v>
                </c:pt>
                <c:pt idx="259">
                  <c:v>1968.5833333226001</c:v>
                </c:pt>
                <c:pt idx="260">
                  <c:v>1968.6666666559599</c:v>
                </c:pt>
                <c:pt idx="261">
                  <c:v>1968.74999998933</c:v>
                </c:pt>
                <c:pt idx="262">
                  <c:v>1968.8333333226899</c:v>
                </c:pt>
                <c:pt idx="263">
                  <c:v>1968.91666665605</c:v>
                </c:pt>
                <c:pt idx="264">
                  <c:v>1968.9999999894101</c:v>
                </c:pt>
                <c:pt idx="265">
                  <c:v>1969.0833333227699</c:v>
                </c:pt>
                <c:pt idx="266">
                  <c:v>1969.16666665613</c:v>
                </c:pt>
                <c:pt idx="267">
                  <c:v>1969.2499999894901</c:v>
                </c:pt>
                <c:pt idx="268">
                  <c:v>1969.33333332285</c:v>
                </c:pt>
                <c:pt idx="269">
                  <c:v>1969.4166666562101</c:v>
                </c:pt>
                <c:pt idx="270">
                  <c:v>1969.4999999895699</c:v>
                </c:pt>
                <c:pt idx="271">
                  <c:v>1969.58333332293</c:v>
                </c:pt>
                <c:pt idx="272">
                  <c:v>1969.6666666562901</c:v>
                </c:pt>
                <c:pt idx="273">
                  <c:v>1969.74999998965</c:v>
                </c:pt>
                <c:pt idx="274">
                  <c:v>1969.83333332301</c:v>
                </c:pt>
                <c:pt idx="275">
                  <c:v>1969.9166666563699</c:v>
                </c:pt>
                <c:pt idx="276">
                  <c:v>1969.99999998973</c:v>
                </c:pt>
                <c:pt idx="277">
                  <c:v>1970.0833333230901</c:v>
                </c:pt>
                <c:pt idx="278">
                  <c:v>1970.1666666564499</c:v>
                </c:pt>
                <c:pt idx="279">
                  <c:v>1970.24999998981</c:v>
                </c:pt>
                <c:pt idx="280">
                  <c:v>1970.3333333231701</c:v>
                </c:pt>
                <c:pt idx="281">
                  <c:v>1970.41666665653</c:v>
                </c:pt>
                <c:pt idx="282">
                  <c:v>1970.4999999898901</c:v>
                </c:pt>
                <c:pt idx="283">
                  <c:v>1970.5833333232499</c:v>
                </c:pt>
                <c:pt idx="284">
                  <c:v>1970.66666665661</c:v>
                </c:pt>
                <c:pt idx="285">
                  <c:v>1970.7499999899701</c:v>
                </c:pt>
                <c:pt idx="286">
                  <c:v>1970.83333332333</c:v>
                </c:pt>
                <c:pt idx="287">
                  <c:v>1970.91666665669</c:v>
                </c:pt>
                <c:pt idx="288">
                  <c:v>1970.9999999900499</c:v>
                </c:pt>
                <c:pt idx="289">
                  <c:v>1971.08333332341</c:v>
                </c:pt>
                <c:pt idx="290">
                  <c:v>1971.1666666567701</c:v>
                </c:pt>
                <c:pt idx="291">
                  <c:v>1971.2499999901299</c:v>
                </c:pt>
                <c:pt idx="292">
                  <c:v>1971.33333332349</c:v>
                </c:pt>
                <c:pt idx="293">
                  <c:v>1971.4166666568501</c:v>
                </c:pt>
                <c:pt idx="294">
                  <c:v>1971.49999999021</c:v>
                </c:pt>
                <c:pt idx="295">
                  <c:v>1971.5833333235701</c:v>
                </c:pt>
                <c:pt idx="296">
                  <c:v>1971.6666666569299</c:v>
                </c:pt>
                <c:pt idx="297">
                  <c:v>1971.74999999029</c:v>
                </c:pt>
                <c:pt idx="298">
                  <c:v>1971.8333333236501</c:v>
                </c:pt>
                <c:pt idx="299">
                  <c:v>1971.91666665701</c:v>
                </c:pt>
                <c:pt idx="300">
                  <c:v>1971.99999999037</c:v>
                </c:pt>
                <c:pt idx="301">
                  <c:v>1972.0833333237299</c:v>
                </c:pt>
                <c:pt idx="302">
                  <c:v>1972.16666665709</c:v>
                </c:pt>
                <c:pt idx="303">
                  <c:v>1972.2499999904501</c:v>
                </c:pt>
                <c:pt idx="304">
                  <c:v>1972.3333333238099</c:v>
                </c:pt>
                <c:pt idx="305">
                  <c:v>1972.41666665717</c:v>
                </c:pt>
                <c:pt idx="306">
                  <c:v>1972.4999999905299</c:v>
                </c:pt>
                <c:pt idx="307">
                  <c:v>1972.58333332389</c:v>
                </c:pt>
                <c:pt idx="308">
                  <c:v>1972.6666666572501</c:v>
                </c:pt>
                <c:pt idx="309">
                  <c:v>1972.7499999906099</c:v>
                </c:pt>
                <c:pt idx="310">
                  <c:v>1972.83333332397</c:v>
                </c:pt>
                <c:pt idx="311">
                  <c:v>1972.9166666573301</c:v>
                </c:pt>
                <c:pt idx="312">
                  <c:v>1972.99999999069</c:v>
                </c:pt>
                <c:pt idx="313">
                  <c:v>1973.08333332405</c:v>
                </c:pt>
                <c:pt idx="314">
                  <c:v>1973.1666666574099</c:v>
                </c:pt>
                <c:pt idx="315">
                  <c:v>1973.24999999077</c:v>
                </c:pt>
                <c:pt idx="316">
                  <c:v>1973.3333333241301</c:v>
                </c:pt>
                <c:pt idx="317">
                  <c:v>1973.4166666574899</c:v>
                </c:pt>
                <c:pt idx="318">
                  <c:v>1973.49999999085</c:v>
                </c:pt>
                <c:pt idx="319">
                  <c:v>1973.5833333242099</c:v>
                </c:pt>
                <c:pt idx="320">
                  <c:v>1973.66666665757</c:v>
                </c:pt>
                <c:pt idx="321">
                  <c:v>1973.7499999909301</c:v>
                </c:pt>
                <c:pt idx="322">
                  <c:v>1973.8333333242899</c:v>
                </c:pt>
                <c:pt idx="323">
                  <c:v>1973.91666665765</c:v>
                </c:pt>
                <c:pt idx="324">
                  <c:v>1973.9999999910101</c:v>
                </c:pt>
                <c:pt idx="325">
                  <c:v>1974.08333332437</c:v>
                </c:pt>
                <c:pt idx="326">
                  <c:v>1974.16666665773</c:v>
                </c:pt>
                <c:pt idx="327">
                  <c:v>1974.2499999910899</c:v>
                </c:pt>
                <c:pt idx="328">
                  <c:v>1974.33333332445</c:v>
                </c:pt>
                <c:pt idx="329">
                  <c:v>1974.4166666578101</c:v>
                </c:pt>
                <c:pt idx="330">
                  <c:v>1974.4999999911699</c:v>
                </c:pt>
                <c:pt idx="331">
                  <c:v>1974.58333332453</c:v>
                </c:pt>
                <c:pt idx="332">
                  <c:v>1974.6666666578899</c:v>
                </c:pt>
                <c:pt idx="333">
                  <c:v>1974.74999999125</c:v>
                </c:pt>
                <c:pt idx="334">
                  <c:v>1974.8333333246101</c:v>
                </c:pt>
                <c:pt idx="335">
                  <c:v>1974.9166666579699</c:v>
                </c:pt>
                <c:pt idx="336">
                  <c:v>1974.99999999133</c:v>
                </c:pt>
                <c:pt idx="337">
                  <c:v>1975.0833333246901</c:v>
                </c:pt>
                <c:pt idx="338">
                  <c:v>1975.16666665805</c:v>
                </c:pt>
                <c:pt idx="339">
                  <c:v>1975.24999999141</c:v>
                </c:pt>
                <c:pt idx="340">
                  <c:v>1975.3333333247699</c:v>
                </c:pt>
                <c:pt idx="341">
                  <c:v>1975.41666665813</c:v>
                </c:pt>
                <c:pt idx="342">
                  <c:v>1975.4999999914901</c:v>
                </c:pt>
                <c:pt idx="343">
                  <c:v>1975.5833333248499</c:v>
                </c:pt>
                <c:pt idx="344">
                  <c:v>1975.66666665821</c:v>
                </c:pt>
                <c:pt idx="345">
                  <c:v>1975.7499999915699</c:v>
                </c:pt>
                <c:pt idx="346">
                  <c:v>1975.83333332493</c:v>
                </c:pt>
                <c:pt idx="347">
                  <c:v>1975.9166666582901</c:v>
                </c:pt>
                <c:pt idx="348">
                  <c:v>1975.9999999916499</c:v>
                </c:pt>
                <c:pt idx="349">
                  <c:v>1976.08333332501</c:v>
                </c:pt>
                <c:pt idx="350">
                  <c:v>1976.1666666583701</c:v>
                </c:pt>
                <c:pt idx="351">
                  <c:v>1976.24999999173</c:v>
                </c:pt>
                <c:pt idx="352">
                  <c:v>1976.3333333250901</c:v>
                </c:pt>
                <c:pt idx="353">
                  <c:v>1976.4166666584499</c:v>
                </c:pt>
                <c:pt idx="354">
                  <c:v>1976.49999999181</c:v>
                </c:pt>
                <c:pt idx="355">
                  <c:v>1976.5833333251701</c:v>
                </c:pt>
                <c:pt idx="356">
                  <c:v>1976.6666666585299</c:v>
                </c:pt>
                <c:pt idx="357">
                  <c:v>1976.74999999189</c:v>
                </c:pt>
                <c:pt idx="358">
                  <c:v>1976.8333333252499</c:v>
                </c:pt>
                <c:pt idx="359">
                  <c:v>1976.91666665861</c:v>
                </c:pt>
                <c:pt idx="360">
                  <c:v>1976.9999999919701</c:v>
                </c:pt>
                <c:pt idx="361">
                  <c:v>1977.0833333253299</c:v>
                </c:pt>
                <c:pt idx="362">
                  <c:v>1977.16666665869</c:v>
                </c:pt>
                <c:pt idx="363">
                  <c:v>1977.2499999920501</c:v>
                </c:pt>
                <c:pt idx="364">
                  <c:v>1977.33333332541</c:v>
                </c:pt>
                <c:pt idx="365">
                  <c:v>1977.4166666587701</c:v>
                </c:pt>
                <c:pt idx="366">
                  <c:v>1977.4999999921299</c:v>
                </c:pt>
                <c:pt idx="367">
                  <c:v>1977.58333332549</c:v>
                </c:pt>
                <c:pt idx="368">
                  <c:v>1977.6666666588501</c:v>
                </c:pt>
                <c:pt idx="369">
                  <c:v>1977.74999999221</c:v>
                </c:pt>
                <c:pt idx="370">
                  <c:v>1977.83333332557</c:v>
                </c:pt>
                <c:pt idx="371">
                  <c:v>1977.9166666589297</c:v>
                </c:pt>
                <c:pt idx="372">
                  <c:v>1977.99999999229</c:v>
                </c:pt>
                <c:pt idx="373">
                  <c:v>1978.0833333256503</c:v>
                </c:pt>
                <c:pt idx="374">
                  <c:v>1978.1666666590106</c:v>
                </c:pt>
                <c:pt idx="375">
                  <c:v>1978.2499999923707</c:v>
                </c:pt>
                <c:pt idx="376">
                  <c:v>1978.333333325731</c:v>
                </c:pt>
                <c:pt idx="377">
                  <c:v>1978.4166666590913</c:v>
                </c:pt>
                <c:pt idx="378">
                  <c:v>1978.4999999924516</c:v>
                </c:pt>
                <c:pt idx="379">
                  <c:v>1978.583333325812</c:v>
                </c:pt>
                <c:pt idx="380">
                  <c:v>1978.6666666591721</c:v>
                </c:pt>
                <c:pt idx="381">
                  <c:v>1978.7499999925324</c:v>
                </c:pt>
                <c:pt idx="382">
                  <c:v>1978.8333333258927</c:v>
                </c:pt>
                <c:pt idx="383">
                  <c:v>1978.916666659253</c:v>
                </c:pt>
                <c:pt idx="384">
                  <c:v>1978.9999999926133</c:v>
                </c:pt>
                <c:pt idx="385">
                  <c:v>1979.0833333259736</c:v>
                </c:pt>
                <c:pt idx="386">
                  <c:v>1979.1666666593337</c:v>
                </c:pt>
                <c:pt idx="387">
                  <c:v>1979.249999992694</c:v>
                </c:pt>
                <c:pt idx="388">
                  <c:v>1979.3333333260543</c:v>
                </c:pt>
                <c:pt idx="389">
                  <c:v>1979.4166666594147</c:v>
                </c:pt>
                <c:pt idx="390">
                  <c:v>1979.499999992775</c:v>
                </c:pt>
                <c:pt idx="391">
                  <c:v>1979.5833333261351</c:v>
                </c:pt>
                <c:pt idx="392">
                  <c:v>1979.6666666594954</c:v>
                </c:pt>
                <c:pt idx="393">
                  <c:v>1979.7499999928557</c:v>
                </c:pt>
                <c:pt idx="394">
                  <c:v>1979.833333326216</c:v>
                </c:pt>
                <c:pt idx="395">
                  <c:v>1979.9166666595763</c:v>
                </c:pt>
                <c:pt idx="396">
                  <c:v>1979.9999999929364</c:v>
                </c:pt>
                <c:pt idx="397">
                  <c:v>1980.0833333262967</c:v>
                </c:pt>
                <c:pt idx="398">
                  <c:v>1980.166666659657</c:v>
                </c:pt>
                <c:pt idx="399">
                  <c:v>1980.2499999930174</c:v>
                </c:pt>
                <c:pt idx="400">
                  <c:v>1980.3333333263777</c:v>
                </c:pt>
                <c:pt idx="401">
                  <c:v>1980.416666659738</c:v>
                </c:pt>
                <c:pt idx="402">
                  <c:v>1980.4999999930981</c:v>
                </c:pt>
                <c:pt idx="403">
                  <c:v>1980.5833333264584</c:v>
                </c:pt>
                <c:pt idx="404">
                  <c:v>1980.6666666598187</c:v>
                </c:pt>
                <c:pt idx="405">
                  <c:v>1980.749999993179</c:v>
                </c:pt>
                <c:pt idx="406">
                  <c:v>1980.8333333265393</c:v>
                </c:pt>
                <c:pt idx="407">
                  <c:v>1980.9166666598994</c:v>
                </c:pt>
                <c:pt idx="408">
                  <c:v>1980.9999999932597</c:v>
                </c:pt>
                <c:pt idx="409">
                  <c:v>1981.08333332662</c:v>
                </c:pt>
                <c:pt idx="410">
                  <c:v>1981.1666666599799</c:v>
                </c:pt>
                <c:pt idx="411">
                  <c:v>1981.24999999334</c:v>
                </c:pt>
                <c:pt idx="412">
                  <c:v>1981.3333333267001</c:v>
                </c:pt>
                <c:pt idx="413">
                  <c:v>1981.4166666600599</c:v>
                </c:pt>
                <c:pt idx="414">
                  <c:v>1981.49999999342</c:v>
                </c:pt>
                <c:pt idx="415">
                  <c:v>1981.5833333267799</c:v>
                </c:pt>
                <c:pt idx="416">
                  <c:v>1981.66666666014</c:v>
                </c:pt>
                <c:pt idx="417">
                  <c:v>1981.7499999935001</c:v>
                </c:pt>
                <c:pt idx="418">
                  <c:v>1981.8333333268599</c:v>
                </c:pt>
                <c:pt idx="419">
                  <c:v>1981.91666666022</c:v>
                </c:pt>
                <c:pt idx="420">
                  <c:v>1981.9999999935801</c:v>
                </c:pt>
                <c:pt idx="421">
                  <c:v>1982.08333332694</c:v>
                </c:pt>
                <c:pt idx="422">
                  <c:v>1982.1666666603001</c:v>
                </c:pt>
                <c:pt idx="423">
                  <c:v>1982.2499999936599</c:v>
                </c:pt>
                <c:pt idx="424">
                  <c:v>1982.33333332702</c:v>
                </c:pt>
                <c:pt idx="425">
                  <c:v>1982.4166666603801</c:v>
                </c:pt>
                <c:pt idx="426">
                  <c:v>1982.4999999937399</c:v>
                </c:pt>
                <c:pt idx="427">
                  <c:v>1982.5833333271</c:v>
                </c:pt>
                <c:pt idx="428">
                  <c:v>1982.6666666604599</c:v>
                </c:pt>
                <c:pt idx="429">
                  <c:v>1982.74999999382</c:v>
                </c:pt>
                <c:pt idx="430">
                  <c:v>1982.8333333271801</c:v>
                </c:pt>
                <c:pt idx="431">
                  <c:v>1982.9166666605399</c:v>
                </c:pt>
                <c:pt idx="432">
                  <c:v>1982.9999999939</c:v>
                </c:pt>
                <c:pt idx="433">
                  <c:v>1983.0833333272601</c:v>
                </c:pt>
                <c:pt idx="434">
                  <c:v>1983.16666666062</c:v>
                </c:pt>
                <c:pt idx="435">
                  <c:v>1983.2499999939801</c:v>
                </c:pt>
                <c:pt idx="436">
                  <c:v>1983.3333333273399</c:v>
                </c:pt>
                <c:pt idx="437">
                  <c:v>1983.4166666607</c:v>
                </c:pt>
                <c:pt idx="438">
                  <c:v>1983.4999999940601</c:v>
                </c:pt>
                <c:pt idx="439">
                  <c:v>1983.58333332742</c:v>
                </c:pt>
                <c:pt idx="440">
                  <c:v>1983.66666666078</c:v>
                </c:pt>
                <c:pt idx="441">
                  <c:v>1983.7499999941399</c:v>
                </c:pt>
                <c:pt idx="442">
                  <c:v>1983.8333333275</c:v>
                </c:pt>
                <c:pt idx="443">
                  <c:v>1983.9166666608601</c:v>
                </c:pt>
                <c:pt idx="444">
                  <c:v>1983.9999999942199</c:v>
                </c:pt>
                <c:pt idx="445">
                  <c:v>1984.08333332758</c:v>
                </c:pt>
                <c:pt idx="446">
                  <c:v>1984.1666666609401</c:v>
                </c:pt>
                <c:pt idx="447">
                  <c:v>1984.2499999943</c:v>
                </c:pt>
                <c:pt idx="448">
                  <c:v>1984.3333333276601</c:v>
                </c:pt>
                <c:pt idx="449">
                  <c:v>1984.4166666610199</c:v>
                </c:pt>
                <c:pt idx="450">
                  <c:v>1984.49999999438</c:v>
                </c:pt>
                <c:pt idx="451">
                  <c:v>1984.5833333277401</c:v>
                </c:pt>
                <c:pt idx="452">
                  <c:v>1984.6666666611</c:v>
                </c:pt>
                <c:pt idx="453">
                  <c:v>1984.74999999446</c:v>
                </c:pt>
                <c:pt idx="454">
                  <c:v>1984.8333333278199</c:v>
                </c:pt>
                <c:pt idx="455">
                  <c:v>1984.91666666118</c:v>
                </c:pt>
                <c:pt idx="456">
                  <c:v>1984.9999999945401</c:v>
                </c:pt>
                <c:pt idx="457">
                  <c:v>1985.0833333278999</c:v>
                </c:pt>
                <c:pt idx="458">
                  <c:v>1985.16666666126</c:v>
                </c:pt>
                <c:pt idx="459">
                  <c:v>1985.2499999946201</c:v>
                </c:pt>
                <c:pt idx="460">
                  <c:v>1985.33333332798</c:v>
                </c:pt>
                <c:pt idx="461">
                  <c:v>1985.4166666613401</c:v>
                </c:pt>
                <c:pt idx="462">
                  <c:v>1985.4999999946999</c:v>
                </c:pt>
                <c:pt idx="463">
                  <c:v>1985.58333332806</c:v>
                </c:pt>
                <c:pt idx="464">
                  <c:v>1985.6666666614201</c:v>
                </c:pt>
                <c:pt idx="465">
                  <c:v>1985.74999999478</c:v>
                </c:pt>
                <c:pt idx="466">
                  <c:v>1985.83333332814</c:v>
                </c:pt>
                <c:pt idx="467">
                  <c:v>1985.9166666614999</c:v>
                </c:pt>
                <c:pt idx="468">
                  <c:v>1985.99999999486</c:v>
                </c:pt>
                <c:pt idx="469">
                  <c:v>1986.0833333282201</c:v>
                </c:pt>
                <c:pt idx="470">
                  <c:v>1986.1666666615799</c:v>
                </c:pt>
                <c:pt idx="471">
                  <c:v>1986.24999999494</c:v>
                </c:pt>
                <c:pt idx="472">
                  <c:v>1986.3333333282999</c:v>
                </c:pt>
                <c:pt idx="473">
                  <c:v>1986.41666666166</c:v>
                </c:pt>
                <c:pt idx="474">
                  <c:v>1986.4999999950201</c:v>
                </c:pt>
                <c:pt idx="475">
                  <c:v>1986.5833333283799</c:v>
                </c:pt>
                <c:pt idx="476">
                  <c:v>1986.66666666174</c:v>
                </c:pt>
                <c:pt idx="477">
                  <c:v>1986.7499999951001</c:v>
                </c:pt>
                <c:pt idx="478">
                  <c:v>1986.83333332846</c:v>
                </c:pt>
                <c:pt idx="479">
                  <c:v>1986.91666666182</c:v>
                </c:pt>
                <c:pt idx="480">
                  <c:v>1986.9999999951799</c:v>
                </c:pt>
                <c:pt idx="481">
                  <c:v>1987.08333332854</c:v>
                </c:pt>
                <c:pt idx="482">
                  <c:v>1987.1666666619001</c:v>
                </c:pt>
                <c:pt idx="483">
                  <c:v>1987.2499999952599</c:v>
                </c:pt>
                <c:pt idx="484">
                  <c:v>1987.33333332862</c:v>
                </c:pt>
                <c:pt idx="485">
                  <c:v>1987.4166666619799</c:v>
                </c:pt>
                <c:pt idx="486">
                  <c:v>1987.49999999534</c:v>
                </c:pt>
                <c:pt idx="487">
                  <c:v>1987.5833333287001</c:v>
                </c:pt>
                <c:pt idx="488">
                  <c:v>1987.6666666620599</c:v>
                </c:pt>
                <c:pt idx="489">
                  <c:v>1987.74999999543</c:v>
                </c:pt>
                <c:pt idx="490">
                  <c:v>1987.8333333287901</c:v>
                </c:pt>
                <c:pt idx="491">
                  <c:v>1987.9166666621497</c:v>
                </c:pt>
                <c:pt idx="492">
                  <c:v>1987.9999999955098</c:v>
                </c:pt>
                <c:pt idx="493">
                  <c:v>1988.0833333288699</c:v>
                </c:pt>
                <c:pt idx="494">
                  <c:v>1988.1666666622298</c:v>
                </c:pt>
                <c:pt idx="495">
                  <c:v>1988.2499999955899</c:v>
                </c:pt>
                <c:pt idx="496">
                  <c:v>1988.3333333289497</c:v>
                </c:pt>
                <c:pt idx="497">
                  <c:v>1988.4166666623098</c:v>
                </c:pt>
                <c:pt idx="498">
                  <c:v>1988.4999999956699</c:v>
                </c:pt>
                <c:pt idx="499">
                  <c:v>1988.5833333290298</c:v>
                </c:pt>
                <c:pt idx="500">
                  <c:v>1988.6666666623898</c:v>
                </c:pt>
                <c:pt idx="501">
                  <c:v>1988.7499999957499</c:v>
                </c:pt>
                <c:pt idx="502">
                  <c:v>1988.8333333291098</c:v>
                </c:pt>
                <c:pt idx="503">
                  <c:v>1988.9166666624699</c:v>
                </c:pt>
                <c:pt idx="504">
                  <c:v>1988.9999999958297</c:v>
                </c:pt>
                <c:pt idx="505">
                  <c:v>1989.0833333291898</c:v>
                </c:pt>
                <c:pt idx="506">
                  <c:v>1989.1666666625499</c:v>
                </c:pt>
                <c:pt idx="507">
                  <c:v>1989.2499999959098</c:v>
                </c:pt>
                <c:pt idx="508">
                  <c:v>1989.3333333292699</c:v>
                </c:pt>
                <c:pt idx="509">
                  <c:v>1989.41666666263</c:v>
                </c:pt>
                <c:pt idx="510">
                  <c:v>1989.4999999959898</c:v>
                </c:pt>
                <c:pt idx="511">
                  <c:v>1989.5833333293499</c:v>
                </c:pt>
                <c:pt idx="512">
                  <c:v>1989.6666666627098</c:v>
                </c:pt>
                <c:pt idx="513">
                  <c:v>1989.7499999960698</c:v>
                </c:pt>
                <c:pt idx="514">
                  <c:v>1989.8333333294299</c:v>
                </c:pt>
                <c:pt idx="515">
                  <c:v>1989.9166666627898</c:v>
                </c:pt>
                <c:pt idx="516">
                  <c:v>1989.9999999961499</c:v>
                </c:pt>
                <c:pt idx="517">
                  <c:v>1990.08333332951</c:v>
                </c:pt>
                <c:pt idx="518">
                  <c:v>1990.1666666628698</c:v>
                </c:pt>
                <c:pt idx="519">
                  <c:v>1990.2499999962299</c:v>
                </c:pt>
                <c:pt idx="520">
                  <c:v>1990.3333333295898</c:v>
                </c:pt>
                <c:pt idx="521">
                  <c:v>1990.4166666629499</c:v>
                </c:pt>
                <c:pt idx="522">
                  <c:v>1990.49999999631</c:v>
                </c:pt>
                <c:pt idx="523">
                  <c:v>1990.5833333296698</c:v>
                </c:pt>
                <c:pt idx="524">
                  <c:v>1990.6666666630299</c:v>
                </c:pt>
                <c:pt idx="525">
                  <c:v>1990.74999999639</c:v>
                </c:pt>
                <c:pt idx="526">
                  <c:v>1990.8333333297498</c:v>
                </c:pt>
                <c:pt idx="527">
                  <c:v>1990.9166666631099</c:v>
                </c:pt>
                <c:pt idx="528">
                  <c:v>1990.9999999964698</c:v>
                </c:pt>
                <c:pt idx="529">
                  <c:v>1991.0833333298301</c:v>
                </c:pt>
                <c:pt idx="530">
                  <c:v>1991.16666666319</c:v>
                </c:pt>
                <c:pt idx="531">
                  <c:v>1991.2499999965501</c:v>
                </c:pt>
                <c:pt idx="532">
                  <c:v>1991.3333333299099</c:v>
                </c:pt>
                <c:pt idx="533">
                  <c:v>1991.41666666327</c:v>
                </c:pt>
                <c:pt idx="534">
                  <c:v>1991.4999999966301</c:v>
                </c:pt>
                <c:pt idx="535">
                  <c:v>1991.58333332999</c:v>
                </c:pt>
                <c:pt idx="536">
                  <c:v>1991.66666666335</c:v>
                </c:pt>
                <c:pt idx="537">
                  <c:v>1991.7499999967099</c:v>
                </c:pt>
                <c:pt idx="538">
                  <c:v>1991.83333333007</c:v>
                </c:pt>
                <c:pt idx="539">
                  <c:v>1991.9166666634301</c:v>
                </c:pt>
                <c:pt idx="540">
                  <c:v>1991.9999999967899</c:v>
                </c:pt>
                <c:pt idx="541">
                  <c:v>1992.08333333015</c:v>
                </c:pt>
                <c:pt idx="542">
                  <c:v>1992.1666666635101</c:v>
                </c:pt>
                <c:pt idx="543">
                  <c:v>1992.24999999687</c:v>
                </c:pt>
                <c:pt idx="544">
                  <c:v>1992.3333333302301</c:v>
                </c:pt>
                <c:pt idx="545">
                  <c:v>1992.4166666635899</c:v>
                </c:pt>
                <c:pt idx="546">
                  <c:v>1992.49999999695</c:v>
                </c:pt>
                <c:pt idx="547">
                  <c:v>1992.5833333303101</c:v>
                </c:pt>
                <c:pt idx="548">
                  <c:v>1992.66666666367</c:v>
                </c:pt>
                <c:pt idx="549">
                  <c:v>1992.74999999703</c:v>
                </c:pt>
                <c:pt idx="550">
                  <c:v>1992.8333333303899</c:v>
                </c:pt>
                <c:pt idx="551">
                  <c:v>1992.91666666375</c:v>
                </c:pt>
                <c:pt idx="552">
                  <c:v>1992.9999999971101</c:v>
                </c:pt>
                <c:pt idx="553">
                  <c:v>1993.0833333304699</c:v>
                </c:pt>
                <c:pt idx="554">
                  <c:v>1993.16666666383</c:v>
                </c:pt>
                <c:pt idx="555">
                  <c:v>1993.2499999971899</c:v>
                </c:pt>
                <c:pt idx="556">
                  <c:v>1993.33333333055</c:v>
                </c:pt>
                <c:pt idx="557">
                  <c:v>1993.4166666639101</c:v>
                </c:pt>
                <c:pt idx="558">
                  <c:v>1993.4999999972699</c:v>
                </c:pt>
                <c:pt idx="559">
                  <c:v>1993.58333333063</c:v>
                </c:pt>
                <c:pt idx="560">
                  <c:v>1993.6666666639901</c:v>
                </c:pt>
                <c:pt idx="561">
                  <c:v>1993.74999999735</c:v>
                </c:pt>
                <c:pt idx="562">
                  <c:v>1993.83333333071</c:v>
                </c:pt>
                <c:pt idx="563">
                  <c:v>1993.9166666640699</c:v>
                </c:pt>
                <c:pt idx="564">
                  <c:v>1993.99999999743</c:v>
                </c:pt>
                <c:pt idx="565">
                  <c:v>1994.0833333307901</c:v>
                </c:pt>
                <c:pt idx="566">
                  <c:v>1994.1666666641499</c:v>
                </c:pt>
                <c:pt idx="567">
                  <c:v>1994.24999999751</c:v>
                </c:pt>
                <c:pt idx="568">
                  <c:v>1994.3333333308699</c:v>
                </c:pt>
                <c:pt idx="569">
                  <c:v>1994.41666666423</c:v>
                </c:pt>
                <c:pt idx="570">
                  <c:v>1994.4999999975901</c:v>
                </c:pt>
                <c:pt idx="571">
                  <c:v>1994.5833333309499</c:v>
                </c:pt>
                <c:pt idx="572">
                  <c:v>1994.66666666431</c:v>
                </c:pt>
                <c:pt idx="573">
                  <c:v>1994.7499999976701</c:v>
                </c:pt>
                <c:pt idx="574">
                  <c:v>1994.83333333103</c:v>
                </c:pt>
                <c:pt idx="575">
                  <c:v>1994.91666666439</c:v>
                </c:pt>
                <c:pt idx="576">
                  <c:v>1994.9999999977499</c:v>
                </c:pt>
                <c:pt idx="577">
                  <c:v>1995.08333333111</c:v>
                </c:pt>
                <c:pt idx="578">
                  <c:v>1995.1666666644701</c:v>
                </c:pt>
                <c:pt idx="579">
                  <c:v>1995.2499999978299</c:v>
                </c:pt>
                <c:pt idx="580">
                  <c:v>1995.33333333119</c:v>
                </c:pt>
                <c:pt idx="581">
                  <c:v>1995.4166666645499</c:v>
                </c:pt>
                <c:pt idx="582">
                  <c:v>1995.49999999791</c:v>
                </c:pt>
                <c:pt idx="583">
                  <c:v>1995.5833333312701</c:v>
                </c:pt>
                <c:pt idx="584">
                  <c:v>1995.6666666646299</c:v>
                </c:pt>
                <c:pt idx="585">
                  <c:v>1995.74999999799</c:v>
                </c:pt>
                <c:pt idx="586">
                  <c:v>1995.8333333313501</c:v>
                </c:pt>
                <c:pt idx="587">
                  <c:v>1995.91666666471</c:v>
                </c:pt>
                <c:pt idx="588">
                  <c:v>1995.9999999980701</c:v>
                </c:pt>
                <c:pt idx="589">
                  <c:v>1996.0833333314299</c:v>
                </c:pt>
                <c:pt idx="590">
                  <c:v>1996.16666666479</c:v>
                </c:pt>
                <c:pt idx="591">
                  <c:v>1996.2499999981501</c:v>
                </c:pt>
                <c:pt idx="592">
                  <c:v>1996.3333333315099</c:v>
                </c:pt>
                <c:pt idx="593">
                  <c:v>1996.41666666487</c:v>
                </c:pt>
                <c:pt idx="594">
                  <c:v>1996.4999999982299</c:v>
                </c:pt>
                <c:pt idx="595">
                  <c:v>1996.58333333159</c:v>
                </c:pt>
                <c:pt idx="596">
                  <c:v>1996.6666666649501</c:v>
                </c:pt>
                <c:pt idx="597">
                  <c:v>1996.7499999983099</c:v>
                </c:pt>
                <c:pt idx="598">
                  <c:v>1996.83333333167</c:v>
                </c:pt>
                <c:pt idx="599">
                  <c:v>1996.9166666650301</c:v>
                </c:pt>
                <c:pt idx="600">
                  <c:v>1996.99999999839</c:v>
                </c:pt>
                <c:pt idx="601">
                  <c:v>1997.0833333317501</c:v>
                </c:pt>
                <c:pt idx="602">
                  <c:v>1997.1666666651099</c:v>
                </c:pt>
                <c:pt idx="603">
                  <c:v>1997.24999999848</c:v>
                </c:pt>
                <c:pt idx="604">
                  <c:v>1997.3333333318401</c:v>
                </c:pt>
                <c:pt idx="605">
                  <c:v>1997.4166666652</c:v>
                </c:pt>
                <c:pt idx="606">
                  <c:v>1997.49999999856</c:v>
                </c:pt>
                <c:pt idx="607">
                  <c:v>1997.5833333319199</c:v>
                </c:pt>
                <c:pt idx="608">
                  <c:v>1997.66666666528</c:v>
                </c:pt>
                <c:pt idx="609">
                  <c:v>1997.7499999986401</c:v>
                </c:pt>
                <c:pt idx="610">
                  <c:v>1997.8333333319999</c:v>
                </c:pt>
                <c:pt idx="611">
                  <c:v>1997.91666666536</c:v>
                </c:pt>
                <c:pt idx="612">
                  <c:v>1997.9999999987201</c:v>
                </c:pt>
                <c:pt idx="613">
                  <c:v>1998.08333333208</c:v>
                </c:pt>
                <c:pt idx="614">
                  <c:v>1998.1666666654401</c:v>
                </c:pt>
                <c:pt idx="615">
                  <c:v>1998.2499999987999</c:v>
                </c:pt>
                <c:pt idx="616">
                  <c:v>1998.33333333216</c:v>
                </c:pt>
                <c:pt idx="617">
                  <c:v>1998.4166666655201</c:v>
                </c:pt>
                <c:pt idx="618">
                  <c:v>1998.49999999888</c:v>
                </c:pt>
                <c:pt idx="619">
                  <c:v>1998.58333333224</c:v>
                </c:pt>
                <c:pt idx="620">
                  <c:v>1998.6666666655999</c:v>
                </c:pt>
                <c:pt idx="621">
                  <c:v>1998.74999999896</c:v>
                </c:pt>
                <c:pt idx="622">
                  <c:v>1998.8333333323201</c:v>
                </c:pt>
                <c:pt idx="623">
                  <c:v>1998.9166666656799</c:v>
                </c:pt>
                <c:pt idx="624">
                  <c:v>1998.99999999904</c:v>
                </c:pt>
                <c:pt idx="625">
                  <c:v>1999.0833333323999</c:v>
                </c:pt>
                <c:pt idx="626">
                  <c:v>1999.16666666576</c:v>
                </c:pt>
                <c:pt idx="627">
                  <c:v>1999.2499999991201</c:v>
                </c:pt>
                <c:pt idx="628">
                  <c:v>1999.3333333324799</c:v>
                </c:pt>
                <c:pt idx="629">
                  <c:v>1999.41666666584</c:v>
                </c:pt>
                <c:pt idx="630">
                  <c:v>1999.4999999992001</c:v>
                </c:pt>
                <c:pt idx="631">
                  <c:v>1999.58333333256</c:v>
                </c:pt>
                <c:pt idx="632">
                  <c:v>1999.66666666592</c:v>
                </c:pt>
                <c:pt idx="633">
                  <c:v>1999.7499999992799</c:v>
                </c:pt>
                <c:pt idx="634">
                  <c:v>1999.83333333264</c:v>
                </c:pt>
                <c:pt idx="635">
                  <c:v>1999.9166666660001</c:v>
                </c:pt>
                <c:pt idx="636">
                  <c:v>2000</c:v>
                </c:pt>
                <c:pt idx="637">
                  <c:v>2000.0833333333101</c:v>
                </c:pt>
                <c:pt idx="638">
                  <c:v>2000.1666666666399</c:v>
                </c:pt>
                <c:pt idx="639">
                  <c:v>2000.24999999997</c:v>
                </c:pt>
                <c:pt idx="640">
                  <c:v>2000.3333333333101</c:v>
                </c:pt>
                <c:pt idx="641">
                  <c:v>2000.4166666666399</c:v>
                </c:pt>
                <c:pt idx="642">
                  <c:v>2000.49999999997</c:v>
                </c:pt>
                <c:pt idx="643">
                  <c:v>2000.5833333333101</c:v>
                </c:pt>
                <c:pt idx="644">
                  <c:v>2000.6666666666399</c:v>
                </c:pt>
                <c:pt idx="645">
                  <c:v>2000.74999999997</c:v>
                </c:pt>
                <c:pt idx="646">
                  <c:v>2000.8333333333101</c:v>
                </c:pt>
                <c:pt idx="647">
                  <c:v>2000.9166666666399</c:v>
                </c:pt>
                <c:pt idx="648">
                  <c:v>2001</c:v>
                </c:pt>
                <c:pt idx="649">
                  <c:v>2001.0833333333101</c:v>
                </c:pt>
                <c:pt idx="650">
                  <c:v>2001.1666666666399</c:v>
                </c:pt>
                <c:pt idx="651">
                  <c:v>2001.24999999997</c:v>
                </c:pt>
                <c:pt idx="652">
                  <c:v>2001.3333333333101</c:v>
                </c:pt>
                <c:pt idx="653">
                  <c:v>2001.4166666666399</c:v>
                </c:pt>
                <c:pt idx="654">
                  <c:v>2001.49999999998</c:v>
                </c:pt>
                <c:pt idx="655">
                  <c:v>2001.5833333333101</c:v>
                </c:pt>
                <c:pt idx="656">
                  <c:v>2001.6666666666399</c:v>
                </c:pt>
                <c:pt idx="657">
                  <c:v>2001.74999999998</c:v>
                </c:pt>
                <c:pt idx="658">
                  <c:v>2001.8333333333101</c:v>
                </c:pt>
                <c:pt idx="659">
                  <c:v>2001.9166666666399</c:v>
                </c:pt>
                <c:pt idx="660">
                  <c:v>2002</c:v>
                </c:pt>
                <c:pt idx="661">
                  <c:v>2002.0833333333101</c:v>
                </c:pt>
                <c:pt idx="662">
                  <c:v>2002.1666666666399</c:v>
                </c:pt>
                <c:pt idx="663">
                  <c:v>2002.24999999998</c:v>
                </c:pt>
                <c:pt idx="664">
                  <c:v>2002.3333333333101</c:v>
                </c:pt>
                <c:pt idx="665">
                  <c:v>2002.4166666666399</c:v>
                </c:pt>
                <c:pt idx="666">
                  <c:v>2002.49999999998</c:v>
                </c:pt>
                <c:pt idx="667">
                  <c:v>2002.5833333333101</c:v>
                </c:pt>
                <c:pt idx="668">
                  <c:v>2002.6666666666399</c:v>
                </c:pt>
                <c:pt idx="669">
                  <c:v>2002.74999999998</c:v>
                </c:pt>
                <c:pt idx="670">
                  <c:v>2002.8333333333101</c:v>
                </c:pt>
                <c:pt idx="671">
                  <c:v>2002.9166666666399</c:v>
                </c:pt>
                <c:pt idx="672">
                  <c:v>2003</c:v>
                </c:pt>
                <c:pt idx="673">
                  <c:v>2003.0833333333101</c:v>
                </c:pt>
                <c:pt idx="674">
                  <c:v>2003.1666666666499</c:v>
                </c:pt>
                <c:pt idx="675">
                  <c:v>2003.24999999998</c:v>
                </c:pt>
                <c:pt idx="676">
                  <c:v>2003.3333333333101</c:v>
                </c:pt>
                <c:pt idx="677">
                  <c:v>2003.4166666666499</c:v>
                </c:pt>
                <c:pt idx="678">
                  <c:v>2003.49999999998</c:v>
                </c:pt>
                <c:pt idx="679">
                  <c:v>2003.5833333333101</c:v>
                </c:pt>
                <c:pt idx="680">
                  <c:v>2003.6666666666499</c:v>
                </c:pt>
                <c:pt idx="681">
                  <c:v>2003.74999999998</c:v>
                </c:pt>
                <c:pt idx="682">
                  <c:v>2003.8333333333101</c:v>
                </c:pt>
                <c:pt idx="683">
                  <c:v>2003.9166666666499</c:v>
                </c:pt>
                <c:pt idx="684">
                  <c:v>2004</c:v>
                </c:pt>
                <c:pt idx="685">
                  <c:v>2004.0833333333101</c:v>
                </c:pt>
                <c:pt idx="686">
                  <c:v>2004.1666666666499</c:v>
                </c:pt>
                <c:pt idx="687">
                  <c:v>2004.24999999998</c:v>
                </c:pt>
                <c:pt idx="688">
                  <c:v>2004.3333333333101</c:v>
                </c:pt>
                <c:pt idx="689">
                  <c:v>2004.4166666666499</c:v>
                </c:pt>
                <c:pt idx="690">
                  <c:v>2004.49999999998</c:v>
                </c:pt>
                <c:pt idx="691">
                  <c:v>2004.5833333333101</c:v>
                </c:pt>
                <c:pt idx="692">
                  <c:v>2004.6666666666499</c:v>
                </c:pt>
                <c:pt idx="693">
                  <c:v>2004.74999999998</c:v>
                </c:pt>
                <c:pt idx="694">
                  <c:v>2004.8333333333101</c:v>
                </c:pt>
                <c:pt idx="695">
                  <c:v>2004.9166666666499</c:v>
                </c:pt>
                <c:pt idx="696">
                  <c:v>2005</c:v>
                </c:pt>
                <c:pt idx="697">
                  <c:v>2005.0833333333201</c:v>
                </c:pt>
                <c:pt idx="698">
                  <c:v>2005.1666666666499</c:v>
                </c:pt>
                <c:pt idx="699">
                  <c:v>2005.24999999998</c:v>
                </c:pt>
                <c:pt idx="700">
                  <c:v>2005.3333333333201</c:v>
                </c:pt>
                <c:pt idx="701">
                  <c:v>2005.4166666666499</c:v>
                </c:pt>
                <c:pt idx="702">
                  <c:v>2005.49999999998</c:v>
                </c:pt>
                <c:pt idx="703">
                  <c:v>2005.5833333333201</c:v>
                </c:pt>
                <c:pt idx="704">
                  <c:v>2005.6666666666499</c:v>
                </c:pt>
                <c:pt idx="705">
                  <c:v>2005.74999999998</c:v>
                </c:pt>
                <c:pt idx="706">
                  <c:v>2005.8333333333201</c:v>
                </c:pt>
                <c:pt idx="707">
                  <c:v>2005.9166666666499</c:v>
                </c:pt>
                <c:pt idx="708">
                  <c:v>2006</c:v>
                </c:pt>
                <c:pt idx="709">
                  <c:v>2006.0833333333201</c:v>
                </c:pt>
                <c:pt idx="710">
                  <c:v>2006.1666666666499</c:v>
                </c:pt>
                <c:pt idx="711">
                  <c:v>2006.24999999998</c:v>
                </c:pt>
                <c:pt idx="712">
                  <c:v>2006.3333333333201</c:v>
                </c:pt>
                <c:pt idx="713">
                  <c:v>2006.4166666666499</c:v>
                </c:pt>
                <c:pt idx="714">
                  <c:v>2006.49999999998</c:v>
                </c:pt>
                <c:pt idx="715">
                  <c:v>2006.5833333333201</c:v>
                </c:pt>
                <c:pt idx="716">
                  <c:v>2006.6666666666499</c:v>
                </c:pt>
                <c:pt idx="717">
                  <c:v>2006.74999999998</c:v>
                </c:pt>
                <c:pt idx="718">
                  <c:v>2006.8333333333201</c:v>
                </c:pt>
                <c:pt idx="719">
                  <c:v>2006.9166666666499</c:v>
                </c:pt>
                <c:pt idx="720">
                  <c:v>2007</c:v>
                </c:pt>
                <c:pt idx="721">
                  <c:v>2007.0833333333201</c:v>
                </c:pt>
                <c:pt idx="722">
                  <c:v>2007.1666666666499</c:v>
                </c:pt>
                <c:pt idx="723">
                  <c:v>2007.24999999999</c:v>
                </c:pt>
                <c:pt idx="724">
                  <c:v>2007.3333333333201</c:v>
                </c:pt>
                <c:pt idx="725">
                  <c:v>2007.4166666666499</c:v>
                </c:pt>
                <c:pt idx="726">
                  <c:v>2007.49999999999</c:v>
                </c:pt>
                <c:pt idx="727">
                  <c:v>2007.5833333333201</c:v>
                </c:pt>
                <c:pt idx="728">
                  <c:v>2007.6666666666499</c:v>
                </c:pt>
                <c:pt idx="729">
                  <c:v>2007.74999999999</c:v>
                </c:pt>
                <c:pt idx="730">
                  <c:v>2007.8333333333201</c:v>
                </c:pt>
                <c:pt idx="731">
                  <c:v>2007.9166666666499</c:v>
                </c:pt>
                <c:pt idx="732">
                  <c:v>2008</c:v>
                </c:pt>
                <c:pt idx="733">
                  <c:v>2008.0833333333201</c:v>
                </c:pt>
                <c:pt idx="734">
                  <c:v>2008.1666666666499</c:v>
                </c:pt>
                <c:pt idx="735">
                  <c:v>2008.24999999999</c:v>
                </c:pt>
                <c:pt idx="736">
                  <c:v>2008.3333333333201</c:v>
                </c:pt>
                <c:pt idx="737">
                  <c:v>2008.4166666666499</c:v>
                </c:pt>
                <c:pt idx="738">
                  <c:v>2008.49999999999</c:v>
                </c:pt>
                <c:pt idx="739">
                  <c:v>2008.5833333333201</c:v>
                </c:pt>
                <c:pt idx="740">
                  <c:v>2008.6666666666599</c:v>
                </c:pt>
                <c:pt idx="741">
                  <c:v>2008.74999999999</c:v>
                </c:pt>
                <c:pt idx="742">
                  <c:v>2008.8333333333201</c:v>
                </c:pt>
                <c:pt idx="743">
                  <c:v>2008.9166666666599</c:v>
                </c:pt>
                <c:pt idx="744">
                  <c:v>2009</c:v>
                </c:pt>
                <c:pt idx="745">
                  <c:v>2009.0833333333201</c:v>
                </c:pt>
                <c:pt idx="746">
                  <c:v>2009.1666666666599</c:v>
                </c:pt>
                <c:pt idx="747">
                  <c:v>2009.24999999999</c:v>
                </c:pt>
                <c:pt idx="748">
                  <c:v>2009.3333333333201</c:v>
                </c:pt>
                <c:pt idx="749">
                  <c:v>2009.4166666666599</c:v>
                </c:pt>
                <c:pt idx="750">
                  <c:v>2009.49999999999</c:v>
                </c:pt>
                <c:pt idx="751">
                  <c:v>2009.5833333333201</c:v>
                </c:pt>
                <c:pt idx="752">
                  <c:v>2009.6666666666599</c:v>
                </c:pt>
                <c:pt idx="753">
                  <c:v>2009.74999999999</c:v>
                </c:pt>
                <c:pt idx="754">
                  <c:v>2009.8333333333201</c:v>
                </c:pt>
                <c:pt idx="755">
                  <c:v>2009.9166666666599</c:v>
                </c:pt>
                <c:pt idx="756">
                  <c:v>2010</c:v>
                </c:pt>
                <c:pt idx="757">
                  <c:v>2010.0833333333201</c:v>
                </c:pt>
                <c:pt idx="758">
                  <c:v>2010.1666666666599</c:v>
                </c:pt>
                <c:pt idx="759">
                  <c:v>2010.24999999999</c:v>
                </c:pt>
                <c:pt idx="760">
                  <c:v>2010.3333333333201</c:v>
                </c:pt>
                <c:pt idx="761">
                  <c:v>2010.4166666666599</c:v>
                </c:pt>
                <c:pt idx="762">
                  <c:v>2010.49999999999</c:v>
                </c:pt>
                <c:pt idx="763">
                  <c:v>2010.5833333333301</c:v>
                </c:pt>
                <c:pt idx="764">
                  <c:v>2010.6666666666599</c:v>
                </c:pt>
                <c:pt idx="765">
                  <c:v>2010.74999999999</c:v>
                </c:pt>
                <c:pt idx="766">
                  <c:v>2010.8333333333301</c:v>
                </c:pt>
                <c:pt idx="767">
                  <c:v>2010.9166666666599</c:v>
                </c:pt>
                <c:pt idx="768">
                  <c:v>2011</c:v>
                </c:pt>
                <c:pt idx="769">
                  <c:v>2011.0833333333301</c:v>
                </c:pt>
                <c:pt idx="770">
                  <c:v>2011.1666666666599</c:v>
                </c:pt>
                <c:pt idx="771">
                  <c:v>2011.24999999999</c:v>
                </c:pt>
                <c:pt idx="772">
                  <c:v>2011.3333333333301</c:v>
                </c:pt>
                <c:pt idx="773">
                  <c:v>2011.4166666666599</c:v>
                </c:pt>
                <c:pt idx="774">
                  <c:v>2011.49999999999</c:v>
                </c:pt>
                <c:pt idx="775">
                  <c:v>2011.5833333333301</c:v>
                </c:pt>
                <c:pt idx="776">
                  <c:v>2011.6666666666599</c:v>
                </c:pt>
                <c:pt idx="777">
                  <c:v>2011.74999999999</c:v>
                </c:pt>
                <c:pt idx="778">
                  <c:v>2011.8333333333301</c:v>
                </c:pt>
                <c:pt idx="779">
                  <c:v>2011.9166666666599</c:v>
                </c:pt>
                <c:pt idx="780">
                  <c:v>2012</c:v>
                </c:pt>
                <c:pt idx="781">
                  <c:v>2012.0833333333301</c:v>
                </c:pt>
                <c:pt idx="782">
                  <c:v>2012.1666666666599</c:v>
                </c:pt>
                <c:pt idx="783">
                  <c:v>2012.24999999999</c:v>
                </c:pt>
                <c:pt idx="784">
                  <c:v>2012.3333333333301</c:v>
                </c:pt>
                <c:pt idx="785">
                  <c:v>2012.4166666666599</c:v>
                </c:pt>
                <c:pt idx="786">
                  <c:v>2012.5</c:v>
                </c:pt>
                <c:pt idx="787">
                  <c:v>2012.5833333333301</c:v>
                </c:pt>
                <c:pt idx="788">
                  <c:v>2012.6666666666599</c:v>
                </c:pt>
                <c:pt idx="789">
                  <c:v>2012.75</c:v>
                </c:pt>
                <c:pt idx="790">
                  <c:v>2012.8333333333301</c:v>
                </c:pt>
                <c:pt idx="791">
                  <c:v>2012.9166666666599</c:v>
                </c:pt>
                <c:pt idx="792">
                  <c:v>2013</c:v>
                </c:pt>
                <c:pt idx="793">
                  <c:v>2013.0833333333301</c:v>
                </c:pt>
                <c:pt idx="794">
                  <c:v>2013.1666666666599</c:v>
                </c:pt>
                <c:pt idx="795">
                  <c:v>2013.25</c:v>
                </c:pt>
                <c:pt idx="796">
                  <c:v>2013.3333333333301</c:v>
                </c:pt>
                <c:pt idx="797">
                  <c:v>2013.4166666666599</c:v>
                </c:pt>
                <c:pt idx="798">
                  <c:v>2013.5</c:v>
                </c:pt>
                <c:pt idx="799">
                  <c:v>2013.5833333333301</c:v>
                </c:pt>
                <c:pt idx="800">
                  <c:v>2013.6666666666599</c:v>
                </c:pt>
                <c:pt idx="801">
                  <c:v>2013.75</c:v>
                </c:pt>
                <c:pt idx="802">
                  <c:v>2013.8333333333301</c:v>
                </c:pt>
                <c:pt idx="803">
                  <c:v>2013.9166666666599</c:v>
                </c:pt>
              </c:numCache>
            </c:numRef>
          </c:xVal>
          <c:yVal>
            <c:numRef>
              <c:f>Precipitacion!$E$8:$E$811</c:f>
              <c:numCache>
                <c:formatCode>0.000</c:formatCode>
                <c:ptCount val="804"/>
                <c:pt idx="2">
                  <c:v>-0.78169428431845323</c:v>
                </c:pt>
                <c:pt idx="3">
                  <c:v>-0.83484792663902641</c:v>
                </c:pt>
                <c:pt idx="4">
                  <c:v>-0.84311627100000452</c:v>
                </c:pt>
                <c:pt idx="5">
                  <c:v>0.30972717133064936</c:v>
                </c:pt>
                <c:pt idx="6">
                  <c:v>-0.48639627142638009</c:v>
                </c:pt>
                <c:pt idx="8">
                  <c:v>-0.36000872190857269</c:v>
                </c:pt>
                <c:pt idx="9">
                  <c:v>0.23767445618498337</c:v>
                </c:pt>
                <c:pt idx="13">
                  <c:v>-0.84665984715470932</c:v>
                </c:pt>
                <c:pt idx="14">
                  <c:v>-0.84665984715470932</c:v>
                </c:pt>
                <c:pt idx="16">
                  <c:v>-0.73680898635885816</c:v>
                </c:pt>
                <c:pt idx="17">
                  <c:v>-0.6234145494083021</c:v>
                </c:pt>
                <c:pt idx="18">
                  <c:v>-0.6931048804508313</c:v>
                </c:pt>
                <c:pt idx="19">
                  <c:v>-0.83839150279373131</c:v>
                </c:pt>
                <c:pt idx="20">
                  <c:v>-0.15920607314196294</c:v>
                </c:pt>
                <c:pt idx="79">
                  <c:v>-0.74862090687454108</c:v>
                </c:pt>
                <c:pt idx="80">
                  <c:v>-0.22180925187508249</c:v>
                </c:pt>
                <c:pt idx="81">
                  <c:v>0.38650465468258838</c:v>
                </c:pt>
                <c:pt idx="82">
                  <c:v>-0.12967627185275563</c:v>
                </c:pt>
                <c:pt idx="83">
                  <c:v>-0.84311627100000452</c:v>
                </c:pt>
                <c:pt idx="84">
                  <c:v>-0.84665984715470932</c:v>
                </c:pt>
                <c:pt idx="85">
                  <c:v>-0.84665984715470932</c:v>
                </c:pt>
                <c:pt idx="86">
                  <c:v>-0.84665984715470932</c:v>
                </c:pt>
                <c:pt idx="87">
                  <c:v>-0.828941966381185</c:v>
                </c:pt>
                <c:pt idx="88">
                  <c:v>2.2504257120573543</c:v>
                </c:pt>
                <c:pt idx="89">
                  <c:v>1.1613666405113883</c:v>
                </c:pt>
                <c:pt idx="91">
                  <c:v>-0.11550196723393615</c:v>
                </c:pt>
                <c:pt idx="92">
                  <c:v>0.12664240333756396</c:v>
                </c:pt>
                <c:pt idx="93">
                  <c:v>3.4221682272131004</c:v>
                </c:pt>
                <c:pt idx="94">
                  <c:v>1.1377427994800224</c:v>
                </c:pt>
                <c:pt idx="96">
                  <c:v>-0.84665984715470932</c:v>
                </c:pt>
                <c:pt idx="97">
                  <c:v>-0.84665984715470932</c:v>
                </c:pt>
                <c:pt idx="98">
                  <c:v>-0.83957269484529973</c:v>
                </c:pt>
                <c:pt idx="99">
                  <c:v>-0.84665984715470932</c:v>
                </c:pt>
                <c:pt idx="100">
                  <c:v>-0.45096050987933128</c:v>
                </c:pt>
                <c:pt idx="101">
                  <c:v>2.6172379228932129E-3</c:v>
                </c:pt>
                <c:pt idx="102">
                  <c:v>-0.19936660289528496</c:v>
                </c:pt>
                <c:pt idx="103">
                  <c:v>-0.60569666863477767</c:v>
                </c:pt>
                <c:pt idx="104">
                  <c:v>0.85425670710363222</c:v>
                </c:pt>
                <c:pt idx="105">
                  <c:v>2.3614577649047743</c:v>
                </c:pt>
                <c:pt idx="106">
                  <c:v>-0.37300183447582397</c:v>
                </c:pt>
                <c:pt idx="107">
                  <c:v>-0.84665984715470932</c:v>
                </c:pt>
                <c:pt idx="108">
                  <c:v>-0.84665984715470932</c:v>
                </c:pt>
                <c:pt idx="109">
                  <c:v>-0.84665984715470932</c:v>
                </c:pt>
                <c:pt idx="110">
                  <c:v>-0.83130435048432161</c:v>
                </c:pt>
                <c:pt idx="111">
                  <c:v>-0.75452686713238259</c:v>
                </c:pt>
                <c:pt idx="112">
                  <c:v>-0.53364395348911176</c:v>
                </c:pt>
                <c:pt idx="113">
                  <c:v>0.92985299840400304</c:v>
                </c:pt>
                <c:pt idx="114">
                  <c:v>-0.13440104005902886</c:v>
                </c:pt>
                <c:pt idx="115">
                  <c:v>-0.51592607271558744</c:v>
                </c:pt>
                <c:pt idx="116">
                  <c:v>0.2116882310504809</c:v>
                </c:pt>
                <c:pt idx="117">
                  <c:v>-0.53600633759224836</c:v>
                </c:pt>
                <c:pt idx="118">
                  <c:v>-0.15211892083255324</c:v>
                </c:pt>
                <c:pt idx="119">
                  <c:v>-0.84665984715470932</c:v>
                </c:pt>
                <c:pt idx="120">
                  <c:v>-0.84665984715470932</c:v>
                </c:pt>
                <c:pt idx="121">
                  <c:v>-0.84665984715470932</c:v>
                </c:pt>
                <c:pt idx="122">
                  <c:v>-0.84665984715470932</c:v>
                </c:pt>
                <c:pt idx="123">
                  <c:v>-0.83602911869059471</c:v>
                </c:pt>
                <c:pt idx="124">
                  <c:v>-0.64703839043966793</c:v>
                </c:pt>
                <c:pt idx="125">
                  <c:v>-0.65766911890378255</c:v>
                </c:pt>
                <c:pt idx="126">
                  <c:v>-0.28086885445349713</c:v>
                </c:pt>
                <c:pt idx="127">
                  <c:v>-0.30331150343329466</c:v>
                </c:pt>
                <c:pt idx="128">
                  <c:v>-0.63758885402712151</c:v>
                </c:pt>
                <c:pt idx="129">
                  <c:v>-0.28086885445349713</c:v>
                </c:pt>
                <c:pt idx="130">
                  <c:v>-0.45332289398246789</c:v>
                </c:pt>
                <c:pt idx="131">
                  <c:v>-0.84665984715470932</c:v>
                </c:pt>
                <c:pt idx="138">
                  <c:v>0.25775472106164438</c:v>
                </c:pt>
                <c:pt idx="139">
                  <c:v>0.65936001859486393</c:v>
                </c:pt>
                <c:pt idx="140">
                  <c:v>0.25184876080380292</c:v>
                </c:pt>
                <c:pt idx="141">
                  <c:v>1.1129377663970885</c:v>
                </c:pt>
                <c:pt idx="142">
                  <c:v>-0.66829984736789716</c:v>
                </c:pt>
                <c:pt idx="143">
                  <c:v>-0.84665984715470932</c:v>
                </c:pt>
                <c:pt idx="144">
                  <c:v>-0.84665984715470932</c:v>
                </c:pt>
                <c:pt idx="145">
                  <c:v>-0.84665984715470932</c:v>
                </c:pt>
                <c:pt idx="146">
                  <c:v>-0.84665984715470932</c:v>
                </c:pt>
                <c:pt idx="147">
                  <c:v>-0.31512342394897763</c:v>
                </c:pt>
                <c:pt idx="148">
                  <c:v>-0.16747441750294101</c:v>
                </c:pt>
                <c:pt idx="156">
                  <c:v>-0.83484792663902641</c:v>
                </c:pt>
                <c:pt idx="157">
                  <c:v>-0.84665984715470932</c:v>
                </c:pt>
                <c:pt idx="158">
                  <c:v>-0.84665984715470932</c:v>
                </c:pt>
                <c:pt idx="159">
                  <c:v>-0.1745615698123508</c:v>
                </c:pt>
                <c:pt idx="160">
                  <c:v>0.31563313158849082</c:v>
                </c:pt>
                <c:pt idx="161">
                  <c:v>0.33807578056828824</c:v>
                </c:pt>
                <c:pt idx="162">
                  <c:v>0.49989909163314439</c:v>
                </c:pt>
                <c:pt idx="163">
                  <c:v>0.58730730344919813</c:v>
                </c:pt>
                <c:pt idx="164">
                  <c:v>0.69361458809034449</c:v>
                </c:pt>
                <c:pt idx="165">
                  <c:v>0.38650465468258838</c:v>
                </c:pt>
                <c:pt idx="166">
                  <c:v>1.4637518057128713</c:v>
                </c:pt>
                <c:pt idx="167">
                  <c:v>-0.20881613930783127</c:v>
                </c:pt>
                <c:pt idx="168">
                  <c:v>-0.84665984715470932</c:v>
                </c:pt>
                <c:pt idx="169">
                  <c:v>-0.84665984715470932</c:v>
                </c:pt>
                <c:pt idx="170">
                  <c:v>-0.84665984715470932</c:v>
                </c:pt>
                <c:pt idx="172">
                  <c:v>-0.84665984715470932</c:v>
                </c:pt>
                <c:pt idx="173">
                  <c:v>-0.18282991417332878</c:v>
                </c:pt>
                <c:pt idx="174">
                  <c:v>-0.36709587421798245</c:v>
                </c:pt>
                <c:pt idx="175">
                  <c:v>0.28019737004144202</c:v>
                </c:pt>
                <c:pt idx="176">
                  <c:v>1.0314355148388761</c:v>
                </c:pt>
                <c:pt idx="177">
                  <c:v>0.81291498529874195</c:v>
                </c:pt>
                <c:pt idx="178">
                  <c:v>0.42902756853904683</c:v>
                </c:pt>
                <c:pt idx="192">
                  <c:v>-0.84665984715470932</c:v>
                </c:pt>
                <c:pt idx="193">
                  <c:v>-0.84665984715470932</c:v>
                </c:pt>
                <c:pt idx="194">
                  <c:v>-0.84665984715470932</c:v>
                </c:pt>
                <c:pt idx="195">
                  <c:v>-0.31512342394897763</c:v>
                </c:pt>
                <c:pt idx="196">
                  <c:v>-0.54781825810793128</c:v>
                </c:pt>
                <c:pt idx="197">
                  <c:v>-0.25015786111272154</c:v>
                </c:pt>
                <c:pt idx="198">
                  <c:v>1.0196235943231933</c:v>
                </c:pt>
                <c:pt idx="199">
                  <c:v>-0.6222333573567338</c:v>
                </c:pt>
                <c:pt idx="200">
                  <c:v>1.0078116738075102</c:v>
                </c:pt>
                <c:pt idx="201">
                  <c:v>-0.26787574188624591</c:v>
                </c:pt>
                <c:pt idx="202">
                  <c:v>3.2284527307559006</c:v>
                </c:pt>
                <c:pt idx="204">
                  <c:v>-0.84665984715470932</c:v>
                </c:pt>
                <c:pt idx="205">
                  <c:v>-0.84665984715470932</c:v>
                </c:pt>
                <c:pt idx="206">
                  <c:v>-0.84665984715470932</c:v>
                </c:pt>
                <c:pt idx="207">
                  <c:v>-0.32811653651622885</c:v>
                </c:pt>
                <c:pt idx="208">
                  <c:v>0.41249087981709071</c:v>
                </c:pt>
                <c:pt idx="209">
                  <c:v>1.1235684948612032</c:v>
                </c:pt>
                <c:pt idx="210">
                  <c:v>1.7826736596363104</c:v>
                </c:pt>
                <c:pt idx="211">
                  <c:v>0.54832796574744436</c:v>
                </c:pt>
                <c:pt idx="212">
                  <c:v>-0.23834594059703859</c:v>
                </c:pt>
                <c:pt idx="213">
                  <c:v>2.2149899505103052</c:v>
                </c:pt>
                <c:pt idx="214">
                  <c:v>-0.55018064221106788</c:v>
                </c:pt>
                <c:pt idx="215">
                  <c:v>-0.84665984715470932</c:v>
                </c:pt>
                <c:pt idx="216">
                  <c:v>-0.84311627100000452</c:v>
                </c:pt>
                <c:pt idx="217">
                  <c:v>-0.84665984715470932</c:v>
                </c:pt>
                <c:pt idx="218">
                  <c:v>-0.84311627100000452</c:v>
                </c:pt>
                <c:pt idx="219">
                  <c:v>-0.84665984715470932</c:v>
                </c:pt>
                <c:pt idx="220">
                  <c:v>0.14554147616265659</c:v>
                </c:pt>
                <c:pt idx="221">
                  <c:v>-0.18991706648273857</c:v>
                </c:pt>
                <c:pt idx="222">
                  <c:v>-0.78878143662786293</c:v>
                </c:pt>
                <c:pt idx="223">
                  <c:v>-1.1557066695926333E-2</c:v>
                </c:pt>
                <c:pt idx="224">
                  <c:v>0.49635551547843959</c:v>
                </c:pt>
                <c:pt idx="225">
                  <c:v>2.5150127316086524</c:v>
                </c:pt>
                <c:pt idx="226">
                  <c:v>1.8133846529770858</c:v>
                </c:pt>
                <c:pt idx="227">
                  <c:v>-0.84665984715470932</c:v>
                </c:pt>
                <c:pt idx="228">
                  <c:v>-0.84665984715470932</c:v>
                </c:pt>
                <c:pt idx="229">
                  <c:v>-0.84665984715470932</c:v>
                </c:pt>
                <c:pt idx="230">
                  <c:v>-0.84665984715470932</c:v>
                </c:pt>
                <c:pt idx="231">
                  <c:v>-0.68601772814142159</c:v>
                </c:pt>
                <c:pt idx="232">
                  <c:v>-0.43678620526051176</c:v>
                </c:pt>
                <c:pt idx="233">
                  <c:v>0.13018597949226879</c:v>
                </c:pt>
                <c:pt idx="234">
                  <c:v>-3.9905675933565428E-2</c:v>
                </c:pt>
                <c:pt idx="235">
                  <c:v>1.2263322033476445</c:v>
                </c:pt>
                <c:pt idx="236">
                  <c:v>0.5766765749850834</c:v>
                </c:pt>
                <c:pt idx="237">
                  <c:v>0.50816743599412251</c:v>
                </c:pt>
                <c:pt idx="238">
                  <c:v>0.15971578078147611</c:v>
                </c:pt>
                <c:pt idx="239">
                  <c:v>-0.73562779430728986</c:v>
                </c:pt>
                <c:pt idx="240">
                  <c:v>-0.84665984715470932</c:v>
                </c:pt>
                <c:pt idx="241">
                  <c:v>-0.84665984715470932</c:v>
                </c:pt>
                <c:pt idx="247">
                  <c:v>1.3031096866995835</c:v>
                </c:pt>
                <c:pt idx="248">
                  <c:v>1.5747838585602909</c:v>
                </c:pt>
                <c:pt idx="249">
                  <c:v>1.6574673021700714</c:v>
                </c:pt>
                <c:pt idx="250">
                  <c:v>-0.2572450134221313</c:v>
                </c:pt>
                <c:pt idx="251">
                  <c:v>-0.77578832406061182</c:v>
                </c:pt>
                <c:pt idx="252">
                  <c:v>-0.84665984715470932</c:v>
                </c:pt>
                <c:pt idx="253">
                  <c:v>-0.84665984715470932</c:v>
                </c:pt>
                <c:pt idx="255">
                  <c:v>-0.84665984715470932</c:v>
                </c:pt>
                <c:pt idx="256">
                  <c:v>-0.27496289419565567</c:v>
                </c:pt>
                <c:pt idx="257">
                  <c:v>-2.4550179263177655E-2</c:v>
                </c:pt>
                <c:pt idx="258">
                  <c:v>-0.78287547637002153</c:v>
                </c:pt>
                <c:pt idx="259">
                  <c:v>0.73495630989523475</c:v>
                </c:pt>
                <c:pt idx="260">
                  <c:v>0.43257114469375169</c:v>
                </c:pt>
                <c:pt idx="261">
                  <c:v>1.3397266402982004</c:v>
                </c:pt>
                <c:pt idx="262">
                  <c:v>-0.2477954770095849</c:v>
                </c:pt>
                <c:pt idx="263">
                  <c:v>-0.70964156917278742</c:v>
                </c:pt>
                <c:pt idx="264">
                  <c:v>-0.84665984715470932</c:v>
                </c:pt>
                <c:pt idx="265">
                  <c:v>-0.84665984715470932</c:v>
                </c:pt>
                <c:pt idx="267">
                  <c:v>-0.17219918570921416</c:v>
                </c:pt>
                <c:pt idx="268">
                  <c:v>-0.31866700010368249</c:v>
                </c:pt>
                <c:pt idx="269">
                  <c:v>0.57903895908822001</c:v>
                </c:pt>
                <c:pt idx="270">
                  <c:v>0.47863763470491516</c:v>
                </c:pt>
                <c:pt idx="271">
                  <c:v>0.1679841251424542</c:v>
                </c:pt>
                <c:pt idx="274">
                  <c:v>2.4606778972365104</c:v>
                </c:pt>
                <c:pt idx="276">
                  <c:v>-0.75452686713238259</c:v>
                </c:pt>
                <c:pt idx="277">
                  <c:v>-0.84665984715470932</c:v>
                </c:pt>
                <c:pt idx="278">
                  <c:v>-0.78287547637002153</c:v>
                </c:pt>
                <c:pt idx="279">
                  <c:v>-0.72145348968847034</c:v>
                </c:pt>
                <c:pt idx="280">
                  <c:v>0.1750712774518639</c:v>
                </c:pt>
                <c:pt idx="281">
                  <c:v>0.88614889249597606</c:v>
                </c:pt>
                <c:pt idx="282">
                  <c:v>0.65581644244015913</c:v>
                </c:pt>
                <c:pt idx="283">
                  <c:v>0.65463525038859072</c:v>
                </c:pt>
                <c:pt idx="284">
                  <c:v>1.9905634607123297</c:v>
                </c:pt>
                <c:pt idx="285">
                  <c:v>2.8811822675948231</c:v>
                </c:pt>
                <c:pt idx="286">
                  <c:v>-4.8174020294543513E-2</c:v>
                </c:pt>
                <c:pt idx="287">
                  <c:v>1.1259308789643396</c:v>
                </c:pt>
                <c:pt idx="288">
                  <c:v>-0.83130435048432161</c:v>
                </c:pt>
                <c:pt idx="290">
                  <c:v>-0.84665984715470932</c:v>
                </c:pt>
                <c:pt idx="293">
                  <c:v>8.0575913326400475E-2</c:v>
                </c:pt>
                <c:pt idx="300">
                  <c:v>-0.84665984715470932</c:v>
                </c:pt>
                <c:pt idx="301">
                  <c:v>-0.84665984715470932</c:v>
                </c:pt>
                <c:pt idx="302">
                  <c:v>-0.7627952114933606</c:v>
                </c:pt>
                <c:pt idx="303">
                  <c:v>-0.15684368903882639</c:v>
                </c:pt>
                <c:pt idx="304">
                  <c:v>0.86252505146461012</c:v>
                </c:pt>
                <c:pt idx="305">
                  <c:v>-3.045613952101912E-2</c:v>
                </c:pt>
                <c:pt idx="306">
                  <c:v>-0.71436633737906052</c:v>
                </c:pt>
                <c:pt idx="307">
                  <c:v>-0.54663706605636297</c:v>
                </c:pt>
                <c:pt idx="308">
                  <c:v>0.99127498508555412</c:v>
                </c:pt>
                <c:pt idx="309">
                  <c:v>1.0550593558702421</c:v>
                </c:pt>
                <c:pt idx="310">
                  <c:v>0.11246809871874441</c:v>
                </c:pt>
                <c:pt idx="311">
                  <c:v>-0.84311627100000452</c:v>
                </c:pt>
                <c:pt idx="312">
                  <c:v>-0.84311627100000452</c:v>
                </c:pt>
                <c:pt idx="313">
                  <c:v>-0.84193507894843611</c:v>
                </c:pt>
                <c:pt idx="314">
                  <c:v>-0.83957269484529973</c:v>
                </c:pt>
                <c:pt idx="315">
                  <c:v>-0.25133905316428984</c:v>
                </c:pt>
                <c:pt idx="316">
                  <c:v>0.32272028389790047</c:v>
                </c:pt>
                <c:pt idx="329">
                  <c:v>-0.47340315885912881</c:v>
                </c:pt>
                <c:pt idx="330">
                  <c:v>0.12073644307972249</c:v>
                </c:pt>
                <c:pt idx="331">
                  <c:v>-0.38599494704307519</c:v>
                </c:pt>
                <c:pt idx="332">
                  <c:v>0.13136717154383704</c:v>
                </c:pt>
                <c:pt idx="333">
                  <c:v>3.2272715387043323</c:v>
                </c:pt>
                <c:pt idx="334">
                  <c:v>-0.35410276165073123</c:v>
                </c:pt>
                <c:pt idx="337">
                  <c:v>-0.84665984715470932</c:v>
                </c:pt>
                <c:pt idx="338">
                  <c:v>-0.84075388689686792</c:v>
                </c:pt>
                <c:pt idx="341">
                  <c:v>-0.47340315885912881</c:v>
                </c:pt>
                <c:pt idx="343">
                  <c:v>1.0645088922827886</c:v>
                </c:pt>
                <c:pt idx="344">
                  <c:v>0.85780028325833724</c:v>
                </c:pt>
                <c:pt idx="345">
                  <c:v>2.4665838574943519</c:v>
                </c:pt>
                <c:pt idx="346">
                  <c:v>1.2747610774619444</c:v>
                </c:pt>
                <c:pt idx="347">
                  <c:v>-0.31984819215525079</c:v>
                </c:pt>
                <c:pt idx="348">
                  <c:v>-0.84665984715470932</c:v>
                </c:pt>
                <c:pt idx="349">
                  <c:v>-0.84665984715470932</c:v>
                </c:pt>
                <c:pt idx="350">
                  <c:v>-0.84665984715470932</c:v>
                </c:pt>
                <c:pt idx="351">
                  <c:v>-0.65885031095535085</c:v>
                </c:pt>
                <c:pt idx="352">
                  <c:v>-0.14030700031687032</c:v>
                </c:pt>
                <c:pt idx="353">
                  <c:v>-5.7623556707089817E-2</c:v>
                </c:pt>
                <c:pt idx="354">
                  <c:v>-0.80768050945295577</c:v>
                </c:pt>
                <c:pt idx="355">
                  <c:v>-5.1717596449248358E-2</c:v>
                </c:pt>
                <c:pt idx="356">
                  <c:v>1.0964010776751323</c:v>
                </c:pt>
                <c:pt idx="357">
                  <c:v>1.6078572360042032</c:v>
                </c:pt>
                <c:pt idx="358">
                  <c:v>-0.3954444834556215</c:v>
                </c:pt>
                <c:pt idx="359">
                  <c:v>-0.84665984715470932</c:v>
                </c:pt>
                <c:pt idx="360">
                  <c:v>-0.84665984715470932</c:v>
                </c:pt>
                <c:pt idx="361">
                  <c:v>-0.84665984715470932</c:v>
                </c:pt>
                <c:pt idx="362">
                  <c:v>-0.65766911890378255</c:v>
                </c:pt>
                <c:pt idx="363">
                  <c:v>-0.6931048804508313</c:v>
                </c:pt>
                <c:pt idx="364">
                  <c:v>1.915392664484921E-2</c:v>
                </c:pt>
                <c:pt idx="365">
                  <c:v>9.7043902323029028E-3</c:v>
                </c:pt>
                <c:pt idx="366">
                  <c:v>-0.59270355606752645</c:v>
                </c:pt>
                <c:pt idx="367">
                  <c:v>0.29200929055712493</c:v>
                </c:pt>
                <c:pt idx="368">
                  <c:v>-0.40371282781659956</c:v>
                </c:pt>
                <c:pt idx="370">
                  <c:v>0.33689458851672005</c:v>
                </c:pt>
                <c:pt idx="408">
                  <c:v>-0.6245957414598704</c:v>
                </c:pt>
                <c:pt idx="409">
                  <c:v>-0.84665984715470932</c:v>
                </c:pt>
                <c:pt idx="410">
                  <c:v>-0.76397640354492891</c:v>
                </c:pt>
                <c:pt idx="411">
                  <c:v>-0.29858673522702156</c:v>
                </c:pt>
                <c:pt idx="412">
                  <c:v>0.30264001902123949</c:v>
                </c:pt>
                <c:pt idx="413">
                  <c:v>0.40422253545611275</c:v>
                </c:pt>
                <c:pt idx="414">
                  <c:v>0.91685988583675193</c:v>
                </c:pt>
                <c:pt idx="415">
                  <c:v>0.88969246865068108</c:v>
                </c:pt>
                <c:pt idx="416">
                  <c:v>1.1566418723051151</c:v>
                </c:pt>
                <c:pt idx="417">
                  <c:v>2.9555973668436248</c:v>
                </c:pt>
                <c:pt idx="418">
                  <c:v>-0.34110964908348007</c:v>
                </c:pt>
                <c:pt idx="419">
                  <c:v>1.7972734593280987E-2</c:v>
                </c:pt>
                <c:pt idx="420">
                  <c:v>0.19987631053479799</c:v>
                </c:pt>
                <c:pt idx="421">
                  <c:v>-0.84665984715470932</c:v>
                </c:pt>
                <c:pt idx="422">
                  <c:v>-0.84665984715470932</c:v>
                </c:pt>
                <c:pt idx="423">
                  <c:v>-0.54781825810793128</c:v>
                </c:pt>
                <c:pt idx="432">
                  <c:v>-0.84665984715470932</c:v>
                </c:pt>
                <c:pt idx="433">
                  <c:v>-0.84665984715470932</c:v>
                </c:pt>
                <c:pt idx="434">
                  <c:v>-0.84665984715470932</c:v>
                </c:pt>
                <c:pt idx="435">
                  <c:v>-0.64231362223339472</c:v>
                </c:pt>
                <c:pt idx="436">
                  <c:v>-0.57144209913929722</c:v>
                </c:pt>
                <c:pt idx="437">
                  <c:v>-0.20291017904998979</c:v>
                </c:pt>
                <c:pt idx="438">
                  <c:v>-0.34937799344445808</c:v>
                </c:pt>
                <c:pt idx="439">
                  <c:v>-0.55136183426263619</c:v>
                </c:pt>
                <c:pt idx="440">
                  <c:v>0.82236452171128849</c:v>
                </c:pt>
                <c:pt idx="441">
                  <c:v>-0.8277607743296167</c:v>
                </c:pt>
                <c:pt idx="442">
                  <c:v>-0.55726779452047759</c:v>
                </c:pt>
                <c:pt idx="443">
                  <c:v>-0.79823097304040946</c:v>
                </c:pt>
                <c:pt idx="444">
                  <c:v>-0.84665984715470932</c:v>
                </c:pt>
                <c:pt idx="445">
                  <c:v>-0.84665984715470932</c:v>
                </c:pt>
                <c:pt idx="446">
                  <c:v>-0.84665984715470932</c:v>
                </c:pt>
                <c:pt idx="447">
                  <c:v>-0.77106355585433861</c:v>
                </c:pt>
                <c:pt idx="448">
                  <c:v>0.15144743642049804</c:v>
                </c:pt>
                <c:pt idx="449">
                  <c:v>0.17270889334872727</c:v>
                </c:pt>
                <c:pt idx="450">
                  <c:v>0.82118332965971996</c:v>
                </c:pt>
                <c:pt idx="451">
                  <c:v>0.34988770108397121</c:v>
                </c:pt>
                <c:pt idx="452">
                  <c:v>0.5766765749850834</c:v>
                </c:pt>
                <c:pt idx="453">
                  <c:v>0.91331630968204691</c:v>
                </c:pt>
                <c:pt idx="454">
                  <c:v>0.13254836359540542</c:v>
                </c:pt>
                <c:pt idx="455">
                  <c:v>-0.84665984715470932</c:v>
                </c:pt>
                <c:pt idx="456">
                  <c:v>-0.84665984715470932</c:v>
                </c:pt>
                <c:pt idx="457">
                  <c:v>-0.84665984715470932</c:v>
                </c:pt>
                <c:pt idx="458">
                  <c:v>-0.84665984715470932</c:v>
                </c:pt>
                <c:pt idx="459">
                  <c:v>-0.84665984715470932</c:v>
                </c:pt>
                <c:pt idx="460">
                  <c:v>-0.34583441728975323</c:v>
                </c:pt>
                <c:pt idx="461">
                  <c:v>-0.13203865595589223</c:v>
                </c:pt>
                <c:pt idx="462">
                  <c:v>0.74558703835934947</c:v>
                </c:pt>
                <c:pt idx="463">
                  <c:v>1.1212061107580664</c:v>
                </c:pt>
                <c:pt idx="464">
                  <c:v>0.49989909163314439</c:v>
                </c:pt>
                <c:pt idx="465">
                  <c:v>1.1117565743455202</c:v>
                </c:pt>
                <c:pt idx="466">
                  <c:v>-0.65176315864594103</c:v>
                </c:pt>
                <c:pt idx="467">
                  <c:v>1.1743597530786396</c:v>
                </c:pt>
                <c:pt idx="468">
                  <c:v>-0.84665984715470932</c:v>
                </c:pt>
                <c:pt idx="469">
                  <c:v>-0.84665984715470932</c:v>
                </c:pt>
                <c:pt idx="470">
                  <c:v>-0.84665984715470932</c:v>
                </c:pt>
                <c:pt idx="471">
                  <c:v>-0.7627952114933606</c:v>
                </c:pt>
                <c:pt idx="472">
                  <c:v>-0.57498567529400202</c:v>
                </c:pt>
                <c:pt idx="473">
                  <c:v>-0.14739415262628</c:v>
                </c:pt>
                <c:pt idx="474">
                  <c:v>-0.46867839065285566</c:v>
                </c:pt>
                <c:pt idx="475">
                  <c:v>-0.30567388753643132</c:v>
                </c:pt>
                <c:pt idx="476">
                  <c:v>-0.63522646992398502</c:v>
                </c:pt>
                <c:pt idx="477">
                  <c:v>0.97591948841516651</c:v>
                </c:pt>
                <c:pt idx="478">
                  <c:v>-0.57026090708772892</c:v>
                </c:pt>
                <c:pt idx="479">
                  <c:v>-0.27023812598938252</c:v>
                </c:pt>
                <c:pt idx="480">
                  <c:v>-0.81358646971079718</c:v>
                </c:pt>
                <c:pt idx="481">
                  <c:v>-0.84665984715470932</c:v>
                </c:pt>
                <c:pt idx="482">
                  <c:v>-0.84665984715470932</c:v>
                </c:pt>
                <c:pt idx="483">
                  <c:v>-0.3576463378054362</c:v>
                </c:pt>
                <c:pt idx="484">
                  <c:v>1.1471923358925691</c:v>
                </c:pt>
                <c:pt idx="485">
                  <c:v>0.11128690666717601</c:v>
                </c:pt>
                <c:pt idx="486">
                  <c:v>-0.35055918549602638</c:v>
                </c:pt>
                <c:pt idx="534">
                  <c:v>-0.65294435069750933</c:v>
                </c:pt>
                <c:pt idx="535">
                  <c:v>-0.6245957414598704</c:v>
                </c:pt>
                <c:pt idx="536">
                  <c:v>1.0810455810047443</c:v>
                </c:pt>
                <c:pt idx="537">
                  <c:v>-0.32811653651622885</c:v>
                </c:pt>
                <c:pt idx="538">
                  <c:v>0.53651604523176144</c:v>
                </c:pt>
                <c:pt idx="541">
                  <c:v>-0.84665984715470932</c:v>
                </c:pt>
                <c:pt idx="542">
                  <c:v>-0.84665984715470932</c:v>
                </c:pt>
                <c:pt idx="543">
                  <c:v>-0.81358646971079718</c:v>
                </c:pt>
                <c:pt idx="544">
                  <c:v>-0.11550196723393615</c:v>
                </c:pt>
                <c:pt idx="545">
                  <c:v>0.37351154211533705</c:v>
                </c:pt>
                <c:pt idx="546">
                  <c:v>-0.71672872148219713</c:v>
                </c:pt>
                <c:pt idx="547">
                  <c:v>-0.6954672645539679</c:v>
                </c:pt>
                <c:pt idx="548">
                  <c:v>-0.72735944994631174</c:v>
                </c:pt>
                <c:pt idx="549">
                  <c:v>-0.72972183404944835</c:v>
                </c:pt>
                <c:pt idx="550">
                  <c:v>-0.51474488066401913</c:v>
                </c:pt>
                <c:pt idx="551">
                  <c:v>-0.78051309226688503</c:v>
                </c:pt>
                <c:pt idx="552">
                  <c:v>-0.64231362223339472</c:v>
                </c:pt>
                <c:pt idx="553">
                  <c:v>-0.84665984715470932</c:v>
                </c:pt>
                <c:pt idx="554">
                  <c:v>-0.84665984715470932</c:v>
                </c:pt>
                <c:pt idx="555">
                  <c:v>-0.74271494661669968</c:v>
                </c:pt>
                <c:pt idx="556">
                  <c:v>1.1519171040988418</c:v>
                </c:pt>
                <c:pt idx="557">
                  <c:v>-2.9274947469450727E-2</c:v>
                </c:pt>
                <c:pt idx="558">
                  <c:v>-0.40843759602287272</c:v>
                </c:pt>
                <c:pt idx="559">
                  <c:v>-0.53482514554068006</c:v>
                </c:pt>
                <c:pt idx="560">
                  <c:v>1.3869743223609323</c:v>
                </c:pt>
                <c:pt idx="561">
                  <c:v>2.6241078954259069E-2</c:v>
                </c:pt>
                <c:pt idx="562">
                  <c:v>0.88378650839283956</c:v>
                </c:pt>
                <c:pt idx="563">
                  <c:v>-0.6895613042961265</c:v>
                </c:pt>
                <c:pt idx="564">
                  <c:v>-0.84665984715470932</c:v>
                </c:pt>
                <c:pt idx="565">
                  <c:v>-0.84665984715470932</c:v>
                </c:pt>
                <c:pt idx="566">
                  <c:v>-0.80649931740138736</c:v>
                </c:pt>
                <c:pt idx="567">
                  <c:v>-0.74271494661669968</c:v>
                </c:pt>
                <c:pt idx="568">
                  <c:v>0.36169962159965413</c:v>
                </c:pt>
                <c:pt idx="569">
                  <c:v>-0.75216448302924599</c:v>
                </c:pt>
                <c:pt idx="570">
                  <c:v>-0.20527256315312642</c:v>
                </c:pt>
                <c:pt idx="571">
                  <c:v>-0.26905693393781421</c:v>
                </c:pt>
                <c:pt idx="572">
                  <c:v>0.87433697198029314</c:v>
                </c:pt>
                <c:pt idx="573">
                  <c:v>1.6940842557686884</c:v>
                </c:pt>
                <c:pt idx="574">
                  <c:v>1.8157470370802227</c:v>
                </c:pt>
                <c:pt idx="575">
                  <c:v>-0.81949242996863869</c:v>
                </c:pt>
                <c:pt idx="576">
                  <c:v>-0.84665984715470932</c:v>
                </c:pt>
                <c:pt idx="577">
                  <c:v>-0.84665984715470932</c:v>
                </c:pt>
                <c:pt idx="578">
                  <c:v>-0.84665984715470932</c:v>
                </c:pt>
                <c:pt idx="579">
                  <c:v>-0.17219918570921416</c:v>
                </c:pt>
                <c:pt idx="580">
                  <c:v>0.61565591268683706</c:v>
                </c:pt>
                <c:pt idx="581">
                  <c:v>3.2147039212100534E-2</c:v>
                </c:pt>
                <c:pt idx="582">
                  <c:v>3.6773057103518521</c:v>
                </c:pt>
                <c:pt idx="583">
                  <c:v>2.1122262420238642</c:v>
                </c:pt>
                <c:pt idx="584">
                  <c:v>-0.3233917683099557</c:v>
                </c:pt>
                <c:pt idx="585">
                  <c:v>2.2303454471806932</c:v>
                </c:pt>
                <c:pt idx="586">
                  <c:v>9.9474986151493083E-2</c:v>
                </c:pt>
                <c:pt idx="587">
                  <c:v>-0.83012315843275319</c:v>
                </c:pt>
                <c:pt idx="588">
                  <c:v>-0.84665984715470932</c:v>
                </c:pt>
                <c:pt idx="589">
                  <c:v>-0.84665984715470932</c:v>
                </c:pt>
                <c:pt idx="590">
                  <c:v>-0.78996262867943134</c:v>
                </c:pt>
                <c:pt idx="591">
                  <c:v>-0.77224474790590691</c:v>
                </c:pt>
                <c:pt idx="592">
                  <c:v>1.3444514085044739</c:v>
                </c:pt>
                <c:pt idx="593">
                  <c:v>8.4119489481105314E-2</c:v>
                </c:pt>
                <c:pt idx="594">
                  <c:v>0.51879816445823701</c:v>
                </c:pt>
                <c:pt idx="595">
                  <c:v>0.49517432342687118</c:v>
                </c:pt>
                <c:pt idx="596">
                  <c:v>0.43965829700316156</c:v>
                </c:pt>
                <c:pt idx="597">
                  <c:v>1.1767221371817762</c:v>
                </c:pt>
                <c:pt idx="598">
                  <c:v>0.56132107831469569</c:v>
                </c:pt>
                <c:pt idx="599">
                  <c:v>-0.84665984715470932</c:v>
                </c:pt>
                <c:pt idx="600">
                  <c:v>-0.84665984715470932</c:v>
                </c:pt>
                <c:pt idx="601">
                  <c:v>-0.73680898635885816</c:v>
                </c:pt>
                <c:pt idx="602">
                  <c:v>-0.84665984715470932</c:v>
                </c:pt>
                <c:pt idx="603">
                  <c:v>-0.68483653608985318</c:v>
                </c:pt>
                <c:pt idx="604">
                  <c:v>-0.59034117196438984</c:v>
                </c:pt>
                <c:pt idx="605">
                  <c:v>1.539348097013242</c:v>
                </c:pt>
                <c:pt idx="606">
                  <c:v>-0.61160262889261907</c:v>
                </c:pt>
                <c:pt idx="607">
                  <c:v>-0.22535282802978734</c:v>
                </c:pt>
                <c:pt idx="608">
                  <c:v>0.64400452192447621</c:v>
                </c:pt>
                <c:pt idx="609">
                  <c:v>1.1330180312737492</c:v>
                </c:pt>
                <c:pt idx="610">
                  <c:v>3.3666522007893911</c:v>
                </c:pt>
                <c:pt idx="611">
                  <c:v>-0.84665984715470932</c:v>
                </c:pt>
                <c:pt idx="612">
                  <c:v>-0.84665984715470932</c:v>
                </c:pt>
                <c:pt idx="613">
                  <c:v>-0.84665984715470932</c:v>
                </c:pt>
                <c:pt idx="614">
                  <c:v>-0.83721031074216301</c:v>
                </c:pt>
                <c:pt idx="615">
                  <c:v>-0.55136183426263619</c:v>
                </c:pt>
                <c:pt idx="616">
                  <c:v>0.56486465446940048</c:v>
                </c:pt>
                <c:pt idx="617">
                  <c:v>-0.12731388774961908</c:v>
                </c:pt>
                <c:pt idx="618">
                  <c:v>0.14554147616265659</c:v>
                </c:pt>
                <c:pt idx="619">
                  <c:v>2.0448982950844714</c:v>
                </c:pt>
                <c:pt idx="620">
                  <c:v>1.4637518057128713</c:v>
                </c:pt>
                <c:pt idx="621">
                  <c:v>0.72786915758582504</c:v>
                </c:pt>
                <c:pt idx="624">
                  <c:v>-0.84665984715470932</c:v>
                </c:pt>
                <c:pt idx="625">
                  <c:v>-0.8265795822780484</c:v>
                </c:pt>
                <c:pt idx="626">
                  <c:v>-0.83012315843275319</c:v>
                </c:pt>
                <c:pt idx="627">
                  <c:v>-0.4970269998904947</c:v>
                </c:pt>
                <c:pt idx="628">
                  <c:v>1.0444286274061274</c:v>
                </c:pt>
                <c:pt idx="629">
                  <c:v>0.3120895554337858</c:v>
                </c:pt>
                <c:pt idx="630">
                  <c:v>0.16444054898774918</c:v>
                </c:pt>
                <c:pt idx="631">
                  <c:v>2.3083041225842011</c:v>
                </c:pt>
                <c:pt idx="632">
                  <c:v>0.99836213739496382</c:v>
                </c:pt>
                <c:pt idx="633">
                  <c:v>2.6910103472923277</c:v>
                </c:pt>
                <c:pt idx="634">
                  <c:v>1.4483963090424836</c:v>
                </c:pt>
                <c:pt idx="635">
                  <c:v>1.4176853157017077</c:v>
                </c:pt>
                <c:pt idx="636">
                  <c:v>-0.83484792663902641</c:v>
                </c:pt>
                <c:pt idx="637">
                  <c:v>-0.84665984715470932</c:v>
                </c:pt>
                <c:pt idx="638">
                  <c:v>-0.84665984715470932</c:v>
                </c:pt>
                <c:pt idx="639">
                  <c:v>-0.77933190021531662</c:v>
                </c:pt>
                <c:pt idx="640">
                  <c:v>-0.16629322545137271</c:v>
                </c:pt>
                <c:pt idx="641">
                  <c:v>1.0125364420137835</c:v>
                </c:pt>
                <c:pt idx="642">
                  <c:v>2.0130061096921272</c:v>
                </c:pt>
                <c:pt idx="643">
                  <c:v>-6.7073093119636135E-2</c:v>
                </c:pt>
                <c:pt idx="644">
                  <c:v>0.32272028389790047</c:v>
                </c:pt>
                <c:pt idx="645">
                  <c:v>0.38414227057945177</c:v>
                </c:pt>
                <c:pt idx="646">
                  <c:v>-0.43324262910580691</c:v>
                </c:pt>
                <c:pt idx="647">
                  <c:v>-0.61278382094418749</c:v>
                </c:pt>
                <c:pt idx="648">
                  <c:v>-0.81594885381393378</c:v>
                </c:pt>
                <c:pt idx="649">
                  <c:v>-0.84665984715470932</c:v>
                </c:pt>
                <c:pt idx="650">
                  <c:v>-0.84665984715470932</c:v>
                </c:pt>
                <c:pt idx="651">
                  <c:v>-0.77342593995747522</c:v>
                </c:pt>
                <c:pt idx="652">
                  <c:v>-0.47812792706540197</c:v>
                </c:pt>
                <c:pt idx="653">
                  <c:v>-0.39898805961032641</c:v>
                </c:pt>
                <c:pt idx="654">
                  <c:v>6.2858032552876072E-2</c:v>
                </c:pt>
                <c:pt idx="655">
                  <c:v>-0.12849507980118738</c:v>
                </c:pt>
                <c:pt idx="656">
                  <c:v>-2.2187795160041036E-2</c:v>
                </c:pt>
                <c:pt idx="657">
                  <c:v>1.7070773683359395</c:v>
                </c:pt>
                <c:pt idx="658">
                  <c:v>0.71960081322484681</c:v>
                </c:pt>
                <c:pt idx="659">
                  <c:v>-0.27968766240192883</c:v>
                </c:pt>
                <c:pt idx="660">
                  <c:v>-0.84665984715470932</c:v>
                </c:pt>
                <c:pt idx="661">
                  <c:v>-0.84665984715470932</c:v>
                </c:pt>
                <c:pt idx="662">
                  <c:v>-0.84665984715470932</c:v>
                </c:pt>
                <c:pt idx="663">
                  <c:v>-0.58679759580968494</c:v>
                </c:pt>
                <c:pt idx="664">
                  <c:v>0.26956664157732729</c:v>
                </c:pt>
                <c:pt idx="665">
                  <c:v>0.25066756875223473</c:v>
                </c:pt>
                <c:pt idx="666">
                  <c:v>1.2617679648946933</c:v>
                </c:pt>
                <c:pt idx="667">
                  <c:v>-7.0616669274340974E-2</c:v>
                </c:pt>
                <c:pt idx="668">
                  <c:v>-0.23834594059703859</c:v>
                </c:pt>
                <c:pt idx="669">
                  <c:v>0.41130968776552246</c:v>
                </c:pt>
                <c:pt idx="670">
                  <c:v>-0.23243998033919713</c:v>
                </c:pt>
                <c:pt idx="671">
                  <c:v>-0.84665984715470932</c:v>
                </c:pt>
                <c:pt idx="672">
                  <c:v>-0.84665984715470932</c:v>
                </c:pt>
                <c:pt idx="673">
                  <c:v>-0.84665984715470932</c:v>
                </c:pt>
                <c:pt idx="674">
                  <c:v>-0.84665984715470932</c:v>
                </c:pt>
                <c:pt idx="675">
                  <c:v>-0.3954444834556215</c:v>
                </c:pt>
                <c:pt idx="676">
                  <c:v>-9.2633823181179965E-4</c:v>
                </c:pt>
                <c:pt idx="677">
                  <c:v>2.2256206789744204</c:v>
                </c:pt>
                <c:pt idx="678">
                  <c:v>0.2294061118240053</c:v>
                </c:pt>
                <c:pt idx="679">
                  <c:v>-0.48049031116853863</c:v>
                </c:pt>
                <c:pt idx="680">
                  <c:v>0.95820160764164219</c:v>
                </c:pt>
                <c:pt idx="681">
                  <c:v>0.58848849550076632</c:v>
                </c:pt>
                <c:pt idx="682">
                  <c:v>0.71960081322484681</c:v>
                </c:pt>
                <c:pt idx="683">
                  <c:v>0.405403727507681</c:v>
                </c:pt>
                <c:pt idx="688">
                  <c:v>0.99009379303398592</c:v>
                </c:pt>
                <c:pt idx="689">
                  <c:v>5.5770880243466388E-2</c:v>
                </c:pt>
                <c:pt idx="690">
                  <c:v>0.64400452192447621</c:v>
                </c:pt>
                <c:pt idx="691">
                  <c:v>0.45737617777668593</c:v>
                </c:pt>
                <c:pt idx="692">
                  <c:v>1.4554834613518934</c:v>
                </c:pt>
                <c:pt idx="693">
                  <c:v>1.8877997522258885</c:v>
                </c:pt>
                <c:pt idx="694">
                  <c:v>4.0222137894097933</c:v>
                </c:pt>
                <c:pt idx="695">
                  <c:v>-0.84665984715470932</c:v>
                </c:pt>
                <c:pt idx="696">
                  <c:v>-0.84665984715470932</c:v>
                </c:pt>
                <c:pt idx="697">
                  <c:v>-0.84665984715470932</c:v>
                </c:pt>
                <c:pt idx="698">
                  <c:v>-0.84665984715470932</c:v>
                </c:pt>
                <c:pt idx="699">
                  <c:v>-0.84665984715470932</c:v>
                </c:pt>
                <c:pt idx="700">
                  <c:v>1.8677194873492275</c:v>
                </c:pt>
                <c:pt idx="701">
                  <c:v>0.71133246886386892</c:v>
                </c:pt>
                <c:pt idx="702">
                  <c:v>-0.48403388732324343</c:v>
                </c:pt>
                <c:pt idx="703">
                  <c:v>-5.0536404397679965E-2</c:v>
                </c:pt>
                <c:pt idx="704">
                  <c:v>0.72078200527641501</c:v>
                </c:pt>
                <c:pt idx="705">
                  <c:v>0.93457776661027625</c:v>
                </c:pt>
                <c:pt idx="708">
                  <c:v>-0.84665984715470932</c:v>
                </c:pt>
                <c:pt idx="709">
                  <c:v>-0.84665984715470932</c:v>
                </c:pt>
                <c:pt idx="710">
                  <c:v>-0.61042143684105077</c:v>
                </c:pt>
                <c:pt idx="711">
                  <c:v>-0.51356368861245072</c:v>
                </c:pt>
                <c:pt idx="713">
                  <c:v>0.35461246929024443</c:v>
                </c:pt>
                <c:pt idx="714">
                  <c:v>0.82827048196912989</c:v>
                </c:pt>
                <c:pt idx="715">
                  <c:v>1.2794858456682177</c:v>
                </c:pt>
                <c:pt idx="716">
                  <c:v>-0.46041004629187759</c:v>
                </c:pt>
                <c:pt idx="717">
                  <c:v>1.7070773683359395</c:v>
                </c:pt>
                <c:pt idx="718">
                  <c:v>0.42666518443591023</c:v>
                </c:pt>
                <c:pt idx="719">
                  <c:v>-0.6931048804508313</c:v>
                </c:pt>
                <c:pt idx="720">
                  <c:v>-0.84665984715470932</c:v>
                </c:pt>
                <c:pt idx="721">
                  <c:v>-0.84665984715470932</c:v>
                </c:pt>
                <c:pt idx="722">
                  <c:v>-0.84665984715470932</c:v>
                </c:pt>
                <c:pt idx="723">
                  <c:v>0.28492213824771506</c:v>
                </c:pt>
                <c:pt idx="724">
                  <c:v>1.3385454482466324</c:v>
                </c:pt>
                <c:pt idx="725">
                  <c:v>-0.53718752964381666</c:v>
                </c:pt>
                <c:pt idx="726">
                  <c:v>0.65936001859486393</c:v>
                </c:pt>
                <c:pt idx="727">
                  <c:v>1.2889353820807641</c:v>
                </c:pt>
                <c:pt idx="728">
                  <c:v>1.4259536600626861</c:v>
                </c:pt>
                <c:pt idx="729">
                  <c:v>2.3638201490079105</c:v>
                </c:pt>
                <c:pt idx="730">
                  <c:v>-0.20999733135939957</c:v>
                </c:pt>
                <c:pt idx="731">
                  <c:v>-0.84665984715470932</c:v>
                </c:pt>
                <c:pt idx="732">
                  <c:v>-0.84665984715470932</c:v>
                </c:pt>
                <c:pt idx="733">
                  <c:v>-0.84665984715470932</c:v>
                </c:pt>
                <c:pt idx="734">
                  <c:v>-0.84665984715470932</c:v>
                </c:pt>
                <c:pt idx="735">
                  <c:v>-0.6245957414598704</c:v>
                </c:pt>
                <c:pt idx="736">
                  <c:v>-8.9515742099433762E-2</c:v>
                </c:pt>
                <c:pt idx="737">
                  <c:v>0.24003684028812</c:v>
                </c:pt>
                <c:pt idx="738">
                  <c:v>0.17861485360656873</c:v>
                </c:pt>
                <c:pt idx="739">
                  <c:v>2.0259992222593786</c:v>
                </c:pt>
                <c:pt idx="740">
                  <c:v>1.4696577659707126</c:v>
                </c:pt>
                <c:pt idx="741">
                  <c:v>0.34516293287769811</c:v>
                </c:pt>
                <c:pt idx="742">
                  <c:v>1.4023298190313203</c:v>
                </c:pt>
                <c:pt idx="743">
                  <c:v>-0.84311627100000452</c:v>
                </c:pt>
                <c:pt idx="744">
                  <c:v>-0.84665984715470932</c:v>
                </c:pt>
                <c:pt idx="745">
                  <c:v>-0.84665984715470932</c:v>
                </c:pt>
                <c:pt idx="746">
                  <c:v>-0.83602911869059471</c:v>
                </c:pt>
                <c:pt idx="747">
                  <c:v>-0.84665984715470932</c:v>
                </c:pt>
                <c:pt idx="748">
                  <c:v>-0.65530673480064594</c:v>
                </c:pt>
                <c:pt idx="749">
                  <c:v>0.30027763491810289</c:v>
                </c:pt>
                <c:pt idx="750">
                  <c:v>0.33925697261985666</c:v>
                </c:pt>
                <c:pt idx="751">
                  <c:v>-7.5341437480614212E-2</c:v>
                </c:pt>
                <c:pt idx="752">
                  <c:v>-0.48875865552951669</c:v>
                </c:pt>
                <c:pt idx="753">
                  <c:v>1.7177080968000542</c:v>
                </c:pt>
                <c:pt idx="754">
                  <c:v>0.12664240333756396</c:v>
                </c:pt>
                <c:pt idx="755">
                  <c:v>-0.84665984715470932</c:v>
                </c:pt>
                <c:pt idx="756">
                  <c:v>-0.84665984715470932</c:v>
                </c:pt>
                <c:pt idx="757">
                  <c:v>-0.84665984715470932</c:v>
                </c:pt>
                <c:pt idx="758">
                  <c:v>-0.6222333573567338</c:v>
                </c:pt>
                <c:pt idx="759">
                  <c:v>-0.38363256293993858</c:v>
                </c:pt>
                <c:pt idx="760">
                  <c:v>1.2877541900291956</c:v>
                </c:pt>
                <c:pt idx="761">
                  <c:v>2.5161939236602202</c:v>
                </c:pt>
                <c:pt idx="762">
                  <c:v>3.1020651812380935</c:v>
                </c:pt>
                <c:pt idx="763">
                  <c:v>2.7122718042205571</c:v>
                </c:pt>
                <c:pt idx="764">
                  <c:v>0.87551816403186167</c:v>
                </c:pt>
                <c:pt idx="765">
                  <c:v>3.0524551150722252</c:v>
                </c:pt>
                <c:pt idx="766">
                  <c:v>5.6416280921099222</c:v>
                </c:pt>
                <c:pt idx="767">
                  <c:v>2.2197147187165789</c:v>
                </c:pt>
                <c:pt idx="768">
                  <c:v>-0.84665984715470932</c:v>
                </c:pt>
                <c:pt idx="769">
                  <c:v>-0.84665984715470932</c:v>
                </c:pt>
                <c:pt idx="770">
                  <c:v>-0.84665984715470932</c:v>
                </c:pt>
                <c:pt idx="771">
                  <c:v>-0.49348342373578985</c:v>
                </c:pt>
                <c:pt idx="772">
                  <c:v>-0.19227945058587517</c:v>
                </c:pt>
                <c:pt idx="773">
                  <c:v>0.99127498508555412</c:v>
                </c:pt>
                <c:pt idx="774">
                  <c:v>2.2114463743556003</c:v>
                </c:pt>
                <c:pt idx="775">
                  <c:v>0.30145882696967125</c:v>
                </c:pt>
                <c:pt idx="776">
                  <c:v>2.4016182946580957</c:v>
                </c:pt>
                <c:pt idx="777">
                  <c:v>5.5353208074687759</c:v>
                </c:pt>
                <c:pt idx="778">
                  <c:v>2.1972720697367811</c:v>
                </c:pt>
                <c:pt idx="779">
                  <c:v>1.2534996205337154</c:v>
                </c:pt>
                <c:pt idx="780">
                  <c:v>-0.84665984715470932</c:v>
                </c:pt>
                <c:pt idx="781">
                  <c:v>-0.84665984715470932</c:v>
                </c:pt>
                <c:pt idx="782">
                  <c:v>-0.84665984715470932</c:v>
                </c:pt>
                <c:pt idx="783">
                  <c:v>-0.65412554274907764</c:v>
                </c:pt>
                <c:pt idx="784">
                  <c:v>0.64518571397604441</c:v>
                </c:pt>
                <c:pt idx="785">
                  <c:v>0.1679841251424542</c:v>
                </c:pt>
                <c:pt idx="786">
                  <c:v>-0.19464183468901172</c:v>
                </c:pt>
                <c:pt idx="787">
                  <c:v>1.412960547495435</c:v>
                </c:pt>
                <c:pt idx="788">
                  <c:v>1.3728000177421129</c:v>
                </c:pt>
                <c:pt idx="789">
                  <c:v>2.1039578976628861</c:v>
                </c:pt>
                <c:pt idx="790">
                  <c:v>0.18452081386441022</c:v>
                </c:pt>
                <c:pt idx="791">
                  <c:v>-0.81713004586550209</c:v>
                </c:pt>
                <c:pt idx="792">
                  <c:v>-0.84665984715470932</c:v>
                </c:pt>
                <c:pt idx="793">
                  <c:v>-0.84665984715470932</c:v>
                </c:pt>
                <c:pt idx="794">
                  <c:v>-0.84665984715470932</c:v>
                </c:pt>
                <c:pt idx="795">
                  <c:v>-0.84665984715470932</c:v>
                </c:pt>
                <c:pt idx="796">
                  <c:v>0.25184876080380292</c:v>
                </c:pt>
                <c:pt idx="797">
                  <c:v>0.51879816445823701</c:v>
                </c:pt>
                <c:pt idx="798">
                  <c:v>3.9234191521510225E-2</c:v>
                </c:pt>
                <c:pt idx="799">
                  <c:v>0.70070174039975419</c:v>
                </c:pt>
                <c:pt idx="800">
                  <c:v>0.30854597927908095</c:v>
                </c:pt>
                <c:pt idx="801">
                  <c:v>0.66290359474956884</c:v>
                </c:pt>
                <c:pt idx="802">
                  <c:v>-1.9825411056904416E-2</c:v>
                </c:pt>
                <c:pt idx="803">
                  <c:v>-0.38363256293993858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C5-49AB-8C53-CDBB7A823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1468352"/>
        <c:axId val="1501470528"/>
      </c:scatterChart>
      <c:valAx>
        <c:axId val="1501468352"/>
        <c:scaling>
          <c:orientation val="minMax"/>
          <c:max val="2015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470528"/>
        <c:crosses val="autoZero"/>
        <c:crossBetween val="midCat"/>
      </c:valAx>
      <c:valAx>
        <c:axId val="1501470528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468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Precipitacion!$L$8:$L$76</c:f>
              <c:numCache>
                <c:formatCode>General</c:formatCode>
                <c:ptCount val="69"/>
                <c:pt idx="0">
                  <c:v>2013</c:v>
                </c:pt>
                <c:pt idx="1">
                  <c:v>2012</c:v>
                </c:pt>
                <c:pt idx="2">
                  <c:v>2011</c:v>
                </c:pt>
                <c:pt idx="3">
                  <c:v>2010</c:v>
                </c:pt>
                <c:pt idx="4">
                  <c:v>2009</c:v>
                </c:pt>
                <c:pt idx="5">
                  <c:v>2008</c:v>
                </c:pt>
                <c:pt idx="6">
                  <c:v>2007</c:v>
                </c:pt>
                <c:pt idx="7">
                  <c:v>2006</c:v>
                </c:pt>
                <c:pt idx="8">
                  <c:v>2005</c:v>
                </c:pt>
                <c:pt idx="9">
                  <c:v>2004</c:v>
                </c:pt>
                <c:pt idx="10">
                  <c:v>2003</c:v>
                </c:pt>
                <c:pt idx="11">
                  <c:v>2002</c:v>
                </c:pt>
                <c:pt idx="12">
                  <c:v>2001</c:v>
                </c:pt>
                <c:pt idx="13">
                  <c:v>2000</c:v>
                </c:pt>
                <c:pt idx="14">
                  <c:v>1999</c:v>
                </c:pt>
                <c:pt idx="15">
                  <c:v>1998</c:v>
                </c:pt>
                <c:pt idx="16">
                  <c:v>1997</c:v>
                </c:pt>
                <c:pt idx="17">
                  <c:v>1996</c:v>
                </c:pt>
                <c:pt idx="18">
                  <c:v>1995</c:v>
                </c:pt>
                <c:pt idx="19">
                  <c:v>1994</c:v>
                </c:pt>
                <c:pt idx="20">
                  <c:v>1993</c:v>
                </c:pt>
                <c:pt idx="21">
                  <c:v>1992</c:v>
                </c:pt>
                <c:pt idx="22">
                  <c:v>1991</c:v>
                </c:pt>
                <c:pt idx="23">
                  <c:v>1990</c:v>
                </c:pt>
                <c:pt idx="24">
                  <c:v>1989</c:v>
                </c:pt>
                <c:pt idx="25">
                  <c:v>1988</c:v>
                </c:pt>
                <c:pt idx="26">
                  <c:v>1987</c:v>
                </c:pt>
                <c:pt idx="27">
                  <c:v>1986</c:v>
                </c:pt>
                <c:pt idx="28">
                  <c:v>1985</c:v>
                </c:pt>
                <c:pt idx="29">
                  <c:v>1984</c:v>
                </c:pt>
                <c:pt idx="30">
                  <c:v>1983</c:v>
                </c:pt>
                <c:pt idx="31">
                  <c:v>1982</c:v>
                </c:pt>
                <c:pt idx="32">
                  <c:v>1981</c:v>
                </c:pt>
                <c:pt idx="33">
                  <c:v>1980</c:v>
                </c:pt>
                <c:pt idx="34">
                  <c:v>1979</c:v>
                </c:pt>
                <c:pt idx="35">
                  <c:v>1978</c:v>
                </c:pt>
                <c:pt idx="36">
                  <c:v>1977</c:v>
                </c:pt>
                <c:pt idx="37">
                  <c:v>1976</c:v>
                </c:pt>
                <c:pt idx="38">
                  <c:v>1975</c:v>
                </c:pt>
                <c:pt idx="39">
                  <c:v>1974</c:v>
                </c:pt>
                <c:pt idx="40">
                  <c:v>1973</c:v>
                </c:pt>
                <c:pt idx="41">
                  <c:v>1972</c:v>
                </c:pt>
                <c:pt idx="42">
                  <c:v>1971</c:v>
                </c:pt>
                <c:pt idx="43">
                  <c:v>1970</c:v>
                </c:pt>
                <c:pt idx="44">
                  <c:v>1969</c:v>
                </c:pt>
                <c:pt idx="45">
                  <c:v>1968</c:v>
                </c:pt>
                <c:pt idx="46">
                  <c:v>1967</c:v>
                </c:pt>
                <c:pt idx="47">
                  <c:v>1966</c:v>
                </c:pt>
                <c:pt idx="48">
                  <c:v>1965</c:v>
                </c:pt>
                <c:pt idx="49">
                  <c:v>1964</c:v>
                </c:pt>
                <c:pt idx="50">
                  <c:v>1963</c:v>
                </c:pt>
                <c:pt idx="51">
                  <c:v>1962</c:v>
                </c:pt>
                <c:pt idx="52">
                  <c:v>1961</c:v>
                </c:pt>
                <c:pt idx="53">
                  <c:v>1960</c:v>
                </c:pt>
                <c:pt idx="54">
                  <c:v>1959</c:v>
                </c:pt>
                <c:pt idx="55">
                  <c:v>1958</c:v>
                </c:pt>
                <c:pt idx="56">
                  <c:v>1957</c:v>
                </c:pt>
                <c:pt idx="57">
                  <c:v>1956</c:v>
                </c:pt>
                <c:pt idx="58">
                  <c:v>1955</c:v>
                </c:pt>
                <c:pt idx="59">
                  <c:v>1954</c:v>
                </c:pt>
                <c:pt idx="60">
                  <c:v>1953</c:v>
                </c:pt>
                <c:pt idx="61">
                  <c:v>1952</c:v>
                </c:pt>
                <c:pt idx="62">
                  <c:v>1951</c:v>
                </c:pt>
                <c:pt idx="63">
                  <c:v>1950</c:v>
                </c:pt>
                <c:pt idx="64">
                  <c:v>1949</c:v>
                </c:pt>
                <c:pt idx="65">
                  <c:v>1948</c:v>
                </c:pt>
                <c:pt idx="66">
                  <c:v>1947</c:v>
                </c:pt>
                <c:pt idx="67">
                  <c:v>1946</c:v>
                </c:pt>
                <c:pt idx="68">
                  <c:v>1945</c:v>
                </c:pt>
              </c:numCache>
            </c:numRef>
          </c:xVal>
          <c:yVal>
            <c:numRef>
              <c:f>Precipitacion!$N$8:$N$76</c:f>
              <c:numCache>
                <c:formatCode>0.00</c:formatCode>
                <c:ptCount val="69"/>
                <c:pt idx="0">
                  <c:v>6.6265711959074668E-3</c:v>
                </c:pt>
                <c:pt idx="1">
                  <c:v>0.5860366236469623</c:v>
                </c:pt>
                <c:pt idx="2">
                  <c:v>2.5211425791462765</c:v>
                </c:pt>
                <c:pt idx="3">
                  <c:v>3.8859954960617991</c:v>
                </c:pt>
                <c:pt idx="4">
                  <c:v>-0.31318213811824652</c:v>
                </c:pt>
                <c:pt idx="5">
                  <c:v>0.56337301432548659</c:v>
                </c:pt>
                <c:pt idx="6">
                  <c:v>0.88569990245313812</c:v>
                </c:pt>
                <c:pt idx="7">
                  <c:v>0.21723789014295225</c:v>
                </c:pt>
                <c:pt idx="8">
                  <c:v>-7.3378749516683807E-3</c:v>
                </c:pt>
                <c:pt idx="9">
                  <c:v>1.2833432296390255</c:v>
                </c:pt>
                <c:pt idx="10">
                  <c:v>0.59153083196731993</c:v>
                </c:pt>
                <c:pt idx="11">
                  <c:v>-0.18979137625688011</c:v>
                </c:pt>
                <c:pt idx="12">
                  <c:v>-0.14698233642742634</c:v>
                </c:pt>
                <c:pt idx="13">
                  <c:v>9.453390432163046E-2</c:v>
                </c:pt>
                <c:pt idx="14">
                  <c:v>1.6912881974255842</c:v>
                </c:pt>
                <c:pt idx="15">
                  <c:v>0.26874609314630588</c:v>
                </c:pt>
                <c:pt idx="16">
                  <c:v>0.51094910993540721</c:v>
                </c:pt>
                <c:pt idx="17">
                  <c:v>0.36054515716561536</c:v>
                </c:pt>
                <c:pt idx="18">
                  <c:v>1.210087118700923</c:v>
                </c:pt>
                <c:pt idx="19">
                  <c:v>0.15497019584556498</c:v>
                </c:pt>
                <c:pt idx="20">
                  <c:v>9.8315260494494013E-3</c:v>
                </c:pt>
                <c:pt idx="21">
                  <c:v>-1.1469282507325258</c:v>
                </c:pt>
                <c:pt idx="22">
                  <c:v>-0.88618228086221718</c:v>
                </c:pt>
                <c:pt idx="26">
                  <c:v>-0.93952188663902292</c:v>
                </c:pt>
                <c:pt idx="27">
                  <c:v>-0.76691217524111877</c:v>
                </c:pt>
                <c:pt idx="28">
                  <c:v>0.28660227018746798</c:v>
                </c:pt>
                <c:pt idx="29">
                  <c:v>5.8592624892624054E-2</c:v>
                </c:pt>
                <c:pt idx="30">
                  <c:v>-0.94501609495938066</c:v>
                </c:pt>
                <c:pt idx="31">
                  <c:v>-1.4481940069654726</c:v>
                </c:pt>
                <c:pt idx="32">
                  <c:v>0.99054771123329732</c:v>
                </c:pt>
                <c:pt idx="36">
                  <c:v>-0.72364528471830203</c:v>
                </c:pt>
                <c:pt idx="37">
                  <c:v>-0.28136151492950778</c:v>
                </c:pt>
                <c:pt idx="38">
                  <c:v>0.22067177034317606</c:v>
                </c:pt>
                <c:pt idx="39">
                  <c:v>-0.28525324582309458</c:v>
                </c:pt>
                <c:pt idx="40">
                  <c:v>-1.3639494793866547</c:v>
                </c:pt>
                <c:pt idx="41">
                  <c:v>-7.4413001529368666E-2</c:v>
                </c:pt>
                <c:pt idx="42">
                  <c:v>-1.5262575501838882</c:v>
                </c:pt>
                <c:pt idx="43">
                  <c:v>1.2709812609182205</c:v>
                </c:pt>
                <c:pt idx="44">
                  <c:v>-0.1050889979846988</c:v>
                </c:pt>
                <c:pt idx="45">
                  <c:v>-0.30562760167775427</c:v>
                </c:pt>
                <c:pt idx="46">
                  <c:v>-0.20970788141817659</c:v>
                </c:pt>
                <c:pt idx="47">
                  <c:v>-9.5931984117435976E-2</c:v>
                </c:pt>
                <c:pt idx="48">
                  <c:v>0.21243045786263923</c:v>
                </c:pt>
                <c:pt idx="49">
                  <c:v>0.56612011848566579</c:v>
                </c:pt>
                <c:pt idx="50">
                  <c:v>0.2341783657973884</c:v>
                </c:pt>
                <c:pt idx="52">
                  <c:v>-0.33607467278640329</c:v>
                </c:pt>
                <c:pt idx="53">
                  <c:v>0.52628710816307234</c:v>
                </c:pt>
                <c:pt idx="54">
                  <c:v>-1.4742914964871716</c:v>
                </c:pt>
                <c:pt idx="55">
                  <c:v>-0.5757595107620076</c:v>
                </c:pt>
                <c:pt idx="56">
                  <c:v>-1.1901951412553426</c:v>
                </c:pt>
                <c:pt idx="57">
                  <c:v>-0.68106517023553004</c:v>
                </c:pt>
                <c:pt idx="58">
                  <c:v>-0.25091444382085898</c:v>
                </c:pt>
                <c:pt idx="59">
                  <c:v>0.82617931231592978</c:v>
                </c:pt>
                <c:pt idx="60">
                  <c:v>-1.1901951412553426</c:v>
                </c:pt>
                <c:pt idx="65">
                  <c:v>-1.4797857048075291</c:v>
                </c:pt>
                <c:pt idx="66">
                  <c:v>-1.0949621970358094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B6-4C12-B9CB-21F19823A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7791455"/>
        <c:axId val="1167786463"/>
      </c:scatterChart>
      <c:valAx>
        <c:axId val="1167791455"/>
        <c:scaling>
          <c:orientation val="minMax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786463"/>
        <c:crosses val="autoZero"/>
        <c:crossBetween val="midCat"/>
      </c:valAx>
      <c:valAx>
        <c:axId val="116778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791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Precipitacion!$J$8:$J$19</c:f>
                <c:numCache>
                  <c:formatCode>General</c:formatCode>
                  <c:ptCount val="12"/>
                  <c:pt idx="0">
                    <c:v>11.45579798790475</c:v>
                  </c:pt>
                  <c:pt idx="1">
                    <c:v>1.1785744348206006</c:v>
                  </c:pt>
                  <c:pt idx="2">
                    <c:v>4.134157703890228</c:v>
                  </c:pt>
                  <c:pt idx="3">
                    <c:v>21.232471704036211</c:v>
                  </c:pt>
                  <c:pt idx="4">
                    <c:v>66.657599811268398</c:v>
                  </c:pt>
                  <c:pt idx="5">
                    <c:v>63.943086052897485</c:v>
                  </c:pt>
                  <c:pt idx="6">
                    <c:v>80.73914142677846</c:v>
                  </c:pt>
                  <c:pt idx="7">
                    <c:v>79.011734109460761</c:v>
                  </c:pt>
                  <c:pt idx="8">
                    <c:v>71.806359822872963</c:v>
                  </c:pt>
                  <c:pt idx="9">
                    <c:v>113.66475137158866</c:v>
                  </c:pt>
                  <c:pt idx="10">
                    <c:v>112.1119367711015</c:v>
                  </c:pt>
                  <c:pt idx="11">
                    <c:v>51.032802923280137</c:v>
                  </c:pt>
                </c:numCache>
              </c:numRef>
            </c:plus>
            <c:minus>
              <c:numRef>
                <c:f>Precipitacion!$J$8:$J$19</c:f>
                <c:numCache>
                  <c:formatCode>General</c:formatCode>
                  <c:ptCount val="12"/>
                  <c:pt idx="0">
                    <c:v>11.45579798790475</c:v>
                  </c:pt>
                  <c:pt idx="1">
                    <c:v>1.1785744348206006</c:v>
                  </c:pt>
                  <c:pt idx="2">
                    <c:v>4.134157703890228</c:v>
                  </c:pt>
                  <c:pt idx="3">
                    <c:v>21.232471704036211</c:v>
                  </c:pt>
                  <c:pt idx="4">
                    <c:v>66.657599811268398</c:v>
                  </c:pt>
                  <c:pt idx="5">
                    <c:v>63.943086052897485</c:v>
                  </c:pt>
                  <c:pt idx="6">
                    <c:v>80.73914142677846</c:v>
                  </c:pt>
                  <c:pt idx="7">
                    <c:v>79.011734109460761</c:v>
                  </c:pt>
                  <c:pt idx="8">
                    <c:v>71.806359822872963</c:v>
                  </c:pt>
                  <c:pt idx="9">
                    <c:v>113.66475137158866</c:v>
                  </c:pt>
                  <c:pt idx="10">
                    <c:v>112.1119367711015</c:v>
                  </c:pt>
                  <c:pt idx="11">
                    <c:v>51.032802923280137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strRef>
              <c:f>Precipitacion!$H$8:$H$19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xVal>
          <c:yVal>
            <c:numRef>
              <c:f>Precipitacion!$I$8:$I$19</c:f>
              <c:numCache>
                <c:formatCode>0.00</c:formatCode>
                <c:ptCount val="12"/>
                <c:pt idx="0">
                  <c:v>3.2227272727272722</c:v>
                </c:pt>
                <c:pt idx="1">
                  <c:v>0.24782608695652175</c:v>
                </c:pt>
                <c:pt idx="2">
                  <c:v>2.1022222222222222</c:v>
                </c:pt>
                <c:pt idx="3">
                  <c:v>22.583720930232559</c:v>
                </c:pt>
                <c:pt idx="4">
                  <c:v>85.934090909090898</c:v>
                </c:pt>
                <c:pt idx="5">
                  <c:v>91.843478260869574</c:v>
                </c:pt>
                <c:pt idx="6">
                  <c:v>92.351111111111109</c:v>
                </c:pt>
                <c:pt idx="7">
                  <c:v>100.10212765957451</c:v>
                </c:pt>
                <c:pt idx="8">
                  <c:v>115.95531914893617</c:v>
                </c:pt>
                <c:pt idx="9">
                  <c:v>176.95555555555558</c:v>
                </c:pt>
                <c:pt idx="10">
                  <c:v>123.97499999999997</c:v>
                </c:pt>
                <c:pt idx="11">
                  <c:v>33.82162162162161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A2-4AE2-A543-2D27C654C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8895440"/>
        <c:axId val="318888552"/>
      </c:scatterChart>
      <c:valAx>
        <c:axId val="318895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888552"/>
        <c:crosses val="autoZero"/>
        <c:crossBetween val="midCat"/>
      </c:valAx>
      <c:valAx>
        <c:axId val="318888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895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737906</xdr:colOff>
      <xdr:row>7</xdr:row>
      <xdr:rowOff>50146</xdr:rowOff>
    </xdr:from>
    <xdr:to>
      <xdr:col>34</xdr:col>
      <xdr:colOff>414057</xdr:colOff>
      <xdr:row>22</xdr:row>
      <xdr:rowOff>126346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324969</xdr:colOff>
      <xdr:row>23</xdr:row>
      <xdr:rowOff>141195</xdr:rowOff>
    </xdr:from>
    <xdr:to>
      <xdr:col>35</xdr:col>
      <xdr:colOff>324970</xdr:colOff>
      <xdr:row>38</xdr:row>
      <xdr:rowOff>26895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156882</xdr:colOff>
      <xdr:row>13</xdr:row>
      <xdr:rowOff>156882</xdr:rowOff>
    </xdr:from>
    <xdr:to>
      <xdr:col>16</xdr:col>
      <xdr:colOff>497541</xdr:colOff>
      <xdr:row>29</xdr:row>
      <xdr:rowOff>31377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5F52DD0-4162-4C1E-B981-0C56719DDC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40341</xdr:colOff>
      <xdr:row>8</xdr:row>
      <xdr:rowOff>13672</xdr:rowOff>
    </xdr:from>
    <xdr:to>
      <xdr:col>31</xdr:col>
      <xdr:colOff>369793</xdr:colOff>
      <xdr:row>22</xdr:row>
      <xdr:rowOff>86285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466725</xdr:colOff>
      <xdr:row>4</xdr:row>
      <xdr:rowOff>68356</xdr:rowOff>
    </xdr:from>
    <xdr:to>
      <xdr:col>26</xdr:col>
      <xdr:colOff>152399</xdr:colOff>
      <xdr:row>18</xdr:row>
      <xdr:rowOff>144556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463923</xdr:colOff>
      <xdr:row>22</xdr:row>
      <xdr:rowOff>22412</xdr:rowOff>
    </xdr:from>
    <xdr:to>
      <xdr:col>22</xdr:col>
      <xdr:colOff>468406</xdr:colOff>
      <xdr:row>36</xdr:row>
      <xdr:rowOff>98612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569260</xdr:colOff>
      <xdr:row>3</xdr:row>
      <xdr:rowOff>32499</xdr:rowOff>
    </xdr:from>
    <xdr:to>
      <xdr:col>23</xdr:col>
      <xdr:colOff>602878</xdr:colOff>
      <xdr:row>16</xdr:row>
      <xdr:rowOff>86287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558053</xdr:colOff>
      <xdr:row>17</xdr:row>
      <xdr:rowOff>159125</xdr:rowOff>
    </xdr:from>
    <xdr:to>
      <xdr:col>23</xdr:col>
      <xdr:colOff>580464</xdr:colOff>
      <xdr:row>32</xdr:row>
      <xdr:rowOff>56031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470647</xdr:colOff>
      <xdr:row>20</xdr:row>
      <xdr:rowOff>94129</xdr:rowOff>
    </xdr:from>
    <xdr:to>
      <xdr:col>13</xdr:col>
      <xdr:colOff>407894</xdr:colOff>
      <xdr:row>35</xdr:row>
      <xdr:rowOff>147918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232C81B-3A36-4A09-8595-72192C09CA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IOLOGIA\Cartagena\Parametros%20Ambientales\Calamar%20complet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GDrive\Academicos\Articulos\Pendientes\Varadero%20growth%20rates\data-pre\Temperaturas.xlsx" TargetMode="External"/><Relationship Id="rId1" Type="http://schemas.openxmlformats.org/officeDocument/2006/relationships/externalLinkPath" Target="Temperatur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amar completo"/>
      <sheetName val="Caudales"/>
      <sheetName val="Nivel"/>
      <sheetName val="Transporte"/>
      <sheetName val="Precipitacion"/>
    </sheetNames>
    <sheetDataSet>
      <sheetData sheetId="0"/>
      <sheetData sheetId="1"/>
      <sheetData sheetId="2"/>
      <sheetData sheetId="3">
        <row r="5">
          <cell r="L5">
            <v>2014.9166666666665</v>
          </cell>
          <cell r="O5">
            <v>13733</v>
          </cell>
        </row>
        <row r="6">
          <cell r="L6">
            <v>2014.8333333333333</v>
          </cell>
          <cell r="O6">
            <v>12934</v>
          </cell>
        </row>
        <row r="7">
          <cell r="L7">
            <v>2014.75</v>
          </cell>
          <cell r="O7">
            <v>10429</v>
          </cell>
        </row>
        <row r="8">
          <cell r="L8">
            <v>2014.6666666666665</v>
          </cell>
          <cell r="O8">
            <v>6985</v>
          </cell>
        </row>
        <row r="9">
          <cell r="L9">
            <v>2014.5833333333333</v>
          </cell>
          <cell r="O9">
            <v>4832</v>
          </cell>
        </row>
        <row r="10">
          <cell r="L10">
            <v>2014.5</v>
          </cell>
          <cell r="O10">
            <v>5803</v>
          </cell>
        </row>
        <row r="11">
          <cell r="L11">
            <v>2014.4166666666665</v>
          </cell>
          <cell r="O11">
            <v>9247</v>
          </cell>
        </row>
        <row r="12">
          <cell r="L12">
            <v>2014.3333333333333</v>
          </cell>
          <cell r="O12">
            <v>9219</v>
          </cell>
        </row>
        <row r="13">
          <cell r="L13">
            <v>2014.25</v>
          </cell>
          <cell r="O13">
            <v>4464</v>
          </cell>
        </row>
        <row r="14">
          <cell r="L14">
            <v>2014.1666666666665</v>
          </cell>
          <cell r="O14">
            <v>5428</v>
          </cell>
        </row>
        <row r="15">
          <cell r="L15">
            <v>2014.0833333333333</v>
          </cell>
          <cell r="O15">
            <v>3702</v>
          </cell>
        </row>
        <row r="16">
          <cell r="L16">
            <v>2014</v>
          </cell>
          <cell r="O16">
            <v>7869</v>
          </cell>
        </row>
        <row r="17">
          <cell r="L17">
            <v>2013.9166666666599</v>
          </cell>
        </row>
        <row r="18">
          <cell r="L18">
            <v>2013.8333333333301</v>
          </cell>
        </row>
        <row r="19">
          <cell r="L19">
            <v>2013.75</v>
          </cell>
        </row>
        <row r="20">
          <cell r="L20">
            <v>2013.6666666666599</v>
          </cell>
        </row>
        <row r="21">
          <cell r="L21">
            <v>2013.5833333333301</v>
          </cell>
        </row>
        <row r="22">
          <cell r="L22">
            <v>2013.5</v>
          </cell>
        </row>
        <row r="23">
          <cell r="L23">
            <v>2013.4166666666599</v>
          </cell>
        </row>
        <row r="24">
          <cell r="L24">
            <v>2013.3333333333301</v>
          </cell>
        </row>
        <row r="25">
          <cell r="L25">
            <v>2013.25</v>
          </cell>
        </row>
        <row r="26">
          <cell r="L26">
            <v>2013.1666666666599</v>
          </cell>
        </row>
        <row r="27">
          <cell r="L27">
            <v>2013.0833333333301</v>
          </cell>
        </row>
        <row r="28">
          <cell r="L28">
            <v>2013</v>
          </cell>
        </row>
        <row r="29">
          <cell r="L29">
            <v>2012.9166666666599</v>
          </cell>
          <cell r="O29">
            <v>10054</v>
          </cell>
        </row>
        <row r="30">
          <cell r="L30">
            <v>2012.8333333333301</v>
          </cell>
          <cell r="O30">
            <v>11863</v>
          </cell>
        </row>
        <row r="31">
          <cell r="L31">
            <v>2012.75</v>
          </cell>
          <cell r="O31">
            <v>9083</v>
          </cell>
        </row>
        <row r="32">
          <cell r="L32">
            <v>2012.6666666666599</v>
          </cell>
          <cell r="O32">
            <v>8957</v>
          </cell>
        </row>
        <row r="33">
          <cell r="L33">
            <v>2012.5833333333301</v>
          </cell>
          <cell r="O33">
            <v>8613</v>
          </cell>
        </row>
        <row r="34">
          <cell r="L34">
            <v>2012.5</v>
          </cell>
          <cell r="O34">
            <v>9084</v>
          </cell>
        </row>
        <row r="35">
          <cell r="L35">
            <v>2012.4166666666599</v>
          </cell>
          <cell r="O35">
            <v>14584</v>
          </cell>
        </row>
        <row r="36">
          <cell r="L36">
            <v>2012.3333333333301</v>
          </cell>
          <cell r="O36">
            <v>16730</v>
          </cell>
        </row>
        <row r="37">
          <cell r="L37">
            <v>2012.24999999999</v>
          </cell>
          <cell r="O37">
            <v>9180</v>
          </cell>
        </row>
        <row r="38">
          <cell r="L38">
            <v>2012.1666666666599</v>
          </cell>
          <cell r="O38">
            <v>5412</v>
          </cell>
        </row>
        <row r="39">
          <cell r="L39">
            <v>2012.0833333333301</v>
          </cell>
          <cell r="O39">
            <v>9640</v>
          </cell>
        </row>
        <row r="40">
          <cell r="L40">
            <v>2012</v>
          </cell>
          <cell r="O40">
            <v>21327</v>
          </cell>
        </row>
        <row r="41">
          <cell r="L41">
            <v>2011.9166666666599</v>
          </cell>
          <cell r="O41">
            <v>32570</v>
          </cell>
        </row>
        <row r="42">
          <cell r="L42">
            <v>2011.8333333333301</v>
          </cell>
          <cell r="O42">
            <v>23485</v>
          </cell>
        </row>
        <row r="43">
          <cell r="L43">
            <v>2011.74999999999</v>
          </cell>
          <cell r="O43">
            <v>17415</v>
          </cell>
        </row>
        <row r="44">
          <cell r="L44">
            <v>2011.6666666666599</v>
          </cell>
          <cell r="O44">
            <v>15310</v>
          </cell>
        </row>
        <row r="45">
          <cell r="L45">
            <v>2011.5833333333301</v>
          </cell>
          <cell r="O45">
            <v>19387</v>
          </cell>
        </row>
        <row r="46">
          <cell r="L46">
            <v>2011.49999999999</v>
          </cell>
          <cell r="O46">
            <v>23579</v>
          </cell>
        </row>
        <row r="47">
          <cell r="L47">
            <v>2011.4166666666599</v>
          </cell>
          <cell r="O47">
            <v>29180</v>
          </cell>
        </row>
        <row r="48">
          <cell r="L48">
            <v>2011.3333333333301</v>
          </cell>
          <cell r="O48">
            <v>26750</v>
          </cell>
        </row>
        <row r="49">
          <cell r="L49">
            <v>2011.24999999999</v>
          </cell>
          <cell r="O49">
            <v>13049</v>
          </cell>
        </row>
        <row r="50">
          <cell r="L50">
            <v>2011.1666666666599</v>
          </cell>
          <cell r="O50">
            <v>9190</v>
          </cell>
        </row>
        <row r="51">
          <cell r="L51">
            <v>2011.0833333333301</v>
          </cell>
          <cell r="O51">
            <v>8644</v>
          </cell>
        </row>
        <row r="52">
          <cell r="L52">
            <v>2011</v>
          </cell>
          <cell r="O52">
            <v>24530</v>
          </cell>
        </row>
        <row r="53">
          <cell r="L53">
            <v>2010.9166666666599</v>
          </cell>
          <cell r="O53">
            <v>34857</v>
          </cell>
        </row>
        <row r="54">
          <cell r="L54">
            <v>2010.8333333333301</v>
          </cell>
          <cell r="O54">
            <v>32856</v>
          </cell>
        </row>
        <row r="55">
          <cell r="L55">
            <v>2010.74999999999</v>
          </cell>
          <cell r="O55">
            <v>33804</v>
          </cell>
        </row>
        <row r="56">
          <cell r="L56">
            <v>2010.6666666666599</v>
          </cell>
          <cell r="O56">
            <v>29191</v>
          </cell>
        </row>
        <row r="57">
          <cell r="L57">
            <v>2010.5833333333301</v>
          </cell>
          <cell r="O57">
            <v>29793</v>
          </cell>
        </row>
        <row r="58">
          <cell r="L58">
            <v>2010.49999999999</v>
          </cell>
          <cell r="O58">
            <v>22569</v>
          </cell>
        </row>
        <row r="59">
          <cell r="L59">
            <v>2010.4166666666599</v>
          </cell>
          <cell r="O59">
            <v>15899</v>
          </cell>
        </row>
        <row r="60">
          <cell r="L60">
            <v>2010.3333333333201</v>
          </cell>
          <cell r="O60">
            <v>10630</v>
          </cell>
        </row>
        <row r="61">
          <cell r="L61">
            <v>2010.24999999999</v>
          </cell>
          <cell r="O61">
            <v>5225</v>
          </cell>
        </row>
        <row r="62">
          <cell r="L62">
            <v>2010.1666666666599</v>
          </cell>
          <cell r="O62">
            <v>3231</v>
          </cell>
        </row>
        <row r="63">
          <cell r="L63">
            <v>2010.0833333333201</v>
          </cell>
          <cell r="O63">
            <v>2047</v>
          </cell>
        </row>
        <row r="64">
          <cell r="L64">
            <v>2010</v>
          </cell>
          <cell r="O64">
            <v>3620</v>
          </cell>
        </row>
        <row r="65">
          <cell r="L65">
            <v>2009.9166666666599</v>
          </cell>
          <cell r="O65">
            <v>7124</v>
          </cell>
        </row>
        <row r="66">
          <cell r="L66">
            <v>2009.8333333333201</v>
          </cell>
          <cell r="O66">
            <v>10275</v>
          </cell>
        </row>
        <row r="67">
          <cell r="L67">
            <v>2009.74999999999</v>
          </cell>
          <cell r="O67">
            <v>6802</v>
          </cell>
        </row>
        <row r="68">
          <cell r="L68">
            <v>2009.6666666666599</v>
          </cell>
          <cell r="O68">
            <v>8097</v>
          </cell>
        </row>
        <row r="69">
          <cell r="L69">
            <v>2009.5833333333201</v>
          </cell>
          <cell r="O69">
            <v>8274</v>
          </cell>
        </row>
        <row r="70">
          <cell r="L70">
            <v>2009.49999999999</v>
          </cell>
          <cell r="O70">
            <v>11240</v>
          </cell>
        </row>
        <row r="71">
          <cell r="L71">
            <v>2009.4166666666599</v>
          </cell>
          <cell r="O71">
            <v>11709</v>
          </cell>
        </row>
        <row r="72">
          <cell r="L72">
            <v>2009.3333333333201</v>
          </cell>
          <cell r="O72">
            <v>12244</v>
          </cell>
        </row>
        <row r="73">
          <cell r="L73">
            <v>2009.24999999999</v>
          </cell>
          <cell r="O73">
            <v>9875</v>
          </cell>
        </row>
        <row r="74">
          <cell r="L74">
            <v>2009.1666666666599</v>
          </cell>
          <cell r="O74">
            <v>7483</v>
          </cell>
        </row>
        <row r="75">
          <cell r="L75">
            <v>2009.0833333333201</v>
          </cell>
          <cell r="O75">
            <v>8904</v>
          </cell>
        </row>
        <row r="76">
          <cell r="L76">
            <v>2009</v>
          </cell>
          <cell r="O76">
            <v>18391</v>
          </cell>
        </row>
        <row r="77">
          <cell r="L77">
            <v>2008.9166666666599</v>
          </cell>
          <cell r="O77">
            <v>30406</v>
          </cell>
        </row>
        <row r="78">
          <cell r="L78">
            <v>2008.8333333333201</v>
          </cell>
          <cell r="O78">
            <v>26105</v>
          </cell>
        </row>
        <row r="79">
          <cell r="L79">
            <v>2008.74999999999</v>
          </cell>
          <cell r="O79">
            <v>23173</v>
          </cell>
        </row>
        <row r="80">
          <cell r="L80">
            <v>2008.6666666666599</v>
          </cell>
          <cell r="O80">
            <v>22667</v>
          </cell>
        </row>
        <row r="81">
          <cell r="L81">
            <v>2008.5833333333201</v>
          </cell>
          <cell r="O81">
            <v>22880</v>
          </cell>
        </row>
        <row r="82">
          <cell r="L82">
            <v>2008.49999999999</v>
          </cell>
          <cell r="O82">
            <v>21718</v>
          </cell>
        </row>
        <row r="83">
          <cell r="L83">
            <v>2008.4166666666499</v>
          </cell>
          <cell r="O83">
            <v>16964</v>
          </cell>
        </row>
        <row r="84">
          <cell r="L84">
            <v>2008.3333333333201</v>
          </cell>
          <cell r="O84">
            <v>11940</v>
          </cell>
        </row>
        <row r="85">
          <cell r="L85">
            <v>2008.24999999999</v>
          </cell>
          <cell r="O85">
            <v>7302</v>
          </cell>
        </row>
        <row r="86">
          <cell r="L86">
            <v>2008.1666666666499</v>
          </cell>
          <cell r="O86">
            <v>7041</v>
          </cell>
        </row>
        <row r="87">
          <cell r="L87">
            <v>2008.0833333333201</v>
          </cell>
          <cell r="O87">
            <v>6649</v>
          </cell>
        </row>
        <row r="88">
          <cell r="L88">
            <v>2008</v>
          </cell>
          <cell r="O88">
            <v>14942</v>
          </cell>
        </row>
        <row r="89">
          <cell r="L89">
            <v>2007.9166666666499</v>
          </cell>
          <cell r="O89">
            <v>24612</v>
          </cell>
        </row>
        <row r="90">
          <cell r="L90">
            <v>2007.8333333333201</v>
          </cell>
          <cell r="O90">
            <v>25594</v>
          </cell>
        </row>
        <row r="91">
          <cell r="L91">
            <v>2007.74999999999</v>
          </cell>
          <cell r="O91">
            <v>18750</v>
          </cell>
        </row>
        <row r="92">
          <cell r="L92">
            <v>2007.6666666666499</v>
          </cell>
          <cell r="O92">
            <v>18077</v>
          </cell>
        </row>
        <row r="93">
          <cell r="L93">
            <v>2007.5833333333201</v>
          </cell>
          <cell r="O93">
            <v>15776</v>
          </cell>
        </row>
        <row r="94">
          <cell r="L94">
            <v>2007.49999999999</v>
          </cell>
          <cell r="O94">
            <v>20584</v>
          </cell>
        </row>
        <row r="95">
          <cell r="L95">
            <v>2007.4166666666499</v>
          </cell>
          <cell r="O95">
            <v>20340</v>
          </cell>
        </row>
        <row r="96">
          <cell r="L96">
            <v>2007.3333333333201</v>
          </cell>
          <cell r="O96">
            <v>13691</v>
          </cell>
        </row>
        <row r="97">
          <cell r="L97">
            <v>2007.24999999999</v>
          </cell>
          <cell r="O97">
            <v>7312</v>
          </cell>
        </row>
        <row r="98">
          <cell r="L98">
            <v>2007.1666666666499</v>
          </cell>
          <cell r="O98">
            <v>2809</v>
          </cell>
        </row>
        <row r="99">
          <cell r="L99">
            <v>2007.0833333333201</v>
          </cell>
          <cell r="O99">
            <v>3732</v>
          </cell>
        </row>
        <row r="100">
          <cell r="L100">
            <v>2007</v>
          </cell>
          <cell r="O100">
            <v>12575</v>
          </cell>
        </row>
        <row r="101">
          <cell r="L101">
            <v>2006.9166666666499</v>
          </cell>
          <cell r="O101">
            <v>19098</v>
          </cell>
        </row>
        <row r="102">
          <cell r="L102">
            <v>2006.8333333333201</v>
          </cell>
          <cell r="O102">
            <v>14827</v>
          </cell>
        </row>
        <row r="103">
          <cell r="L103">
            <v>2006.74999999998</v>
          </cell>
          <cell r="O103">
            <v>10805</v>
          </cell>
        </row>
        <row r="104">
          <cell r="L104">
            <v>2006.6666666666499</v>
          </cell>
          <cell r="O104">
            <v>10109</v>
          </cell>
        </row>
        <row r="105">
          <cell r="L105">
            <v>2006.5833333333201</v>
          </cell>
          <cell r="O105">
            <v>10301</v>
          </cell>
        </row>
        <row r="106">
          <cell r="L106">
            <v>2006.49999999998</v>
          </cell>
          <cell r="O106">
            <v>18071</v>
          </cell>
        </row>
        <row r="107">
          <cell r="L107">
            <v>2006.4166666666499</v>
          </cell>
          <cell r="O107">
            <v>19737</v>
          </cell>
        </row>
        <row r="108">
          <cell r="L108">
            <v>2006.3333333333201</v>
          </cell>
          <cell r="O108">
            <v>14451</v>
          </cell>
        </row>
        <row r="109">
          <cell r="L109">
            <v>2006.24999999998</v>
          </cell>
          <cell r="O109">
            <v>8536</v>
          </cell>
        </row>
        <row r="110">
          <cell r="L110">
            <v>2006.1666666666499</v>
          </cell>
          <cell r="O110">
            <v>5064</v>
          </cell>
        </row>
        <row r="111">
          <cell r="L111">
            <v>2006.0833333333201</v>
          </cell>
          <cell r="O111">
            <v>6610</v>
          </cell>
        </row>
        <row r="112">
          <cell r="L112">
            <v>2006</v>
          </cell>
          <cell r="O112">
            <v>15637</v>
          </cell>
        </row>
        <row r="113">
          <cell r="L113">
            <v>2005.9166666666499</v>
          </cell>
        </row>
        <row r="114">
          <cell r="L114">
            <v>2005.8333333333201</v>
          </cell>
        </row>
        <row r="115">
          <cell r="L115">
            <v>2005.74999999998</v>
          </cell>
          <cell r="O115">
            <v>11363</v>
          </cell>
        </row>
        <row r="116">
          <cell r="L116">
            <v>2005.6666666666499</v>
          </cell>
          <cell r="O116">
            <v>8571</v>
          </cell>
        </row>
        <row r="117">
          <cell r="L117">
            <v>2005.5833333333201</v>
          </cell>
          <cell r="O117">
            <v>9587</v>
          </cell>
        </row>
        <row r="118">
          <cell r="L118">
            <v>2005.49999999998</v>
          </cell>
        </row>
        <row r="119">
          <cell r="L119">
            <v>2005.4166666666499</v>
          </cell>
        </row>
        <row r="120">
          <cell r="L120">
            <v>2005.3333333333201</v>
          </cell>
          <cell r="O120">
            <v>9492</v>
          </cell>
        </row>
        <row r="121">
          <cell r="L121">
            <v>2005.24999999998</v>
          </cell>
          <cell r="O121">
            <v>5103</v>
          </cell>
        </row>
        <row r="122">
          <cell r="L122">
            <v>2005.1666666666499</v>
          </cell>
          <cell r="O122">
            <v>4210</v>
          </cell>
        </row>
        <row r="123">
          <cell r="L123">
            <v>2005.0833333333201</v>
          </cell>
          <cell r="O123">
            <v>4937</v>
          </cell>
        </row>
        <row r="124">
          <cell r="L124">
            <v>2005</v>
          </cell>
          <cell r="O124">
            <v>10582</v>
          </cell>
        </row>
        <row r="125">
          <cell r="L125">
            <v>2004.9166666666499</v>
          </cell>
          <cell r="O125">
            <v>20571</v>
          </cell>
        </row>
        <row r="126">
          <cell r="L126">
            <v>2004.8333333333101</v>
          </cell>
          <cell r="O126">
            <v>17435</v>
          </cell>
        </row>
        <row r="127">
          <cell r="L127">
            <v>2004.74999999998</v>
          </cell>
          <cell r="O127">
            <v>12564</v>
          </cell>
        </row>
        <row r="128">
          <cell r="L128">
            <v>2004.6666666666499</v>
          </cell>
          <cell r="O128">
            <v>8509</v>
          </cell>
        </row>
        <row r="129">
          <cell r="L129">
            <v>2004.5833333333101</v>
          </cell>
          <cell r="O129">
            <v>8098</v>
          </cell>
        </row>
        <row r="130">
          <cell r="L130">
            <v>2004.49999999998</v>
          </cell>
          <cell r="O130">
            <v>8598</v>
          </cell>
        </row>
        <row r="131">
          <cell r="L131">
            <v>2004.4166666666499</v>
          </cell>
          <cell r="O131">
            <v>10993</v>
          </cell>
        </row>
        <row r="132">
          <cell r="L132">
            <v>2004.3333333333101</v>
          </cell>
          <cell r="O132">
            <v>8244</v>
          </cell>
        </row>
        <row r="133">
          <cell r="L133">
            <v>2004.24999999998</v>
          </cell>
          <cell r="O133">
            <v>3768</v>
          </cell>
        </row>
        <row r="134">
          <cell r="L134">
            <v>2004.1666666666499</v>
          </cell>
          <cell r="O134">
            <v>2799</v>
          </cell>
        </row>
        <row r="135">
          <cell r="L135">
            <v>2004.0833333333101</v>
          </cell>
          <cell r="O135">
            <v>3812</v>
          </cell>
        </row>
        <row r="136">
          <cell r="L136">
            <v>2004</v>
          </cell>
          <cell r="O136">
            <v>13563</v>
          </cell>
        </row>
        <row r="137">
          <cell r="L137">
            <v>2003.9166666666499</v>
          </cell>
          <cell r="O137">
            <v>20657</v>
          </cell>
        </row>
        <row r="138">
          <cell r="L138">
            <v>2003.8333333333101</v>
          </cell>
          <cell r="O138">
            <v>17053</v>
          </cell>
        </row>
        <row r="139">
          <cell r="L139">
            <v>2003.74999999998</v>
          </cell>
          <cell r="O139">
            <v>12280</v>
          </cell>
        </row>
        <row r="140">
          <cell r="L140">
            <v>2003.6666666666499</v>
          </cell>
          <cell r="O140">
            <v>8210</v>
          </cell>
        </row>
        <row r="141">
          <cell r="L141">
            <v>2003.5833333333101</v>
          </cell>
          <cell r="O141">
            <v>10123</v>
          </cell>
        </row>
        <row r="142">
          <cell r="L142">
            <v>2003.49999999998</v>
          </cell>
          <cell r="O142">
            <v>11497</v>
          </cell>
        </row>
        <row r="143">
          <cell r="L143">
            <v>2003.4166666666499</v>
          </cell>
          <cell r="O143">
            <v>10185</v>
          </cell>
        </row>
        <row r="144">
          <cell r="L144">
            <v>2003.3333333333101</v>
          </cell>
          <cell r="O144">
            <v>8114</v>
          </cell>
        </row>
        <row r="145">
          <cell r="L145">
            <v>2003.24999999998</v>
          </cell>
          <cell r="O145">
            <v>4128</v>
          </cell>
        </row>
        <row r="146">
          <cell r="L146">
            <v>2003.1666666666499</v>
          </cell>
          <cell r="O146">
            <v>2472</v>
          </cell>
        </row>
        <row r="147">
          <cell r="L147">
            <v>2003.0833333333101</v>
          </cell>
          <cell r="O147">
            <v>1859</v>
          </cell>
        </row>
        <row r="148">
          <cell r="L148">
            <v>2003</v>
          </cell>
          <cell r="O148">
            <v>3783</v>
          </cell>
        </row>
        <row r="149">
          <cell r="L149">
            <v>2002.9166666666399</v>
          </cell>
          <cell r="O149">
            <v>8688</v>
          </cell>
        </row>
        <row r="150">
          <cell r="L150">
            <v>2002.8333333333101</v>
          </cell>
          <cell r="O150">
            <v>10968</v>
          </cell>
        </row>
        <row r="151">
          <cell r="L151">
            <v>2002.74999999998</v>
          </cell>
          <cell r="O151">
            <v>6424</v>
          </cell>
        </row>
        <row r="152">
          <cell r="L152">
            <v>2002.6666666666399</v>
          </cell>
          <cell r="O152">
            <v>5310</v>
          </cell>
        </row>
        <row r="153">
          <cell r="L153">
            <v>2002.5833333333101</v>
          </cell>
          <cell r="O153">
            <v>5245</v>
          </cell>
        </row>
        <row r="154">
          <cell r="L154">
            <v>2002.49999999998</v>
          </cell>
          <cell r="O154">
            <v>9728</v>
          </cell>
        </row>
        <row r="155">
          <cell r="L155">
            <v>2002.4166666666399</v>
          </cell>
          <cell r="O155">
            <v>11108</v>
          </cell>
        </row>
        <row r="156">
          <cell r="L156">
            <v>2002.3333333333101</v>
          </cell>
          <cell r="O156">
            <v>8108</v>
          </cell>
        </row>
        <row r="157">
          <cell r="L157">
            <v>2002.24999999998</v>
          </cell>
          <cell r="O157">
            <v>5226</v>
          </cell>
        </row>
        <row r="158">
          <cell r="L158">
            <v>2002.1666666666399</v>
          </cell>
          <cell r="O158">
            <v>2779</v>
          </cell>
        </row>
        <row r="159">
          <cell r="L159">
            <v>2002.0833333333101</v>
          </cell>
          <cell r="O159">
            <v>3086</v>
          </cell>
        </row>
        <row r="160">
          <cell r="L160">
            <v>2002</v>
          </cell>
          <cell r="O160">
            <v>9792</v>
          </cell>
        </row>
        <row r="161">
          <cell r="L161">
            <v>2001.9166666666399</v>
          </cell>
          <cell r="O161">
            <v>13872</v>
          </cell>
        </row>
        <row r="162">
          <cell r="L162">
            <v>2001.8333333333101</v>
          </cell>
          <cell r="O162">
            <v>11591</v>
          </cell>
        </row>
        <row r="163">
          <cell r="L163">
            <v>2001.74999999998</v>
          </cell>
          <cell r="O163">
            <v>8679</v>
          </cell>
        </row>
        <row r="164">
          <cell r="L164">
            <v>2001.6666666666399</v>
          </cell>
          <cell r="O164">
            <v>5349</v>
          </cell>
        </row>
        <row r="165">
          <cell r="L165">
            <v>2001.5833333333101</v>
          </cell>
          <cell r="O165">
            <v>5003</v>
          </cell>
        </row>
        <row r="166">
          <cell r="L166">
            <v>2001.49999999998</v>
          </cell>
          <cell r="O166">
            <v>6038</v>
          </cell>
        </row>
        <row r="167">
          <cell r="L167">
            <v>2001.4166666666399</v>
          </cell>
          <cell r="O167">
            <v>7683</v>
          </cell>
        </row>
        <row r="168">
          <cell r="L168">
            <v>2001.3333333333101</v>
          </cell>
          <cell r="O168">
            <v>5479</v>
          </cell>
        </row>
        <row r="169">
          <cell r="L169">
            <v>2001.24999999997</v>
          </cell>
          <cell r="O169">
            <v>3952</v>
          </cell>
        </row>
        <row r="170">
          <cell r="L170">
            <v>2001.1666666666399</v>
          </cell>
          <cell r="O170">
            <v>3362</v>
          </cell>
        </row>
        <row r="171">
          <cell r="L171">
            <v>2001.0833333333101</v>
          </cell>
          <cell r="O171">
            <v>2594</v>
          </cell>
        </row>
        <row r="172">
          <cell r="L172">
            <v>2001</v>
          </cell>
          <cell r="O172">
            <v>6781</v>
          </cell>
        </row>
        <row r="173">
          <cell r="L173">
            <v>2000.9166666666399</v>
          </cell>
          <cell r="O173">
            <v>15503</v>
          </cell>
        </row>
        <row r="174">
          <cell r="L174">
            <v>2000.8333333333101</v>
          </cell>
          <cell r="O174">
            <v>18466</v>
          </cell>
        </row>
        <row r="175">
          <cell r="L175">
            <v>2000.74999999997</v>
          </cell>
          <cell r="O175">
            <v>18190</v>
          </cell>
        </row>
        <row r="176">
          <cell r="L176">
            <v>2000.6666666666399</v>
          </cell>
          <cell r="O176">
            <v>13526</v>
          </cell>
        </row>
        <row r="177">
          <cell r="L177">
            <v>2000.5833333333101</v>
          </cell>
          <cell r="O177">
            <v>13949</v>
          </cell>
        </row>
        <row r="178">
          <cell r="L178">
            <v>2000.49999999997</v>
          </cell>
          <cell r="O178">
            <v>16465</v>
          </cell>
        </row>
        <row r="179">
          <cell r="L179">
            <v>2000.4166666666399</v>
          </cell>
          <cell r="O179">
            <v>14474</v>
          </cell>
        </row>
        <row r="180">
          <cell r="L180">
            <v>2000.3333333333101</v>
          </cell>
          <cell r="O180">
            <v>10167</v>
          </cell>
        </row>
        <row r="181">
          <cell r="L181">
            <v>2000.24999999997</v>
          </cell>
          <cell r="O181">
            <v>7215</v>
          </cell>
        </row>
        <row r="182">
          <cell r="L182">
            <v>2000.1666666666399</v>
          </cell>
          <cell r="O182">
            <v>8152</v>
          </cell>
        </row>
        <row r="183">
          <cell r="L183">
            <v>2000.0833333333101</v>
          </cell>
          <cell r="O183">
            <v>7908</v>
          </cell>
        </row>
        <row r="184">
          <cell r="L184">
            <v>2000</v>
          </cell>
          <cell r="O184">
            <v>19861</v>
          </cell>
        </row>
        <row r="185">
          <cell r="L185">
            <v>1999.9166666660001</v>
          </cell>
        </row>
        <row r="186">
          <cell r="L186">
            <v>1999.83333333264</v>
          </cell>
        </row>
        <row r="187">
          <cell r="L187">
            <v>1999.7499999992799</v>
          </cell>
        </row>
        <row r="188">
          <cell r="L188">
            <v>1999.66666666592</v>
          </cell>
        </row>
        <row r="189">
          <cell r="L189">
            <v>1999.58333333256</v>
          </cell>
        </row>
        <row r="190">
          <cell r="L190">
            <v>1999.4999999992001</v>
          </cell>
        </row>
        <row r="191">
          <cell r="L191">
            <v>1999.41666666584</v>
          </cell>
        </row>
        <row r="192">
          <cell r="L192">
            <v>1999.3333333324799</v>
          </cell>
        </row>
        <row r="193">
          <cell r="L193">
            <v>1999.2499999991201</v>
          </cell>
        </row>
        <row r="194">
          <cell r="L194">
            <v>1999.16666666576</v>
          </cell>
        </row>
        <row r="195">
          <cell r="L195">
            <v>1999.0833333323999</v>
          </cell>
        </row>
        <row r="196">
          <cell r="L196">
            <v>1998.99999999904</v>
          </cell>
        </row>
        <row r="197">
          <cell r="L197">
            <v>1998.9166666656799</v>
          </cell>
          <cell r="O197">
            <v>31579</v>
          </cell>
        </row>
        <row r="198">
          <cell r="L198">
            <v>1998.8333333323201</v>
          </cell>
          <cell r="O198">
            <v>25031</v>
          </cell>
        </row>
        <row r="199">
          <cell r="L199">
            <v>1998.74999999896</v>
          </cell>
          <cell r="O199">
            <v>22450</v>
          </cell>
        </row>
        <row r="200">
          <cell r="L200">
            <v>1998.6666666655999</v>
          </cell>
          <cell r="O200">
            <v>17885</v>
          </cell>
        </row>
        <row r="201">
          <cell r="L201">
            <v>1998.58333333224</v>
          </cell>
          <cell r="O201">
            <v>17338</v>
          </cell>
        </row>
        <row r="202">
          <cell r="L202">
            <v>1998.49999999888</v>
          </cell>
          <cell r="O202">
            <v>19257</v>
          </cell>
        </row>
        <row r="203">
          <cell r="L203">
            <v>1998.4166666655201</v>
          </cell>
          <cell r="O203">
            <v>15554</v>
          </cell>
        </row>
        <row r="204">
          <cell r="L204">
            <v>1998.33333333216</v>
          </cell>
          <cell r="O204">
            <v>11028</v>
          </cell>
        </row>
        <row r="205">
          <cell r="L205">
            <v>1998.2499999987999</v>
          </cell>
          <cell r="O205">
            <v>4329</v>
          </cell>
        </row>
        <row r="206">
          <cell r="L206">
            <v>1998.1666666654401</v>
          </cell>
          <cell r="O206">
            <v>1626</v>
          </cell>
        </row>
        <row r="207">
          <cell r="L207">
            <v>1998.08333333208</v>
          </cell>
          <cell r="O207">
            <v>1747</v>
          </cell>
        </row>
        <row r="208">
          <cell r="L208">
            <v>1997.9999999987201</v>
          </cell>
          <cell r="O208">
            <v>1750</v>
          </cell>
        </row>
        <row r="209">
          <cell r="L209">
            <v>1997.91666666536</v>
          </cell>
          <cell r="O209">
            <v>6312</v>
          </cell>
        </row>
        <row r="210">
          <cell r="L210">
            <v>1997.8333333319999</v>
          </cell>
          <cell r="O210">
            <v>8111</v>
          </cell>
        </row>
        <row r="211">
          <cell r="L211">
            <v>1997.7499999986401</v>
          </cell>
          <cell r="O211">
            <v>6523</v>
          </cell>
        </row>
        <row r="212">
          <cell r="L212">
            <v>1997.66666666528</v>
          </cell>
          <cell r="O212">
            <v>3348</v>
          </cell>
        </row>
        <row r="213">
          <cell r="L213">
            <v>1997.5833333319199</v>
          </cell>
          <cell r="O213">
            <v>3550</v>
          </cell>
        </row>
        <row r="214">
          <cell r="L214">
            <v>1997.49999999856</v>
          </cell>
          <cell r="O214">
            <v>6650</v>
          </cell>
        </row>
        <row r="215">
          <cell r="L215">
            <v>1997.4166666652</v>
          </cell>
          <cell r="O215">
            <v>7390</v>
          </cell>
        </row>
        <row r="216">
          <cell r="L216">
            <v>1997.3333333318401</v>
          </cell>
          <cell r="O216">
            <v>5373</v>
          </cell>
        </row>
        <row r="217">
          <cell r="L217">
            <v>1997.24999999848</v>
          </cell>
          <cell r="O217">
            <v>3443</v>
          </cell>
        </row>
        <row r="218">
          <cell r="L218">
            <v>1997.1666666651099</v>
          </cell>
          <cell r="O218">
            <v>3501</v>
          </cell>
        </row>
        <row r="219">
          <cell r="L219">
            <v>1997.0833333317501</v>
          </cell>
          <cell r="O219">
            <v>5632</v>
          </cell>
        </row>
        <row r="220">
          <cell r="L220">
            <v>1996.99999999839</v>
          </cell>
          <cell r="O220">
            <v>8426</v>
          </cell>
        </row>
        <row r="221">
          <cell r="L221">
            <v>1996.9166666650301</v>
          </cell>
          <cell r="O221">
            <v>22990</v>
          </cell>
        </row>
        <row r="222">
          <cell r="L222">
            <v>1996.83333333167</v>
          </cell>
          <cell r="O222">
            <v>27769</v>
          </cell>
        </row>
        <row r="223">
          <cell r="L223">
            <v>1996.7499999983099</v>
          </cell>
          <cell r="O223">
            <v>25414</v>
          </cell>
        </row>
        <row r="224">
          <cell r="L224">
            <v>1996.6666666649501</v>
          </cell>
          <cell r="O224">
            <v>26320</v>
          </cell>
        </row>
        <row r="225">
          <cell r="L225">
            <v>1996.58333333159</v>
          </cell>
          <cell r="O225">
            <v>32200</v>
          </cell>
        </row>
        <row r="226">
          <cell r="L226">
            <v>1996.4999999982299</v>
          </cell>
          <cell r="O226">
            <v>31709</v>
          </cell>
        </row>
        <row r="227">
          <cell r="L227">
            <v>1996.41666666487</v>
          </cell>
          <cell r="O227">
            <v>21393</v>
          </cell>
        </row>
        <row r="228">
          <cell r="L228">
            <v>1996.3333333315099</v>
          </cell>
          <cell r="O228">
            <v>13290</v>
          </cell>
        </row>
        <row r="229">
          <cell r="L229">
            <v>1996.2499999981501</v>
          </cell>
          <cell r="O229">
            <v>10949</v>
          </cell>
        </row>
        <row r="230">
          <cell r="L230">
            <v>1996.16666666479</v>
          </cell>
          <cell r="O230">
            <v>9054</v>
          </cell>
        </row>
        <row r="231">
          <cell r="L231">
            <v>1996.0833333314299</v>
          </cell>
          <cell r="O231">
            <v>5953</v>
          </cell>
        </row>
        <row r="232">
          <cell r="L232">
            <v>1995.9999999980701</v>
          </cell>
          <cell r="O232">
            <v>12245</v>
          </cell>
        </row>
        <row r="233">
          <cell r="L233">
            <v>1995.91666666471</v>
          </cell>
          <cell r="O233">
            <v>22700</v>
          </cell>
        </row>
        <row r="234">
          <cell r="L234">
            <v>1995.8333333313501</v>
          </cell>
          <cell r="O234">
            <v>12625</v>
          </cell>
        </row>
        <row r="235">
          <cell r="L235">
            <v>1995.74999999799</v>
          </cell>
          <cell r="O235">
            <v>21754</v>
          </cell>
        </row>
        <row r="236">
          <cell r="L236">
            <v>1995.6666666646299</v>
          </cell>
          <cell r="O236">
            <v>22612</v>
          </cell>
        </row>
        <row r="237">
          <cell r="L237">
            <v>1995.5833333312701</v>
          </cell>
          <cell r="O237">
            <v>20332</v>
          </cell>
        </row>
        <row r="238">
          <cell r="L238">
            <v>1995.49999999791</v>
          </cell>
          <cell r="O238">
            <v>15478</v>
          </cell>
        </row>
        <row r="239">
          <cell r="L239">
            <v>1995.4166666645499</v>
          </cell>
          <cell r="O239">
            <v>13104</v>
          </cell>
        </row>
        <row r="240">
          <cell r="L240">
            <v>1995.33333333119</v>
          </cell>
          <cell r="O240">
            <v>8745</v>
          </cell>
        </row>
        <row r="241">
          <cell r="L241">
            <v>1995.2499999978299</v>
          </cell>
          <cell r="O241">
            <v>3423</v>
          </cell>
        </row>
        <row r="242">
          <cell r="L242">
            <v>1995.1666666644701</v>
          </cell>
          <cell r="O242">
            <v>1767</v>
          </cell>
        </row>
        <row r="243">
          <cell r="L243">
            <v>1995.08333333111</v>
          </cell>
          <cell r="O243">
            <v>1497</v>
          </cell>
        </row>
        <row r="244">
          <cell r="L244">
            <v>1994.9999999977499</v>
          </cell>
          <cell r="O244">
            <v>7567</v>
          </cell>
        </row>
        <row r="245">
          <cell r="L245">
            <v>1994.91666666439</v>
          </cell>
          <cell r="O245">
            <v>25821</v>
          </cell>
        </row>
        <row r="246">
          <cell r="L246">
            <v>1994.83333333103</v>
          </cell>
          <cell r="O246">
            <v>22969</v>
          </cell>
        </row>
        <row r="247">
          <cell r="L247">
            <v>1994.7499999976701</v>
          </cell>
          <cell r="O247">
            <v>16391</v>
          </cell>
        </row>
        <row r="248">
          <cell r="L248">
            <v>1994.66666666431</v>
          </cell>
          <cell r="O248">
            <v>10837</v>
          </cell>
        </row>
        <row r="249">
          <cell r="L249">
            <v>1994.5833333309499</v>
          </cell>
          <cell r="O249">
            <v>12208</v>
          </cell>
        </row>
        <row r="250">
          <cell r="L250">
            <v>1994.4999999975901</v>
          </cell>
          <cell r="O250">
            <v>18320</v>
          </cell>
        </row>
        <row r="251">
          <cell r="L251">
            <v>1994.41666666423</v>
          </cell>
          <cell r="O251">
            <v>20773</v>
          </cell>
        </row>
        <row r="252">
          <cell r="L252">
            <v>1994.3333333308699</v>
          </cell>
          <cell r="O252">
            <v>16971</v>
          </cell>
        </row>
        <row r="253">
          <cell r="L253">
            <v>1994.24999999751</v>
          </cell>
          <cell r="O253">
            <v>10474</v>
          </cell>
        </row>
        <row r="254">
          <cell r="L254">
            <v>1994.1666666641499</v>
          </cell>
          <cell r="O254">
            <v>6830</v>
          </cell>
        </row>
        <row r="255">
          <cell r="L255">
            <v>1994.0833333307901</v>
          </cell>
          <cell r="O255">
            <v>6237</v>
          </cell>
        </row>
        <row r="256">
          <cell r="L256">
            <v>1993.99999999743</v>
          </cell>
          <cell r="O256">
            <v>17094</v>
          </cell>
        </row>
        <row r="257">
          <cell r="L257">
            <v>1993.9166666640699</v>
          </cell>
          <cell r="O257">
            <v>26148</v>
          </cell>
        </row>
        <row r="258">
          <cell r="L258">
            <v>1993.83333333071</v>
          </cell>
          <cell r="O258">
            <v>20331</v>
          </cell>
        </row>
        <row r="259">
          <cell r="L259">
            <v>1993.74999999735</v>
          </cell>
          <cell r="O259">
            <v>17756</v>
          </cell>
        </row>
        <row r="260">
          <cell r="L260">
            <v>1993.6666666639901</v>
          </cell>
          <cell r="O260">
            <v>13251</v>
          </cell>
        </row>
        <row r="261">
          <cell r="L261">
            <v>1993.58333333063</v>
          </cell>
          <cell r="O261">
            <v>10202</v>
          </cell>
        </row>
        <row r="262">
          <cell r="L262">
            <v>1993.4999999972699</v>
          </cell>
          <cell r="O262">
            <v>15703</v>
          </cell>
        </row>
        <row r="263">
          <cell r="L263">
            <v>1993.4166666639101</v>
          </cell>
          <cell r="O263">
            <v>18468</v>
          </cell>
        </row>
        <row r="264">
          <cell r="L264">
            <v>1993.33333333055</v>
          </cell>
          <cell r="O264">
            <v>14387</v>
          </cell>
        </row>
        <row r="265">
          <cell r="L265">
            <v>1993.2499999971899</v>
          </cell>
          <cell r="O265">
            <v>6970</v>
          </cell>
        </row>
        <row r="266">
          <cell r="L266">
            <v>1993.16666666383</v>
          </cell>
          <cell r="O266">
            <v>3348</v>
          </cell>
        </row>
        <row r="267">
          <cell r="L267">
            <v>1993.0833333304699</v>
          </cell>
          <cell r="O267">
            <v>3469</v>
          </cell>
        </row>
        <row r="268">
          <cell r="L268">
            <v>1992.9999999971101</v>
          </cell>
          <cell r="O268">
            <v>6770</v>
          </cell>
        </row>
        <row r="269">
          <cell r="L269">
            <v>1992.91666666375</v>
          </cell>
          <cell r="O269">
            <v>13090</v>
          </cell>
        </row>
        <row r="270">
          <cell r="L270">
            <v>1992.8333333303899</v>
          </cell>
          <cell r="O270">
            <v>11977</v>
          </cell>
        </row>
        <row r="271">
          <cell r="L271">
            <v>1992.74999999703</v>
          </cell>
          <cell r="O271">
            <v>12356</v>
          </cell>
        </row>
        <row r="272">
          <cell r="L272">
            <v>1992.66666666367</v>
          </cell>
          <cell r="O272">
            <v>9242</v>
          </cell>
        </row>
        <row r="273">
          <cell r="L273">
            <v>1992.5833333303101</v>
          </cell>
          <cell r="O273">
            <v>8444</v>
          </cell>
        </row>
        <row r="274">
          <cell r="L274">
            <v>1992.49999999695</v>
          </cell>
          <cell r="O274">
            <v>6194</v>
          </cell>
        </row>
        <row r="275">
          <cell r="L275">
            <v>1992.4166666635899</v>
          </cell>
          <cell r="O275">
            <v>7588</v>
          </cell>
        </row>
        <row r="276">
          <cell r="L276">
            <v>1992.3333333302301</v>
          </cell>
          <cell r="O276">
            <v>5545</v>
          </cell>
        </row>
        <row r="277">
          <cell r="L277">
            <v>1992.24999999687</v>
          </cell>
          <cell r="O277">
            <v>2027</v>
          </cell>
        </row>
        <row r="278">
          <cell r="L278">
            <v>1992.1666666635101</v>
          </cell>
          <cell r="O278">
            <v>2122</v>
          </cell>
        </row>
        <row r="279">
          <cell r="L279">
            <v>1992.08333333015</v>
          </cell>
          <cell r="O279">
            <v>2247</v>
          </cell>
        </row>
        <row r="280">
          <cell r="L280">
            <v>1991.9999999967899</v>
          </cell>
          <cell r="O280">
            <v>5564</v>
          </cell>
        </row>
        <row r="281">
          <cell r="L281">
            <v>1991.9166666634301</v>
          </cell>
          <cell r="O281">
            <v>18596</v>
          </cell>
        </row>
        <row r="282">
          <cell r="L282">
            <v>1991.83333333007</v>
          </cell>
          <cell r="O282">
            <v>17123</v>
          </cell>
        </row>
        <row r="283">
          <cell r="L283">
            <v>1991.7499999967099</v>
          </cell>
          <cell r="O283">
            <v>15690</v>
          </cell>
        </row>
        <row r="284">
          <cell r="L284">
            <v>1991.66666666335</v>
          </cell>
          <cell r="O284">
            <v>7373</v>
          </cell>
        </row>
        <row r="285">
          <cell r="L285">
            <v>1991.58333332999</v>
          </cell>
          <cell r="O285">
            <v>10448</v>
          </cell>
        </row>
        <row r="286">
          <cell r="L286">
            <v>1991.4999999966301</v>
          </cell>
          <cell r="O286">
            <v>11781</v>
          </cell>
        </row>
        <row r="287">
          <cell r="L287">
            <v>1991.41666666327</v>
          </cell>
          <cell r="O287">
            <v>12770</v>
          </cell>
        </row>
        <row r="288">
          <cell r="L288">
            <v>1991.3333333299099</v>
          </cell>
          <cell r="O288">
            <v>10803</v>
          </cell>
        </row>
        <row r="289">
          <cell r="L289">
            <v>1991.2499999965501</v>
          </cell>
          <cell r="O289">
            <v>5907</v>
          </cell>
        </row>
        <row r="290">
          <cell r="L290">
            <v>1991.16666666319</v>
          </cell>
          <cell r="O290">
            <v>4498</v>
          </cell>
        </row>
        <row r="291">
          <cell r="L291">
            <v>1991.0833333298301</v>
          </cell>
          <cell r="O291">
            <v>3168</v>
          </cell>
        </row>
        <row r="292">
          <cell r="L292">
            <v>1990.99999999647</v>
          </cell>
          <cell r="O292">
            <v>13451</v>
          </cell>
        </row>
        <row r="293">
          <cell r="L293">
            <v>1990.9166666631099</v>
          </cell>
          <cell r="O293">
            <v>27156</v>
          </cell>
        </row>
        <row r="294">
          <cell r="L294">
            <v>1990.8333333297501</v>
          </cell>
          <cell r="O294">
            <v>24705</v>
          </cell>
        </row>
        <row r="295">
          <cell r="L295">
            <v>1990.74999999639</v>
          </cell>
          <cell r="O295">
            <v>16755</v>
          </cell>
        </row>
        <row r="296">
          <cell r="L296">
            <v>1990.6666666630299</v>
          </cell>
          <cell r="O296">
            <v>10931</v>
          </cell>
        </row>
        <row r="297">
          <cell r="L297">
            <v>1990.58333332967</v>
          </cell>
          <cell r="O297">
            <v>10393</v>
          </cell>
        </row>
        <row r="298">
          <cell r="L298">
            <v>1990.49999999631</v>
          </cell>
          <cell r="O298">
            <v>13023</v>
          </cell>
        </row>
        <row r="299">
          <cell r="L299">
            <v>1990.4166666629501</v>
          </cell>
          <cell r="O299">
            <v>14917</v>
          </cell>
        </row>
        <row r="300">
          <cell r="L300">
            <v>1990.33333332959</v>
          </cell>
          <cell r="O300">
            <v>14255</v>
          </cell>
        </row>
        <row r="301">
          <cell r="L301">
            <v>1990.2499999962299</v>
          </cell>
          <cell r="O301">
            <v>6965</v>
          </cell>
        </row>
        <row r="302">
          <cell r="L302">
            <v>1990.1666666628701</v>
          </cell>
          <cell r="O302">
            <v>5647</v>
          </cell>
        </row>
        <row r="303">
          <cell r="L303">
            <v>1990.08333332951</v>
          </cell>
          <cell r="O303">
            <v>5953</v>
          </cell>
        </row>
        <row r="304">
          <cell r="L304">
            <v>1989.9999999961501</v>
          </cell>
          <cell r="O304">
            <v>11692</v>
          </cell>
        </row>
        <row r="305">
          <cell r="L305">
            <v>1989.91666666279</v>
          </cell>
          <cell r="O305">
            <v>30546</v>
          </cell>
        </row>
        <row r="306">
          <cell r="L306">
            <v>1989.8333333294299</v>
          </cell>
          <cell r="O306">
            <v>37097</v>
          </cell>
        </row>
        <row r="307">
          <cell r="L307">
            <v>1989.7499999960701</v>
          </cell>
          <cell r="O307">
            <v>29276</v>
          </cell>
        </row>
        <row r="308">
          <cell r="L308">
            <v>1989.66666666271</v>
          </cell>
          <cell r="O308">
            <v>17615</v>
          </cell>
        </row>
        <row r="309">
          <cell r="L309">
            <v>1989.5833333293499</v>
          </cell>
          <cell r="O309">
            <v>12404</v>
          </cell>
        </row>
        <row r="310">
          <cell r="L310">
            <v>1989.49999999599</v>
          </cell>
          <cell r="O310">
            <v>13639</v>
          </cell>
        </row>
        <row r="311">
          <cell r="L311">
            <v>1989.41666666263</v>
          </cell>
          <cell r="O311">
            <v>14416</v>
          </cell>
        </row>
        <row r="312">
          <cell r="L312">
            <v>1989.3333333292701</v>
          </cell>
          <cell r="O312">
            <v>10998</v>
          </cell>
        </row>
        <row r="313">
          <cell r="L313">
            <v>1989.24999999591</v>
          </cell>
          <cell r="O313">
            <v>8708</v>
          </cell>
        </row>
        <row r="314">
          <cell r="L314">
            <v>1989.1666666625499</v>
          </cell>
          <cell r="O314">
            <v>9785</v>
          </cell>
        </row>
        <row r="315">
          <cell r="L315">
            <v>1989.0833333291901</v>
          </cell>
          <cell r="O315">
            <v>12516</v>
          </cell>
        </row>
        <row r="316">
          <cell r="L316">
            <v>1988.99999999583</v>
          </cell>
          <cell r="O316">
            <v>35773</v>
          </cell>
        </row>
        <row r="317">
          <cell r="L317">
            <v>1988.9166666624701</v>
          </cell>
          <cell r="O317">
            <v>48474</v>
          </cell>
        </row>
        <row r="318">
          <cell r="L318">
            <v>1988.83333332911</v>
          </cell>
          <cell r="O318">
            <v>44340</v>
          </cell>
        </row>
        <row r="319">
          <cell r="L319">
            <v>1988.7499999957499</v>
          </cell>
          <cell r="O319">
            <v>43958</v>
          </cell>
        </row>
        <row r="320">
          <cell r="L320">
            <v>1988.6666666623901</v>
          </cell>
          <cell r="O320">
            <v>33975</v>
          </cell>
        </row>
        <row r="321">
          <cell r="L321">
            <v>1988.58333332903</v>
          </cell>
          <cell r="O321">
            <v>24646</v>
          </cell>
        </row>
        <row r="322">
          <cell r="L322">
            <v>1988.4999999956699</v>
          </cell>
          <cell r="O322">
            <v>19620</v>
          </cell>
        </row>
        <row r="323">
          <cell r="L323">
            <v>1988.41666666231</v>
          </cell>
          <cell r="O323">
            <v>10445</v>
          </cell>
        </row>
        <row r="324">
          <cell r="L324">
            <v>1988.3333333289499</v>
          </cell>
          <cell r="O324">
            <v>8554</v>
          </cell>
        </row>
        <row r="325">
          <cell r="L325">
            <v>1988.2499999955901</v>
          </cell>
          <cell r="O325">
            <v>5584</v>
          </cell>
        </row>
        <row r="326">
          <cell r="L326">
            <v>1988.16666666223</v>
          </cell>
          <cell r="O326">
            <v>4462</v>
          </cell>
        </row>
        <row r="327">
          <cell r="L327">
            <v>1988.0833333288699</v>
          </cell>
          <cell r="O327">
            <v>4680</v>
          </cell>
        </row>
        <row r="328">
          <cell r="L328">
            <v>1987.9999999955101</v>
          </cell>
          <cell r="O328">
            <v>11614</v>
          </cell>
        </row>
        <row r="329">
          <cell r="L329">
            <v>1987.91666666215</v>
          </cell>
          <cell r="O329">
            <v>32778</v>
          </cell>
        </row>
        <row r="330">
          <cell r="L330">
            <v>1987.8333333287901</v>
          </cell>
          <cell r="O330">
            <v>31425</v>
          </cell>
        </row>
        <row r="331">
          <cell r="L331">
            <v>1987.74999999543</v>
          </cell>
          <cell r="O331">
            <v>21013</v>
          </cell>
        </row>
        <row r="332">
          <cell r="L332">
            <v>1987.6666666620599</v>
          </cell>
          <cell r="O332">
            <v>14837</v>
          </cell>
        </row>
        <row r="333">
          <cell r="L333">
            <v>1987.5833333287001</v>
          </cell>
          <cell r="O333">
            <v>15014</v>
          </cell>
        </row>
        <row r="334">
          <cell r="L334">
            <v>1987.49999999534</v>
          </cell>
          <cell r="O334">
            <v>9210</v>
          </cell>
        </row>
        <row r="335">
          <cell r="L335">
            <v>1987.4166666619799</v>
          </cell>
          <cell r="O335">
            <v>12357</v>
          </cell>
        </row>
        <row r="336">
          <cell r="L336">
            <v>1987.33333332862</v>
          </cell>
          <cell r="O336">
            <v>9941</v>
          </cell>
        </row>
        <row r="337">
          <cell r="L337">
            <v>1987.2499999952599</v>
          </cell>
          <cell r="O337">
            <v>4980</v>
          </cell>
        </row>
        <row r="338">
          <cell r="L338">
            <v>1987.1666666619001</v>
          </cell>
          <cell r="O338">
            <v>4374</v>
          </cell>
        </row>
        <row r="339">
          <cell r="L339">
            <v>1987.08333332854</v>
          </cell>
          <cell r="O339">
            <v>4163</v>
          </cell>
        </row>
        <row r="340">
          <cell r="L340">
            <v>1986.9999999951799</v>
          </cell>
          <cell r="O340">
            <v>6813</v>
          </cell>
        </row>
        <row r="341">
          <cell r="L341">
            <v>1986.91666666182</v>
          </cell>
          <cell r="O341">
            <v>22384</v>
          </cell>
        </row>
        <row r="342">
          <cell r="L342">
            <v>1986.83333332846</v>
          </cell>
          <cell r="O342">
            <v>26260</v>
          </cell>
        </row>
        <row r="343">
          <cell r="L343">
            <v>1986.7499999951001</v>
          </cell>
          <cell r="O343">
            <v>17170</v>
          </cell>
        </row>
        <row r="344">
          <cell r="L344">
            <v>1986.66666666174</v>
          </cell>
          <cell r="O344">
            <v>8871</v>
          </cell>
        </row>
        <row r="345">
          <cell r="L345">
            <v>1986.5833333283799</v>
          </cell>
          <cell r="O345">
            <v>9243</v>
          </cell>
        </row>
        <row r="346">
          <cell r="L346">
            <v>1986.4999999950201</v>
          </cell>
          <cell r="O346">
            <v>18280</v>
          </cell>
        </row>
        <row r="347">
          <cell r="L347">
            <v>1986.41666666166</v>
          </cell>
          <cell r="O347">
            <v>19769</v>
          </cell>
        </row>
        <row r="348">
          <cell r="L348">
            <v>1986.3333333282999</v>
          </cell>
          <cell r="O348">
            <v>16694</v>
          </cell>
        </row>
        <row r="349">
          <cell r="L349">
            <v>1986.24999999494</v>
          </cell>
          <cell r="O349">
            <v>10111</v>
          </cell>
        </row>
        <row r="350">
          <cell r="L350">
            <v>1986.1666666615799</v>
          </cell>
          <cell r="O350">
            <v>7676</v>
          </cell>
        </row>
        <row r="351">
          <cell r="L351">
            <v>1986.0833333282201</v>
          </cell>
          <cell r="O351">
            <v>5635</v>
          </cell>
        </row>
        <row r="352">
          <cell r="L352">
            <v>1985.99999999486</v>
          </cell>
          <cell r="O352">
            <v>10411</v>
          </cell>
        </row>
        <row r="353">
          <cell r="L353">
            <v>1985.9166666614999</v>
          </cell>
          <cell r="O353">
            <v>14668</v>
          </cell>
        </row>
        <row r="354">
          <cell r="L354">
            <v>1985.83333332814</v>
          </cell>
          <cell r="O354">
            <v>14495</v>
          </cell>
        </row>
        <row r="355">
          <cell r="L355">
            <v>1985.74999999478</v>
          </cell>
          <cell r="O355">
            <v>13231</v>
          </cell>
        </row>
        <row r="356">
          <cell r="L356">
            <v>1985.6666666614201</v>
          </cell>
          <cell r="O356">
            <v>10361</v>
          </cell>
        </row>
        <row r="357">
          <cell r="L357">
            <v>1985.58333332806</v>
          </cell>
          <cell r="O357">
            <v>7406</v>
          </cell>
        </row>
        <row r="358">
          <cell r="L358">
            <v>1985.4999999946999</v>
          </cell>
          <cell r="O358">
            <v>5177</v>
          </cell>
        </row>
        <row r="359">
          <cell r="L359">
            <v>1985.4166666613401</v>
          </cell>
          <cell r="O359">
            <v>7408</v>
          </cell>
        </row>
        <row r="360">
          <cell r="L360">
            <v>1985.33333332798</v>
          </cell>
          <cell r="O360">
            <v>6468</v>
          </cell>
        </row>
        <row r="361">
          <cell r="L361">
            <v>1985.2499999946201</v>
          </cell>
          <cell r="O361">
            <v>3908</v>
          </cell>
        </row>
        <row r="362">
          <cell r="L362">
            <v>1985.16666666126</v>
          </cell>
          <cell r="O362">
            <v>2685</v>
          </cell>
        </row>
        <row r="363">
          <cell r="L363">
            <v>1985.0833333278999</v>
          </cell>
          <cell r="O363">
            <v>3595</v>
          </cell>
        </row>
        <row r="364">
          <cell r="L364">
            <v>1984.9999999945401</v>
          </cell>
          <cell r="O364">
            <v>11085</v>
          </cell>
        </row>
        <row r="365">
          <cell r="L365">
            <v>1984.91666666118</v>
          </cell>
          <cell r="O365">
            <v>20986</v>
          </cell>
        </row>
        <row r="366">
          <cell r="L366">
            <v>1984.8333333278199</v>
          </cell>
          <cell r="O366">
            <v>20887</v>
          </cell>
        </row>
        <row r="367">
          <cell r="L367">
            <v>1984.74999999446</v>
          </cell>
          <cell r="O367">
            <v>18103</v>
          </cell>
        </row>
        <row r="368">
          <cell r="L368">
            <v>1984.6666666611</v>
          </cell>
          <cell r="O368">
            <v>14932</v>
          </cell>
        </row>
        <row r="369">
          <cell r="L369">
            <v>1984.5833333277401</v>
          </cell>
          <cell r="O369">
            <v>16099</v>
          </cell>
        </row>
        <row r="370">
          <cell r="L370">
            <v>1984.49999999438</v>
          </cell>
          <cell r="O370">
            <v>16075</v>
          </cell>
        </row>
        <row r="371">
          <cell r="L371">
            <v>1984.4166666610199</v>
          </cell>
          <cell r="O371">
            <v>12971</v>
          </cell>
        </row>
        <row r="372">
          <cell r="L372">
            <v>1984.3333333276601</v>
          </cell>
          <cell r="O372">
            <v>8713</v>
          </cell>
        </row>
        <row r="373">
          <cell r="L373">
            <v>1984.2499999943</v>
          </cell>
          <cell r="O373">
            <v>4827</v>
          </cell>
        </row>
        <row r="374">
          <cell r="L374">
            <v>1984.1666666609401</v>
          </cell>
          <cell r="O374">
            <v>5673</v>
          </cell>
        </row>
        <row r="375">
          <cell r="L375">
            <v>1984.08333332758</v>
          </cell>
          <cell r="O375">
            <v>6436</v>
          </cell>
        </row>
        <row r="376">
          <cell r="L376">
            <v>1983.9999999942199</v>
          </cell>
          <cell r="O376">
            <v>9188</v>
          </cell>
        </row>
        <row r="377">
          <cell r="L377">
            <v>1983.9166666608601</v>
          </cell>
          <cell r="O377">
            <v>10014</v>
          </cell>
        </row>
        <row r="378">
          <cell r="L378">
            <v>1983.8333333275</v>
          </cell>
          <cell r="O378">
            <v>10670</v>
          </cell>
        </row>
        <row r="379">
          <cell r="L379">
            <v>1983.7499999941399</v>
          </cell>
          <cell r="O379">
            <v>9521</v>
          </cell>
        </row>
        <row r="380">
          <cell r="L380">
            <v>1983.66666666078</v>
          </cell>
          <cell r="O380">
            <v>7864</v>
          </cell>
        </row>
        <row r="381">
          <cell r="L381">
            <v>1983.58333332742</v>
          </cell>
          <cell r="O381">
            <v>6987</v>
          </cell>
        </row>
        <row r="382">
          <cell r="L382">
            <v>1983.4999999940601</v>
          </cell>
          <cell r="O382">
            <v>7930</v>
          </cell>
        </row>
        <row r="383">
          <cell r="L383">
            <v>1983.4166666607</v>
          </cell>
          <cell r="O383">
            <v>11051</v>
          </cell>
        </row>
        <row r="384">
          <cell r="L384">
            <v>1983.3333333273399</v>
          </cell>
          <cell r="O384">
            <v>9694</v>
          </cell>
        </row>
        <row r="385">
          <cell r="L385">
            <v>1983.2499999939801</v>
          </cell>
          <cell r="O385">
            <v>4736</v>
          </cell>
        </row>
        <row r="386">
          <cell r="L386">
            <v>1983.16666666062</v>
          </cell>
          <cell r="O386">
            <v>2325</v>
          </cell>
        </row>
        <row r="387">
          <cell r="L387">
            <v>1983.0833333272601</v>
          </cell>
          <cell r="O387">
            <v>1854</v>
          </cell>
        </row>
        <row r="388">
          <cell r="L388">
            <v>1982.9999999939</v>
          </cell>
          <cell r="O388">
            <v>4809</v>
          </cell>
        </row>
        <row r="389">
          <cell r="L389">
            <v>1982.9166666605399</v>
          </cell>
          <cell r="O389">
            <v>10222</v>
          </cell>
        </row>
        <row r="390">
          <cell r="L390">
            <v>1982.8333333271801</v>
          </cell>
          <cell r="O390">
            <v>13438</v>
          </cell>
        </row>
        <row r="391">
          <cell r="L391">
            <v>1982.74999999382</v>
          </cell>
          <cell r="O391">
            <v>10474</v>
          </cell>
        </row>
        <row r="392">
          <cell r="L392">
            <v>1982.6666666604599</v>
          </cell>
          <cell r="O392">
            <v>7095</v>
          </cell>
        </row>
        <row r="393">
          <cell r="L393">
            <v>1982.5833333271</v>
          </cell>
          <cell r="O393">
            <v>8919</v>
          </cell>
        </row>
        <row r="394">
          <cell r="L394">
            <v>1982.4999999937399</v>
          </cell>
          <cell r="O394">
            <v>14304</v>
          </cell>
        </row>
        <row r="395">
          <cell r="L395">
            <v>1982.4166666603801</v>
          </cell>
          <cell r="O395">
            <v>17063</v>
          </cell>
        </row>
        <row r="396">
          <cell r="L396">
            <v>1982.33333332702</v>
          </cell>
          <cell r="O396">
            <v>13127</v>
          </cell>
        </row>
        <row r="397">
          <cell r="L397">
            <v>1982.2499999936599</v>
          </cell>
          <cell r="O397">
            <v>7727</v>
          </cell>
        </row>
        <row r="398">
          <cell r="L398">
            <v>1982.1666666603001</v>
          </cell>
          <cell r="O398">
            <v>5829</v>
          </cell>
        </row>
        <row r="399">
          <cell r="L399">
            <v>1982.08333332694</v>
          </cell>
          <cell r="O399">
            <v>6299</v>
          </cell>
        </row>
        <row r="400">
          <cell r="L400">
            <v>1981.9999999935801</v>
          </cell>
          <cell r="O400">
            <v>11683</v>
          </cell>
        </row>
        <row r="401">
          <cell r="L401">
            <v>1981.91666666022</v>
          </cell>
          <cell r="O401">
            <v>18756</v>
          </cell>
        </row>
        <row r="402">
          <cell r="L402">
            <v>1981.8333333268599</v>
          </cell>
          <cell r="O402">
            <v>17187</v>
          </cell>
        </row>
        <row r="403">
          <cell r="L403">
            <v>1981.7499999935001</v>
          </cell>
          <cell r="O403">
            <v>15022</v>
          </cell>
        </row>
        <row r="404">
          <cell r="L404">
            <v>1981.66666666014</v>
          </cell>
          <cell r="O404">
            <v>15424</v>
          </cell>
        </row>
        <row r="405">
          <cell r="L405">
            <v>1981.5833333267799</v>
          </cell>
          <cell r="O405">
            <v>17108</v>
          </cell>
        </row>
        <row r="406">
          <cell r="L406">
            <v>1981.49999999342</v>
          </cell>
          <cell r="O406">
            <v>23566</v>
          </cell>
        </row>
        <row r="407">
          <cell r="L407">
            <v>1981.4166666600599</v>
          </cell>
          <cell r="O407">
            <v>22747</v>
          </cell>
        </row>
        <row r="408">
          <cell r="L408">
            <v>1981.3333333267001</v>
          </cell>
          <cell r="O408">
            <v>14518</v>
          </cell>
        </row>
        <row r="409">
          <cell r="L409">
            <v>1981.24999999334</v>
          </cell>
          <cell r="O409">
            <v>5555</v>
          </cell>
        </row>
        <row r="410">
          <cell r="L410">
            <v>1981.1666666599799</v>
          </cell>
          <cell r="O410">
            <v>5562</v>
          </cell>
        </row>
        <row r="411">
          <cell r="L411">
            <v>1981.08333332662</v>
          </cell>
          <cell r="O411">
            <v>3408</v>
          </cell>
        </row>
        <row r="412">
          <cell r="L412">
            <v>1980.99999999326</v>
          </cell>
          <cell r="O412">
            <v>8646</v>
          </cell>
        </row>
        <row r="413">
          <cell r="L413">
            <v>1980.9166666599001</v>
          </cell>
          <cell r="O413">
            <v>12460</v>
          </cell>
        </row>
        <row r="414">
          <cell r="L414">
            <v>1980.83333332654</v>
          </cell>
          <cell r="O414">
            <v>12703</v>
          </cell>
        </row>
        <row r="415">
          <cell r="L415">
            <v>1980.7499999931799</v>
          </cell>
          <cell r="O415">
            <v>11058</v>
          </cell>
        </row>
        <row r="416">
          <cell r="L416">
            <v>1980.6666666598201</v>
          </cell>
          <cell r="O416">
            <v>7279</v>
          </cell>
        </row>
        <row r="417">
          <cell r="L417">
            <v>1980.58333332646</v>
          </cell>
          <cell r="O417">
            <v>7734</v>
          </cell>
        </row>
        <row r="418">
          <cell r="L418">
            <v>1980.4999999930999</v>
          </cell>
          <cell r="O418">
            <v>7106</v>
          </cell>
        </row>
        <row r="419">
          <cell r="L419">
            <v>1980.41666665974</v>
          </cell>
          <cell r="O419">
            <v>8147</v>
          </cell>
        </row>
        <row r="420">
          <cell r="L420">
            <v>1980.3333333263799</v>
          </cell>
          <cell r="O420">
            <v>5833</v>
          </cell>
        </row>
        <row r="421">
          <cell r="L421">
            <v>1980.2499999930201</v>
          </cell>
          <cell r="O421">
            <v>3056</v>
          </cell>
        </row>
        <row r="422">
          <cell r="L422">
            <v>1980.16666665966</v>
          </cell>
          <cell r="O422">
            <v>2900</v>
          </cell>
        </row>
        <row r="423">
          <cell r="L423">
            <v>1980.0833333262999</v>
          </cell>
          <cell r="O423">
            <v>4741</v>
          </cell>
        </row>
        <row r="424">
          <cell r="L424">
            <v>1979.99999999294</v>
          </cell>
          <cell r="O424">
            <v>10166</v>
          </cell>
        </row>
        <row r="425">
          <cell r="L425">
            <v>1979.91666665958</v>
          </cell>
          <cell r="O425">
            <v>20599</v>
          </cell>
        </row>
        <row r="426">
          <cell r="L426">
            <v>1979.8333333262201</v>
          </cell>
          <cell r="O426">
            <v>16581</v>
          </cell>
        </row>
        <row r="427">
          <cell r="L427">
            <v>1979.74999999286</v>
          </cell>
          <cell r="O427">
            <v>13337</v>
          </cell>
        </row>
        <row r="428">
          <cell r="L428">
            <v>1979.6666666594999</v>
          </cell>
          <cell r="O428">
            <v>11027</v>
          </cell>
        </row>
        <row r="429">
          <cell r="L429">
            <v>1979.5833333261401</v>
          </cell>
          <cell r="O429">
            <v>8957</v>
          </cell>
        </row>
        <row r="430">
          <cell r="L430">
            <v>1979.49999999278</v>
          </cell>
          <cell r="O430">
            <v>12617</v>
          </cell>
        </row>
        <row r="431">
          <cell r="L431">
            <v>1979.4166666594199</v>
          </cell>
          <cell r="O431">
            <v>12284</v>
          </cell>
        </row>
        <row r="432">
          <cell r="L432">
            <v>1979.33333332606</v>
          </cell>
          <cell r="O432">
            <v>9025</v>
          </cell>
        </row>
        <row r="433">
          <cell r="L433">
            <v>1979.2499999926999</v>
          </cell>
          <cell r="O433">
            <v>4315</v>
          </cell>
        </row>
        <row r="434">
          <cell r="L434">
            <v>1979.1666666593401</v>
          </cell>
          <cell r="O434">
            <v>3143</v>
          </cell>
        </row>
        <row r="435">
          <cell r="L435">
            <v>1979.08333332598</v>
          </cell>
          <cell r="O435">
            <v>2232</v>
          </cell>
        </row>
        <row r="436">
          <cell r="L436">
            <v>1978.9999999926199</v>
          </cell>
          <cell r="O436">
            <v>6510</v>
          </cell>
        </row>
        <row r="437">
          <cell r="L437">
            <v>1978.91666665926</v>
          </cell>
          <cell r="O437">
            <v>13372</v>
          </cell>
        </row>
        <row r="438">
          <cell r="L438">
            <v>1978.8333333259</v>
          </cell>
          <cell r="O438">
            <v>13692</v>
          </cell>
        </row>
        <row r="439">
          <cell r="L439">
            <v>1978.7499999925401</v>
          </cell>
          <cell r="O439">
            <v>10883</v>
          </cell>
        </row>
        <row r="440">
          <cell r="L440">
            <v>1978.66666665918</v>
          </cell>
          <cell r="O440">
            <v>7999</v>
          </cell>
        </row>
        <row r="441">
          <cell r="L441">
            <v>1978.5833333258199</v>
          </cell>
          <cell r="O441">
            <v>9114</v>
          </cell>
        </row>
        <row r="442">
          <cell r="L442">
            <v>1978.4999999924601</v>
          </cell>
          <cell r="O442">
            <v>12430</v>
          </cell>
        </row>
        <row r="443">
          <cell r="L443">
            <v>1978.4166666591</v>
          </cell>
          <cell r="O443">
            <v>12694</v>
          </cell>
        </row>
        <row r="444">
          <cell r="L444">
            <v>1978.3333333257401</v>
          </cell>
          <cell r="O444">
            <v>11764</v>
          </cell>
        </row>
        <row r="445">
          <cell r="L445">
            <v>1978.24999999238</v>
          </cell>
          <cell r="O445">
            <v>6983</v>
          </cell>
        </row>
        <row r="446">
          <cell r="L446">
            <v>1978.1666666590099</v>
          </cell>
          <cell r="O446">
            <v>2316</v>
          </cell>
        </row>
        <row r="447">
          <cell r="L447">
            <v>1978.0833333256501</v>
          </cell>
          <cell r="O447">
            <v>2178</v>
          </cell>
        </row>
        <row r="448">
          <cell r="L448">
            <v>1977.99999999229</v>
          </cell>
          <cell r="O448">
            <v>5931</v>
          </cell>
        </row>
        <row r="449">
          <cell r="L449">
            <v>1977.9166666589299</v>
          </cell>
          <cell r="O449">
            <v>15051</v>
          </cell>
        </row>
        <row r="450">
          <cell r="L450">
            <v>1977.83333332557</v>
          </cell>
          <cell r="O450">
            <v>15399</v>
          </cell>
        </row>
        <row r="451">
          <cell r="L451">
            <v>1977.74999999221</v>
          </cell>
          <cell r="O451">
            <v>11594</v>
          </cell>
        </row>
        <row r="452">
          <cell r="L452">
            <v>1977.6666666588501</v>
          </cell>
          <cell r="O452">
            <v>6601</v>
          </cell>
        </row>
        <row r="453">
          <cell r="L453">
            <v>1977.58333332549</v>
          </cell>
          <cell r="O453">
            <v>7969</v>
          </cell>
        </row>
        <row r="454">
          <cell r="L454">
            <v>1977.4999999921299</v>
          </cell>
          <cell r="O454">
            <v>7805</v>
          </cell>
        </row>
        <row r="455">
          <cell r="L455">
            <v>1977.4166666587701</v>
          </cell>
          <cell r="O455">
            <v>8395</v>
          </cell>
        </row>
        <row r="456">
          <cell r="L456">
            <v>1977.33333332541</v>
          </cell>
          <cell r="O456">
            <v>5257</v>
          </cell>
        </row>
        <row r="457">
          <cell r="L457">
            <v>1977.2499999920501</v>
          </cell>
          <cell r="O457">
            <v>2541</v>
          </cell>
        </row>
        <row r="458">
          <cell r="L458">
            <v>1977.16666665869</v>
          </cell>
          <cell r="O458">
            <v>1452</v>
          </cell>
        </row>
        <row r="459">
          <cell r="L459">
            <v>1977.0833333253299</v>
          </cell>
          <cell r="O459">
            <v>1471</v>
          </cell>
        </row>
        <row r="460">
          <cell r="L460">
            <v>1976.9999999919701</v>
          </cell>
          <cell r="O460">
            <v>2908</v>
          </cell>
        </row>
        <row r="461">
          <cell r="L461">
            <v>1976.91666665861</v>
          </cell>
          <cell r="O461">
            <v>9052</v>
          </cell>
        </row>
        <row r="462">
          <cell r="L462">
            <v>1976.8333333252499</v>
          </cell>
          <cell r="O462">
            <v>12712</v>
          </cell>
        </row>
        <row r="463">
          <cell r="L463">
            <v>1976.74999999189</v>
          </cell>
          <cell r="O463">
            <v>9534</v>
          </cell>
        </row>
        <row r="464">
          <cell r="L464">
            <v>1976.6666666585299</v>
          </cell>
          <cell r="O464">
            <v>4779</v>
          </cell>
        </row>
        <row r="465">
          <cell r="L465">
            <v>1976.5833333251701</v>
          </cell>
          <cell r="O465">
            <v>6593</v>
          </cell>
        </row>
        <row r="466">
          <cell r="L466">
            <v>1976.49999999181</v>
          </cell>
          <cell r="O466">
            <v>9901</v>
          </cell>
        </row>
        <row r="467">
          <cell r="L467">
            <v>1976.4166666584499</v>
          </cell>
          <cell r="O467">
            <v>11249</v>
          </cell>
        </row>
        <row r="468">
          <cell r="L468">
            <v>1976.3333333250901</v>
          </cell>
          <cell r="O468">
            <v>10810</v>
          </cell>
        </row>
        <row r="469">
          <cell r="L469">
            <v>1976.24999999173</v>
          </cell>
          <cell r="O469">
            <v>7028</v>
          </cell>
        </row>
        <row r="470">
          <cell r="L470">
            <v>1976.1666666583701</v>
          </cell>
          <cell r="O470">
            <v>6282</v>
          </cell>
        </row>
        <row r="471">
          <cell r="L471">
            <v>1976.08333332501</v>
          </cell>
          <cell r="O471">
            <v>6925</v>
          </cell>
        </row>
        <row r="472">
          <cell r="L472">
            <v>1975.9999999916499</v>
          </cell>
          <cell r="O472">
            <v>16268</v>
          </cell>
        </row>
        <row r="473">
          <cell r="L473">
            <v>1975.9166666582901</v>
          </cell>
          <cell r="O473">
            <v>28250</v>
          </cell>
        </row>
        <row r="474">
          <cell r="L474">
            <v>1975.83333332493</v>
          </cell>
          <cell r="O474">
            <v>27350</v>
          </cell>
        </row>
        <row r="475">
          <cell r="L475">
            <v>1975.7499999915699</v>
          </cell>
          <cell r="O475">
            <v>21437</v>
          </cell>
        </row>
        <row r="476">
          <cell r="L476">
            <v>1975.66666665821</v>
          </cell>
          <cell r="O476">
            <v>16201</v>
          </cell>
        </row>
        <row r="477">
          <cell r="L477">
            <v>1975.5833333248499</v>
          </cell>
          <cell r="O477">
            <v>13448</v>
          </cell>
        </row>
        <row r="478">
          <cell r="L478">
            <v>1975.4999999914901</v>
          </cell>
          <cell r="O478">
            <v>12456</v>
          </cell>
        </row>
        <row r="479">
          <cell r="L479">
            <v>1975.41666665813</v>
          </cell>
          <cell r="O479">
            <v>10248</v>
          </cell>
        </row>
        <row r="480">
          <cell r="L480">
            <v>1975.3333333247699</v>
          </cell>
          <cell r="O480">
            <v>7720</v>
          </cell>
        </row>
        <row r="481">
          <cell r="L481">
            <v>1975.24999999141</v>
          </cell>
          <cell r="O481">
            <v>4285</v>
          </cell>
        </row>
        <row r="482">
          <cell r="L482">
            <v>1975.16666665805</v>
          </cell>
          <cell r="O482">
            <v>5439</v>
          </cell>
        </row>
        <row r="483">
          <cell r="L483">
            <v>1975.0833333246901</v>
          </cell>
          <cell r="O483">
            <v>3510</v>
          </cell>
        </row>
        <row r="484">
          <cell r="L484">
            <v>1974.99999999133</v>
          </cell>
          <cell r="O484">
            <v>9313</v>
          </cell>
        </row>
        <row r="485">
          <cell r="L485">
            <v>1974.9166666579699</v>
          </cell>
          <cell r="O485">
            <v>25114</v>
          </cell>
        </row>
        <row r="486">
          <cell r="L486">
            <v>1974.8333333246101</v>
          </cell>
          <cell r="O486">
            <v>25046</v>
          </cell>
        </row>
        <row r="487">
          <cell r="L487">
            <v>1974.74999999125</v>
          </cell>
          <cell r="O487">
            <v>16554</v>
          </cell>
        </row>
        <row r="488">
          <cell r="L488">
            <v>1974.6666666578899</v>
          </cell>
          <cell r="O488">
            <v>9388</v>
          </cell>
        </row>
        <row r="489">
          <cell r="L489">
            <v>1974.58333332453</v>
          </cell>
          <cell r="O489">
            <v>9134</v>
          </cell>
        </row>
        <row r="490">
          <cell r="L490">
            <v>1974.4999999911699</v>
          </cell>
          <cell r="O490">
            <v>9567</v>
          </cell>
        </row>
        <row r="491">
          <cell r="L491">
            <v>1974.4166666578101</v>
          </cell>
          <cell r="O491">
            <v>10574</v>
          </cell>
        </row>
        <row r="492">
          <cell r="L492">
            <v>1974.33333332445</v>
          </cell>
          <cell r="O492">
            <v>10353</v>
          </cell>
        </row>
        <row r="493">
          <cell r="L493">
            <v>1974.2499999910899</v>
          </cell>
          <cell r="O493">
            <v>7395</v>
          </cell>
        </row>
        <row r="494">
          <cell r="L494">
            <v>1974.16666665773</v>
          </cell>
          <cell r="O494">
            <v>8075</v>
          </cell>
        </row>
        <row r="495">
          <cell r="L495">
            <v>1974.08333332437</v>
          </cell>
          <cell r="O495">
            <v>8708</v>
          </cell>
        </row>
        <row r="496">
          <cell r="L496">
            <v>1973.9999999910101</v>
          </cell>
          <cell r="O496">
            <v>16332</v>
          </cell>
        </row>
        <row r="497">
          <cell r="L497">
            <v>1973.91666665765</v>
          </cell>
          <cell r="O497">
            <v>21496</v>
          </cell>
        </row>
        <row r="498">
          <cell r="L498">
            <v>1973.8333333242899</v>
          </cell>
          <cell r="O498">
            <v>20016</v>
          </cell>
        </row>
        <row r="499">
          <cell r="L499">
            <v>1973.7499999909301</v>
          </cell>
          <cell r="O499">
            <v>18298</v>
          </cell>
        </row>
        <row r="500">
          <cell r="L500">
            <v>1973.66666665757</v>
          </cell>
          <cell r="O500">
            <v>12900</v>
          </cell>
        </row>
        <row r="501">
          <cell r="L501">
            <v>1973.5833333242099</v>
          </cell>
          <cell r="O501">
            <v>9879</v>
          </cell>
        </row>
        <row r="502">
          <cell r="L502">
            <v>1973.49999999085</v>
          </cell>
          <cell r="O502">
            <v>8250</v>
          </cell>
        </row>
        <row r="503">
          <cell r="L503">
            <v>1973.4166666574899</v>
          </cell>
          <cell r="O503">
            <v>6141</v>
          </cell>
        </row>
        <row r="504">
          <cell r="L504">
            <v>1973.3333333241301</v>
          </cell>
          <cell r="O504">
            <v>4871</v>
          </cell>
        </row>
        <row r="505">
          <cell r="L505">
            <v>1973.24999999077</v>
          </cell>
          <cell r="O505">
            <v>2567</v>
          </cell>
        </row>
        <row r="506">
          <cell r="L506">
            <v>1973.1666666574099</v>
          </cell>
          <cell r="O506">
            <v>1846</v>
          </cell>
        </row>
        <row r="507">
          <cell r="L507">
            <v>1973.08333332405</v>
          </cell>
          <cell r="O507">
            <v>1802</v>
          </cell>
        </row>
        <row r="508">
          <cell r="L508">
            <v>1972.99999999069</v>
          </cell>
          <cell r="O508">
            <v>4356</v>
          </cell>
        </row>
        <row r="509">
          <cell r="L509">
            <v>1972.9166666573401</v>
          </cell>
          <cell r="O509">
            <v>10156</v>
          </cell>
        </row>
        <row r="510">
          <cell r="L510">
            <v>1972.83333332398</v>
          </cell>
          <cell r="O510">
            <v>10729</v>
          </cell>
        </row>
        <row r="511">
          <cell r="L511">
            <v>1972.7499999906199</v>
          </cell>
          <cell r="O511">
            <v>9184</v>
          </cell>
        </row>
        <row r="512">
          <cell r="L512">
            <v>1972.6666666572601</v>
          </cell>
          <cell r="O512">
            <v>8061</v>
          </cell>
        </row>
        <row r="513">
          <cell r="L513">
            <v>1972.5833333239</v>
          </cell>
          <cell r="O513">
            <v>8281</v>
          </cell>
        </row>
        <row r="514">
          <cell r="L514">
            <v>1972.4999999905399</v>
          </cell>
          <cell r="O514">
            <v>14206</v>
          </cell>
        </row>
        <row r="515">
          <cell r="L515">
            <v>1972.41666665718</v>
          </cell>
          <cell r="O515">
            <v>14463</v>
          </cell>
        </row>
        <row r="516">
          <cell r="L516">
            <v>1972.3333333238199</v>
          </cell>
          <cell r="O516">
            <v>10971</v>
          </cell>
        </row>
        <row r="517">
          <cell r="L517">
            <v>1972.2499999904601</v>
          </cell>
          <cell r="O517">
            <v>6112</v>
          </cell>
        </row>
        <row r="518">
          <cell r="L518">
            <v>1972.1666666571</v>
          </cell>
          <cell r="O518">
            <v>4586</v>
          </cell>
        </row>
        <row r="519">
          <cell r="L519">
            <v>1972.0833333237399</v>
          </cell>
          <cell r="O519">
            <v>6683</v>
          </cell>
        </row>
        <row r="520">
          <cell r="L520">
            <v>1971.99999999038</v>
          </cell>
          <cell r="O520">
            <v>9515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mp-aire"/>
      <sheetName val="SST_AVHRR"/>
      <sheetName val="SST_Modis"/>
      <sheetName val="HadISST"/>
      <sheetName val="SST-Dique"/>
    </sheetNames>
    <sheetDataSet>
      <sheetData sheetId="0">
        <row r="10">
          <cell r="G10" t="str">
            <v>Enero</v>
          </cell>
          <cell r="H10">
            <v>26.972881355932209</v>
          </cell>
          <cell r="I10">
            <v>0.57260159721150283</v>
          </cell>
          <cell r="K10">
            <v>2013</v>
          </cell>
          <cell r="L10">
            <v>28.191666666666674</v>
          </cell>
        </row>
        <row r="11">
          <cell r="G11" t="str">
            <v>Febrero</v>
          </cell>
          <cell r="H11">
            <v>26.901666666666678</v>
          </cell>
          <cell r="I11">
            <v>0.51337753863520474</v>
          </cell>
          <cell r="K11">
            <v>2012</v>
          </cell>
          <cell r="L11">
            <v>28.122222222222224</v>
          </cell>
        </row>
        <row r="12">
          <cell r="G12" t="str">
            <v>Marzo</v>
          </cell>
          <cell r="H12">
            <v>27.236666666666679</v>
          </cell>
          <cell r="I12">
            <v>0.5656754374771561</v>
          </cell>
          <cell r="K12">
            <v>2011</v>
          </cell>
          <cell r="L12">
            <v>27.763636363636365</v>
          </cell>
        </row>
        <row r="13">
          <cell r="G13" t="str">
            <v>Abril</v>
          </cell>
          <cell r="H13">
            <v>27.685000000000002</v>
          </cell>
          <cell r="I13">
            <v>0.47401101324543715</v>
          </cell>
          <cell r="K13">
            <v>2010</v>
          </cell>
          <cell r="L13">
            <v>28.133333333333329</v>
          </cell>
        </row>
        <row r="14">
          <cell r="G14" t="str">
            <v>Mayo</v>
          </cell>
          <cell r="H14">
            <v>28.178333333333338</v>
          </cell>
          <cell r="I14">
            <v>0.37465992112471191</v>
          </cell>
          <cell r="K14">
            <v>2009</v>
          </cell>
          <cell r="L14">
            <v>28.166666666666661</v>
          </cell>
        </row>
        <row r="15">
          <cell r="G15" t="str">
            <v>Junio</v>
          </cell>
          <cell r="H15">
            <v>28.353333333333332</v>
          </cell>
          <cell r="I15">
            <v>0.42405095099474538</v>
          </cell>
          <cell r="K15">
            <v>2008</v>
          </cell>
          <cell r="L15">
            <v>27.633333333333336</v>
          </cell>
        </row>
        <row r="16">
          <cell r="G16" t="str">
            <v>Julio</v>
          </cell>
          <cell r="H16">
            <v>28.211666666666662</v>
          </cell>
          <cell r="I16">
            <v>0.37239111327062829</v>
          </cell>
          <cell r="K16">
            <v>2007</v>
          </cell>
          <cell r="L16">
            <v>27.775000000000002</v>
          </cell>
        </row>
        <row r="17">
          <cell r="G17" t="str">
            <v>Agosto</v>
          </cell>
          <cell r="H17">
            <v>28.17499999999999</v>
          </cell>
          <cell r="I17">
            <v>0.47856600770302715</v>
          </cell>
          <cell r="K17">
            <v>2006</v>
          </cell>
          <cell r="L17">
            <v>27.974999999999998</v>
          </cell>
        </row>
        <row r="18">
          <cell r="G18" t="str">
            <v>Septiembre</v>
          </cell>
          <cell r="H18">
            <v>28.214999999999996</v>
          </cell>
          <cell r="I18">
            <v>0.44372269550753723</v>
          </cell>
          <cell r="K18">
            <v>2005</v>
          </cell>
          <cell r="L18">
            <v>28.133333333333329</v>
          </cell>
        </row>
        <row r="19">
          <cell r="G19" t="str">
            <v>Octubre</v>
          </cell>
          <cell r="H19">
            <v>27.911864406779664</v>
          </cell>
          <cell r="I19">
            <v>0.48068630314779937</v>
          </cell>
          <cell r="K19">
            <v>2004</v>
          </cell>
          <cell r="L19">
            <v>27.858333333333338</v>
          </cell>
        </row>
        <row r="20">
          <cell r="G20" t="str">
            <v>Noviembre</v>
          </cell>
          <cell r="H20">
            <v>27.832203389830507</v>
          </cell>
          <cell r="I20">
            <v>0.56190505259838464</v>
          </cell>
          <cell r="K20">
            <v>2003</v>
          </cell>
          <cell r="L20">
            <v>28.025000000000002</v>
          </cell>
        </row>
        <row r="21">
          <cell r="G21" t="str">
            <v>Diciembre</v>
          </cell>
          <cell r="H21">
            <v>27.400000000000002</v>
          </cell>
          <cell r="I21">
            <v>0.59648090806346055</v>
          </cell>
          <cell r="K21">
            <v>2002</v>
          </cell>
          <cell r="L21">
            <v>28.05</v>
          </cell>
        </row>
        <row r="22">
          <cell r="C22">
            <v>1953.99999998459</v>
          </cell>
          <cell r="D22">
            <v>26.3</v>
          </cell>
          <cell r="F22">
            <v>-1.1751300716048563</v>
          </cell>
          <cell r="K22">
            <v>2001</v>
          </cell>
          <cell r="L22">
            <v>27.708333333333332</v>
          </cell>
        </row>
        <row r="23">
          <cell r="C23">
            <v>1954.0833333179501</v>
          </cell>
          <cell r="D23">
            <v>26.6</v>
          </cell>
          <cell r="F23">
            <v>-0.58761173593345406</v>
          </cell>
          <cell r="K23">
            <v>2000</v>
          </cell>
          <cell r="L23">
            <v>27.390909090909087</v>
          </cell>
        </row>
        <row r="24">
          <cell r="C24">
            <v>1954.1666666513099</v>
          </cell>
          <cell r="D24">
            <v>27.4</v>
          </cell>
          <cell r="F24">
            <v>0.28874036684669685</v>
          </cell>
          <cell r="K24">
            <v>1999</v>
          </cell>
          <cell r="L24">
            <v>27.408333333333331</v>
          </cell>
        </row>
        <row r="25">
          <cell r="C25">
            <v>1954.24999998467</v>
          </cell>
          <cell r="D25">
            <v>27.8</v>
          </cell>
          <cell r="F25">
            <v>0.24261039677669438</v>
          </cell>
          <cell r="K25">
            <v>1998</v>
          </cell>
          <cell r="L25">
            <v>28.100000000000005</v>
          </cell>
        </row>
        <row r="26">
          <cell r="C26">
            <v>1954.3333333180301</v>
          </cell>
          <cell r="D26">
            <v>28.3</v>
          </cell>
          <cell r="F26">
            <v>0.32473894272284271</v>
          </cell>
          <cell r="K26">
            <v>1997</v>
          </cell>
          <cell r="L26">
            <v>27.766666666666666</v>
          </cell>
        </row>
        <row r="27">
          <cell r="C27">
            <v>1954.41666665139</v>
          </cell>
          <cell r="D27">
            <v>28.7</v>
          </cell>
          <cell r="F27">
            <v>0.81751182458959581</v>
          </cell>
          <cell r="K27">
            <v>1996</v>
          </cell>
          <cell r="L27">
            <v>27.691666666666666</v>
          </cell>
        </row>
        <row r="28">
          <cell r="C28">
            <v>1954.49999998475</v>
          </cell>
          <cell r="D28">
            <v>28.8</v>
          </cell>
          <cell r="F28">
            <v>1.5798801646100991</v>
          </cell>
          <cell r="K28">
            <v>1995</v>
          </cell>
          <cell r="L28">
            <v>27.791666666666668</v>
          </cell>
        </row>
        <row r="29">
          <cell r="C29">
            <v>1954.5833333181099</v>
          </cell>
          <cell r="D29">
            <v>28.7</v>
          </cell>
          <cell r="F29">
            <v>1.0970273516078821</v>
          </cell>
          <cell r="K29">
            <v>1994</v>
          </cell>
          <cell r="L29">
            <v>27.5</v>
          </cell>
        </row>
        <row r="30">
          <cell r="C30">
            <v>1954.66666665147</v>
          </cell>
          <cell r="D30">
            <v>28.5</v>
          </cell>
          <cell r="F30">
            <v>0.64229304222092143</v>
          </cell>
          <cell r="K30">
            <v>1993</v>
          </cell>
          <cell r="L30">
            <v>27.791666666666661</v>
          </cell>
        </row>
        <row r="31">
          <cell r="C31">
            <v>1954.7499999848301</v>
          </cell>
          <cell r="D31">
            <v>27.8</v>
          </cell>
          <cell r="F31">
            <v>-0.23271810752067018</v>
          </cell>
          <cell r="K31">
            <v>1992</v>
          </cell>
          <cell r="L31">
            <v>27.774999999999995</v>
          </cell>
        </row>
        <row r="32">
          <cell r="C32">
            <v>1954.8333333181899</v>
          </cell>
          <cell r="D32">
            <v>27.8</v>
          </cell>
          <cell r="F32">
            <v>-5.731108784587409E-2</v>
          </cell>
          <cell r="K32">
            <v>1991</v>
          </cell>
          <cell r="L32">
            <v>27.624999999999996</v>
          </cell>
        </row>
        <row r="33">
          <cell r="C33">
            <v>1954.91666665155</v>
          </cell>
          <cell r="D33">
            <v>27.3</v>
          </cell>
          <cell r="F33">
            <v>-0.16764995936695137</v>
          </cell>
          <cell r="K33">
            <v>1990</v>
          </cell>
          <cell r="L33">
            <v>27.474999999999998</v>
          </cell>
        </row>
        <row r="34">
          <cell r="C34">
            <v>1954.9999999849099</v>
          </cell>
          <cell r="D34">
            <v>26.9</v>
          </cell>
          <cell r="F34">
            <v>-0.12728109087912701</v>
          </cell>
          <cell r="K34">
            <v>1989</v>
          </cell>
          <cell r="L34">
            <v>27.575000000000003</v>
          </cell>
        </row>
        <row r="35">
          <cell r="C35">
            <v>1955.08333331827</v>
          </cell>
          <cell r="D35">
            <v>27.1</v>
          </cell>
          <cell r="F35">
            <v>0.38633036782362029</v>
          </cell>
          <cell r="K35">
            <v>1988</v>
          </cell>
          <cell r="L35">
            <v>27.508333333333329</v>
          </cell>
        </row>
        <row r="36">
          <cell r="C36">
            <v>1955.1666666516301</v>
          </cell>
          <cell r="D36">
            <v>26.3</v>
          </cell>
          <cell r="F36">
            <v>-1.6558376139577458</v>
          </cell>
          <cell r="K36">
            <v>1987</v>
          </cell>
          <cell r="L36">
            <v>27.966666666666669</v>
          </cell>
        </row>
        <row r="37">
          <cell r="C37">
            <v>1955.2499999849899</v>
          </cell>
          <cell r="D37">
            <v>27.2</v>
          </cell>
          <cell r="F37">
            <v>-1.0231829777104269</v>
          </cell>
          <cell r="K37">
            <v>1986</v>
          </cell>
          <cell r="L37">
            <v>27.666666666666671</v>
          </cell>
        </row>
        <row r="38">
          <cell r="C38">
            <v>1955.33333331835</v>
          </cell>
          <cell r="D38">
            <v>28.1</v>
          </cell>
          <cell r="F38">
            <v>-0.20907849736951745</v>
          </cell>
          <cell r="K38">
            <v>1985</v>
          </cell>
          <cell r="L38">
            <v>27.466666666666665</v>
          </cell>
        </row>
        <row r="39">
          <cell r="C39">
            <v>1955.4166666517101</v>
          </cell>
          <cell r="D39">
            <v>28</v>
          </cell>
          <cell r="F39">
            <v>-0.83323320583169747</v>
          </cell>
          <cell r="K39">
            <v>1984</v>
          </cell>
          <cell r="L39">
            <v>27.391666666666666</v>
          </cell>
        </row>
        <row r="40">
          <cell r="C40">
            <v>1955.49999998507</v>
          </cell>
          <cell r="D40">
            <v>28.2</v>
          </cell>
          <cell r="F40">
            <v>-3.1329068420020617E-2</v>
          </cell>
          <cell r="K40">
            <v>1983</v>
          </cell>
          <cell r="L40">
            <v>28.116666666666664</v>
          </cell>
        </row>
        <row r="41">
          <cell r="C41">
            <v>1955.58333331843</v>
          </cell>
          <cell r="D41">
            <v>28.6</v>
          </cell>
          <cell r="F41">
            <v>0.88806976082543654</v>
          </cell>
          <cell r="K41">
            <v>1982</v>
          </cell>
          <cell r="L41">
            <v>27.591666666666669</v>
          </cell>
        </row>
        <row r="42">
          <cell r="C42">
            <v>1955.6666666517899</v>
          </cell>
          <cell r="D42">
            <v>28.3</v>
          </cell>
          <cell r="F42">
            <v>0.19156108276765069</v>
          </cell>
          <cell r="K42">
            <v>1981</v>
          </cell>
          <cell r="L42">
            <v>27.858333333333334</v>
          </cell>
        </row>
        <row r="43">
          <cell r="C43">
            <v>1955.74999998515</v>
          </cell>
          <cell r="D43">
            <v>27.5</v>
          </cell>
          <cell r="F43">
            <v>-0.85682575950791229</v>
          </cell>
          <cell r="K43">
            <v>1980</v>
          </cell>
          <cell r="L43">
            <v>28.108333333333334</v>
          </cell>
        </row>
        <row r="44">
          <cell r="C44">
            <v>1955.8333333185101</v>
          </cell>
          <cell r="D44">
            <v>27.9</v>
          </cell>
          <cell r="F44">
            <v>0.12065492178079455</v>
          </cell>
          <cell r="K44">
            <v>1979</v>
          </cell>
          <cell r="L44">
            <v>28.099999999999998</v>
          </cell>
        </row>
        <row r="45">
          <cell r="C45">
            <v>1955.9166666518699</v>
          </cell>
          <cell r="D45">
            <v>27.6</v>
          </cell>
          <cell r="F45">
            <v>0.33529991873389681</v>
          </cell>
          <cell r="K45">
            <v>1978</v>
          </cell>
          <cell r="L45">
            <v>28.133333333333329</v>
          </cell>
        </row>
        <row r="46">
          <cell r="C46">
            <v>1955.99999998523</v>
          </cell>
          <cell r="D46">
            <v>26.4</v>
          </cell>
          <cell r="F46">
            <v>-1.0004885748172379</v>
          </cell>
          <cell r="K46">
            <v>1977</v>
          </cell>
          <cell r="L46">
            <v>27.691666666666663</v>
          </cell>
        </row>
        <row r="47">
          <cell r="C47">
            <v>1956.0833333185899</v>
          </cell>
          <cell r="D47">
            <v>26.6</v>
          </cell>
          <cell r="F47">
            <v>-0.58761173593345406</v>
          </cell>
          <cell r="K47">
            <v>1976</v>
          </cell>
          <cell r="L47">
            <v>27.224999999999998</v>
          </cell>
        </row>
        <row r="48">
          <cell r="C48">
            <v>1956.16666665195</v>
          </cell>
          <cell r="D48">
            <v>26.7</v>
          </cell>
          <cell r="F48">
            <v>-0.9487183482106768</v>
          </cell>
          <cell r="K48">
            <v>1975</v>
          </cell>
          <cell r="L48">
            <v>27.058333333333337</v>
          </cell>
        </row>
        <row r="49">
          <cell r="C49">
            <v>1956.2499999853101</v>
          </cell>
          <cell r="D49">
            <v>27.6</v>
          </cell>
          <cell r="F49">
            <v>-0.17932072805234356</v>
          </cell>
          <cell r="K49">
            <v>1974</v>
          </cell>
          <cell r="L49">
            <v>27.783333333333331</v>
          </cell>
        </row>
        <row r="50">
          <cell r="C50">
            <v>1956.3333333186699</v>
          </cell>
          <cell r="D50">
            <v>27.7</v>
          </cell>
          <cell r="F50">
            <v>-1.2767133775542472</v>
          </cell>
          <cell r="K50">
            <v>1973</v>
          </cell>
          <cell r="L50">
            <v>27.933333333333334</v>
          </cell>
        </row>
        <row r="51">
          <cell r="C51">
            <v>1956.41666665203</v>
          </cell>
          <cell r="D51">
            <v>27.8</v>
          </cell>
          <cell r="F51">
            <v>-1.304874643094923</v>
          </cell>
          <cell r="K51">
            <v>1972</v>
          </cell>
          <cell r="L51">
            <v>28.416666666666668</v>
          </cell>
        </row>
        <row r="52">
          <cell r="C52">
            <v>1956.4999999853901</v>
          </cell>
          <cell r="D52">
            <v>28.1</v>
          </cell>
          <cell r="F52">
            <v>-0.29986394059170085</v>
          </cell>
          <cell r="K52">
            <v>1971</v>
          </cell>
          <cell r="L52">
            <v>27.866666666666664</v>
          </cell>
        </row>
        <row r="53">
          <cell r="C53">
            <v>1956.58333331875</v>
          </cell>
          <cell r="D53">
            <v>27.5</v>
          </cell>
          <cell r="F53">
            <v>-1.4104637377815172</v>
          </cell>
          <cell r="K53">
            <v>1970</v>
          </cell>
          <cell r="L53">
            <v>27.574999999999999</v>
          </cell>
        </row>
        <row r="54">
          <cell r="C54">
            <v>1956.6666666521101</v>
          </cell>
          <cell r="D54">
            <v>28</v>
          </cell>
          <cell r="F54">
            <v>-0.48453685641225946</v>
          </cell>
          <cell r="K54">
            <v>1969</v>
          </cell>
          <cell r="L54">
            <v>27.5</v>
          </cell>
        </row>
        <row r="55">
          <cell r="C55">
            <v>1956.7499999854699</v>
          </cell>
          <cell r="D55">
            <v>26.9</v>
          </cell>
          <cell r="F55">
            <v>-2.1050410634823962</v>
          </cell>
          <cell r="K55">
            <v>1968</v>
          </cell>
          <cell r="L55">
            <v>27.258333333333336</v>
          </cell>
        </row>
        <row r="56">
          <cell r="C56">
            <v>1956.83333331883</v>
          </cell>
          <cell r="D56">
            <v>27.4</v>
          </cell>
          <cell r="F56">
            <v>-0.76917512635256757</v>
          </cell>
          <cell r="K56">
            <v>1967</v>
          </cell>
          <cell r="L56">
            <v>27.691666666666666</v>
          </cell>
        </row>
        <row r="57">
          <cell r="C57">
            <v>1956.9166666521901</v>
          </cell>
          <cell r="D57">
            <v>26.9</v>
          </cell>
          <cell r="F57">
            <v>-0.83824979683475098</v>
          </cell>
          <cell r="K57">
            <v>1966</v>
          </cell>
          <cell r="L57">
            <v>27.474999999999998</v>
          </cell>
        </row>
        <row r="58">
          <cell r="C58">
            <v>1956.9999999855499</v>
          </cell>
          <cell r="D58">
            <v>28.2</v>
          </cell>
          <cell r="F58">
            <v>2.1430583673599624</v>
          </cell>
          <cell r="K58">
            <v>1965</v>
          </cell>
          <cell r="L58">
            <v>27.641666666666666</v>
          </cell>
        </row>
        <row r="59">
          <cell r="C59">
            <v>1957.08333331891</v>
          </cell>
          <cell r="D59">
            <v>26.1</v>
          </cell>
          <cell r="F59">
            <v>-1.5615538396905284</v>
          </cell>
          <cell r="K59">
            <v>1964</v>
          </cell>
          <cell r="L59">
            <v>27.45</v>
          </cell>
        </row>
        <row r="60">
          <cell r="C60">
            <v>1957.1666666522699</v>
          </cell>
          <cell r="D60">
            <v>27.6</v>
          </cell>
          <cell r="F60">
            <v>0.64229999972023755</v>
          </cell>
          <cell r="K60">
            <v>1963</v>
          </cell>
          <cell r="L60">
            <v>27.841666666666669</v>
          </cell>
        </row>
        <row r="61">
          <cell r="C61">
            <v>1957.24999998563</v>
          </cell>
          <cell r="D61">
            <v>26.6</v>
          </cell>
          <cell r="F61">
            <v>-2.2889763521975408</v>
          </cell>
          <cell r="K61">
            <v>1962</v>
          </cell>
          <cell r="L61">
            <v>27.858333333333334</v>
          </cell>
        </row>
        <row r="62">
          <cell r="C62">
            <v>1957.3333333189901</v>
          </cell>
          <cell r="D62">
            <v>28.4</v>
          </cell>
          <cell r="F62">
            <v>0.59164766276901803</v>
          </cell>
          <cell r="K62">
            <v>1961</v>
          </cell>
          <cell r="L62">
            <v>27.341666666666669</v>
          </cell>
        </row>
        <row r="63">
          <cell r="C63">
            <v>1957.4166666523499</v>
          </cell>
          <cell r="D63">
            <v>28.6</v>
          </cell>
          <cell r="F63">
            <v>0.58169110595798723</v>
          </cell>
          <cell r="K63">
            <v>1960</v>
          </cell>
          <cell r="L63">
            <v>27.900000000000002</v>
          </cell>
        </row>
        <row r="64">
          <cell r="C64">
            <v>1957.49999998571</v>
          </cell>
          <cell r="D64">
            <v>28.8</v>
          </cell>
          <cell r="F64">
            <v>1.5798801646100991</v>
          </cell>
          <cell r="K64">
            <v>1959</v>
          </cell>
          <cell r="L64">
            <v>27.474999999999998</v>
          </cell>
        </row>
        <row r="65">
          <cell r="C65">
            <v>1957.5833333190701</v>
          </cell>
          <cell r="D65">
            <v>29.1</v>
          </cell>
          <cell r="F65">
            <v>1.9328577147376871</v>
          </cell>
          <cell r="K65">
            <v>1958</v>
          </cell>
          <cell r="L65">
            <v>28.333333333333329</v>
          </cell>
        </row>
        <row r="66">
          <cell r="C66">
            <v>1957.66666665243</v>
          </cell>
          <cell r="D66">
            <v>28.9</v>
          </cell>
          <cell r="F66">
            <v>1.5437569611274631</v>
          </cell>
          <cell r="K66">
            <v>1957</v>
          </cell>
          <cell r="L66">
            <v>28.108333333333334</v>
          </cell>
        </row>
        <row r="67">
          <cell r="C67">
            <v>1957.7499999857901</v>
          </cell>
          <cell r="D67">
            <v>28.4</v>
          </cell>
          <cell r="F67">
            <v>1.0154971964538066</v>
          </cell>
          <cell r="K67">
            <v>1956</v>
          </cell>
          <cell r="L67">
            <v>27.299999999999997</v>
          </cell>
        </row>
        <row r="68">
          <cell r="C68">
            <v>1957.8333333191499</v>
          </cell>
          <cell r="D68">
            <v>28.6</v>
          </cell>
          <cell r="F68">
            <v>1.3664169891675066</v>
          </cell>
          <cell r="K68">
            <v>1955</v>
          </cell>
          <cell r="L68">
            <v>27.641666666666666</v>
          </cell>
        </row>
        <row r="69">
          <cell r="C69">
            <v>1957.91666665251</v>
          </cell>
          <cell r="D69">
            <v>28</v>
          </cell>
          <cell r="F69">
            <v>1.0058997562016905</v>
          </cell>
          <cell r="K69">
            <v>1954</v>
          </cell>
          <cell r="L69">
            <v>27.833333333333332</v>
          </cell>
        </row>
        <row r="70">
          <cell r="C70">
            <v>1957.9999999858701</v>
          </cell>
          <cell r="D70">
            <v>27.5</v>
          </cell>
          <cell r="F70">
            <v>0.92056788984660853</v>
          </cell>
        </row>
        <row r="71">
          <cell r="C71">
            <v>1958.08333331923</v>
          </cell>
          <cell r="D71">
            <v>27.2</v>
          </cell>
          <cell r="F71">
            <v>0.58111878857503096</v>
          </cell>
        </row>
        <row r="72">
          <cell r="C72">
            <v>1958.16666665259</v>
          </cell>
          <cell r="D72">
            <v>27.9</v>
          </cell>
          <cell r="F72">
            <v>1.1726394490305361</v>
          </cell>
        </row>
        <row r="73">
          <cell r="C73">
            <v>1958.2499999859499</v>
          </cell>
          <cell r="D73">
            <v>28.4</v>
          </cell>
          <cell r="F73">
            <v>1.5084037712638081</v>
          </cell>
        </row>
        <row r="74">
          <cell r="C74">
            <v>1958.33333331931</v>
          </cell>
          <cell r="D74">
            <v>28.5</v>
          </cell>
          <cell r="F74">
            <v>0.85855638281520286</v>
          </cell>
        </row>
        <row r="75">
          <cell r="C75">
            <v>1958.4166666526701</v>
          </cell>
          <cell r="D75">
            <v>29.1</v>
          </cell>
          <cell r="F75">
            <v>1.760794699116055</v>
          </cell>
        </row>
        <row r="76">
          <cell r="C76">
            <v>1958.4999999860299</v>
          </cell>
          <cell r="D76">
            <v>29</v>
          </cell>
          <cell r="F76">
            <v>2.1169499089534689</v>
          </cell>
        </row>
        <row r="77">
          <cell r="C77">
            <v>1958.58333331939</v>
          </cell>
          <cell r="D77">
            <v>28.7</v>
          </cell>
          <cell r="F77">
            <v>1.0970273516078821</v>
          </cell>
        </row>
        <row r="78">
          <cell r="C78">
            <v>1958.6666666527501</v>
          </cell>
          <cell r="D78">
            <v>29.2</v>
          </cell>
          <cell r="F78">
            <v>2.2198549003073733</v>
          </cell>
        </row>
        <row r="79">
          <cell r="C79">
            <v>1958.74999998611</v>
          </cell>
          <cell r="D79">
            <v>28.8</v>
          </cell>
          <cell r="F79">
            <v>1.8476407324367985</v>
          </cell>
        </row>
        <row r="80">
          <cell r="C80">
            <v>1958.8333333194701</v>
          </cell>
          <cell r="D80">
            <v>28.5</v>
          </cell>
          <cell r="F80">
            <v>1.1884509795408318</v>
          </cell>
        </row>
        <row r="81">
          <cell r="C81">
            <v>1958.9166666528299</v>
          </cell>
          <cell r="D81">
            <v>27.2</v>
          </cell>
          <cell r="F81">
            <v>-0.33529991873390275</v>
          </cell>
        </row>
        <row r="82">
          <cell r="C82">
            <v>1958.99999998619</v>
          </cell>
          <cell r="D82">
            <v>26.4</v>
          </cell>
          <cell r="F82">
            <v>-1.0004885748172379</v>
          </cell>
        </row>
        <row r="83">
          <cell r="C83">
            <v>1959.0833333195501</v>
          </cell>
          <cell r="D83">
            <v>25.5</v>
          </cell>
          <cell r="F83">
            <v>-2.7302843641990204</v>
          </cell>
        </row>
        <row r="84">
          <cell r="C84">
            <v>1959.16666665291</v>
          </cell>
          <cell r="D84">
            <v>26.5</v>
          </cell>
          <cell r="F84">
            <v>-1.3022779810842111</v>
          </cell>
        </row>
        <row r="85">
          <cell r="C85">
            <v>1959.24999998628</v>
          </cell>
          <cell r="D85">
            <v>27.2</v>
          </cell>
          <cell r="F85">
            <v>-1.0231829777104269</v>
          </cell>
        </row>
        <row r="86">
          <cell r="C86">
            <v>1959.3333333196399</v>
          </cell>
          <cell r="D86">
            <v>27.8</v>
          </cell>
          <cell r="F86">
            <v>-1.0098046575080624</v>
          </cell>
        </row>
        <row r="87">
          <cell r="C87">
            <v>1959.416666653</v>
          </cell>
          <cell r="D87">
            <v>28.2</v>
          </cell>
          <cell r="F87">
            <v>-0.36159176856847203</v>
          </cell>
        </row>
        <row r="88">
          <cell r="C88">
            <v>1959.4999999863601</v>
          </cell>
          <cell r="D88">
            <v>28</v>
          </cell>
          <cell r="F88">
            <v>-0.56839881276339066</v>
          </cell>
        </row>
        <row r="89">
          <cell r="C89">
            <v>1959.5833333197199</v>
          </cell>
          <cell r="D89">
            <v>28.2</v>
          </cell>
          <cell r="F89">
            <v>5.2239397695631823E-2</v>
          </cell>
        </row>
        <row r="90">
          <cell r="C90">
            <v>1959.66666665308</v>
          </cell>
          <cell r="D90">
            <v>28.4</v>
          </cell>
          <cell r="F90">
            <v>0.41692706249428207</v>
          </cell>
        </row>
        <row r="91">
          <cell r="C91">
            <v>1959.7499999864399</v>
          </cell>
          <cell r="D91">
            <v>28</v>
          </cell>
          <cell r="F91">
            <v>0.18335366047082208</v>
          </cell>
        </row>
        <row r="92">
          <cell r="C92">
            <v>1959.8333333198</v>
          </cell>
          <cell r="D92">
            <v>27.9</v>
          </cell>
          <cell r="F92">
            <v>0.12065492178079455</v>
          </cell>
        </row>
        <row r="93">
          <cell r="C93">
            <v>1959.9166666531601</v>
          </cell>
          <cell r="D93">
            <v>27.6</v>
          </cell>
          <cell r="F93">
            <v>0.33529991873389681</v>
          </cell>
        </row>
        <row r="94">
          <cell r="C94">
            <v>1959.9999999865199</v>
          </cell>
          <cell r="D94">
            <v>26.6</v>
          </cell>
          <cell r="F94">
            <v>-0.65120558124198857</v>
          </cell>
        </row>
        <row r="95">
          <cell r="C95">
            <v>1960.08333331988</v>
          </cell>
          <cell r="D95">
            <v>27.6</v>
          </cell>
          <cell r="F95">
            <v>1.3602724715806946</v>
          </cell>
        </row>
        <row r="96">
          <cell r="C96">
            <v>1960.1666666532401</v>
          </cell>
          <cell r="D96">
            <v>26.8</v>
          </cell>
          <cell r="F96">
            <v>-0.77193853177390648</v>
          </cell>
        </row>
        <row r="97">
          <cell r="C97">
            <v>1960.2499999866</v>
          </cell>
          <cell r="D97">
            <v>28.5</v>
          </cell>
          <cell r="F97">
            <v>1.7193693336783309</v>
          </cell>
        </row>
        <row r="98">
          <cell r="C98">
            <v>1960.33333331996</v>
          </cell>
          <cell r="D98">
            <v>28.6</v>
          </cell>
          <cell r="F98">
            <v>1.1254651028613878</v>
          </cell>
        </row>
        <row r="99">
          <cell r="C99">
            <v>1960.4166666533199</v>
          </cell>
          <cell r="D99">
            <v>28.4</v>
          </cell>
          <cell r="F99">
            <v>0.11004966869475344</v>
          </cell>
        </row>
        <row r="100">
          <cell r="C100">
            <v>1960.49999998668</v>
          </cell>
          <cell r="D100">
            <v>28.5</v>
          </cell>
          <cell r="F100">
            <v>0.77427554809503918</v>
          </cell>
        </row>
        <row r="101">
          <cell r="C101">
            <v>1960.5833333200401</v>
          </cell>
          <cell r="D101">
            <v>28.4</v>
          </cell>
          <cell r="F101">
            <v>0.4701545792605305</v>
          </cell>
        </row>
        <row r="102">
          <cell r="C102">
            <v>1960.6666666533999</v>
          </cell>
          <cell r="D102">
            <v>28.4</v>
          </cell>
          <cell r="F102">
            <v>0.41692706249428207</v>
          </cell>
        </row>
        <row r="103">
          <cell r="C103">
            <v>1960.74999998676</v>
          </cell>
          <cell r="D103">
            <v>28.1</v>
          </cell>
          <cell r="F103">
            <v>0.39138954446657193</v>
          </cell>
        </row>
        <row r="104">
          <cell r="C104">
            <v>1960.8333333201199</v>
          </cell>
          <cell r="D104">
            <v>27.7</v>
          </cell>
          <cell r="F104">
            <v>-0.23527709747254905</v>
          </cell>
        </row>
        <row r="105">
          <cell r="C105">
            <v>1960.91666665348</v>
          </cell>
          <cell r="D105">
            <v>27.2</v>
          </cell>
          <cell r="F105">
            <v>-0.33529991873390275</v>
          </cell>
        </row>
        <row r="106">
          <cell r="C106">
            <v>1960.9999999868401</v>
          </cell>
          <cell r="D106">
            <v>26.9</v>
          </cell>
          <cell r="F106">
            <v>-0.12728109087912701</v>
          </cell>
        </row>
        <row r="107">
          <cell r="C107">
            <v>1961.0833333201999</v>
          </cell>
          <cell r="D107">
            <v>26.2</v>
          </cell>
          <cell r="F107">
            <v>-1.3667654189391176</v>
          </cell>
        </row>
        <row r="108">
          <cell r="C108">
            <v>1961.16666665356</v>
          </cell>
          <cell r="D108">
            <v>25.9</v>
          </cell>
          <cell r="F108">
            <v>-2.3629568797048206</v>
          </cell>
        </row>
        <row r="109">
          <cell r="C109">
            <v>1961.2499999869201</v>
          </cell>
          <cell r="D109">
            <v>27.2</v>
          </cell>
          <cell r="F109">
            <v>-1.0231829777104269</v>
          </cell>
        </row>
        <row r="110">
          <cell r="C110">
            <v>1961.33333332028</v>
          </cell>
          <cell r="D110">
            <v>28</v>
          </cell>
          <cell r="F110">
            <v>-0.47598721741570227</v>
          </cell>
        </row>
        <row r="111">
          <cell r="C111">
            <v>1961.41666665364</v>
          </cell>
          <cell r="D111">
            <v>28.8</v>
          </cell>
          <cell r="F111">
            <v>1.0533325432212126</v>
          </cell>
        </row>
        <row r="112">
          <cell r="C112">
            <v>1961.4999999869999</v>
          </cell>
          <cell r="D112">
            <v>28.2</v>
          </cell>
          <cell r="F112">
            <v>-3.1329068420020617E-2</v>
          </cell>
        </row>
        <row r="113">
          <cell r="C113">
            <v>1961.58333332036</v>
          </cell>
          <cell r="D113">
            <v>28.3</v>
          </cell>
          <cell r="F113">
            <v>0.26119698847808487</v>
          </cell>
        </row>
        <row r="114">
          <cell r="C114">
            <v>1961.6666666537201</v>
          </cell>
          <cell r="D114">
            <v>28.1</v>
          </cell>
          <cell r="F114">
            <v>-0.25917087668562011</v>
          </cell>
        </row>
        <row r="115">
          <cell r="C115">
            <v>1961.7499999870799</v>
          </cell>
          <cell r="D115">
            <v>28</v>
          </cell>
          <cell r="F115">
            <v>0.18335366047082208</v>
          </cell>
        </row>
        <row r="116">
          <cell r="C116">
            <v>1961.83333332044</v>
          </cell>
          <cell r="D116">
            <v>25.9</v>
          </cell>
          <cell r="F116">
            <v>-3.4386652707526539</v>
          </cell>
        </row>
        <row r="117">
          <cell r="C117">
            <v>1961.9166666537999</v>
          </cell>
          <cell r="D117">
            <v>26.6</v>
          </cell>
          <cell r="F117">
            <v>-1.3411996749355932</v>
          </cell>
        </row>
        <row r="118">
          <cell r="C118">
            <v>1961.99999998716</v>
          </cell>
          <cell r="D118">
            <v>26.5</v>
          </cell>
          <cell r="F118">
            <v>-0.82584707802961321</v>
          </cell>
        </row>
        <row r="119">
          <cell r="C119">
            <v>1962.0833333205201</v>
          </cell>
          <cell r="D119">
            <v>27</v>
          </cell>
          <cell r="F119">
            <v>0.19154194707220265</v>
          </cell>
        </row>
        <row r="120">
          <cell r="C120">
            <v>1962.1666666538799</v>
          </cell>
          <cell r="D120">
            <v>27.8</v>
          </cell>
          <cell r="F120">
            <v>0.99585963259377197</v>
          </cell>
        </row>
        <row r="121">
          <cell r="C121">
            <v>1962.24999998724</v>
          </cell>
          <cell r="D121">
            <v>27.6</v>
          </cell>
          <cell r="F121">
            <v>-0.17932072805234356</v>
          </cell>
        </row>
        <row r="122">
          <cell r="C122">
            <v>1962.3333333205999</v>
          </cell>
          <cell r="D122">
            <v>29</v>
          </cell>
          <cell r="F122">
            <v>2.1930999830461082</v>
          </cell>
        </row>
        <row r="123">
          <cell r="C123">
            <v>1962.41666665396</v>
          </cell>
          <cell r="D123">
            <v>27.2</v>
          </cell>
          <cell r="F123">
            <v>-2.7197989548846078</v>
          </cell>
        </row>
        <row r="124">
          <cell r="C124">
            <v>1962.4999999873201</v>
          </cell>
          <cell r="D124">
            <v>28.2</v>
          </cell>
          <cell r="F124">
            <v>-3.1329068420020617E-2</v>
          </cell>
        </row>
        <row r="125">
          <cell r="C125">
            <v>1962.5833333206799</v>
          </cell>
          <cell r="D125">
            <v>28.1</v>
          </cell>
          <cell r="F125">
            <v>-0.15671819308681381</v>
          </cell>
        </row>
        <row r="126">
          <cell r="C126">
            <v>1962.66666665404</v>
          </cell>
          <cell r="D126">
            <v>28.3</v>
          </cell>
          <cell r="F126">
            <v>0.19156108276765069</v>
          </cell>
        </row>
        <row r="127">
          <cell r="C127">
            <v>1962.7499999874001</v>
          </cell>
          <cell r="D127">
            <v>28.6</v>
          </cell>
          <cell r="F127">
            <v>1.4315689644453062</v>
          </cell>
        </row>
        <row r="128">
          <cell r="C128">
            <v>1962.8333333207599</v>
          </cell>
          <cell r="D128">
            <v>28.4</v>
          </cell>
          <cell r="F128">
            <v>1.0104849699141567</v>
          </cell>
        </row>
        <row r="129">
          <cell r="C129">
            <v>1962.91666665412</v>
          </cell>
          <cell r="D129">
            <v>27.6</v>
          </cell>
          <cell r="F129">
            <v>0.33529991873389681</v>
          </cell>
        </row>
        <row r="130">
          <cell r="C130">
            <v>1962.9999999874799</v>
          </cell>
          <cell r="D130">
            <v>28.3</v>
          </cell>
          <cell r="F130">
            <v>2.317699864147587</v>
          </cell>
        </row>
        <row r="131">
          <cell r="C131">
            <v>1963.08333332084</v>
          </cell>
          <cell r="D131">
            <v>28</v>
          </cell>
          <cell r="F131">
            <v>2.1394261545863511</v>
          </cell>
        </row>
        <row r="132">
          <cell r="C132">
            <v>1963.1666666542001</v>
          </cell>
          <cell r="D132">
            <v>28.2</v>
          </cell>
          <cell r="F132">
            <v>1.7029788983408409</v>
          </cell>
        </row>
        <row r="133">
          <cell r="C133">
            <v>1963.2499999875599</v>
          </cell>
          <cell r="D133">
            <v>27.9</v>
          </cell>
          <cell r="F133">
            <v>0.45357595919120958</v>
          </cell>
        </row>
        <row r="134">
          <cell r="C134">
            <v>1963.33333332092</v>
          </cell>
          <cell r="D134">
            <v>27.8</v>
          </cell>
          <cell r="F134">
            <v>-1.0098046575080624</v>
          </cell>
        </row>
        <row r="135">
          <cell r="C135">
            <v>1963.4166666542801</v>
          </cell>
          <cell r="D135">
            <v>27.7</v>
          </cell>
          <cell r="F135">
            <v>-1.5406953617265398</v>
          </cell>
        </row>
        <row r="136">
          <cell r="C136">
            <v>1963.49999998764</v>
          </cell>
          <cell r="D136">
            <v>27.8</v>
          </cell>
          <cell r="F136">
            <v>-1.1054685571067606</v>
          </cell>
        </row>
        <row r="137">
          <cell r="C137">
            <v>1963.5833333210001</v>
          </cell>
          <cell r="D137">
            <v>27.8</v>
          </cell>
          <cell r="F137">
            <v>-0.78359096543416551</v>
          </cell>
        </row>
        <row r="138">
          <cell r="C138">
            <v>1963.6666666543599</v>
          </cell>
          <cell r="D138">
            <v>27.8</v>
          </cell>
          <cell r="F138">
            <v>-0.93526881586553023</v>
          </cell>
        </row>
        <row r="139">
          <cell r="C139">
            <v>1963.74999998772</v>
          </cell>
          <cell r="D139">
            <v>27.8</v>
          </cell>
          <cell r="F139">
            <v>-0.23271810752067018</v>
          </cell>
        </row>
        <row r="140">
          <cell r="C140">
            <v>1963.8333333210801</v>
          </cell>
          <cell r="D140">
            <v>27.5</v>
          </cell>
          <cell r="F140">
            <v>-0.5912091167258926</v>
          </cell>
        </row>
        <row r="141">
          <cell r="C141">
            <v>1963.91666665444</v>
          </cell>
          <cell r="D141">
            <v>27.5</v>
          </cell>
          <cell r="F141">
            <v>0.16764995936694543</v>
          </cell>
        </row>
        <row r="142">
          <cell r="C142">
            <v>1963.9999999878</v>
          </cell>
          <cell r="D142">
            <v>26.8</v>
          </cell>
          <cell r="F142">
            <v>-0.30192258766674546</v>
          </cell>
        </row>
        <row r="143">
          <cell r="C143">
            <v>1964.0833333211599</v>
          </cell>
          <cell r="D143">
            <v>27.1</v>
          </cell>
          <cell r="F143">
            <v>0.38633036782362029</v>
          </cell>
        </row>
        <row r="144">
          <cell r="C144">
            <v>1964.16666665452</v>
          </cell>
          <cell r="D144">
            <v>27</v>
          </cell>
          <cell r="F144">
            <v>-0.418378898900372</v>
          </cell>
        </row>
        <row r="145">
          <cell r="C145">
            <v>1964.2499999878801</v>
          </cell>
          <cell r="D145">
            <v>28</v>
          </cell>
          <cell r="F145">
            <v>0.66454152160573232</v>
          </cell>
        </row>
        <row r="146">
          <cell r="C146">
            <v>1964.3333333212399</v>
          </cell>
          <cell r="D146">
            <v>28.2</v>
          </cell>
          <cell r="F146">
            <v>5.783022267665789E-2</v>
          </cell>
        </row>
        <row r="147">
          <cell r="C147">
            <v>1964.4166666546</v>
          </cell>
          <cell r="D147">
            <v>28.1</v>
          </cell>
          <cell r="F147">
            <v>-0.59741248720008056</v>
          </cell>
        </row>
        <row r="148">
          <cell r="C148">
            <v>1964.4999999879601</v>
          </cell>
          <cell r="D148">
            <v>27.9</v>
          </cell>
          <cell r="F148">
            <v>-0.83693368493508047</v>
          </cell>
        </row>
        <row r="149">
          <cell r="C149">
            <v>1964.58333332132</v>
          </cell>
          <cell r="D149">
            <v>27.5</v>
          </cell>
          <cell r="F149">
            <v>-1.4104637377815172</v>
          </cell>
        </row>
        <row r="150">
          <cell r="C150">
            <v>1964.6666666546801</v>
          </cell>
          <cell r="D150">
            <v>27.7</v>
          </cell>
          <cell r="F150">
            <v>-1.1606347955921696</v>
          </cell>
        </row>
        <row r="151">
          <cell r="C151">
            <v>1964.7499999880399</v>
          </cell>
          <cell r="D151">
            <v>27.4</v>
          </cell>
          <cell r="F151">
            <v>-1.064861643503662</v>
          </cell>
        </row>
        <row r="152">
          <cell r="C152">
            <v>1964.8333333214</v>
          </cell>
          <cell r="D152">
            <v>27.2</v>
          </cell>
          <cell r="F152">
            <v>-1.1251071456059112</v>
          </cell>
        </row>
        <row r="153">
          <cell r="C153">
            <v>1964.9166666547601</v>
          </cell>
          <cell r="D153">
            <v>26.5</v>
          </cell>
          <cell r="F153">
            <v>-1.5088496343025446</v>
          </cell>
        </row>
        <row r="154">
          <cell r="C154">
            <v>1964.99999998812</v>
          </cell>
          <cell r="D154">
            <v>26.3</v>
          </cell>
          <cell r="F154">
            <v>-1.1751300716048563</v>
          </cell>
        </row>
        <row r="155">
          <cell r="C155">
            <v>1965.08333332148</v>
          </cell>
          <cell r="D155">
            <v>26.7</v>
          </cell>
          <cell r="F155">
            <v>-0.39282331518204333</v>
          </cell>
        </row>
        <row r="156">
          <cell r="C156">
            <v>1965.1666666548399</v>
          </cell>
          <cell r="D156">
            <v>27.1</v>
          </cell>
          <cell r="F156">
            <v>-0.24159908246360165</v>
          </cell>
        </row>
        <row r="157">
          <cell r="C157">
            <v>1965.2499999882</v>
          </cell>
          <cell r="D157">
            <v>27.6</v>
          </cell>
          <cell r="F157">
            <v>-0.17932072805234356</v>
          </cell>
        </row>
        <row r="158">
          <cell r="C158">
            <v>1965.3333333215601</v>
          </cell>
          <cell r="D158">
            <v>28</v>
          </cell>
          <cell r="F158">
            <v>-0.47598721741570227</v>
          </cell>
        </row>
        <row r="159">
          <cell r="C159">
            <v>1965.4166666549199</v>
          </cell>
          <cell r="D159">
            <v>28.2</v>
          </cell>
          <cell r="F159">
            <v>-0.36159176856847203</v>
          </cell>
        </row>
        <row r="160">
          <cell r="C160">
            <v>1965.49999998828</v>
          </cell>
          <cell r="D160">
            <v>28.5</v>
          </cell>
          <cell r="F160">
            <v>0.77427554809503918</v>
          </cell>
        </row>
        <row r="161">
          <cell r="C161">
            <v>1965.5833333216401</v>
          </cell>
          <cell r="D161">
            <v>28.1</v>
          </cell>
          <cell r="F161">
            <v>-0.15671819308681381</v>
          </cell>
        </row>
        <row r="162">
          <cell r="C162">
            <v>1965.666666655</v>
          </cell>
          <cell r="D162">
            <v>28.4</v>
          </cell>
          <cell r="F162">
            <v>0.41692706249428207</v>
          </cell>
        </row>
        <row r="163">
          <cell r="C163">
            <v>1965.7499999883601</v>
          </cell>
          <cell r="D163">
            <v>28</v>
          </cell>
          <cell r="F163">
            <v>0.18335366047082208</v>
          </cell>
        </row>
        <row r="164">
          <cell r="C164">
            <v>1965.8333333217199</v>
          </cell>
          <cell r="D164">
            <v>27.2</v>
          </cell>
          <cell r="F164">
            <v>-1.1251071456059112</v>
          </cell>
        </row>
        <row r="165">
          <cell r="C165">
            <v>1965.91666665508</v>
          </cell>
          <cell r="D165">
            <v>27.6</v>
          </cell>
          <cell r="F165">
            <v>0.33529991873389681</v>
          </cell>
        </row>
        <row r="166">
          <cell r="C166">
            <v>1965.9999999884401</v>
          </cell>
          <cell r="D166">
            <v>27.8</v>
          </cell>
          <cell r="F166">
            <v>1.4444923802094762</v>
          </cell>
        </row>
        <row r="167">
          <cell r="C167">
            <v>1966.0833333218</v>
          </cell>
          <cell r="D167">
            <v>27.6</v>
          </cell>
          <cell r="F167">
            <v>1.3602724715806946</v>
          </cell>
        </row>
        <row r="168">
          <cell r="C168">
            <v>1966.16666665516</v>
          </cell>
          <cell r="D168">
            <v>26.7</v>
          </cell>
          <cell r="F168">
            <v>-0.9487183482106768</v>
          </cell>
        </row>
        <row r="169">
          <cell r="C169">
            <v>1966.2499999885199</v>
          </cell>
          <cell r="D169">
            <v>28.1</v>
          </cell>
          <cell r="F169">
            <v>0.87550708402025501</v>
          </cell>
        </row>
        <row r="170">
          <cell r="C170">
            <v>1966.33333332188</v>
          </cell>
          <cell r="D170">
            <v>28</v>
          </cell>
          <cell r="F170">
            <v>-0.47598721741570227</v>
          </cell>
        </row>
        <row r="171">
          <cell r="C171">
            <v>1966.4166666552401</v>
          </cell>
          <cell r="D171">
            <v>27.7</v>
          </cell>
          <cell r="F171">
            <v>-1.5406953617265398</v>
          </cell>
        </row>
        <row r="172">
          <cell r="C172">
            <v>1966.4999999885999</v>
          </cell>
          <cell r="D172">
            <v>28.1</v>
          </cell>
          <cell r="F172">
            <v>-0.29986394059170085</v>
          </cell>
        </row>
        <row r="173">
          <cell r="C173">
            <v>1966.58333332196</v>
          </cell>
          <cell r="D173">
            <v>28</v>
          </cell>
          <cell r="F173">
            <v>-0.36567578386926686</v>
          </cell>
        </row>
        <row r="174">
          <cell r="C174">
            <v>1966.6666666553199</v>
          </cell>
          <cell r="D174">
            <v>27.8</v>
          </cell>
          <cell r="F174">
            <v>-0.93526881586553023</v>
          </cell>
        </row>
        <row r="175">
          <cell r="C175">
            <v>1966.74999998868</v>
          </cell>
          <cell r="D175">
            <v>27.4</v>
          </cell>
          <cell r="F175">
            <v>-1.064861643503662</v>
          </cell>
        </row>
        <row r="176">
          <cell r="C176">
            <v>1966.8333333220401</v>
          </cell>
          <cell r="D176">
            <v>26.7</v>
          </cell>
          <cell r="F176">
            <v>-2.0149371937392733</v>
          </cell>
        </row>
        <row r="177">
          <cell r="C177">
            <v>1966.9166666553999</v>
          </cell>
          <cell r="D177">
            <v>25.8</v>
          </cell>
          <cell r="F177">
            <v>-2.6823993498711864</v>
          </cell>
        </row>
        <row r="178">
          <cell r="C178">
            <v>1966.99999998876</v>
          </cell>
          <cell r="D178">
            <v>26.4</v>
          </cell>
          <cell r="F178">
            <v>-1.0004885748172379</v>
          </cell>
        </row>
        <row r="179">
          <cell r="C179">
            <v>1967.0833333221201</v>
          </cell>
          <cell r="D179">
            <v>26.7</v>
          </cell>
          <cell r="F179">
            <v>-0.39282331518204333</v>
          </cell>
        </row>
        <row r="180">
          <cell r="C180">
            <v>1967.16666665548</v>
          </cell>
          <cell r="D180">
            <v>27.4</v>
          </cell>
          <cell r="F180">
            <v>0.28874036684669685</v>
          </cell>
        </row>
        <row r="181">
          <cell r="C181">
            <v>1967.24999998884</v>
          </cell>
          <cell r="D181">
            <v>27.9</v>
          </cell>
          <cell r="F181">
            <v>0.45357595919120958</v>
          </cell>
        </row>
        <row r="182">
          <cell r="C182">
            <v>1967.3333333221999</v>
          </cell>
          <cell r="D182">
            <v>28.3</v>
          </cell>
          <cell r="F182">
            <v>0.32473894272284271</v>
          </cell>
        </row>
        <row r="183">
          <cell r="C183">
            <v>1967.41666665556</v>
          </cell>
          <cell r="D183">
            <v>28.4</v>
          </cell>
          <cell r="F183">
            <v>0.11004966869475344</v>
          </cell>
        </row>
        <row r="184">
          <cell r="C184">
            <v>1967.4999999889201</v>
          </cell>
          <cell r="D184">
            <v>28.4</v>
          </cell>
          <cell r="F184">
            <v>0.50574067592334937</v>
          </cell>
        </row>
        <row r="185">
          <cell r="C185">
            <v>1967.5833333222799</v>
          </cell>
          <cell r="D185">
            <v>28.2</v>
          </cell>
          <cell r="F185">
            <v>5.2239397695631823E-2</v>
          </cell>
        </row>
        <row r="186">
          <cell r="C186">
            <v>1967.66666665564</v>
          </cell>
          <cell r="D186">
            <v>28</v>
          </cell>
          <cell r="F186">
            <v>-0.48453685641225946</v>
          </cell>
        </row>
        <row r="187">
          <cell r="C187">
            <v>1967.7499999889999</v>
          </cell>
          <cell r="D187">
            <v>27.7</v>
          </cell>
          <cell r="F187">
            <v>-0.44075399151641997</v>
          </cell>
        </row>
        <row r="188">
          <cell r="C188">
            <v>1967.83333332236</v>
          </cell>
          <cell r="D188">
            <v>27.5</v>
          </cell>
          <cell r="F188">
            <v>-0.5912091167258926</v>
          </cell>
        </row>
        <row r="189">
          <cell r="C189">
            <v>1967.9166666557201</v>
          </cell>
          <cell r="D189">
            <v>27.4</v>
          </cell>
          <cell r="F189">
            <v>-5.9561230389330787E-15</v>
          </cell>
        </row>
        <row r="190">
          <cell r="C190">
            <v>1967.9999999890799</v>
          </cell>
          <cell r="D190">
            <v>26.3</v>
          </cell>
          <cell r="F190">
            <v>-1.1751300716048563</v>
          </cell>
        </row>
        <row r="191">
          <cell r="C191">
            <v>1968.08333332244</v>
          </cell>
          <cell r="D191">
            <v>26.5</v>
          </cell>
          <cell r="F191">
            <v>-0.78240015668487162</v>
          </cell>
        </row>
        <row r="192">
          <cell r="C192">
            <v>1968.1666666558001</v>
          </cell>
          <cell r="D192">
            <v>27</v>
          </cell>
          <cell r="F192">
            <v>-0.418378898900372</v>
          </cell>
        </row>
        <row r="193">
          <cell r="C193">
            <v>1968.24999998916</v>
          </cell>
          <cell r="D193">
            <v>26.3</v>
          </cell>
          <cell r="F193">
            <v>-2.9218730394411012</v>
          </cell>
        </row>
        <row r="194">
          <cell r="C194">
            <v>1968.33333332252</v>
          </cell>
          <cell r="D194">
            <v>26.7</v>
          </cell>
          <cell r="F194">
            <v>-3.9458005780160574</v>
          </cell>
        </row>
        <row r="195">
          <cell r="C195">
            <v>1968.4166666558799</v>
          </cell>
          <cell r="D195">
            <v>27.8</v>
          </cell>
          <cell r="F195">
            <v>-1.304874643094923</v>
          </cell>
        </row>
        <row r="196">
          <cell r="C196">
            <v>1968.49999998924</v>
          </cell>
          <cell r="D196">
            <v>27.8</v>
          </cell>
          <cell r="F196">
            <v>-1.1054685571067606</v>
          </cell>
        </row>
        <row r="197">
          <cell r="C197">
            <v>1968.5833333226001</v>
          </cell>
          <cell r="D197">
            <v>27.8</v>
          </cell>
          <cell r="F197">
            <v>-0.78359096543416551</v>
          </cell>
        </row>
        <row r="198">
          <cell r="C198">
            <v>1968.6666666559599</v>
          </cell>
          <cell r="D198">
            <v>27.8</v>
          </cell>
          <cell r="F198">
            <v>-0.93526881586553023</v>
          </cell>
        </row>
        <row r="199">
          <cell r="C199">
            <v>1968.74999998933</v>
          </cell>
          <cell r="D199">
            <v>27.7</v>
          </cell>
          <cell r="F199">
            <v>-0.44075399151641997</v>
          </cell>
        </row>
        <row r="200">
          <cell r="C200">
            <v>1968.8333333226899</v>
          </cell>
          <cell r="D200">
            <v>27.7</v>
          </cell>
          <cell r="F200">
            <v>-0.23527709747254905</v>
          </cell>
        </row>
        <row r="201">
          <cell r="C201">
            <v>1968.91666665605</v>
          </cell>
          <cell r="D201">
            <v>27.7</v>
          </cell>
          <cell r="F201">
            <v>0.50294987810084224</v>
          </cell>
        </row>
        <row r="202">
          <cell r="C202">
            <v>1968.9999999894101</v>
          </cell>
          <cell r="D202">
            <v>27.1</v>
          </cell>
          <cell r="F202">
            <v>0.22200190269612233</v>
          </cell>
        </row>
        <row r="203">
          <cell r="C203">
            <v>1969.0833333227699</v>
          </cell>
          <cell r="D203">
            <v>27.3</v>
          </cell>
          <cell r="F203">
            <v>0.77590720932644863</v>
          </cell>
        </row>
        <row r="204">
          <cell r="C204">
            <v>1969.16666665613</v>
          </cell>
          <cell r="D204">
            <v>27.9</v>
          </cell>
          <cell r="F204">
            <v>1.1726394490305361</v>
          </cell>
        </row>
        <row r="205">
          <cell r="C205">
            <v>1969.2499999894901</v>
          </cell>
          <cell r="D205">
            <v>28.1</v>
          </cell>
          <cell r="F205">
            <v>0.87550708402025501</v>
          </cell>
        </row>
        <row r="206">
          <cell r="C206">
            <v>1969.33333332285</v>
          </cell>
          <cell r="D206">
            <v>28.3</v>
          </cell>
          <cell r="F206">
            <v>0.32473894272284271</v>
          </cell>
        </row>
        <row r="207">
          <cell r="C207">
            <v>1969.4166666562101</v>
          </cell>
          <cell r="D207">
            <v>27.7</v>
          </cell>
          <cell r="F207">
            <v>-1.5406953617265398</v>
          </cell>
        </row>
        <row r="208">
          <cell r="C208">
            <v>1969.4999999895699</v>
          </cell>
          <cell r="D208">
            <v>27.4</v>
          </cell>
          <cell r="F208">
            <v>-2.1796080457935103</v>
          </cell>
        </row>
        <row r="209">
          <cell r="C209">
            <v>1969.58333332293</v>
          </cell>
          <cell r="D209">
            <v>27.3</v>
          </cell>
          <cell r="F209">
            <v>-1.8283789193464159</v>
          </cell>
        </row>
        <row r="210">
          <cell r="C210">
            <v>1969.6666666562901</v>
          </cell>
          <cell r="D210">
            <v>27.7</v>
          </cell>
          <cell r="F210">
            <v>-1.1606347955921696</v>
          </cell>
        </row>
        <row r="211">
          <cell r="C211">
            <v>1969.74999998965</v>
          </cell>
          <cell r="D211">
            <v>27.2</v>
          </cell>
          <cell r="F211">
            <v>-1.4809334114951542</v>
          </cell>
        </row>
        <row r="212">
          <cell r="C212">
            <v>1969.83333332301</v>
          </cell>
          <cell r="D212">
            <v>27</v>
          </cell>
          <cell r="F212">
            <v>-1.4810391648592549</v>
          </cell>
        </row>
        <row r="213">
          <cell r="C213">
            <v>1969.9166666563699</v>
          </cell>
          <cell r="D213">
            <v>27</v>
          </cell>
          <cell r="F213">
            <v>-0.67059983746779961</v>
          </cell>
        </row>
        <row r="214">
          <cell r="C214">
            <v>1969.99999998973</v>
          </cell>
          <cell r="D214">
            <v>26.6</v>
          </cell>
          <cell r="F214">
            <v>-0.65120558124198857</v>
          </cell>
        </row>
        <row r="215">
          <cell r="C215">
            <v>1970.0833333230901</v>
          </cell>
          <cell r="D215">
            <v>27</v>
          </cell>
          <cell r="F215">
            <v>0.19154194707220265</v>
          </cell>
        </row>
        <row r="216">
          <cell r="C216">
            <v>1970.1666666564499</v>
          </cell>
          <cell r="D216">
            <v>27.3</v>
          </cell>
          <cell r="F216">
            <v>0.11196055040993279</v>
          </cell>
        </row>
        <row r="217">
          <cell r="C217">
            <v>1970.24999998981</v>
          </cell>
          <cell r="D217">
            <v>27.8</v>
          </cell>
          <cell r="F217">
            <v>0.24261039677669438</v>
          </cell>
        </row>
        <row r="218">
          <cell r="C218">
            <v>1970.3333333231701</v>
          </cell>
          <cell r="D218">
            <v>27.8</v>
          </cell>
          <cell r="F218">
            <v>-1.0098046575080624</v>
          </cell>
        </row>
        <row r="219">
          <cell r="C219">
            <v>1970.41666665653</v>
          </cell>
          <cell r="D219">
            <v>28.3</v>
          </cell>
          <cell r="F219">
            <v>-0.12577104993685509</v>
          </cell>
        </row>
        <row r="220">
          <cell r="C220">
            <v>1970.4999999898901</v>
          </cell>
          <cell r="D220">
            <v>27.9</v>
          </cell>
          <cell r="F220">
            <v>-0.83693368493508047</v>
          </cell>
        </row>
        <row r="221">
          <cell r="C221">
            <v>1970.5833333232499</v>
          </cell>
          <cell r="D221">
            <v>26.7</v>
          </cell>
          <cell r="F221">
            <v>-3.0821244640411192</v>
          </cell>
        </row>
        <row r="222">
          <cell r="C222">
            <v>1970.66666665661</v>
          </cell>
          <cell r="D222">
            <v>27.5</v>
          </cell>
          <cell r="F222">
            <v>-1.6113667550454405</v>
          </cell>
        </row>
        <row r="223">
          <cell r="C223">
            <v>1970.7499999899701</v>
          </cell>
          <cell r="D223">
            <v>28.1</v>
          </cell>
          <cell r="F223">
            <v>0.39138954446657193</v>
          </cell>
        </row>
        <row r="224">
          <cell r="C224">
            <v>1970.83333332333</v>
          </cell>
          <cell r="D224">
            <v>27.9</v>
          </cell>
          <cell r="F224">
            <v>0.12065492178079455</v>
          </cell>
        </row>
        <row r="225">
          <cell r="C225">
            <v>1970.91666665669</v>
          </cell>
          <cell r="D225">
            <v>28</v>
          </cell>
          <cell r="F225">
            <v>1.0058997562016905</v>
          </cell>
        </row>
        <row r="226">
          <cell r="C226">
            <v>1970.9999999900499</v>
          </cell>
          <cell r="D226">
            <v>27.8</v>
          </cell>
          <cell r="F226">
            <v>1.4444923802094762</v>
          </cell>
        </row>
        <row r="227">
          <cell r="C227">
            <v>1971.08333332341</v>
          </cell>
          <cell r="D227">
            <v>27.6</v>
          </cell>
          <cell r="F227">
            <v>1.3602724715806946</v>
          </cell>
        </row>
        <row r="228">
          <cell r="C228">
            <v>1971.1666666567701</v>
          </cell>
          <cell r="D228">
            <v>28.1</v>
          </cell>
          <cell r="F228">
            <v>1.5261990819040767</v>
          </cell>
        </row>
        <row r="229">
          <cell r="C229">
            <v>1971.2499999901299</v>
          </cell>
          <cell r="D229">
            <v>28.1</v>
          </cell>
          <cell r="F229">
            <v>0.87550708402025501</v>
          </cell>
        </row>
        <row r="230">
          <cell r="C230">
            <v>1971.33333332349</v>
          </cell>
          <cell r="D230">
            <v>28.2</v>
          </cell>
          <cell r="F230">
            <v>5.783022267665789E-2</v>
          </cell>
        </row>
        <row r="231">
          <cell r="C231">
            <v>1971.4166666568501</v>
          </cell>
          <cell r="D231">
            <v>28.3</v>
          </cell>
          <cell r="F231">
            <v>-0.12577104993685509</v>
          </cell>
        </row>
        <row r="232">
          <cell r="C232">
            <v>1971.49999999021</v>
          </cell>
          <cell r="D232">
            <v>28</v>
          </cell>
          <cell r="F232">
            <v>-0.56839881276339066</v>
          </cell>
        </row>
        <row r="233">
          <cell r="C233">
            <v>1971.5833333235701</v>
          </cell>
          <cell r="D233">
            <v>27.9</v>
          </cell>
          <cell r="F233">
            <v>-0.57463337465171993</v>
          </cell>
        </row>
        <row r="234">
          <cell r="C234">
            <v>1971.6666666569299</v>
          </cell>
          <cell r="D234">
            <v>28</v>
          </cell>
          <cell r="F234">
            <v>-0.48453685641225946</v>
          </cell>
        </row>
        <row r="235">
          <cell r="C235">
            <v>1971.74999999029</v>
          </cell>
          <cell r="D235">
            <v>27.8</v>
          </cell>
          <cell r="F235">
            <v>-0.23271810752067018</v>
          </cell>
        </row>
        <row r="236">
          <cell r="C236">
            <v>1971.8333333236501</v>
          </cell>
          <cell r="D236">
            <v>27.4</v>
          </cell>
          <cell r="F236">
            <v>-0.76917512635256757</v>
          </cell>
        </row>
        <row r="237">
          <cell r="C237">
            <v>1971.91666665701</v>
          </cell>
          <cell r="D237">
            <v>27.2</v>
          </cell>
          <cell r="F237">
            <v>-0.33529991873390275</v>
          </cell>
        </row>
        <row r="238">
          <cell r="C238">
            <v>1971.99999999037</v>
          </cell>
          <cell r="D238">
            <v>26.5</v>
          </cell>
          <cell r="F238">
            <v>-0.82584707802961321</v>
          </cell>
        </row>
        <row r="239">
          <cell r="C239">
            <v>1972.0833333237299</v>
          </cell>
          <cell r="D239">
            <v>26</v>
          </cell>
          <cell r="F239">
            <v>-1.7563422604419459</v>
          </cell>
        </row>
        <row r="240">
          <cell r="C240">
            <v>1972.16666665709</v>
          </cell>
          <cell r="D240">
            <v>27</v>
          </cell>
          <cell r="F240">
            <v>-0.418378898900372</v>
          </cell>
        </row>
        <row r="241">
          <cell r="C241">
            <v>1972.2499999904501</v>
          </cell>
          <cell r="D241">
            <v>27.4</v>
          </cell>
          <cell r="F241">
            <v>-0.60125185288138894</v>
          </cell>
        </row>
        <row r="242">
          <cell r="C242">
            <v>1972.3333333238099</v>
          </cell>
          <cell r="D242">
            <v>27.7</v>
          </cell>
          <cell r="F242">
            <v>-1.2767133775542472</v>
          </cell>
        </row>
        <row r="243">
          <cell r="C243">
            <v>1972.41666665717</v>
          </cell>
          <cell r="D243">
            <v>29.2</v>
          </cell>
          <cell r="F243">
            <v>1.9966154177476636</v>
          </cell>
        </row>
        <row r="244">
          <cell r="C244">
            <v>1972.4999999905299</v>
          </cell>
          <cell r="D244">
            <v>29.2</v>
          </cell>
          <cell r="F244">
            <v>2.6540196532968392</v>
          </cell>
        </row>
        <row r="245">
          <cell r="C245">
            <v>1972.58333332389</v>
          </cell>
          <cell r="D245">
            <v>29.5</v>
          </cell>
          <cell r="F245">
            <v>2.7686880778674845</v>
          </cell>
        </row>
        <row r="246">
          <cell r="C246">
            <v>1972.6666666572501</v>
          </cell>
          <cell r="D246">
            <v>29.8</v>
          </cell>
          <cell r="F246">
            <v>3.5720507786671933</v>
          </cell>
        </row>
        <row r="247">
          <cell r="C247">
            <v>1972.7499999906099</v>
          </cell>
          <cell r="D247">
            <v>29.7</v>
          </cell>
          <cell r="F247">
            <v>3.7199636883985172</v>
          </cell>
        </row>
        <row r="248">
          <cell r="C248">
            <v>1972.83333332397</v>
          </cell>
          <cell r="D248">
            <v>29.5</v>
          </cell>
          <cell r="F248">
            <v>2.9681110758075562</v>
          </cell>
        </row>
        <row r="249">
          <cell r="C249">
            <v>1972.9166666573301</v>
          </cell>
          <cell r="D249">
            <v>29.5</v>
          </cell>
          <cell r="F249">
            <v>3.5206491467059253</v>
          </cell>
        </row>
        <row r="250">
          <cell r="C250">
            <v>1972.99999999069</v>
          </cell>
          <cell r="D250">
            <v>28.9</v>
          </cell>
          <cell r="F250">
            <v>3.3655488448733166</v>
          </cell>
        </row>
        <row r="251">
          <cell r="C251">
            <v>1973.08333332405</v>
          </cell>
          <cell r="D251">
            <v>27.4</v>
          </cell>
          <cell r="F251">
            <v>0.97069563007785931</v>
          </cell>
        </row>
        <row r="252">
          <cell r="C252">
            <v>1973.1666666574099</v>
          </cell>
          <cell r="D252">
            <v>28.4</v>
          </cell>
          <cell r="F252">
            <v>2.0565385312143754</v>
          </cell>
        </row>
        <row r="253">
          <cell r="C253">
            <v>1973.24999999077</v>
          </cell>
          <cell r="D253">
            <v>27.6</v>
          </cell>
          <cell r="F253">
            <v>-0.17932072805234356</v>
          </cell>
        </row>
        <row r="254">
          <cell r="C254">
            <v>1973.3333333241301</v>
          </cell>
          <cell r="D254">
            <v>27.8</v>
          </cell>
          <cell r="F254">
            <v>-1.0098046575080624</v>
          </cell>
        </row>
        <row r="255">
          <cell r="C255">
            <v>1973.4166666574899</v>
          </cell>
          <cell r="D255">
            <v>28</v>
          </cell>
          <cell r="F255">
            <v>-0.83323320583169747</v>
          </cell>
        </row>
        <row r="256">
          <cell r="C256">
            <v>1973.49999999085</v>
          </cell>
          <cell r="D256">
            <v>27.8</v>
          </cell>
          <cell r="F256">
            <v>-1.1054685571067606</v>
          </cell>
        </row>
        <row r="257">
          <cell r="C257">
            <v>1973.5833333242099</v>
          </cell>
          <cell r="D257">
            <v>27.9</v>
          </cell>
          <cell r="F257">
            <v>-0.57463337465171993</v>
          </cell>
        </row>
        <row r="258">
          <cell r="C258">
            <v>1973.66666665757</v>
          </cell>
          <cell r="D258">
            <v>28.1</v>
          </cell>
          <cell r="F258">
            <v>-0.25917087668562011</v>
          </cell>
        </row>
        <row r="259">
          <cell r="C259">
            <v>1973.7499999909301</v>
          </cell>
          <cell r="D259">
            <v>28</v>
          </cell>
          <cell r="F259">
            <v>0.18335366047082208</v>
          </cell>
        </row>
        <row r="260">
          <cell r="C260">
            <v>1973.8333333242899</v>
          </cell>
          <cell r="D260">
            <v>27.7</v>
          </cell>
          <cell r="F260">
            <v>-0.23527709747254905</v>
          </cell>
        </row>
        <row r="261">
          <cell r="C261">
            <v>1973.91666665765</v>
          </cell>
          <cell r="D261">
            <v>27.6</v>
          </cell>
          <cell r="F261">
            <v>0.33529991873389681</v>
          </cell>
        </row>
        <row r="262">
          <cell r="C262">
            <v>1973.9999999910101</v>
          </cell>
          <cell r="D262">
            <v>27</v>
          </cell>
          <cell r="F262">
            <v>4.7360405908497653E-2</v>
          </cell>
        </row>
        <row r="263">
          <cell r="C263">
            <v>1974.08333332437</v>
          </cell>
          <cell r="D263">
            <v>27</v>
          </cell>
          <cell r="F263">
            <v>0.19154194707220265</v>
          </cell>
        </row>
        <row r="264">
          <cell r="C264">
            <v>1974.16666665773</v>
          </cell>
          <cell r="D264">
            <v>27.7</v>
          </cell>
          <cell r="F264">
            <v>0.81907981615700165</v>
          </cell>
        </row>
        <row r="265">
          <cell r="C265">
            <v>1974.2499999910899</v>
          </cell>
          <cell r="D265">
            <v>27.7</v>
          </cell>
          <cell r="F265">
            <v>3.1644834362171657E-2</v>
          </cell>
        </row>
        <row r="266">
          <cell r="C266">
            <v>1974.33333332445</v>
          </cell>
          <cell r="D266">
            <v>28.6</v>
          </cell>
          <cell r="F266">
            <v>1.1254651028613878</v>
          </cell>
        </row>
        <row r="267">
          <cell r="C267">
            <v>1974.4166666578101</v>
          </cell>
          <cell r="D267">
            <v>28.1</v>
          </cell>
          <cell r="F267">
            <v>-0.59741248720008056</v>
          </cell>
        </row>
        <row r="268">
          <cell r="C268">
            <v>1974.4999999911699</v>
          </cell>
          <cell r="D268">
            <v>27.9</v>
          </cell>
          <cell r="F268">
            <v>-0.83693368493508047</v>
          </cell>
        </row>
        <row r="269">
          <cell r="C269">
            <v>1974.58333332453</v>
          </cell>
          <cell r="D269">
            <v>27.9</v>
          </cell>
          <cell r="F269">
            <v>-0.57463337465171993</v>
          </cell>
        </row>
        <row r="270">
          <cell r="C270">
            <v>1974.6666666578899</v>
          </cell>
          <cell r="D270">
            <v>28.1</v>
          </cell>
          <cell r="F270">
            <v>-0.25917087668562011</v>
          </cell>
        </row>
        <row r="271">
          <cell r="C271">
            <v>1974.74999999125</v>
          </cell>
          <cell r="D271">
            <v>28</v>
          </cell>
          <cell r="F271">
            <v>0.18335366047082208</v>
          </cell>
        </row>
        <row r="272">
          <cell r="C272">
            <v>1974.8333333246101</v>
          </cell>
          <cell r="D272">
            <v>27.7</v>
          </cell>
          <cell r="F272">
            <v>-0.23527709747254905</v>
          </cell>
        </row>
        <row r="273">
          <cell r="C273">
            <v>1974.9166666579699</v>
          </cell>
          <cell r="D273">
            <v>27.7</v>
          </cell>
          <cell r="F273">
            <v>0.50294987810084224</v>
          </cell>
        </row>
        <row r="274">
          <cell r="C274">
            <v>1974.99999999133</v>
          </cell>
          <cell r="D274">
            <v>26.9</v>
          </cell>
          <cell r="F274">
            <v>-0.12728109087912701</v>
          </cell>
        </row>
        <row r="275">
          <cell r="C275">
            <v>1975.0833333246901</v>
          </cell>
          <cell r="D275">
            <v>26.5</v>
          </cell>
          <cell r="F275">
            <v>-0.78240015668487162</v>
          </cell>
        </row>
        <row r="276">
          <cell r="C276">
            <v>1975.16666665805</v>
          </cell>
          <cell r="D276">
            <v>26.6</v>
          </cell>
          <cell r="F276">
            <v>-1.1254981646474409</v>
          </cell>
        </row>
        <row r="277">
          <cell r="C277">
            <v>1975.24999999141</v>
          </cell>
          <cell r="D277">
            <v>27.1</v>
          </cell>
          <cell r="F277">
            <v>-1.2341485401249421</v>
          </cell>
        </row>
        <row r="278">
          <cell r="C278">
            <v>1975.3333333247699</v>
          </cell>
          <cell r="D278">
            <v>27.8</v>
          </cell>
          <cell r="F278">
            <v>-1.0098046575080624</v>
          </cell>
        </row>
        <row r="279">
          <cell r="C279">
            <v>1975.41666665813</v>
          </cell>
          <cell r="D279">
            <v>27.6</v>
          </cell>
          <cell r="F279">
            <v>-1.7765160803581483</v>
          </cell>
        </row>
        <row r="280">
          <cell r="C280">
            <v>1975.4999999914901</v>
          </cell>
          <cell r="D280">
            <v>27.4</v>
          </cell>
          <cell r="F280">
            <v>-2.1796080457935103</v>
          </cell>
        </row>
        <row r="281">
          <cell r="C281">
            <v>1975.5833333248499</v>
          </cell>
          <cell r="D281">
            <v>27.2</v>
          </cell>
          <cell r="F281">
            <v>-2.0373365101288692</v>
          </cell>
        </row>
        <row r="282">
          <cell r="C282">
            <v>1975.66666665821</v>
          </cell>
          <cell r="D282">
            <v>27.5</v>
          </cell>
          <cell r="F282">
            <v>-1.6113667550454405</v>
          </cell>
        </row>
        <row r="283">
          <cell r="C283">
            <v>1975.7499999915699</v>
          </cell>
          <cell r="D283">
            <v>26.7</v>
          </cell>
          <cell r="F283">
            <v>-2.5211128314738884</v>
          </cell>
        </row>
        <row r="284">
          <cell r="C284">
            <v>1975.83333332493</v>
          </cell>
          <cell r="D284">
            <v>27.1</v>
          </cell>
          <cell r="F284">
            <v>-1.3030731552325798</v>
          </cell>
        </row>
        <row r="285">
          <cell r="C285">
            <v>1975.9166666582901</v>
          </cell>
          <cell r="D285">
            <v>26.3</v>
          </cell>
          <cell r="F285">
            <v>-1.8441495530364413</v>
          </cell>
        </row>
        <row r="286">
          <cell r="C286">
            <v>1975.9999999916499</v>
          </cell>
          <cell r="D286">
            <v>26.1</v>
          </cell>
          <cell r="F286">
            <v>-1.5244130651800996</v>
          </cell>
        </row>
        <row r="287">
          <cell r="C287">
            <v>1976.08333332501</v>
          </cell>
          <cell r="D287">
            <v>25.6</v>
          </cell>
          <cell r="F287">
            <v>-2.5354959434476028</v>
          </cell>
        </row>
        <row r="288">
          <cell r="C288">
            <v>1976.1666666583701</v>
          </cell>
          <cell r="D288">
            <v>26.2</v>
          </cell>
          <cell r="F288">
            <v>-1.832617430394516</v>
          </cell>
        </row>
        <row r="289">
          <cell r="C289">
            <v>1976.24999999173</v>
          </cell>
          <cell r="D289">
            <v>26.6</v>
          </cell>
          <cell r="F289">
            <v>-2.2889763521975408</v>
          </cell>
        </row>
        <row r="290">
          <cell r="C290">
            <v>1976.3333333250901</v>
          </cell>
          <cell r="D290">
            <v>27.8</v>
          </cell>
          <cell r="F290">
            <v>-1.0098046575080624</v>
          </cell>
        </row>
        <row r="291">
          <cell r="C291">
            <v>1976.4166666584499</v>
          </cell>
          <cell r="D291">
            <v>27.4</v>
          </cell>
          <cell r="F291">
            <v>-2.2481575176213822</v>
          </cell>
        </row>
        <row r="292">
          <cell r="C292">
            <v>1976.49999999181</v>
          </cell>
          <cell r="D292">
            <v>27.6</v>
          </cell>
          <cell r="F292">
            <v>-1.6425383014501307</v>
          </cell>
        </row>
        <row r="293">
          <cell r="C293">
            <v>1976.5833333251701</v>
          </cell>
          <cell r="D293">
            <v>27.9</v>
          </cell>
          <cell r="F293">
            <v>-0.57463337465171993</v>
          </cell>
        </row>
        <row r="294">
          <cell r="C294">
            <v>1976.6666666585299</v>
          </cell>
          <cell r="D294">
            <v>28</v>
          </cell>
          <cell r="F294">
            <v>-0.48453685641225946</v>
          </cell>
        </row>
        <row r="295">
          <cell r="C295">
            <v>1976.74999999189</v>
          </cell>
          <cell r="D295">
            <v>27.8</v>
          </cell>
          <cell r="F295">
            <v>-0.23271810752067018</v>
          </cell>
        </row>
        <row r="296">
          <cell r="C296">
            <v>1976.8333333252499</v>
          </cell>
          <cell r="D296">
            <v>28.5</v>
          </cell>
          <cell r="F296">
            <v>1.1884509795408318</v>
          </cell>
        </row>
        <row r="297">
          <cell r="C297">
            <v>1976.91666665861</v>
          </cell>
          <cell r="D297">
            <v>27.2</v>
          </cell>
          <cell r="F297">
            <v>-0.33529991873390275</v>
          </cell>
        </row>
        <row r="298">
          <cell r="C298">
            <v>1976.9999999919701</v>
          </cell>
          <cell r="D298">
            <v>26.8</v>
          </cell>
          <cell r="F298">
            <v>-0.30192258766674546</v>
          </cell>
        </row>
        <row r="299">
          <cell r="C299">
            <v>1977.0833333253299</v>
          </cell>
          <cell r="D299">
            <v>26.6</v>
          </cell>
          <cell r="F299">
            <v>-0.58761173593345406</v>
          </cell>
        </row>
        <row r="300">
          <cell r="C300">
            <v>1977.16666665869</v>
          </cell>
          <cell r="D300">
            <v>26.6</v>
          </cell>
          <cell r="F300">
            <v>-1.1254981646474409</v>
          </cell>
        </row>
        <row r="301">
          <cell r="C301">
            <v>1977.2499999920501</v>
          </cell>
          <cell r="D301">
            <v>27.1</v>
          </cell>
          <cell r="F301">
            <v>-1.2341485401249421</v>
          </cell>
        </row>
        <row r="302">
          <cell r="C302">
            <v>1977.33333332541</v>
          </cell>
          <cell r="D302">
            <v>27.7</v>
          </cell>
          <cell r="F302">
            <v>-1.2767133775542472</v>
          </cell>
        </row>
        <row r="303">
          <cell r="C303">
            <v>1977.4166666587701</v>
          </cell>
          <cell r="D303">
            <v>28.2</v>
          </cell>
          <cell r="F303">
            <v>-0.36159176856847203</v>
          </cell>
        </row>
        <row r="304">
          <cell r="C304">
            <v>1977.4999999921299</v>
          </cell>
          <cell r="D304">
            <v>27.8</v>
          </cell>
          <cell r="F304">
            <v>-1.1054685571067606</v>
          </cell>
        </row>
        <row r="305">
          <cell r="C305">
            <v>1977.58333332549</v>
          </cell>
          <cell r="D305">
            <v>27.9</v>
          </cell>
          <cell r="F305">
            <v>-0.57463337465171993</v>
          </cell>
        </row>
        <row r="306">
          <cell r="C306">
            <v>1977.6666666588501</v>
          </cell>
          <cell r="D306">
            <v>28.8</v>
          </cell>
          <cell r="F306">
            <v>1.3183909814008317</v>
          </cell>
        </row>
        <row r="307">
          <cell r="C307">
            <v>1977.74999999221</v>
          </cell>
          <cell r="D307">
            <v>28.4</v>
          </cell>
          <cell r="F307">
            <v>1.0154971964538066</v>
          </cell>
        </row>
        <row r="308">
          <cell r="C308">
            <v>1977.83333332557</v>
          </cell>
          <cell r="D308">
            <v>28.4</v>
          </cell>
          <cell r="F308">
            <v>1.0104849699141567</v>
          </cell>
        </row>
        <row r="309">
          <cell r="C309">
            <v>1977.9166666589297</v>
          </cell>
          <cell r="D309">
            <v>28</v>
          </cell>
          <cell r="F309">
            <v>1.0058997562016905</v>
          </cell>
        </row>
        <row r="310">
          <cell r="C310">
            <v>1977.99999999229</v>
          </cell>
          <cell r="D310">
            <v>27.5</v>
          </cell>
          <cell r="F310">
            <v>0.92056788984660853</v>
          </cell>
        </row>
        <row r="311">
          <cell r="C311">
            <v>1978.0833333256503</v>
          </cell>
          <cell r="D311">
            <v>27.3</v>
          </cell>
          <cell r="F311">
            <v>0.77590720932644863</v>
          </cell>
        </row>
        <row r="312">
          <cell r="C312">
            <v>1978.1666666590106</v>
          </cell>
          <cell r="D312">
            <v>27.7</v>
          </cell>
          <cell r="F312">
            <v>0.81907981615700165</v>
          </cell>
        </row>
        <row r="313">
          <cell r="C313">
            <v>1978.2499999923707</v>
          </cell>
          <cell r="D313">
            <v>28</v>
          </cell>
          <cell r="F313">
            <v>0.66454152160573232</v>
          </cell>
        </row>
        <row r="314">
          <cell r="C314">
            <v>1978.333333325731</v>
          </cell>
          <cell r="D314">
            <v>28.5</v>
          </cell>
          <cell r="F314">
            <v>0.85855638281520286</v>
          </cell>
        </row>
        <row r="315">
          <cell r="C315">
            <v>1978.4166666590913</v>
          </cell>
          <cell r="D315">
            <v>28.5</v>
          </cell>
          <cell r="F315">
            <v>0.34587038732637038</v>
          </cell>
        </row>
        <row r="316">
          <cell r="C316">
            <v>1978.4999999924516</v>
          </cell>
          <cell r="D316">
            <v>28.4</v>
          </cell>
          <cell r="F316">
            <v>0.50574067592334937</v>
          </cell>
        </row>
        <row r="317">
          <cell r="C317">
            <v>1978.583333325812</v>
          </cell>
          <cell r="D317">
            <v>28.3</v>
          </cell>
          <cell r="F317">
            <v>0.26119698847808487</v>
          </cell>
        </row>
        <row r="318">
          <cell r="C318">
            <v>1978.6666666591721</v>
          </cell>
          <cell r="D318">
            <v>28.6</v>
          </cell>
          <cell r="F318">
            <v>0.86765902194756084</v>
          </cell>
        </row>
        <row r="319">
          <cell r="C319">
            <v>1978.7499999925324</v>
          </cell>
          <cell r="D319">
            <v>28.4</v>
          </cell>
          <cell r="F319">
            <v>1.0154971964538066</v>
          </cell>
        </row>
        <row r="320">
          <cell r="C320">
            <v>1978.8333333258927</v>
          </cell>
          <cell r="D320">
            <v>28.4</v>
          </cell>
          <cell r="F320">
            <v>1.0104849699141567</v>
          </cell>
        </row>
        <row r="321">
          <cell r="C321">
            <v>1978.916666659253</v>
          </cell>
          <cell r="D321">
            <v>28</v>
          </cell>
          <cell r="F321">
            <v>1.0058997562016905</v>
          </cell>
        </row>
        <row r="322">
          <cell r="C322">
            <v>1978.9999999926133</v>
          </cell>
          <cell r="D322">
            <v>27.5</v>
          </cell>
          <cell r="F322">
            <v>0.92056788984660853</v>
          </cell>
        </row>
        <row r="323">
          <cell r="C323">
            <v>1979.0833333259736</v>
          </cell>
          <cell r="D323">
            <v>27.2</v>
          </cell>
          <cell r="F323">
            <v>0.58111878857503096</v>
          </cell>
        </row>
        <row r="324">
          <cell r="C324">
            <v>1979.1666666593337</v>
          </cell>
          <cell r="D324">
            <v>27.7</v>
          </cell>
          <cell r="F324">
            <v>0.81907981615700165</v>
          </cell>
        </row>
        <row r="325">
          <cell r="C325">
            <v>1979.249999992694</v>
          </cell>
          <cell r="D325">
            <v>27.9</v>
          </cell>
          <cell r="F325">
            <v>0.45357595919120958</v>
          </cell>
        </row>
        <row r="326">
          <cell r="C326">
            <v>1979.3333333260543</v>
          </cell>
          <cell r="D326">
            <v>28.5</v>
          </cell>
          <cell r="F326">
            <v>0.85855638281520286</v>
          </cell>
        </row>
        <row r="327">
          <cell r="C327">
            <v>1979.4166666594147</v>
          </cell>
          <cell r="D327">
            <v>28.5</v>
          </cell>
          <cell r="F327">
            <v>0.34587038732637038</v>
          </cell>
        </row>
        <row r="328">
          <cell r="C328">
            <v>1979.499999992775</v>
          </cell>
          <cell r="D328">
            <v>28.4</v>
          </cell>
          <cell r="F328">
            <v>0.50574067592334937</v>
          </cell>
        </row>
        <row r="329">
          <cell r="C329">
            <v>1979.5833333261351</v>
          </cell>
          <cell r="D329">
            <v>28.3</v>
          </cell>
          <cell r="F329">
            <v>0.26119698847808487</v>
          </cell>
        </row>
        <row r="330">
          <cell r="C330">
            <v>1979.6666666594954</v>
          </cell>
          <cell r="D330">
            <v>28.6</v>
          </cell>
          <cell r="F330">
            <v>0.86765902194756084</v>
          </cell>
        </row>
        <row r="331">
          <cell r="C331">
            <v>1979.7499999928557</v>
          </cell>
          <cell r="D331">
            <v>28.4</v>
          </cell>
          <cell r="F331">
            <v>1.0154971964538066</v>
          </cell>
        </row>
        <row r="332">
          <cell r="C332">
            <v>1979.833333326216</v>
          </cell>
          <cell r="D332">
            <v>28.4</v>
          </cell>
          <cell r="F332">
            <v>1.0104849699141567</v>
          </cell>
        </row>
        <row r="333">
          <cell r="C333">
            <v>1979.9166666595763</v>
          </cell>
          <cell r="D333">
            <v>27.8</v>
          </cell>
          <cell r="F333">
            <v>0.67059983746779361</v>
          </cell>
        </row>
        <row r="334">
          <cell r="C334">
            <v>1979.9999999929364</v>
          </cell>
          <cell r="D334">
            <v>27.4</v>
          </cell>
          <cell r="F334">
            <v>0.74592639305898389</v>
          </cell>
        </row>
        <row r="335">
          <cell r="C335">
            <v>1980.0833333262967</v>
          </cell>
          <cell r="D335">
            <v>27.3</v>
          </cell>
          <cell r="F335">
            <v>0.77590720932644863</v>
          </cell>
        </row>
        <row r="336">
          <cell r="C336">
            <v>1980.166666659657</v>
          </cell>
          <cell r="D336">
            <v>27.6</v>
          </cell>
          <cell r="F336">
            <v>0.64229999972023755</v>
          </cell>
        </row>
        <row r="337">
          <cell r="C337">
            <v>1980.2499999930174</v>
          </cell>
          <cell r="D337">
            <v>27.9</v>
          </cell>
          <cell r="F337">
            <v>0.45357595919120958</v>
          </cell>
        </row>
        <row r="338">
          <cell r="C338">
            <v>1980.3333333263777</v>
          </cell>
          <cell r="D338">
            <v>28.5</v>
          </cell>
          <cell r="F338">
            <v>0.85855638281520286</v>
          </cell>
        </row>
        <row r="339">
          <cell r="C339">
            <v>1980.416666659738</v>
          </cell>
          <cell r="D339">
            <v>28.6</v>
          </cell>
          <cell r="F339">
            <v>0.58169110595798723</v>
          </cell>
        </row>
        <row r="340">
          <cell r="C340">
            <v>1980.4999999930981</v>
          </cell>
          <cell r="D340">
            <v>28.5</v>
          </cell>
          <cell r="F340">
            <v>0.77427554809503918</v>
          </cell>
        </row>
        <row r="341">
          <cell r="C341">
            <v>1980.5833333264584</v>
          </cell>
          <cell r="D341">
            <v>28.4</v>
          </cell>
          <cell r="F341">
            <v>0.4701545792605305</v>
          </cell>
        </row>
        <row r="342">
          <cell r="C342">
            <v>1980.6666666598187</v>
          </cell>
          <cell r="D342">
            <v>28.6</v>
          </cell>
          <cell r="F342">
            <v>0.86765902194756084</v>
          </cell>
        </row>
        <row r="343">
          <cell r="C343">
            <v>1980.749999993179</v>
          </cell>
          <cell r="D343">
            <v>28.3</v>
          </cell>
          <cell r="F343">
            <v>0.80746131245806418</v>
          </cell>
        </row>
        <row r="344">
          <cell r="C344">
            <v>1980.8333333265393</v>
          </cell>
          <cell r="D344">
            <v>28.4</v>
          </cell>
          <cell r="F344">
            <v>1.0104849699141567</v>
          </cell>
        </row>
        <row r="345">
          <cell r="C345">
            <v>1980.9166666598994</v>
          </cell>
          <cell r="D345">
            <v>27.8</v>
          </cell>
          <cell r="F345">
            <v>0.67059983746779361</v>
          </cell>
        </row>
        <row r="346">
          <cell r="C346">
            <v>1980.9999999932597</v>
          </cell>
          <cell r="D346">
            <v>27.4</v>
          </cell>
          <cell r="F346">
            <v>0.74592639305898389</v>
          </cell>
        </row>
        <row r="347">
          <cell r="C347">
            <v>1981.08333332662</v>
          </cell>
          <cell r="D347">
            <v>27.1</v>
          </cell>
          <cell r="F347">
            <v>0.38633036782362029</v>
          </cell>
        </row>
        <row r="348">
          <cell r="C348">
            <v>1981.1666666599799</v>
          </cell>
          <cell r="D348">
            <v>27.6</v>
          </cell>
          <cell r="F348">
            <v>0.64229999972023755</v>
          </cell>
        </row>
        <row r="349">
          <cell r="C349">
            <v>1981.24999999334</v>
          </cell>
          <cell r="D349">
            <v>27.6</v>
          </cell>
          <cell r="F349">
            <v>-0.17932072805234356</v>
          </cell>
        </row>
        <row r="350">
          <cell r="C350">
            <v>1981.3333333267001</v>
          </cell>
          <cell r="D350">
            <v>28</v>
          </cell>
          <cell r="F350">
            <v>-0.47598721741570227</v>
          </cell>
        </row>
        <row r="351">
          <cell r="C351">
            <v>1981.4166666600599</v>
          </cell>
          <cell r="D351">
            <v>28.1</v>
          </cell>
          <cell r="F351">
            <v>-0.59741248720008056</v>
          </cell>
        </row>
        <row r="352">
          <cell r="C352">
            <v>1981.49999999342</v>
          </cell>
          <cell r="D352">
            <v>28.4</v>
          </cell>
          <cell r="F352">
            <v>0.50574067592334937</v>
          </cell>
        </row>
        <row r="353">
          <cell r="C353">
            <v>1981.5833333267799</v>
          </cell>
          <cell r="D353">
            <v>27.9</v>
          </cell>
          <cell r="F353">
            <v>-0.57463337465171993</v>
          </cell>
        </row>
        <row r="354">
          <cell r="C354">
            <v>1981.66666666014</v>
          </cell>
          <cell r="D354">
            <v>28.3</v>
          </cell>
          <cell r="F354">
            <v>0.19156108276765069</v>
          </cell>
        </row>
        <row r="355">
          <cell r="C355">
            <v>1981.7499999935001</v>
          </cell>
          <cell r="D355">
            <v>27.9</v>
          </cell>
          <cell r="F355">
            <v>-2.468222352492774E-2</v>
          </cell>
        </row>
        <row r="356">
          <cell r="C356">
            <v>1981.8333333268599</v>
          </cell>
          <cell r="D356">
            <v>28.3</v>
          </cell>
          <cell r="F356">
            <v>0.83251896028748806</v>
          </cell>
        </row>
        <row r="357">
          <cell r="C357">
            <v>1981.91666666022</v>
          </cell>
          <cell r="D357">
            <v>27.7</v>
          </cell>
          <cell r="F357">
            <v>0.50294987810084224</v>
          </cell>
        </row>
        <row r="358">
          <cell r="C358">
            <v>1981.9999999935801</v>
          </cell>
          <cell r="D358">
            <v>26.7</v>
          </cell>
          <cell r="F358">
            <v>-0.4765640844543701</v>
          </cell>
        </row>
        <row r="359">
          <cell r="C359">
            <v>1982.08333332694</v>
          </cell>
          <cell r="D359">
            <v>26.8</v>
          </cell>
          <cell r="F359">
            <v>-0.19803489443062569</v>
          </cell>
        </row>
        <row r="360">
          <cell r="C360">
            <v>1982.1666666603001</v>
          </cell>
          <cell r="D360">
            <v>26.6</v>
          </cell>
          <cell r="F360">
            <v>-1.1254981646474409</v>
          </cell>
        </row>
        <row r="361">
          <cell r="C361">
            <v>1982.2499999936599</v>
          </cell>
          <cell r="D361">
            <v>27.3</v>
          </cell>
          <cell r="F361">
            <v>-0.81221741529590419</v>
          </cell>
        </row>
        <row r="362">
          <cell r="C362">
            <v>1982.33333332702</v>
          </cell>
          <cell r="D362">
            <v>28</v>
          </cell>
          <cell r="F362">
            <v>-0.47598721741570227</v>
          </cell>
        </row>
        <row r="363">
          <cell r="C363">
            <v>1982.4166666603801</v>
          </cell>
          <cell r="D363">
            <v>28.4</v>
          </cell>
          <cell r="F363">
            <v>0.11004966869475344</v>
          </cell>
        </row>
        <row r="364">
          <cell r="C364">
            <v>1982.4999999937399</v>
          </cell>
          <cell r="D364">
            <v>28.1</v>
          </cell>
          <cell r="F364">
            <v>-0.29986394059170085</v>
          </cell>
        </row>
        <row r="365">
          <cell r="C365">
            <v>1982.5833333271</v>
          </cell>
          <cell r="D365">
            <v>28.3</v>
          </cell>
          <cell r="F365">
            <v>0.26119698847808487</v>
          </cell>
        </row>
        <row r="366">
          <cell r="C366">
            <v>1982.6666666604599</v>
          </cell>
          <cell r="D366">
            <v>28.3</v>
          </cell>
          <cell r="F366">
            <v>0.19156108276765069</v>
          </cell>
        </row>
        <row r="367">
          <cell r="C367">
            <v>1982.74999999382</v>
          </cell>
          <cell r="D367">
            <v>27.6</v>
          </cell>
          <cell r="F367">
            <v>-0.64878987551216238</v>
          </cell>
        </row>
        <row r="368">
          <cell r="C368">
            <v>1982.8333333271801</v>
          </cell>
          <cell r="D368">
            <v>28</v>
          </cell>
          <cell r="F368">
            <v>0.29862093140746954</v>
          </cell>
        </row>
        <row r="369">
          <cell r="C369">
            <v>1982.9166666605399</v>
          </cell>
          <cell r="D369">
            <v>27</v>
          </cell>
          <cell r="F369">
            <v>-0.67059983746779961</v>
          </cell>
        </row>
        <row r="370">
          <cell r="C370">
            <v>1982.9999999939</v>
          </cell>
          <cell r="D370">
            <v>27.4</v>
          </cell>
          <cell r="F370">
            <v>0.74592639305898389</v>
          </cell>
        </row>
        <row r="371">
          <cell r="C371">
            <v>1983.0833333272601</v>
          </cell>
          <cell r="D371">
            <v>27.1</v>
          </cell>
          <cell r="F371">
            <v>0.38633036782362029</v>
          </cell>
        </row>
        <row r="372">
          <cell r="C372">
            <v>1983.16666666062</v>
          </cell>
          <cell r="D372">
            <v>28</v>
          </cell>
          <cell r="F372">
            <v>1.3494192654673065</v>
          </cell>
        </row>
        <row r="373">
          <cell r="C373">
            <v>1983.2499999939801</v>
          </cell>
          <cell r="D373">
            <v>28.1</v>
          </cell>
          <cell r="F373">
            <v>0.87550708402025501</v>
          </cell>
        </row>
        <row r="374">
          <cell r="C374">
            <v>1983.3333333273399</v>
          </cell>
          <cell r="D374">
            <v>28.6</v>
          </cell>
          <cell r="F374">
            <v>1.1254651028613878</v>
          </cell>
        </row>
        <row r="375">
          <cell r="C375">
            <v>1983.4166666607</v>
          </cell>
          <cell r="D375">
            <v>29.2</v>
          </cell>
          <cell r="F375">
            <v>1.9966154177476636</v>
          </cell>
        </row>
        <row r="376">
          <cell r="C376">
            <v>1983.4999999940601</v>
          </cell>
          <cell r="D376">
            <v>28.7</v>
          </cell>
          <cell r="F376">
            <v>1.3113452924384092</v>
          </cell>
        </row>
        <row r="377">
          <cell r="C377">
            <v>1983.58333332742</v>
          </cell>
          <cell r="D377">
            <v>28.6</v>
          </cell>
          <cell r="F377">
            <v>0.88806976082543654</v>
          </cell>
        </row>
        <row r="378">
          <cell r="C378">
            <v>1983.66666666078</v>
          </cell>
          <cell r="D378">
            <v>28.3</v>
          </cell>
          <cell r="F378">
            <v>0.19156108276765069</v>
          </cell>
        </row>
        <row r="379">
          <cell r="C379">
            <v>1983.7499999941399</v>
          </cell>
          <cell r="D379">
            <v>27.7</v>
          </cell>
          <cell r="F379">
            <v>-0.44075399151641997</v>
          </cell>
        </row>
        <row r="380">
          <cell r="C380">
            <v>1983.8333333275</v>
          </cell>
          <cell r="D380">
            <v>28.3</v>
          </cell>
          <cell r="F380">
            <v>0.83251896028748806</v>
          </cell>
        </row>
        <row r="381">
          <cell r="C381">
            <v>1983.9166666608601</v>
          </cell>
          <cell r="D381">
            <v>27.4</v>
          </cell>
          <cell r="F381">
            <v>-5.9561230389330787E-15</v>
          </cell>
        </row>
        <row r="382">
          <cell r="C382">
            <v>1983.9999999942199</v>
          </cell>
          <cell r="D382">
            <v>26.8</v>
          </cell>
          <cell r="F382">
            <v>-0.30192258766674546</v>
          </cell>
        </row>
        <row r="383">
          <cell r="C383">
            <v>1984.08333332758</v>
          </cell>
          <cell r="D383">
            <v>27.2</v>
          </cell>
          <cell r="F383">
            <v>0.58111878857503096</v>
          </cell>
        </row>
        <row r="384">
          <cell r="C384">
            <v>1984.1666666609401</v>
          </cell>
          <cell r="D384">
            <v>26.9</v>
          </cell>
          <cell r="F384">
            <v>-0.59515871533714237</v>
          </cell>
        </row>
        <row r="385">
          <cell r="C385">
            <v>1984.2499999943</v>
          </cell>
          <cell r="D385">
            <v>27.5</v>
          </cell>
          <cell r="F385">
            <v>-0.39028629046686625</v>
          </cell>
        </row>
        <row r="386">
          <cell r="C386">
            <v>1984.3333333276601</v>
          </cell>
          <cell r="D386">
            <v>28.1</v>
          </cell>
          <cell r="F386">
            <v>-0.20907849736951745</v>
          </cell>
        </row>
        <row r="387">
          <cell r="C387">
            <v>1984.4166666610199</v>
          </cell>
          <cell r="D387">
            <v>28.2</v>
          </cell>
          <cell r="F387">
            <v>-0.36159176856847203</v>
          </cell>
        </row>
        <row r="388">
          <cell r="C388">
            <v>1984.49999999438</v>
          </cell>
          <cell r="D388">
            <v>27.7</v>
          </cell>
          <cell r="F388">
            <v>-1.3740034292784504</v>
          </cell>
        </row>
        <row r="389">
          <cell r="C389">
            <v>1984.5833333277401</v>
          </cell>
          <cell r="D389">
            <v>27.6</v>
          </cell>
          <cell r="F389">
            <v>-1.2015061469990642</v>
          </cell>
        </row>
        <row r="390">
          <cell r="C390">
            <v>1984.6666666611</v>
          </cell>
          <cell r="D390">
            <v>27.5</v>
          </cell>
          <cell r="F390">
            <v>-1.6113667550454405</v>
          </cell>
        </row>
        <row r="391">
          <cell r="C391">
            <v>1984.74999999446</v>
          </cell>
          <cell r="D391">
            <v>27.5</v>
          </cell>
          <cell r="F391">
            <v>-0.85682575950791229</v>
          </cell>
        </row>
        <row r="392">
          <cell r="C392">
            <v>1984.8333333278199</v>
          </cell>
          <cell r="D392">
            <v>27.4</v>
          </cell>
          <cell r="F392">
            <v>-0.76917512635256757</v>
          </cell>
        </row>
        <row r="393">
          <cell r="C393">
            <v>1984.91666666118</v>
          </cell>
          <cell r="D393">
            <v>26.3</v>
          </cell>
          <cell r="F393">
            <v>-1.8441495530364413</v>
          </cell>
        </row>
        <row r="394">
          <cell r="C394">
            <v>1984.9999999945401</v>
          </cell>
          <cell r="D394">
            <v>25.9</v>
          </cell>
          <cell r="F394">
            <v>-1.8736960587553488</v>
          </cell>
        </row>
        <row r="395">
          <cell r="C395">
            <v>1985.0833333278999</v>
          </cell>
          <cell r="D395">
            <v>26.5</v>
          </cell>
          <cell r="F395">
            <v>-0.78240015668487162</v>
          </cell>
        </row>
        <row r="396">
          <cell r="C396">
            <v>1985.16666666126</v>
          </cell>
          <cell r="D396">
            <v>26.7</v>
          </cell>
          <cell r="F396">
            <v>-0.9487183482106768</v>
          </cell>
        </row>
        <row r="397">
          <cell r="C397">
            <v>1985.2499999946201</v>
          </cell>
          <cell r="D397">
            <v>27</v>
          </cell>
          <cell r="F397">
            <v>-1.4451141025394647</v>
          </cell>
        </row>
        <row r="398">
          <cell r="C398">
            <v>1985.33333332798</v>
          </cell>
          <cell r="D398">
            <v>28.2</v>
          </cell>
          <cell r="F398">
            <v>5.783022267665789E-2</v>
          </cell>
        </row>
        <row r="399">
          <cell r="C399">
            <v>1985.4166666613401</v>
          </cell>
          <cell r="D399">
            <v>28.5</v>
          </cell>
          <cell r="F399">
            <v>0.34587038732637038</v>
          </cell>
        </row>
        <row r="400">
          <cell r="C400">
            <v>1985.4999999946999</v>
          </cell>
          <cell r="D400">
            <v>28.3</v>
          </cell>
          <cell r="F400">
            <v>0.23720580375166916</v>
          </cell>
        </row>
        <row r="401">
          <cell r="C401">
            <v>1985.58333332806</v>
          </cell>
          <cell r="D401">
            <v>27.9</v>
          </cell>
          <cell r="F401">
            <v>-0.57463337465171993</v>
          </cell>
        </row>
        <row r="402">
          <cell r="C402">
            <v>1985.6666666614201</v>
          </cell>
          <cell r="D402">
            <v>27.8</v>
          </cell>
          <cell r="F402">
            <v>-0.93526881586553023</v>
          </cell>
        </row>
        <row r="403">
          <cell r="C403">
            <v>1985.74999999478</v>
          </cell>
          <cell r="D403">
            <v>28.2</v>
          </cell>
          <cell r="F403">
            <v>0.59942542846231428</v>
          </cell>
        </row>
        <row r="404">
          <cell r="C404">
            <v>1985.83333332814</v>
          </cell>
          <cell r="D404">
            <v>27.7</v>
          </cell>
          <cell r="F404">
            <v>-0.23527709747254905</v>
          </cell>
        </row>
        <row r="405">
          <cell r="C405">
            <v>1985.9166666614999</v>
          </cell>
          <cell r="D405">
            <v>26.9</v>
          </cell>
          <cell r="F405">
            <v>-0.83824979683475098</v>
          </cell>
        </row>
        <row r="406">
          <cell r="C406">
            <v>1985.99999999486</v>
          </cell>
          <cell r="D406">
            <v>26.5</v>
          </cell>
          <cell r="F406">
            <v>-0.82584707802961321</v>
          </cell>
        </row>
        <row r="407">
          <cell r="C407">
            <v>1986.0833333282201</v>
          </cell>
          <cell r="D407">
            <v>26.6</v>
          </cell>
          <cell r="F407">
            <v>-0.58761173593345406</v>
          </cell>
        </row>
        <row r="408">
          <cell r="C408">
            <v>1986.1666666615799</v>
          </cell>
          <cell r="D408">
            <v>27</v>
          </cell>
          <cell r="F408">
            <v>-0.418378898900372</v>
          </cell>
        </row>
        <row r="409">
          <cell r="C409">
            <v>1986.24999999494</v>
          </cell>
          <cell r="D409">
            <v>27.6</v>
          </cell>
          <cell r="F409">
            <v>-0.17932072805234356</v>
          </cell>
        </row>
        <row r="410">
          <cell r="C410">
            <v>1986.3333333282999</v>
          </cell>
          <cell r="D410">
            <v>28.3</v>
          </cell>
          <cell r="F410">
            <v>0.32473894272284271</v>
          </cell>
        </row>
        <row r="411">
          <cell r="C411">
            <v>1986.41666666166</v>
          </cell>
          <cell r="D411">
            <v>28.4</v>
          </cell>
          <cell r="F411">
            <v>0.11004966869475344</v>
          </cell>
        </row>
        <row r="412">
          <cell r="C412">
            <v>1986.4999999950201</v>
          </cell>
          <cell r="D412">
            <v>28.3</v>
          </cell>
          <cell r="F412">
            <v>0.23720580375166916</v>
          </cell>
        </row>
        <row r="413">
          <cell r="C413">
            <v>1986.5833333283799</v>
          </cell>
          <cell r="D413">
            <v>28.4</v>
          </cell>
          <cell r="F413">
            <v>0.4701545792605305</v>
          </cell>
        </row>
        <row r="414">
          <cell r="C414">
            <v>1986.66666666174</v>
          </cell>
          <cell r="D414">
            <v>28.3</v>
          </cell>
          <cell r="F414">
            <v>0.19156108276765069</v>
          </cell>
        </row>
        <row r="415">
          <cell r="C415">
            <v>1986.7499999951001</v>
          </cell>
          <cell r="D415">
            <v>27.6</v>
          </cell>
          <cell r="F415">
            <v>-0.64878987551216238</v>
          </cell>
        </row>
        <row r="416">
          <cell r="C416">
            <v>1986.83333332846</v>
          </cell>
          <cell r="D416">
            <v>27.9</v>
          </cell>
          <cell r="F416">
            <v>0.12065492178079455</v>
          </cell>
        </row>
        <row r="417">
          <cell r="C417">
            <v>1986.91666666182</v>
          </cell>
          <cell r="D417">
            <v>27.1</v>
          </cell>
          <cell r="F417">
            <v>-0.50294987810084812</v>
          </cell>
        </row>
        <row r="418">
          <cell r="C418">
            <v>1986.9999999951799</v>
          </cell>
          <cell r="D418">
            <v>27.1</v>
          </cell>
          <cell r="F418">
            <v>0.22200190269612233</v>
          </cell>
        </row>
        <row r="419">
          <cell r="C419">
            <v>1987.08333332854</v>
          </cell>
          <cell r="D419">
            <v>27.4</v>
          </cell>
          <cell r="F419">
            <v>0.97069563007785931</v>
          </cell>
        </row>
        <row r="420">
          <cell r="C420">
            <v>1987.1666666619001</v>
          </cell>
          <cell r="D420">
            <v>27.6</v>
          </cell>
          <cell r="F420">
            <v>0.64229999972023755</v>
          </cell>
        </row>
        <row r="421">
          <cell r="C421">
            <v>1987.2499999952599</v>
          </cell>
          <cell r="D421">
            <v>28.1</v>
          </cell>
          <cell r="F421">
            <v>0.87550708402025501</v>
          </cell>
        </row>
        <row r="422">
          <cell r="C422">
            <v>1987.33333332862</v>
          </cell>
          <cell r="D422">
            <v>28.1</v>
          </cell>
          <cell r="F422">
            <v>-0.20907849736951745</v>
          </cell>
        </row>
        <row r="423">
          <cell r="C423">
            <v>1987.4166666619799</v>
          </cell>
          <cell r="D423">
            <v>29.3</v>
          </cell>
          <cell r="F423">
            <v>2.2324361363792806</v>
          </cell>
        </row>
        <row r="424">
          <cell r="C424">
            <v>1987.49999999534</v>
          </cell>
          <cell r="D424">
            <v>28.7</v>
          </cell>
          <cell r="F424">
            <v>1.3113452924384092</v>
          </cell>
        </row>
        <row r="425">
          <cell r="C425">
            <v>1987.5833333287001</v>
          </cell>
          <cell r="D425">
            <v>28.7</v>
          </cell>
          <cell r="F425">
            <v>1.0970273516078821</v>
          </cell>
        </row>
        <row r="426">
          <cell r="C426">
            <v>1987.6666666620599</v>
          </cell>
          <cell r="D426">
            <v>28</v>
          </cell>
          <cell r="F426">
            <v>-0.48453685641225946</v>
          </cell>
        </row>
        <row r="427">
          <cell r="C427">
            <v>1987.74999999543</v>
          </cell>
          <cell r="D427">
            <v>27.7</v>
          </cell>
          <cell r="F427">
            <v>-0.44075399151641997</v>
          </cell>
        </row>
        <row r="428">
          <cell r="C428">
            <v>1987.8333333287901</v>
          </cell>
          <cell r="D428">
            <v>27.8</v>
          </cell>
          <cell r="F428">
            <v>-5.731108784587409E-2</v>
          </cell>
        </row>
        <row r="429">
          <cell r="C429">
            <v>1987.9166666621497</v>
          </cell>
          <cell r="D429">
            <v>27.1</v>
          </cell>
          <cell r="F429">
            <v>-0.50294987810084812</v>
          </cell>
        </row>
        <row r="430">
          <cell r="C430">
            <v>1987.9999999955098</v>
          </cell>
          <cell r="D430">
            <v>26.7</v>
          </cell>
          <cell r="F430">
            <v>-0.4765640844543701</v>
          </cell>
        </row>
        <row r="431">
          <cell r="C431">
            <v>1988.0833333288699</v>
          </cell>
          <cell r="D431">
            <v>26.7</v>
          </cell>
          <cell r="F431">
            <v>-0.39282331518204333</v>
          </cell>
        </row>
        <row r="432">
          <cell r="C432">
            <v>1988.1666666622298</v>
          </cell>
          <cell r="D432">
            <v>27</v>
          </cell>
          <cell r="F432">
            <v>-0.418378898900372</v>
          </cell>
        </row>
        <row r="433">
          <cell r="C433">
            <v>1988.2499999955899</v>
          </cell>
          <cell r="D433">
            <v>27.3</v>
          </cell>
          <cell r="F433">
            <v>-0.81221741529590419</v>
          </cell>
        </row>
        <row r="434">
          <cell r="C434">
            <v>1988.3333333289497</v>
          </cell>
          <cell r="D434">
            <v>28</v>
          </cell>
          <cell r="F434">
            <v>-0.47598721741570227</v>
          </cell>
        </row>
        <row r="435">
          <cell r="C435">
            <v>1988.4166666623098</v>
          </cell>
          <cell r="D435">
            <v>28.2</v>
          </cell>
          <cell r="F435">
            <v>-0.36159176856847203</v>
          </cell>
        </row>
        <row r="436">
          <cell r="C436">
            <v>1988.4999999956699</v>
          </cell>
          <cell r="D436">
            <v>28</v>
          </cell>
          <cell r="F436">
            <v>-0.56839881276339066</v>
          </cell>
        </row>
        <row r="437">
          <cell r="C437">
            <v>1988.5833333290298</v>
          </cell>
          <cell r="D437">
            <v>27.9</v>
          </cell>
          <cell r="F437">
            <v>-0.57463337465171993</v>
          </cell>
        </row>
        <row r="438">
          <cell r="C438">
            <v>1988.6666666623898</v>
          </cell>
          <cell r="D438">
            <v>27.9</v>
          </cell>
          <cell r="F438">
            <v>-0.70990283613889893</v>
          </cell>
        </row>
        <row r="439">
          <cell r="C439">
            <v>1988.7499999957499</v>
          </cell>
          <cell r="D439">
            <v>27.7</v>
          </cell>
          <cell r="F439">
            <v>-0.44075399151641997</v>
          </cell>
        </row>
        <row r="440">
          <cell r="C440">
            <v>1988.8333333291098</v>
          </cell>
          <cell r="D440">
            <v>27.7</v>
          </cell>
          <cell r="F440">
            <v>-0.23527709747254905</v>
          </cell>
        </row>
        <row r="441">
          <cell r="C441">
            <v>1988.9166666624699</v>
          </cell>
          <cell r="D441">
            <v>27</v>
          </cell>
          <cell r="F441">
            <v>-0.67059983746779961</v>
          </cell>
        </row>
        <row r="442">
          <cell r="C442">
            <v>1988.9999999958297</v>
          </cell>
          <cell r="D442">
            <v>26.7</v>
          </cell>
          <cell r="F442">
            <v>-0.4765640844543701</v>
          </cell>
        </row>
        <row r="443">
          <cell r="C443">
            <v>1989.0833333291898</v>
          </cell>
          <cell r="D443">
            <v>26.7</v>
          </cell>
          <cell r="F443">
            <v>-0.39282331518204333</v>
          </cell>
        </row>
        <row r="444">
          <cell r="C444">
            <v>1989.1666666625499</v>
          </cell>
          <cell r="D444">
            <v>27</v>
          </cell>
          <cell r="F444">
            <v>-0.418378898900372</v>
          </cell>
        </row>
        <row r="445">
          <cell r="C445">
            <v>1989.2499999959098</v>
          </cell>
          <cell r="D445">
            <v>27.4</v>
          </cell>
          <cell r="F445">
            <v>-0.60125185288138894</v>
          </cell>
        </row>
        <row r="446">
          <cell r="C446">
            <v>1989.3333333292699</v>
          </cell>
          <cell r="D446">
            <v>28</v>
          </cell>
          <cell r="F446">
            <v>-0.47598721741570227</v>
          </cell>
        </row>
        <row r="447">
          <cell r="C447">
            <v>1989.41666666263</v>
          </cell>
          <cell r="D447">
            <v>28.3</v>
          </cell>
          <cell r="F447">
            <v>-0.12577104993685509</v>
          </cell>
        </row>
        <row r="448">
          <cell r="C448">
            <v>1989.4999999959898</v>
          </cell>
          <cell r="D448">
            <v>28</v>
          </cell>
          <cell r="F448">
            <v>-0.56839881276339066</v>
          </cell>
        </row>
        <row r="449">
          <cell r="C449">
            <v>1989.5833333293499</v>
          </cell>
          <cell r="D449">
            <v>27.9</v>
          </cell>
          <cell r="F449">
            <v>-0.57463337465171993</v>
          </cell>
        </row>
        <row r="450">
          <cell r="C450">
            <v>1989.6666666627098</v>
          </cell>
          <cell r="D450">
            <v>27.9</v>
          </cell>
          <cell r="F450">
            <v>-0.70990283613889893</v>
          </cell>
        </row>
        <row r="451">
          <cell r="C451">
            <v>1989.7499999960698</v>
          </cell>
          <cell r="D451">
            <v>27.6</v>
          </cell>
          <cell r="F451">
            <v>-0.64878987551216238</v>
          </cell>
        </row>
        <row r="452">
          <cell r="C452">
            <v>1989.8333333294299</v>
          </cell>
          <cell r="D452">
            <v>27.7</v>
          </cell>
          <cell r="F452">
            <v>-0.23527709747254905</v>
          </cell>
        </row>
        <row r="453">
          <cell r="C453">
            <v>1989.9166666627898</v>
          </cell>
          <cell r="D453">
            <v>27.7</v>
          </cell>
          <cell r="F453">
            <v>0.50294987810084224</v>
          </cell>
        </row>
        <row r="454">
          <cell r="C454">
            <v>1989.9999999961499</v>
          </cell>
          <cell r="D454">
            <v>26.6</v>
          </cell>
          <cell r="F454">
            <v>-0.65120558124198857</v>
          </cell>
        </row>
        <row r="455">
          <cell r="C455">
            <v>1990.08333332951</v>
          </cell>
          <cell r="D455">
            <v>26.7</v>
          </cell>
          <cell r="F455">
            <v>-0.39282331518204333</v>
          </cell>
        </row>
        <row r="456">
          <cell r="C456">
            <v>1990.1666666628698</v>
          </cell>
          <cell r="D456">
            <v>27</v>
          </cell>
          <cell r="F456">
            <v>-0.418378898900372</v>
          </cell>
        </row>
        <row r="457">
          <cell r="C457">
            <v>1990.2499999962299</v>
          </cell>
          <cell r="D457">
            <v>27.3</v>
          </cell>
          <cell r="F457">
            <v>-0.81221741529590419</v>
          </cell>
        </row>
        <row r="458">
          <cell r="C458">
            <v>1990.3333333295898</v>
          </cell>
          <cell r="D458">
            <v>27.9</v>
          </cell>
          <cell r="F458">
            <v>-0.74289593746188709</v>
          </cell>
        </row>
        <row r="459">
          <cell r="C459">
            <v>1990.4166666629499</v>
          </cell>
          <cell r="D459">
            <v>28.2</v>
          </cell>
          <cell r="F459">
            <v>-0.36159176856847203</v>
          </cell>
        </row>
        <row r="460">
          <cell r="C460">
            <v>1990.49999999631</v>
          </cell>
          <cell r="D460">
            <v>28</v>
          </cell>
          <cell r="F460">
            <v>-0.56839881276339066</v>
          </cell>
        </row>
        <row r="461">
          <cell r="C461">
            <v>1990.5833333296698</v>
          </cell>
          <cell r="D461">
            <v>27.9</v>
          </cell>
          <cell r="F461">
            <v>-0.57463337465171993</v>
          </cell>
        </row>
        <row r="462">
          <cell r="C462">
            <v>1990.6666666630299</v>
          </cell>
          <cell r="D462">
            <v>27.9</v>
          </cell>
          <cell r="F462">
            <v>-0.70990283613889893</v>
          </cell>
        </row>
        <row r="463">
          <cell r="C463">
            <v>1990.74999999639</v>
          </cell>
          <cell r="D463">
            <v>27.6</v>
          </cell>
          <cell r="F463">
            <v>-0.64878987551216238</v>
          </cell>
        </row>
        <row r="464">
          <cell r="C464">
            <v>1990.8333333297498</v>
          </cell>
          <cell r="D464">
            <v>27.7</v>
          </cell>
          <cell r="F464">
            <v>-0.23527709747254905</v>
          </cell>
        </row>
        <row r="465">
          <cell r="C465">
            <v>1990.9166666631099</v>
          </cell>
          <cell r="D465">
            <v>26.9</v>
          </cell>
          <cell r="F465">
            <v>-0.83824979683475098</v>
          </cell>
        </row>
        <row r="466">
          <cell r="C466">
            <v>1990.9999999964698</v>
          </cell>
          <cell r="D466">
            <v>26.7</v>
          </cell>
          <cell r="F466">
            <v>-0.4765640844543701</v>
          </cell>
        </row>
        <row r="467">
          <cell r="C467">
            <v>1991.0833333298301</v>
          </cell>
          <cell r="D467">
            <v>26.7</v>
          </cell>
          <cell r="F467">
            <v>-0.39282331518204333</v>
          </cell>
        </row>
        <row r="468">
          <cell r="C468">
            <v>1991.16666666319</v>
          </cell>
          <cell r="D468">
            <v>27</v>
          </cell>
          <cell r="F468">
            <v>-0.418378898900372</v>
          </cell>
        </row>
        <row r="469">
          <cell r="C469">
            <v>1991.2499999965501</v>
          </cell>
          <cell r="D469">
            <v>27.6</v>
          </cell>
          <cell r="F469">
            <v>-0.17932072805234356</v>
          </cell>
        </row>
        <row r="470">
          <cell r="C470">
            <v>1991.3333333299099</v>
          </cell>
          <cell r="D470">
            <v>28.1</v>
          </cell>
          <cell r="F470">
            <v>-0.20907849736951745</v>
          </cell>
        </row>
        <row r="471">
          <cell r="C471">
            <v>1991.41666666327</v>
          </cell>
          <cell r="D471">
            <v>28.4</v>
          </cell>
          <cell r="F471">
            <v>0.11004966869475344</v>
          </cell>
        </row>
        <row r="472">
          <cell r="C472">
            <v>1991.4999999966301</v>
          </cell>
          <cell r="D472">
            <v>28.2</v>
          </cell>
          <cell r="F472">
            <v>-3.1329068420020617E-2</v>
          </cell>
        </row>
        <row r="473">
          <cell r="C473">
            <v>1991.58333332999</v>
          </cell>
          <cell r="D473">
            <v>28.4</v>
          </cell>
          <cell r="F473">
            <v>0.4701545792605305</v>
          </cell>
        </row>
        <row r="474">
          <cell r="C474">
            <v>1991.66666666335</v>
          </cell>
          <cell r="D474">
            <v>28.2</v>
          </cell>
          <cell r="F474">
            <v>-3.3804896958988702E-2</v>
          </cell>
        </row>
        <row r="475">
          <cell r="C475">
            <v>1991.7499999967099</v>
          </cell>
          <cell r="D475">
            <v>27.8</v>
          </cell>
          <cell r="F475">
            <v>-0.23271810752067018</v>
          </cell>
        </row>
        <row r="476">
          <cell r="C476">
            <v>1991.83333333007</v>
          </cell>
          <cell r="D476">
            <v>27.7</v>
          </cell>
          <cell r="F476">
            <v>-0.23527709747254905</v>
          </cell>
        </row>
        <row r="477">
          <cell r="C477">
            <v>1991.9166666634301</v>
          </cell>
          <cell r="D477">
            <v>26.7</v>
          </cell>
          <cell r="F477">
            <v>-1.1735497155686476</v>
          </cell>
        </row>
        <row r="478">
          <cell r="C478">
            <v>1991.9999999967899</v>
          </cell>
          <cell r="D478">
            <v>26.6</v>
          </cell>
          <cell r="F478">
            <v>-0.65120558124198857</v>
          </cell>
        </row>
        <row r="479">
          <cell r="C479">
            <v>1992.08333333015</v>
          </cell>
          <cell r="D479">
            <v>27.1</v>
          </cell>
          <cell r="F479">
            <v>0.38633036782362029</v>
          </cell>
        </row>
        <row r="480">
          <cell r="C480">
            <v>1992.1666666635101</v>
          </cell>
          <cell r="D480">
            <v>27.4</v>
          </cell>
          <cell r="F480">
            <v>0.28874036684669685</v>
          </cell>
        </row>
        <row r="481">
          <cell r="C481">
            <v>1992.24999999687</v>
          </cell>
          <cell r="D481">
            <v>28.2</v>
          </cell>
          <cell r="F481">
            <v>1.0864726464347703</v>
          </cell>
        </row>
        <row r="482">
          <cell r="C482">
            <v>1992.3333333302301</v>
          </cell>
          <cell r="D482">
            <v>28.4</v>
          </cell>
          <cell r="F482">
            <v>0.59164766276901803</v>
          </cell>
        </row>
        <row r="483">
          <cell r="C483">
            <v>1992.4166666635899</v>
          </cell>
          <cell r="D483">
            <v>28.7</v>
          </cell>
          <cell r="F483">
            <v>0.81751182458959581</v>
          </cell>
        </row>
        <row r="484">
          <cell r="C484">
            <v>1992.49999999695</v>
          </cell>
          <cell r="D484">
            <v>27.9</v>
          </cell>
          <cell r="F484">
            <v>-0.83693368493508047</v>
          </cell>
        </row>
        <row r="485">
          <cell r="C485">
            <v>1992.5833333303101</v>
          </cell>
          <cell r="D485">
            <v>28</v>
          </cell>
          <cell r="F485">
            <v>-0.36567578386926686</v>
          </cell>
        </row>
        <row r="486">
          <cell r="C486">
            <v>1992.66666666367</v>
          </cell>
          <cell r="D486">
            <v>27.8</v>
          </cell>
          <cell r="F486">
            <v>-0.93526881586553023</v>
          </cell>
        </row>
        <row r="487">
          <cell r="C487">
            <v>1992.74999999703</v>
          </cell>
          <cell r="D487">
            <v>27.9</v>
          </cell>
          <cell r="F487">
            <v>-2.468222352492774E-2</v>
          </cell>
        </row>
        <row r="488">
          <cell r="C488">
            <v>1992.8333333303899</v>
          </cell>
          <cell r="D488">
            <v>27.9</v>
          </cell>
          <cell r="F488">
            <v>0.12065492178079455</v>
          </cell>
        </row>
        <row r="489">
          <cell r="C489">
            <v>1992.91666666375</v>
          </cell>
          <cell r="D489">
            <v>27.4</v>
          </cell>
          <cell r="F489">
            <v>-5.9561230389330787E-15</v>
          </cell>
        </row>
        <row r="490">
          <cell r="C490">
            <v>1992.9999999971101</v>
          </cell>
          <cell r="D490">
            <v>27.1</v>
          </cell>
          <cell r="F490">
            <v>0.22200190269612233</v>
          </cell>
        </row>
        <row r="491">
          <cell r="C491">
            <v>1993.0833333304699</v>
          </cell>
          <cell r="D491">
            <v>27</v>
          </cell>
          <cell r="F491">
            <v>0.19154194707220265</v>
          </cell>
        </row>
        <row r="492">
          <cell r="C492">
            <v>1993.16666666383</v>
          </cell>
          <cell r="D492">
            <v>27.3</v>
          </cell>
          <cell r="F492">
            <v>0.11196055040993279</v>
          </cell>
        </row>
        <row r="493">
          <cell r="C493">
            <v>1993.2499999971899</v>
          </cell>
          <cell r="D493">
            <v>27.9</v>
          </cell>
          <cell r="F493">
            <v>0.45357595919120958</v>
          </cell>
        </row>
        <row r="494">
          <cell r="C494">
            <v>1993.33333333055</v>
          </cell>
          <cell r="D494">
            <v>28.1</v>
          </cell>
          <cell r="F494">
            <v>-0.20907849736951745</v>
          </cell>
        </row>
        <row r="495">
          <cell r="C495">
            <v>1993.4166666639101</v>
          </cell>
          <cell r="D495">
            <v>28.6</v>
          </cell>
          <cell r="F495">
            <v>0.58169110595798723</v>
          </cell>
        </row>
        <row r="496">
          <cell r="C496">
            <v>1993.4999999972699</v>
          </cell>
          <cell r="D496">
            <v>28.2</v>
          </cell>
          <cell r="F496">
            <v>-3.1329068420020617E-2</v>
          </cell>
        </row>
        <row r="497">
          <cell r="C497">
            <v>1993.58333333063</v>
          </cell>
          <cell r="D497">
            <v>28.5</v>
          </cell>
          <cell r="F497">
            <v>0.67911217004298352</v>
          </cell>
        </row>
        <row r="498">
          <cell r="C498">
            <v>1993.6666666639901</v>
          </cell>
          <cell r="D498">
            <v>27.6</v>
          </cell>
          <cell r="F498">
            <v>-1.3860007753188011</v>
          </cell>
        </row>
        <row r="499">
          <cell r="C499">
            <v>1993.74999999735</v>
          </cell>
          <cell r="D499">
            <v>28.3</v>
          </cell>
          <cell r="F499">
            <v>0.80746131245806418</v>
          </cell>
        </row>
        <row r="500">
          <cell r="C500">
            <v>1993.83333333071</v>
          </cell>
          <cell r="D500">
            <v>27.5</v>
          </cell>
          <cell r="F500">
            <v>-0.5912091167258926</v>
          </cell>
        </row>
        <row r="501">
          <cell r="C501">
            <v>1993.9166666640699</v>
          </cell>
          <cell r="D501">
            <v>27.4</v>
          </cell>
          <cell r="F501">
            <v>-5.9561230389330787E-15</v>
          </cell>
        </row>
        <row r="502">
          <cell r="C502">
            <v>1993.99999999743</v>
          </cell>
          <cell r="D502">
            <v>26.5</v>
          </cell>
          <cell r="F502">
            <v>-0.82584707802961321</v>
          </cell>
        </row>
        <row r="503">
          <cell r="C503">
            <v>1994.0833333307901</v>
          </cell>
          <cell r="D503">
            <v>26.4</v>
          </cell>
          <cell r="F503">
            <v>-0.97718857743628929</v>
          </cell>
        </row>
        <row r="504">
          <cell r="C504">
            <v>1994.1666666641499</v>
          </cell>
          <cell r="D504">
            <v>27</v>
          </cell>
          <cell r="F504">
            <v>-0.418378898900372</v>
          </cell>
        </row>
        <row r="505">
          <cell r="C505">
            <v>1994.24999999751</v>
          </cell>
          <cell r="D505">
            <v>27.3</v>
          </cell>
          <cell r="F505">
            <v>-0.81221741529590419</v>
          </cell>
        </row>
        <row r="506">
          <cell r="C506">
            <v>1994.3333333308699</v>
          </cell>
          <cell r="D506">
            <v>28.1</v>
          </cell>
          <cell r="F506">
            <v>-0.20907849736951745</v>
          </cell>
        </row>
        <row r="507">
          <cell r="C507">
            <v>1994.41666666423</v>
          </cell>
          <cell r="D507">
            <v>28.3</v>
          </cell>
          <cell r="F507">
            <v>-0.12577104993685509</v>
          </cell>
        </row>
        <row r="508">
          <cell r="C508">
            <v>1994.4999999975901</v>
          </cell>
          <cell r="D508">
            <v>28</v>
          </cell>
          <cell r="F508">
            <v>-0.56839881276339066</v>
          </cell>
        </row>
        <row r="509">
          <cell r="C509">
            <v>1994.5833333309499</v>
          </cell>
          <cell r="D509">
            <v>28.1</v>
          </cell>
          <cell r="F509">
            <v>-0.15671819308681381</v>
          </cell>
        </row>
        <row r="510">
          <cell r="C510">
            <v>1994.66666666431</v>
          </cell>
          <cell r="D510">
            <v>28.2</v>
          </cell>
          <cell r="F510">
            <v>-3.3804896958988702E-2</v>
          </cell>
        </row>
        <row r="511">
          <cell r="C511">
            <v>1994.7499999976701</v>
          </cell>
          <cell r="D511">
            <v>27.6</v>
          </cell>
          <cell r="F511">
            <v>-0.64878987551216238</v>
          </cell>
        </row>
        <row r="512">
          <cell r="C512">
            <v>1994.83333333103</v>
          </cell>
          <cell r="D512">
            <v>27.5</v>
          </cell>
          <cell r="F512">
            <v>-0.5912091167258926</v>
          </cell>
        </row>
        <row r="513">
          <cell r="C513">
            <v>1994.91666666439</v>
          </cell>
          <cell r="D513">
            <v>27</v>
          </cell>
          <cell r="F513">
            <v>-0.67059983746779961</v>
          </cell>
        </row>
        <row r="514">
          <cell r="C514">
            <v>1994.9999999977499</v>
          </cell>
          <cell r="D514">
            <v>27</v>
          </cell>
          <cell r="F514">
            <v>4.7360405908497653E-2</v>
          </cell>
        </row>
        <row r="515">
          <cell r="C515">
            <v>1995.08333333111</v>
          </cell>
          <cell r="D515">
            <v>26.7</v>
          </cell>
          <cell r="F515">
            <v>-0.39282331518204333</v>
          </cell>
        </row>
        <row r="516">
          <cell r="C516">
            <v>1995.1666666644701</v>
          </cell>
          <cell r="D516">
            <v>27.2</v>
          </cell>
          <cell r="F516">
            <v>-6.4819266026837574E-2</v>
          </cell>
        </row>
        <row r="517">
          <cell r="C517">
            <v>1995.2499999978299</v>
          </cell>
          <cell r="D517">
            <v>27.9</v>
          </cell>
          <cell r="F517">
            <v>0.45357595919120958</v>
          </cell>
        </row>
        <row r="518">
          <cell r="C518">
            <v>1995.33333333119</v>
          </cell>
          <cell r="D518">
            <v>28.4</v>
          </cell>
          <cell r="F518">
            <v>0.59164766276901803</v>
          </cell>
        </row>
        <row r="519">
          <cell r="C519">
            <v>1995.4166666645499</v>
          </cell>
          <cell r="D519">
            <v>28.5</v>
          </cell>
          <cell r="F519">
            <v>0.34587038732637038</v>
          </cell>
        </row>
        <row r="520">
          <cell r="C520">
            <v>1995.49999999791</v>
          </cell>
          <cell r="D520">
            <v>28</v>
          </cell>
          <cell r="F520">
            <v>-0.56839881276339066</v>
          </cell>
        </row>
        <row r="521">
          <cell r="C521">
            <v>1995.5833333312701</v>
          </cell>
          <cell r="D521">
            <v>28</v>
          </cell>
          <cell r="F521">
            <v>-0.36567578386926686</v>
          </cell>
        </row>
        <row r="522">
          <cell r="C522">
            <v>1995.6666666646299</v>
          </cell>
          <cell r="D522">
            <v>28.6</v>
          </cell>
          <cell r="F522">
            <v>0.86765902194756084</v>
          </cell>
        </row>
        <row r="523">
          <cell r="C523">
            <v>1995.74999999799</v>
          </cell>
          <cell r="D523">
            <v>27.7</v>
          </cell>
          <cell r="F523">
            <v>-0.44075399151641997</v>
          </cell>
        </row>
        <row r="524">
          <cell r="C524">
            <v>1995.8333333313501</v>
          </cell>
          <cell r="D524">
            <v>28</v>
          </cell>
          <cell r="F524">
            <v>0.29862093140746954</v>
          </cell>
        </row>
        <row r="525">
          <cell r="C525">
            <v>1995.91666666471</v>
          </cell>
          <cell r="D525">
            <v>27.5</v>
          </cell>
          <cell r="F525">
            <v>0.16764995936694543</v>
          </cell>
        </row>
        <row r="526">
          <cell r="C526">
            <v>1995.9999999980701</v>
          </cell>
          <cell r="D526">
            <v>27.3</v>
          </cell>
          <cell r="F526">
            <v>0.57128489627136547</v>
          </cell>
        </row>
        <row r="527">
          <cell r="C527">
            <v>1996.0833333314299</v>
          </cell>
          <cell r="D527">
            <v>27.2</v>
          </cell>
          <cell r="F527">
            <v>0.58111878857503096</v>
          </cell>
        </row>
        <row r="528">
          <cell r="C528">
            <v>1996.16666666479</v>
          </cell>
          <cell r="D528">
            <v>27.4</v>
          </cell>
          <cell r="F528">
            <v>0.28874036684669685</v>
          </cell>
        </row>
        <row r="529">
          <cell r="C529">
            <v>1996.2499999981501</v>
          </cell>
          <cell r="D529">
            <v>27.9</v>
          </cell>
          <cell r="F529">
            <v>0.45357595919120958</v>
          </cell>
        </row>
        <row r="530">
          <cell r="C530">
            <v>1996.3333333315099</v>
          </cell>
          <cell r="D530">
            <v>27.9</v>
          </cell>
          <cell r="F530">
            <v>-0.74289593746188709</v>
          </cell>
        </row>
        <row r="531">
          <cell r="C531">
            <v>1996.41666666487</v>
          </cell>
          <cell r="D531">
            <v>28.4</v>
          </cell>
          <cell r="F531">
            <v>0.11004966869475344</v>
          </cell>
        </row>
        <row r="532">
          <cell r="C532">
            <v>1996.4999999982299</v>
          </cell>
          <cell r="D532">
            <v>28</v>
          </cell>
          <cell r="F532">
            <v>-0.56839881276339066</v>
          </cell>
        </row>
        <row r="533">
          <cell r="C533">
            <v>1996.58333333159</v>
          </cell>
          <cell r="D533">
            <v>28</v>
          </cell>
          <cell r="F533">
            <v>-0.36567578386926686</v>
          </cell>
        </row>
        <row r="534">
          <cell r="C534">
            <v>1996.6666666649501</v>
          </cell>
          <cell r="D534">
            <v>28</v>
          </cell>
          <cell r="F534">
            <v>-0.48453685641225946</v>
          </cell>
        </row>
        <row r="535">
          <cell r="C535">
            <v>1996.7499999983099</v>
          </cell>
          <cell r="D535">
            <v>27.8</v>
          </cell>
          <cell r="F535">
            <v>-0.23271810752067018</v>
          </cell>
        </row>
        <row r="536">
          <cell r="C536">
            <v>1996.83333333167</v>
          </cell>
          <cell r="D536">
            <v>27.5</v>
          </cell>
          <cell r="F536">
            <v>-0.5912091167258926</v>
          </cell>
        </row>
        <row r="537">
          <cell r="C537">
            <v>1996.9166666650301</v>
          </cell>
          <cell r="D537">
            <v>26.9</v>
          </cell>
          <cell r="F537">
            <v>-0.83824979683475098</v>
          </cell>
        </row>
        <row r="538">
          <cell r="C538">
            <v>1996.99999999839</v>
          </cell>
          <cell r="D538">
            <v>26.5</v>
          </cell>
          <cell r="F538">
            <v>-0.82584707802961321</v>
          </cell>
        </row>
        <row r="539">
          <cell r="C539">
            <v>1997.0833333317501</v>
          </cell>
          <cell r="D539">
            <v>27</v>
          </cell>
          <cell r="F539">
            <v>0.19154194707220265</v>
          </cell>
        </row>
        <row r="540">
          <cell r="C540">
            <v>1997.1666666651099</v>
          </cell>
          <cell r="D540">
            <v>26.4</v>
          </cell>
          <cell r="F540">
            <v>-1.4790577975209815</v>
          </cell>
        </row>
        <row r="541">
          <cell r="C541">
            <v>1997.24999999848</v>
          </cell>
          <cell r="D541">
            <v>27.2</v>
          </cell>
          <cell r="F541">
            <v>-1.0231829777104269</v>
          </cell>
        </row>
        <row r="542">
          <cell r="C542">
            <v>1997.3333333318401</v>
          </cell>
          <cell r="D542">
            <v>28.2</v>
          </cell>
          <cell r="F542">
            <v>5.783022267665789E-2</v>
          </cell>
        </row>
        <row r="543">
          <cell r="C543">
            <v>1997.4166666652</v>
          </cell>
          <cell r="D543">
            <v>28.1</v>
          </cell>
          <cell r="F543">
            <v>-0.59741248720008056</v>
          </cell>
        </row>
        <row r="544">
          <cell r="C544">
            <v>1997.49999999856</v>
          </cell>
          <cell r="D544">
            <v>28.4</v>
          </cell>
          <cell r="F544">
            <v>0.50574067592334937</v>
          </cell>
        </row>
        <row r="545">
          <cell r="C545">
            <v>1997.5833333319199</v>
          </cell>
          <cell r="D545">
            <v>28.6</v>
          </cell>
          <cell r="F545">
            <v>0.88806976082543654</v>
          </cell>
        </row>
        <row r="546">
          <cell r="C546">
            <v>1997.66666666528</v>
          </cell>
          <cell r="D546">
            <v>28.5</v>
          </cell>
          <cell r="F546">
            <v>0.64229304222092143</v>
          </cell>
        </row>
        <row r="547">
          <cell r="C547">
            <v>1997.7499999986401</v>
          </cell>
          <cell r="D547">
            <v>28.5</v>
          </cell>
          <cell r="F547">
            <v>1.2235330804495563</v>
          </cell>
        </row>
        <row r="548">
          <cell r="C548">
            <v>1997.8333333319999</v>
          </cell>
          <cell r="D548">
            <v>28</v>
          </cell>
          <cell r="F548">
            <v>0.29862093140746954</v>
          </cell>
        </row>
        <row r="549">
          <cell r="C549">
            <v>1997.91666666536</v>
          </cell>
          <cell r="D549">
            <v>27.8</v>
          </cell>
          <cell r="F549">
            <v>0.67059983746779361</v>
          </cell>
        </row>
        <row r="550">
          <cell r="C550">
            <v>1997.9999999987201</v>
          </cell>
          <cell r="D550">
            <v>27.4</v>
          </cell>
          <cell r="F550">
            <v>0.74592639305898389</v>
          </cell>
        </row>
        <row r="551">
          <cell r="C551">
            <v>1998.08333333208</v>
          </cell>
          <cell r="D551">
            <v>27.7</v>
          </cell>
          <cell r="F551">
            <v>1.5550608923321052</v>
          </cell>
        </row>
        <row r="552">
          <cell r="C552">
            <v>1998.1666666654401</v>
          </cell>
          <cell r="D552">
            <v>27.5</v>
          </cell>
          <cell r="F552">
            <v>0.46552018328346723</v>
          </cell>
        </row>
        <row r="553">
          <cell r="C553">
            <v>1998.2499999987999</v>
          </cell>
          <cell r="D553">
            <v>28.4</v>
          </cell>
          <cell r="F553">
            <v>1.5084037712638081</v>
          </cell>
        </row>
        <row r="554">
          <cell r="C554">
            <v>1998.33333333216</v>
          </cell>
          <cell r="D554">
            <v>28.5</v>
          </cell>
          <cell r="F554">
            <v>0.85855638281520286</v>
          </cell>
        </row>
        <row r="555">
          <cell r="C555">
            <v>1998.4166666655201</v>
          </cell>
          <cell r="D555">
            <v>28.6</v>
          </cell>
          <cell r="F555">
            <v>0.58169110595798723</v>
          </cell>
        </row>
        <row r="556">
          <cell r="C556">
            <v>1998.49999999888</v>
          </cell>
          <cell r="D556">
            <v>28.3</v>
          </cell>
          <cell r="F556">
            <v>0.23720580375166916</v>
          </cell>
        </row>
        <row r="557">
          <cell r="C557">
            <v>1998.58333333224</v>
          </cell>
          <cell r="D557">
            <v>28.9</v>
          </cell>
          <cell r="F557">
            <v>1.5149425331727808</v>
          </cell>
        </row>
        <row r="558">
          <cell r="C558">
            <v>1998.6666666655999</v>
          </cell>
          <cell r="D558">
            <v>28.4</v>
          </cell>
          <cell r="F558">
            <v>0.41692706249428207</v>
          </cell>
        </row>
        <row r="559">
          <cell r="C559">
            <v>1998.74999999896</v>
          </cell>
          <cell r="D559">
            <v>28.2</v>
          </cell>
          <cell r="F559">
            <v>0.59942542846231428</v>
          </cell>
        </row>
        <row r="560">
          <cell r="C560">
            <v>1998.8333333323201</v>
          </cell>
          <cell r="D560">
            <v>28</v>
          </cell>
          <cell r="F560">
            <v>0.29862093140746954</v>
          </cell>
        </row>
        <row r="561">
          <cell r="C561">
            <v>1998.9166666656799</v>
          </cell>
          <cell r="D561">
            <v>27.3</v>
          </cell>
          <cell r="F561">
            <v>-0.16764995936695137</v>
          </cell>
        </row>
        <row r="562">
          <cell r="C562">
            <v>1998.99999999904</v>
          </cell>
          <cell r="D562">
            <v>26.8</v>
          </cell>
          <cell r="F562">
            <v>-0.30192258766674546</v>
          </cell>
        </row>
        <row r="563">
          <cell r="C563">
            <v>1999.0833333323999</v>
          </cell>
          <cell r="D563">
            <v>26.3</v>
          </cell>
          <cell r="F563">
            <v>-1.1719769981877</v>
          </cell>
        </row>
        <row r="564">
          <cell r="C564">
            <v>1999.16666666576</v>
          </cell>
          <cell r="D564">
            <v>27.3</v>
          </cell>
          <cell r="F564">
            <v>0.11196055040993279</v>
          </cell>
        </row>
        <row r="565">
          <cell r="C565">
            <v>1999.2499999991201</v>
          </cell>
          <cell r="D565">
            <v>27.8</v>
          </cell>
          <cell r="F565">
            <v>0.24261039677669438</v>
          </cell>
        </row>
        <row r="566">
          <cell r="C566">
            <v>1999.3333333324799</v>
          </cell>
          <cell r="D566">
            <v>28.2</v>
          </cell>
          <cell r="F566">
            <v>5.783022267665789E-2</v>
          </cell>
        </row>
        <row r="567">
          <cell r="C567">
            <v>1999.41666666584</v>
          </cell>
          <cell r="D567">
            <v>28</v>
          </cell>
          <cell r="F567">
            <v>-0.83323320583169747</v>
          </cell>
        </row>
        <row r="568">
          <cell r="C568">
            <v>1999.4999999992001</v>
          </cell>
          <cell r="D568">
            <v>28.1</v>
          </cell>
          <cell r="F568">
            <v>-0.29986394059170085</v>
          </cell>
        </row>
        <row r="569">
          <cell r="C569">
            <v>1999.58333333256</v>
          </cell>
          <cell r="D569">
            <v>27.6</v>
          </cell>
          <cell r="F569">
            <v>-1.2015061469990642</v>
          </cell>
        </row>
        <row r="570">
          <cell r="C570">
            <v>1999.66666666592</v>
          </cell>
          <cell r="D570">
            <v>27.4</v>
          </cell>
          <cell r="F570">
            <v>-1.8367327347720799</v>
          </cell>
        </row>
        <row r="571">
          <cell r="C571">
            <v>1999.7499999992799</v>
          </cell>
          <cell r="D571">
            <v>27.2</v>
          </cell>
          <cell r="F571">
            <v>-1.4809334114951542</v>
          </cell>
        </row>
        <row r="572">
          <cell r="C572">
            <v>1999.83333333264</v>
          </cell>
          <cell r="D572">
            <v>27.4</v>
          </cell>
          <cell r="F572">
            <v>-0.76917512635256757</v>
          </cell>
        </row>
        <row r="573">
          <cell r="C573">
            <v>1999.9166666660001</v>
          </cell>
          <cell r="D573">
            <v>26.8</v>
          </cell>
          <cell r="F573">
            <v>-1.0058997562016962</v>
          </cell>
        </row>
        <row r="574">
          <cell r="C574">
            <v>2000</v>
          </cell>
          <cell r="D574">
            <v>26.1</v>
          </cell>
          <cell r="F574">
            <v>-1.5244130651800996</v>
          </cell>
        </row>
        <row r="575">
          <cell r="C575">
            <v>2000.0833333333101</v>
          </cell>
          <cell r="D575">
            <v>26.3</v>
          </cell>
          <cell r="F575">
            <v>-1.1719769981877</v>
          </cell>
        </row>
        <row r="576">
          <cell r="C576">
            <v>2000.1666666666399</v>
          </cell>
          <cell r="D576">
            <v>26.4</v>
          </cell>
          <cell r="F576">
            <v>-1.4790577975209815</v>
          </cell>
        </row>
        <row r="577">
          <cell r="C577">
            <v>2000.24999999997</v>
          </cell>
          <cell r="D577">
            <v>27.3</v>
          </cell>
          <cell r="F577">
            <v>-0.81221741529590419</v>
          </cell>
        </row>
        <row r="578">
          <cell r="C578">
            <v>2000.3333333333101</v>
          </cell>
          <cell r="D578">
            <v>27.9</v>
          </cell>
          <cell r="F578">
            <v>-0.74289593746188709</v>
          </cell>
        </row>
        <row r="579">
          <cell r="C579">
            <v>2000.4166666666399</v>
          </cell>
          <cell r="D579">
            <v>28.1</v>
          </cell>
          <cell r="F579">
            <v>-0.59741248720008056</v>
          </cell>
        </row>
        <row r="580">
          <cell r="C580">
            <v>2000.49999999997</v>
          </cell>
          <cell r="D580">
            <v>27.8</v>
          </cell>
          <cell r="F580">
            <v>-1.1054685571067606</v>
          </cell>
        </row>
        <row r="581">
          <cell r="C581">
            <v>2000.5833333333101</v>
          </cell>
          <cell r="D581">
            <v>28.2</v>
          </cell>
          <cell r="F581">
            <v>5.2239397695631823E-2</v>
          </cell>
        </row>
        <row r="582">
          <cell r="C582">
            <v>2000.6666666666399</v>
          </cell>
          <cell r="D582">
            <v>27.7</v>
          </cell>
          <cell r="F582">
            <v>-1.1606347955921696</v>
          </cell>
        </row>
        <row r="583">
          <cell r="C583">
            <v>2000.74999999997</v>
          </cell>
          <cell r="D583">
            <v>27.8</v>
          </cell>
          <cell r="F583">
            <v>-0.23271810752067018</v>
          </cell>
        </row>
        <row r="584">
          <cell r="C584">
            <v>2000.8333333333101</v>
          </cell>
          <cell r="D584">
            <v>27.7</v>
          </cell>
          <cell r="F584">
            <v>-0.23527709747254905</v>
          </cell>
        </row>
        <row r="585">
          <cell r="C585">
            <v>2000.9166666666399</v>
          </cell>
        </row>
        <row r="586">
          <cell r="C586">
            <v>2001</v>
          </cell>
          <cell r="D586">
            <v>26.9</v>
          </cell>
          <cell r="F586">
            <v>-0.12728109087912701</v>
          </cell>
        </row>
        <row r="587">
          <cell r="C587">
            <v>2001.0833333333101</v>
          </cell>
          <cell r="D587">
            <v>26</v>
          </cell>
          <cell r="F587">
            <v>-1.7563422604419459</v>
          </cell>
        </row>
        <row r="588">
          <cell r="C588">
            <v>2001.1666666666399</v>
          </cell>
          <cell r="D588">
            <v>26.7</v>
          </cell>
          <cell r="F588">
            <v>-0.9487183482106768</v>
          </cell>
        </row>
        <row r="589">
          <cell r="C589">
            <v>2001.24999999997</v>
          </cell>
          <cell r="D589">
            <v>27.3</v>
          </cell>
          <cell r="F589">
            <v>-0.81221741529590419</v>
          </cell>
        </row>
        <row r="590">
          <cell r="C590">
            <v>2001.3333333333101</v>
          </cell>
          <cell r="D590">
            <v>28</v>
          </cell>
          <cell r="F590">
            <v>-0.47598721741570227</v>
          </cell>
        </row>
        <row r="591">
          <cell r="C591">
            <v>2001.4166666666399</v>
          </cell>
          <cell r="D591">
            <v>28.2</v>
          </cell>
          <cell r="F591">
            <v>-0.36159176856847203</v>
          </cell>
        </row>
        <row r="592">
          <cell r="C592">
            <v>2001.49999999998</v>
          </cell>
          <cell r="D592">
            <v>28.3</v>
          </cell>
          <cell r="F592">
            <v>0.23720580375166916</v>
          </cell>
        </row>
        <row r="593">
          <cell r="C593">
            <v>2001.5833333333101</v>
          </cell>
          <cell r="D593">
            <v>28.8</v>
          </cell>
          <cell r="F593">
            <v>1.3059849423903354</v>
          </cell>
        </row>
        <row r="594">
          <cell r="C594">
            <v>2001.6666666666399</v>
          </cell>
          <cell r="D594">
            <v>28.2</v>
          </cell>
          <cell r="F594">
            <v>-3.3804896958988702E-2</v>
          </cell>
        </row>
        <row r="595">
          <cell r="C595">
            <v>2001.74999999998</v>
          </cell>
          <cell r="D595">
            <v>28.1</v>
          </cell>
          <cell r="F595">
            <v>0.39138954446657193</v>
          </cell>
        </row>
        <row r="596">
          <cell r="C596">
            <v>2001.8333333333101</v>
          </cell>
          <cell r="D596">
            <v>28.1</v>
          </cell>
          <cell r="F596">
            <v>0.47658694103414445</v>
          </cell>
        </row>
        <row r="597">
          <cell r="C597">
            <v>2001.9166666666399</v>
          </cell>
          <cell r="D597">
            <v>27.9</v>
          </cell>
          <cell r="F597">
            <v>0.83824979683473899</v>
          </cell>
        </row>
        <row r="598">
          <cell r="C598">
            <v>2002</v>
          </cell>
          <cell r="D598">
            <v>27.7</v>
          </cell>
          <cell r="F598">
            <v>1.2698508834218516</v>
          </cell>
        </row>
        <row r="599">
          <cell r="C599">
            <v>2002.0833333333101</v>
          </cell>
          <cell r="D599">
            <v>26.7</v>
          </cell>
          <cell r="F599">
            <v>-0.39282331518204333</v>
          </cell>
        </row>
        <row r="600">
          <cell r="C600">
            <v>2002.1666666666399</v>
          </cell>
          <cell r="D600">
            <v>27</v>
          </cell>
          <cell r="F600">
            <v>-0.418378898900372</v>
          </cell>
        </row>
        <row r="601">
          <cell r="C601">
            <v>2002.24999999998</v>
          </cell>
          <cell r="D601">
            <v>27.7</v>
          </cell>
          <cell r="F601">
            <v>3.1644834362171657E-2</v>
          </cell>
        </row>
        <row r="602">
          <cell r="C602">
            <v>2002.3333333333101</v>
          </cell>
          <cell r="D602">
            <v>28.5</v>
          </cell>
          <cell r="F602">
            <v>0.85855638281520286</v>
          </cell>
        </row>
        <row r="603">
          <cell r="C603">
            <v>2002.4166666666399</v>
          </cell>
          <cell r="D603">
            <v>28.7</v>
          </cell>
          <cell r="F603">
            <v>0.81751182458959581</v>
          </cell>
        </row>
        <row r="604">
          <cell r="C604">
            <v>2002.49999999998</v>
          </cell>
          <cell r="D604">
            <v>28.4</v>
          </cell>
          <cell r="F604">
            <v>0.50574067592334937</v>
          </cell>
        </row>
        <row r="605">
          <cell r="C605">
            <v>2002.5833333333101</v>
          </cell>
          <cell r="D605">
            <v>28.8</v>
          </cell>
          <cell r="F605">
            <v>1.3059849423903354</v>
          </cell>
        </row>
        <row r="606">
          <cell r="C606">
            <v>2002.6666666666399</v>
          </cell>
          <cell r="D606">
            <v>28.5</v>
          </cell>
          <cell r="F606">
            <v>0.64229304222092143</v>
          </cell>
        </row>
        <row r="607">
          <cell r="C607">
            <v>2002.74999999998</v>
          </cell>
          <cell r="D607">
            <v>28.4</v>
          </cell>
          <cell r="F607">
            <v>1.0154971964538066</v>
          </cell>
        </row>
        <row r="608">
          <cell r="C608">
            <v>2002.8333333333101</v>
          </cell>
          <cell r="D608">
            <v>28.3</v>
          </cell>
          <cell r="F608">
            <v>0.83251896028748806</v>
          </cell>
        </row>
        <row r="609">
          <cell r="C609">
            <v>2002.9166666666399</v>
          </cell>
          <cell r="D609">
            <v>27.9</v>
          </cell>
          <cell r="F609">
            <v>0.83824979683473899</v>
          </cell>
        </row>
        <row r="610">
          <cell r="C610">
            <v>2003</v>
          </cell>
          <cell r="D610">
            <v>27.3</v>
          </cell>
          <cell r="F610">
            <v>0.57128489627136547</v>
          </cell>
        </row>
        <row r="611">
          <cell r="C611">
            <v>2003.0833333333101</v>
          </cell>
          <cell r="D611">
            <v>27.4</v>
          </cell>
          <cell r="F611">
            <v>0.97069563007785931</v>
          </cell>
        </row>
        <row r="612">
          <cell r="C612">
            <v>2003.1666666666499</v>
          </cell>
          <cell r="D612">
            <v>27.5</v>
          </cell>
          <cell r="F612">
            <v>0.46552018328346723</v>
          </cell>
        </row>
        <row r="613">
          <cell r="C613">
            <v>2003.24999999998</v>
          </cell>
          <cell r="D613">
            <v>27.9</v>
          </cell>
          <cell r="F613">
            <v>0.45357595919120958</v>
          </cell>
        </row>
        <row r="614">
          <cell r="C614">
            <v>2003.3333333333101</v>
          </cell>
          <cell r="D614">
            <v>28.7</v>
          </cell>
          <cell r="F614">
            <v>1.3923738229075631</v>
          </cell>
        </row>
        <row r="615">
          <cell r="C615">
            <v>2003.4166666666499</v>
          </cell>
          <cell r="D615">
            <v>28.3</v>
          </cell>
          <cell r="F615">
            <v>-0.12577104993685509</v>
          </cell>
        </row>
        <row r="616">
          <cell r="C616">
            <v>2003.49999999998</v>
          </cell>
          <cell r="D616">
            <v>28.2</v>
          </cell>
          <cell r="F616">
            <v>-3.1329068420020617E-2</v>
          </cell>
        </row>
        <row r="617">
          <cell r="C617">
            <v>2003.5833333333101</v>
          </cell>
          <cell r="D617">
            <v>28.4</v>
          </cell>
          <cell r="F617">
            <v>0.4701545792605305</v>
          </cell>
        </row>
        <row r="618">
          <cell r="C618">
            <v>2003.6666666666499</v>
          </cell>
          <cell r="D618">
            <v>28.6</v>
          </cell>
          <cell r="F618">
            <v>0.86765902194756084</v>
          </cell>
        </row>
        <row r="619">
          <cell r="C619">
            <v>2003.74999999998</v>
          </cell>
          <cell r="D619">
            <v>27.9</v>
          </cell>
          <cell r="F619">
            <v>-2.468222352492774E-2</v>
          </cell>
        </row>
        <row r="620">
          <cell r="C620">
            <v>2003.8333333333101</v>
          </cell>
          <cell r="D620">
            <v>28.3</v>
          </cell>
          <cell r="F620">
            <v>0.83251896028748806</v>
          </cell>
        </row>
        <row r="621">
          <cell r="C621">
            <v>2003.9166666666499</v>
          </cell>
          <cell r="D621">
            <v>27.8</v>
          </cell>
          <cell r="F621">
            <v>0.67059983746779361</v>
          </cell>
        </row>
        <row r="622">
          <cell r="C622">
            <v>2004</v>
          </cell>
          <cell r="D622">
            <v>27</v>
          </cell>
          <cell r="F622">
            <v>4.7360405908497653E-2</v>
          </cell>
        </row>
        <row r="623">
          <cell r="C623">
            <v>2004.0833333333101</v>
          </cell>
          <cell r="D623">
            <v>27.4</v>
          </cell>
          <cell r="F623">
            <v>0.97069563007785931</v>
          </cell>
        </row>
        <row r="624">
          <cell r="C624">
            <v>2004.1666666666499</v>
          </cell>
          <cell r="D624">
            <v>27.1</v>
          </cell>
          <cell r="F624">
            <v>-0.24159908246360165</v>
          </cell>
        </row>
        <row r="625">
          <cell r="C625">
            <v>2004.24999999998</v>
          </cell>
          <cell r="D625">
            <v>27.8</v>
          </cell>
          <cell r="F625">
            <v>0.24261039677669438</v>
          </cell>
        </row>
        <row r="626">
          <cell r="C626">
            <v>2004.3333333333101</v>
          </cell>
          <cell r="D626">
            <v>28.2</v>
          </cell>
          <cell r="F626">
            <v>5.783022267665789E-2</v>
          </cell>
        </row>
        <row r="627">
          <cell r="C627">
            <v>2004.4166666666499</v>
          </cell>
          <cell r="D627">
            <v>28.5</v>
          </cell>
          <cell r="F627">
            <v>0.34587038732637038</v>
          </cell>
        </row>
        <row r="628">
          <cell r="C628">
            <v>2004.49999999998</v>
          </cell>
          <cell r="D628">
            <v>28.2</v>
          </cell>
          <cell r="F628">
            <v>-3.1329068420020617E-2</v>
          </cell>
        </row>
        <row r="629">
          <cell r="C629">
            <v>2004.5833333333101</v>
          </cell>
          <cell r="D629">
            <v>28.6</v>
          </cell>
          <cell r="F629">
            <v>0.88806976082543654</v>
          </cell>
        </row>
        <row r="630">
          <cell r="C630">
            <v>2004.6666666666499</v>
          </cell>
          <cell r="D630">
            <v>28.3</v>
          </cell>
          <cell r="F630">
            <v>0.19156108276765069</v>
          </cell>
        </row>
        <row r="631">
          <cell r="C631">
            <v>2004.74999999998</v>
          </cell>
          <cell r="D631">
            <v>28</v>
          </cell>
          <cell r="F631">
            <v>0.18335366047082208</v>
          </cell>
        </row>
        <row r="632">
          <cell r="C632">
            <v>2004.8333333333101</v>
          </cell>
          <cell r="D632">
            <v>27.6</v>
          </cell>
          <cell r="F632">
            <v>-0.41324310709921769</v>
          </cell>
        </row>
        <row r="633">
          <cell r="C633">
            <v>2004.9166666666499</v>
          </cell>
          <cell r="D633">
            <v>27.6</v>
          </cell>
          <cell r="F633">
            <v>0.33529991873389681</v>
          </cell>
        </row>
        <row r="634">
          <cell r="C634">
            <v>2005</v>
          </cell>
          <cell r="D634">
            <v>27.4</v>
          </cell>
          <cell r="F634">
            <v>0.74592639305898389</v>
          </cell>
        </row>
        <row r="635">
          <cell r="C635">
            <v>2005.0833333333201</v>
          </cell>
          <cell r="D635">
            <v>27.3</v>
          </cell>
          <cell r="F635">
            <v>0.77590720932644863</v>
          </cell>
        </row>
        <row r="636">
          <cell r="C636">
            <v>2005.1666666666499</v>
          </cell>
          <cell r="D636">
            <v>28.2</v>
          </cell>
          <cell r="F636">
            <v>1.7029788983408409</v>
          </cell>
        </row>
        <row r="637">
          <cell r="C637">
            <v>2005.24999999998</v>
          </cell>
          <cell r="D637">
            <v>28.3</v>
          </cell>
          <cell r="F637">
            <v>1.2974382088492928</v>
          </cell>
        </row>
        <row r="638">
          <cell r="C638">
            <v>2005.3333333333201</v>
          </cell>
          <cell r="D638">
            <v>28.5</v>
          </cell>
          <cell r="F638">
            <v>0.85855638281520286</v>
          </cell>
        </row>
        <row r="639">
          <cell r="C639">
            <v>2005.4166666666499</v>
          </cell>
          <cell r="D639">
            <v>28.8</v>
          </cell>
          <cell r="F639">
            <v>1.0533325432212126</v>
          </cell>
        </row>
        <row r="640">
          <cell r="C640">
            <v>2005.49999999998</v>
          </cell>
          <cell r="D640">
            <v>28.7</v>
          </cell>
          <cell r="F640">
            <v>1.3113452924384092</v>
          </cell>
        </row>
        <row r="641">
          <cell r="C641">
            <v>2005.5833333333201</v>
          </cell>
          <cell r="D641">
            <v>28.6</v>
          </cell>
          <cell r="F641">
            <v>0.88806976082543654</v>
          </cell>
        </row>
        <row r="642">
          <cell r="C642">
            <v>2005.6666666666499</v>
          </cell>
          <cell r="D642">
            <v>28.5</v>
          </cell>
          <cell r="F642">
            <v>0.64229304222092143</v>
          </cell>
        </row>
        <row r="643">
          <cell r="C643">
            <v>2005.74999999998</v>
          </cell>
          <cell r="D643">
            <v>27.8</v>
          </cell>
          <cell r="F643">
            <v>-0.23271810752067018</v>
          </cell>
        </row>
        <row r="644">
          <cell r="C644">
            <v>2005.8333333333201</v>
          </cell>
          <cell r="D644">
            <v>28</v>
          </cell>
          <cell r="F644">
            <v>0.29862093140746954</v>
          </cell>
        </row>
        <row r="645">
          <cell r="C645">
            <v>2005.9166666666499</v>
          </cell>
          <cell r="D645">
            <v>27.5</v>
          </cell>
          <cell r="F645">
            <v>0.16764995936694543</v>
          </cell>
        </row>
        <row r="646">
          <cell r="C646">
            <v>2006</v>
          </cell>
          <cell r="D646">
            <v>27.2</v>
          </cell>
          <cell r="F646">
            <v>0.39664339948374078</v>
          </cell>
        </row>
        <row r="647">
          <cell r="C647">
            <v>2006.0833333333201</v>
          </cell>
          <cell r="D647">
            <v>26.8</v>
          </cell>
          <cell r="F647">
            <v>-0.19803489443062569</v>
          </cell>
        </row>
        <row r="648">
          <cell r="C648">
            <v>2006.1666666666499</v>
          </cell>
          <cell r="D648">
            <v>27.1</v>
          </cell>
          <cell r="F648">
            <v>-0.24159908246360165</v>
          </cell>
        </row>
        <row r="649">
          <cell r="C649">
            <v>2006.24999999998</v>
          </cell>
          <cell r="D649">
            <v>27.6</v>
          </cell>
          <cell r="F649">
            <v>-0.17932072805234356</v>
          </cell>
        </row>
        <row r="650">
          <cell r="C650">
            <v>2006.3333333333201</v>
          </cell>
          <cell r="D650">
            <v>28.3</v>
          </cell>
          <cell r="F650">
            <v>0.32473894272284271</v>
          </cell>
        </row>
        <row r="651">
          <cell r="C651">
            <v>2006.4166666666499</v>
          </cell>
          <cell r="D651">
            <v>28.5</v>
          </cell>
          <cell r="F651">
            <v>0.34587038732637038</v>
          </cell>
        </row>
        <row r="652">
          <cell r="C652">
            <v>2006.49999999998</v>
          </cell>
          <cell r="D652">
            <v>28.6</v>
          </cell>
          <cell r="F652">
            <v>1.042810420266729</v>
          </cell>
        </row>
        <row r="653">
          <cell r="C653">
            <v>2006.5833333333201</v>
          </cell>
          <cell r="D653">
            <v>28.7</v>
          </cell>
          <cell r="F653">
            <v>1.0970273516078821</v>
          </cell>
        </row>
        <row r="654">
          <cell r="C654">
            <v>2006.6666666666499</v>
          </cell>
          <cell r="D654">
            <v>28.5</v>
          </cell>
          <cell r="F654">
            <v>0.64229304222092143</v>
          </cell>
        </row>
        <row r="655">
          <cell r="C655">
            <v>2006.74999999998</v>
          </cell>
          <cell r="D655">
            <v>28.4</v>
          </cell>
          <cell r="F655">
            <v>1.0154971964538066</v>
          </cell>
        </row>
        <row r="656">
          <cell r="C656">
            <v>2006.8333333333201</v>
          </cell>
          <cell r="D656">
            <v>28.2</v>
          </cell>
          <cell r="F656">
            <v>0.65455295066081309</v>
          </cell>
        </row>
        <row r="657">
          <cell r="C657">
            <v>2006.9166666666499</v>
          </cell>
          <cell r="D657">
            <v>27.8</v>
          </cell>
          <cell r="F657">
            <v>0.67059983746779361</v>
          </cell>
        </row>
        <row r="658">
          <cell r="C658">
            <v>2007</v>
          </cell>
          <cell r="D658">
            <v>26.9</v>
          </cell>
          <cell r="F658">
            <v>-0.12728109087912701</v>
          </cell>
        </row>
        <row r="659">
          <cell r="C659">
            <v>2007.0833333333201</v>
          </cell>
          <cell r="D659">
            <v>27.1</v>
          </cell>
          <cell r="F659">
            <v>0.38633036782362029</v>
          </cell>
        </row>
        <row r="660">
          <cell r="C660">
            <v>2007.1666666666499</v>
          </cell>
          <cell r="D660">
            <v>27.4</v>
          </cell>
          <cell r="F660">
            <v>0.28874036684669685</v>
          </cell>
        </row>
        <row r="661">
          <cell r="C661">
            <v>2007.24999999999</v>
          </cell>
          <cell r="D661">
            <v>27.8</v>
          </cell>
          <cell r="F661">
            <v>0.24261039677669438</v>
          </cell>
        </row>
        <row r="662">
          <cell r="C662">
            <v>2007.3333333333201</v>
          </cell>
          <cell r="D662">
            <v>27.9</v>
          </cell>
          <cell r="F662">
            <v>-0.74289593746188709</v>
          </cell>
        </row>
        <row r="663">
          <cell r="C663">
            <v>2007.4166666666499</v>
          </cell>
          <cell r="D663">
            <v>28.7</v>
          </cell>
          <cell r="F663">
            <v>0.81751182458959581</v>
          </cell>
        </row>
        <row r="664">
          <cell r="C664">
            <v>2007.49999999999</v>
          </cell>
          <cell r="D664">
            <v>28.4</v>
          </cell>
          <cell r="F664">
            <v>0.50574067592334937</v>
          </cell>
        </row>
        <row r="665">
          <cell r="C665">
            <v>2007.5833333333201</v>
          </cell>
          <cell r="D665">
            <v>27.8</v>
          </cell>
          <cell r="F665">
            <v>-0.78359096543416551</v>
          </cell>
        </row>
        <row r="666">
          <cell r="C666">
            <v>2007.6666666666499</v>
          </cell>
          <cell r="D666">
            <v>28</v>
          </cell>
          <cell r="F666">
            <v>-0.48453685641225946</v>
          </cell>
        </row>
        <row r="667">
          <cell r="C667">
            <v>2007.74999999999</v>
          </cell>
          <cell r="D667">
            <v>27.5</v>
          </cell>
          <cell r="F667">
            <v>-0.85682575950791229</v>
          </cell>
        </row>
        <row r="668">
          <cell r="C668">
            <v>2007.8333333333201</v>
          </cell>
          <cell r="D668">
            <v>28.2</v>
          </cell>
          <cell r="F668">
            <v>0.65455295066081309</v>
          </cell>
        </row>
        <row r="669">
          <cell r="C669">
            <v>2007.9166666666499</v>
          </cell>
          <cell r="D669">
            <v>27.6</v>
          </cell>
          <cell r="F669">
            <v>0.33529991873389681</v>
          </cell>
        </row>
        <row r="670">
          <cell r="C670">
            <v>2008</v>
          </cell>
          <cell r="D670">
            <v>27</v>
          </cell>
          <cell r="F670">
            <v>4.7360405908497653E-2</v>
          </cell>
        </row>
        <row r="671">
          <cell r="C671">
            <v>2008.0833333333201</v>
          </cell>
          <cell r="D671">
            <v>26.9</v>
          </cell>
          <cell r="F671">
            <v>-3.2464736792149761E-3</v>
          </cell>
        </row>
        <row r="672">
          <cell r="C672">
            <v>2008.1666666666499</v>
          </cell>
          <cell r="D672">
            <v>27</v>
          </cell>
          <cell r="F672">
            <v>-0.418378898900372</v>
          </cell>
        </row>
        <row r="673">
          <cell r="C673">
            <v>2008.24999999999</v>
          </cell>
          <cell r="D673">
            <v>27.7</v>
          </cell>
          <cell r="F673">
            <v>3.1644834362171657E-2</v>
          </cell>
        </row>
        <row r="674">
          <cell r="C674">
            <v>2008.3333333333201</v>
          </cell>
          <cell r="D674">
            <v>28</v>
          </cell>
          <cell r="F674">
            <v>-0.47598721741570227</v>
          </cell>
        </row>
        <row r="675">
          <cell r="C675">
            <v>2008.4166666666499</v>
          </cell>
          <cell r="D675">
            <v>28.2</v>
          </cell>
          <cell r="F675">
            <v>-0.36159176856847203</v>
          </cell>
        </row>
        <row r="676">
          <cell r="C676">
            <v>2008.49999999999</v>
          </cell>
          <cell r="D676">
            <v>28</v>
          </cell>
          <cell r="F676">
            <v>-0.56839881276339066</v>
          </cell>
        </row>
        <row r="677">
          <cell r="C677">
            <v>2008.5833333333201</v>
          </cell>
          <cell r="D677">
            <v>27.8</v>
          </cell>
          <cell r="F677">
            <v>-0.78359096543416551</v>
          </cell>
        </row>
        <row r="678">
          <cell r="C678">
            <v>2008.6666666666599</v>
          </cell>
          <cell r="D678">
            <v>28.2</v>
          </cell>
          <cell r="F678">
            <v>-3.3804896958988702E-2</v>
          </cell>
        </row>
        <row r="679">
          <cell r="C679">
            <v>2008.74999999999</v>
          </cell>
          <cell r="D679">
            <v>28</v>
          </cell>
          <cell r="F679">
            <v>0.18335366047082208</v>
          </cell>
        </row>
        <row r="680">
          <cell r="C680">
            <v>2008.8333333333201</v>
          </cell>
          <cell r="D680">
            <v>27.7</v>
          </cell>
          <cell r="F680">
            <v>-0.23527709747254905</v>
          </cell>
        </row>
        <row r="681">
          <cell r="C681">
            <v>2008.9166666666599</v>
          </cell>
          <cell r="D681">
            <v>27.1</v>
          </cell>
          <cell r="F681">
            <v>-0.50294987810084812</v>
          </cell>
        </row>
        <row r="682">
          <cell r="C682">
            <v>2009</v>
          </cell>
          <cell r="D682">
            <v>26.7</v>
          </cell>
          <cell r="F682">
            <v>-0.4765640844543701</v>
          </cell>
        </row>
        <row r="683">
          <cell r="C683">
            <v>2009.0833333333201</v>
          </cell>
          <cell r="D683">
            <v>27</v>
          </cell>
          <cell r="F683">
            <v>0.19154194707220265</v>
          </cell>
        </row>
        <row r="684">
          <cell r="C684">
            <v>2009.1666666666599</v>
          </cell>
          <cell r="D684">
            <v>27.4</v>
          </cell>
          <cell r="F684">
            <v>0.28874036684669685</v>
          </cell>
        </row>
        <row r="685">
          <cell r="C685">
            <v>2009.24999999999</v>
          </cell>
          <cell r="D685">
            <v>28</v>
          </cell>
          <cell r="F685">
            <v>0.66454152160573232</v>
          </cell>
        </row>
        <row r="686">
          <cell r="C686">
            <v>2009.3333333333201</v>
          </cell>
          <cell r="D686">
            <v>28.7</v>
          </cell>
          <cell r="F686">
            <v>1.3923738229075631</v>
          </cell>
        </row>
        <row r="687">
          <cell r="C687">
            <v>2009.4166666666599</v>
          </cell>
          <cell r="D687">
            <v>28.6</v>
          </cell>
          <cell r="F687">
            <v>0.58169110595798723</v>
          </cell>
        </row>
        <row r="688">
          <cell r="C688">
            <v>2009.49999999999</v>
          </cell>
          <cell r="D688">
            <v>28.8</v>
          </cell>
          <cell r="F688">
            <v>1.5798801646100991</v>
          </cell>
        </row>
        <row r="689">
          <cell r="C689">
            <v>2009.5833333333201</v>
          </cell>
          <cell r="D689">
            <v>28.6</v>
          </cell>
          <cell r="F689">
            <v>0.88806976082543654</v>
          </cell>
        </row>
        <row r="690">
          <cell r="C690">
            <v>2009.6666666666599</v>
          </cell>
          <cell r="D690">
            <v>29</v>
          </cell>
          <cell r="F690">
            <v>1.7691229408541025</v>
          </cell>
        </row>
        <row r="691">
          <cell r="C691">
            <v>2009.74999999999</v>
          </cell>
          <cell r="D691">
            <v>28.3</v>
          </cell>
          <cell r="F691">
            <v>0.80746131245806418</v>
          </cell>
        </row>
        <row r="692">
          <cell r="C692">
            <v>2009.8333333333201</v>
          </cell>
          <cell r="D692">
            <v>28.5</v>
          </cell>
          <cell r="F692">
            <v>1.1884509795408318</v>
          </cell>
        </row>
        <row r="693">
          <cell r="C693">
            <v>2009.9166666666599</v>
          </cell>
          <cell r="D693">
            <v>28.4</v>
          </cell>
          <cell r="F693">
            <v>1.676499593669484</v>
          </cell>
        </row>
        <row r="694">
          <cell r="C694">
            <v>2010</v>
          </cell>
          <cell r="D694">
            <v>27.9</v>
          </cell>
          <cell r="F694">
            <v>1.6191338769970949</v>
          </cell>
        </row>
        <row r="695">
          <cell r="C695">
            <v>2010.0833333333201</v>
          </cell>
          <cell r="D695">
            <v>28</v>
          </cell>
          <cell r="F695">
            <v>2.1394261545863511</v>
          </cell>
        </row>
        <row r="696">
          <cell r="C696">
            <v>2010.1666666666599</v>
          </cell>
          <cell r="D696">
            <v>28.6</v>
          </cell>
          <cell r="F696">
            <v>2.4100981640879162</v>
          </cell>
        </row>
        <row r="697">
          <cell r="C697">
            <v>2010.24999999999</v>
          </cell>
          <cell r="D697">
            <v>28.8</v>
          </cell>
          <cell r="F697">
            <v>2.3522660209218915</v>
          </cell>
        </row>
        <row r="698">
          <cell r="C698">
            <v>2010.3333333333201</v>
          </cell>
          <cell r="D698">
            <v>29</v>
          </cell>
          <cell r="F698">
            <v>2.1930999830461082</v>
          </cell>
        </row>
        <row r="699">
          <cell r="C699">
            <v>2010.4166666666599</v>
          </cell>
          <cell r="D699">
            <v>28.7</v>
          </cell>
          <cell r="F699">
            <v>0.81751182458959581</v>
          </cell>
        </row>
        <row r="700">
          <cell r="C700">
            <v>2010.49999999999</v>
          </cell>
          <cell r="D700">
            <v>28.1</v>
          </cell>
          <cell r="F700">
            <v>-0.29986394059170085</v>
          </cell>
        </row>
        <row r="701">
          <cell r="C701">
            <v>2010.5833333333301</v>
          </cell>
          <cell r="D701">
            <v>28.1</v>
          </cell>
          <cell r="F701">
            <v>-0.15671819308681381</v>
          </cell>
        </row>
        <row r="702">
          <cell r="C702">
            <v>2010.6666666666599</v>
          </cell>
          <cell r="D702">
            <v>28.2</v>
          </cell>
          <cell r="F702">
            <v>-3.3804896958988702E-2</v>
          </cell>
        </row>
        <row r="703">
          <cell r="C703">
            <v>2010.74999999999</v>
          </cell>
          <cell r="D703">
            <v>27.9</v>
          </cell>
          <cell r="F703">
            <v>-2.468222352492774E-2</v>
          </cell>
        </row>
        <row r="704">
          <cell r="C704">
            <v>2010.8333333333301</v>
          </cell>
          <cell r="D704">
            <v>27.1</v>
          </cell>
          <cell r="F704">
            <v>-1.3030731552325798</v>
          </cell>
        </row>
        <row r="705">
          <cell r="C705">
            <v>2010.9166666666599</v>
          </cell>
          <cell r="D705">
            <v>27.2</v>
          </cell>
          <cell r="F705">
            <v>-0.33529991873390275</v>
          </cell>
        </row>
        <row r="706">
          <cell r="C706">
            <v>2011</v>
          </cell>
        </row>
        <row r="707">
          <cell r="C707">
            <v>2011.0833333333301</v>
          </cell>
          <cell r="D707">
            <v>27.1</v>
          </cell>
          <cell r="F707">
            <v>0.38633036782362029</v>
          </cell>
        </row>
        <row r="708">
          <cell r="C708">
            <v>2011.1666666666599</v>
          </cell>
          <cell r="D708">
            <v>27.3</v>
          </cell>
          <cell r="F708">
            <v>0.11196055040993279</v>
          </cell>
        </row>
        <row r="709">
          <cell r="C709">
            <v>2011.24999999999</v>
          </cell>
          <cell r="D709">
            <v>28</v>
          </cell>
          <cell r="F709">
            <v>0.66454152160573232</v>
          </cell>
        </row>
        <row r="710">
          <cell r="C710">
            <v>2011.3333333333301</v>
          </cell>
          <cell r="D710">
            <v>28.3</v>
          </cell>
          <cell r="F710">
            <v>0.32473894272284271</v>
          </cell>
        </row>
        <row r="711">
          <cell r="C711">
            <v>2011.4166666666599</v>
          </cell>
          <cell r="D711">
            <v>28.6</v>
          </cell>
          <cell r="F711">
            <v>0.58169110595798723</v>
          </cell>
        </row>
        <row r="712">
          <cell r="C712">
            <v>2011.49999999999</v>
          </cell>
          <cell r="D712">
            <v>28.1</v>
          </cell>
          <cell r="F712">
            <v>-0.29986394059170085</v>
          </cell>
        </row>
        <row r="713">
          <cell r="C713">
            <v>2011.5833333333301</v>
          </cell>
          <cell r="D713">
            <v>28.1</v>
          </cell>
          <cell r="F713">
            <v>-0.15671819308681381</v>
          </cell>
        </row>
        <row r="714">
          <cell r="C714">
            <v>2011.6666666666599</v>
          </cell>
          <cell r="D714">
            <v>28.2</v>
          </cell>
          <cell r="F714">
            <v>-3.3804896958988702E-2</v>
          </cell>
        </row>
        <row r="715">
          <cell r="C715">
            <v>2011.74999999999</v>
          </cell>
          <cell r="D715">
            <v>27.3</v>
          </cell>
          <cell r="F715">
            <v>-1.2728975274994045</v>
          </cell>
        </row>
        <row r="716">
          <cell r="C716">
            <v>2011.8333333333301</v>
          </cell>
          <cell r="D716">
            <v>27.3</v>
          </cell>
          <cell r="F716">
            <v>-0.94714113597923622</v>
          </cell>
        </row>
        <row r="717">
          <cell r="C717">
            <v>2011.9166666666599</v>
          </cell>
          <cell r="D717">
            <v>27.1</v>
          </cell>
          <cell r="F717">
            <v>-0.50294987810084812</v>
          </cell>
        </row>
        <row r="718">
          <cell r="C718">
            <v>2012</v>
          </cell>
          <cell r="D718">
            <v>26.9</v>
          </cell>
          <cell r="F718">
            <v>-0.12728109087912701</v>
          </cell>
        </row>
        <row r="719">
          <cell r="C719">
            <v>2012.0833333333301</v>
          </cell>
          <cell r="D719">
            <v>26.7</v>
          </cell>
          <cell r="F719">
            <v>-0.39282331518204333</v>
          </cell>
        </row>
        <row r="720">
          <cell r="C720">
            <v>2012.1666666666599</v>
          </cell>
          <cell r="D720">
            <v>27.4</v>
          </cell>
          <cell r="F720">
            <v>0.28874036684669685</v>
          </cell>
        </row>
        <row r="721">
          <cell r="C721">
            <v>2012.24999999999</v>
          </cell>
          <cell r="D721">
            <v>28</v>
          </cell>
          <cell r="F721">
            <v>0.66454152160573232</v>
          </cell>
        </row>
        <row r="722">
          <cell r="C722">
            <v>2012.3333333333301</v>
          </cell>
          <cell r="D722">
            <v>28.9</v>
          </cell>
          <cell r="F722">
            <v>1.9261912629999232</v>
          </cell>
        </row>
        <row r="723">
          <cell r="C723">
            <v>2012.4166666666599</v>
          </cell>
          <cell r="D723">
            <v>29</v>
          </cell>
          <cell r="F723">
            <v>1.5249739804844382</v>
          </cell>
        </row>
        <row r="724">
          <cell r="C724">
            <v>2012.5</v>
          </cell>
          <cell r="D724">
            <v>28.9</v>
          </cell>
          <cell r="F724">
            <v>1.8484150367817793</v>
          </cell>
        </row>
        <row r="725">
          <cell r="C725">
            <v>2012.5833333333301</v>
          </cell>
          <cell r="D725">
            <v>28.4</v>
          </cell>
          <cell r="F725">
            <v>0.4701545792605305</v>
          </cell>
        </row>
        <row r="726">
          <cell r="C726">
            <v>2012.6666666666599</v>
          </cell>
          <cell r="D726">
            <v>28.9</v>
          </cell>
          <cell r="F726">
            <v>1.5437569611274631</v>
          </cell>
        </row>
        <row r="727">
          <cell r="C727">
            <v>2012.75</v>
          </cell>
        </row>
        <row r="728">
          <cell r="C728">
            <v>2012.8333333333301</v>
          </cell>
        </row>
        <row r="729">
          <cell r="C729">
            <v>2012.9166666666599</v>
          </cell>
        </row>
        <row r="730">
          <cell r="C730">
            <v>2013</v>
          </cell>
          <cell r="D730">
            <v>27</v>
          </cell>
          <cell r="F730">
            <v>4.7360405908497653E-2</v>
          </cell>
        </row>
        <row r="731">
          <cell r="C731">
            <v>2013.0833333333301</v>
          </cell>
          <cell r="D731">
            <v>27.2</v>
          </cell>
          <cell r="F731">
            <v>0.58111878857503096</v>
          </cell>
        </row>
        <row r="732">
          <cell r="C732">
            <v>2013.1666666666599</v>
          </cell>
          <cell r="D732">
            <v>28.1</v>
          </cell>
          <cell r="F732">
            <v>1.5261990819040767</v>
          </cell>
        </row>
        <row r="733">
          <cell r="C733">
            <v>2013.25</v>
          </cell>
          <cell r="D733">
            <v>28.3</v>
          </cell>
          <cell r="F733">
            <v>1.2974382088492928</v>
          </cell>
        </row>
        <row r="734">
          <cell r="C734">
            <v>2013.3333333333301</v>
          </cell>
          <cell r="D734">
            <v>28.1</v>
          </cell>
          <cell r="F734">
            <v>-0.20907849736951745</v>
          </cell>
        </row>
        <row r="735">
          <cell r="C735">
            <v>2013.4166666666599</v>
          </cell>
          <cell r="D735">
            <v>28.8</v>
          </cell>
          <cell r="F735">
            <v>1.0533325432212126</v>
          </cell>
        </row>
        <row r="736">
          <cell r="C736">
            <v>2013.5</v>
          </cell>
          <cell r="D736">
            <v>28.3</v>
          </cell>
          <cell r="F736">
            <v>0.23720580375166916</v>
          </cell>
        </row>
        <row r="737">
          <cell r="C737">
            <v>2013.5833333333301</v>
          </cell>
          <cell r="D737">
            <v>28.2</v>
          </cell>
          <cell r="F737">
            <v>5.2239397695631823E-2</v>
          </cell>
        </row>
        <row r="738">
          <cell r="C738">
            <v>2013.6666666666599</v>
          </cell>
          <cell r="D738">
            <v>28.3</v>
          </cell>
          <cell r="F738">
            <v>0.19156108276765069</v>
          </cell>
        </row>
        <row r="739">
          <cell r="C739">
            <v>2013.75</v>
          </cell>
          <cell r="D739">
            <v>28.4</v>
          </cell>
          <cell r="F739">
            <v>1.0154971964538066</v>
          </cell>
        </row>
        <row r="740">
          <cell r="C740">
            <v>2013.8333333333301</v>
          </cell>
          <cell r="D740">
            <v>28.8</v>
          </cell>
          <cell r="F740">
            <v>1.7223490084208501</v>
          </cell>
        </row>
        <row r="741">
          <cell r="C741">
            <v>2013.9166666666599</v>
          </cell>
          <cell r="D741">
            <v>28.8</v>
          </cell>
          <cell r="F741">
            <v>2.3470994311372837</v>
          </cell>
        </row>
      </sheetData>
      <sheetData sheetId="1">
        <row r="1">
          <cell r="J1" t="str">
            <v>SST_Day</v>
          </cell>
          <cell r="K1" t="str">
            <v>SST_Night</v>
          </cell>
        </row>
        <row r="2">
          <cell r="F2">
            <v>2019</v>
          </cell>
          <cell r="G2">
            <v>26.154001787458821</v>
          </cell>
          <cell r="I2">
            <v>1981</v>
          </cell>
          <cell r="J2">
            <v>30.478000000000002</v>
          </cell>
          <cell r="K2">
            <v>28.710999999999999</v>
          </cell>
        </row>
        <row r="3">
          <cell r="F3">
            <v>2018</v>
          </cell>
          <cell r="G3">
            <v>20.122703119208211</v>
          </cell>
          <cell r="I3">
            <v>1982</v>
          </cell>
          <cell r="J3">
            <v>28.672999999999998</v>
          </cell>
          <cell r="K3">
            <v>27.37</v>
          </cell>
        </row>
        <row r="4">
          <cell r="F4">
            <v>2017</v>
          </cell>
          <cell r="G4">
            <v>20.003352431811308</v>
          </cell>
          <cell r="I4">
            <v>1983</v>
          </cell>
          <cell r="J4">
            <v>28.863</v>
          </cell>
          <cell r="K4">
            <v>27.170999999999999</v>
          </cell>
        </row>
        <row r="5">
          <cell r="F5">
            <v>2016</v>
          </cell>
          <cell r="G5">
            <v>21.924066258023363</v>
          </cell>
          <cell r="I5">
            <v>1984</v>
          </cell>
          <cell r="J5">
            <v>27.675999999999998</v>
          </cell>
          <cell r="K5">
            <v>27.315000000000001</v>
          </cell>
        </row>
        <row r="6">
          <cell r="F6">
            <v>2015</v>
          </cell>
          <cell r="G6">
            <v>23.209321709516644</v>
          </cell>
          <cell r="I6">
            <v>1985</v>
          </cell>
          <cell r="J6">
            <v>28.161999999999999</v>
          </cell>
          <cell r="K6">
            <v>26.681000000000001</v>
          </cell>
        </row>
        <row r="7">
          <cell r="F7">
            <v>2014</v>
          </cell>
          <cell r="G7">
            <v>22.788402050620238</v>
          </cell>
          <cell r="I7">
            <v>1986</v>
          </cell>
          <cell r="J7">
            <v>28.777000000000001</v>
          </cell>
          <cell r="K7">
            <v>26.86</v>
          </cell>
        </row>
        <row r="8">
          <cell r="F8">
            <v>2013</v>
          </cell>
          <cell r="G8">
            <v>21.942720358076503</v>
          </cell>
          <cell r="I8">
            <v>1987</v>
          </cell>
          <cell r="J8">
            <v>28.86</v>
          </cell>
          <cell r="K8">
            <v>27.212</v>
          </cell>
        </row>
        <row r="9">
          <cell r="F9">
            <v>2012</v>
          </cell>
          <cell r="G9">
            <v>21.666984190731057</v>
          </cell>
          <cell r="I9">
            <v>1988</v>
          </cell>
          <cell r="J9">
            <v>28.908999999999999</v>
          </cell>
          <cell r="K9">
            <v>26.838999999999999</v>
          </cell>
        </row>
        <row r="10">
          <cell r="F10">
            <v>2011</v>
          </cell>
          <cell r="G10">
            <v>20.381782318068783</v>
          </cell>
          <cell r="I10">
            <v>1989</v>
          </cell>
          <cell r="J10">
            <v>28.004000000000001</v>
          </cell>
          <cell r="K10">
            <v>27.373000000000001</v>
          </cell>
        </row>
        <row r="11">
          <cell r="F11">
            <v>2010</v>
          </cell>
          <cell r="G11">
            <v>18.908919303748387</v>
          </cell>
          <cell r="I11">
            <v>1990</v>
          </cell>
          <cell r="J11">
            <v>28.08</v>
          </cell>
          <cell r="K11">
            <v>26.84</v>
          </cell>
        </row>
        <row r="12">
          <cell r="F12">
            <v>2009</v>
          </cell>
          <cell r="G12">
            <v>23.229698554381571</v>
          </cell>
          <cell r="I12">
            <v>1991</v>
          </cell>
          <cell r="J12">
            <v>28.036000000000001</v>
          </cell>
          <cell r="K12">
            <v>26.914000000000001</v>
          </cell>
        </row>
        <row r="13">
          <cell r="F13">
            <v>2008</v>
          </cell>
          <cell r="G13">
            <v>20.907259480128157</v>
          </cell>
          <cell r="I13">
            <v>1992</v>
          </cell>
          <cell r="J13">
            <v>28.465</v>
          </cell>
          <cell r="K13">
            <v>25.789000000000001</v>
          </cell>
        </row>
        <row r="14">
          <cell r="F14">
            <v>2007</v>
          </cell>
          <cell r="G14">
            <v>21.556068682204767</v>
          </cell>
          <cell r="I14">
            <v>1993</v>
          </cell>
          <cell r="J14">
            <v>28.855</v>
          </cell>
          <cell r="K14">
            <v>26.489000000000001</v>
          </cell>
        </row>
        <row r="15">
          <cell r="F15">
            <v>2006</v>
          </cell>
          <cell r="G15">
            <v>21.068336416610673</v>
          </cell>
          <cell r="I15">
            <v>1994</v>
          </cell>
          <cell r="J15">
            <v>28.003</v>
          </cell>
          <cell r="K15">
            <v>28.379000000000001</v>
          </cell>
        </row>
        <row r="16">
          <cell r="F16">
            <v>2005</v>
          </cell>
          <cell r="G16">
            <v>21.105671989898742</v>
          </cell>
          <cell r="I16">
            <v>1995</v>
          </cell>
          <cell r="J16">
            <v>28.106000000000002</v>
          </cell>
          <cell r="K16">
            <v>27.007000000000001</v>
          </cell>
        </row>
        <row r="17">
          <cell r="F17">
            <v>2004</v>
          </cell>
          <cell r="G17">
            <v>22.560877957064665</v>
          </cell>
          <cell r="I17">
            <v>1996</v>
          </cell>
          <cell r="J17">
            <v>28.468</v>
          </cell>
          <cell r="K17">
            <v>27.227</v>
          </cell>
        </row>
        <row r="18">
          <cell r="F18">
            <v>2003</v>
          </cell>
          <cell r="G18">
            <v>22.656340975070346</v>
          </cell>
          <cell r="I18">
            <v>1997</v>
          </cell>
          <cell r="J18">
            <v>28.928000000000001</v>
          </cell>
          <cell r="K18">
            <v>27.562000000000001</v>
          </cell>
        </row>
        <row r="19">
          <cell r="F19">
            <v>2002</v>
          </cell>
          <cell r="G19">
            <v>23.197325383204383</v>
          </cell>
          <cell r="I19">
            <v>1998</v>
          </cell>
          <cell r="J19">
            <v>29.463999999999999</v>
          </cell>
          <cell r="K19">
            <v>27.603999999999999</v>
          </cell>
        </row>
        <row r="20">
          <cell r="F20">
            <v>2001</v>
          </cell>
          <cell r="G20">
            <v>21.445563622348363</v>
          </cell>
          <cell r="I20">
            <v>1999</v>
          </cell>
          <cell r="J20">
            <v>29.169</v>
          </cell>
          <cell r="K20">
            <v>26.803999999999998</v>
          </cell>
        </row>
        <row r="21">
          <cell r="F21">
            <v>2000</v>
          </cell>
          <cell r="G21">
            <v>20.358912248068432</v>
          </cell>
          <cell r="I21">
            <v>2000</v>
          </cell>
          <cell r="J21">
            <v>28.827000000000002</v>
          </cell>
          <cell r="K21">
            <v>26.704000000000001</v>
          </cell>
        </row>
        <row r="22">
          <cell r="F22">
            <v>1999</v>
          </cell>
          <cell r="G22">
            <v>19.152725869944319</v>
          </cell>
          <cell r="I22">
            <v>2001</v>
          </cell>
          <cell r="J22">
            <v>27.646999999999998</v>
          </cell>
          <cell r="K22">
            <v>26.853999999999999</v>
          </cell>
        </row>
        <row r="23">
          <cell r="F23">
            <v>1998</v>
          </cell>
          <cell r="G23">
            <v>21.603481926130936</v>
          </cell>
          <cell r="I23">
            <v>2002</v>
          </cell>
          <cell r="J23">
            <v>29.367000000000001</v>
          </cell>
          <cell r="K23">
            <v>28.384</v>
          </cell>
        </row>
        <row r="24">
          <cell r="F24">
            <v>1997</v>
          </cell>
          <cell r="G24">
            <v>23.599933635219113</v>
          </cell>
          <cell r="I24">
            <v>2003</v>
          </cell>
          <cell r="J24">
            <v>29.632999999999999</v>
          </cell>
          <cell r="K24">
            <v>27.923999999999999</v>
          </cell>
        </row>
        <row r="25">
          <cell r="F25">
            <v>1996</v>
          </cell>
          <cell r="G25">
            <v>21.533212708265193</v>
          </cell>
          <cell r="I25">
            <v>2004</v>
          </cell>
          <cell r="J25">
            <v>29.940999999999999</v>
          </cell>
          <cell r="K25">
            <v>27.646000000000001</v>
          </cell>
        </row>
        <row r="26">
          <cell r="F26">
            <v>1995</v>
          </cell>
          <cell r="G26">
            <v>21.669533567012166</v>
          </cell>
          <cell r="I26">
            <v>2005</v>
          </cell>
          <cell r="J26">
            <v>29.065999999999999</v>
          </cell>
          <cell r="K26">
            <v>27.145</v>
          </cell>
        </row>
        <row r="27">
          <cell r="F27">
            <v>1994</v>
          </cell>
          <cell r="G27">
            <v>23.376049677751769</v>
          </cell>
          <cell r="I27">
            <v>2006</v>
          </cell>
          <cell r="J27">
            <v>28.614000000000001</v>
          </cell>
          <cell r="K27">
            <v>27.858000000000001</v>
          </cell>
        </row>
        <row r="28">
          <cell r="F28">
            <v>1993</v>
          </cell>
          <cell r="G28">
            <v>20.431227743054741</v>
          </cell>
          <cell r="I28">
            <v>2007</v>
          </cell>
          <cell r="J28">
            <v>28.963999999999999</v>
          </cell>
          <cell r="K28">
            <v>27.061</v>
          </cell>
        </row>
        <row r="29">
          <cell r="F29">
            <v>1992</v>
          </cell>
          <cell r="G29">
            <v>21.242879932166506</v>
          </cell>
          <cell r="I29">
            <v>2008</v>
          </cell>
          <cell r="J29">
            <v>28.584</v>
          </cell>
          <cell r="K29">
            <v>27.08</v>
          </cell>
        </row>
        <row r="30">
          <cell r="F30">
            <v>1991</v>
          </cell>
          <cell r="G30">
            <v>21.118954769967228</v>
          </cell>
          <cell r="I30">
            <v>2009</v>
          </cell>
          <cell r="J30">
            <v>27.704999999999998</v>
          </cell>
          <cell r="K30">
            <v>27.434999999999999</v>
          </cell>
        </row>
        <row r="31">
          <cell r="F31">
            <v>1990</v>
          </cell>
          <cell r="G31">
            <v>21.302288770934279</v>
          </cell>
          <cell r="I31">
            <v>2010</v>
          </cell>
          <cell r="J31">
            <v>29.277000000000001</v>
          </cell>
          <cell r="K31">
            <v>27.16</v>
          </cell>
        </row>
        <row r="32">
          <cell r="F32">
            <v>1989</v>
          </cell>
          <cell r="G32">
            <v>21.002086672547467</v>
          </cell>
          <cell r="I32">
            <v>2011</v>
          </cell>
          <cell r="J32">
            <v>28.783000000000001</v>
          </cell>
          <cell r="K32">
            <v>27.58</v>
          </cell>
        </row>
        <row r="33">
          <cell r="F33">
            <v>1988</v>
          </cell>
          <cell r="G33">
            <v>19.713687572159891</v>
          </cell>
          <cell r="I33">
            <v>2012</v>
          </cell>
          <cell r="J33">
            <v>28.760999999999999</v>
          </cell>
          <cell r="K33">
            <v>27.472000000000001</v>
          </cell>
        </row>
        <row r="34">
          <cell r="F34">
            <v>1987</v>
          </cell>
          <cell r="G34">
            <v>20.699588359079982</v>
          </cell>
          <cell r="I34">
            <v>2013</v>
          </cell>
          <cell r="J34">
            <v>29.771999999999998</v>
          </cell>
          <cell r="K34">
            <v>27.774999999999999</v>
          </cell>
        </row>
        <row r="35">
          <cell r="F35">
            <v>1986</v>
          </cell>
          <cell r="G35">
            <v>21.548145443326749</v>
          </cell>
          <cell r="I35">
            <v>2014</v>
          </cell>
          <cell r="J35">
            <v>28.728999999999999</v>
          </cell>
          <cell r="K35">
            <v>27.893000000000001</v>
          </cell>
        </row>
        <row r="36">
          <cell r="F36">
            <v>1985</v>
          </cell>
          <cell r="G36">
            <v>21.115262664496942</v>
          </cell>
          <cell r="I36">
            <v>2015</v>
          </cell>
          <cell r="J36">
            <v>28.908999999999999</v>
          </cell>
          <cell r="K36">
            <v>28.273</v>
          </cell>
        </row>
        <row r="37">
          <cell r="F37">
            <v>1984</v>
          </cell>
          <cell r="G37">
            <v>18.675401710266872</v>
          </cell>
          <cell r="I37">
            <v>2016</v>
          </cell>
          <cell r="J37">
            <v>28.689</v>
          </cell>
          <cell r="K37">
            <v>27.89</v>
          </cell>
        </row>
        <row r="38">
          <cell r="F38">
            <v>1983</v>
          </cell>
          <cell r="G38">
            <v>21.128560587076333</v>
          </cell>
          <cell r="I38">
            <v>2017</v>
          </cell>
          <cell r="J38">
            <v>28.853999999999999</v>
          </cell>
          <cell r="K38">
            <v>28.245000000000001</v>
          </cell>
        </row>
        <row r="39">
          <cell r="F39">
            <v>1982</v>
          </cell>
          <cell r="G39">
            <v>21.597127235494153</v>
          </cell>
          <cell r="I39">
            <v>2018</v>
          </cell>
          <cell r="J39">
            <v>28.390999999999998</v>
          </cell>
          <cell r="K39">
            <v>27.847000000000001</v>
          </cell>
        </row>
        <row r="40">
          <cell r="F40">
            <v>1981</v>
          </cell>
          <cell r="G40">
            <v>18.599241269414293</v>
          </cell>
          <cell r="I40">
            <v>2019</v>
          </cell>
          <cell r="J40">
            <v>28.344999999999999</v>
          </cell>
          <cell r="K40">
            <v>27.797999999999998</v>
          </cell>
        </row>
        <row r="41">
          <cell r="I41">
            <v>2020</v>
          </cell>
          <cell r="J41">
            <v>28.239000000000001</v>
          </cell>
          <cell r="K41">
            <v>28.207999999999998</v>
          </cell>
        </row>
      </sheetData>
      <sheetData sheetId="2">
        <row r="1">
          <cell r="L1" t="str">
            <v>SST_Aqua</v>
          </cell>
        </row>
        <row r="2">
          <cell r="C2">
            <v>2001</v>
          </cell>
          <cell r="D2">
            <v>27.6721586796581</v>
          </cell>
          <cell r="F2">
            <v>1</v>
          </cell>
          <cell r="G2">
            <v>27.728489497753774</v>
          </cell>
          <cell r="H2">
            <v>0.34720122185105617</v>
          </cell>
          <cell r="J2">
            <v>2017</v>
          </cell>
          <cell r="K2">
            <v>29.233463165288125</v>
          </cell>
          <cell r="L2">
            <v>30.524000000000001</v>
          </cell>
        </row>
        <row r="3">
          <cell r="C3">
            <v>2001.0833333333101</v>
          </cell>
          <cell r="D3">
            <v>27.266836542013099</v>
          </cell>
          <cell r="F3">
            <v>2</v>
          </cell>
          <cell r="G3">
            <v>27.427739228898886</v>
          </cell>
          <cell r="H3">
            <v>0.31989208140656</v>
          </cell>
          <cell r="J3">
            <v>2016</v>
          </cell>
          <cell r="K3">
            <v>29.129994911506973</v>
          </cell>
          <cell r="L3">
            <v>30.067</v>
          </cell>
        </row>
        <row r="4">
          <cell r="C4">
            <v>2001.1666666666399</v>
          </cell>
          <cell r="D4">
            <v>27.0164006149047</v>
          </cell>
          <cell r="F4">
            <v>3</v>
          </cell>
          <cell r="G4">
            <v>27.290617627705057</v>
          </cell>
          <cell r="H4">
            <v>0.37482343369929239</v>
          </cell>
          <cell r="J4">
            <v>2015</v>
          </cell>
          <cell r="K4">
            <v>28.943719222984026</v>
          </cell>
          <cell r="L4">
            <v>30.315999999999999</v>
          </cell>
        </row>
        <row r="5">
          <cell r="C5">
            <v>2001.24999999997</v>
          </cell>
          <cell r="D5">
            <v>27.468211592732899</v>
          </cell>
          <cell r="F5">
            <v>4</v>
          </cell>
          <cell r="G5">
            <v>27.90163999115774</v>
          </cell>
          <cell r="H5">
            <v>0.3427360850647565</v>
          </cell>
          <cell r="J5">
            <v>2014</v>
          </cell>
          <cell r="K5">
            <v>29.014452770347081</v>
          </cell>
          <cell r="L5">
            <v>30.015000000000001</v>
          </cell>
        </row>
        <row r="6">
          <cell r="C6">
            <v>2001.3333333333101</v>
          </cell>
          <cell r="D6">
            <v>28.996548530098401</v>
          </cell>
          <cell r="F6">
            <v>5</v>
          </cell>
          <cell r="G6">
            <v>29.308600703385864</v>
          </cell>
          <cell r="H6">
            <v>0.42278680202823499</v>
          </cell>
          <cell r="J6">
            <v>2013</v>
          </cell>
          <cell r="K6">
            <v>28.982900764020865</v>
          </cell>
          <cell r="L6">
            <v>30.140999999999998</v>
          </cell>
        </row>
        <row r="7">
          <cell r="C7">
            <v>2001.4166666666399</v>
          </cell>
          <cell r="D7">
            <v>29.491659105547299</v>
          </cell>
          <cell r="F7">
            <v>6</v>
          </cell>
          <cell r="G7">
            <v>29.997315020365281</v>
          </cell>
          <cell r="H7">
            <v>0.36328620209843232</v>
          </cell>
          <cell r="J7">
            <v>2012</v>
          </cell>
          <cell r="K7">
            <v>28.892338839064948</v>
          </cell>
          <cell r="L7">
            <v>30.052</v>
          </cell>
        </row>
        <row r="8">
          <cell r="C8">
            <v>2001.49999999998</v>
          </cell>
          <cell r="D8">
            <v>29.2572823006115</v>
          </cell>
          <cell r="F8">
            <v>7</v>
          </cell>
          <cell r="G8">
            <v>30.05050080158923</v>
          </cell>
          <cell r="H8">
            <v>0.41288173174789256</v>
          </cell>
          <cell r="J8">
            <v>2011</v>
          </cell>
          <cell r="K8">
            <v>28.825604113005443</v>
          </cell>
          <cell r="L8">
            <v>30.106000000000002</v>
          </cell>
        </row>
        <row r="9">
          <cell r="C9">
            <v>2001.5833333333101</v>
          </cell>
          <cell r="D9">
            <v>29.6441444471075</v>
          </cell>
          <cell r="F9">
            <v>8</v>
          </cell>
          <cell r="G9">
            <v>29.907056173731949</v>
          </cell>
          <cell r="H9">
            <v>0.37732509467561015</v>
          </cell>
          <cell r="J9">
            <v>2010</v>
          </cell>
          <cell r="K9">
            <v>29.044087647534226</v>
          </cell>
          <cell r="L9">
            <v>29.99</v>
          </cell>
        </row>
        <row r="10">
          <cell r="C10">
            <v>2001.6666666666399</v>
          </cell>
          <cell r="D10">
            <v>29.656015733976201</v>
          </cell>
          <cell r="F10">
            <v>9</v>
          </cell>
          <cell r="G10">
            <v>29.960803549648851</v>
          </cell>
          <cell r="H10">
            <v>0.29190133796810985</v>
          </cell>
          <cell r="J10">
            <v>2009</v>
          </cell>
          <cell r="K10">
            <v>28.746090292128898</v>
          </cell>
          <cell r="L10">
            <v>29.867999999999999</v>
          </cell>
        </row>
        <row r="11">
          <cell r="C11">
            <v>2001.74999999998</v>
          </cell>
          <cell r="D11">
            <v>29.632981389718498</v>
          </cell>
          <cell r="F11">
            <v>10</v>
          </cell>
          <cell r="G11">
            <v>29.595717178732098</v>
          </cell>
          <cell r="H11">
            <v>0.31271014144165449</v>
          </cell>
          <cell r="J11">
            <v>2008</v>
          </cell>
          <cell r="K11">
            <v>28.687753237492867</v>
          </cell>
          <cell r="L11">
            <v>29.978999999999999</v>
          </cell>
        </row>
        <row r="12">
          <cell r="C12">
            <v>2001.8333333333101</v>
          </cell>
          <cell r="D12">
            <v>28.932136155345599</v>
          </cell>
          <cell r="F12">
            <v>11</v>
          </cell>
          <cell r="G12">
            <v>29.296157573829699</v>
          </cell>
          <cell r="H12">
            <v>0.31371049418050384</v>
          </cell>
          <cell r="J12">
            <v>2007</v>
          </cell>
          <cell r="K12">
            <v>28.792489556722568</v>
          </cell>
          <cell r="L12">
            <v>30.154</v>
          </cell>
        </row>
        <row r="13">
          <cell r="C13">
            <v>2001.9166666666399</v>
          </cell>
          <cell r="D13">
            <v>28.702787972996202</v>
          </cell>
          <cell r="F13">
            <v>12</v>
          </cell>
          <cell r="G13">
            <v>28.747873637029699</v>
          </cell>
          <cell r="H13">
            <v>0.45879412702262162</v>
          </cell>
          <cell r="J13">
            <v>2006</v>
          </cell>
          <cell r="K13">
            <v>28.981554457238001</v>
          </cell>
          <cell r="L13">
            <v>30.501000000000001</v>
          </cell>
        </row>
        <row r="14">
          <cell r="C14">
            <v>2002</v>
          </cell>
          <cell r="D14">
            <v>28.372978654345001</v>
          </cell>
          <cell r="J14">
            <v>2005</v>
          </cell>
          <cell r="K14">
            <v>29.045670192409247</v>
          </cell>
          <cell r="L14">
            <v>30.128</v>
          </cell>
        </row>
        <row r="15">
          <cell r="C15">
            <v>2002.0833333333101</v>
          </cell>
          <cell r="D15">
            <v>27.369406590142599</v>
          </cell>
          <cell r="J15">
            <v>2004</v>
          </cell>
          <cell r="K15">
            <v>28.75249296607063</v>
          </cell>
          <cell r="L15">
            <v>30.045999999999999</v>
          </cell>
        </row>
        <row r="16">
          <cell r="C16">
            <v>2002.1666666666399</v>
          </cell>
          <cell r="D16">
            <v>27.304802843257502</v>
          </cell>
          <cell r="J16">
            <v>2003</v>
          </cell>
          <cell r="K16">
            <v>29.125436760302559</v>
          </cell>
          <cell r="L16">
            <v>30.14</v>
          </cell>
        </row>
        <row r="17">
          <cell r="C17">
            <v>2002.24999999998</v>
          </cell>
          <cell r="D17">
            <v>27.966350331940198</v>
          </cell>
          <cell r="J17">
            <v>2002</v>
          </cell>
          <cell r="K17">
            <v>29.041578075580926</v>
          </cell>
        </row>
        <row r="18">
          <cell r="C18">
            <v>2002.3333333333101</v>
          </cell>
          <cell r="D18">
            <v>28.449312673370699</v>
          </cell>
          <cell r="J18">
            <v>2001</v>
          </cell>
          <cell r="K18">
            <v>28.644763588725834</v>
          </cell>
        </row>
        <row r="19">
          <cell r="C19">
            <v>2002.4166666666399</v>
          </cell>
          <cell r="D19">
            <v>30.0458165049948</v>
          </cell>
        </row>
        <row r="20">
          <cell r="C20">
            <v>2002.49999999998</v>
          </cell>
          <cell r="D20">
            <v>29.9286101325809</v>
          </cell>
        </row>
        <row r="21">
          <cell r="C21">
            <v>2002.5833333333101</v>
          </cell>
          <cell r="D21">
            <v>30.067854565442801</v>
          </cell>
        </row>
        <row r="22">
          <cell r="C22">
            <v>2002.6666666666399</v>
          </cell>
          <cell r="D22">
            <v>30.278739661706801</v>
          </cell>
        </row>
        <row r="23">
          <cell r="C23">
            <v>2002.74999999998</v>
          </cell>
          <cell r="D23">
            <v>30.285128813275499</v>
          </cell>
        </row>
        <row r="24">
          <cell r="C24">
            <v>2002.8333333333101</v>
          </cell>
          <cell r="D24">
            <v>29.6185084985622</v>
          </cell>
        </row>
        <row r="25">
          <cell r="C25">
            <v>2002.9166666666399</v>
          </cell>
          <cell r="D25">
            <v>28.8114276373521</v>
          </cell>
        </row>
        <row r="26">
          <cell r="C26">
            <v>2003</v>
          </cell>
          <cell r="D26">
            <v>27.8908823313486</v>
          </cell>
        </row>
        <row r="27">
          <cell r="C27">
            <v>2003.0833333333101</v>
          </cell>
          <cell r="D27">
            <v>27.770690542994998</v>
          </cell>
        </row>
        <row r="28">
          <cell r="C28">
            <v>2003.1666666666499</v>
          </cell>
          <cell r="D28">
            <v>28.0474273407523</v>
          </cell>
        </row>
        <row r="29">
          <cell r="C29">
            <v>2003.24999999998</v>
          </cell>
          <cell r="D29">
            <v>28.420514886796099</v>
          </cell>
        </row>
        <row r="30">
          <cell r="C30">
            <v>2003.3333333333101</v>
          </cell>
          <cell r="D30">
            <v>29.7439511533351</v>
          </cell>
        </row>
        <row r="31">
          <cell r="C31">
            <v>2003.4166666666499</v>
          </cell>
          <cell r="D31">
            <v>29.6372204698175</v>
          </cell>
        </row>
        <row r="32">
          <cell r="C32">
            <v>2003.49999999998</v>
          </cell>
          <cell r="D32">
            <v>29.747964188312999</v>
          </cell>
        </row>
        <row r="33">
          <cell r="C33">
            <v>2003.5833333333101</v>
          </cell>
          <cell r="D33">
            <v>29.906191165251801</v>
          </cell>
        </row>
        <row r="34">
          <cell r="C34">
            <v>2003.6666666666499</v>
          </cell>
          <cell r="D34">
            <v>30.3967277984625</v>
          </cell>
        </row>
        <row r="35">
          <cell r="C35">
            <v>2003.74999999998</v>
          </cell>
          <cell r="D35">
            <v>29.538294862179999</v>
          </cell>
        </row>
        <row r="36">
          <cell r="C36">
            <v>2003.8333333333101</v>
          </cell>
          <cell r="D36">
            <v>29.866645083667802</v>
          </cell>
        </row>
        <row r="37">
          <cell r="C37">
            <v>2003.9166666666499</v>
          </cell>
          <cell r="D37">
            <v>28.538731300711</v>
          </cell>
        </row>
        <row r="38">
          <cell r="C38">
            <v>2004</v>
          </cell>
          <cell r="D38">
            <v>27.5339328777257</v>
          </cell>
        </row>
        <row r="39">
          <cell r="C39">
            <v>2004.0833333333101</v>
          </cell>
          <cell r="D39">
            <v>27.658044134358999</v>
          </cell>
        </row>
        <row r="40">
          <cell r="C40">
            <v>2004.1666666666499</v>
          </cell>
          <cell r="D40">
            <v>27.055006649782602</v>
          </cell>
        </row>
        <row r="41">
          <cell r="C41">
            <v>2004.24999999998</v>
          </cell>
          <cell r="D41">
            <v>27.919245351022902</v>
          </cell>
        </row>
        <row r="42">
          <cell r="C42">
            <v>2004.3333333333101</v>
          </cell>
          <cell r="D42">
            <v>29.486568446949899</v>
          </cell>
        </row>
        <row r="43">
          <cell r="C43">
            <v>2004.4166666666499</v>
          </cell>
          <cell r="D43">
            <v>29.836932454415699</v>
          </cell>
        </row>
        <row r="44">
          <cell r="C44">
            <v>2004.49999999998</v>
          </cell>
          <cell r="D44">
            <v>29.8361236719348</v>
          </cell>
        </row>
        <row r="45">
          <cell r="C45">
            <v>2004.5833333333101</v>
          </cell>
          <cell r="D45">
            <v>29.612716532918299</v>
          </cell>
        </row>
        <row r="46">
          <cell r="C46">
            <v>2004.6666666666499</v>
          </cell>
          <cell r="D46">
            <v>29.3869604478746</v>
          </cell>
        </row>
        <row r="47">
          <cell r="C47">
            <v>2004.74999999998</v>
          </cell>
          <cell r="D47">
            <v>29.7361429365329</v>
          </cell>
        </row>
        <row r="48">
          <cell r="C48">
            <v>2004.8333333333101</v>
          </cell>
          <cell r="D48">
            <v>29.002451660299901</v>
          </cell>
        </row>
        <row r="49">
          <cell r="C49">
            <v>2004.9166666666499</v>
          </cell>
          <cell r="D49">
            <v>27.965790429031198</v>
          </cell>
        </row>
        <row r="50">
          <cell r="C50">
            <v>2005</v>
          </cell>
          <cell r="D50">
            <v>27.2598663455828</v>
          </cell>
        </row>
        <row r="51">
          <cell r="C51">
            <v>2005.0833333333201</v>
          </cell>
          <cell r="D51">
            <v>26.5386746667238</v>
          </cell>
        </row>
        <row r="52">
          <cell r="C52">
            <v>2005.1666666666499</v>
          </cell>
          <cell r="D52">
            <v>27.606402342901799</v>
          </cell>
        </row>
        <row r="53">
          <cell r="C53">
            <v>2005.24999999998</v>
          </cell>
          <cell r="D53">
            <v>28.548267448196501</v>
          </cell>
        </row>
        <row r="54">
          <cell r="C54">
            <v>2005.3333333333201</v>
          </cell>
          <cell r="D54">
            <v>29.669741871845801</v>
          </cell>
        </row>
        <row r="55">
          <cell r="C55">
            <v>2005.4166666666499</v>
          </cell>
          <cell r="D55">
            <v>30.5073857117244</v>
          </cell>
        </row>
        <row r="56">
          <cell r="C56">
            <v>2005.49999999998</v>
          </cell>
          <cell r="D56">
            <v>30.8789286381812</v>
          </cell>
        </row>
        <row r="57">
          <cell r="C57">
            <v>2005.5833333333201</v>
          </cell>
          <cell r="D57">
            <v>30.5095972566324</v>
          </cell>
        </row>
        <row r="58">
          <cell r="C58">
            <v>2005.6666666666499</v>
          </cell>
          <cell r="D58">
            <v>29.879862712351098</v>
          </cell>
        </row>
        <row r="59">
          <cell r="C59">
            <v>2005.74999999998</v>
          </cell>
          <cell r="D59">
            <v>29.161441457982701</v>
          </cell>
        </row>
        <row r="60">
          <cell r="C60">
            <v>2005.8333333333201</v>
          </cell>
          <cell r="D60">
            <v>28.955182384110302</v>
          </cell>
        </row>
        <row r="61">
          <cell r="C61">
            <v>2005.9166666666499</v>
          </cell>
          <cell r="D61">
            <v>29.032691472678199</v>
          </cell>
        </row>
        <row r="62">
          <cell r="C62">
            <v>2006</v>
          </cell>
          <cell r="D62">
            <v>28.001500518315002</v>
          </cell>
        </row>
        <row r="63">
          <cell r="C63">
            <v>2006.0833333333201</v>
          </cell>
          <cell r="D63">
            <v>27.289392488716398</v>
          </cell>
        </row>
        <row r="64">
          <cell r="C64">
            <v>2006.1666666666499</v>
          </cell>
          <cell r="D64">
            <v>27.0941262786233</v>
          </cell>
        </row>
        <row r="65">
          <cell r="C65">
            <v>2006.24999999998</v>
          </cell>
          <cell r="D65">
            <v>27.734311863800901</v>
          </cell>
        </row>
        <row r="66">
          <cell r="C66">
            <v>2006.3333333333201</v>
          </cell>
          <cell r="D66">
            <v>29.375347518712299</v>
          </cell>
        </row>
        <row r="67">
          <cell r="C67">
            <v>2006.4166666666499</v>
          </cell>
          <cell r="D67">
            <v>30.224654727408499</v>
          </cell>
        </row>
        <row r="68">
          <cell r="C68">
            <v>2006.49999999998</v>
          </cell>
          <cell r="D68">
            <v>30.299878204991099</v>
          </cell>
        </row>
        <row r="69">
          <cell r="C69">
            <v>2006.5833333333201</v>
          </cell>
          <cell r="D69">
            <v>29.997100016052499</v>
          </cell>
        </row>
        <row r="70">
          <cell r="C70">
            <v>2006.6666666666499</v>
          </cell>
          <cell r="D70">
            <v>29.816798138230499</v>
          </cell>
        </row>
        <row r="71">
          <cell r="C71">
            <v>2006.74999999998</v>
          </cell>
          <cell r="D71">
            <v>29.602638896141201</v>
          </cell>
        </row>
        <row r="72">
          <cell r="C72">
            <v>2006.8333333333201</v>
          </cell>
          <cell r="D72">
            <v>29.4677382950164</v>
          </cell>
        </row>
        <row r="73">
          <cell r="C73">
            <v>2006.9166666666499</v>
          </cell>
          <cell r="D73">
            <v>28.8751665408479</v>
          </cell>
        </row>
        <row r="74">
          <cell r="C74">
            <v>2007</v>
          </cell>
          <cell r="D74">
            <v>27.389019776288801</v>
          </cell>
        </row>
        <row r="75">
          <cell r="C75">
            <v>2007.0833333333201</v>
          </cell>
          <cell r="D75">
            <v>27.570564245238302</v>
          </cell>
        </row>
        <row r="76">
          <cell r="C76">
            <v>2007.1666666666499</v>
          </cell>
          <cell r="D76">
            <v>27.080328154033499</v>
          </cell>
        </row>
        <row r="77">
          <cell r="C77">
            <v>2007.24999999999</v>
          </cell>
          <cell r="D77">
            <v>28.0042676433163</v>
          </cell>
        </row>
        <row r="78">
          <cell r="C78">
            <v>2007.3333333333201</v>
          </cell>
          <cell r="D78">
            <v>29.003848257747599</v>
          </cell>
        </row>
        <row r="79">
          <cell r="C79">
            <v>2007.4166666666499</v>
          </cell>
          <cell r="D79">
            <v>29.817553554166398</v>
          </cell>
        </row>
        <row r="80">
          <cell r="C80">
            <v>2007.49999999999</v>
          </cell>
          <cell r="D80">
            <v>30.641067472145899</v>
          </cell>
        </row>
        <row r="81">
          <cell r="C81">
            <v>2007.5833333333201</v>
          </cell>
          <cell r="D81">
            <v>29.696378472264001</v>
          </cell>
        </row>
        <row r="82">
          <cell r="C82">
            <v>2007.6666666666499</v>
          </cell>
          <cell r="D82">
            <v>29.773190264967901</v>
          </cell>
        </row>
        <row r="83">
          <cell r="C83">
            <v>2007.74999999999</v>
          </cell>
          <cell r="D83">
            <v>29.239602137985301</v>
          </cell>
        </row>
        <row r="84">
          <cell r="C84">
            <v>2007.8333333333201</v>
          </cell>
          <cell r="D84">
            <v>28.811139753892</v>
          </cell>
        </row>
        <row r="85">
          <cell r="C85">
            <v>2007.9166666666499</v>
          </cell>
          <cell r="D85">
            <v>28.482914948624799</v>
          </cell>
        </row>
        <row r="86">
          <cell r="C86">
            <v>2008</v>
          </cell>
          <cell r="D86">
            <v>27.483233493746599</v>
          </cell>
        </row>
        <row r="87">
          <cell r="C87">
            <v>2008.0833333333201</v>
          </cell>
          <cell r="D87">
            <v>27.461929901729899</v>
          </cell>
        </row>
        <row r="88">
          <cell r="C88">
            <v>2008.1666666666499</v>
          </cell>
          <cell r="D88">
            <v>27.832175095765098</v>
          </cell>
        </row>
        <row r="89">
          <cell r="C89">
            <v>2008.24999999999</v>
          </cell>
          <cell r="D89">
            <v>27.576762979720201</v>
          </cell>
        </row>
        <row r="90">
          <cell r="C90">
            <v>2008.3333333333201</v>
          </cell>
          <cell r="D90">
            <v>28.755112396020099</v>
          </cell>
        </row>
        <row r="91">
          <cell r="C91">
            <v>2008.4166666666499</v>
          </cell>
          <cell r="D91">
            <v>29.614361585369899</v>
          </cell>
        </row>
        <row r="92">
          <cell r="C92">
            <v>2008.49999999999</v>
          </cell>
          <cell r="D92">
            <v>30.193407524553798</v>
          </cell>
        </row>
        <row r="93">
          <cell r="C93">
            <v>2008.5833333333201</v>
          </cell>
          <cell r="D93">
            <v>29.335851028353201</v>
          </cell>
        </row>
        <row r="94">
          <cell r="C94">
            <v>2008.6666666666599</v>
          </cell>
          <cell r="D94">
            <v>29.6883078575414</v>
          </cell>
        </row>
        <row r="95">
          <cell r="C95">
            <v>2008.74999999999</v>
          </cell>
          <cell r="D95">
            <v>29.472274255409602</v>
          </cell>
        </row>
        <row r="96">
          <cell r="C96">
            <v>2008.8333333333201</v>
          </cell>
          <cell r="D96">
            <v>28.8320291631522</v>
          </cell>
        </row>
        <row r="97">
          <cell r="C97">
            <v>2008.9166666666599</v>
          </cell>
          <cell r="D97">
            <v>28.007593568552402</v>
          </cell>
        </row>
        <row r="98">
          <cell r="C98">
            <v>2009</v>
          </cell>
          <cell r="D98">
            <v>27.438351998094301</v>
          </cell>
        </row>
        <row r="99">
          <cell r="C99">
            <v>2009.0833333333201</v>
          </cell>
          <cell r="D99">
            <v>27.130515379625599</v>
          </cell>
        </row>
        <row r="100">
          <cell r="C100">
            <v>2009.1666666666599</v>
          </cell>
          <cell r="D100">
            <v>26.649075465444302</v>
          </cell>
        </row>
        <row r="101">
          <cell r="C101">
            <v>2009.24999999999</v>
          </cell>
          <cell r="D101">
            <v>27.710709755291202</v>
          </cell>
        </row>
        <row r="102">
          <cell r="C102">
            <v>2009.3333333333201</v>
          </cell>
          <cell r="D102">
            <v>29.2407872263408</v>
          </cell>
        </row>
        <row r="103">
          <cell r="C103">
            <v>2009.4166666666599</v>
          </cell>
          <cell r="D103">
            <v>29.615779059010301</v>
          </cell>
        </row>
        <row r="104">
          <cell r="C104">
            <v>2009.49999999999</v>
          </cell>
          <cell r="D104">
            <v>29.6727595932654</v>
          </cell>
        </row>
        <row r="105">
          <cell r="C105">
            <v>2009.5833333333201</v>
          </cell>
          <cell r="D105">
            <v>29.4322519069874</v>
          </cell>
        </row>
        <row r="106">
          <cell r="C106">
            <v>2009.6666666666599</v>
          </cell>
          <cell r="D106">
            <v>29.901402318787799</v>
          </cell>
        </row>
        <row r="107">
          <cell r="C107">
            <v>2009.74999999999</v>
          </cell>
          <cell r="D107">
            <v>29.6910849844182</v>
          </cell>
        </row>
        <row r="108">
          <cell r="C108">
            <v>2009.8333333333201</v>
          </cell>
          <cell r="D108">
            <v>29.467158056080301</v>
          </cell>
        </row>
        <row r="109">
          <cell r="C109">
            <v>2009.9166666666599</v>
          </cell>
          <cell r="D109">
            <v>29.0032077622012</v>
          </cell>
        </row>
        <row r="110">
          <cell r="C110">
            <v>2010</v>
          </cell>
          <cell r="D110">
            <v>27.9558841416288</v>
          </cell>
        </row>
        <row r="111">
          <cell r="C111">
            <v>2010.0833333333201</v>
          </cell>
          <cell r="D111">
            <v>27.378130783236902</v>
          </cell>
        </row>
        <row r="112">
          <cell r="C112">
            <v>2010.1666666666599</v>
          </cell>
          <cell r="D112">
            <v>27.8655505939312</v>
          </cell>
        </row>
        <row r="113">
          <cell r="C113">
            <v>2010.24999999999</v>
          </cell>
          <cell r="D113">
            <v>28.540068457210101</v>
          </cell>
        </row>
        <row r="114">
          <cell r="C114">
            <v>2010.3333333333201</v>
          </cell>
          <cell r="D114">
            <v>29.168379195418201</v>
          </cell>
        </row>
        <row r="115">
          <cell r="C115">
            <v>2010.4166666666599</v>
          </cell>
          <cell r="D115">
            <v>30.066990525942099</v>
          </cell>
        </row>
        <row r="116">
          <cell r="C116">
            <v>2010.49999999999</v>
          </cell>
          <cell r="D116">
            <v>30.4315071477915</v>
          </cell>
        </row>
        <row r="117">
          <cell r="C117">
            <v>2010.5833333333301</v>
          </cell>
          <cell r="D117">
            <v>30.839607593870099</v>
          </cell>
        </row>
        <row r="118">
          <cell r="C118">
            <v>2010.6666666666599</v>
          </cell>
          <cell r="D118">
            <v>29.671185203978499</v>
          </cell>
        </row>
        <row r="119">
          <cell r="C119">
            <v>2010.74999999999</v>
          </cell>
          <cell r="D119">
            <v>29.423518125438399</v>
          </cell>
        </row>
        <row r="120">
          <cell r="C120">
            <v>2010.8333333333301</v>
          </cell>
          <cell r="D120">
            <v>29.044062019764802</v>
          </cell>
        </row>
        <row r="121">
          <cell r="C121">
            <v>2010.9166666666599</v>
          </cell>
          <cell r="D121">
            <v>28.144167982200099</v>
          </cell>
        </row>
        <row r="122">
          <cell r="C122">
            <v>2011</v>
          </cell>
          <cell r="D122">
            <v>27.683809033161101</v>
          </cell>
        </row>
        <row r="123">
          <cell r="C123">
            <v>2011.0833333333301</v>
          </cell>
          <cell r="D123">
            <v>27.628027793452102</v>
          </cell>
        </row>
        <row r="124">
          <cell r="C124">
            <v>2011.1666666666599</v>
          </cell>
          <cell r="D124">
            <v>27.045530784522501</v>
          </cell>
        </row>
        <row r="125">
          <cell r="C125">
            <v>2011.24999999999</v>
          </cell>
          <cell r="D125">
            <v>27.4558614750804</v>
          </cell>
        </row>
        <row r="126">
          <cell r="C126">
            <v>2011.3333333333301</v>
          </cell>
          <cell r="D126">
            <v>29.0719099412186</v>
          </cell>
        </row>
        <row r="127">
          <cell r="C127">
            <v>2011.4166666666599</v>
          </cell>
          <cell r="D127">
            <v>29.8492431662598</v>
          </cell>
        </row>
        <row r="128">
          <cell r="C128">
            <v>2011.49999999999</v>
          </cell>
          <cell r="D128">
            <v>30.131515375719601</v>
          </cell>
        </row>
        <row r="129">
          <cell r="C129">
            <v>2011.5833333333301</v>
          </cell>
          <cell r="D129">
            <v>29.907098846185299</v>
          </cell>
        </row>
        <row r="130">
          <cell r="C130">
            <v>2011.6666666666599</v>
          </cell>
          <cell r="D130">
            <v>29.889071622135599</v>
          </cell>
        </row>
        <row r="131">
          <cell r="C131">
            <v>2011.74999999999</v>
          </cell>
          <cell r="D131">
            <v>29.276125000722399</v>
          </cell>
        </row>
        <row r="132">
          <cell r="C132">
            <v>2011.8333333333301</v>
          </cell>
          <cell r="D132">
            <v>29.3260993053687</v>
          </cell>
        </row>
        <row r="133">
          <cell r="C133">
            <v>2011.9166666666599</v>
          </cell>
          <cell r="D133">
            <v>28.642957012239201</v>
          </cell>
        </row>
        <row r="134">
          <cell r="C134">
            <v>2012</v>
          </cell>
          <cell r="D134">
            <v>27.543481675592901</v>
          </cell>
        </row>
        <row r="135">
          <cell r="C135">
            <v>2012.0833333333301</v>
          </cell>
          <cell r="D135">
            <v>27.097799751442999</v>
          </cell>
        </row>
        <row r="136">
          <cell r="C136">
            <v>2012.1666666666599</v>
          </cell>
          <cell r="D136">
            <v>26.980684165359499</v>
          </cell>
        </row>
        <row r="137">
          <cell r="C137">
            <v>2012.24999999999</v>
          </cell>
          <cell r="D137">
            <v>27.8807835870237</v>
          </cell>
        </row>
        <row r="138">
          <cell r="C138">
            <v>2012.3333333333301</v>
          </cell>
          <cell r="D138">
            <v>29.679612167163299</v>
          </cell>
        </row>
        <row r="139">
          <cell r="C139">
            <v>2012.4166666666599</v>
          </cell>
          <cell r="D139">
            <v>30.213421456252298</v>
          </cell>
        </row>
        <row r="140">
          <cell r="C140">
            <v>2012.5</v>
          </cell>
          <cell r="D140">
            <v>29.862247828765899</v>
          </cell>
        </row>
        <row r="141">
          <cell r="C141">
            <v>2012.5833333333301</v>
          </cell>
          <cell r="D141">
            <v>29.9896404264593</v>
          </cell>
        </row>
        <row r="142">
          <cell r="C142">
            <v>2012.6666666666599</v>
          </cell>
          <cell r="D142">
            <v>29.992801517155598</v>
          </cell>
        </row>
        <row r="143">
          <cell r="C143">
            <v>2012.75</v>
          </cell>
          <cell r="D143">
            <v>29.318286283295901</v>
          </cell>
        </row>
        <row r="144">
          <cell r="C144">
            <v>2012.8333333333301</v>
          </cell>
          <cell r="D144">
            <v>29.401699387354999</v>
          </cell>
        </row>
        <row r="145">
          <cell r="C145">
            <v>2012.9166666666599</v>
          </cell>
          <cell r="D145">
            <v>28.747607822913</v>
          </cell>
        </row>
        <row r="146">
          <cell r="C146">
            <v>2013</v>
          </cell>
          <cell r="D146">
            <v>27.463720547364399</v>
          </cell>
        </row>
        <row r="147">
          <cell r="C147">
            <v>2013.0833333333301</v>
          </cell>
          <cell r="D147">
            <v>27.453062444289898</v>
          </cell>
        </row>
        <row r="148">
          <cell r="C148">
            <v>2013.1666666666599</v>
          </cell>
          <cell r="D148">
            <v>27.204193619150299</v>
          </cell>
        </row>
        <row r="149">
          <cell r="C149">
            <v>2013.25</v>
          </cell>
          <cell r="D149">
            <v>28.164004115258699</v>
          </cell>
        </row>
        <row r="150">
          <cell r="C150">
            <v>2013.3333333333301</v>
          </cell>
          <cell r="D150">
            <v>29.402040631264899</v>
          </cell>
        </row>
        <row r="151">
          <cell r="C151">
            <v>2013.4166666666599</v>
          </cell>
          <cell r="D151">
            <v>30.2138714744511</v>
          </cell>
        </row>
        <row r="152">
          <cell r="C152">
            <v>2013.5</v>
          </cell>
          <cell r="D152">
            <v>29.909115211208601</v>
          </cell>
        </row>
        <row r="153">
          <cell r="C153">
            <v>2013.5833333333301</v>
          </cell>
          <cell r="D153">
            <v>29.751219746170499</v>
          </cell>
        </row>
        <row r="154">
          <cell r="C154">
            <v>2013.6666666666599</v>
          </cell>
          <cell r="D154">
            <v>29.966307446180998</v>
          </cell>
        </row>
        <row r="155">
          <cell r="C155">
            <v>2013.75</v>
          </cell>
          <cell r="D155">
            <v>29.850707579603299</v>
          </cell>
        </row>
        <row r="156">
          <cell r="C156">
            <v>2013.8333333333301</v>
          </cell>
          <cell r="D156">
            <v>29.498075262840398</v>
          </cell>
        </row>
        <row r="157">
          <cell r="C157">
            <v>2013.9166666666599</v>
          </cell>
          <cell r="D157">
            <v>28.918491090467199</v>
          </cell>
        </row>
        <row r="158">
          <cell r="C158">
            <v>2014</v>
          </cell>
          <cell r="D158">
            <v>28.031242328934599</v>
          </cell>
        </row>
        <row r="159">
          <cell r="C159">
            <v>2014.0833333333333</v>
          </cell>
          <cell r="D159">
            <v>27.520678346389499</v>
          </cell>
        </row>
        <row r="160">
          <cell r="C160">
            <v>2014.1666666666665</v>
          </cell>
          <cell r="D160">
            <v>27.210819191758802</v>
          </cell>
        </row>
        <row r="161">
          <cell r="C161">
            <v>2014.25</v>
          </cell>
          <cell r="D161">
            <v>27.815077329176098</v>
          </cell>
        </row>
        <row r="162">
          <cell r="C162">
            <v>2014.3333333333333</v>
          </cell>
          <cell r="D162">
            <v>29.318520489491998</v>
          </cell>
        </row>
        <row r="163">
          <cell r="C163">
            <v>2014.4166666666665</v>
          </cell>
          <cell r="D163">
            <v>30.210219577663601</v>
          </cell>
        </row>
        <row r="164">
          <cell r="C164">
            <v>2014.5</v>
          </cell>
          <cell r="D164">
            <v>29.9483234131079</v>
          </cell>
        </row>
        <row r="165">
          <cell r="C165">
            <v>2014.5833333333333</v>
          </cell>
          <cell r="D165">
            <v>29.642242107512399</v>
          </cell>
        </row>
        <row r="166">
          <cell r="C166">
            <v>2014.6666666666665</v>
          </cell>
          <cell r="D166">
            <v>30.4211307318884</v>
          </cell>
        </row>
        <row r="167">
          <cell r="C167">
            <v>2014.75</v>
          </cell>
          <cell r="D167">
            <v>29.666539450236701</v>
          </cell>
        </row>
        <row r="168">
          <cell r="C168">
            <v>2014.8333333333333</v>
          </cell>
          <cell r="D168">
            <v>29.615854790430902</v>
          </cell>
        </row>
        <row r="169">
          <cell r="C169">
            <v>2014.9166666666665</v>
          </cell>
          <cell r="D169">
            <v>28.772785487574101</v>
          </cell>
        </row>
        <row r="170">
          <cell r="C170">
            <v>2014.9999999999998</v>
          </cell>
          <cell r="D170">
            <v>27.465860769431099</v>
          </cell>
        </row>
        <row r="171">
          <cell r="C171">
            <v>2015.083333333333</v>
          </cell>
          <cell r="D171">
            <v>27.694802446360899</v>
          </cell>
        </row>
        <row r="172">
          <cell r="C172">
            <v>2015.1666666666665</v>
          </cell>
          <cell r="D172">
            <v>27.199650730196701</v>
          </cell>
        </row>
        <row r="173">
          <cell r="C173">
            <v>2015.2499999999998</v>
          </cell>
          <cell r="D173">
            <v>27.5847849846648</v>
          </cell>
        </row>
        <row r="174">
          <cell r="C174">
            <v>2015.3333333333333</v>
          </cell>
          <cell r="D174">
            <v>28.9473134232706</v>
          </cell>
        </row>
        <row r="175">
          <cell r="C175">
            <v>2015.4166666666665</v>
          </cell>
          <cell r="D175">
            <v>29.5064424821527</v>
          </cell>
        </row>
        <row r="176">
          <cell r="C176">
            <v>2015.4999999999998</v>
          </cell>
          <cell r="D176">
            <v>29.498891508930601</v>
          </cell>
        </row>
        <row r="177">
          <cell r="C177">
            <v>2015.5833333333333</v>
          </cell>
          <cell r="D177">
            <v>29.766916929151201</v>
          </cell>
        </row>
        <row r="178">
          <cell r="C178">
            <v>2015.6666666666665</v>
          </cell>
          <cell r="D178">
            <v>30.2527123695074</v>
          </cell>
        </row>
        <row r="179">
          <cell r="C179">
            <v>2015.7499999999998</v>
          </cell>
          <cell r="D179">
            <v>30.028487247072</v>
          </cell>
        </row>
        <row r="180">
          <cell r="C180">
            <v>2015.8333333333333</v>
          </cell>
          <cell r="D180">
            <v>29.5242127558904</v>
          </cell>
        </row>
        <row r="181">
          <cell r="C181">
            <v>2015.9166666666665</v>
          </cell>
          <cell r="D181">
            <v>29.854555029179899</v>
          </cell>
        </row>
        <row r="182">
          <cell r="C182">
            <v>2016</v>
          </cell>
          <cell r="D182">
            <v>28.4857115356062</v>
          </cell>
        </row>
        <row r="183">
          <cell r="C183">
            <v>2016.0833333333301</v>
          </cell>
          <cell r="D183">
            <v>27.483570830186199</v>
          </cell>
        </row>
        <row r="184">
          <cell r="C184">
            <v>2016.1666666666699</v>
          </cell>
          <cell r="D184">
            <v>27.115266228933098</v>
          </cell>
        </row>
        <row r="185">
          <cell r="C185">
            <v>2016.25</v>
          </cell>
          <cell r="D185">
            <v>27.749833486467399</v>
          </cell>
        </row>
        <row r="186">
          <cell r="C186">
            <v>2016.3333333333301</v>
          </cell>
          <cell r="D186">
            <v>30.110752952988499</v>
          </cell>
        </row>
        <row r="187">
          <cell r="C187">
            <v>2016.4166666666699</v>
          </cell>
          <cell r="D187">
            <v>30.694787912754101</v>
          </cell>
        </row>
        <row r="188">
          <cell r="C188">
            <v>2016.5</v>
          </cell>
          <cell r="D188">
            <v>30.190807101069101</v>
          </cell>
        </row>
        <row r="189">
          <cell r="C189">
            <v>2016.5833333333301</v>
          </cell>
          <cell r="D189">
            <v>30.231444738186202</v>
          </cell>
        </row>
        <row r="190">
          <cell r="C190">
            <v>2016.6666666666699</v>
          </cell>
          <cell r="D190">
            <v>30.068601552955801</v>
          </cell>
        </row>
        <row r="191">
          <cell r="C191">
            <v>2016.75</v>
          </cell>
          <cell r="D191">
            <v>29.242142691844801</v>
          </cell>
        </row>
        <row r="192">
          <cell r="C192">
            <v>2016.8333333333301</v>
          </cell>
          <cell r="D192">
            <v>29.219307698041799</v>
          </cell>
        </row>
        <row r="193">
          <cell r="C193">
            <v>2016.9166666666699</v>
          </cell>
          <cell r="D193">
            <v>28.9677122090505</v>
          </cell>
        </row>
        <row r="194">
          <cell r="C194">
            <v>2017</v>
          </cell>
          <cell r="D194">
            <v>27.712686754990202</v>
          </cell>
        </row>
        <row r="195">
          <cell r="C195">
            <v>2017.0833333333301</v>
          </cell>
          <cell r="D195">
            <v>27.959440004378902</v>
          </cell>
        </row>
        <row r="196">
          <cell r="C196">
            <v>2017.1666666666699</v>
          </cell>
          <cell r="D196">
            <v>27.633059571668799</v>
          </cell>
        </row>
        <row r="197">
          <cell r="C197">
            <v>2017.25</v>
          </cell>
          <cell r="D197">
            <v>27.788824561983201</v>
          </cell>
        </row>
        <row r="198">
          <cell r="C198">
            <v>2017.3333333333301</v>
          </cell>
          <cell r="D198">
            <v>29.826465082322901</v>
          </cell>
        </row>
        <row r="199">
          <cell r="C199">
            <v>2017.4166666666699</v>
          </cell>
          <cell r="D199">
            <v>30.408015578279201</v>
          </cell>
        </row>
        <row r="200">
          <cell r="C200">
            <v>2017.5</v>
          </cell>
          <cell r="D200">
            <v>30.430084313846201</v>
          </cell>
        </row>
        <row r="201">
          <cell r="C201">
            <v>2017.5833333333301</v>
          </cell>
          <cell r="D201">
            <v>30.0896991748983</v>
          </cell>
        </row>
        <row r="202">
          <cell r="C202">
            <v>2017.6666666666599</v>
          </cell>
          <cell r="D202">
            <v>30.293844966329399</v>
          </cell>
        </row>
        <row r="203">
          <cell r="C203">
            <v>2017.75</v>
          </cell>
          <cell r="D203">
            <v>29.961795926588302</v>
          </cell>
        </row>
        <row r="204">
          <cell r="C204">
            <v>2017.8333333333301</v>
          </cell>
          <cell r="D204">
            <v>29.4523784852862</v>
          </cell>
        </row>
        <row r="205">
          <cell r="C205">
            <v>2017.9166666666599</v>
          </cell>
          <cell r="D205">
            <v>29.245263562885899</v>
          </cell>
        </row>
      </sheetData>
      <sheetData sheetId="3">
        <row r="2">
          <cell r="J2" t="str">
            <v>HADISST (°C)</v>
          </cell>
        </row>
        <row r="3">
          <cell r="A3">
            <v>2015</v>
          </cell>
          <cell r="B3">
            <v>28.355173833333328</v>
          </cell>
          <cell r="I3">
            <v>2015.9166666666665</v>
          </cell>
          <cell r="J3">
            <v>28.673012</v>
          </cell>
          <cell r="K3">
            <v>2.7387556877269978</v>
          </cell>
          <cell r="L3">
            <v>12</v>
          </cell>
          <cell r="M3">
            <v>27.797772833333337</v>
          </cell>
          <cell r="N3">
            <v>0.31957548115328938</v>
          </cell>
        </row>
        <row r="4">
          <cell r="A4">
            <v>2014</v>
          </cell>
          <cell r="B4">
            <v>28.293394333333335</v>
          </cell>
          <cell r="I4">
            <v>2015.8333333333333</v>
          </cell>
          <cell r="J4">
            <v>29.053927999999999</v>
          </cell>
          <cell r="K4">
            <v>1.1874241759200166</v>
          </cell>
          <cell r="L4">
            <v>11</v>
          </cell>
          <cell r="M4">
            <v>28.679352166666664</v>
          </cell>
          <cell r="N4">
            <v>0.31545242292470038</v>
          </cell>
        </row>
        <row r="5">
          <cell r="A5">
            <v>2013</v>
          </cell>
          <cell r="B5">
            <v>28.339949749999999</v>
          </cell>
          <cell r="I5">
            <v>2015.7499999999998</v>
          </cell>
          <cell r="J5">
            <v>29.775919999999999</v>
          </cell>
          <cell r="K5">
            <v>2.6942475858023927</v>
          </cell>
          <cell r="L5">
            <v>10</v>
          </cell>
          <cell r="M5">
            <v>28.925387257575757</v>
          </cell>
          <cell r="N5">
            <v>0.31568470058438941</v>
          </cell>
        </row>
        <row r="6">
          <cell r="A6">
            <v>2012</v>
          </cell>
          <cell r="B6">
            <v>28.264226666666669</v>
          </cell>
          <cell r="I6">
            <v>2015.6666666666665</v>
          </cell>
          <cell r="J6">
            <v>29.478052000000002</v>
          </cell>
          <cell r="K6">
            <v>1.9489056012079469</v>
          </cell>
          <cell r="L6">
            <v>9</v>
          </cell>
          <cell r="M6">
            <v>28.818721318181826</v>
          </cell>
          <cell r="N6">
            <v>0.33830816711159206</v>
          </cell>
        </row>
        <row r="7">
          <cell r="A7">
            <v>2011</v>
          </cell>
          <cell r="B7">
            <v>28.428455916666664</v>
          </cell>
          <cell r="I7">
            <v>2015.5833333333333</v>
          </cell>
          <cell r="J7">
            <v>28.577988000000001</v>
          </cell>
          <cell r="K7">
            <v>0.2506281764520959</v>
          </cell>
          <cell r="L7">
            <v>8</v>
          </cell>
          <cell r="M7">
            <v>28.493212333333329</v>
          </cell>
          <cell r="N7">
            <v>0.33825273704960412</v>
          </cell>
        </row>
        <row r="8">
          <cell r="A8">
            <v>2010</v>
          </cell>
          <cell r="B8">
            <v>28.769775499999994</v>
          </cell>
          <cell r="I8">
            <v>2015.4999999999998</v>
          </cell>
          <cell r="J8">
            <v>28.235472000000001</v>
          </cell>
          <cell r="K8">
            <v>-0.18676245527217525</v>
          </cell>
          <cell r="L8">
            <v>7</v>
          </cell>
          <cell r="M8">
            <v>28.300005318181832</v>
          </cell>
          <cell r="N8">
            <v>0.34553689116896424</v>
          </cell>
        </row>
        <row r="9">
          <cell r="A9">
            <v>2009</v>
          </cell>
          <cell r="B9">
            <v>28.08855208333333</v>
          </cell>
          <cell r="I9">
            <v>2015.4166666666665</v>
          </cell>
          <cell r="J9">
            <v>28.563735999999999</v>
          </cell>
          <cell r="K9">
            <v>-0.22672432381425764</v>
          </cell>
          <cell r="L9">
            <v>6</v>
          </cell>
          <cell r="M9">
            <v>28.648335863636365</v>
          </cell>
          <cell r="N9">
            <v>0.37313977703457435</v>
          </cell>
        </row>
        <row r="10">
          <cell r="A10">
            <v>2008</v>
          </cell>
          <cell r="B10">
            <v>28.127610249999993</v>
          </cell>
          <cell r="I10">
            <v>2015.3333333333333</v>
          </cell>
          <cell r="J10">
            <v>28.284054000000001</v>
          </cell>
          <cell r="K10">
            <v>-8.4973518372327334E-2</v>
          </cell>
          <cell r="L10">
            <v>5</v>
          </cell>
          <cell r="M10">
            <v>28.318618681818187</v>
          </cell>
          <cell r="N10">
            <v>0.40677004412991236</v>
          </cell>
        </row>
        <row r="11">
          <cell r="A11">
            <v>2007</v>
          </cell>
          <cell r="B11">
            <v>28.209015749999995</v>
          </cell>
          <cell r="I11">
            <v>2015.2499999999998</v>
          </cell>
          <cell r="J11">
            <v>27.440892999999999</v>
          </cell>
          <cell r="K11">
            <v>-0.11476599942393409</v>
          </cell>
          <cell r="L11">
            <v>4</v>
          </cell>
          <cell r="M11">
            <v>27.481424484848482</v>
          </cell>
          <cell r="N11">
            <v>0.35316631277494959</v>
          </cell>
        </row>
        <row r="12">
          <cell r="A12">
            <v>2006</v>
          </cell>
          <cell r="B12">
            <v>28.362006750000003</v>
          </cell>
          <cell r="I12">
            <v>2015.1666666666665</v>
          </cell>
          <cell r="J12">
            <v>27.113792</v>
          </cell>
          <cell r="K12">
            <v>0.33259595197688929</v>
          </cell>
          <cell r="L12">
            <v>3</v>
          </cell>
          <cell r="M12">
            <v>26.979263060606051</v>
          </cell>
          <cell r="N12">
            <v>0.40448158973172554</v>
          </cell>
        </row>
        <row r="13">
          <cell r="A13">
            <v>2005</v>
          </cell>
          <cell r="B13">
            <v>28.552892583333328</v>
          </cell>
          <cell r="I13">
            <v>2015.083333333333</v>
          </cell>
          <cell r="J13">
            <v>27.458083999999999</v>
          </cell>
          <cell r="K13">
            <v>1.4826020699354048</v>
          </cell>
          <cell r="L13">
            <v>2</v>
          </cell>
          <cell r="M13">
            <v>26.879908863636363</v>
          </cell>
          <cell r="N13">
            <v>0.38997324237435277</v>
          </cell>
        </row>
        <row r="14">
          <cell r="A14">
            <v>2004</v>
          </cell>
          <cell r="B14">
            <v>28.266666999999998</v>
          </cell>
          <cell r="I14">
            <v>2014.9999999999998</v>
          </cell>
          <cell r="J14">
            <v>27.607154999999999</v>
          </cell>
          <cell r="K14">
            <v>1.5966428331472937</v>
          </cell>
          <cell r="L14">
            <v>1</v>
          </cell>
          <cell r="M14">
            <v>27.078581621212127</v>
          </cell>
          <cell r="N14">
            <v>0.33105298681355738</v>
          </cell>
        </row>
        <row r="15">
          <cell r="A15">
            <v>2003</v>
          </cell>
          <cell r="B15">
            <v>28.298869166666666</v>
          </cell>
          <cell r="I15">
            <v>2014.9166666666665</v>
          </cell>
          <cell r="J15">
            <v>28.251197999999999</v>
          </cell>
          <cell r="K15">
            <v>1.4188359039008049</v>
          </cell>
        </row>
        <row r="16">
          <cell r="A16">
            <v>2002</v>
          </cell>
          <cell r="B16">
            <v>28.077443916666667</v>
          </cell>
          <cell r="I16">
            <v>2014.8333333333333</v>
          </cell>
          <cell r="J16">
            <v>28.932227999999999</v>
          </cell>
          <cell r="K16">
            <v>0.80162907290046925</v>
          </cell>
        </row>
        <row r="17">
          <cell r="A17">
            <v>2001</v>
          </cell>
          <cell r="B17">
            <v>28.024439666666662</v>
          </cell>
          <cell r="I17">
            <v>2014.75</v>
          </cell>
          <cell r="J17">
            <v>29.426392</v>
          </cell>
          <cell r="K17">
            <v>1.5870415686816393</v>
          </cell>
        </row>
        <row r="18">
          <cell r="A18">
            <v>2000</v>
          </cell>
          <cell r="B18">
            <v>27.931871750000003</v>
          </cell>
          <cell r="I18">
            <v>2014.6666666666665</v>
          </cell>
          <cell r="J18">
            <v>29.139455999999999</v>
          </cell>
          <cell r="K18">
            <v>0.9480548003216781</v>
          </cell>
        </row>
        <row r="19">
          <cell r="A19">
            <v>1999</v>
          </cell>
          <cell r="B19">
            <v>28.058624499999993</v>
          </cell>
          <cell r="I19">
            <v>2014.5833333333333</v>
          </cell>
          <cell r="J19">
            <v>28.682107999999999</v>
          </cell>
          <cell r="K19">
            <v>0.55844534567349147</v>
          </cell>
        </row>
        <row r="20">
          <cell r="A20">
            <v>1998</v>
          </cell>
          <cell r="B20">
            <v>28.510966333333329</v>
          </cell>
          <cell r="I20">
            <v>2014.5</v>
          </cell>
          <cell r="J20">
            <v>28.297035000000001</v>
          </cell>
          <cell r="K20">
            <v>-8.5962403950034984E-3</v>
          </cell>
        </row>
        <row r="21">
          <cell r="A21">
            <v>1997</v>
          </cell>
          <cell r="B21">
            <v>28.115058000000001</v>
          </cell>
          <cell r="I21">
            <v>2014.4166666666665</v>
          </cell>
          <cell r="J21">
            <v>28.557255000000001</v>
          </cell>
          <cell r="K21">
            <v>-0.24409315018678554</v>
          </cell>
        </row>
        <row r="22">
          <cell r="A22">
            <v>1996</v>
          </cell>
          <cell r="B22">
            <v>28.120864750000006</v>
          </cell>
          <cell r="I22">
            <v>2014.3333333333333</v>
          </cell>
          <cell r="J22">
            <v>28.518550000000001</v>
          </cell>
          <cell r="K22">
            <v>0.49150944389100931</v>
          </cell>
        </row>
        <row r="23">
          <cell r="A23">
            <v>1995</v>
          </cell>
          <cell r="B23">
            <v>28.316777833333333</v>
          </cell>
          <cell r="I23">
            <v>2014.25</v>
          </cell>
          <cell r="J23">
            <v>27.790358000000001</v>
          </cell>
          <cell r="K23">
            <v>0.87475363299552023</v>
          </cell>
        </row>
        <row r="24">
          <cell r="A24">
            <v>1994</v>
          </cell>
          <cell r="B24">
            <v>27.888757999999999</v>
          </cell>
          <cell r="I24">
            <v>2014.1666666666665</v>
          </cell>
          <cell r="J24">
            <v>27.352672999999999</v>
          </cell>
          <cell r="K24">
            <v>0.92318154614061443</v>
          </cell>
        </row>
        <row r="25">
          <cell r="A25">
            <v>1993</v>
          </cell>
          <cell r="B25">
            <v>28.107895583333335</v>
          </cell>
          <cell r="I25">
            <v>2014.0833333333333</v>
          </cell>
          <cell r="J25">
            <v>27.098942000000001</v>
          </cell>
          <cell r="K25">
            <v>0.56166196180551919</v>
          </cell>
        </row>
        <row r="26">
          <cell r="A26">
            <v>1992</v>
          </cell>
          <cell r="B26">
            <v>27.87795366666667</v>
          </cell>
          <cell r="I26">
            <v>2014</v>
          </cell>
          <cell r="J26">
            <v>27.474537000000002</v>
          </cell>
          <cell r="K26">
            <v>1.1960483504438795</v>
          </cell>
        </row>
        <row r="27">
          <cell r="A27">
            <v>1991</v>
          </cell>
          <cell r="B27">
            <v>27.760664083333335</v>
          </cell>
          <cell r="I27">
            <v>2013.91666666678</v>
          </cell>
          <cell r="J27">
            <v>28.176974999999999</v>
          </cell>
          <cell r="K27">
            <v>1.1865809144624955</v>
          </cell>
        </row>
        <row r="28">
          <cell r="A28">
            <v>1990</v>
          </cell>
          <cell r="B28">
            <v>27.93991741666667</v>
          </cell>
          <cell r="I28">
            <v>2013.8333333334499</v>
          </cell>
          <cell r="J28">
            <v>29.361366</v>
          </cell>
          <cell r="K28">
            <v>2.1620180533409159</v>
          </cell>
        </row>
        <row r="29">
          <cell r="A29">
            <v>1989</v>
          </cell>
          <cell r="B29">
            <v>27.649690250000003</v>
          </cell>
          <cell r="I29">
            <v>2013.7500000001201</v>
          </cell>
          <cell r="J29">
            <v>29.281445999999999</v>
          </cell>
          <cell r="K29">
            <v>1.1278935652095683</v>
          </cell>
        </row>
        <row r="30">
          <cell r="A30">
            <v>1988</v>
          </cell>
          <cell r="B30">
            <v>28.092704083333334</v>
          </cell>
          <cell r="I30">
            <v>2013.66666666679</v>
          </cell>
          <cell r="J30">
            <v>29.336845</v>
          </cell>
          <cell r="K30">
            <v>1.5315139632655386</v>
          </cell>
        </row>
        <row r="31">
          <cell r="A31">
            <v>1987</v>
          </cell>
          <cell r="B31">
            <v>28.246921083333334</v>
          </cell>
          <cell r="I31">
            <v>2013.5833333334599</v>
          </cell>
          <cell r="J31">
            <v>28.892918000000002</v>
          </cell>
          <cell r="K31">
            <v>1.1816775531606618</v>
          </cell>
        </row>
        <row r="32">
          <cell r="A32">
            <v>1986</v>
          </cell>
          <cell r="B32">
            <v>27.5675025</v>
          </cell>
          <cell r="I32">
            <v>2013.5000000001301</v>
          </cell>
          <cell r="J32">
            <v>28.520949999999999</v>
          </cell>
          <cell r="K32">
            <v>0.63942429148651359</v>
          </cell>
        </row>
        <row r="33">
          <cell r="A33">
            <v>1985</v>
          </cell>
          <cell r="B33">
            <v>27.473912250000001</v>
          </cell>
          <cell r="I33">
            <v>2013.4166666668</v>
          </cell>
          <cell r="J33">
            <v>28.711212</v>
          </cell>
          <cell r="K33">
            <v>0.16850558485971423</v>
          </cell>
        </row>
        <row r="34">
          <cell r="A34">
            <v>1984</v>
          </cell>
          <cell r="B34">
            <v>27.73608175</v>
          </cell>
          <cell r="I34">
            <v>2013.3333333334699</v>
          </cell>
          <cell r="J34">
            <v>28.13054</v>
          </cell>
          <cell r="K34">
            <v>-0.46237102395406249</v>
          </cell>
        </row>
        <row r="35">
          <cell r="A35">
            <v>1983</v>
          </cell>
          <cell r="B35">
            <v>28.159372166666667</v>
          </cell>
          <cell r="I35">
            <v>2013.2500000001401</v>
          </cell>
          <cell r="J35">
            <v>27.87162</v>
          </cell>
          <cell r="K35">
            <v>1.1048491915483596</v>
          </cell>
        </row>
        <row r="36">
          <cell r="A36">
            <v>1982</v>
          </cell>
          <cell r="B36">
            <v>27.829861750000003</v>
          </cell>
          <cell r="I36">
            <v>2013.16666666681</v>
          </cell>
          <cell r="J36">
            <v>27.291796000000001</v>
          </cell>
          <cell r="K36">
            <v>0.77267531410079571</v>
          </cell>
        </row>
        <row r="37">
          <cell r="A37">
            <v>1981</v>
          </cell>
          <cell r="B37">
            <v>28.183046749999992</v>
          </cell>
          <cell r="I37">
            <v>2013.0833333334799</v>
          </cell>
          <cell r="J37">
            <v>27.305792</v>
          </cell>
          <cell r="K37">
            <v>1.092082969002302</v>
          </cell>
        </row>
        <row r="38">
          <cell r="A38">
            <v>1980</v>
          </cell>
          <cell r="B38">
            <v>28.043225333333336</v>
          </cell>
          <cell r="I38">
            <v>2013.0000000001501</v>
          </cell>
          <cell r="J38">
            <v>27.197937</v>
          </cell>
          <cell r="K38">
            <v>0.36053255382677263</v>
          </cell>
        </row>
        <row r="39">
          <cell r="A39">
            <v>1979</v>
          </cell>
          <cell r="B39">
            <v>27.986774416666663</v>
          </cell>
          <cell r="I39">
            <v>2012.91666666682</v>
          </cell>
          <cell r="J39">
            <v>28.103085</v>
          </cell>
          <cell r="K39">
            <v>0.95536793237343398</v>
          </cell>
        </row>
        <row r="40">
          <cell r="A40">
            <v>1978</v>
          </cell>
          <cell r="B40">
            <v>27.972403500000002</v>
          </cell>
          <cell r="I40">
            <v>2012.8333333334899</v>
          </cell>
          <cell r="J40">
            <v>29.116371000000001</v>
          </cell>
          <cell r="K40">
            <v>1.3853716173156629</v>
          </cell>
        </row>
        <row r="41">
          <cell r="A41">
            <v>1977</v>
          </cell>
          <cell r="B41">
            <v>27.774049833333333</v>
          </cell>
          <cell r="I41">
            <v>2012.7500000001601</v>
          </cell>
          <cell r="J41">
            <v>29.136683999999999</v>
          </cell>
          <cell r="K41">
            <v>0.669328421786338</v>
          </cell>
        </row>
        <row r="42">
          <cell r="A42">
            <v>1976</v>
          </cell>
          <cell r="B42">
            <v>27.514467499999995</v>
          </cell>
          <cell r="I42">
            <v>2012.66666666683</v>
          </cell>
          <cell r="J42">
            <v>29.272096999999999</v>
          </cell>
          <cell r="K42">
            <v>1.340126328279345</v>
          </cell>
        </row>
        <row r="43">
          <cell r="A43">
            <v>1975</v>
          </cell>
          <cell r="B43">
            <v>27.558954583333335</v>
          </cell>
          <cell r="I43">
            <v>2012.5833333334999</v>
          </cell>
          <cell r="J43">
            <v>28.836069999999999</v>
          </cell>
          <cell r="K43">
            <v>1.0136138724470729</v>
          </cell>
        </row>
        <row r="44">
          <cell r="A44">
            <v>1974</v>
          </cell>
          <cell r="B44">
            <v>27.592790750000002</v>
          </cell>
          <cell r="I44">
            <v>2012.5000000001701</v>
          </cell>
          <cell r="J44">
            <v>28.560043</v>
          </cell>
          <cell r="K44">
            <v>0.75256127048678201</v>
          </cell>
        </row>
        <row r="45">
          <cell r="A45">
            <v>1973</v>
          </cell>
          <cell r="B45">
            <v>28.07664158333333</v>
          </cell>
          <cell r="I45">
            <v>2012.41666666684</v>
          </cell>
          <cell r="J45">
            <v>28.727872999999999</v>
          </cell>
          <cell r="K45">
            <v>0.21315641284811004</v>
          </cell>
        </row>
        <row r="46">
          <cell r="A46">
            <v>1972</v>
          </cell>
          <cell r="B46">
            <v>27.869388916666669</v>
          </cell>
          <cell r="I46">
            <v>2012.3333333335099</v>
          </cell>
          <cell r="J46">
            <v>28.609591999999999</v>
          </cell>
          <cell r="K46">
            <v>0.71532631859410689</v>
          </cell>
        </row>
        <row r="47">
          <cell r="A47">
            <v>1971</v>
          </cell>
          <cell r="B47">
            <v>27.683181750000003</v>
          </cell>
          <cell r="I47">
            <v>2012.2500000001801</v>
          </cell>
          <cell r="J47">
            <v>27.742134</v>
          </cell>
          <cell r="K47">
            <v>0.73820606813552958</v>
          </cell>
        </row>
        <row r="48">
          <cell r="A48">
            <v>1970</v>
          </cell>
          <cell r="B48">
            <v>28.037218416666665</v>
          </cell>
          <cell r="I48">
            <v>2012.16666666685</v>
          </cell>
          <cell r="J48">
            <v>26.82704</v>
          </cell>
          <cell r="K48">
            <v>-0.3763411350984201</v>
          </cell>
        </row>
        <row r="49">
          <cell r="A49">
            <v>1969</v>
          </cell>
          <cell r="B49">
            <v>28.474781416666669</v>
          </cell>
          <cell r="I49">
            <v>2012.0833333335199</v>
          </cell>
          <cell r="J49">
            <v>27.037662999999998</v>
          </cell>
          <cell r="K49">
            <v>0.40452553976049571</v>
          </cell>
        </row>
        <row r="50">
          <cell r="A50">
            <v>1968</v>
          </cell>
          <cell r="B50">
            <v>27.772011333333335</v>
          </cell>
          <cell r="I50">
            <v>2012.0000000001901</v>
          </cell>
          <cell r="J50">
            <v>27.202068000000001</v>
          </cell>
          <cell r="K50">
            <v>0.37301091881529785</v>
          </cell>
        </row>
        <row r="51">
          <cell r="A51">
            <v>1967</v>
          </cell>
          <cell r="B51">
            <v>27.815735333333336</v>
          </cell>
          <cell r="I51">
            <v>2011.91666666686</v>
          </cell>
          <cell r="J51">
            <v>28.073639</v>
          </cell>
          <cell r="K51">
            <v>0.86322694616968998</v>
          </cell>
        </row>
        <row r="52">
          <cell r="A52">
            <v>1966</v>
          </cell>
          <cell r="B52">
            <v>28.076882083333331</v>
          </cell>
          <cell r="I52">
            <v>2011.8333333335299</v>
          </cell>
          <cell r="J52">
            <v>29.308039999999998</v>
          </cell>
          <cell r="K52">
            <v>1.9929719591451802</v>
          </cell>
        </row>
        <row r="53">
          <cell r="A53">
            <v>1965</v>
          </cell>
          <cell r="B53">
            <v>27.645168583333334</v>
          </cell>
          <cell r="I53">
            <v>2011.7500000002001</v>
          </cell>
          <cell r="J53">
            <v>29.321407000000001</v>
          </cell>
          <cell r="K53">
            <v>1.2544787304900733</v>
          </cell>
        </row>
        <row r="54">
          <cell r="A54">
            <v>1964</v>
          </cell>
          <cell r="B54">
            <v>27.886182833333336</v>
          </cell>
          <cell r="I54">
            <v>2011.66666666687</v>
          </cell>
          <cell r="J54">
            <v>29.176784999999999</v>
          </cell>
          <cell r="K54">
            <v>1.0583950274545533</v>
          </cell>
        </row>
        <row r="55">
          <cell r="A55">
            <v>1963</v>
          </cell>
          <cell r="B55">
            <v>28.205158166666674</v>
          </cell>
          <cell r="I55">
            <v>2011.5833333335399</v>
          </cell>
          <cell r="J55">
            <v>28.852049000000001</v>
          </cell>
          <cell r="K55">
            <v>1.0608536971396318</v>
          </cell>
        </row>
        <row r="56">
          <cell r="A56">
            <v>1962</v>
          </cell>
          <cell r="B56">
            <v>28.066027083333335</v>
          </cell>
          <cell r="I56">
            <v>2011.5000000002101</v>
          </cell>
          <cell r="J56">
            <v>28.574192</v>
          </cell>
          <cell r="K56">
            <v>0.79350914135560058</v>
          </cell>
        </row>
        <row r="57">
          <cell r="A57">
            <v>1961</v>
          </cell>
          <cell r="B57">
            <v>28.061047249999998</v>
          </cell>
          <cell r="I57">
            <v>2011.41666666688</v>
          </cell>
          <cell r="J57">
            <v>29.025691999999999</v>
          </cell>
          <cell r="K57">
            <v>1.0112996779988668</v>
          </cell>
        </row>
        <row r="58">
          <cell r="A58">
            <v>1960</v>
          </cell>
          <cell r="B58">
            <v>28.31934583333333</v>
          </cell>
          <cell r="I58">
            <v>2011.3333333335499</v>
          </cell>
          <cell r="J58">
            <v>28.625941999999998</v>
          </cell>
          <cell r="K58">
            <v>0.75552101885767253</v>
          </cell>
        </row>
        <row r="59">
          <cell r="A59">
            <v>1959</v>
          </cell>
          <cell r="B59">
            <v>27.904639750000001</v>
          </cell>
          <cell r="I59">
            <v>2011.2500000002201</v>
          </cell>
          <cell r="J59">
            <v>27.722183000000001</v>
          </cell>
          <cell r="K59">
            <v>0.68171427014031016</v>
          </cell>
        </row>
        <row r="60">
          <cell r="A60">
            <v>1958</v>
          </cell>
          <cell r="B60">
            <v>28.568486000000004</v>
          </cell>
          <cell r="I60">
            <v>2011.16666666689</v>
          </cell>
          <cell r="J60">
            <v>27.348398</v>
          </cell>
          <cell r="K60">
            <v>0.9126124618892516</v>
          </cell>
        </row>
        <row r="61">
          <cell r="A61">
            <v>1957</v>
          </cell>
          <cell r="B61">
            <v>27.856275833333338</v>
          </cell>
          <cell r="I61">
            <v>2011.0833333335499</v>
          </cell>
          <cell r="J61">
            <v>27.516311999999999</v>
          </cell>
          <cell r="K61">
            <v>1.6319148782847122</v>
          </cell>
        </row>
        <row r="62">
          <cell r="A62">
            <v>1956</v>
          </cell>
          <cell r="B62">
            <v>27.723436416666669</v>
          </cell>
          <cell r="I62">
            <v>2011.0000000002201</v>
          </cell>
          <cell r="J62">
            <v>27.596831999999999</v>
          </cell>
          <cell r="K62">
            <v>1.5654605136661728</v>
          </cell>
        </row>
        <row r="63">
          <cell r="A63">
            <v>1955</v>
          </cell>
          <cell r="B63">
            <v>27.847912249999997</v>
          </cell>
          <cell r="I63">
            <v>2010.91666666689</v>
          </cell>
          <cell r="J63">
            <v>27.950785</v>
          </cell>
          <cell r="K63">
            <v>0.47879820477613044</v>
          </cell>
        </row>
        <row r="64">
          <cell r="A64">
            <v>1954</v>
          </cell>
          <cell r="B64">
            <v>27.961707083333327</v>
          </cell>
          <cell r="I64">
            <v>2010.8333333335599</v>
          </cell>
          <cell r="J64">
            <v>29.055800000000001</v>
          </cell>
          <cell r="K64">
            <v>1.1933585097972021</v>
          </cell>
        </row>
        <row r="65">
          <cell r="A65">
            <v>1953</v>
          </cell>
          <cell r="B65">
            <v>28.018068</v>
          </cell>
          <cell r="I65">
            <v>2010.7500000002301</v>
          </cell>
          <cell r="J65">
            <v>29.50854</v>
          </cell>
          <cell r="K65">
            <v>1.8472632387465151</v>
          </cell>
        </row>
        <row r="66">
          <cell r="A66">
            <v>1952</v>
          </cell>
          <cell r="B66">
            <v>28.178450916666662</v>
          </cell>
          <cell r="I66">
            <v>2010.6666666669</v>
          </cell>
          <cell r="J66">
            <v>29.393719999999998</v>
          </cell>
          <cell r="K66">
            <v>1.6996299164971305</v>
          </cell>
        </row>
        <row r="67">
          <cell r="A67">
            <v>1951</v>
          </cell>
          <cell r="B67">
            <v>28.075387000000003</v>
          </cell>
          <cell r="I67">
            <v>2010.58333333357</v>
          </cell>
          <cell r="J67">
            <v>29.337439</v>
          </cell>
          <cell r="K67">
            <v>2.4958457809695918</v>
          </cell>
        </row>
        <row r="68">
          <cell r="I68">
            <v>2010.5000000002401</v>
          </cell>
          <cell r="J68">
            <v>29.273273</v>
          </cell>
          <cell r="K68">
            <v>2.8166824055329287</v>
          </cell>
        </row>
        <row r="69">
          <cell r="I69">
            <v>2010.41666666691</v>
          </cell>
          <cell r="J69">
            <v>29.24973</v>
          </cell>
          <cell r="K69">
            <v>1.6117127504954001</v>
          </cell>
        </row>
        <row r="70">
          <cell r="I70">
            <v>2010.33333333358</v>
          </cell>
          <cell r="J70">
            <v>29.356506</v>
          </cell>
          <cell r="K70">
            <v>2.5515333126407342</v>
          </cell>
        </row>
        <row r="71">
          <cell r="I71">
            <v>2010.2500000002501</v>
          </cell>
          <cell r="J71">
            <v>28.180336</v>
          </cell>
          <cell r="K71">
            <v>1.9789869244887195</v>
          </cell>
        </row>
        <row r="72">
          <cell r="I72">
            <v>2010.16666666692</v>
          </cell>
          <cell r="J72">
            <v>28.356617</v>
          </cell>
          <cell r="K72">
            <v>3.4052327086320187</v>
          </cell>
        </row>
        <row r="73">
          <cell r="I73">
            <v>2010.08333333359</v>
          </cell>
          <cell r="J73">
            <v>27.98096</v>
          </cell>
          <cell r="K73">
            <v>2.8234017535661806</v>
          </cell>
        </row>
        <row r="74">
          <cell r="I74">
            <v>2010.0000000002599</v>
          </cell>
          <cell r="J74">
            <v>27.593599999999999</v>
          </cell>
          <cell r="K74">
            <v>1.5556977260498788</v>
          </cell>
        </row>
        <row r="75">
          <cell r="I75">
            <v>2009.91666666693</v>
          </cell>
          <cell r="J75">
            <v>28.329805</v>
          </cell>
          <cell r="K75">
            <v>1.6648090921952365</v>
          </cell>
        </row>
        <row r="76">
          <cell r="I76">
            <v>2009.8333333336</v>
          </cell>
          <cell r="J76">
            <v>29.162089999999999</v>
          </cell>
          <cell r="K76">
            <v>1.5303031400350544</v>
          </cell>
        </row>
        <row r="77">
          <cell r="I77">
            <v>2009.7500000002699</v>
          </cell>
          <cell r="J77">
            <v>29.089919999999999</v>
          </cell>
          <cell r="K77">
            <v>0.5211932732871204</v>
          </cell>
        </row>
        <row r="78">
          <cell r="I78">
            <v>2009.66666666694</v>
          </cell>
          <cell r="J78">
            <v>29.004158</v>
          </cell>
          <cell r="K78">
            <v>0.54812948620601176</v>
          </cell>
        </row>
        <row r="79">
          <cell r="I79">
            <v>2009.58333333361</v>
          </cell>
          <cell r="J79">
            <v>28.690538</v>
          </cell>
          <cell r="K79">
            <v>0.58336753868671276</v>
          </cell>
        </row>
        <row r="80">
          <cell r="I80">
            <v>2009.5000000002799</v>
          </cell>
          <cell r="J80">
            <v>28.544537999999999</v>
          </cell>
          <cell r="K80">
            <v>0.70768907189881936</v>
          </cell>
        </row>
        <row r="81">
          <cell r="I81">
            <v>2009.4166666669501</v>
          </cell>
          <cell r="J81">
            <v>29.064436000000001</v>
          </cell>
          <cell r="K81">
            <v>1.1151320817911092</v>
          </cell>
        </row>
        <row r="82">
          <cell r="I82">
            <v>2009.33333333362</v>
          </cell>
          <cell r="J82">
            <v>27.956102000000001</v>
          </cell>
          <cell r="K82">
            <v>-0.89120791230734386</v>
          </cell>
        </row>
        <row r="83">
          <cell r="I83">
            <v>2009.2500000002899</v>
          </cell>
          <cell r="J83">
            <v>27.107899</v>
          </cell>
          <cell r="K83">
            <v>-1.0576475482997332</v>
          </cell>
        </row>
        <row r="84">
          <cell r="I84">
            <v>2009.1666666669601</v>
          </cell>
          <cell r="J84">
            <v>26.465076</v>
          </cell>
          <cell r="K84">
            <v>-1.2712248805862552</v>
          </cell>
        </row>
        <row r="85">
          <cell r="I85">
            <v>2009.08333333363</v>
          </cell>
          <cell r="J85">
            <v>26.613071000000001</v>
          </cell>
          <cell r="K85">
            <v>-0.6842465960272518</v>
          </cell>
        </row>
        <row r="86">
          <cell r="I86">
            <v>2009.0000000002999</v>
          </cell>
          <cell r="J86">
            <v>27.034991999999999</v>
          </cell>
          <cell r="K86">
            <v>-0.1316696207204941</v>
          </cell>
        </row>
        <row r="87">
          <cell r="I87">
            <v>2008.9166666669701</v>
          </cell>
          <cell r="J87">
            <v>27.704483</v>
          </cell>
          <cell r="K87">
            <v>-0.29191799382315264</v>
          </cell>
        </row>
        <row r="88">
          <cell r="I88">
            <v>2008.83333333364</v>
          </cell>
          <cell r="J88">
            <v>28.880538999999999</v>
          </cell>
          <cell r="K88">
            <v>0.63777235079712369</v>
          </cell>
        </row>
        <row r="89">
          <cell r="I89">
            <v>2008.7500000003099</v>
          </cell>
          <cell r="J89">
            <v>29.35286</v>
          </cell>
          <cell r="K89">
            <v>1.3541129539471299</v>
          </cell>
        </row>
        <row r="90">
          <cell r="I90">
            <v>2008.6666666669801</v>
          </cell>
          <cell r="J90">
            <v>29.244125</v>
          </cell>
          <cell r="K90">
            <v>1.2574443160807696</v>
          </cell>
        </row>
        <row r="91">
          <cell r="I91">
            <v>2008.58333333365</v>
          </cell>
          <cell r="J91">
            <v>28.858027</v>
          </cell>
          <cell r="K91">
            <v>1.0785268726832853</v>
          </cell>
        </row>
        <row r="92">
          <cell r="I92">
            <v>2008.5000000003199</v>
          </cell>
          <cell r="J92">
            <v>28.503761000000001</v>
          </cell>
          <cell r="K92">
            <v>0.58967851776652869</v>
          </cell>
        </row>
        <row r="93">
          <cell r="I93">
            <v>2008.4166666669901</v>
          </cell>
          <cell r="J93">
            <v>28.670237</v>
          </cell>
          <cell r="K93">
            <v>5.8694188375434074E-2</v>
          </cell>
        </row>
        <row r="94">
          <cell r="I94">
            <v>2008.33333333366</v>
          </cell>
          <cell r="J94">
            <v>28.076474999999999</v>
          </cell>
          <cell r="K94">
            <v>-0.59528395788371624</v>
          </cell>
        </row>
        <row r="95">
          <cell r="I95">
            <v>2008.2500000003299</v>
          </cell>
          <cell r="J95">
            <v>27.526384</v>
          </cell>
          <cell r="K95">
            <v>0.1273040874092885</v>
          </cell>
        </row>
        <row r="96">
          <cell r="I96">
            <v>2008.1666666670001</v>
          </cell>
          <cell r="J96">
            <v>26.876124999999998</v>
          </cell>
          <cell r="K96">
            <v>-0.25498826948949604</v>
          </cell>
        </row>
        <row r="97">
          <cell r="I97">
            <v>2008.08333333367</v>
          </cell>
          <cell r="J97">
            <v>26.865704000000001</v>
          </cell>
          <cell r="K97">
            <v>-3.6425226381880782E-2</v>
          </cell>
        </row>
        <row r="98">
          <cell r="I98">
            <v>2008.0000000003399</v>
          </cell>
          <cell r="J98">
            <v>26.972602999999999</v>
          </cell>
          <cell r="K98">
            <v>-0.32012585729006737</v>
          </cell>
        </row>
        <row r="99">
          <cell r="I99">
            <v>2007.9166666670101</v>
          </cell>
          <cell r="J99">
            <v>27.852543000000001</v>
          </cell>
          <cell r="K99">
            <v>0.17138413269068237</v>
          </cell>
        </row>
        <row r="100">
          <cell r="I100">
            <v>2007.83333333368</v>
          </cell>
          <cell r="J100">
            <v>28.80339</v>
          </cell>
          <cell r="K100">
            <v>0.3932061519240394</v>
          </cell>
        </row>
        <row r="101">
          <cell r="I101">
            <v>2007.7500000003499</v>
          </cell>
          <cell r="J101">
            <v>29.111529999999998</v>
          </cell>
          <cell r="K101">
            <v>0.58964765184900503</v>
          </cell>
        </row>
        <row r="102">
          <cell r="I102">
            <v>2007.6666666670201</v>
          </cell>
          <cell r="J102">
            <v>29.03689</v>
          </cell>
          <cell r="K102">
            <v>0.64488151049043452</v>
          </cell>
        </row>
        <row r="103">
          <cell r="I103">
            <v>2007.58333333369</v>
          </cell>
          <cell r="J103">
            <v>28.627700000000001</v>
          </cell>
          <cell r="K103">
            <v>0.39759520599814024</v>
          </cell>
        </row>
        <row r="104">
          <cell r="I104">
            <v>2007.5000000003599</v>
          </cell>
          <cell r="J104">
            <v>28.413506000000002</v>
          </cell>
          <cell r="K104">
            <v>0.32847630663745636</v>
          </cell>
        </row>
        <row r="105">
          <cell r="I105">
            <v>2007.4166666670301</v>
          </cell>
          <cell r="J105">
            <v>28.711490000000001</v>
          </cell>
          <cell r="K105">
            <v>0.16925061398046592</v>
          </cell>
        </row>
        <row r="106">
          <cell r="I106">
            <v>2007.3333333337</v>
          </cell>
          <cell r="J106">
            <v>28.571280000000002</v>
          </cell>
          <cell r="K106">
            <v>0.62114042523033264</v>
          </cell>
        </row>
        <row r="107">
          <cell r="I107">
            <v>2007.2500000003699</v>
          </cell>
          <cell r="J107">
            <v>27.767769000000001</v>
          </cell>
          <cell r="K107">
            <v>0.81079226640166135</v>
          </cell>
        </row>
        <row r="108">
          <cell r="I108">
            <v>2007.1666666670401</v>
          </cell>
          <cell r="J108">
            <v>27.194614000000001</v>
          </cell>
          <cell r="K108">
            <v>0.53241221568769725</v>
          </cell>
        </row>
        <row r="109">
          <cell r="I109">
            <v>2007.08333333371</v>
          </cell>
          <cell r="J109">
            <v>27.185345000000002</v>
          </cell>
          <cell r="K109">
            <v>0.78322331682038082</v>
          </cell>
        </row>
        <row r="110">
          <cell r="I110">
            <v>2007.0000000003799</v>
          </cell>
          <cell r="J110">
            <v>27.232132</v>
          </cell>
          <cell r="K110">
            <v>0.46382417589952069</v>
          </cell>
        </row>
        <row r="111">
          <cell r="I111">
            <v>2006.9166666670501</v>
          </cell>
          <cell r="J111">
            <v>28.172557999999999</v>
          </cell>
          <cell r="K111">
            <v>1.1727594536168136</v>
          </cell>
        </row>
        <row r="112">
          <cell r="I112">
            <v>2006.83333333372</v>
          </cell>
          <cell r="J112">
            <v>29.271367999999999</v>
          </cell>
          <cell r="K112">
            <v>1.8767198801153322</v>
          </cell>
        </row>
        <row r="113">
          <cell r="I113">
            <v>2006.7500000003899</v>
          </cell>
          <cell r="J113">
            <v>29.268916999999998</v>
          </cell>
          <cell r="K113">
            <v>1.0882052306884236</v>
          </cell>
        </row>
        <row r="114">
          <cell r="I114">
            <v>2006.6666666670601</v>
          </cell>
          <cell r="J114">
            <v>29.190449000000001</v>
          </cell>
          <cell r="K114">
            <v>1.0987842386186306</v>
          </cell>
        </row>
        <row r="115">
          <cell r="I115">
            <v>2006.58333333373</v>
          </cell>
          <cell r="J115">
            <v>28.920438999999998</v>
          </cell>
          <cell r="K115">
            <v>1.2630397920594432</v>
          </cell>
        </row>
        <row r="116">
          <cell r="I116">
            <v>2006.5000000004</v>
          </cell>
          <cell r="J116">
            <v>28.700240999999998</v>
          </cell>
          <cell r="K116">
            <v>1.1583008704632214</v>
          </cell>
        </row>
        <row r="117">
          <cell r="I117">
            <v>2006.4166666670701</v>
          </cell>
          <cell r="J117">
            <v>29.124960000000002</v>
          </cell>
          <cell r="K117">
            <v>1.2773340332447942</v>
          </cell>
        </row>
        <row r="118">
          <cell r="I118">
            <v>2006.33333333374</v>
          </cell>
          <cell r="J118">
            <v>28.656092000000001</v>
          </cell>
          <cell r="K118">
            <v>0.8296415211785696</v>
          </cell>
        </row>
        <row r="119">
          <cell r="I119">
            <v>2006.25000000041</v>
          </cell>
          <cell r="J119">
            <v>27.712506999999999</v>
          </cell>
          <cell r="K119">
            <v>0.6543164135214985</v>
          </cell>
        </row>
        <row r="120">
          <cell r="I120">
            <v>2006.1666666670801</v>
          </cell>
          <cell r="J120">
            <v>27.057026</v>
          </cell>
          <cell r="K120">
            <v>0.19225334692124268</v>
          </cell>
        </row>
        <row r="121">
          <cell r="I121">
            <v>2006.08333333375</v>
          </cell>
          <cell r="J121">
            <v>26.998588999999999</v>
          </cell>
          <cell r="K121">
            <v>0.30432892175127724</v>
          </cell>
        </row>
        <row r="122">
          <cell r="I122">
            <v>2006.00000000042</v>
          </cell>
          <cell r="J122">
            <v>27.270935000000001</v>
          </cell>
          <cell r="K122">
            <v>0.58103501992025319</v>
          </cell>
        </row>
        <row r="123">
          <cell r="I123">
            <v>2005.9166666670901</v>
          </cell>
          <cell r="J123">
            <v>28.159420000000001</v>
          </cell>
          <cell r="K123">
            <v>1.1316486651652551</v>
          </cell>
        </row>
        <row r="124">
          <cell r="I124">
            <v>2005.83333333376</v>
          </cell>
          <cell r="J124">
            <v>28.921579999999999</v>
          </cell>
          <cell r="K124">
            <v>0.76787437892387078</v>
          </cell>
        </row>
        <row r="125">
          <cell r="I125">
            <v>2005.75000000043</v>
          </cell>
          <cell r="J125">
            <v>29.280418000000001</v>
          </cell>
          <cell r="K125">
            <v>1.1246371514584583</v>
          </cell>
        </row>
        <row r="126">
          <cell r="I126">
            <v>2005.6666666670999</v>
          </cell>
          <cell r="J126">
            <v>29.377977000000001</v>
          </cell>
          <cell r="K126">
            <v>1.6530954206426332</v>
          </cell>
        </row>
        <row r="127">
          <cell r="I127">
            <v>2005.58333333377</v>
          </cell>
          <cell r="J127">
            <v>29.166789999999999</v>
          </cell>
          <cell r="K127">
            <v>1.9913443200546557</v>
          </cell>
        </row>
        <row r="128">
          <cell r="I128">
            <v>2005.50000000044</v>
          </cell>
          <cell r="J128">
            <v>28.986820000000002</v>
          </cell>
          <cell r="K128">
            <v>1.9876739629584852</v>
          </cell>
        </row>
        <row r="129">
          <cell r="I129">
            <v>2005.4166666671099</v>
          </cell>
          <cell r="J129">
            <v>29.407322000000001</v>
          </cell>
          <cell r="K129">
            <v>2.0340531432898112</v>
          </cell>
        </row>
        <row r="130">
          <cell r="I130">
            <v>2005.33333333378</v>
          </cell>
          <cell r="J130">
            <v>29.238060000000001</v>
          </cell>
          <cell r="K130">
            <v>2.2603466785478608</v>
          </cell>
        </row>
        <row r="131">
          <cell r="I131">
            <v>2005.25000000045</v>
          </cell>
          <cell r="J131">
            <v>28.38344</v>
          </cell>
          <cell r="K131">
            <v>2.5540814129866214</v>
          </cell>
        </row>
        <row r="132">
          <cell r="I132">
            <v>2005.1666666671199</v>
          </cell>
          <cell r="J132">
            <v>27.556049999999999</v>
          </cell>
          <cell r="K132">
            <v>1.4259905865592166</v>
          </cell>
        </row>
        <row r="133">
          <cell r="I133">
            <v>2005.0833333337901</v>
          </cell>
          <cell r="J133">
            <v>26.825703000000001</v>
          </cell>
          <cell r="K133">
            <v>-0.13899893055823406</v>
          </cell>
        </row>
        <row r="134">
          <cell r="I134">
            <v>2005.00000000046</v>
          </cell>
          <cell r="J134">
            <v>27.331130999999999</v>
          </cell>
          <cell r="K134">
            <v>0.76286693927369165</v>
          </cell>
        </row>
        <row r="135">
          <cell r="I135">
            <v>2004.9166666671299</v>
          </cell>
          <cell r="J135">
            <v>28.138020999999998</v>
          </cell>
          <cell r="K135">
            <v>1.0646879586593077</v>
          </cell>
        </row>
        <row r="136">
          <cell r="I136">
            <v>2004.8333333338001</v>
          </cell>
          <cell r="J136">
            <v>28.907586999999999</v>
          </cell>
          <cell r="K136">
            <v>0.72351586720199557</v>
          </cell>
        </row>
        <row r="137">
          <cell r="I137">
            <v>2004.75000000047</v>
          </cell>
          <cell r="J137">
            <v>29.338363999999999</v>
          </cell>
          <cell r="K137">
            <v>1.3081937187952</v>
          </cell>
        </row>
        <row r="138">
          <cell r="I138">
            <v>2004.6666666671399</v>
          </cell>
          <cell r="J138">
            <v>29.209610000000001</v>
          </cell>
          <cell r="K138">
            <v>1.1554219490339401</v>
          </cell>
        </row>
        <row r="139">
          <cell r="I139">
            <v>2004.5833333338101</v>
          </cell>
          <cell r="J139">
            <v>28.810718999999999</v>
          </cell>
          <cell r="K139">
            <v>0.93866695488145724</v>
          </cell>
        </row>
        <row r="140">
          <cell r="I140">
            <v>2004.50000000048</v>
          </cell>
          <cell r="J140">
            <v>28.47953</v>
          </cell>
          <cell r="K140">
            <v>0.5195528651393202</v>
          </cell>
        </row>
        <row r="141">
          <cell r="I141">
            <v>2004.4166666671499</v>
          </cell>
          <cell r="J141">
            <v>28.625893000000001</v>
          </cell>
          <cell r="K141">
            <v>-6.0145996266392533E-2</v>
          </cell>
        </row>
        <row r="142">
          <cell r="I142">
            <v>2004.3333333338201</v>
          </cell>
          <cell r="J142">
            <v>28.419525</v>
          </cell>
          <cell r="K142">
            <v>0.24806723021517904</v>
          </cell>
        </row>
        <row r="143">
          <cell r="I143">
            <v>2004.25000000049</v>
          </cell>
          <cell r="J143">
            <v>27.874420000000001</v>
          </cell>
          <cell r="K143">
            <v>1.1127774675438815</v>
          </cell>
        </row>
        <row r="144">
          <cell r="I144">
            <v>2004.1666666671599</v>
          </cell>
          <cell r="J144">
            <v>27.052551000000001</v>
          </cell>
          <cell r="K144">
            <v>0.18118980258794581</v>
          </cell>
        </row>
        <row r="145">
          <cell r="I145">
            <v>2004.0833333338301</v>
          </cell>
          <cell r="J145">
            <v>27.071808000000001</v>
          </cell>
          <cell r="K145">
            <v>0.49208282905580841</v>
          </cell>
        </row>
        <row r="146">
          <cell r="I146">
            <v>2004.0000000005</v>
          </cell>
          <cell r="J146">
            <v>27.271975999999999</v>
          </cell>
          <cell r="K146">
            <v>0.58417953164937841</v>
          </cell>
        </row>
        <row r="147">
          <cell r="I147">
            <v>2003.9166666671699</v>
          </cell>
          <cell r="J147">
            <v>28.002147999999998</v>
          </cell>
          <cell r="K147">
            <v>0.63952079780685622</v>
          </cell>
        </row>
        <row r="148">
          <cell r="I148">
            <v>2003.8333333338401</v>
          </cell>
          <cell r="J148">
            <v>29.012756</v>
          </cell>
          <cell r="K148">
            <v>1.0569068712238741</v>
          </cell>
        </row>
        <row r="149">
          <cell r="I149">
            <v>2003.75000000051</v>
          </cell>
          <cell r="J149">
            <v>29.477181999999999</v>
          </cell>
          <cell r="K149">
            <v>1.747929948466842</v>
          </cell>
        </row>
        <row r="150">
          <cell r="I150">
            <v>2003.6666666671799</v>
          </cell>
          <cell r="J150">
            <v>29.224972000000001</v>
          </cell>
          <cell r="K150">
            <v>1.2008302527445993</v>
          </cell>
        </row>
        <row r="151">
          <cell r="I151">
            <v>2003.5833333338501</v>
          </cell>
          <cell r="J151">
            <v>28.791232999999998</v>
          </cell>
          <cell r="K151">
            <v>0.88105914313108846</v>
          </cell>
        </row>
        <row r="152">
          <cell r="I152">
            <v>2003.50000000052</v>
          </cell>
          <cell r="J152">
            <v>28.433136000000001</v>
          </cell>
          <cell r="K152">
            <v>0.38528644906129522</v>
          </cell>
        </row>
        <row r="153">
          <cell r="I153">
            <v>2003.4166666671899</v>
          </cell>
          <cell r="J153">
            <v>28.6553</v>
          </cell>
          <cell r="K153">
            <v>1.8663612920017739E-2</v>
          </cell>
        </row>
        <row r="154">
          <cell r="I154">
            <v>2003.3333333338601</v>
          </cell>
          <cell r="J154">
            <v>28.372574</v>
          </cell>
          <cell r="K154">
            <v>0.13264329308522418</v>
          </cell>
        </row>
        <row r="155">
          <cell r="I155">
            <v>2003.25000000053</v>
          </cell>
          <cell r="J155">
            <v>28.064848000000001</v>
          </cell>
          <cell r="K155">
            <v>1.6519795179992101</v>
          </cell>
        </row>
        <row r="156">
          <cell r="I156">
            <v>2003.1666666671999</v>
          </cell>
          <cell r="J156">
            <v>27.146273000000001</v>
          </cell>
          <cell r="K156">
            <v>0.41289874158356543</v>
          </cell>
        </row>
        <row r="157">
          <cell r="I157">
            <v>2003.0833333338701</v>
          </cell>
          <cell r="J157">
            <v>27.115856000000001</v>
          </cell>
          <cell r="K157">
            <v>0.60503416831132695</v>
          </cell>
        </row>
        <row r="158">
          <cell r="I158">
            <v>2003.00000000054</v>
          </cell>
          <cell r="J158">
            <v>27.290151999999999</v>
          </cell>
          <cell r="K158">
            <v>0.63908312933308331</v>
          </cell>
        </row>
        <row r="159">
          <cell r="I159">
            <v>2002.9166666672099</v>
          </cell>
          <cell r="J159">
            <v>27.961327000000001</v>
          </cell>
          <cell r="K159">
            <v>0.51178571671527173</v>
          </cell>
        </row>
        <row r="160">
          <cell r="I160">
            <v>2002.8333333338801</v>
          </cell>
          <cell r="J160">
            <v>28.888596</v>
          </cell>
          <cell r="K160">
            <v>0.66331344484008847</v>
          </cell>
        </row>
        <row r="161">
          <cell r="I161">
            <v>2002.75000000055</v>
          </cell>
          <cell r="J161">
            <v>29.102944999999998</v>
          </cell>
          <cell r="K161">
            <v>0.5624527957659966</v>
          </cell>
        </row>
        <row r="162">
          <cell r="I162">
            <v>2002.6666666672199</v>
          </cell>
          <cell r="J162">
            <v>28.773917999999998</v>
          </cell>
          <cell r="K162">
            <v>-0.13243345132442208</v>
          </cell>
        </row>
        <row r="163">
          <cell r="I163">
            <v>2002.5833333338901</v>
          </cell>
          <cell r="J163">
            <v>28.328240000000001</v>
          </cell>
          <cell r="K163">
            <v>-0.48771913798035238</v>
          </cell>
        </row>
        <row r="164">
          <cell r="I164">
            <v>2002.50000000056</v>
          </cell>
          <cell r="J164">
            <v>28.217649999999999</v>
          </cell>
          <cell r="K164">
            <v>-0.23834016073716902</v>
          </cell>
        </row>
        <row r="165">
          <cell r="I165">
            <v>2002.4166666672299</v>
          </cell>
          <cell r="J165">
            <v>28.497033999999999</v>
          </cell>
          <cell r="K165">
            <v>-0.40548307349807627</v>
          </cell>
        </row>
        <row r="166">
          <cell r="I166">
            <v>2002.3333333339001</v>
          </cell>
          <cell r="J166">
            <v>28.155992999999999</v>
          </cell>
          <cell r="K166">
            <v>-0.39979758628993162</v>
          </cell>
        </row>
        <row r="167">
          <cell r="I167">
            <v>2002.25000000057</v>
          </cell>
          <cell r="J167">
            <v>27.583283999999999</v>
          </cell>
          <cell r="K167">
            <v>0.28841798174682004</v>
          </cell>
        </row>
        <row r="168">
          <cell r="I168">
            <v>2002.16666666724</v>
          </cell>
          <cell r="J168">
            <v>27.082336000000002</v>
          </cell>
          <cell r="K168">
            <v>0.2548272702901358</v>
          </cell>
        </row>
        <row r="169">
          <cell r="I169">
            <v>2002.0833333339101</v>
          </cell>
          <cell r="J169">
            <v>27.000133999999999</v>
          </cell>
          <cell r="K169">
            <v>0.30829073202983226</v>
          </cell>
        </row>
        <row r="170">
          <cell r="I170">
            <v>2002.00000000058</v>
          </cell>
          <cell r="J170">
            <v>27.337869999999999</v>
          </cell>
          <cell r="K170">
            <v>0.7832231972397159</v>
          </cell>
        </row>
        <row r="171">
          <cell r="I171">
            <v>2001.91666666725</v>
          </cell>
          <cell r="J171">
            <v>28.049526</v>
          </cell>
          <cell r="K171">
            <v>0.78777372330984974</v>
          </cell>
        </row>
        <row r="172">
          <cell r="I172">
            <v>2001.8333333339201</v>
          </cell>
          <cell r="J172">
            <v>28.679912999999999</v>
          </cell>
          <cell r="K172">
            <v>1.7778697913782421E-3</v>
          </cell>
        </row>
        <row r="173">
          <cell r="I173">
            <v>2001.75000000059</v>
          </cell>
          <cell r="J173">
            <v>29.12182</v>
          </cell>
          <cell r="K173">
            <v>0.62224346653673812</v>
          </cell>
        </row>
        <row r="174">
          <cell r="I174">
            <v>2001.66666666726</v>
          </cell>
          <cell r="J174">
            <v>29.025096999999999</v>
          </cell>
          <cell r="K174">
            <v>0.61002275995926314</v>
          </cell>
        </row>
        <row r="175">
          <cell r="I175">
            <v>2001.5833333339301</v>
          </cell>
          <cell r="J175">
            <v>28.618646999999999</v>
          </cell>
          <cell r="K175">
            <v>0.37083119492474592</v>
          </cell>
        </row>
        <row r="176">
          <cell r="I176">
            <v>2001.5000000006</v>
          </cell>
          <cell r="J176">
            <v>28.398060000000001</v>
          </cell>
          <cell r="K176">
            <v>0.28377485682193493</v>
          </cell>
        </row>
        <row r="177">
          <cell r="I177">
            <v>2001.41666666727</v>
          </cell>
          <cell r="J177">
            <v>28.822624000000001</v>
          </cell>
          <cell r="K177">
            <v>0.46708538486232343</v>
          </cell>
        </row>
        <row r="178">
          <cell r="I178">
            <v>2001.3333333339399</v>
          </cell>
          <cell r="J178">
            <v>28.235503999999999</v>
          </cell>
          <cell r="K178">
            <v>-0.20432842343632127</v>
          </cell>
        </row>
        <row r="179">
          <cell r="I179">
            <v>2001.25000000061</v>
          </cell>
          <cell r="J179">
            <v>27.255444000000001</v>
          </cell>
          <cell r="K179">
            <v>-0.63986987624293656</v>
          </cell>
        </row>
        <row r="180">
          <cell r="I180">
            <v>2001.16666666728</v>
          </cell>
          <cell r="J180">
            <v>26.661549999999998</v>
          </cell>
          <cell r="K180">
            <v>-0.78548212989564681</v>
          </cell>
        </row>
        <row r="181">
          <cell r="I181">
            <v>2001.0833333339499</v>
          </cell>
          <cell r="J181">
            <v>26.538681</v>
          </cell>
          <cell r="K181">
            <v>-0.87500327345229101</v>
          </cell>
        </row>
        <row r="182">
          <cell r="I182">
            <v>2001.00000000062</v>
          </cell>
          <cell r="J182">
            <v>26.886410000000001</v>
          </cell>
          <cell r="K182">
            <v>-0.58048599126626432</v>
          </cell>
        </row>
        <row r="183">
          <cell r="I183">
            <v>2000.91666666729</v>
          </cell>
          <cell r="J183">
            <v>27.563030000000001</v>
          </cell>
          <cell r="K183">
            <v>-0.73454581836563793</v>
          </cell>
        </row>
        <row r="184">
          <cell r="I184">
            <v>2000.8333333339599</v>
          </cell>
          <cell r="J184">
            <v>28.679812999999999</v>
          </cell>
          <cell r="K184">
            <v>1.460864776572452E-3</v>
          </cell>
        </row>
        <row r="185">
          <cell r="I185">
            <v>2000.7500000006301</v>
          </cell>
          <cell r="J185">
            <v>28.932037000000001</v>
          </cell>
          <cell r="K185">
            <v>2.1064506489970325E-2</v>
          </cell>
        </row>
        <row r="186">
          <cell r="I186">
            <v>2000.6666666673</v>
          </cell>
          <cell r="J186">
            <v>28.852404</v>
          </cell>
          <cell r="K186">
            <v>9.9562130307849731E-2</v>
          </cell>
        </row>
        <row r="187">
          <cell r="I187">
            <v>2000.5833333339699</v>
          </cell>
          <cell r="J187">
            <v>28.584655999999999</v>
          </cell>
          <cell r="K187">
            <v>0.27034124679753946</v>
          </cell>
        </row>
        <row r="188">
          <cell r="I188">
            <v>2000.5000000006401</v>
          </cell>
          <cell r="J188">
            <v>28.283096</v>
          </cell>
          <cell r="K188">
            <v>-4.8936361395815975E-2</v>
          </cell>
        </row>
        <row r="189">
          <cell r="I189">
            <v>2000.41666666731</v>
          </cell>
          <cell r="J189">
            <v>28.437287999999999</v>
          </cell>
          <cell r="K189">
            <v>-0.56560001539801363</v>
          </cell>
        </row>
        <row r="190">
          <cell r="I190">
            <v>2000.3333333339799</v>
          </cell>
          <cell r="J190">
            <v>28.207857000000001</v>
          </cell>
          <cell r="K190">
            <v>-0.27229557194927428</v>
          </cell>
        </row>
        <row r="191">
          <cell r="I191">
            <v>2000.2500000006501</v>
          </cell>
          <cell r="J191">
            <v>27.356756000000001</v>
          </cell>
          <cell r="K191">
            <v>-0.35300219850788667</v>
          </cell>
        </row>
        <row r="192">
          <cell r="I192">
            <v>2000.16666666732</v>
          </cell>
          <cell r="J192">
            <v>26.734048999999999</v>
          </cell>
          <cell r="K192">
            <v>-0.60624282249457118</v>
          </cell>
        </row>
        <row r="193">
          <cell r="I193">
            <v>2000.0833333339899</v>
          </cell>
          <cell r="J193">
            <v>26.750644999999999</v>
          </cell>
          <cell r="K193">
            <v>-0.3314685460195701</v>
          </cell>
        </row>
        <row r="194">
          <cell r="I194">
            <v>2000.0000000006601</v>
          </cell>
          <cell r="J194">
            <v>26.800830000000001</v>
          </cell>
          <cell r="K194">
            <v>-0.83899445791301652</v>
          </cell>
        </row>
        <row r="195">
          <cell r="I195">
            <v>1999.91666666732</v>
          </cell>
          <cell r="J195">
            <v>27.89828</v>
          </cell>
          <cell r="K195">
            <v>0.31450212107621989</v>
          </cell>
        </row>
        <row r="196">
          <cell r="I196">
            <v>1999.8333333339899</v>
          </cell>
          <cell r="J196">
            <v>28.303477999999998</v>
          </cell>
          <cell r="K196">
            <v>-1.1915399576955805</v>
          </cell>
        </row>
        <row r="197">
          <cell r="I197">
            <v>1999.7500000006601</v>
          </cell>
          <cell r="J197">
            <v>28.966629000000001</v>
          </cell>
          <cell r="K197">
            <v>0.13064219567149835</v>
          </cell>
        </row>
        <row r="198">
          <cell r="I198">
            <v>1999.66666666733</v>
          </cell>
          <cell r="J198">
            <v>28.978497999999998</v>
          </cell>
          <cell r="K198">
            <v>0.47228147987769281</v>
          </cell>
        </row>
        <row r="199">
          <cell r="I199">
            <v>1999.5833333339999</v>
          </cell>
          <cell r="J199">
            <v>28.797606999999999</v>
          </cell>
          <cell r="K199">
            <v>0.89990304090882101</v>
          </cell>
        </row>
        <row r="200">
          <cell r="I200">
            <v>1999.5000000006701</v>
          </cell>
          <cell r="J200">
            <v>28.540585</v>
          </cell>
          <cell r="K200">
            <v>0.6962489041453096</v>
          </cell>
        </row>
        <row r="201">
          <cell r="I201">
            <v>1999.41666666734</v>
          </cell>
          <cell r="J201">
            <v>28.782764</v>
          </cell>
          <cell r="K201">
            <v>0.36026214474362778</v>
          </cell>
        </row>
        <row r="202">
          <cell r="I202">
            <v>1999.3333333340099</v>
          </cell>
          <cell r="J202">
            <v>28.198405999999999</v>
          </cell>
          <cell r="K202">
            <v>-0.29552982957563889</v>
          </cell>
        </row>
        <row r="203">
          <cell r="I203">
            <v>1999.2500000006801</v>
          </cell>
          <cell r="J203">
            <v>27.552143000000001</v>
          </cell>
          <cell r="K203">
            <v>0.20024139504093491</v>
          </cell>
        </row>
        <row r="204">
          <cell r="I204">
            <v>1999.16666666735</v>
          </cell>
          <cell r="J204">
            <v>26.935252999999999</v>
          </cell>
          <cell r="K204">
            <v>-0.10880609086619179</v>
          </cell>
        </row>
        <row r="205">
          <cell r="I205">
            <v>1999.0833333340199</v>
          </cell>
          <cell r="J205">
            <v>26.596931000000001</v>
          </cell>
          <cell r="K205">
            <v>-0.7256340509760365</v>
          </cell>
        </row>
        <row r="206">
          <cell r="I206">
            <v>1999.0000000006901</v>
          </cell>
          <cell r="J206">
            <v>27.152920000000002</v>
          </cell>
          <cell r="K206">
            <v>0.22455130069477605</v>
          </cell>
        </row>
        <row r="207">
          <cell r="I207">
            <v>1998.91666666736</v>
          </cell>
          <cell r="J207">
            <v>28.066917</v>
          </cell>
          <cell r="K207">
            <v>0.84219279181047124</v>
          </cell>
        </row>
        <row r="208">
          <cell r="I208">
            <v>1998.8333333340299</v>
          </cell>
          <cell r="J208">
            <v>28.998287000000001</v>
          </cell>
          <cell r="K208">
            <v>1.0110394156315228</v>
          </cell>
        </row>
        <row r="209">
          <cell r="I209">
            <v>1998.7500000007001</v>
          </cell>
          <cell r="J209">
            <v>29.101966999999998</v>
          </cell>
          <cell r="K209">
            <v>0.5593547678977171</v>
          </cell>
        </row>
        <row r="210">
          <cell r="I210">
            <v>1998.66666666737</v>
          </cell>
          <cell r="J210">
            <v>29.418707000000001</v>
          </cell>
          <cell r="K210">
            <v>1.773488612293147</v>
          </cell>
        </row>
        <row r="211">
          <cell r="I211">
            <v>1998.5833333340399</v>
          </cell>
          <cell r="J211">
            <v>29.319911999999999</v>
          </cell>
          <cell r="K211">
            <v>2.4440294966347484</v>
          </cell>
        </row>
        <row r="212">
          <cell r="I212">
            <v>1998.5000000007101</v>
          </cell>
          <cell r="J212">
            <v>28.865658</v>
          </cell>
          <cell r="K212">
            <v>1.6370254414935088</v>
          </cell>
        </row>
        <row r="213">
          <cell r="I213">
            <v>1998.41666666738</v>
          </cell>
          <cell r="J213">
            <v>29.120782999999999</v>
          </cell>
          <cell r="K213">
            <v>1.2661398367075136</v>
          </cell>
        </row>
        <row r="214">
          <cell r="I214">
            <v>1998.3333333340499</v>
          </cell>
          <cell r="J214">
            <v>28.859881999999999</v>
          </cell>
          <cell r="K214">
            <v>1.3306371154729035</v>
          </cell>
        </row>
        <row r="215">
          <cell r="I215">
            <v>1998.2500000007201</v>
          </cell>
          <cell r="J215">
            <v>27.934906000000002</v>
          </cell>
          <cell r="K215">
            <v>1.2840452182099673</v>
          </cell>
        </row>
        <row r="216">
          <cell r="I216">
            <v>1998.16666666739</v>
          </cell>
          <cell r="J216">
            <v>27.566013000000002</v>
          </cell>
          <cell r="K216">
            <v>1.4506221155408217</v>
          </cell>
        </row>
        <row r="217">
          <cell r="I217">
            <v>1998.0833333340599</v>
          </cell>
          <cell r="J217">
            <v>27.492370000000001</v>
          </cell>
          <cell r="K217">
            <v>1.5705209224988557</v>
          </cell>
        </row>
        <row r="218">
          <cell r="I218">
            <v>1998.0000000007301</v>
          </cell>
          <cell r="J218">
            <v>27.386194</v>
          </cell>
          <cell r="K218">
            <v>0.92919378782440698</v>
          </cell>
        </row>
        <row r="219">
          <cell r="I219">
            <v>1997.9166666674</v>
          </cell>
          <cell r="J219">
            <v>28.053778000000001</v>
          </cell>
          <cell r="K219">
            <v>0.80107887420771062</v>
          </cell>
        </row>
        <row r="220">
          <cell r="I220">
            <v>1997.8333333340699</v>
          </cell>
          <cell r="J220">
            <v>28.978885999999999</v>
          </cell>
          <cell r="K220">
            <v>0.94953727270890176</v>
          </cell>
        </row>
        <row r="221">
          <cell r="I221">
            <v>1997.7500000007401</v>
          </cell>
          <cell r="J221">
            <v>29.191174</v>
          </cell>
          <cell r="K221">
            <v>0.84193735690143989</v>
          </cell>
        </row>
        <row r="222">
          <cell r="I222">
            <v>1997.66666666741</v>
          </cell>
          <cell r="J222">
            <v>28.914299</v>
          </cell>
          <cell r="K222">
            <v>0.28251662569720737</v>
          </cell>
        </row>
        <row r="223">
          <cell r="I223">
            <v>1997.58333333408</v>
          </cell>
          <cell r="J223">
            <v>28.438068000000001</v>
          </cell>
          <cell r="K223">
            <v>-0.1630270129203438</v>
          </cell>
        </row>
        <row r="224">
          <cell r="I224">
            <v>1997.5000000007501</v>
          </cell>
          <cell r="J224">
            <v>28.393802999999998</v>
          </cell>
          <cell r="K224">
            <v>0.2714548987832982</v>
          </cell>
        </row>
        <row r="225">
          <cell r="I225">
            <v>1997.41666666742</v>
          </cell>
          <cell r="J225">
            <v>28.73631</v>
          </cell>
          <cell r="K225">
            <v>0.2357672426745398</v>
          </cell>
        </row>
        <row r="226">
          <cell r="I226">
            <v>1997.33333333409</v>
          </cell>
          <cell r="J226">
            <v>28.317820000000001</v>
          </cell>
          <cell r="K226">
            <v>-1.9634725558366419E-3</v>
          </cell>
        </row>
        <row r="227">
          <cell r="I227">
            <v>1997.2500000007601</v>
          </cell>
          <cell r="J227">
            <v>27.389868</v>
          </cell>
          <cell r="K227">
            <v>-0.25924467180658062</v>
          </cell>
        </row>
        <row r="228">
          <cell r="I228">
            <v>1997.16666666743</v>
          </cell>
          <cell r="J228">
            <v>26.858093</v>
          </cell>
          <cell r="K228">
            <v>-0.29956879047676244</v>
          </cell>
        </row>
        <row r="229">
          <cell r="I229">
            <v>1997.0833333341</v>
          </cell>
          <cell r="J229">
            <v>26.930568999999998</v>
          </cell>
          <cell r="K229">
            <v>0.12990669835497254</v>
          </cell>
        </row>
        <row r="230">
          <cell r="I230">
            <v>1997.0000000007699</v>
          </cell>
          <cell r="J230">
            <v>27.178028000000001</v>
          </cell>
          <cell r="K230">
            <v>0.30039414459015468</v>
          </cell>
        </row>
        <row r="231">
          <cell r="I231">
            <v>1996.91666666744</v>
          </cell>
          <cell r="J231">
            <v>27.653341000000001</v>
          </cell>
          <cell r="K231">
            <v>-0.45194904443891509</v>
          </cell>
        </row>
        <row r="232">
          <cell r="I232">
            <v>1996.83333333411</v>
          </cell>
          <cell r="J232">
            <v>28.459136999999998</v>
          </cell>
          <cell r="K232">
            <v>-0.69809312169788595</v>
          </cell>
        </row>
        <row r="233">
          <cell r="I233">
            <v>1996.7500000007799</v>
          </cell>
          <cell r="J233">
            <v>28.765609999999999</v>
          </cell>
          <cell r="K233">
            <v>-0.50612923996627501</v>
          </cell>
        </row>
        <row r="234">
          <cell r="I234">
            <v>1996.66666666745</v>
          </cell>
          <cell r="J234">
            <v>28.809937000000001</v>
          </cell>
          <cell r="K234">
            <v>-2.5965433400036157E-2</v>
          </cell>
        </row>
        <row r="235">
          <cell r="I235">
            <v>1996.58333333412</v>
          </cell>
          <cell r="J235">
            <v>28.405017999999998</v>
          </cell>
          <cell r="K235">
            <v>-0.26073501755699569</v>
          </cell>
        </row>
        <row r="236">
          <cell r="I236">
            <v>1996.5000000007899</v>
          </cell>
          <cell r="J236">
            <v>28.343678000000001</v>
          </cell>
          <cell r="K236">
            <v>0.12639079338366058</v>
          </cell>
        </row>
        <row r="237">
          <cell r="I237">
            <v>1996.41666666746</v>
          </cell>
          <cell r="J237">
            <v>28.796707000000001</v>
          </cell>
          <cell r="K237">
            <v>0.39762883909824553</v>
          </cell>
        </row>
        <row r="238">
          <cell r="I238">
            <v>1996.33333333413</v>
          </cell>
          <cell r="J238">
            <v>28.376728</v>
          </cell>
          <cell r="K238">
            <v>0.14285545118276857</v>
          </cell>
        </row>
        <row r="239">
          <cell r="I239">
            <v>1996.2500000007999</v>
          </cell>
          <cell r="J239">
            <v>27.657910000000001</v>
          </cell>
          <cell r="K239">
            <v>0.49972352619028593</v>
          </cell>
        </row>
        <row r="240">
          <cell r="I240">
            <v>1996.1666666674701</v>
          </cell>
          <cell r="J240">
            <v>27.268969999999999</v>
          </cell>
          <cell r="K240">
            <v>0.71624258494953452</v>
          </cell>
        </row>
        <row r="241">
          <cell r="I241">
            <v>1996.08333333414</v>
          </cell>
          <cell r="J241">
            <v>27.209606000000001</v>
          </cell>
          <cell r="K241">
            <v>0.84543527744692548</v>
          </cell>
        </row>
        <row r="242">
          <cell r="I242">
            <v>1996.0000000008099</v>
          </cell>
          <cell r="J242">
            <v>27.703735000000002</v>
          </cell>
          <cell r="K242">
            <v>1.8883786091316832</v>
          </cell>
        </row>
        <row r="243">
          <cell r="I243">
            <v>1995.9166666674801</v>
          </cell>
          <cell r="J243">
            <v>28.104153</v>
          </cell>
          <cell r="K243">
            <v>0.95870986585389328</v>
          </cell>
        </row>
        <row r="244">
          <cell r="I244">
            <v>1995.83333333415</v>
          </cell>
          <cell r="J244">
            <v>28.912303999999999</v>
          </cell>
          <cell r="K244">
            <v>0.73846899375041775</v>
          </cell>
        </row>
        <row r="245">
          <cell r="I245">
            <v>1995.7500000008199</v>
          </cell>
          <cell r="J245">
            <v>29.092924</v>
          </cell>
          <cell r="K245">
            <v>0.53070909712793279</v>
          </cell>
        </row>
        <row r="246">
          <cell r="I246">
            <v>1995.6666666674901</v>
          </cell>
          <cell r="J246">
            <v>28.932924</v>
          </cell>
          <cell r="K246">
            <v>0.33756998181041231</v>
          </cell>
        </row>
        <row r="247">
          <cell r="I247">
            <v>1995.58333333416</v>
          </cell>
          <cell r="J247">
            <v>28.871324999999999</v>
          </cell>
          <cell r="K247">
            <v>1.1178406713416205</v>
          </cell>
        </row>
        <row r="248">
          <cell r="I248">
            <v>1995.5000000008299</v>
          </cell>
          <cell r="J248">
            <v>28.697051999999999</v>
          </cell>
          <cell r="K248">
            <v>1.149071754610467</v>
          </cell>
        </row>
        <row r="249">
          <cell r="I249">
            <v>1995.4166666675001</v>
          </cell>
          <cell r="J249">
            <v>29.007117999999998</v>
          </cell>
          <cell r="K249">
            <v>0.96152208487381119</v>
          </cell>
        </row>
        <row r="250">
          <cell r="I250">
            <v>1995.33333333417</v>
          </cell>
          <cell r="J250">
            <v>28.602460000000001</v>
          </cell>
          <cell r="K250">
            <v>0.69779307074825325</v>
          </cell>
        </row>
        <row r="251">
          <cell r="I251">
            <v>1995.2500000008399</v>
          </cell>
          <cell r="J251">
            <v>27.807023999999998</v>
          </cell>
          <cell r="K251">
            <v>0.92194386433170472</v>
          </cell>
        </row>
        <row r="252">
          <cell r="I252">
            <v>1995.1666666675101</v>
          </cell>
          <cell r="J252">
            <v>27.377182000000001</v>
          </cell>
          <cell r="K252">
            <v>0.98377515688135941</v>
          </cell>
        </row>
        <row r="253">
          <cell r="I253">
            <v>1995.08333333418</v>
          </cell>
          <cell r="J253">
            <v>27.112738</v>
          </cell>
          <cell r="K253">
            <v>0.59703874795628753</v>
          </cell>
        </row>
        <row r="254">
          <cell r="I254">
            <v>1995.0000000008499</v>
          </cell>
          <cell r="J254">
            <v>27.284130000000001</v>
          </cell>
          <cell r="K254">
            <v>0.62089268780298035</v>
          </cell>
        </row>
        <row r="255">
          <cell r="I255">
            <v>1994.9166666675201</v>
          </cell>
          <cell r="J255">
            <v>27.805050000000001</v>
          </cell>
          <cell r="K255">
            <v>2.2771354799819774E-2</v>
          </cell>
        </row>
        <row r="256">
          <cell r="I256">
            <v>1994.83333333419</v>
          </cell>
          <cell r="J256">
            <v>28.612185</v>
          </cell>
          <cell r="K256">
            <v>-0.21292328663678403</v>
          </cell>
        </row>
        <row r="257">
          <cell r="I257">
            <v>1994.7500000008599</v>
          </cell>
          <cell r="J257">
            <v>28.904247000000002</v>
          </cell>
          <cell r="K257">
            <v>-6.6966367190493842E-2</v>
          </cell>
        </row>
        <row r="258">
          <cell r="I258">
            <v>1994.6666666675301</v>
          </cell>
          <cell r="J258">
            <v>28.571362000000001</v>
          </cell>
          <cell r="K258">
            <v>-0.73116567150515444</v>
          </cell>
        </row>
        <row r="259">
          <cell r="I259">
            <v>1994.5833333342</v>
          </cell>
          <cell r="J259">
            <v>28.235440000000001</v>
          </cell>
          <cell r="K259">
            <v>-0.76207020697522498</v>
          </cell>
        </row>
        <row r="260">
          <cell r="I260">
            <v>1994.5000000008699</v>
          </cell>
          <cell r="J260">
            <v>27.998660999999998</v>
          </cell>
          <cell r="K260">
            <v>-0.87210461714340848</v>
          </cell>
        </row>
        <row r="261">
          <cell r="I261">
            <v>1994.4166666675401</v>
          </cell>
          <cell r="J261">
            <v>28.462057000000001</v>
          </cell>
          <cell r="K261">
            <v>-0.49922006470809388</v>
          </cell>
        </row>
        <row r="262">
          <cell r="I262">
            <v>1994.33333333421</v>
          </cell>
          <cell r="J262">
            <v>28.216442000000001</v>
          </cell>
          <cell r="K262">
            <v>-0.25119028132158433</v>
          </cell>
        </row>
        <row r="263">
          <cell r="I263">
            <v>1994.2500000008799</v>
          </cell>
          <cell r="J263">
            <v>27.414017000000001</v>
          </cell>
          <cell r="K263">
            <v>-0.19086612287235671</v>
          </cell>
        </row>
        <row r="264">
          <cell r="I264">
            <v>1994.1666666675501</v>
          </cell>
          <cell r="J264">
            <v>26.864509999999999</v>
          </cell>
          <cell r="K264">
            <v>-0.28370403874787625</v>
          </cell>
        </row>
        <row r="265">
          <cell r="I265">
            <v>1994.08333333422</v>
          </cell>
          <cell r="J265">
            <v>26.582369</v>
          </cell>
          <cell r="K265">
            <v>-0.76297507445585466</v>
          </cell>
        </row>
        <row r="266">
          <cell r="I266">
            <v>1994.0000000008899</v>
          </cell>
          <cell r="J266">
            <v>26.998756</v>
          </cell>
          <cell r="K266">
            <v>-0.24112641900761012</v>
          </cell>
        </row>
        <row r="267">
          <cell r="I267">
            <v>1993.9166666675601</v>
          </cell>
          <cell r="J267">
            <v>27.675215000000001</v>
          </cell>
          <cell r="K267">
            <v>-0.38350199111348116</v>
          </cell>
        </row>
        <row r="268">
          <cell r="I268">
            <v>1993.83333333423</v>
          </cell>
          <cell r="J268">
            <v>28.551247</v>
          </cell>
          <cell r="K268">
            <v>-0.406099802559587</v>
          </cell>
        </row>
        <row r="269">
          <cell r="I269">
            <v>1993.7500000008999</v>
          </cell>
          <cell r="J269">
            <v>28.845434000000001</v>
          </cell>
          <cell r="K269">
            <v>-0.2532693457356282</v>
          </cell>
        </row>
        <row r="270">
          <cell r="I270">
            <v>1993.6666666675701</v>
          </cell>
          <cell r="J270">
            <v>28.745933999999998</v>
          </cell>
          <cell r="K270">
            <v>-0.21515093414170622</v>
          </cell>
        </row>
        <row r="271">
          <cell r="I271">
            <v>1993.58333333424</v>
          </cell>
          <cell r="J271">
            <v>28.524956</v>
          </cell>
          <cell r="K271">
            <v>9.3846000903211269E-2</v>
          </cell>
        </row>
        <row r="272">
          <cell r="I272">
            <v>1993.5000000009099</v>
          </cell>
          <cell r="J272">
            <v>28.247907999999999</v>
          </cell>
          <cell r="K272">
            <v>-0.1507720868981183</v>
          </cell>
        </row>
        <row r="273">
          <cell r="I273">
            <v>1993.4166666675801</v>
          </cell>
          <cell r="J273">
            <v>29.062488999999999</v>
          </cell>
          <cell r="K273">
            <v>1.1099141979850071</v>
          </cell>
        </row>
        <row r="274">
          <cell r="I274">
            <v>1993.33333333425</v>
          </cell>
          <cell r="J274">
            <v>28.787512</v>
          </cell>
          <cell r="K274">
            <v>1.152723325988233</v>
          </cell>
        </row>
        <row r="275">
          <cell r="I275">
            <v>1993.25000000092</v>
          </cell>
          <cell r="J275">
            <v>27.950142</v>
          </cell>
          <cell r="K275">
            <v>1.3271863657341565</v>
          </cell>
        </row>
        <row r="276">
          <cell r="I276">
            <v>1993.1666666675901</v>
          </cell>
          <cell r="J276">
            <v>26.927567</v>
          </cell>
          <cell r="K276">
            <v>-0.12780819181495787</v>
          </cell>
        </row>
        <row r="277">
          <cell r="I277">
            <v>1993.08333333426</v>
          </cell>
          <cell r="J277">
            <v>26.868487999999999</v>
          </cell>
          <cell r="K277">
            <v>-2.92862750449943E-2</v>
          </cell>
        </row>
        <row r="278">
          <cell r="I278">
            <v>1993.00000000093</v>
          </cell>
          <cell r="J278">
            <v>27.107855000000001</v>
          </cell>
          <cell r="K278">
            <v>8.8425055667478505E-2</v>
          </cell>
        </row>
        <row r="279">
          <cell r="I279">
            <v>1992.9166666676001</v>
          </cell>
          <cell r="J279">
            <v>27.694216000000001</v>
          </cell>
          <cell r="K279">
            <v>-0.32404498918258129</v>
          </cell>
        </row>
        <row r="280">
          <cell r="I280">
            <v>1992.83333333427</v>
          </cell>
          <cell r="J280">
            <v>28.560661</v>
          </cell>
          <cell r="K280">
            <v>-0.37625695046570168</v>
          </cell>
        </row>
        <row r="281">
          <cell r="I281">
            <v>1992.75000000094</v>
          </cell>
          <cell r="J281">
            <v>28.799296999999999</v>
          </cell>
          <cell r="K281">
            <v>-0.3994183352640841</v>
          </cell>
        </row>
        <row r="282">
          <cell r="I282">
            <v>1992.6666666676099</v>
          </cell>
          <cell r="J282">
            <v>28.676563000000002</v>
          </cell>
          <cell r="K282">
            <v>-0.4202036249835282</v>
          </cell>
        </row>
        <row r="283">
          <cell r="I283">
            <v>1992.58333333428</v>
          </cell>
          <cell r="J283">
            <v>28.267208</v>
          </cell>
          <cell r="K283">
            <v>-0.66815226775293024</v>
          </cell>
        </row>
        <row r="284">
          <cell r="I284">
            <v>1992.50000000095</v>
          </cell>
          <cell r="J284">
            <v>27.974834000000001</v>
          </cell>
          <cell r="K284">
            <v>-0.94106107478643908</v>
          </cell>
        </row>
        <row r="285">
          <cell r="I285">
            <v>1992.4166666676199</v>
          </cell>
          <cell r="J285">
            <v>28.596867</v>
          </cell>
          <cell r="K285">
            <v>-0.13793454036286468</v>
          </cell>
        </row>
        <row r="286">
          <cell r="I286">
            <v>1992.33333333429</v>
          </cell>
          <cell r="J286">
            <v>28.337070000000001</v>
          </cell>
          <cell r="K286">
            <v>4.5360562922674576E-2</v>
          </cell>
        </row>
        <row r="287">
          <cell r="I287">
            <v>1992.25000000096</v>
          </cell>
          <cell r="J287">
            <v>27.414646000000001</v>
          </cell>
          <cell r="K287">
            <v>-0.18908509230050596</v>
          </cell>
        </row>
        <row r="288">
          <cell r="I288">
            <v>1992.1666666676299</v>
          </cell>
          <cell r="J288">
            <v>26.734273999999999</v>
          </cell>
          <cell r="K288">
            <v>-0.6056865549023932</v>
          </cell>
        </row>
        <row r="289">
          <cell r="I289">
            <v>1992.0833333343001</v>
          </cell>
          <cell r="J289">
            <v>26.744986999999998</v>
          </cell>
          <cell r="K289">
            <v>-0.34597723375812273</v>
          </cell>
        </row>
        <row r="290">
          <cell r="I290">
            <v>1992.00000000097</v>
          </cell>
          <cell r="J290">
            <v>26.734821</v>
          </cell>
          <cell r="K290">
            <v>-1.0383854999191595</v>
          </cell>
        </row>
        <row r="291">
          <cell r="I291">
            <v>1991.9166666676399</v>
          </cell>
          <cell r="J291">
            <v>27.356276999999999</v>
          </cell>
          <cell r="K291">
            <v>-1.3815072161983781</v>
          </cell>
        </row>
        <row r="292">
          <cell r="I292">
            <v>1991.8333333343101</v>
          </cell>
          <cell r="J292">
            <v>28.525556999999999</v>
          </cell>
          <cell r="K292">
            <v>-0.48753839086338702</v>
          </cell>
        </row>
        <row r="293">
          <cell r="I293">
            <v>1991.75000000098</v>
          </cell>
          <cell r="J293">
            <v>28.660633000000001</v>
          </cell>
          <cell r="K293">
            <v>-0.83866673641658351</v>
          </cell>
        </row>
        <row r="294">
          <cell r="I294">
            <v>1991.6666666676499</v>
          </cell>
          <cell r="J294">
            <v>28.425203</v>
          </cell>
          <cell r="K294">
            <v>-1.1631948514326664</v>
          </cell>
        </row>
        <row r="295">
          <cell r="I295">
            <v>1991.5833333343201</v>
          </cell>
          <cell r="J295">
            <v>28.10549</v>
          </cell>
          <cell r="K295">
            <v>-1.1462503946463862</v>
          </cell>
        </row>
        <row r="296">
          <cell r="I296">
            <v>1991.50000000099</v>
          </cell>
          <cell r="J296">
            <v>27.819365999999999</v>
          </cell>
          <cell r="K296">
            <v>-1.3909927723080802</v>
          </cell>
        </row>
        <row r="297">
          <cell r="I297">
            <v>1991.4166666676599</v>
          </cell>
          <cell r="J297">
            <v>28.352810000000002</v>
          </cell>
          <cell r="K297">
            <v>-0.79199774943581258</v>
          </cell>
        </row>
        <row r="298">
          <cell r="I298">
            <v>1991.3333333343301</v>
          </cell>
          <cell r="J298">
            <v>28.061271999999999</v>
          </cell>
          <cell r="K298">
            <v>-0.63265888315019958</v>
          </cell>
        </row>
        <row r="299">
          <cell r="I299">
            <v>1991.250000001</v>
          </cell>
          <cell r="J299">
            <v>27.43328</v>
          </cell>
          <cell r="K299">
            <v>-0.13632241555032293</v>
          </cell>
        </row>
        <row r="300">
          <cell r="I300">
            <v>1991.1666666676699</v>
          </cell>
          <cell r="J300">
            <v>26.861784</v>
          </cell>
          <cell r="K300">
            <v>-0.29044352966464992</v>
          </cell>
        </row>
        <row r="301">
          <cell r="I301">
            <v>1991.0833333343401</v>
          </cell>
          <cell r="J301">
            <v>26.800629000000001</v>
          </cell>
          <cell r="K301">
            <v>-0.20329564960320481</v>
          </cell>
        </row>
        <row r="302">
          <cell r="I302">
            <v>1991.00000000101</v>
          </cell>
          <cell r="J302">
            <v>26.725667999999999</v>
          </cell>
          <cell r="K302">
            <v>-1.0660336419525558</v>
          </cell>
        </row>
        <row r="303">
          <cell r="I303">
            <v>1990.9166666676799</v>
          </cell>
          <cell r="J303">
            <v>27.638186999999999</v>
          </cell>
          <cell r="K303">
            <v>-0.49936820170753449</v>
          </cell>
        </row>
        <row r="304">
          <cell r="I304">
            <v>1990.8333333343501</v>
          </cell>
          <cell r="J304">
            <v>28.699667000000002</v>
          </cell>
          <cell r="K304">
            <v>6.4399040416267817E-2</v>
          </cell>
        </row>
        <row r="305">
          <cell r="I305">
            <v>1990.75000000102</v>
          </cell>
          <cell r="J305">
            <v>28.929722000000002</v>
          </cell>
          <cell r="K305">
            <v>1.373124011464736E-2</v>
          </cell>
        </row>
        <row r="306">
          <cell r="I306">
            <v>1990.6666666676899</v>
          </cell>
          <cell r="J306">
            <v>28.873536999999999</v>
          </cell>
          <cell r="K306">
            <v>0.16202884573014745</v>
          </cell>
        </row>
        <row r="307">
          <cell r="I307">
            <v>1990.5833333343601</v>
          </cell>
          <cell r="J307">
            <v>28.511348999999999</v>
          </cell>
          <cell r="K307">
            <v>5.3618684137981584E-2</v>
          </cell>
        </row>
        <row r="308">
          <cell r="I308">
            <v>1990.50000000103</v>
          </cell>
          <cell r="J308">
            <v>28.185023999999999</v>
          </cell>
          <cell r="K308">
            <v>-0.33276133784976475</v>
          </cell>
        </row>
        <row r="309">
          <cell r="I309">
            <v>1990.4166666676999</v>
          </cell>
          <cell r="J309">
            <v>28.557456999999999</v>
          </cell>
          <cell r="K309">
            <v>-0.24355179809185915</v>
          </cell>
        </row>
        <row r="310">
          <cell r="I310">
            <v>1990.3333333343701</v>
          </cell>
          <cell r="J310">
            <v>28.14134</v>
          </cell>
          <cell r="K310">
            <v>-0.43582039625702773</v>
          </cell>
        </row>
        <row r="311">
          <cell r="I311">
            <v>1990.25000000104</v>
          </cell>
          <cell r="J311">
            <v>27.372534000000002</v>
          </cell>
          <cell r="K311">
            <v>-0.30832636327312779</v>
          </cell>
        </row>
        <row r="312">
          <cell r="I312">
            <v>1990.1666666677099</v>
          </cell>
          <cell r="J312">
            <v>26.766666000000001</v>
          </cell>
          <cell r="K312">
            <v>-0.52560380003217611</v>
          </cell>
        </row>
        <row r="313">
          <cell r="I313">
            <v>1990.0833333343801</v>
          </cell>
          <cell r="J313">
            <v>26.502728000000001</v>
          </cell>
          <cell r="K313">
            <v>-0.96719677827097894</v>
          </cell>
        </row>
        <row r="314">
          <cell r="I314">
            <v>1990.00000000105</v>
          </cell>
          <cell r="J314">
            <v>27.100798000000001</v>
          </cell>
          <cell r="K314">
            <v>6.7108226395148116E-2</v>
          </cell>
        </row>
        <row r="315">
          <cell r="I315">
            <v>1989.9166666677199</v>
          </cell>
          <cell r="J315">
            <v>27.523340000000001</v>
          </cell>
          <cell r="K315">
            <v>-0.858741829451239</v>
          </cell>
        </row>
        <row r="316">
          <cell r="I316">
            <v>1989.8333333343901</v>
          </cell>
          <cell r="J316">
            <v>28.517444999999999</v>
          </cell>
          <cell r="K316">
            <v>-0.51325383766449439</v>
          </cell>
        </row>
        <row r="317">
          <cell r="I317">
            <v>1989.75000000106</v>
          </cell>
          <cell r="J317">
            <v>28.470669000000001</v>
          </cell>
          <cell r="K317">
            <v>-1.4404190533592232</v>
          </cell>
        </row>
        <row r="318">
          <cell r="I318">
            <v>1989.6666666677299</v>
          </cell>
          <cell r="J318">
            <v>28.668156</v>
          </cell>
          <cell r="K318">
            <v>-0.44505374927044428</v>
          </cell>
        </row>
        <row r="319">
          <cell r="I319">
            <v>1989.5833333344001</v>
          </cell>
          <cell r="J319">
            <v>28.569210000000002</v>
          </cell>
          <cell r="K319">
            <v>0.22467716693014714</v>
          </cell>
        </row>
        <row r="320">
          <cell r="I320">
            <v>1989.50000000107</v>
          </cell>
          <cell r="J320">
            <v>27.92024</v>
          </cell>
          <cell r="K320">
            <v>-1.0990586761867065</v>
          </cell>
        </row>
        <row r="321">
          <cell r="I321">
            <v>1989.4166666677399</v>
          </cell>
          <cell r="J321">
            <v>28.129704</v>
          </cell>
          <cell r="K321">
            <v>-1.3899130984052386</v>
          </cell>
        </row>
        <row r="322">
          <cell r="I322">
            <v>1989.3333333344101</v>
          </cell>
          <cell r="J322">
            <v>27.854078000000001</v>
          </cell>
          <cell r="K322">
            <v>-1.142022841952006</v>
          </cell>
        </row>
        <row r="323">
          <cell r="I323">
            <v>1989.25000000108</v>
          </cell>
          <cell r="J323">
            <v>26.806018999999999</v>
          </cell>
          <cell r="K323">
            <v>-1.912428961702459</v>
          </cell>
        </row>
        <row r="324">
          <cell r="I324">
            <v>1989.16666666775</v>
          </cell>
          <cell r="J324">
            <v>26.214655</v>
          </cell>
          <cell r="K324">
            <v>-1.8903408214776374</v>
          </cell>
        </row>
        <row r="325">
          <cell r="I325">
            <v>1989.0833333344201</v>
          </cell>
          <cell r="J325">
            <v>26.394656999999999</v>
          </cell>
          <cell r="K325">
            <v>-1.2443209197685134</v>
          </cell>
        </row>
        <row r="326">
          <cell r="I326">
            <v>1989.00000000109</v>
          </cell>
          <cell r="J326">
            <v>26.728110000000001</v>
          </cell>
          <cell r="K326">
            <v>-1.058657179279596</v>
          </cell>
        </row>
        <row r="327">
          <cell r="I327">
            <v>1988.91666666776</v>
          </cell>
          <cell r="J327">
            <v>27.266145999999999</v>
          </cell>
          <cell r="K327">
            <v>-1.6635407429092925</v>
          </cell>
        </row>
        <row r="328">
          <cell r="I328">
            <v>1988.8333333344301</v>
          </cell>
          <cell r="J328">
            <v>28.411228000000001</v>
          </cell>
          <cell r="K328">
            <v>-0.84996705424153662</v>
          </cell>
        </row>
        <row r="329">
          <cell r="I329">
            <v>1988.7500000011</v>
          </cell>
          <cell r="J329">
            <v>28.717724</v>
          </cell>
          <cell r="K329">
            <v>-0.65781856767633728</v>
          </cell>
        </row>
        <row r="330">
          <cell r="I330">
            <v>1988.66666666776</v>
          </cell>
          <cell r="J330">
            <v>28.857769000000001</v>
          </cell>
          <cell r="K330">
            <v>0.1154204527533481</v>
          </cell>
        </row>
        <row r="331">
          <cell r="I331">
            <v>1988.5833333344301</v>
          </cell>
          <cell r="J331">
            <v>28.689496999999999</v>
          </cell>
          <cell r="K331">
            <v>0.58028995826835217</v>
          </cell>
        </row>
        <row r="332">
          <cell r="I332">
            <v>1988.5000000011</v>
          </cell>
          <cell r="J332">
            <v>28.588062000000001</v>
          </cell>
          <cell r="K332">
            <v>0.83364957311406773</v>
          </cell>
        </row>
        <row r="333">
          <cell r="I333">
            <v>1988.41666666777</v>
          </cell>
          <cell r="J333">
            <v>28.977024</v>
          </cell>
          <cell r="K333">
            <v>0.88087134257246213</v>
          </cell>
        </row>
        <row r="334">
          <cell r="I334">
            <v>1988.3333333344401</v>
          </cell>
          <cell r="J334">
            <v>28.653555000000001</v>
          </cell>
          <cell r="K334">
            <v>0.82340458206121914</v>
          </cell>
        </row>
        <row r="335">
          <cell r="I335">
            <v>1988.25000000111</v>
          </cell>
          <cell r="J335">
            <v>27.590651999999999</v>
          </cell>
          <cell r="K335">
            <v>0.30928067372360196</v>
          </cell>
        </row>
        <row r="336">
          <cell r="I336">
            <v>1988.16666666778</v>
          </cell>
          <cell r="J336">
            <v>27.139492000000001</v>
          </cell>
          <cell r="K336">
            <v>0.39613407250555455</v>
          </cell>
        </row>
        <row r="337">
          <cell r="I337">
            <v>1988.0833333344499</v>
          </cell>
          <cell r="J337">
            <v>27.052219999999998</v>
          </cell>
          <cell r="K337">
            <v>0.44185374184782256</v>
          </cell>
        </row>
        <row r="338">
          <cell r="I338">
            <v>1988.00000000112</v>
          </cell>
          <cell r="J338">
            <v>27.169080000000001</v>
          </cell>
          <cell r="K338">
            <v>0.27336523877623575</v>
          </cell>
        </row>
        <row r="339">
          <cell r="I339">
            <v>1987.91666666779</v>
          </cell>
          <cell r="J339">
            <v>28.097216</v>
          </cell>
          <cell r="K339">
            <v>0.93700294398690187</v>
          </cell>
        </row>
        <row r="340">
          <cell r="I340">
            <v>1987.8333333344599</v>
          </cell>
          <cell r="J340">
            <v>28.763072999999999</v>
          </cell>
          <cell r="K340">
            <v>0.26539924010448579</v>
          </cell>
        </row>
        <row r="341">
          <cell r="I341">
            <v>1987.75000000113</v>
          </cell>
          <cell r="J341">
            <v>29.300514</v>
          </cell>
          <cell r="K341">
            <v>1.1882956054880565</v>
          </cell>
        </row>
        <row r="342">
          <cell r="I342">
            <v>1987.6666666678</v>
          </cell>
          <cell r="J342">
            <v>29.046396000000001</v>
          </cell>
          <cell r="K342">
            <v>0.67298015227364105</v>
          </cell>
        </row>
        <row r="343">
          <cell r="I343">
            <v>1987.5833333344699</v>
          </cell>
          <cell r="J343">
            <v>28.876339999999999</v>
          </cell>
          <cell r="K343">
            <v>1.1326668632706005</v>
          </cell>
        </row>
        <row r="344">
          <cell r="I344">
            <v>1987.5000000011401</v>
          </cell>
          <cell r="J344">
            <v>28.532698</v>
          </cell>
          <cell r="K344">
            <v>0.67342355553110467</v>
          </cell>
        </row>
        <row r="345">
          <cell r="I345">
            <v>1987.41666666781</v>
          </cell>
          <cell r="J345">
            <v>29.119105999999999</v>
          </cell>
          <cell r="K345">
            <v>1.2616455423352322</v>
          </cell>
        </row>
        <row r="346">
          <cell r="I346">
            <v>1987.3333333344799</v>
          </cell>
          <cell r="J346">
            <v>28.794291999999999</v>
          </cell>
          <cell r="K346">
            <v>1.169391220042481</v>
          </cell>
        </row>
        <row r="347">
          <cell r="I347">
            <v>1987.2500000011501</v>
          </cell>
          <cell r="J347">
            <v>27.661086999999998</v>
          </cell>
          <cell r="K347">
            <v>0.50871928791805243</v>
          </cell>
        </row>
        <row r="348">
          <cell r="I348">
            <v>1987.16666666782</v>
          </cell>
          <cell r="J348">
            <v>27.103563000000001</v>
          </cell>
          <cell r="K348">
            <v>0.30730679108631981</v>
          </cell>
        </row>
        <row r="349">
          <cell r="I349">
            <v>1987.0833333344899</v>
          </cell>
          <cell r="J349">
            <v>26.76116</v>
          </cell>
          <cell r="K349">
            <v>-0.30450515761891722</v>
          </cell>
        </row>
        <row r="350">
          <cell r="I350">
            <v>1987.0000000011601</v>
          </cell>
          <cell r="J350">
            <v>26.907608</v>
          </cell>
          <cell r="K350">
            <v>-0.5164539455081737</v>
          </cell>
        </row>
        <row r="351">
          <cell r="I351">
            <v>1986.91666666783</v>
          </cell>
          <cell r="J351">
            <v>27.205338000000001</v>
          </cell>
          <cell r="K351">
            <v>-1.8538181690139268</v>
          </cell>
        </row>
        <row r="352">
          <cell r="I352">
            <v>1986.8333333344999</v>
          </cell>
          <cell r="J352">
            <v>28.061070000000001</v>
          </cell>
          <cell r="K352">
            <v>-1.9599854739877827</v>
          </cell>
        </row>
        <row r="353">
          <cell r="I353">
            <v>1986.7500000011701</v>
          </cell>
          <cell r="J353">
            <v>28.503032999999999</v>
          </cell>
          <cell r="K353">
            <v>-1.3378990391168921</v>
          </cell>
        </row>
        <row r="354">
          <cell r="I354">
            <v>1986.66666666784</v>
          </cell>
          <cell r="J354">
            <v>28.452005</v>
          </cell>
          <cell r="K354">
            <v>-1.0839712245577076</v>
          </cell>
        </row>
        <row r="355">
          <cell r="I355">
            <v>1986.5833333345099</v>
          </cell>
          <cell r="J355">
            <v>28.042576</v>
          </cell>
          <cell r="K355">
            <v>-1.3322474114000837</v>
          </cell>
        </row>
        <row r="356">
          <cell r="I356">
            <v>1986.5000000011801</v>
          </cell>
          <cell r="J356">
            <v>27.797011999999999</v>
          </cell>
          <cell r="K356">
            <v>-1.4556862987340879</v>
          </cell>
        </row>
        <row r="357">
          <cell r="I357">
            <v>1986.41666666785</v>
          </cell>
          <cell r="J357">
            <v>28.42773</v>
          </cell>
          <cell r="K357">
            <v>-0.59121508135522138</v>
          </cell>
        </row>
        <row r="358">
          <cell r="I358">
            <v>1986.3333333345199</v>
          </cell>
          <cell r="J358">
            <v>28.080646999999999</v>
          </cell>
          <cell r="K358">
            <v>-0.58502754874000829</v>
          </cell>
        </row>
        <row r="359">
          <cell r="I359">
            <v>1986.2500000011901</v>
          </cell>
          <cell r="J359">
            <v>27.155024999999998</v>
          </cell>
          <cell r="K359">
            <v>-0.92420900024084995</v>
          </cell>
        </row>
        <row r="360">
          <cell r="I360">
            <v>1986.16666666786</v>
          </cell>
          <cell r="J360">
            <v>26.381073000000001</v>
          </cell>
          <cell r="K360">
            <v>-1.478905531900236</v>
          </cell>
        </row>
        <row r="361">
          <cell r="I361">
            <v>1986.0833333345299</v>
          </cell>
          <cell r="J361">
            <v>26.251438</v>
          </cell>
          <cell r="K361">
            <v>-1.6115743218942833</v>
          </cell>
        </row>
        <row r="362">
          <cell r="I362">
            <v>1986.0000000012001</v>
          </cell>
          <cell r="J362">
            <v>26.453082999999999</v>
          </cell>
          <cell r="K362">
            <v>-1.8894214706614203</v>
          </cell>
        </row>
        <row r="363">
          <cell r="I363">
            <v>1985.91666666787</v>
          </cell>
          <cell r="J363">
            <v>27.245971999999998</v>
          </cell>
          <cell r="K363">
            <v>-1.7266682391965438</v>
          </cell>
        </row>
        <row r="364">
          <cell r="I364">
            <v>1985.8333333345399</v>
          </cell>
          <cell r="J364">
            <v>27.878197</v>
          </cell>
          <cell r="K364">
            <v>-2.5397020547149283</v>
          </cell>
        </row>
        <row r="365">
          <cell r="I365">
            <v>1985.7500000012101</v>
          </cell>
          <cell r="J365">
            <v>28.344597</v>
          </cell>
          <cell r="K365">
            <v>-1.8397795537782127</v>
          </cell>
        </row>
        <row r="366">
          <cell r="I366">
            <v>1985.66666666788</v>
          </cell>
          <cell r="J366">
            <v>28.385859</v>
          </cell>
          <cell r="K366">
            <v>-1.27949118662289</v>
          </cell>
        </row>
        <row r="367">
          <cell r="I367">
            <v>1985.5833333345499</v>
          </cell>
          <cell r="J367">
            <v>28.068059999999999</v>
          </cell>
          <cell r="K367">
            <v>-1.2569072967205046</v>
          </cell>
        </row>
        <row r="368">
          <cell r="I368">
            <v>1985.5000000012201</v>
          </cell>
          <cell r="J368">
            <v>28.003826</v>
          </cell>
          <cell r="K368">
            <v>-0.85715686443738548</v>
          </cell>
        </row>
        <row r="369">
          <cell r="I369">
            <v>1985.41666666789</v>
          </cell>
          <cell r="J369">
            <v>28.208447</v>
          </cell>
          <cell r="K369">
            <v>-1.1788849399339343</v>
          </cell>
        </row>
        <row r="370">
          <cell r="I370">
            <v>1985.3333333345599</v>
          </cell>
          <cell r="J370">
            <v>27.899887</v>
          </cell>
          <cell r="K370">
            <v>-1.0294063878618711</v>
          </cell>
        </row>
        <row r="371">
          <cell r="I371">
            <v>1985.2500000012301</v>
          </cell>
          <cell r="J371">
            <v>26.904177000000001</v>
          </cell>
          <cell r="K371">
            <v>-1.6344919205709303</v>
          </cell>
        </row>
        <row r="372">
          <cell r="I372">
            <v>1985.1666666679</v>
          </cell>
          <cell r="J372">
            <v>26.229607000000001</v>
          </cell>
          <cell r="K372">
            <v>-1.8533749857521649</v>
          </cell>
        </row>
        <row r="373">
          <cell r="I373">
            <v>1985.0833333345699</v>
          </cell>
          <cell r="J373">
            <v>26.421638000000002</v>
          </cell>
          <cell r="K373">
            <v>-1.1751341216289053</v>
          </cell>
        </row>
        <row r="374">
          <cell r="I374">
            <v>1985.0000000012401</v>
          </cell>
          <cell r="J374">
            <v>26.096679999999999</v>
          </cell>
          <cell r="K374">
            <v>-2.9659953551940479</v>
          </cell>
        </row>
        <row r="375">
          <cell r="I375">
            <v>1984.91666666791</v>
          </cell>
          <cell r="J375">
            <v>27.029693999999999</v>
          </cell>
          <cell r="K375">
            <v>-2.4034348021990977</v>
          </cell>
        </row>
        <row r="376">
          <cell r="I376">
            <v>1984.8333333345799</v>
          </cell>
          <cell r="J376">
            <v>27.987850000000002</v>
          </cell>
          <cell r="K376">
            <v>-2.1920965458291204</v>
          </cell>
        </row>
        <row r="377">
          <cell r="I377">
            <v>1984.7500000012501</v>
          </cell>
          <cell r="J377">
            <v>28.159077</v>
          </cell>
          <cell r="K377">
            <v>-2.4274545334543558</v>
          </cell>
        </row>
        <row r="378">
          <cell r="I378">
            <v>1984.66666666792</v>
          </cell>
          <cell r="J378">
            <v>28.300379</v>
          </cell>
          <cell r="K378">
            <v>-1.5321602271896952</v>
          </cell>
        </row>
        <row r="379">
          <cell r="I379">
            <v>1984.58333333459</v>
          </cell>
          <cell r="J379">
            <v>28.109867000000001</v>
          </cell>
          <cell r="K379">
            <v>-1.1333103663167419</v>
          </cell>
        </row>
        <row r="380">
          <cell r="I380">
            <v>1984.5000000012601</v>
          </cell>
          <cell r="J380">
            <v>27.933865000000001</v>
          </cell>
          <cell r="K380">
            <v>-1.0596272859409146</v>
          </cell>
        </row>
        <row r="381">
          <cell r="I381">
            <v>1984.41666666793</v>
          </cell>
          <cell r="J381">
            <v>28.069008</v>
          </cell>
          <cell r="K381">
            <v>-1.5525760031278732</v>
          </cell>
        </row>
        <row r="382">
          <cell r="I382">
            <v>1984.3333333346</v>
          </cell>
          <cell r="J382">
            <v>28.131042000000001</v>
          </cell>
          <cell r="K382">
            <v>-0.46113691144443886</v>
          </cell>
        </row>
        <row r="383">
          <cell r="I383">
            <v>1984.2500000012701</v>
          </cell>
          <cell r="J383">
            <v>27.550076000000001</v>
          </cell>
          <cell r="K383">
            <v>0.19438862843995552</v>
          </cell>
        </row>
        <row r="384">
          <cell r="I384">
            <v>1984.16666666794</v>
          </cell>
          <cell r="J384">
            <v>27.135601000000001</v>
          </cell>
          <cell r="K384">
            <v>0.38651435161150804</v>
          </cell>
        </row>
        <row r="385">
          <cell r="I385">
            <v>1984.08333333461</v>
          </cell>
          <cell r="J385">
            <v>27.060241999999999</v>
          </cell>
          <cell r="K385">
            <v>0.46242438395433849</v>
          </cell>
        </row>
        <row r="386">
          <cell r="I386">
            <v>1984.0000000012799</v>
          </cell>
          <cell r="J386">
            <v>27.36628</v>
          </cell>
          <cell r="K386">
            <v>0.8690402752653581</v>
          </cell>
        </row>
        <row r="387">
          <cell r="I387">
            <v>1983.91666666795</v>
          </cell>
          <cell r="J387">
            <v>27.767216000000001</v>
          </cell>
          <cell r="K387">
            <v>-9.5616951660563762E-2</v>
          </cell>
        </row>
        <row r="388">
          <cell r="I388">
            <v>1983.83333333462</v>
          </cell>
          <cell r="J388">
            <v>28.718912</v>
          </cell>
          <cell r="K388">
            <v>0.12540665551577779</v>
          </cell>
        </row>
        <row r="389">
          <cell r="I389">
            <v>1983.7500000012899</v>
          </cell>
          <cell r="J389">
            <v>28.807379999999998</v>
          </cell>
          <cell r="K389">
            <v>-0.37381367344475586</v>
          </cell>
        </row>
        <row r="390">
          <cell r="I390">
            <v>1983.66666666796</v>
          </cell>
          <cell r="J390">
            <v>28.658867000000001</v>
          </cell>
          <cell r="K390">
            <v>-0.47251096403208198</v>
          </cell>
        </row>
        <row r="391">
          <cell r="I391">
            <v>1983.58333333463</v>
          </cell>
          <cell r="J391">
            <v>28.514420000000001</v>
          </cell>
          <cell r="K391">
            <v>6.269769419060886E-2</v>
          </cell>
        </row>
        <row r="392">
          <cell r="I392">
            <v>1983.5000000012999</v>
          </cell>
          <cell r="J392">
            <v>28.50544</v>
          </cell>
          <cell r="K392">
            <v>0.5945376226636041</v>
          </cell>
        </row>
        <row r="393">
          <cell r="I393">
            <v>1983.41666666797</v>
          </cell>
          <cell r="J393">
            <v>29.250540000000001</v>
          </cell>
          <cell r="K393">
            <v>1.6138835187968623</v>
          </cell>
        </row>
        <row r="394">
          <cell r="I394">
            <v>1983.33333333464</v>
          </cell>
          <cell r="J394">
            <v>28.765336999999999</v>
          </cell>
          <cell r="K394">
            <v>1.0982084955084386</v>
          </cell>
        </row>
        <row r="395">
          <cell r="I395">
            <v>1983.2500000013099</v>
          </cell>
          <cell r="J395">
            <v>27.905666</v>
          </cell>
          <cell r="K395">
            <v>1.2012513645996024</v>
          </cell>
        </row>
        <row r="396">
          <cell r="I396">
            <v>1983.1666666679801</v>
          </cell>
          <cell r="J396">
            <v>27.299713000000001</v>
          </cell>
          <cell r="K396">
            <v>0.79224851644419547</v>
          </cell>
        </row>
        <row r="397">
          <cell r="I397">
            <v>1983.08333333465</v>
          </cell>
          <cell r="J397">
            <v>26.744598</v>
          </cell>
          <cell r="K397">
            <v>-0.34697473809362528</v>
          </cell>
        </row>
        <row r="398">
          <cell r="I398">
            <v>1983.0000000013199</v>
          </cell>
          <cell r="J398">
            <v>26.974377</v>
          </cell>
          <cell r="K398">
            <v>-0.31476719849325024</v>
          </cell>
        </row>
        <row r="399">
          <cell r="I399">
            <v>1982.9166666679901</v>
          </cell>
          <cell r="J399">
            <v>27.314194000000001</v>
          </cell>
          <cell r="K399">
            <v>-1.5131912861030163</v>
          </cell>
        </row>
        <row r="400">
          <cell r="I400">
            <v>1982.83333333466</v>
          </cell>
          <cell r="J400">
            <v>28.297533000000001</v>
          </cell>
          <cell r="K400">
            <v>-1.2103859058258191</v>
          </cell>
        </row>
        <row r="401">
          <cell r="I401">
            <v>1982.7500000013299</v>
          </cell>
          <cell r="J401">
            <v>28.556156000000001</v>
          </cell>
          <cell r="K401">
            <v>-1.1696203740385318</v>
          </cell>
        </row>
        <row r="402">
          <cell r="I402">
            <v>1982.6666666680001</v>
          </cell>
          <cell r="J402">
            <v>28.399704</v>
          </cell>
          <cell r="K402">
            <v>-1.2385669602933698</v>
          </cell>
        </row>
        <row r="403">
          <cell r="I403">
            <v>1982.58333333467</v>
          </cell>
          <cell r="J403">
            <v>27.933047999999999</v>
          </cell>
          <cell r="K403">
            <v>-1.6560526256767059</v>
          </cell>
        </row>
        <row r="404">
          <cell r="I404">
            <v>1982.5000000013399</v>
          </cell>
          <cell r="J404">
            <v>27.928457000000002</v>
          </cell>
          <cell r="K404">
            <v>-1.0752782920656261</v>
          </cell>
        </row>
        <row r="405">
          <cell r="I405">
            <v>1982.4166666680101</v>
          </cell>
          <cell r="J405">
            <v>28.584976000000001</v>
          </cell>
          <cell r="K405">
            <v>-0.16980195502044687</v>
          </cell>
        </row>
        <row r="406">
          <cell r="I406">
            <v>1982.33333333468</v>
          </cell>
          <cell r="J406">
            <v>28.335847999999999</v>
          </cell>
          <cell r="K406">
            <v>4.2356408566579025E-2</v>
          </cell>
        </row>
        <row r="407">
          <cell r="I407">
            <v>1982.2500000013499</v>
          </cell>
          <cell r="J407">
            <v>27.535212999999999</v>
          </cell>
          <cell r="K407">
            <v>0.15230364053944451</v>
          </cell>
        </row>
        <row r="408">
          <cell r="I408">
            <v>1982.1666666680201</v>
          </cell>
          <cell r="J408">
            <v>26.834885</v>
          </cell>
          <cell r="K408">
            <v>-0.35694593838451555</v>
          </cell>
        </row>
        <row r="409">
          <cell r="I409">
            <v>1982.08333333469</v>
          </cell>
          <cell r="J409">
            <v>27.009761999999998</v>
          </cell>
          <cell r="K409">
            <v>0.33297960540324423</v>
          </cell>
        </row>
        <row r="410">
          <cell r="I410">
            <v>1982.0000000013599</v>
          </cell>
          <cell r="J410">
            <v>27.228565</v>
          </cell>
          <cell r="K410">
            <v>0.45304946568067228</v>
          </cell>
        </row>
        <row r="411">
          <cell r="I411">
            <v>1981.9166666680301</v>
          </cell>
          <cell r="J411">
            <v>27.829985000000001</v>
          </cell>
          <cell r="K411">
            <v>0.10079673994518017</v>
          </cell>
        </row>
        <row r="412">
          <cell r="I412">
            <v>1981.8333333347</v>
          </cell>
          <cell r="J412">
            <v>28.377061999999999</v>
          </cell>
          <cell r="K412">
            <v>-0.95827498760034335</v>
          </cell>
        </row>
        <row r="413">
          <cell r="I413">
            <v>1981.7500000013699</v>
          </cell>
          <cell r="J413">
            <v>28.780743000000001</v>
          </cell>
          <cell r="K413">
            <v>-0.45819216866700596</v>
          </cell>
        </row>
        <row r="414">
          <cell r="I414">
            <v>1981.6666666680401</v>
          </cell>
          <cell r="J414">
            <v>28.831500999999999</v>
          </cell>
          <cell r="K414">
            <v>3.7775268410703638E-2</v>
          </cell>
        </row>
        <row r="415">
          <cell r="I415">
            <v>1981.58333333471</v>
          </cell>
          <cell r="J415">
            <v>28.467770000000002</v>
          </cell>
          <cell r="K415">
            <v>-7.5216932626316207E-2</v>
          </cell>
        </row>
        <row r="416">
          <cell r="I416">
            <v>1981.5000000013799</v>
          </cell>
          <cell r="J416">
            <v>28.536498999999999</v>
          </cell>
          <cell r="K416">
            <v>0.68442382814205616</v>
          </cell>
        </row>
        <row r="417">
          <cell r="I417">
            <v>1981.4166666680501</v>
          </cell>
          <cell r="J417">
            <v>28.902926999999998</v>
          </cell>
          <cell r="K417">
            <v>0.68229428228457922</v>
          </cell>
        </row>
        <row r="418">
          <cell r="I418">
            <v>1981.33333333472</v>
          </cell>
          <cell r="J418">
            <v>28.898409999999998</v>
          </cell>
          <cell r="K418">
            <v>1.4253540213906228</v>
          </cell>
        </row>
        <row r="419">
          <cell r="I419">
            <v>1981.2500000013899</v>
          </cell>
          <cell r="J419">
            <v>27.56223</v>
          </cell>
          <cell r="K419">
            <v>0.22880300931479242</v>
          </cell>
        </row>
        <row r="420">
          <cell r="I420">
            <v>1981.1666666680601</v>
          </cell>
          <cell r="J420">
            <v>27.641193000000001</v>
          </cell>
          <cell r="K420">
            <v>1.6364896603402352</v>
          </cell>
        </row>
        <row r="421">
          <cell r="I421">
            <v>1981.08333333473</v>
          </cell>
          <cell r="J421">
            <v>27.065819000000001</v>
          </cell>
          <cell r="K421">
            <v>0.47672536513460312</v>
          </cell>
        </row>
        <row r="422">
          <cell r="I422">
            <v>1981.0000000013999</v>
          </cell>
          <cell r="J422">
            <v>27.302422</v>
          </cell>
          <cell r="K422">
            <v>0.67614668256696819</v>
          </cell>
        </row>
        <row r="423">
          <cell r="I423">
            <v>1980.9166666680701</v>
          </cell>
          <cell r="J423">
            <v>27.690110000000001</v>
          </cell>
          <cell r="K423">
            <v>-0.33689328400539553</v>
          </cell>
        </row>
        <row r="424">
          <cell r="I424">
            <v>1980.83333333474</v>
          </cell>
          <cell r="J424">
            <v>28.681742</v>
          </cell>
          <cell r="K424">
            <v>7.5758915121920192E-3</v>
          </cell>
        </row>
        <row r="425">
          <cell r="I425">
            <v>1980.7500000014099</v>
          </cell>
          <cell r="J425">
            <v>28.700056</v>
          </cell>
          <cell r="K425">
            <v>-0.71378580323540552</v>
          </cell>
        </row>
        <row r="426">
          <cell r="I426">
            <v>1980.6666666680801</v>
          </cell>
          <cell r="J426">
            <v>28.820509999999999</v>
          </cell>
          <cell r="K426">
            <v>5.2871375629040904E-3</v>
          </cell>
        </row>
        <row r="427">
          <cell r="I427">
            <v>1980.58333333475</v>
          </cell>
          <cell r="J427">
            <v>28.55077</v>
          </cell>
          <cell r="K427">
            <v>0.17016171744452302</v>
          </cell>
        </row>
        <row r="428">
          <cell r="I428">
            <v>1980.5000000014199</v>
          </cell>
          <cell r="J428">
            <v>28.581654</v>
          </cell>
          <cell r="K428">
            <v>0.81510451999883626</v>
          </cell>
        </row>
        <row r="429">
          <cell r="I429">
            <v>1980.4166666680901</v>
          </cell>
          <cell r="J429">
            <v>28.870646000000001</v>
          </cell>
          <cell r="K429">
            <v>0.59578246556929382</v>
          </cell>
        </row>
        <row r="430">
          <cell r="I430">
            <v>1980.33333333476</v>
          </cell>
          <cell r="J430">
            <v>28.698509999999999</v>
          </cell>
          <cell r="K430">
            <v>0.93392156985012464</v>
          </cell>
        </row>
        <row r="431">
          <cell r="I431">
            <v>1980.25000000143</v>
          </cell>
          <cell r="J431">
            <v>27.172215000000001</v>
          </cell>
          <cell r="K431">
            <v>-0.87553504868263032</v>
          </cell>
        </row>
        <row r="432">
          <cell r="I432">
            <v>1980.1666666681001</v>
          </cell>
          <cell r="J432">
            <v>26.592037000000001</v>
          </cell>
          <cell r="K432">
            <v>-0.95733914827342248</v>
          </cell>
        </row>
        <row r="433">
          <cell r="I433">
            <v>1980.08333333477</v>
          </cell>
          <cell r="J433">
            <v>26.906555000000001</v>
          </cell>
          <cell r="K433">
            <v>6.8328114517301392E-2</v>
          </cell>
        </row>
        <row r="434">
          <cell r="I434">
            <v>1980.00000000144</v>
          </cell>
          <cell r="J434">
            <v>27.253899000000001</v>
          </cell>
          <cell r="K434">
            <v>0.52957497974971912</v>
          </cell>
        </row>
        <row r="435">
          <cell r="I435">
            <v>1979.9166666681101</v>
          </cell>
          <cell r="J435">
            <v>27.990691999999999</v>
          </cell>
          <cell r="K435">
            <v>0.6036732416718974</v>
          </cell>
        </row>
        <row r="436">
          <cell r="I436">
            <v>1979.83333333478</v>
          </cell>
          <cell r="J436">
            <v>28.791801</v>
          </cell>
          <cell r="K436">
            <v>0.35646844075810846</v>
          </cell>
        </row>
        <row r="437">
          <cell r="I437">
            <v>1979.75000000145</v>
          </cell>
          <cell r="J437">
            <v>28.743378</v>
          </cell>
          <cell r="K437">
            <v>-0.5765539389106441</v>
          </cell>
        </row>
        <row r="438">
          <cell r="I438">
            <v>1979.6666666681199</v>
          </cell>
          <cell r="J438">
            <v>28.731574999999999</v>
          </cell>
          <cell r="K438">
            <v>-0.25759448530570322</v>
          </cell>
        </row>
        <row r="439">
          <cell r="I439">
            <v>1979.58333333479</v>
          </cell>
          <cell r="J439">
            <v>28.296282000000001</v>
          </cell>
          <cell r="K439">
            <v>-0.58219878736545971</v>
          </cell>
        </row>
        <row r="440">
          <cell r="I440">
            <v>1979.50000000146</v>
          </cell>
          <cell r="J440">
            <v>28.579032999999999</v>
          </cell>
          <cell r="K440">
            <v>0.80751922283668842</v>
          </cell>
        </row>
        <row r="441">
          <cell r="I441">
            <v>1979.4166666681299</v>
          </cell>
          <cell r="J441">
            <v>28.622676999999999</v>
          </cell>
          <cell r="K441">
            <v>-6.8764750411448194E-2</v>
          </cell>
        </row>
        <row r="442">
          <cell r="I442">
            <v>1979.3333333348</v>
          </cell>
          <cell r="J442">
            <v>28.291654999999999</v>
          </cell>
          <cell r="K442">
            <v>-6.6287284934817961E-2</v>
          </cell>
        </row>
        <row r="443">
          <cell r="I443">
            <v>1979.25000000147</v>
          </cell>
          <cell r="J443">
            <v>27.118216</v>
          </cell>
          <cell r="K443">
            <v>-1.0284346827833808</v>
          </cell>
        </row>
        <row r="444">
          <cell r="I444">
            <v>1979.1666666681399</v>
          </cell>
          <cell r="J444">
            <v>26.905308000000002</v>
          </cell>
          <cell r="K444">
            <v>-0.18283912663392368</v>
          </cell>
        </row>
        <row r="445">
          <cell r="I445">
            <v>1979.08333333481</v>
          </cell>
          <cell r="J445">
            <v>26.909672</v>
          </cell>
          <cell r="K445">
            <v>7.6320970593840728E-2</v>
          </cell>
        </row>
        <row r="446">
          <cell r="I446">
            <v>1979.00000000148</v>
          </cell>
          <cell r="J446">
            <v>26.861004000000001</v>
          </cell>
          <cell r="K446">
            <v>-0.65722899317824657</v>
          </cell>
        </row>
        <row r="447">
          <cell r="I447">
            <v>1978.9166666681499</v>
          </cell>
          <cell r="J447">
            <v>27.561254999999999</v>
          </cell>
          <cell r="K447">
            <v>-0.74010006174374832</v>
          </cell>
        </row>
        <row r="448">
          <cell r="I448">
            <v>1978.8333333348201</v>
          </cell>
          <cell r="J448">
            <v>28.622420999999999</v>
          </cell>
          <cell r="K448">
            <v>-0.18047465332119084</v>
          </cell>
        </row>
        <row r="449">
          <cell r="I449">
            <v>1978.75000000149</v>
          </cell>
          <cell r="J449">
            <v>28.525145999999999</v>
          </cell>
          <cell r="K449">
            <v>-1.2678512985736672</v>
          </cell>
        </row>
        <row r="450">
          <cell r="I450">
            <v>1978.6666666681599</v>
          </cell>
          <cell r="J450">
            <v>28.158617</v>
          </cell>
          <cell r="K450">
            <v>-1.9511923812471506</v>
          </cell>
        </row>
        <row r="451">
          <cell r="I451">
            <v>1978.5833333348301</v>
          </cell>
          <cell r="J451">
            <v>28.211459999999999</v>
          </cell>
          <cell r="K451">
            <v>-0.83296394226075809</v>
          </cell>
        </row>
        <row r="452">
          <cell r="I452">
            <v>1978.5000000015</v>
          </cell>
          <cell r="J452">
            <v>28.089182000000001</v>
          </cell>
          <cell r="K452">
            <v>-0.61013258951484883</v>
          </cell>
        </row>
        <row r="453">
          <cell r="I453">
            <v>1978.4166666681699</v>
          </cell>
          <cell r="J453">
            <v>28.353933000000001</v>
          </cell>
          <cell r="K453">
            <v>-0.78898815338329709</v>
          </cell>
        </row>
        <row r="454">
          <cell r="I454">
            <v>1978.3333333348401</v>
          </cell>
          <cell r="J454">
            <v>28.672716000000001</v>
          </cell>
          <cell r="K454">
            <v>0.8705098207003773</v>
          </cell>
        </row>
        <row r="455">
          <cell r="I455">
            <v>1978.25000000151</v>
          </cell>
          <cell r="J455">
            <v>27.622406000000002</v>
          </cell>
          <cell r="K455">
            <v>0.39919298656709151</v>
          </cell>
        </row>
        <row r="456">
          <cell r="I456">
            <v>1978.1666666681799</v>
          </cell>
          <cell r="J456">
            <v>27.325665000000001</v>
          </cell>
          <cell r="K456">
            <v>0.85640965667609814</v>
          </cell>
        </row>
        <row r="457">
          <cell r="I457">
            <v>1978.0833333348501</v>
          </cell>
          <cell r="J457">
            <v>27.261524000000001</v>
          </cell>
          <cell r="K457">
            <v>0.97856748847734842</v>
          </cell>
        </row>
        <row r="458">
          <cell r="I458">
            <v>1978.00000000152</v>
          </cell>
          <cell r="J458">
            <v>27.264517000000001</v>
          </cell>
          <cell r="K458">
            <v>0.56164839525398935</v>
          </cell>
        </row>
        <row r="459">
          <cell r="I459">
            <v>1977.9166666681899</v>
          </cell>
          <cell r="J459">
            <v>27.712969999999999</v>
          </cell>
          <cell r="K459">
            <v>-0.26536088759782278</v>
          </cell>
        </row>
        <row r="460">
          <cell r="I460">
            <v>1977.8333333348601</v>
          </cell>
          <cell r="J460">
            <v>28.646356999999998</v>
          </cell>
          <cell r="K460">
            <v>-0.10459633297710309</v>
          </cell>
        </row>
        <row r="461">
          <cell r="I461">
            <v>1977.75000000153</v>
          </cell>
          <cell r="J461">
            <v>28.592316</v>
          </cell>
          <cell r="K461">
            <v>-1.0550757035712581</v>
          </cell>
        </row>
        <row r="462">
          <cell r="I462">
            <v>1977.6666666681999</v>
          </cell>
          <cell r="J462">
            <v>28.333176000000002</v>
          </cell>
          <cell r="K462">
            <v>-1.4352160703872852</v>
          </cell>
        </row>
        <row r="463">
          <cell r="I463">
            <v>1977.5833333348701</v>
          </cell>
          <cell r="J463">
            <v>28.015353999999999</v>
          </cell>
          <cell r="K463">
            <v>-1.4127256958847703</v>
          </cell>
        </row>
        <row r="464">
          <cell r="I464">
            <v>1977.50000000153</v>
          </cell>
          <cell r="J464">
            <v>27.756536000000001</v>
          </cell>
          <cell r="K464">
            <v>-1.5728257447222322</v>
          </cell>
        </row>
        <row r="465">
          <cell r="I465">
            <v>1977.4166666681999</v>
          </cell>
          <cell r="J465">
            <v>28.432835000000001</v>
          </cell>
          <cell r="K465">
            <v>-0.57753388113429893</v>
          </cell>
        </row>
        <row r="466">
          <cell r="I466">
            <v>1977.3333333348701</v>
          </cell>
          <cell r="J466">
            <v>28.009426000000001</v>
          </cell>
          <cell r="K466">
            <v>-0.76011664644468468</v>
          </cell>
        </row>
        <row r="467">
          <cell r="I467">
            <v>1977.25000000154</v>
          </cell>
          <cell r="J467">
            <v>27.167826000000002</v>
          </cell>
          <cell r="K467">
            <v>-0.88796262130560755</v>
          </cell>
        </row>
        <row r="468">
          <cell r="I468">
            <v>1977.1666666682099</v>
          </cell>
          <cell r="J468">
            <v>26.811250000000001</v>
          </cell>
          <cell r="K468">
            <v>-0.41537875856719625</v>
          </cell>
        </row>
        <row r="469">
          <cell r="I469">
            <v>1977.0833333348801</v>
          </cell>
          <cell r="J469">
            <v>26.911798000000001</v>
          </cell>
          <cell r="K469">
            <v>8.1772626679413055E-2</v>
          </cell>
        </row>
        <row r="470">
          <cell r="I470">
            <v>1977.00000000155</v>
          </cell>
          <cell r="J470">
            <v>26.898754</v>
          </cell>
          <cell r="K470">
            <v>-0.54319890886047806</v>
          </cell>
        </row>
        <row r="471">
          <cell r="I471">
            <v>1976.9166666682199</v>
          </cell>
          <cell r="J471">
            <v>27.608066999999998</v>
          </cell>
          <cell r="K471">
            <v>-0.59361823581935869</v>
          </cell>
        </row>
        <row r="472">
          <cell r="I472">
            <v>1976.8333333348901</v>
          </cell>
          <cell r="J472">
            <v>28.710121000000001</v>
          </cell>
          <cell r="K472">
            <v>9.7538744664140101E-2</v>
          </cell>
        </row>
        <row r="473">
          <cell r="I473">
            <v>1976.75000000156</v>
          </cell>
          <cell r="J473">
            <v>28.782544999999999</v>
          </cell>
          <cell r="K473">
            <v>-0.45248394144958926</v>
          </cell>
        </row>
        <row r="474">
          <cell r="I474">
            <v>1976.6666666682299</v>
          </cell>
          <cell r="J474">
            <v>28.188393000000001</v>
          </cell>
          <cell r="K474">
            <v>-1.8631779527034256</v>
          </cell>
        </row>
        <row r="475">
          <cell r="I475">
            <v>1976.5833333349001</v>
          </cell>
          <cell r="J475">
            <v>27.991972000000001</v>
          </cell>
          <cell r="K475">
            <v>-1.4818515223420712</v>
          </cell>
        </row>
        <row r="476">
          <cell r="I476">
            <v>1976.50000000157</v>
          </cell>
          <cell r="J476">
            <v>27.422272</v>
          </cell>
          <cell r="K476">
            <v>-2.5402014679602729</v>
          </cell>
        </row>
        <row r="477">
          <cell r="I477">
            <v>1976.4166666682399</v>
          </cell>
          <cell r="J477">
            <v>27.915295</v>
          </cell>
          <cell r="K477">
            <v>-1.9645208277230732</v>
          </cell>
        </row>
        <row r="478">
          <cell r="I478">
            <v>1976.3333333349101</v>
          </cell>
          <cell r="J478">
            <v>27.661669</v>
          </cell>
          <cell r="K478">
            <v>-1.6150394831148707</v>
          </cell>
        </row>
        <row r="479">
          <cell r="I479">
            <v>1976.25000000158</v>
          </cell>
          <cell r="J479">
            <v>26.772110000000001</v>
          </cell>
          <cell r="K479">
            <v>-2.0084432155353431</v>
          </cell>
        </row>
        <row r="480">
          <cell r="I480">
            <v>1976.1666666682499</v>
          </cell>
          <cell r="J480">
            <v>26.217545000000001</v>
          </cell>
          <cell r="K480">
            <v>-1.8831958732936731</v>
          </cell>
        </row>
        <row r="481">
          <cell r="I481">
            <v>1976.0833333349201</v>
          </cell>
          <cell r="J481">
            <v>26.242004000000001</v>
          </cell>
          <cell r="K481">
            <v>-1.6357657252391893</v>
          </cell>
        </row>
        <row r="482">
          <cell r="I482">
            <v>1976.00000000159</v>
          </cell>
          <cell r="J482">
            <v>26.661617</v>
          </cell>
          <cell r="K482">
            <v>-1.2595102228965951</v>
          </cell>
        </row>
        <row r="483">
          <cell r="I483">
            <v>1975.9166666682599</v>
          </cell>
          <cell r="J483">
            <v>27.156631000000001</v>
          </cell>
          <cell r="K483">
            <v>-2.0062297364602952</v>
          </cell>
        </row>
        <row r="484">
          <cell r="I484">
            <v>1975.8333333349301</v>
          </cell>
          <cell r="J484">
            <v>28.09085</v>
          </cell>
          <cell r="K484">
            <v>-1.8655813805784023</v>
          </cell>
        </row>
        <row r="485">
          <cell r="I485">
            <v>1975.7500000016</v>
          </cell>
          <cell r="J485">
            <v>28.397797000000001</v>
          </cell>
          <cell r="K485">
            <v>-1.6712569744402925</v>
          </cell>
        </row>
        <row r="486">
          <cell r="I486">
            <v>1975.66666666827</v>
          </cell>
          <cell r="J486">
            <v>28.43291</v>
          </cell>
          <cell r="K486">
            <v>-1.140413846570145</v>
          </cell>
        </row>
        <row r="487">
          <cell r="I487">
            <v>1975.5833333349401</v>
          </cell>
          <cell r="J487">
            <v>28.081810000000001</v>
          </cell>
          <cell r="K487">
            <v>-1.2162572191485224</v>
          </cell>
        </row>
        <row r="488">
          <cell r="I488">
            <v>1975.50000000161</v>
          </cell>
          <cell r="J488">
            <v>27.851398</v>
          </cell>
          <cell r="K488">
            <v>-1.2982906591078498</v>
          </cell>
        </row>
        <row r="489">
          <cell r="I489">
            <v>1975.41666666828</v>
          </cell>
          <cell r="J489">
            <v>28.298615999999999</v>
          </cell>
          <cell r="K489">
            <v>-0.93723554860773262</v>
          </cell>
        </row>
        <row r="490">
          <cell r="I490">
            <v>1975.3333333349501</v>
          </cell>
          <cell r="J490">
            <v>27.607254000000001</v>
          </cell>
          <cell r="K490">
            <v>-1.7488128540532182</v>
          </cell>
        </row>
        <row r="491">
          <cell r="I491">
            <v>1975.25000000162</v>
          </cell>
          <cell r="J491">
            <v>26.936104</v>
          </cell>
          <cell r="K491">
            <v>-1.5440897535320126</v>
          </cell>
        </row>
        <row r="492">
          <cell r="I492">
            <v>1975.16666666829</v>
          </cell>
          <cell r="J492">
            <v>26.691276999999999</v>
          </cell>
          <cell r="K492">
            <v>-0.71198805561721612</v>
          </cell>
        </row>
        <row r="493">
          <cell r="I493">
            <v>1975.0833333349599</v>
          </cell>
          <cell r="J493">
            <v>26.369834999999998</v>
          </cell>
          <cell r="K493">
            <v>-1.3079714406321286</v>
          </cell>
        </row>
        <row r="494">
          <cell r="I494">
            <v>1975.00000000163</v>
          </cell>
          <cell r="J494">
            <v>26.792973</v>
          </cell>
          <cell r="K494">
            <v>-0.86272781877354321</v>
          </cell>
        </row>
        <row r="495">
          <cell r="I495">
            <v>1974.9166666683</v>
          </cell>
          <cell r="J495">
            <v>27.50441</v>
          </cell>
          <cell r="K495">
            <v>-0.91797666164701985</v>
          </cell>
        </row>
        <row r="496">
          <cell r="I496">
            <v>1974.8333333349699</v>
          </cell>
          <cell r="J496">
            <v>28.037071000000001</v>
          </cell>
          <cell r="K496">
            <v>-2.036063507491201</v>
          </cell>
        </row>
        <row r="497">
          <cell r="I497">
            <v>1974.75000000164</v>
          </cell>
          <cell r="J497">
            <v>28.439436000000001</v>
          </cell>
          <cell r="K497">
            <v>-1.5393563789318037</v>
          </cell>
        </row>
        <row r="498">
          <cell r="I498">
            <v>1974.66666666831</v>
          </cell>
          <cell r="J498">
            <v>28.6206</v>
          </cell>
          <cell r="K498">
            <v>-0.58562381119364237</v>
          </cell>
        </row>
        <row r="499">
          <cell r="I499">
            <v>1974.5833333349799</v>
          </cell>
          <cell r="J499">
            <v>27.987347</v>
          </cell>
          <cell r="K499">
            <v>-1.4955247302526475</v>
          </cell>
        </row>
        <row r="500">
          <cell r="I500">
            <v>1974.5000000016501</v>
          </cell>
          <cell r="J500">
            <v>27.660734000000001</v>
          </cell>
          <cell r="K500">
            <v>-1.8500812345077</v>
          </cell>
        </row>
        <row r="501">
          <cell r="I501">
            <v>1974.41666666832</v>
          </cell>
          <cell r="J501">
            <v>28.115410000000001</v>
          </cell>
          <cell r="K501">
            <v>-1.4282204590238177</v>
          </cell>
        </row>
        <row r="502">
          <cell r="I502">
            <v>1974.3333333349899</v>
          </cell>
          <cell r="J502">
            <v>27.794540000000001</v>
          </cell>
          <cell r="K502">
            <v>-1.2883905523062742</v>
          </cell>
        </row>
        <row r="503">
          <cell r="I503">
            <v>1974.2500000016601</v>
          </cell>
          <cell r="J503">
            <v>26.859853999999999</v>
          </cell>
          <cell r="K503">
            <v>-1.7599936980528792</v>
          </cell>
        </row>
        <row r="504">
          <cell r="I504">
            <v>1974.16666666833</v>
          </cell>
          <cell r="J504">
            <v>26.782803000000001</v>
          </cell>
          <cell r="K504">
            <v>-0.48570828832123897</v>
          </cell>
        </row>
        <row r="505">
          <cell r="I505">
            <v>1974.0833333349999</v>
          </cell>
          <cell r="J505">
            <v>26.545544</v>
          </cell>
          <cell r="K505">
            <v>-0.85740463012431867</v>
          </cell>
        </row>
        <row r="506">
          <cell r="I506">
            <v>1974.0000000016701</v>
          </cell>
          <cell r="J506">
            <v>26.765740000000001</v>
          </cell>
          <cell r="K506">
            <v>-0.94498957470005318</v>
          </cell>
        </row>
        <row r="507">
          <cell r="I507">
            <v>1973.91666666834</v>
          </cell>
          <cell r="J507">
            <v>27.546516</v>
          </cell>
          <cell r="K507">
            <v>-0.78622062126479908</v>
          </cell>
        </row>
        <row r="508">
          <cell r="I508">
            <v>1973.8333333350099</v>
          </cell>
          <cell r="J508">
            <v>28.506117</v>
          </cell>
          <cell r="K508">
            <v>-0.54916416574177451</v>
          </cell>
        </row>
        <row r="509">
          <cell r="I509">
            <v>1973.7500000016801</v>
          </cell>
          <cell r="J509">
            <v>28.846651000000001</v>
          </cell>
          <cell r="K509">
            <v>-0.24941423334738899</v>
          </cell>
        </row>
        <row r="510">
          <cell r="I510">
            <v>1973.66666666835</v>
          </cell>
          <cell r="J510">
            <v>28.641044999999998</v>
          </cell>
          <cell r="K510">
            <v>-0.52519074457703052</v>
          </cell>
        </row>
        <row r="511">
          <cell r="I511">
            <v>1973.5833333350199</v>
          </cell>
          <cell r="J511">
            <v>28.635414000000001</v>
          </cell>
          <cell r="K511">
            <v>0.42040063860833893</v>
          </cell>
        </row>
        <row r="512">
          <cell r="I512">
            <v>1973.5000000016901</v>
          </cell>
          <cell r="J512">
            <v>28.377106000000001</v>
          </cell>
          <cell r="K512">
            <v>0.22313299618265114</v>
          </cell>
        </row>
        <row r="513">
          <cell r="I513">
            <v>1973.41666666836</v>
          </cell>
          <cell r="J513">
            <v>28.478480000000001</v>
          </cell>
          <cell r="K513">
            <v>-0.45520706740580436</v>
          </cell>
        </row>
        <row r="514">
          <cell r="I514">
            <v>1973.3333333350299</v>
          </cell>
          <cell r="J514">
            <v>28.593658000000001</v>
          </cell>
          <cell r="K514">
            <v>0.67615430917517094</v>
          </cell>
        </row>
        <row r="515">
          <cell r="I515">
            <v>1973.2500000017001</v>
          </cell>
          <cell r="J515">
            <v>27.473057000000001</v>
          </cell>
          <cell r="K515">
            <v>-2.36927604525328E-2</v>
          </cell>
        </row>
        <row r="516">
          <cell r="I516">
            <v>1973.16666666837</v>
          </cell>
          <cell r="J516">
            <v>27.305336</v>
          </cell>
          <cell r="K516">
            <v>0.80615026164780146</v>
          </cell>
        </row>
        <row r="517">
          <cell r="I517">
            <v>1973.0833333350399</v>
          </cell>
          <cell r="J517">
            <v>27.183261999999999</v>
          </cell>
          <cell r="K517">
            <v>0.77788192471019357</v>
          </cell>
        </row>
        <row r="518">
          <cell r="I518">
            <v>1973.0000000017101</v>
          </cell>
          <cell r="J518">
            <v>27.333057</v>
          </cell>
          <cell r="K518">
            <v>0.76868473907226487</v>
          </cell>
        </row>
        <row r="519">
          <cell r="I519">
            <v>1972.91666666838</v>
          </cell>
          <cell r="J519">
            <v>27.867424</v>
          </cell>
          <cell r="K519">
            <v>0.21794903168198243</v>
          </cell>
        </row>
        <row r="520">
          <cell r="I520">
            <v>1972.8333333350499</v>
          </cell>
          <cell r="J520">
            <v>28.886209999999998</v>
          </cell>
          <cell r="K520">
            <v>0.65574970518680054</v>
          </cell>
        </row>
        <row r="521">
          <cell r="I521">
            <v>1972.7500000017201</v>
          </cell>
          <cell r="J521">
            <v>28.893898</v>
          </cell>
          <cell r="K521">
            <v>-9.9749077219974613E-2</v>
          </cell>
        </row>
        <row r="522">
          <cell r="I522">
            <v>1972.66666666839</v>
          </cell>
          <cell r="J522">
            <v>27.955736000000002</v>
          </cell>
          <cell r="K522">
            <v>-2.5508852640177779</v>
          </cell>
        </row>
        <row r="523">
          <cell r="I523">
            <v>1972.5833333350599</v>
          </cell>
          <cell r="J523">
            <v>28.078385999999998</v>
          </cell>
          <cell r="K523">
            <v>-1.2263798275562716</v>
          </cell>
        </row>
        <row r="524">
          <cell r="I524">
            <v>1972.5000000017301</v>
          </cell>
          <cell r="J524">
            <v>28.057511999999999</v>
          </cell>
          <cell r="K524">
            <v>-0.70178705770451466</v>
          </cell>
        </row>
        <row r="525">
          <cell r="I525">
            <v>1972.4166666684</v>
          </cell>
          <cell r="J525">
            <v>28.570872999999999</v>
          </cell>
          <cell r="K525">
            <v>-0.20759744311362713</v>
          </cell>
        </row>
        <row r="526">
          <cell r="I526">
            <v>1972.3333333350699</v>
          </cell>
          <cell r="J526">
            <v>28.175564000000001</v>
          </cell>
          <cell r="K526">
            <v>-0.35168440715486193</v>
          </cell>
        </row>
        <row r="527">
          <cell r="I527">
            <v>1972.2500000017401</v>
          </cell>
          <cell r="J527">
            <v>27.422367000000001</v>
          </cell>
          <cell r="K527">
            <v>-0.16722287124285887</v>
          </cell>
        </row>
        <row r="528">
          <cell r="I528">
            <v>1972.16666666841</v>
          </cell>
          <cell r="J528">
            <v>27.04945</v>
          </cell>
          <cell r="K528">
            <v>0.1735231990175394</v>
          </cell>
        </row>
        <row r="529">
          <cell r="I529">
            <v>1972.0833333350799</v>
          </cell>
          <cell r="J529">
            <v>26.78661</v>
          </cell>
          <cell r="K529">
            <v>-0.23924426985890851</v>
          </cell>
        </row>
        <row r="530">
          <cell r="I530">
            <v>1972.0000000017501</v>
          </cell>
          <cell r="J530">
            <v>26.688637</v>
          </cell>
          <cell r="K530">
            <v>-1.1778918685054371</v>
          </cell>
        </row>
        <row r="531">
          <cell r="I531">
            <v>1971.91666666842</v>
          </cell>
          <cell r="J531">
            <v>27.388817</v>
          </cell>
          <cell r="K531">
            <v>-1.2796846361851368</v>
          </cell>
        </row>
        <row r="532">
          <cell r="I532">
            <v>1971.8333333350899</v>
          </cell>
          <cell r="J532">
            <v>28.486238</v>
          </cell>
          <cell r="K532">
            <v>-0.61218159263516281</v>
          </cell>
        </row>
        <row r="533">
          <cell r="I533">
            <v>1971.7500000017601</v>
          </cell>
          <cell r="J533">
            <v>28.564919</v>
          </cell>
          <cell r="K533">
            <v>-1.1418616642126316</v>
          </cell>
        </row>
        <row r="534">
          <cell r="I534">
            <v>1971.66666666843</v>
          </cell>
          <cell r="J534">
            <v>28.280259999999998</v>
          </cell>
          <cell r="K534">
            <v>-1.5916296753315275</v>
          </cell>
        </row>
        <row r="535">
          <cell r="I535">
            <v>1971.5833333351</v>
          </cell>
          <cell r="J535">
            <v>27.995933999999998</v>
          </cell>
          <cell r="K535">
            <v>-1.4701383872627924</v>
          </cell>
        </row>
        <row r="536">
          <cell r="I536">
            <v>1971.5000000017701</v>
          </cell>
          <cell r="J536">
            <v>27.815002</v>
          </cell>
          <cell r="K536">
            <v>-1.4036223933746914</v>
          </cell>
        </row>
        <row r="537">
          <cell r="I537">
            <v>1971.41666666844</v>
          </cell>
          <cell r="J537">
            <v>28.179216</v>
          </cell>
          <cell r="K537">
            <v>-1.2572228760079296</v>
          </cell>
        </row>
        <row r="538">
          <cell r="I538">
            <v>1971.33333333511</v>
          </cell>
          <cell r="J538">
            <v>28.035247999999999</v>
          </cell>
          <cell r="K538">
            <v>-0.69663606233424047</v>
          </cell>
        </row>
        <row r="539">
          <cell r="I539">
            <v>1971.2500000017801</v>
          </cell>
          <cell r="J539">
            <v>27.209002999999999</v>
          </cell>
          <cell r="K539">
            <v>-0.77136882821006658</v>
          </cell>
        </row>
        <row r="540">
          <cell r="I540">
            <v>1971.16666666845</v>
          </cell>
          <cell r="J540">
            <v>26.792303</v>
          </cell>
          <cell r="K540">
            <v>-0.4622214344293224</v>
          </cell>
        </row>
        <row r="541">
          <cell r="I541">
            <v>1971.08333333512</v>
          </cell>
          <cell r="J541">
            <v>26.599415</v>
          </cell>
          <cell r="K541">
            <v>-0.71926438318838215</v>
          </cell>
        </row>
        <row r="542">
          <cell r="I542">
            <v>1971.0000000017901</v>
          </cell>
          <cell r="J542">
            <v>26.851825999999999</v>
          </cell>
          <cell r="K542">
            <v>-0.68495265182377629</v>
          </cell>
        </row>
        <row r="543">
          <cell r="I543">
            <v>1970.91666666846</v>
          </cell>
          <cell r="J543">
            <v>27.653873000000001</v>
          </cell>
          <cell r="K543">
            <v>-0.45028433600108414</v>
          </cell>
        </row>
        <row r="544">
          <cell r="I544">
            <v>1970.83333333513</v>
          </cell>
          <cell r="J544">
            <v>28.610082999999999</v>
          </cell>
          <cell r="K544">
            <v>-0.21958673204801954</v>
          </cell>
        </row>
        <row r="545">
          <cell r="I545">
            <v>1970.7500000017999</v>
          </cell>
          <cell r="J545">
            <v>28.728401000000002</v>
          </cell>
          <cell r="K545">
            <v>-0.62399684625545082</v>
          </cell>
        </row>
        <row r="546">
          <cell r="I546">
            <v>1970.66666666847</v>
          </cell>
          <cell r="J546">
            <v>28.482664</v>
          </cell>
          <cell r="K546">
            <v>-0.99334674965436598</v>
          </cell>
        </row>
        <row r="547">
          <cell r="I547">
            <v>1970.58333333514</v>
          </cell>
          <cell r="J547">
            <v>28.439274000000001</v>
          </cell>
          <cell r="K547">
            <v>-0.1594616315711222</v>
          </cell>
        </row>
        <row r="548">
          <cell r="I548">
            <v>1970.5000000018099</v>
          </cell>
          <cell r="J548">
            <v>28.321027999999998</v>
          </cell>
          <cell r="K548">
            <v>6.0840629048453172E-2</v>
          </cell>
        </row>
        <row r="549">
          <cell r="I549">
            <v>1970.41666666848</v>
          </cell>
          <cell r="J549">
            <v>28.517997999999999</v>
          </cell>
          <cell r="K549">
            <v>-0.34930037390328922</v>
          </cell>
        </row>
        <row r="550">
          <cell r="I550">
            <v>1970.33333333515</v>
          </cell>
          <cell r="J550">
            <v>28.204163000000001</v>
          </cell>
          <cell r="K550">
            <v>-0.28137686997824035</v>
          </cell>
        </row>
        <row r="551">
          <cell r="I551">
            <v>1970.2500000018199</v>
          </cell>
          <cell r="J551">
            <v>27.628278999999999</v>
          </cell>
          <cell r="K551">
            <v>0.41582254546768821</v>
          </cell>
        </row>
        <row r="552">
          <cell r="I552">
            <v>1970.1666666684901</v>
          </cell>
          <cell r="J552">
            <v>27.160647999999998</v>
          </cell>
          <cell r="K552">
            <v>0.4484380599726468</v>
          </cell>
        </row>
        <row r="553">
          <cell r="I553">
            <v>1970.08333333516</v>
          </cell>
          <cell r="J553">
            <v>27.354984000000002</v>
          </cell>
          <cell r="K553">
            <v>1.2182249568486883</v>
          </cell>
        </row>
        <row r="554">
          <cell r="I554">
            <v>1970.0000000018299</v>
          </cell>
          <cell r="J554">
            <v>27.345226</v>
          </cell>
          <cell r="K554">
            <v>0.80544320519313828</v>
          </cell>
        </row>
        <row r="555">
          <cell r="I555">
            <v>1969.9166666685001</v>
          </cell>
          <cell r="J555">
            <v>28.121445000000001</v>
          </cell>
          <cell r="K555">
            <v>1.0128191483858244</v>
          </cell>
        </row>
        <row r="556">
          <cell r="I556">
            <v>1969.83333333517</v>
          </cell>
          <cell r="J556">
            <v>29.107073</v>
          </cell>
          <cell r="K556">
            <v>1.3558964910389484</v>
          </cell>
        </row>
        <row r="557">
          <cell r="I557">
            <v>1969.7500000018399</v>
          </cell>
          <cell r="J557">
            <v>29.149667999999998</v>
          </cell>
          <cell r="K557">
            <v>0.71045806784128995</v>
          </cell>
        </row>
        <row r="558">
          <cell r="I558">
            <v>1969.6666666685101</v>
          </cell>
          <cell r="J558">
            <v>29.296275999999999</v>
          </cell>
          <cell r="K558">
            <v>1.4115966690826298</v>
          </cell>
        </row>
        <row r="559">
          <cell r="I559">
            <v>1969.58333333518</v>
          </cell>
          <cell r="J559">
            <v>28.812961999999999</v>
          </cell>
          <cell r="K559">
            <v>0.94529809117192587</v>
          </cell>
        </row>
        <row r="560">
          <cell r="I560">
            <v>1969.5000000018499</v>
          </cell>
          <cell r="J560">
            <v>28.970848</v>
          </cell>
          <cell r="K560">
            <v>1.94145024442595</v>
          </cell>
        </row>
        <row r="561">
          <cell r="I561">
            <v>1969.4166666685201</v>
          </cell>
          <cell r="J561">
            <v>29.614554999999999</v>
          </cell>
          <cell r="K561">
            <v>2.5894294734332384</v>
          </cell>
        </row>
        <row r="562">
          <cell r="I562">
            <v>1969.33333333519</v>
          </cell>
          <cell r="J562">
            <v>29.221077000000001</v>
          </cell>
          <cell r="K562">
            <v>2.2185958164942732</v>
          </cell>
        </row>
        <row r="563">
          <cell r="I563">
            <v>1969.2500000018599</v>
          </cell>
          <cell r="J563">
            <v>27.785419999999998</v>
          </cell>
          <cell r="K563">
            <v>0.86077155197198429</v>
          </cell>
        </row>
        <row r="564">
          <cell r="I564">
            <v>1969.1666666685301</v>
          </cell>
          <cell r="J564">
            <v>27.636641999999998</v>
          </cell>
          <cell r="K564">
            <v>1.6252382211757943</v>
          </cell>
        </row>
        <row r="565">
          <cell r="I565">
            <v>1969.0833333352</v>
          </cell>
          <cell r="J565">
            <v>27.026426000000001</v>
          </cell>
          <cell r="K565">
            <v>0.37571074228469653</v>
          </cell>
        </row>
        <row r="566">
          <cell r="I566">
            <v>1969.0000000018699</v>
          </cell>
          <cell r="J566">
            <v>26.954985000000001</v>
          </cell>
          <cell r="K566">
            <v>-0.37334392419100404</v>
          </cell>
        </row>
        <row r="567">
          <cell r="I567">
            <v>1968.9166666685401</v>
          </cell>
          <cell r="J567">
            <v>27.947528999999999</v>
          </cell>
          <cell r="K567">
            <v>0.46860968847240758</v>
          </cell>
        </row>
        <row r="568">
          <cell r="I568">
            <v>1968.83333333521</v>
          </cell>
          <cell r="J568">
            <v>28.499127999999999</v>
          </cell>
          <cell r="K568">
            <v>-0.57131964622660525</v>
          </cell>
        </row>
        <row r="569">
          <cell r="I569">
            <v>1968.7500000018799</v>
          </cell>
          <cell r="J569">
            <v>28.789324000000001</v>
          </cell>
          <cell r="K569">
            <v>-0.43100998345462627</v>
          </cell>
        </row>
        <row r="570">
          <cell r="I570">
            <v>1968.6666666685501</v>
          </cell>
          <cell r="J570">
            <v>28.667757000000002</v>
          </cell>
          <cell r="K570">
            <v>-0.44623314734234015</v>
          </cell>
        </row>
        <row r="571">
          <cell r="I571">
            <v>1968.58333333522</v>
          </cell>
          <cell r="J571">
            <v>28.172905</v>
          </cell>
          <cell r="K571">
            <v>-0.94694675977257847</v>
          </cell>
        </row>
        <row r="572">
          <cell r="I572">
            <v>1968.5000000018899</v>
          </cell>
          <cell r="J572">
            <v>28.113530000000001</v>
          </cell>
          <cell r="K572">
            <v>-0.5396683333897514</v>
          </cell>
        </row>
        <row r="573">
          <cell r="I573">
            <v>1968.4166666685601</v>
          </cell>
          <cell r="J573">
            <v>28.377869</v>
          </cell>
          <cell r="K573">
            <v>-0.72484061009476364</v>
          </cell>
        </row>
        <row r="574">
          <cell r="I574">
            <v>1968.33333333523</v>
          </cell>
          <cell r="J574">
            <v>27.917501000000001</v>
          </cell>
          <cell r="K574">
            <v>-0.98610428080116452</v>
          </cell>
        </row>
        <row r="575">
          <cell r="I575">
            <v>1968.2500000018999</v>
          </cell>
          <cell r="J575">
            <v>27.068860000000001</v>
          </cell>
          <cell r="K575">
            <v>-1.16818753636727</v>
          </cell>
        </row>
        <row r="576">
          <cell r="I576">
            <v>1968.1666666685701</v>
          </cell>
          <cell r="J576">
            <v>26.664639000000001</v>
          </cell>
          <cell r="K576">
            <v>-0.77784519393015195</v>
          </cell>
        </row>
        <row r="577">
          <cell r="I577">
            <v>1968.08333333524</v>
          </cell>
          <cell r="J577">
            <v>26.416347999999999</v>
          </cell>
          <cell r="K577">
            <v>-1.1886991548804025</v>
          </cell>
        </row>
        <row r="578">
          <cell r="I578">
            <v>1968.0000000019099</v>
          </cell>
          <cell r="J578">
            <v>26.628746</v>
          </cell>
          <cell r="K578">
            <v>-1.3588024851908858</v>
          </cell>
        </row>
        <row r="579">
          <cell r="I579">
            <v>1967.9166666685801</v>
          </cell>
          <cell r="J579">
            <v>27.624846999999999</v>
          </cell>
          <cell r="K579">
            <v>-0.54111107870128206</v>
          </cell>
        </row>
        <row r="580">
          <cell r="I580">
            <v>1967.83333333525</v>
          </cell>
          <cell r="J580">
            <v>28.784164000000001</v>
          </cell>
          <cell r="K580">
            <v>0.33225876777733698</v>
          </cell>
        </row>
        <row r="581">
          <cell r="I581">
            <v>1967.7500000019199</v>
          </cell>
          <cell r="J581">
            <v>28.769401999999999</v>
          </cell>
          <cell r="K581">
            <v>-0.49411725461196104</v>
          </cell>
        </row>
        <row r="582">
          <cell r="I582">
            <v>1967.6666666685901</v>
          </cell>
          <cell r="J582">
            <v>28.632576</v>
          </cell>
          <cell r="K582">
            <v>-0.55022413372723844</v>
          </cell>
        </row>
        <row r="583">
          <cell r="I583">
            <v>1967.58333333526</v>
          </cell>
          <cell r="J583">
            <v>28.132853000000001</v>
          </cell>
          <cell r="K583">
            <v>-1.0653552620935094</v>
          </cell>
        </row>
        <row r="584">
          <cell r="I584">
            <v>1967.5000000019299</v>
          </cell>
          <cell r="J584">
            <v>28.104074000000001</v>
          </cell>
          <cell r="K584">
            <v>-0.56703444173207662</v>
          </cell>
        </row>
        <row r="585">
          <cell r="I585">
            <v>1967.4166666686001</v>
          </cell>
          <cell r="J585">
            <v>28.285274999999999</v>
          </cell>
          <cell r="K585">
            <v>-0.97298890652101755</v>
          </cell>
        </row>
        <row r="586">
          <cell r="I586">
            <v>1967.33333333527</v>
          </cell>
          <cell r="J586">
            <v>27.821249999999999</v>
          </cell>
          <cell r="K586">
            <v>-1.2227269165851853</v>
          </cell>
        </row>
        <row r="587">
          <cell r="I587">
            <v>1967.25000000194</v>
          </cell>
          <cell r="J587">
            <v>27.171565999999999</v>
          </cell>
          <cell r="K587">
            <v>-0.87737270979731419</v>
          </cell>
        </row>
        <row r="588">
          <cell r="I588">
            <v>1967.1666666686101</v>
          </cell>
          <cell r="J588">
            <v>26.720590000000001</v>
          </cell>
          <cell r="K588">
            <v>-0.63951751370838927</v>
          </cell>
        </row>
        <row r="589">
          <cell r="I589">
            <v>1967.08333333528</v>
          </cell>
          <cell r="J589">
            <v>26.709381</v>
          </cell>
          <cell r="K589">
            <v>-0.43728093393819306</v>
          </cell>
        </row>
        <row r="590">
          <cell r="I590">
            <v>1967.00000000195</v>
          </cell>
          <cell r="J590">
            <v>27.032845999999999</v>
          </cell>
          <cell r="K590">
            <v>-0.13815196670581623</v>
          </cell>
        </row>
        <row r="591">
          <cell r="I591">
            <v>1966.9166666686201</v>
          </cell>
          <cell r="J591">
            <v>27.839780000000001</v>
          </cell>
          <cell r="K591">
            <v>0.13144677593871784</v>
          </cell>
        </row>
        <row r="592">
          <cell r="I592">
            <v>1966.83333333529</v>
          </cell>
          <cell r="J592">
            <v>28.793254999999998</v>
          </cell>
          <cell r="K592">
            <v>0.36107769367339204</v>
          </cell>
        </row>
        <row r="593">
          <cell r="I593">
            <v>1966.75000000196</v>
          </cell>
          <cell r="J593">
            <v>29.081271999999998</v>
          </cell>
          <cell r="K593">
            <v>0.49379885099173554</v>
          </cell>
        </row>
        <row r="594">
          <cell r="I594">
            <v>1966.6666666686299</v>
          </cell>
          <cell r="J594">
            <v>28.701609999999999</v>
          </cell>
          <cell r="K594">
            <v>-0.34616757609400994</v>
          </cell>
        </row>
        <row r="595">
          <cell r="I595">
            <v>1966.5833333353</v>
          </cell>
          <cell r="J595">
            <v>28.410982000000001</v>
          </cell>
          <cell r="K595">
            <v>-0.24310323118322366</v>
          </cell>
        </row>
        <row r="596">
          <cell r="I596">
            <v>1966.50000000197</v>
          </cell>
          <cell r="J596">
            <v>28.414401999999999</v>
          </cell>
          <cell r="K596">
            <v>0.3310693727409515</v>
          </cell>
        </row>
        <row r="597">
          <cell r="I597">
            <v>1966.4166666686399</v>
          </cell>
          <cell r="J597">
            <v>28.637854000000001</v>
          </cell>
          <cell r="K597">
            <v>-2.8090984348188054E-2</v>
          </cell>
        </row>
        <row r="598">
          <cell r="I598">
            <v>1966.33333333531</v>
          </cell>
          <cell r="J598">
            <v>28.140716999999999</v>
          </cell>
          <cell r="K598">
            <v>-0.43735197413251642</v>
          </cell>
        </row>
        <row r="599">
          <cell r="I599">
            <v>1966.25000000197</v>
          </cell>
          <cell r="J599">
            <v>27.526423999999999</v>
          </cell>
          <cell r="K599">
            <v>0.1274173484949345</v>
          </cell>
        </row>
        <row r="600">
          <cell r="I600">
            <v>1966.1666666686399</v>
          </cell>
          <cell r="J600">
            <v>26.789856</v>
          </cell>
          <cell r="K600">
            <v>-0.46827115353179888</v>
          </cell>
        </row>
        <row r="601">
          <cell r="I601">
            <v>1966.08333333531</v>
          </cell>
          <cell r="J601">
            <v>27.197706</v>
          </cell>
          <cell r="K601">
            <v>0.81492036332731177</v>
          </cell>
        </row>
        <row r="602">
          <cell r="I602">
            <v>1966.00000000198</v>
          </cell>
          <cell r="J602">
            <v>27.388726999999999</v>
          </cell>
          <cell r="K602">
            <v>0.93684513096551636</v>
          </cell>
        </row>
        <row r="603">
          <cell r="I603">
            <v>1965.9166666686499</v>
          </cell>
          <cell r="J603">
            <v>27.727705</v>
          </cell>
          <cell r="K603">
            <v>-0.21925284468155837</v>
          </cell>
        </row>
        <row r="604">
          <cell r="I604">
            <v>1965.83333333532</v>
          </cell>
          <cell r="J604">
            <v>28.399426999999999</v>
          </cell>
          <cell r="K604">
            <v>-0.8873768160388612</v>
          </cell>
        </row>
        <row r="605">
          <cell r="I605">
            <v>1965.75000000199</v>
          </cell>
          <cell r="J605">
            <v>28.851461</v>
          </cell>
          <cell r="K605">
            <v>-0.23417751141853116</v>
          </cell>
        </row>
        <row r="606">
          <cell r="I606">
            <v>1965.6666666686599</v>
          </cell>
          <cell r="J606">
            <v>28.652636999999999</v>
          </cell>
          <cell r="K606">
            <v>-0.49092612690914961</v>
          </cell>
        </row>
        <row r="607">
          <cell r="I607">
            <v>1965.5833333353301</v>
          </cell>
          <cell r="J607">
            <v>28.099143999999999</v>
          </cell>
          <cell r="K607">
            <v>-1.1650115140843349</v>
          </cell>
        </row>
        <row r="608">
          <cell r="I608">
            <v>1965.500000002</v>
          </cell>
          <cell r="J608">
            <v>28.151888</v>
          </cell>
          <cell r="K608">
            <v>-0.42865847892751946</v>
          </cell>
        </row>
        <row r="609">
          <cell r="I609">
            <v>1965.4166666686699</v>
          </cell>
          <cell r="J609">
            <v>28.262810000000002</v>
          </cell>
          <cell r="K609">
            <v>-1.0331942273756616</v>
          </cell>
        </row>
        <row r="610">
          <cell r="I610">
            <v>1965.3333333353401</v>
          </cell>
          <cell r="J610">
            <v>27.800080000000001</v>
          </cell>
          <cell r="K610">
            <v>-1.2747710636542766</v>
          </cell>
        </row>
        <row r="611">
          <cell r="I611">
            <v>1965.25000000201</v>
          </cell>
          <cell r="J611">
            <v>26.975704</v>
          </cell>
          <cell r="K611">
            <v>-1.4319612787382272</v>
          </cell>
        </row>
        <row r="612">
          <cell r="I612">
            <v>1965.1666666686799</v>
          </cell>
          <cell r="J612">
            <v>26.352934000000001</v>
          </cell>
          <cell r="K612">
            <v>-1.5484735931280977</v>
          </cell>
        </row>
        <row r="613">
          <cell r="I613">
            <v>1965.0833333353501</v>
          </cell>
          <cell r="J613">
            <v>26.094754999999999</v>
          </cell>
          <cell r="K613">
            <v>-2.0133531697096778</v>
          </cell>
        </row>
        <row r="614">
          <cell r="I614">
            <v>1965.00000000202</v>
          </cell>
          <cell r="J614">
            <v>26.373477999999999</v>
          </cell>
          <cell r="K614">
            <v>-2.1298814670088717</v>
          </cell>
        </row>
        <row r="615">
          <cell r="I615">
            <v>1964.9166666686899</v>
          </cell>
          <cell r="J615">
            <v>27.297961999999998</v>
          </cell>
          <cell r="K615">
            <v>-1.5639836683640831</v>
          </cell>
        </row>
        <row r="616">
          <cell r="I616">
            <v>1964.8333333353601</v>
          </cell>
          <cell r="J616">
            <v>28.222770000000001</v>
          </cell>
          <cell r="K616">
            <v>-1.4473883650456265</v>
          </cell>
        </row>
        <row r="617">
          <cell r="I617">
            <v>1964.75000000203</v>
          </cell>
          <cell r="J617">
            <v>28.862738</v>
          </cell>
          <cell r="K617">
            <v>-0.19845515940361247</v>
          </cell>
        </row>
        <row r="618">
          <cell r="I618">
            <v>1964.6666666686999</v>
          </cell>
          <cell r="J618">
            <v>28.600950000000001</v>
          </cell>
          <cell r="K618">
            <v>-0.6437069493211266</v>
          </cell>
        </row>
        <row r="619">
          <cell r="I619">
            <v>1964.5833333353701</v>
          </cell>
          <cell r="J619">
            <v>28.298683</v>
          </cell>
          <cell r="K619">
            <v>-0.5751005447290759</v>
          </cell>
        </row>
        <row r="620">
          <cell r="I620">
            <v>1964.50000000204</v>
          </cell>
          <cell r="J620">
            <v>28.314934000000001</v>
          </cell>
          <cell r="K620">
            <v>4.3204306688252647E-2</v>
          </cell>
        </row>
        <row r="621">
          <cell r="I621">
            <v>1964.4166666687099</v>
          </cell>
          <cell r="J621">
            <v>28.258913</v>
          </cell>
          <cell r="K621">
            <v>-1.0436380348704624</v>
          </cell>
        </row>
        <row r="622">
          <cell r="I622">
            <v>1964.3333333353801</v>
          </cell>
          <cell r="J622">
            <v>28.025126</v>
          </cell>
          <cell r="K622">
            <v>-0.7215199006258487</v>
          </cell>
        </row>
        <row r="623">
          <cell r="I623">
            <v>1964.25000000205</v>
          </cell>
          <cell r="J623">
            <v>27.474352</v>
          </cell>
          <cell r="K623">
            <v>-2.0025932804607734E-2</v>
          </cell>
        </row>
        <row r="624">
          <cell r="I624">
            <v>1964.1666666687199</v>
          </cell>
          <cell r="J624">
            <v>26.942474000000001</v>
          </cell>
          <cell r="K624">
            <v>-9.0953609607920871E-2</v>
          </cell>
        </row>
        <row r="625">
          <cell r="I625">
            <v>1964.0833333353901</v>
          </cell>
          <cell r="J625">
            <v>27.069970000000001</v>
          </cell>
          <cell r="K625">
            <v>0.48736968517750368</v>
          </cell>
        </row>
        <row r="626">
          <cell r="I626">
            <v>1964.00000000206</v>
          </cell>
          <cell r="J626">
            <v>27.265322000000001</v>
          </cell>
          <cell r="K626">
            <v>0.56408003016460584</v>
          </cell>
        </row>
        <row r="627">
          <cell r="I627">
            <v>1963.9166666687299</v>
          </cell>
          <cell r="J627">
            <v>28.201799999999999</v>
          </cell>
          <cell r="K627">
            <v>1.2642620929759751</v>
          </cell>
        </row>
        <row r="628">
          <cell r="I628">
            <v>1963.8333333354001</v>
          </cell>
          <cell r="J628">
            <v>28.966681999999999</v>
          </cell>
          <cell r="K628">
            <v>0.91084998070191125</v>
          </cell>
        </row>
        <row r="629">
          <cell r="I629">
            <v>1963.75000000207</v>
          </cell>
          <cell r="J629">
            <v>29.077421000000001</v>
          </cell>
          <cell r="K629">
            <v>0.48159997029568502</v>
          </cell>
        </row>
        <row r="630">
          <cell r="I630">
            <v>1963.6666666687399</v>
          </cell>
          <cell r="J630">
            <v>28.903917</v>
          </cell>
          <cell r="K630">
            <v>0.25182862874862838</v>
          </cell>
        </row>
        <row r="631">
          <cell r="I631">
            <v>1963.5833333354101</v>
          </cell>
          <cell r="J631">
            <v>28.598158000000002</v>
          </cell>
          <cell r="K631">
            <v>0.31025814478858965</v>
          </cell>
        </row>
        <row r="632">
          <cell r="I632">
            <v>1963.50000000208</v>
          </cell>
          <cell r="J632">
            <v>28.29862</v>
          </cell>
          <cell r="K632">
            <v>-4.0091759150387082E-3</v>
          </cell>
        </row>
        <row r="633">
          <cell r="I633">
            <v>1963.4166666687499</v>
          </cell>
          <cell r="J633">
            <v>28.658875999999999</v>
          </cell>
          <cell r="K633">
            <v>2.8247152976824841E-2</v>
          </cell>
        </row>
        <row r="634">
          <cell r="I634">
            <v>1963.3333333354201</v>
          </cell>
          <cell r="J634">
            <v>28.199759</v>
          </cell>
          <cell r="K634">
            <v>-0.29220362593914495</v>
          </cell>
        </row>
        <row r="635">
          <cell r="I635">
            <v>1963.25000000209</v>
          </cell>
          <cell r="J635">
            <v>27.740735999999998</v>
          </cell>
          <cell r="K635">
            <v>0.73424759319204691</v>
          </cell>
        </row>
        <row r="636">
          <cell r="I636">
            <v>1963.1666666687599</v>
          </cell>
          <cell r="J636">
            <v>27.320347000000002</v>
          </cell>
          <cell r="K636">
            <v>0.8432619630974455</v>
          </cell>
        </row>
        <row r="637">
          <cell r="I637">
            <v>1963.0833333354301</v>
          </cell>
          <cell r="J637">
            <v>27.197811000000002</v>
          </cell>
          <cell r="K637">
            <v>0.81518961256954714</v>
          </cell>
        </row>
        <row r="638">
          <cell r="I638">
            <v>1963.0000000021</v>
          </cell>
          <cell r="J638">
            <v>27.297771000000001</v>
          </cell>
          <cell r="K638">
            <v>0.66209757204612452</v>
          </cell>
        </row>
        <row r="639">
          <cell r="I639">
            <v>1962.9166666687699</v>
          </cell>
          <cell r="J639">
            <v>28.102499999999999</v>
          </cell>
          <cell r="K639">
            <v>0.95353737892205592</v>
          </cell>
        </row>
        <row r="640">
          <cell r="I640">
            <v>1962.8333333354401</v>
          </cell>
          <cell r="J640">
            <v>28.639744</v>
          </cell>
          <cell r="K640">
            <v>-0.12555987460625243</v>
          </cell>
        </row>
        <row r="641">
          <cell r="I641">
            <v>1962.75000000211</v>
          </cell>
          <cell r="J641">
            <v>28.878613999999999</v>
          </cell>
          <cell r="K641">
            <v>-0.1481644738854061</v>
          </cell>
        </row>
        <row r="642">
          <cell r="I642">
            <v>1962.66666666878</v>
          </cell>
          <cell r="J642">
            <v>28.795881000000001</v>
          </cell>
          <cell r="K642">
            <v>-6.7513351441765401E-2</v>
          </cell>
        </row>
        <row r="643">
          <cell r="I643">
            <v>1962.5833333354501</v>
          </cell>
          <cell r="J643">
            <v>28.657364000000001</v>
          </cell>
          <cell r="K643">
            <v>0.48529294425960534</v>
          </cell>
        </row>
        <row r="644">
          <cell r="I644">
            <v>1962.50000000212</v>
          </cell>
          <cell r="J644">
            <v>28.299168000000002</v>
          </cell>
          <cell r="K644">
            <v>-2.4232381642298527E-3</v>
          </cell>
        </row>
        <row r="645">
          <cell r="I645">
            <v>1962.41666666879</v>
          </cell>
          <cell r="J645">
            <v>28.496047999999998</v>
          </cell>
          <cell r="K645">
            <v>-0.40812551491195342</v>
          </cell>
        </row>
        <row r="646">
          <cell r="I646">
            <v>1962.3333333354601</v>
          </cell>
          <cell r="J646">
            <v>28.032426999999998</v>
          </cell>
          <cell r="K646">
            <v>-0.70357118462436641</v>
          </cell>
        </row>
        <row r="647">
          <cell r="I647">
            <v>1962.25000000213</v>
          </cell>
          <cell r="J647">
            <v>27.442882999999998</v>
          </cell>
          <cell r="K647">
            <v>-0.10913126041283432</v>
          </cell>
        </row>
        <row r="648">
          <cell r="I648">
            <v>1962.1666666688</v>
          </cell>
          <cell r="J648">
            <v>27.254759</v>
          </cell>
          <cell r="K648">
            <v>0.6811087238276351</v>
          </cell>
        </row>
        <row r="649">
          <cell r="I649">
            <v>1962.0833333354699</v>
          </cell>
          <cell r="J649">
            <v>26.94407</v>
          </cell>
          <cell r="K649">
            <v>0.16452702234900013</v>
          </cell>
        </row>
        <row r="650">
          <cell r="I650">
            <v>1962.00000000214</v>
          </cell>
          <cell r="J650">
            <v>27.248867000000001</v>
          </cell>
          <cell r="K650">
            <v>0.51437499605999681</v>
          </cell>
        </row>
        <row r="651">
          <cell r="I651">
            <v>1961.91666666881</v>
          </cell>
          <cell r="J651">
            <v>27.980160000000001</v>
          </cell>
          <cell r="K651">
            <v>0.57071702124475532</v>
          </cell>
        </row>
        <row r="652">
          <cell r="I652">
            <v>1961.8333333354799</v>
          </cell>
          <cell r="J652">
            <v>28.480170999999999</v>
          </cell>
          <cell r="K652">
            <v>-0.63141428688348</v>
          </cell>
        </row>
        <row r="653">
          <cell r="I653">
            <v>1961.75000000215</v>
          </cell>
          <cell r="J653">
            <v>28.900846000000001</v>
          </cell>
          <cell r="K653">
            <v>-7.7739774941025769E-2</v>
          </cell>
        </row>
        <row r="654">
          <cell r="I654">
            <v>1961.66666666882</v>
          </cell>
          <cell r="J654">
            <v>28.771318000000001</v>
          </cell>
          <cell r="K654">
            <v>-0.14011875204357344</v>
          </cell>
        </row>
        <row r="655">
          <cell r="I655">
            <v>1961.5833333354899</v>
          </cell>
          <cell r="J655">
            <v>28.609074</v>
          </cell>
          <cell r="K655">
            <v>0.3425298718268171</v>
          </cell>
        </row>
        <row r="656">
          <cell r="I656">
            <v>1961.50000000216</v>
          </cell>
          <cell r="J656">
            <v>28.172432000000001</v>
          </cell>
          <cell r="K656">
            <v>-0.36920317755434368</v>
          </cell>
        </row>
        <row r="657">
          <cell r="I657">
            <v>1961.41666666883</v>
          </cell>
          <cell r="J657">
            <v>28.26763</v>
          </cell>
          <cell r="K657">
            <v>-1.020276816001553</v>
          </cell>
        </row>
        <row r="658">
          <cell r="I658">
            <v>1961.3333333354999</v>
          </cell>
          <cell r="J658">
            <v>28.231660000000002</v>
          </cell>
          <cell r="K658">
            <v>-0.21377848018329651</v>
          </cell>
        </row>
        <row r="659">
          <cell r="I659">
            <v>1961.2500000021701</v>
          </cell>
          <cell r="J659">
            <v>27.654699999999998</v>
          </cell>
          <cell r="K659">
            <v>0.49063432406684232</v>
          </cell>
        </row>
        <row r="660">
          <cell r="I660">
            <v>1961.16666666884</v>
          </cell>
          <cell r="J660">
            <v>27.320055</v>
          </cell>
          <cell r="K660">
            <v>0.84254005137781596</v>
          </cell>
        </row>
        <row r="661">
          <cell r="I661">
            <v>1961.0833333355099</v>
          </cell>
          <cell r="J661">
            <v>27.033394000000001</v>
          </cell>
          <cell r="K661">
            <v>0.3935786348549043</v>
          </cell>
        </row>
        <row r="662">
          <cell r="I662">
            <v>1961.0000000021801</v>
          </cell>
          <cell r="J662">
            <v>27.311126999999999</v>
          </cell>
          <cell r="K662">
            <v>0.7024415669109707</v>
          </cell>
        </row>
        <row r="663">
          <cell r="I663">
            <v>1960.91666666885</v>
          </cell>
          <cell r="J663">
            <v>27.752445000000002</v>
          </cell>
          <cell r="K663">
            <v>-0.14183764401998325</v>
          </cell>
        </row>
        <row r="664">
          <cell r="I664">
            <v>1960.8333333355199</v>
          </cell>
          <cell r="J664">
            <v>28.619586999999999</v>
          </cell>
          <cell r="K664">
            <v>-0.18945857544080788</v>
          </cell>
        </row>
        <row r="665">
          <cell r="I665">
            <v>1960.7500000021901</v>
          </cell>
          <cell r="J665">
            <v>29.004028000000002</v>
          </cell>
          <cell r="K665">
            <v>0.24911166831546341</v>
          </cell>
        </row>
        <row r="666">
          <cell r="I666">
            <v>1960.66666666886</v>
          </cell>
          <cell r="J666">
            <v>29.040330000000001</v>
          </cell>
          <cell r="K666">
            <v>0.6550497545188636</v>
          </cell>
        </row>
        <row r="667">
          <cell r="I667">
            <v>1960.5833333355299</v>
          </cell>
          <cell r="J667">
            <v>28.63514</v>
          </cell>
          <cell r="K667">
            <v>0.41959059342617439</v>
          </cell>
        </row>
        <row r="668">
          <cell r="I668">
            <v>1960.5000000022001</v>
          </cell>
          <cell r="J668">
            <v>28.599136000000001</v>
          </cell>
          <cell r="K668">
            <v>0.86569824948705043</v>
          </cell>
        </row>
        <row r="669">
          <cell r="I669">
            <v>1960.41666666887</v>
          </cell>
          <cell r="J669">
            <v>29.148790000000002</v>
          </cell>
          <cell r="K669">
            <v>1.3411975006815349</v>
          </cell>
        </row>
        <row r="670">
          <cell r="I670">
            <v>1960.3333333355399</v>
          </cell>
          <cell r="J670">
            <v>28.918209999999998</v>
          </cell>
          <cell r="K670">
            <v>1.4740301721685214</v>
          </cell>
        </row>
        <row r="671">
          <cell r="I671">
            <v>1960.2500000022101</v>
          </cell>
          <cell r="J671">
            <v>27.729161999999999</v>
          </cell>
          <cell r="K671">
            <v>0.70147549805913745</v>
          </cell>
        </row>
        <row r="672">
          <cell r="I672">
            <v>1960.16666666888</v>
          </cell>
          <cell r="J672">
            <v>27.431813999999999</v>
          </cell>
          <cell r="K672">
            <v>1.1188418728627543</v>
          </cell>
        </row>
        <row r="673">
          <cell r="I673">
            <v>1960.0833333355499</v>
          </cell>
          <cell r="J673">
            <v>27.572299999999998</v>
          </cell>
          <cell r="K673">
            <v>1.7754837027997383</v>
          </cell>
        </row>
        <row r="674">
          <cell r="I674">
            <v>1960.0000000022201</v>
          </cell>
          <cell r="J674">
            <v>27.381208000000001</v>
          </cell>
          <cell r="K674">
            <v>0.91413275470100896</v>
          </cell>
        </row>
        <row r="675">
          <cell r="I675">
            <v>1959.91666666889</v>
          </cell>
          <cell r="J675">
            <v>27.992457999999999</v>
          </cell>
          <cell r="K675">
            <v>0.60919932268921062</v>
          </cell>
        </row>
        <row r="676">
          <cell r="I676">
            <v>1959.8333333355599</v>
          </cell>
          <cell r="J676">
            <v>28.573264999999999</v>
          </cell>
          <cell r="K676">
            <v>-0.33630163839948801</v>
          </cell>
        </row>
        <row r="677">
          <cell r="I677">
            <v>1959.7500000022301</v>
          </cell>
          <cell r="J677">
            <v>28.706951</v>
          </cell>
          <cell r="K677">
            <v>-0.69194438999226704</v>
          </cell>
        </row>
        <row r="678">
          <cell r="I678">
            <v>1959.6666666689</v>
          </cell>
          <cell r="J678">
            <v>28.60135</v>
          </cell>
          <cell r="K678">
            <v>-0.6425245953643357</v>
          </cell>
        </row>
        <row r="679">
          <cell r="I679">
            <v>1959.5833333355699</v>
          </cell>
          <cell r="J679">
            <v>28.150528000000001</v>
          </cell>
          <cell r="K679">
            <v>-1.0131014351055299</v>
          </cell>
        </row>
        <row r="680">
          <cell r="I680">
            <v>1959.5000000022401</v>
          </cell>
          <cell r="J680">
            <v>28.154067999999999</v>
          </cell>
          <cell r="K680">
            <v>-0.42234945648819566</v>
          </cell>
        </row>
        <row r="681">
          <cell r="I681">
            <v>1959.41666666891</v>
          </cell>
          <cell r="J681">
            <v>28.406094</v>
          </cell>
          <cell r="K681">
            <v>-0.64919871465196344</v>
          </cell>
        </row>
        <row r="682">
          <cell r="I682">
            <v>1959.3333333355799</v>
          </cell>
          <cell r="J682">
            <v>27.909804999999999</v>
          </cell>
          <cell r="K682">
            <v>-1.0050240614267627</v>
          </cell>
        </row>
        <row r="683">
          <cell r="I683">
            <v>1959.2500000022501</v>
          </cell>
          <cell r="J683">
            <v>27.452836999999999</v>
          </cell>
          <cell r="K683">
            <v>-8.0946239248758822E-2</v>
          </cell>
        </row>
        <row r="684">
          <cell r="I684">
            <v>1959.16666666892</v>
          </cell>
          <cell r="J684">
            <v>26.899567000000001</v>
          </cell>
          <cell r="K684">
            <v>-0.19703260328587263</v>
          </cell>
        </row>
        <row r="685">
          <cell r="I685">
            <v>1959.0833333355899</v>
          </cell>
          <cell r="J685">
            <v>26.846319999999999</v>
          </cell>
          <cell r="K685">
            <v>-8.6131200776387362E-2</v>
          </cell>
        </row>
        <row r="686">
          <cell r="I686">
            <v>1959.0000000022601</v>
          </cell>
          <cell r="J686">
            <v>27.162434000000001</v>
          </cell>
          <cell r="K686">
            <v>0.25328990260733775</v>
          </cell>
        </row>
        <row r="687">
          <cell r="I687">
            <v>1958.91666666893</v>
          </cell>
          <cell r="J687">
            <v>27.91339</v>
          </cell>
          <cell r="K687">
            <v>0.36178359569207819</v>
          </cell>
        </row>
        <row r="688">
          <cell r="I688">
            <v>1958.8333333355999</v>
          </cell>
          <cell r="J688">
            <v>28.748200000000001</v>
          </cell>
          <cell r="K688">
            <v>0.21825108425231737</v>
          </cell>
        </row>
        <row r="689">
          <cell r="I689">
            <v>1958.7500000022701</v>
          </cell>
          <cell r="J689">
            <v>29.120450000000002</v>
          </cell>
          <cell r="K689">
            <v>0.61790369334702777</v>
          </cell>
        </row>
        <row r="690">
          <cell r="I690">
            <v>1958.66666666894</v>
          </cell>
          <cell r="J690">
            <v>29.147597999999999</v>
          </cell>
          <cell r="K690">
            <v>0.97212161511221129</v>
          </cell>
        </row>
        <row r="691">
          <cell r="I691">
            <v>1958.58333333561</v>
          </cell>
          <cell r="J691">
            <v>28.850597</v>
          </cell>
          <cell r="K691">
            <v>1.0565610489480297</v>
          </cell>
        </row>
        <row r="692">
          <cell r="I692">
            <v>1958.5000000022801</v>
          </cell>
          <cell r="J692">
            <v>28.773392000000001</v>
          </cell>
          <cell r="K692">
            <v>1.370003301866509</v>
          </cell>
        </row>
        <row r="693">
          <cell r="I693">
            <v>1958.41666666895</v>
          </cell>
          <cell r="J693">
            <v>29.763983</v>
          </cell>
          <cell r="K693">
            <v>2.9898906657176374</v>
          </cell>
        </row>
        <row r="694">
          <cell r="I694">
            <v>1958.33333333562</v>
          </cell>
          <cell r="J694">
            <v>29.162496999999998</v>
          </cell>
          <cell r="K694">
            <v>2.0745832451523833</v>
          </cell>
        </row>
        <row r="695">
          <cell r="I695">
            <v>1958.2500000022901</v>
          </cell>
          <cell r="J695">
            <v>28.202895999999999</v>
          </cell>
          <cell r="K695">
            <v>2.0428661767954779</v>
          </cell>
        </row>
        <row r="696">
          <cell r="I696">
            <v>1958.16666666896</v>
          </cell>
          <cell r="J696">
            <v>27.799702</v>
          </cell>
          <cell r="K696">
            <v>2.0283715259775086</v>
          </cell>
        </row>
        <row r="697">
          <cell r="I697">
            <v>1958.08333333563</v>
          </cell>
          <cell r="J697">
            <v>27.589801999999999</v>
          </cell>
          <cell r="K697">
            <v>1.8203637050620458</v>
          </cell>
        </row>
        <row r="698">
          <cell r="I698">
            <v>1958.0000000023001</v>
          </cell>
          <cell r="J698">
            <v>27.749324999999999</v>
          </cell>
          <cell r="K698">
            <v>2.0260907030137192</v>
          </cell>
        </row>
        <row r="699">
          <cell r="I699">
            <v>1957.91666666897</v>
          </cell>
          <cell r="J699">
            <v>27.83418</v>
          </cell>
          <cell r="K699">
            <v>0.11392352922469652</v>
          </cell>
        </row>
        <row r="700">
          <cell r="I700">
            <v>1957.83333333564</v>
          </cell>
          <cell r="J700">
            <v>28.674807000000001</v>
          </cell>
          <cell r="K700">
            <v>-1.4408406264636249E-2</v>
          </cell>
        </row>
        <row r="701">
          <cell r="I701">
            <v>1957.7500000023099</v>
          </cell>
          <cell r="J701">
            <v>29.320868000000001</v>
          </cell>
          <cell r="K701">
            <v>1.2527713306730976</v>
          </cell>
        </row>
        <row r="702">
          <cell r="I702">
            <v>1957.66666666898</v>
          </cell>
          <cell r="J702">
            <v>28.872826</v>
          </cell>
          <cell r="K702">
            <v>0.15992721157194961</v>
          </cell>
        </row>
        <row r="703">
          <cell r="I703">
            <v>1957.58333333565</v>
          </cell>
          <cell r="J703">
            <v>28.644043</v>
          </cell>
          <cell r="K703">
            <v>0.44591114910787016</v>
          </cell>
        </row>
        <row r="704">
          <cell r="I704">
            <v>1957.5000000023199</v>
          </cell>
          <cell r="J704">
            <v>28.332858999999999</v>
          </cell>
          <cell r="K704">
            <v>9.5080098993257325E-2</v>
          </cell>
        </row>
        <row r="705">
          <cell r="I705">
            <v>1957.41666666899</v>
          </cell>
          <cell r="J705">
            <v>28.550896000000002</v>
          </cell>
          <cell r="K705">
            <v>-0.26113502133366834</v>
          </cell>
        </row>
        <row r="706">
          <cell r="I706">
            <v>1957.33333333566</v>
          </cell>
          <cell r="J706">
            <v>27.727533000000001</v>
          </cell>
          <cell r="K706">
            <v>-1.453119988426206</v>
          </cell>
        </row>
        <row r="707">
          <cell r="I707">
            <v>1957.2500000023299</v>
          </cell>
          <cell r="J707">
            <v>26.880375000000001</v>
          </cell>
          <cell r="K707">
            <v>-1.7018879295871339</v>
          </cell>
        </row>
        <row r="708">
          <cell r="I708">
            <v>1957.1666666690001</v>
          </cell>
          <cell r="J708">
            <v>26.993870000000001</v>
          </cell>
          <cell r="K708">
            <v>3.611274224776951E-2</v>
          </cell>
        </row>
        <row r="709">
          <cell r="I709">
            <v>1957.08333333567</v>
          </cell>
          <cell r="J709">
            <v>25.773323000000001</v>
          </cell>
          <cell r="K709">
            <v>-2.8375943357008584</v>
          </cell>
        </row>
        <row r="710">
          <cell r="I710">
            <v>1957.0000000023399</v>
          </cell>
          <cell r="J710">
            <v>26.669730000000001</v>
          </cell>
          <cell r="K710">
            <v>-1.2350035719278465</v>
          </cell>
        </row>
        <row r="711">
          <cell r="I711">
            <v>1956.9166666690101</v>
          </cell>
          <cell r="J711">
            <v>27.642181000000001</v>
          </cell>
          <cell r="K711">
            <v>-0.48687037181899406</v>
          </cell>
        </row>
        <row r="712">
          <cell r="I712">
            <v>1956.83333333568</v>
          </cell>
          <cell r="J712">
            <v>28.438604000000002</v>
          </cell>
          <cell r="K712">
            <v>-0.7631837613881004</v>
          </cell>
        </row>
        <row r="713">
          <cell r="I713">
            <v>1956.7500000023499</v>
          </cell>
          <cell r="J713">
            <v>28.569873999999999</v>
          </cell>
          <cell r="K713">
            <v>-1.1261656232235486</v>
          </cell>
        </row>
        <row r="714">
          <cell r="I714">
            <v>1956.6666666690201</v>
          </cell>
          <cell r="J714">
            <v>28.388110999999999</v>
          </cell>
          <cell r="K714">
            <v>-1.2728345338461458</v>
          </cell>
        </row>
        <row r="715">
          <cell r="I715">
            <v>1956.58333333569</v>
          </cell>
          <cell r="J715">
            <v>27.881502000000001</v>
          </cell>
          <cell r="K715">
            <v>-1.8084416364785287</v>
          </cell>
        </row>
        <row r="716">
          <cell r="I716">
            <v>1956.5000000023599</v>
          </cell>
          <cell r="J716">
            <v>27.847624</v>
          </cell>
          <cell r="K716">
            <v>-1.3092127924500594</v>
          </cell>
        </row>
        <row r="717">
          <cell r="I717">
            <v>1956.4166666690301</v>
          </cell>
          <cell r="J717">
            <v>28.409420000000001</v>
          </cell>
          <cell r="K717">
            <v>-0.64028516481164965</v>
          </cell>
        </row>
        <row r="718">
          <cell r="I718">
            <v>1956.3333333357</v>
          </cell>
          <cell r="J718">
            <v>27.840263</v>
          </cell>
          <cell r="K718">
            <v>-1.1759855198811331</v>
          </cell>
        </row>
        <row r="719">
          <cell r="I719">
            <v>1956.2500000023699</v>
          </cell>
          <cell r="J719">
            <v>27.428505000000001</v>
          </cell>
          <cell r="K719">
            <v>-0.14984295764982222</v>
          </cell>
        </row>
        <row r="720">
          <cell r="I720">
            <v>1956.1666666690401</v>
          </cell>
          <cell r="J720">
            <v>26.65916</v>
          </cell>
          <cell r="K720">
            <v>-0.7913909278747675</v>
          </cell>
        </row>
        <row r="721">
          <cell r="I721">
            <v>1956.08333333571</v>
          </cell>
          <cell r="J721">
            <v>26.700862999999998</v>
          </cell>
          <cell r="K721">
            <v>-0.45912345817944711</v>
          </cell>
        </row>
        <row r="722">
          <cell r="I722">
            <v>1956.0000000023799</v>
          </cell>
          <cell r="J722">
            <v>26.875129999999999</v>
          </cell>
          <cell r="K722">
            <v>-0.61455908665976855</v>
          </cell>
        </row>
        <row r="723">
          <cell r="I723">
            <v>1955.9166666690501</v>
          </cell>
          <cell r="J723">
            <v>27.507639000000001</v>
          </cell>
          <cell r="K723">
            <v>-0.90787263242566607</v>
          </cell>
        </row>
        <row r="724">
          <cell r="I724">
            <v>1955.83333333572</v>
          </cell>
          <cell r="J724">
            <v>28.615241999999999</v>
          </cell>
          <cell r="K724">
            <v>-0.2032324433341538</v>
          </cell>
        </row>
        <row r="725">
          <cell r="I725">
            <v>1955.7500000023899</v>
          </cell>
          <cell r="J725">
            <v>28.964835999999998</v>
          </cell>
          <cell r="K725">
            <v>0.12496247791297645</v>
          </cell>
        </row>
        <row r="726">
          <cell r="I726">
            <v>1955.6666666690601</v>
          </cell>
          <cell r="J726">
            <v>28.870773</v>
          </cell>
          <cell r="K726">
            <v>0.15385877988870594</v>
          </cell>
        </row>
        <row r="727">
          <cell r="I727">
            <v>1955.58333333573</v>
          </cell>
          <cell r="J727">
            <v>28.489211999999998</v>
          </cell>
          <cell r="K727">
            <v>-1.1826462568264846E-2</v>
          </cell>
        </row>
        <row r="728">
          <cell r="I728">
            <v>1955.5000000023999</v>
          </cell>
          <cell r="J728">
            <v>28.021281999999999</v>
          </cell>
          <cell r="K728">
            <v>-0.80663838017093004</v>
          </cell>
        </row>
        <row r="729">
          <cell r="I729">
            <v>1955.4166666690701</v>
          </cell>
          <cell r="J729">
            <v>28.252459000000002</v>
          </cell>
          <cell r="K729">
            <v>-1.0609345022996102</v>
          </cell>
        </row>
        <row r="730">
          <cell r="I730">
            <v>1955.33333333574</v>
          </cell>
          <cell r="J730">
            <v>28.008379999999999</v>
          </cell>
          <cell r="K730">
            <v>-0.76268812390497731</v>
          </cell>
        </row>
        <row r="731">
          <cell r="I731">
            <v>1955.2500000024099</v>
          </cell>
          <cell r="J731">
            <v>27.234386000000001</v>
          </cell>
          <cell r="K731">
            <v>-0.69949617478353077</v>
          </cell>
        </row>
        <row r="732">
          <cell r="I732">
            <v>1955.1666666690801</v>
          </cell>
          <cell r="J732">
            <v>26.437494000000001</v>
          </cell>
          <cell r="K732">
            <v>-1.339415870485926</v>
          </cell>
        </row>
        <row r="733">
          <cell r="I733">
            <v>1955.08333333575</v>
          </cell>
          <cell r="J733">
            <v>26.717483999999999</v>
          </cell>
          <cell r="K733">
            <v>-0.41650258527338907</v>
          </cell>
        </row>
        <row r="734">
          <cell r="I734">
            <v>1955.0000000024099</v>
          </cell>
          <cell r="J734">
            <v>27.055759999999999</v>
          </cell>
          <cell r="K734">
            <v>-6.8936460691050014E-2</v>
          </cell>
        </row>
        <row r="735">
          <cell r="I735">
            <v>1954.9166666690801</v>
          </cell>
          <cell r="J735">
            <v>27.531766999999999</v>
          </cell>
          <cell r="K735">
            <v>-0.83237247229784905</v>
          </cell>
        </row>
        <row r="736">
          <cell r="I736">
            <v>1954.83333333575</v>
          </cell>
          <cell r="J736">
            <v>28.406009999999998</v>
          </cell>
          <cell r="K736">
            <v>-0.8665083759141502</v>
          </cell>
        </row>
        <row r="737">
          <cell r="I737">
            <v>1954.7500000024199</v>
          </cell>
          <cell r="J737">
            <v>28.556839</v>
          </cell>
          <cell r="K737">
            <v>-1.167456822878991</v>
          </cell>
        </row>
        <row r="738">
          <cell r="I738">
            <v>1954.6666666690901</v>
          </cell>
          <cell r="J738">
            <v>28.824017000000001</v>
          </cell>
          <cell r="K738">
            <v>1.5653425879100121E-2</v>
          </cell>
        </row>
        <row r="739">
          <cell r="I739">
            <v>1954.58333333576</v>
          </cell>
          <cell r="J739">
            <v>28.394843999999999</v>
          </cell>
          <cell r="K739">
            <v>-0.29081311859097858</v>
          </cell>
        </row>
        <row r="740">
          <cell r="I740">
            <v>1954.5000000024299</v>
          </cell>
          <cell r="J740">
            <v>28.231102</v>
          </cell>
          <cell r="K740">
            <v>-0.1994094406207372</v>
          </cell>
        </row>
        <row r="741">
          <cell r="I741">
            <v>1954.4166666691001</v>
          </cell>
          <cell r="J741">
            <v>28.727388000000001</v>
          </cell>
          <cell r="K741">
            <v>0.21185663182810724</v>
          </cell>
        </row>
        <row r="742">
          <cell r="I742">
            <v>1954.33333333577</v>
          </cell>
          <cell r="J742">
            <v>28.362912999999999</v>
          </cell>
          <cell r="K742">
            <v>0.10889277325364148</v>
          </cell>
        </row>
        <row r="743">
          <cell r="I743">
            <v>1954.2500000024399</v>
          </cell>
          <cell r="J743">
            <v>27.443425999999999</v>
          </cell>
          <cell r="K743">
            <v>-0.10759374117513051</v>
          </cell>
        </row>
        <row r="744">
          <cell r="I744">
            <v>1954.1666666691101</v>
          </cell>
          <cell r="J744">
            <v>27.113303999999999</v>
          </cell>
          <cell r="K744">
            <v>0.33138946937696584</v>
          </cell>
        </row>
        <row r="745">
          <cell r="I745">
            <v>1954.08333333578</v>
          </cell>
          <cell r="J745">
            <v>26.765903000000002</v>
          </cell>
          <cell r="K745">
            <v>-0.29234278470552577</v>
          </cell>
        </row>
        <row r="746">
          <cell r="I746">
            <v>1954.00000000245</v>
          </cell>
          <cell r="J746">
            <v>27.182971999999999</v>
          </cell>
          <cell r="K746">
            <v>0.31532830980517096</v>
          </cell>
        </row>
        <row r="747">
          <cell r="I747">
            <v>1953.9166666691201</v>
          </cell>
          <cell r="J747">
            <v>28.199314000000001</v>
          </cell>
          <cell r="K747">
            <v>1.2564830230954387</v>
          </cell>
        </row>
        <row r="748">
          <cell r="I748">
            <v>1953.83333333579</v>
          </cell>
          <cell r="J748">
            <v>28.826778000000001</v>
          </cell>
          <cell r="K748">
            <v>0.46734728478699233</v>
          </cell>
        </row>
        <row r="749">
          <cell r="I749">
            <v>1953.75000000246</v>
          </cell>
          <cell r="J749">
            <v>29.070879999999999</v>
          </cell>
          <cell r="K749">
            <v>0.46087992910302172</v>
          </cell>
        </row>
        <row r="750">
          <cell r="I750">
            <v>1953.6666666691301</v>
          </cell>
          <cell r="J750">
            <v>28.895423999999998</v>
          </cell>
          <cell r="K750">
            <v>0.22672429836100291</v>
          </cell>
        </row>
        <row r="751">
          <cell r="I751">
            <v>1953.5833333358</v>
          </cell>
          <cell r="J751">
            <v>28.413478999999999</v>
          </cell>
          <cell r="K751">
            <v>-0.23572117709615795</v>
          </cell>
        </row>
        <row r="752">
          <cell r="I752">
            <v>1953.50000000247</v>
          </cell>
          <cell r="J752">
            <v>28.423645</v>
          </cell>
          <cell r="K752">
            <v>0.35781904907430057</v>
          </cell>
        </row>
        <row r="753">
          <cell r="I753">
            <v>1953.4166666691401</v>
          </cell>
          <cell r="J753">
            <v>28.565704</v>
          </cell>
          <cell r="K753">
            <v>-0.22145016082996885</v>
          </cell>
        </row>
        <row r="754">
          <cell r="I754">
            <v>1953.33333333581</v>
          </cell>
          <cell r="J754">
            <v>28.296250000000001</v>
          </cell>
          <cell r="K754">
            <v>-5.4990976206306059E-2</v>
          </cell>
        </row>
        <row r="755">
          <cell r="I755">
            <v>1953.25000000248</v>
          </cell>
          <cell r="J755">
            <v>27.411937999999999</v>
          </cell>
          <cell r="K755">
            <v>-0.19675286779903595</v>
          </cell>
        </row>
        <row r="756">
          <cell r="I756">
            <v>1953.1666666691499</v>
          </cell>
          <cell r="J756">
            <v>26.413506999999999</v>
          </cell>
          <cell r="K756">
            <v>-1.39871894041282</v>
          </cell>
        </row>
        <row r="757">
          <cell r="I757">
            <v>1953.08333333582</v>
          </cell>
          <cell r="J757">
            <v>26.707027</v>
          </cell>
          <cell r="K757">
            <v>-0.4433172455211829</v>
          </cell>
        </row>
        <row r="758">
          <cell r="I758">
            <v>1953.00000000249</v>
          </cell>
          <cell r="J758">
            <v>26.99287</v>
          </cell>
          <cell r="K758">
            <v>-0.25890605016772755</v>
          </cell>
        </row>
        <row r="759">
          <cell r="I759">
            <v>1952.9166666691599</v>
          </cell>
          <cell r="K759">
            <v>0.13746413369425697</v>
          </cell>
        </row>
        <row r="760">
          <cell r="I760">
            <v>1952.83333333583</v>
          </cell>
          <cell r="K760">
            <v>0.91595376144030594</v>
          </cell>
        </row>
        <row r="761">
          <cell r="I761">
            <v>1952.7500000025</v>
          </cell>
          <cell r="K761">
            <v>0.89002964636587945</v>
          </cell>
        </row>
        <row r="762">
          <cell r="I762">
            <v>1952.6666666691699</v>
          </cell>
          <cell r="K762">
            <v>0.72288140102011422</v>
          </cell>
        </row>
        <row r="763">
          <cell r="I763">
            <v>1952.5833333358401</v>
          </cell>
          <cell r="K763">
            <v>0.78882929076651231</v>
          </cell>
        </row>
        <row r="764">
          <cell r="I764">
            <v>1952.50000000251</v>
          </cell>
          <cell r="K764">
            <v>0.70961650719450042</v>
          </cell>
        </row>
        <row r="765">
          <cell r="I765">
            <v>1952.4166666691799</v>
          </cell>
          <cell r="K765">
            <v>0.69761025863376547</v>
          </cell>
        </row>
        <row r="766">
          <cell r="I766">
            <v>1952.3333333358501</v>
          </cell>
          <cell r="K766">
            <v>0.97870854534870033</v>
          </cell>
        </row>
        <row r="767">
          <cell r="I767">
            <v>1952.25000000252</v>
          </cell>
          <cell r="K767">
            <v>0.27508998349292296</v>
          </cell>
        </row>
        <row r="768">
          <cell r="I768">
            <v>1952.1666666691899</v>
          </cell>
          <cell r="K768">
            <v>-1.0187376051547343E-3</v>
          </cell>
        </row>
        <row r="769">
          <cell r="I769">
            <v>1952.0833333358601</v>
          </cell>
          <cell r="K769">
            <v>-5.6234277774655769E-2</v>
          </cell>
        </row>
        <row r="770">
          <cell r="I770">
            <v>1952.00000000253</v>
          </cell>
          <cell r="K770">
            <v>-1.0959472823498706</v>
          </cell>
        </row>
        <row r="771">
          <cell r="I771">
            <v>1951.9166666691999</v>
          </cell>
          <cell r="K771">
            <v>0.20908101718420991</v>
          </cell>
        </row>
        <row r="772">
          <cell r="I772">
            <v>1951.8333333358701</v>
          </cell>
          <cell r="K772">
            <v>0.32610570043993531</v>
          </cell>
        </row>
        <row r="773">
          <cell r="I773">
            <v>1951.75000000254</v>
          </cell>
          <cell r="K773">
            <v>-0.22204832051092155</v>
          </cell>
        </row>
        <row r="774">
          <cell r="I774">
            <v>1951.6666666692099</v>
          </cell>
          <cell r="K774">
            <v>0.82675710789422208</v>
          </cell>
        </row>
        <row r="775">
          <cell r="I775">
            <v>1951.5833333358801</v>
          </cell>
          <cell r="K775">
            <v>0.7755522363391909</v>
          </cell>
        </row>
        <row r="776">
          <cell r="I776">
            <v>1951.50000000255</v>
          </cell>
          <cell r="K776">
            <v>0.70965123575839151</v>
          </cell>
        </row>
        <row r="777">
          <cell r="I777">
            <v>1951.4166666692199</v>
          </cell>
          <cell r="K777">
            <v>0.15797065869547089</v>
          </cell>
        </row>
        <row r="778">
          <cell r="I778">
            <v>1951.3333333358901</v>
          </cell>
          <cell r="K778">
            <v>0.63857042063514091</v>
          </cell>
        </row>
        <row r="779">
          <cell r="I779">
            <v>1951.25000000256</v>
          </cell>
          <cell r="K779">
            <v>-0.17544279453392816</v>
          </cell>
        </row>
        <row r="780">
          <cell r="I780">
            <v>1951.1666666692299</v>
          </cell>
          <cell r="K780">
            <v>-1.2254452939002931</v>
          </cell>
        </row>
        <row r="781">
          <cell r="I781">
            <v>1951.0833333359001</v>
          </cell>
          <cell r="K781">
            <v>-0.48888960297780204</v>
          </cell>
        </row>
        <row r="782">
          <cell r="I782">
            <v>1951.00000000257</v>
          </cell>
          <cell r="K782">
            <v>0.14141355206753711</v>
          </cell>
        </row>
        <row r="783">
          <cell r="I783">
            <v>1950.9166666692399</v>
          </cell>
          <cell r="K783">
            <v>-0.4224223737258036</v>
          </cell>
        </row>
        <row r="784">
          <cell r="I784">
            <v>1950.8333333359101</v>
          </cell>
          <cell r="K784">
            <v>-0.33503044829011353</v>
          </cell>
        </row>
        <row r="785">
          <cell r="I785">
            <v>1950.75000000258</v>
          </cell>
          <cell r="K785">
            <v>-0.7140075434713794</v>
          </cell>
        </row>
        <row r="786">
          <cell r="I786">
            <v>1950.6666666692499</v>
          </cell>
          <cell r="K786">
            <v>0.18384327623299415</v>
          </cell>
        </row>
        <row r="787">
          <cell r="I787">
            <v>1950.5833333359201</v>
          </cell>
          <cell r="K787">
            <v>-0.93118044241320641</v>
          </cell>
        </row>
        <row r="788">
          <cell r="I788">
            <v>1950.50000000259</v>
          </cell>
          <cell r="K788">
            <v>-1.6163435293186288</v>
          </cell>
        </row>
        <row r="789">
          <cell r="I789">
            <v>1950.4166666692599</v>
          </cell>
          <cell r="K789">
            <v>-1.370909495904447</v>
          </cell>
        </row>
        <row r="790">
          <cell r="I790">
            <v>1950.3333333359301</v>
          </cell>
          <cell r="K790">
            <v>-1.6505853651400004</v>
          </cell>
        </row>
        <row r="791">
          <cell r="I791">
            <v>1950.2500000026</v>
          </cell>
          <cell r="K791">
            <v>-1.9479391435809623</v>
          </cell>
        </row>
        <row r="792">
          <cell r="I792">
            <v>1950.1666666692699</v>
          </cell>
          <cell r="K792">
            <v>-1.1143673087939769</v>
          </cell>
        </row>
        <row r="793">
          <cell r="I793">
            <v>1950.0833333359401</v>
          </cell>
          <cell r="K793">
            <v>-1.9321373411385547</v>
          </cell>
        </row>
        <row r="794">
          <cell r="I794">
            <v>1950.00000000261</v>
          </cell>
          <cell r="K794">
            <v>-2.1814472304363797</v>
          </cell>
        </row>
      </sheetData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V802"/>
  <sheetViews>
    <sheetView tabSelected="1" zoomScale="85" zoomScaleNormal="85" workbookViewId="0">
      <selection activeCell="B19" sqref="B19"/>
    </sheetView>
  </sheetViews>
  <sheetFormatPr baseColWidth="10" defaultColWidth="11.44140625" defaultRowHeight="14.4" x14ac:dyDescent="0.3"/>
  <cols>
    <col min="3" max="3" width="13" customWidth="1"/>
    <col min="5" max="5" width="5.44140625" customWidth="1"/>
    <col min="6" max="6" width="7.88671875" customWidth="1"/>
    <col min="7" max="7" width="9" customWidth="1"/>
    <col min="8" max="8" width="4.44140625" customWidth="1"/>
    <col min="9" max="9" width="7.6640625" customWidth="1"/>
    <col min="10" max="10" width="5" customWidth="1"/>
    <col min="12" max="13" width="7.6640625" customWidth="1"/>
    <col min="14" max="14" width="5.6640625" customWidth="1"/>
    <col min="15" max="15" width="9" customWidth="1"/>
    <col min="16" max="16" width="7.44140625" customWidth="1"/>
    <col min="17" max="17" width="7.33203125" customWidth="1"/>
  </cols>
  <sheetData>
    <row r="1" spans="1:22" x14ac:dyDescent="0.3">
      <c r="A1" s="4" t="s">
        <v>16</v>
      </c>
      <c r="B1" s="4"/>
      <c r="C1" s="4"/>
      <c r="D1" s="2"/>
      <c r="E1" s="2"/>
    </row>
    <row r="2" spans="1:22" x14ac:dyDescent="0.3">
      <c r="A2" t="s">
        <v>15</v>
      </c>
    </row>
    <row r="3" spans="1:22" x14ac:dyDescent="0.3">
      <c r="A3" t="s">
        <v>17</v>
      </c>
    </row>
    <row r="4" spans="1:22" x14ac:dyDescent="0.3">
      <c r="A4" s="2" t="s">
        <v>18</v>
      </c>
      <c r="E4" t="s">
        <v>47</v>
      </c>
      <c r="F4">
        <v>253.9</v>
      </c>
      <c r="G4">
        <v>7936.3</v>
      </c>
      <c r="H4">
        <f>G4/F4</f>
        <v>31.257581725088617</v>
      </c>
    </row>
    <row r="5" spans="1:22" x14ac:dyDescent="0.3">
      <c r="A5" t="s">
        <v>23</v>
      </c>
      <c r="C5" t="s">
        <v>20</v>
      </c>
      <c r="E5" t="s">
        <v>48</v>
      </c>
      <c r="F5">
        <v>376.4</v>
      </c>
      <c r="G5">
        <v>7225.5</v>
      </c>
      <c r="H5">
        <f>G5/F5</f>
        <v>19.196333687566419</v>
      </c>
    </row>
    <row r="6" spans="1:22" x14ac:dyDescent="0.3">
      <c r="A6" t="s">
        <v>24</v>
      </c>
      <c r="C6" t="s">
        <v>21</v>
      </c>
    </row>
    <row r="7" spans="1:22" x14ac:dyDescent="0.3">
      <c r="A7" t="s">
        <v>19</v>
      </c>
      <c r="C7" t="s">
        <v>22</v>
      </c>
    </row>
    <row r="8" spans="1:22" x14ac:dyDescent="0.3">
      <c r="B8" t="s">
        <v>53</v>
      </c>
      <c r="C8" s="13">
        <f>AVERAGE(C11:C430)</f>
        <v>362.33624401913841</v>
      </c>
    </row>
    <row r="9" spans="1:22" x14ac:dyDescent="0.3">
      <c r="B9" t="s">
        <v>54</v>
      </c>
      <c r="C9" s="13">
        <f>_xlfn.STDEV.S(C11:C430)</f>
        <v>148.85041629495942</v>
      </c>
      <c r="R9" s="2"/>
      <c r="S9" s="1"/>
    </row>
    <row r="10" spans="1:22" x14ac:dyDescent="0.3">
      <c r="A10" s="2" t="s">
        <v>12</v>
      </c>
      <c r="B10" s="2" t="s">
        <v>13</v>
      </c>
      <c r="C10" s="2" t="s">
        <v>14</v>
      </c>
      <c r="D10" s="2" t="s">
        <v>46</v>
      </c>
      <c r="F10" s="21" t="s">
        <v>56</v>
      </c>
      <c r="G10" s="21"/>
      <c r="I10" s="2" t="s">
        <v>52</v>
      </c>
      <c r="K10" s="21" t="s">
        <v>55</v>
      </c>
      <c r="L10" s="21"/>
      <c r="M10" s="14" t="s">
        <v>54</v>
      </c>
      <c r="O10" s="2" t="s">
        <v>57</v>
      </c>
      <c r="P10" s="1"/>
    </row>
    <row r="11" spans="1:22" x14ac:dyDescent="0.3">
      <c r="A11" t="s">
        <v>0</v>
      </c>
      <c r="B11">
        <v>1981</v>
      </c>
      <c r="C11">
        <v>204.2</v>
      </c>
      <c r="D11" s="12">
        <v>1980.99999999326</v>
      </c>
      <c r="F11">
        <v>2015</v>
      </c>
      <c r="G11" s="13">
        <f>AVERAGEIF(B$11:B$430,F11,C$11:C$430)</f>
        <v>259.74166666666667</v>
      </c>
      <c r="I11" s="13">
        <f>STANDARDIZE(C11,C$8,C$9)</f>
        <v>-1.0623836194436862</v>
      </c>
      <c r="K11" t="s">
        <v>0</v>
      </c>
      <c r="L11" s="13">
        <f>AVERAGEIF(A$11:A$430,K11,C$11:C$430)</f>
        <v>375.55199999999996</v>
      </c>
      <c r="M11" s="13">
        <f t="array" ref="M11">_xlfn.STDEV.S(IF(A$11:A$430=K11,C$11:C$430))</f>
        <v>148.86518395159155</v>
      </c>
      <c r="O11" s="12">
        <f>STANDARDIZE(C11,L$11,M$11)</f>
        <v>-1.1510549038499207</v>
      </c>
      <c r="P11" s="12">
        <v>1980.99999999326</v>
      </c>
      <c r="R11">
        <v>-1.8049999999999999</v>
      </c>
      <c r="S11">
        <v>-1.488</v>
      </c>
      <c r="T11">
        <v>-3.0710000000000002</v>
      </c>
      <c r="U11">
        <v>-1.986</v>
      </c>
      <c r="V11">
        <f>AVERAGE(R11:U11)</f>
        <v>-2.0875000000000004</v>
      </c>
    </row>
    <row r="12" spans="1:22" x14ac:dyDescent="0.3">
      <c r="A12" t="s">
        <v>1</v>
      </c>
      <c r="B12">
        <v>1981</v>
      </c>
      <c r="C12">
        <v>88.46</v>
      </c>
      <c r="D12" s="12">
        <v>1981.08333332662</v>
      </c>
      <c r="F12">
        <v>2014</v>
      </c>
      <c r="G12" s="13">
        <f t="shared" ref="G12:G45" si="0">AVERAGEIF(B$11:B$430,F12,C$11:C$430)</f>
        <v>326.30833333333334</v>
      </c>
      <c r="I12" s="13">
        <f t="shared" ref="I12:I75" si="1">STANDARDIZE(C12,C$8,C$9)</f>
        <v>-1.8399427481373649</v>
      </c>
      <c r="K12" t="s">
        <v>1</v>
      </c>
      <c r="L12" s="13">
        <f t="shared" ref="L12:L22" si="2">AVERAGEIF(A$11:A$430,K12,C$11:C$430)</f>
        <v>243.18794117647062</v>
      </c>
      <c r="M12" s="13">
        <f t="array" ref="M12">_xlfn.STDEV.S(IF(A$11:A$430=K12,C$11:C$430))</f>
        <v>124.27269200965968</v>
      </c>
      <c r="O12" s="12">
        <f>STANDARDIZE(C12,L$12,M$12)</f>
        <v>-1.2450679121398904</v>
      </c>
      <c r="P12" s="12">
        <v>1981.08333332662</v>
      </c>
      <c r="R12">
        <v>-1.8160000000000001</v>
      </c>
      <c r="S12">
        <v>-1.135</v>
      </c>
      <c r="T12">
        <v>-2.9510000000000001</v>
      </c>
      <c r="U12">
        <v>-2.6019999999999999</v>
      </c>
      <c r="V12">
        <f t="shared" ref="V12:V75" si="3">AVERAGE(R12:U12)</f>
        <v>-2.1259999999999999</v>
      </c>
    </row>
    <row r="13" spans="1:22" x14ac:dyDescent="0.3">
      <c r="A13" t="s">
        <v>2</v>
      </c>
      <c r="B13">
        <v>1981</v>
      </c>
      <c r="C13">
        <v>97.09</v>
      </c>
      <c r="D13" s="12">
        <v>1981.1666666599799</v>
      </c>
      <c r="F13">
        <v>2013</v>
      </c>
      <c r="G13" s="13">
        <f t="shared" si="0"/>
        <v>294.05</v>
      </c>
      <c r="I13" s="13">
        <f t="shared" si="1"/>
        <v>-1.7819650802556779</v>
      </c>
      <c r="K13" t="s">
        <v>2</v>
      </c>
      <c r="L13" s="13">
        <f t="shared" si="2"/>
        <v>201.74285714285716</v>
      </c>
      <c r="M13" s="13">
        <f t="array" ref="M13">_xlfn.STDEV.S(IF(A$11:A$430=K13,C$11:C$430))</f>
        <v>94.945738360250303</v>
      </c>
      <c r="O13" s="12">
        <f>STANDARDIZE(C13,L$13,M$13)</f>
        <v>-1.1022385938563706</v>
      </c>
      <c r="P13" s="12">
        <v>1981.1666666599799</v>
      </c>
      <c r="R13">
        <v>-1.7629999999999999</v>
      </c>
      <c r="S13">
        <v>-1.012</v>
      </c>
      <c r="T13">
        <v>-2.8180000000000001</v>
      </c>
      <c r="U13">
        <v>-2.6139999999999999</v>
      </c>
      <c r="V13">
        <f t="shared" si="3"/>
        <v>-2.0517500000000002</v>
      </c>
    </row>
    <row r="14" spans="1:22" x14ac:dyDescent="0.3">
      <c r="A14" t="s">
        <v>3</v>
      </c>
      <c r="B14">
        <v>1981</v>
      </c>
      <c r="C14">
        <v>106</v>
      </c>
      <c r="D14" s="12">
        <v>1981.24999999334</v>
      </c>
      <c r="F14">
        <v>2012</v>
      </c>
      <c r="G14" s="13">
        <f t="shared" si="0"/>
        <v>356.47499999999997</v>
      </c>
      <c r="I14" s="13">
        <f t="shared" si="1"/>
        <v>-1.7221063292909233</v>
      </c>
      <c r="K14" t="s">
        <v>3</v>
      </c>
      <c r="L14" s="13">
        <f t="shared" si="2"/>
        <v>235.69029411764703</v>
      </c>
      <c r="M14" s="13">
        <f t="array" ref="M14">_xlfn.STDEV.S(IF(A$11:A$430=K14,C$11:C$430))</f>
        <v>106.53347471944353</v>
      </c>
      <c r="O14" s="12">
        <f>STANDARDIZE(C14,L$14,M$14)</f>
        <v>-1.2173666019923512</v>
      </c>
      <c r="P14" s="12">
        <v>1981.24999999334</v>
      </c>
      <c r="R14">
        <v>-1.784</v>
      </c>
      <c r="S14">
        <v>-0.752</v>
      </c>
      <c r="T14">
        <v>-2.556</v>
      </c>
      <c r="U14">
        <v>-2.0409999999999999</v>
      </c>
      <c r="V14">
        <f t="shared" si="3"/>
        <v>-1.7832500000000002</v>
      </c>
    </row>
    <row r="15" spans="1:22" x14ac:dyDescent="0.3">
      <c r="A15" t="s">
        <v>4</v>
      </c>
      <c r="B15">
        <v>1981</v>
      </c>
      <c r="C15">
        <v>219.4</v>
      </c>
      <c r="D15" s="12">
        <v>1981.3333333267001</v>
      </c>
      <c r="F15">
        <v>2011</v>
      </c>
      <c r="G15" s="13">
        <f t="shared" si="0"/>
        <v>515.89166666666665</v>
      </c>
      <c r="I15" s="13">
        <f t="shared" si="1"/>
        <v>-0.96026768064859425</v>
      </c>
      <c r="K15" t="s">
        <v>4</v>
      </c>
      <c r="L15" s="13">
        <f t="shared" si="2"/>
        <v>328.28199999999993</v>
      </c>
      <c r="M15" s="13">
        <f t="array" ref="M15">_xlfn.STDEV.S(IF(A$11:A$430=K15,C$11:C$430))</f>
        <v>110.70983132389256</v>
      </c>
      <c r="O15" s="12">
        <f>STANDARDIZE(C15,L$15,M$15)</f>
        <v>-0.98348989152964084</v>
      </c>
      <c r="P15" s="12">
        <v>1981.3333333267001</v>
      </c>
      <c r="R15">
        <v>-1.7030000000000001</v>
      </c>
      <c r="S15">
        <v>-0.69399999999999995</v>
      </c>
      <c r="T15">
        <v>-2.3610000000000002</v>
      </c>
      <c r="U15">
        <v>-1.266</v>
      </c>
      <c r="V15">
        <f t="shared" si="3"/>
        <v>-1.5060000000000002</v>
      </c>
    </row>
    <row r="16" spans="1:22" x14ac:dyDescent="0.3">
      <c r="A16" t="s">
        <v>5</v>
      </c>
      <c r="B16">
        <v>1981</v>
      </c>
      <c r="C16">
        <v>351.2</v>
      </c>
      <c r="D16" s="12">
        <v>1981.4166666600599</v>
      </c>
      <c r="F16">
        <v>2010</v>
      </c>
      <c r="G16" s="13">
        <f t="shared" si="0"/>
        <v>465.3416666666667</v>
      </c>
      <c r="I16" s="13">
        <f t="shared" si="1"/>
        <v>-7.4815000833259523E-2</v>
      </c>
      <c r="K16" t="s">
        <v>5</v>
      </c>
      <c r="L16" s="13">
        <f t="shared" si="2"/>
        <v>394.37999999999994</v>
      </c>
      <c r="M16" s="13">
        <f t="array" ref="M16">_xlfn.STDEV.S(IF(A$11:A$430=K16,C$11:C$430))</f>
        <v>111.63255323236392</v>
      </c>
      <c r="O16" s="12">
        <f>STANDARDIZE(C16,L$16,M$16)</f>
        <v>-0.38680473347340255</v>
      </c>
      <c r="P16" s="12">
        <v>1981.4166666600599</v>
      </c>
      <c r="R16">
        <v>-1.389</v>
      </c>
      <c r="S16">
        <v>-0.19900000000000001</v>
      </c>
      <c r="T16">
        <v>-2.1720000000000002</v>
      </c>
      <c r="U16">
        <v>-0.64900000000000002</v>
      </c>
      <c r="V16">
        <f t="shared" si="3"/>
        <v>-1.1022500000000002</v>
      </c>
    </row>
    <row r="17" spans="1:22" x14ac:dyDescent="0.3">
      <c r="A17" t="s">
        <v>6</v>
      </c>
      <c r="B17">
        <v>1981</v>
      </c>
      <c r="C17">
        <v>385.8</v>
      </c>
      <c r="D17" s="12">
        <v>1981.49999999342</v>
      </c>
      <c r="F17">
        <v>2009</v>
      </c>
      <c r="G17" s="13">
        <f t="shared" si="0"/>
        <v>419.25833333333338</v>
      </c>
      <c r="I17" s="13">
        <f t="shared" si="1"/>
        <v>0.15763312300293628</v>
      </c>
      <c r="K17" t="s">
        <v>6</v>
      </c>
      <c r="L17" s="13">
        <f t="shared" si="2"/>
        <v>397.13428571428568</v>
      </c>
      <c r="M17" s="13">
        <f t="array" ref="M17">_xlfn.STDEV.S(IF(A$11:A$430=K17,C$11:C$430))</f>
        <v>124.98542489816485</v>
      </c>
      <c r="O17" s="12">
        <f>STANDARDIZE(C17,L$17,M$17)</f>
        <v>-9.068485964279896E-2</v>
      </c>
      <c r="P17" s="12">
        <v>1981.49999999342</v>
      </c>
      <c r="R17">
        <v>-1.359</v>
      </c>
      <c r="S17">
        <v>-0.187</v>
      </c>
      <c r="T17">
        <v>-1.917</v>
      </c>
      <c r="U17">
        <v>-0.628</v>
      </c>
      <c r="V17">
        <f t="shared" si="3"/>
        <v>-1.02275</v>
      </c>
    </row>
    <row r="18" spans="1:22" x14ac:dyDescent="0.3">
      <c r="A18" t="s">
        <v>7</v>
      </c>
      <c r="B18">
        <v>1981</v>
      </c>
      <c r="C18">
        <v>346.6</v>
      </c>
      <c r="D18" s="12">
        <v>1981.5833333267799</v>
      </c>
      <c r="F18">
        <v>2008</v>
      </c>
      <c r="G18" s="13">
        <f t="shared" si="0"/>
        <v>560.5</v>
      </c>
      <c r="I18" s="13">
        <f t="shared" si="1"/>
        <v>-0.10571850862651075</v>
      </c>
      <c r="K18" t="s">
        <v>7</v>
      </c>
      <c r="L18" s="13">
        <f t="shared" si="2"/>
        <v>380.03714285714284</v>
      </c>
      <c r="M18" s="13">
        <f t="array" ref="M18">_xlfn.STDEV.S(IF(A$11:A$430=K18,C$11:C$430))</f>
        <v>129.91852443588124</v>
      </c>
      <c r="O18" s="12">
        <f>STANDARDIZE(C18,L$18,M$18)</f>
        <v>-0.25737009408265771</v>
      </c>
      <c r="P18" s="12">
        <v>1981.5833333267799</v>
      </c>
      <c r="R18">
        <v>-1.409</v>
      </c>
      <c r="S18">
        <v>-0.184</v>
      </c>
      <c r="T18">
        <v>-1.758</v>
      </c>
      <c r="U18">
        <v>-0.71399999999999997</v>
      </c>
      <c r="V18">
        <f t="shared" si="3"/>
        <v>-1.0162499999999999</v>
      </c>
    </row>
    <row r="19" spans="1:22" x14ac:dyDescent="0.3">
      <c r="A19" t="s">
        <v>8</v>
      </c>
      <c r="B19">
        <v>1981</v>
      </c>
      <c r="C19">
        <v>310</v>
      </c>
      <c r="D19" s="12">
        <v>1981.66666666014</v>
      </c>
      <c r="F19">
        <v>2007</v>
      </c>
      <c r="G19" s="13">
        <f t="shared" si="0"/>
        <v>525.62727272727273</v>
      </c>
      <c r="I19" s="13">
        <f t="shared" si="1"/>
        <v>-0.35160294019890281</v>
      </c>
      <c r="K19" t="s">
        <v>8</v>
      </c>
      <c r="L19" s="13">
        <f t="shared" si="2"/>
        <v>388.41714285714289</v>
      </c>
      <c r="M19" s="13">
        <f t="array" ref="M19">_xlfn.STDEV.S(IF(A$11:A$430=K19,C$11:C$430))</f>
        <v>129.86548354018493</v>
      </c>
      <c r="O19" s="12">
        <f>STANDARDIZE(C19,L$19,M$19)</f>
        <v>-0.60383360319817303</v>
      </c>
      <c r="P19" s="12">
        <v>1981.66666666014</v>
      </c>
      <c r="R19">
        <v>-1.4570000000000001</v>
      </c>
      <c r="S19">
        <v>-0.26</v>
      </c>
      <c r="T19">
        <v>-1.546</v>
      </c>
      <c r="U19">
        <v>-0.90600000000000003</v>
      </c>
      <c r="V19">
        <f t="shared" si="3"/>
        <v>-1.0422499999999999</v>
      </c>
    </row>
    <row r="20" spans="1:22" x14ac:dyDescent="0.3">
      <c r="A20" t="s">
        <v>9</v>
      </c>
      <c r="B20">
        <v>1981</v>
      </c>
      <c r="C20">
        <v>303.7</v>
      </c>
      <c r="D20" s="12">
        <v>1981.7499999935001</v>
      </c>
      <c r="F20">
        <v>2006</v>
      </c>
      <c r="G20" s="13">
        <f t="shared" si="0"/>
        <v>482.4083333333333</v>
      </c>
      <c r="I20" s="13">
        <f t="shared" si="1"/>
        <v>-0.39392730956792116</v>
      </c>
      <c r="K20" t="s">
        <v>9</v>
      </c>
      <c r="L20" s="13">
        <f t="shared" si="2"/>
        <v>429.63428571428568</v>
      </c>
      <c r="M20" s="13">
        <f t="array" ref="M20">_xlfn.STDEV.S(IF(A$11:A$430=K20,C$11:C$430))</f>
        <v>121.24822362035852</v>
      </c>
      <c r="O20" s="12">
        <f>STANDARDIZE(C20,L$20,M$20)</f>
        <v>-1.0386485010172171</v>
      </c>
      <c r="P20" s="12">
        <v>1981.7499999935001</v>
      </c>
      <c r="R20">
        <v>-1.2370000000000001</v>
      </c>
      <c r="S20">
        <v>0.152</v>
      </c>
      <c r="T20">
        <v>-1.3149999999999999</v>
      </c>
      <c r="U20">
        <v>-1.3109999999999999</v>
      </c>
      <c r="V20">
        <f t="shared" si="3"/>
        <v>-0.92775000000000007</v>
      </c>
    </row>
    <row r="21" spans="1:22" x14ac:dyDescent="0.3">
      <c r="A21" t="s">
        <v>10</v>
      </c>
      <c r="B21">
        <v>1981</v>
      </c>
      <c r="C21">
        <v>320.60000000000002</v>
      </c>
      <c r="D21" s="12">
        <v>1981.8333333268599</v>
      </c>
      <c r="F21">
        <v>2005</v>
      </c>
      <c r="G21" s="13">
        <f t="shared" si="0"/>
        <v>401.8</v>
      </c>
      <c r="I21" s="13">
        <f t="shared" si="1"/>
        <v>-0.28039050919706238</v>
      </c>
      <c r="K21" t="s">
        <v>10</v>
      </c>
      <c r="L21" s="13">
        <f t="shared" si="2"/>
        <v>480.09999999999991</v>
      </c>
      <c r="M21" s="13">
        <f t="array" ref="M21">_xlfn.STDEV.S(IF(A$11:A$430=K21,C$11:C$430))</f>
        <v>114.45712785863157</v>
      </c>
      <c r="O21" s="12">
        <f>STANDARDIZE(C21,L$21,M$21)</f>
        <v>-1.3935348805624559</v>
      </c>
      <c r="P21" s="12">
        <v>1981.8333333268599</v>
      </c>
      <c r="R21">
        <v>-1.47</v>
      </c>
      <c r="S21">
        <v>-0.309</v>
      </c>
      <c r="T21">
        <v>-1.2989999999999999</v>
      </c>
      <c r="U21">
        <v>-1.87</v>
      </c>
      <c r="V21">
        <f t="shared" si="3"/>
        <v>-1.2370000000000001</v>
      </c>
    </row>
    <row r="22" spans="1:22" x14ac:dyDescent="0.3">
      <c r="A22" t="s">
        <v>11</v>
      </c>
      <c r="B22">
        <v>1981</v>
      </c>
      <c r="C22">
        <v>341.9</v>
      </c>
      <c r="D22" s="12">
        <v>1981.91666666022</v>
      </c>
      <c r="F22">
        <v>2004</v>
      </c>
      <c r="G22" s="13">
        <f t="shared" si="0"/>
        <v>370.7833333333333</v>
      </c>
      <c r="I22" s="13">
        <f t="shared" si="1"/>
        <v>-0.13729383180657231</v>
      </c>
      <c r="K22" t="s">
        <v>11</v>
      </c>
      <c r="L22" s="13">
        <f t="shared" si="2"/>
        <v>486.85428571428577</v>
      </c>
      <c r="M22" s="13">
        <f t="array" ref="M22">_xlfn.STDEV.S(IF(A$11:A$430=K22,C$11:C$430))</f>
        <v>137.04712015528497</v>
      </c>
      <c r="O22" s="12">
        <f>STANDARDIZE(C22,L$22,M$22)</f>
        <v>-1.0576966925685223</v>
      </c>
      <c r="P22" s="12">
        <v>1981.91666666022</v>
      </c>
      <c r="R22">
        <v>-2.488</v>
      </c>
      <c r="S22">
        <v>-1.4330000000000001</v>
      </c>
      <c r="T22">
        <v>-2.0219999999999998</v>
      </c>
      <c r="U22">
        <v>-2.8279999999999998</v>
      </c>
      <c r="V22">
        <f t="shared" si="3"/>
        <v>-2.1927499999999998</v>
      </c>
    </row>
    <row r="23" spans="1:22" x14ac:dyDescent="0.3">
      <c r="A23" t="s">
        <v>0</v>
      </c>
      <c r="B23">
        <v>1982</v>
      </c>
      <c r="C23">
        <v>297.8</v>
      </c>
      <c r="D23" s="12">
        <v>1981.9999999935801</v>
      </c>
      <c r="F23">
        <v>2003</v>
      </c>
      <c r="G23" s="13">
        <f t="shared" si="0"/>
        <v>377.73636363636365</v>
      </c>
      <c r="I23" s="13">
        <f t="shared" si="1"/>
        <v>-0.43356441738970003</v>
      </c>
      <c r="O23" s="12">
        <f>STANDARDIZE(C23,L$11,M$11)</f>
        <v>-0.52229808163394065</v>
      </c>
      <c r="P23" s="12">
        <v>1981.9999999935801</v>
      </c>
      <c r="R23">
        <v>-2.2400000000000002</v>
      </c>
      <c r="S23">
        <v>-1.6779999999999999</v>
      </c>
      <c r="T23">
        <v>-2.081</v>
      </c>
      <c r="U23">
        <v>-2.8290000000000002</v>
      </c>
      <c r="V23">
        <f t="shared" si="3"/>
        <v>-2.2070000000000003</v>
      </c>
    </row>
    <row r="24" spans="1:22" x14ac:dyDescent="0.3">
      <c r="A24" t="s">
        <v>1</v>
      </c>
      <c r="B24">
        <v>1982</v>
      </c>
      <c r="C24">
        <v>188.5</v>
      </c>
      <c r="D24" s="12">
        <v>1982.08333332694</v>
      </c>
      <c r="F24">
        <v>2002</v>
      </c>
      <c r="G24" s="13">
        <f t="shared" si="0"/>
        <v>361.55833333333334</v>
      </c>
      <c r="I24" s="13">
        <f t="shared" si="1"/>
        <v>-1.1678586351728268</v>
      </c>
      <c r="O24" s="12">
        <f>STANDARDIZE(C24,L$12,M$12)</f>
        <v>-0.44006402607114797</v>
      </c>
      <c r="P24" s="12">
        <v>1982.08333332694</v>
      </c>
      <c r="R24">
        <v>-2.2160000000000002</v>
      </c>
      <c r="S24">
        <v>-1.5880000000000001</v>
      </c>
      <c r="T24">
        <v>-2.11</v>
      </c>
      <c r="U24">
        <v>-2.8119999999999998</v>
      </c>
      <c r="V24">
        <f t="shared" si="3"/>
        <v>-2.1814999999999998</v>
      </c>
    </row>
    <row r="25" spans="1:22" x14ac:dyDescent="0.3">
      <c r="A25" t="s">
        <v>2</v>
      </c>
      <c r="B25">
        <v>1982</v>
      </c>
      <c r="C25">
        <v>120.9</v>
      </c>
      <c r="D25" s="12">
        <v>1982.1666666603001</v>
      </c>
      <c r="F25">
        <v>2001</v>
      </c>
      <c r="G25" s="13">
        <f t="shared" si="0"/>
        <v>284.85000000000002</v>
      </c>
      <c r="I25" s="13">
        <f t="shared" si="1"/>
        <v>-1.6220058366562611</v>
      </c>
      <c r="O25" s="12">
        <f>STANDARDIZE(C25,L$13,M$13)</f>
        <v>-0.85146377856494282</v>
      </c>
      <c r="P25" s="12">
        <v>1982.1666666603001</v>
      </c>
      <c r="R25">
        <v>-2.1659999999999999</v>
      </c>
      <c r="S25">
        <v>-1.522</v>
      </c>
      <c r="T25">
        <v>-2.06</v>
      </c>
      <c r="U25">
        <v>-2.8029999999999999</v>
      </c>
      <c r="V25">
        <f t="shared" si="3"/>
        <v>-2.1377499999999996</v>
      </c>
    </row>
    <row r="26" spans="1:22" x14ac:dyDescent="0.3">
      <c r="A26" t="s">
        <v>3</v>
      </c>
      <c r="B26">
        <v>1982</v>
      </c>
      <c r="C26">
        <v>149.6</v>
      </c>
      <c r="D26" s="12">
        <v>1982.2499999936599</v>
      </c>
      <c r="F26">
        <v>2000</v>
      </c>
      <c r="G26" s="13">
        <f t="shared" si="0"/>
        <v>511.77499999999992</v>
      </c>
      <c r="I26" s="13">
        <f t="shared" si="1"/>
        <v>-1.4291948206418446</v>
      </c>
      <c r="O26" s="12">
        <f>STANDARDIZE(C26,L$14,M$14)</f>
        <v>-0.80810556817344292</v>
      </c>
      <c r="P26" s="12">
        <v>1982.2499999936599</v>
      </c>
      <c r="R26">
        <v>-2.1720000000000002</v>
      </c>
      <c r="S26">
        <v>-1.427</v>
      </c>
      <c r="T26">
        <v>-2.0870000000000002</v>
      </c>
      <c r="U26">
        <v>-2.84</v>
      </c>
      <c r="V26">
        <f t="shared" si="3"/>
        <v>-2.1315</v>
      </c>
    </row>
    <row r="27" spans="1:22" x14ac:dyDescent="0.3">
      <c r="A27" t="s">
        <v>4</v>
      </c>
      <c r="B27">
        <v>1982</v>
      </c>
      <c r="C27">
        <v>242.5</v>
      </c>
      <c r="D27" s="12">
        <v>1982.33333332702</v>
      </c>
      <c r="F27">
        <v>1999</v>
      </c>
      <c r="G27" s="13">
        <f t="shared" si="0"/>
        <v>537.83333333333326</v>
      </c>
      <c r="I27" s="13">
        <f t="shared" si="1"/>
        <v>-0.80507832629552722</v>
      </c>
      <c r="O27" s="12">
        <f>STANDARDIZE(C27,L$15,M$15)</f>
        <v>-0.77483633543832442</v>
      </c>
      <c r="P27" s="12">
        <v>1982.33333332702</v>
      </c>
      <c r="R27">
        <v>-1.609</v>
      </c>
      <c r="S27">
        <v>-0.94899999999999995</v>
      </c>
      <c r="T27">
        <v>-2.1579999999999999</v>
      </c>
      <c r="U27">
        <v>-2.4300000000000002</v>
      </c>
      <c r="V27">
        <f t="shared" si="3"/>
        <v>-1.7864999999999998</v>
      </c>
    </row>
    <row r="28" spans="1:22" x14ac:dyDescent="0.3">
      <c r="A28" t="s">
        <v>5</v>
      </c>
      <c r="B28">
        <v>1982</v>
      </c>
      <c r="C28">
        <v>352.6</v>
      </c>
      <c r="D28" s="12">
        <v>1982.4166666603801</v>
      </c>
      <c r="F28">
        <v>1998</v>
      </c>
      <c r="G28" s="13">
        <f t="shared" si="0"/>
        <v>358.3416666666667</v>
      </c>
      <c r="I28" s="13">
        <f t="shared" si="1"/>
        <v>-6.5409585417921912E-2</v>
      </c>
      <c r="O28" s="12">
        <f>STANDARDIZE(C28,L$16,M$16)</f>
        <v>-0.37426358880312055</v>
      </c>
      <c r="P28" s="12">
        <v>1982.4166666603801</v>
      </c>
      <c r="R28">
        <v>-0.97599999999999998</v>
      </c>
      <c r="S28">
        <v>-0.68400000000000005</v>
      </c>
      <c r="T28">
        <v>-1.9059999999999999</v>
      </c>
      <c r="U28">
        <v>-1.546</v>
      </c>
      <c r="V28">
        <f t="shared" si="3"/>
        <v>-1.278</v>
      </c>
    </row>
    <row r="29" spans="1:22" x14ac:dyDescent="0.3">
      <c r="A29" t="s">
        <v>6</v>
      </c>
      <c r="B29">
        <v>1982</v>
      </c>
      <c r="C29">
        <v>348.8</v>
      </c>
      <c r="D29" s="12">
        <v>1982.4999999937399</v>
      </c>
      <c r="F29">
        <v>1997</v>
      </c>
      <c r="G29" s="13">
        <f t="shared" si="0"/>
        <v>214.61666666666667</v>
      </c>
      <c r="I29" s="13">
        <f t="shared" si="1"/>
        <v>-9.0938570116694914E-2</v>
      </c>
      <c r="O29" s="12">
        <f>STANDARDIZE(C29,L$17,M$17)</f>
        <v>-0.3867193775087559</v>
      </c>
      <c r="P29" s="12">
        <v>1982.4999999937399</v>
      </c>
      <c r="R29">
        <v>-0.51500000000000001</v>
      </c>
      <c r="S29">
        <v>-0.40799999999999997</v>
      </c>
      <c r="T29">
        <v>-1.9</v>
      </c>
      <c r="U29">
        <v>-1.1739999999999999</v>
      </c>
      <c r="V29">
        <f t="shared" si="3"/>
        <v>-0.99924999999999997</v>
      </c>
    </row>
    <row r="30" spans="1:22" x14ac:dyDescent="0.3">
      <c r="A30" t="s">
        <v>7</v>
      </c>
      <c r="B30">
        <v>1982</v>
      </c>
      <c r="C30">
        <v>220.8</v>
      </c>
      <c r="D30" s="12">
        <v>1982.5833333271</v>
      </c>
      <c r="F30">
        <v>1996</v>
      </c>
      <c r="G30" s="13">
        <f t="shared" si="0"/>
        <v>407.42500000000001</v>
      </c>
      <c r="I30" s="13">
        <f t="shared" si="1"/>
        <v>-0.95086226523325679</v>
      </c>
      <c r="O30" s="12">
        <f>STANDARDIZE(C30,L$18,M$18)</f>
        <v>-1.2256692688634347</v>
      </c>
      <c r="P30" s="12">
        <v>1982.5833333271</v>
      </c>
      <c r="R30">
        <v>-0.40799999999999997</v>
      </c>
      <c r="S30">
        <v>-5.0999999999999997E-2</v>
      </c>
      <c r="T30">
        <v>-1.8540000000000001</v>
      </c>
      <c r="U30">
        <v>-1.4279999999999999</v>
      </c>
      <c r="V30">
        <f t="shared" si="3"/>
        <v>-0.93525000000000003</v>
      </c>
    </row>
    <row r="31" spans="1:22" x14ac:dyDescent="0.3">
      <c r="A31" t="s">
        <v>8</v>
      </c>
      <c r="B31">
        <v>1982</v>
      </c>
      <c r="C31">
        <v>170.1</v>
      </c>
      <c r="D31" s="12">
        <v>1982.6666666604599</v>
      </c>
      <c r="F31">
        <v>1995</v>
      </c>
      <c r="G31" s="13">
        <f t="shared" si="0"/>
        <v>391.52499999999992</v>
      </c>
      <c r="I31" s="13">
        <f t="shared" si="1"/>
        <v>-1.2914726663458327</v>
      </c>
      <c r="O31" s="12">
        <f>STANDARDIZE(C31,L$19,M$19)</f>
        <v>-1.6811021443553007</v>
      </c>
      <c r="P31" s="12">
        <v>1982.6666666604599</v>
      </c>
      <c r="R31">
        <v>-0.83799999999999997</v>
      </c>
      <c r="S31">
        <v>0.187</v>
      </c>
      <c r="T31">
        <v>-1.704</v>
      </c>
      <c r="U31">
        <v>-1.5529999999999999</v>
      </c>
      <c r="V31">
        <f t="shared" si="3"/>
        <v>-0.97699999999999998</v>
      </c>
    </row>
    <row r="32" spans="1:22" x14ac:dyDescent="0.3">
      <c r="A32" t="s">
        <v>9</v>
      </c>
      <c r="B32">
        <v>1982</v>
      </c>
      <c r="C32">
        <v>221</v>
      </c>
      <c r="D32" s="12">
        <v>1982.74999999382</v>
      </c>
      <c r="F32">
        <v>1994</v>
      </c>
      <c r="G32" s="13">
        <f t="shared" si="0"/>
        <v>384.99999999999994</v>
      </c>
      <c r="I32" s="13">
        <f t="shared" si="1"/>
        <v>-0.94951863445963725</v>
      </c>
      <c r="O32" s="12">
        <f>STANDARDIZE(C32,L$20,M$20)</f>
        <v>-1.7207203494175924</v>
      </c>
      <c r="P32" s="12">
        <v>1982.74999999382</v>
      </c>
      <c r="R32">
        <v>-2.048</v>
      </c>
      <c r="S32">
        <v>-7.9000000000000001E-2</v>
      </c>
      <c r="T32">
        <v>-1.536</v>
      </c>
      <c r="U32">
        <v>-1.47</v>
      </c>
      <c r="V32">
        <f t="shared" si="3"/>
        <v>-1.28325</v>
      </c>
    </row>
    <row r="33" spans="1:22" x14ac:dyDescent="0.3">
      <c r="A33" t="s">
        <v>10</v>
      </c>
      <c r="B33">
        <v>1982</v>
      </c>
      <c r="C33">
        <v>299.5</v>
      </c>
      <c r="D33" s="12">
        <v>1982.8333333271801</v>
      </c>
      <c r="F33">
        <v>1993</v>
      </c>
      <c r="G33" s="13">
        <f t="shared" si="0"/>
        <v>324.16666666666663</v>
      </c>
      <c r="I33" s="13">
        <f t="shared" si="1"/>
        <v>-0.42214355581393331</v>
      </c>
      <c r="O33" s="12">
        <f>STANDARDIZE(C33,L$21,M$21)</f>
        <v>-1.5778833820036338</v>
      </c>
      <c r="P33" s="12">
        <v>1982.8333333271801</v>
      </c>
      <c r="R33">
        <v>-2.5760000000000001</v>
      </c>
      <c r="S33">
        <v>-0.183</v>
      </c>
      <c r="T33">
        <v>-1.6819999999999999</v>
      </c>
      <c r="U33">
        <v>-1.609</v>
      </c>
      <c r="V33">
        <f t="shared" si="3"/>
        <v>-1.5125</v>
      </c>
    </row>
    <row r="34" spans="1:22" x14ac:dyDescent="0.3">
      <c r="A34" t="s">
        <v>11</v>
      </c>
      <c r="B34">
        <v>1982</v>
      </c>
      <c r="C34">
        <v>264.39999999999998</v>
      </c>
      <c r="D34" s="12">
        <v>1982.9166666605399</v>
      </c>
      <c r="F34">
        <v>1992</v>
      </c>
      <c r="G34" s="13">
        <f t="shared" si="0"/>
        <v>248.8416666666667</v>
      </c>
      <c r="I34" s="13">
        <f t="shared" si="1"/>
        <v>-0.65795075658417812</v>
      </c>
      <c r="O34" s="12">
        <f>STANDARDIZE(C34,L$22,M$22)</f>
        <v>-1.6231956239739143</v>
      </c>
      <c r="P34" s="12">
        <v>1982.9166666605399</v>
      </c>
      <c r="R34">
        <v>-2.12</v>
      </c>
      <c r="S34">
        <v>-0.69199999999999995</v>
      </c>
      <c r="T34">
        <v>-2.3759999999999999</v>
      </c>
      <c r="U34">
        <v>-1.8620000000000001</v>
      </c>
      <c r="V34">
        <f t="shared" si="3"/>
        <v>-1.7625000000000002</v>
      </c>
    </row>
    <row r="35" spans="1:22" x14ac:dyDescent="0.3">
      <c r="A35" t="s">
        <v>0</v>
      </c>
      <c r="B35">
        <v>1983</v>
      </c>
      <c r="C35">
        <v>84.92</v>
      </c>
      <c r="D35" s="12">
        <v>1982.9999999939</v>
      </c>
      <c r="F35">
        <v>1991</v>
      </c>
      <c r="G35" s="13">
        <f t="shared" si="0"/>
        <v>242.79999999999998</v>
      </c>
      <c r="I35" s="13">
        <f t="shared" si="1"/>
        <v>-1.8637250128304321</v>
      </c>
      <c r="O35" s="12">
        <f>STANDARDIZE(C35,L$11,M$11)</f>
        <v>-1.9523168029302849</v>
      </c>
      <c r="P35" s="12">
        <v>1982.9999999939</v>
      </c>
      <c r="R35">
        <v>-1.641</v>
      </c>
      <c r="S35">
        <v>-1.149</v>
      </c>
      <c r="T35">
        <v>-1.748</v>
      </c>
      <c r="U35">
        <v>-1.7310000000000001</v>
      </c>
      <c r="V35">
        <f t="shared" si="3"/>
        <v>-1.56725</v>
      </c>
    </row>
    <row r="36" spans="1:22" x14ac:dyDescent="0.3">
      <c r="A36" t="s">
        <v>1</v>
      </c>
      <c r="B36">
        <v>1983</v>
      </c>
      <c r="C36">
        <v>40.630000000000003</v>
      </c>
      <c r="D36" s="12">
        <v>1983.0833333272601</v>
      </c>
      <c r="F36">
        <v>1990</v>
      </c>
      <c r="G36" s="13">
        <f t="shared" si="0"/>
        <v>316.10833333333335</v>
      </c>
      <c r="I36" s="13">
        <f t="shared" si="1"/>
        <v>-2.1612720476484988</v>
      </c>
      <c r="O36" s="12">
        <f>STANDARDIZE(C36,L$12,M$12)</f>
        <v>-1.6299473190837923</v>
      </c>
      <c r="P36" s="12">
        <v>1983.0833333272601</v>
      </c>
      <c r="R36">
        <v>-1.6739999999999999</v>
      </c>
      <c r="S36">
        <v>-1.1539999999999999</v>
      </c>
      <c r="T36">
        <v>-1.744</v>
      </c>
      <c r="U36">
        <v>-1.62</v>
      </c>
      <c r="V36">
        <f t="shared" si="3"/>
        <v>-1.548</v>
      </c>
    </row>
    <row r="37" spans="1:22" x14ac:dyDescent="0.3">
      <c r="A37" t="s">
        <v>2</v>
      </c>
      <c r="B37">
        <v>1983</v>
      </c>
      <c r="C37">
        <v>39.31</v>
      </c>
      <c r="D37" s="12">
        <v>1983.16666666062</v>
      </c>
      <c r="F37">
        <v>1989</v>
      </c>
      <c r="G37" s="13">
        <f t="shared" si="0"/>
        <v>369.30833333333334</v>
      </c>
      <c r="I37" s="13">
        <f t="shared" si="1"/>
        <v>-2.1701400107543884</v>
      </c>
      <c r="O37" s="12">
        <f>STANDARDIZE(C37,L$13,M$13)</f>
        <v>-1.7107967134506039</v>
      </c>
      <c r="P37" s="12">
        <v>1983.16666666062</v>
      </c>
      <c r="R37">
        <v>-1.5620000000000001</v>
      </c>
      <c r="S37">
        <v>-1.2509999999999999</v>
      </c>
      <c r="T37">
        <v>-1.5269999999999999</v>
      </c>
      <c r="U37">
        <v>-1.335</v>
      </c>
      <c r="V37">
        <f t="shared" si="3"/>
        <v>-1.41875</v>
      </c>
    </row>
    <row r="38" spans="1:22" x14ac:dyDescent="0.3">
      <c r="A38" t="s">
        <v>3</v>
      </c>
      <c r="B38">
        <v>1983</v>
      </c>
      <c r="C38">
        <v>62.67</v>
      </c>
      <c r="D38" s="12">
        <v>1983.2499999939801</v>
      </c>
      <c r="F38">
        <v>1988</v>
      </c>
      <c r="G38" s="13">
        <f t="shared" si="0"/>
        <v>437.18333333333339</v>
      </c>
      <c r="I38" s="13">
        <f t="shared" si="1"/>
        <v>-2.0132039363956156</v>
      </c>
      <c r="O38" s="12">
        <f>STANDARDIZE(C38,L$14,M$14)</f>
        <v>-1.6240932211522894</v>
      </c>
      <c r="P38" s="12">
        <v>1983.2499999939801</v>
      </c>
      <c r="R38">
        <v>-1.29</v>
      </c>
      <c r="S38">
        <v>-1.224</v>
      </c>
      <c r="T38">
        <v>-1.196</v>
      </c>
      <c r="U38">
        <v>-1.097</v>
      </c>
      <c r="V38">
        <f t="shared" si="3"/>
        <v>-1.2017500000000001</v>
      </c>
    </row>
    <row r="39" spans="1:22" x14ac:dyDescent="0.3">
      <c r="A39" t="s">
        <v>4</v>
      </c>
      <c r="B39">
        <v>1983</v>
      </c>
      <c r="C39">
        <v>81.27</v>
      </c>
      <c r="D39" s="12">
        <v>1983.3333333273399</v>
      </c>
      <c r="F39">
        <v>1987</v>
      </c>
      <c r="G39" s="13">
        <f t="shared" si="0"/>
        <v>312.54166666666669</v>
      </c>
      <c r="I39" s="13">
        <f t="shared" si="1"/>
        <v>-1.8882462744489905</v>
      </c>
      <c r="O39" s="12">
        <f>STANDARDIZE(C39,L$15,M$15)</f>
        <v>-2.2311658959839069</v>
      </c>
      <c r="P39" s="12">
        <v>1983.3333333273399</v>
      </c>
      <c r="R39">
        <v>-1.3919999999999999</v>
      </c>
      <c r="S39">
        <v>-0.93600000000000005</v>
      </c>
      <c r="T39">
        <v>-1.129</v>
      </c>
      <c r="U39">
        <v>-1.1759999999999999</v>
      </c>
      <c r="V39">
        <f t="shared" si="3"/>
        <v>-1.15825</v>
      </c>
    </row>
    <row r="40" spans="1:22" x14ac:dyDescent="0.3">
      <c r="A40" t="s">
        <v>5</v>
      </c>
      <c r="B40">
        <v>1983</v>
      </c>
      <c r="C40">
        <v>104.4</v>
      </c>
      <c r="D40" s="12">
        <v>1983.4166666607</v>
      </c>
      <c r="F40">
        <v>1986</v>
      </c>
      <c r="G40" s="13">
        <f t="shared" si="0"/>
        <v>317.27500000000003</v>
      </c>
      <c r="I40" s="13">
        <f t="shared" si="1"/>
        <v>-1.7328553754798801</v>
      </c>
      <c r="O40" s="12">
        <f>STANDARDIZE(C40,L$16,M$16)</f>
        <v>-2.5976293796344923</v>
      </c>
      <c r="P40" s="12">
        <v>1983.4166666607</v>
      </c>
      <c r="R40">
        <v>-1.7470000000000001</v>
      </c>
      <c r="S40">
        <v>-0.503</v>
      </c>
      <c r="T40">
        <v>-1.1950000000000001</v>
      </c>
      <c r="U40">
        <v>-1.1459999999999999</v>
      </c>
      <c r="V40">
        <f t="shared" si="3"/>
        <v>-1.14775</v>
      </c>
    </row>
    <row r="41" spans="1:22" x14ac:dyDescent="0.3">
      <c r="A41" t="s">
        <v>6</v>
      </c>
      <c r="B41">
        <v>1983</v>
      </c>
      <c r="C41">
        <v>141.80000000000001</v>
      </c>
      <c r="D41" s="12">
        <v>1983.4999999940601</v>
      </c>
      <c r="F41">
        <v>1985</v>
      </c>
      <c r="G41" s="13">
        <f t="shared" si="0"/>
        <v>304.03333333333336</v>
      </c>
      <c r="I41" s="13">
        <f t="shared" si="1"/>
        <v>-1.4815964208130099</v>
      </c>
      <c r="O41" s="12">
        <f>STANDARDIZE(C41,L$17,M$17)</f>
        <v>-2.0429124909750556</v>
      </c>
      <c r="P41" s="12">
        <v>1983.4999999940601</v>
      </c>
      <c r="R41">
        <v>-1.9630000000000001</v>
      </c>
      <c r="S41">
        <v>-0.32</v>
      </c>
      <c r="T41">
        <v>-1.355</v>
      </c>
      <c r="U41">
        <v>-1.621</v>
      </c>
      <c r="V41">
        <f t="shared" si="3"/>
        <v>-1.3147500000000001</v>
      </c>
    </row>
    <row r="42" spans="1:22" x14ac:dyDescent="0.3">
      <c r="A42" t="s">
        <v>7</v>
      </c>
      <c r="B42">
        <v>1983</v>
      </c>
      <c r="C42">
        <v>209.2</v>
      </c>
      <c r="D42" s="12">
        <v>1983.58333332742</v>
      </c>
      <c r="F42">
        <v>1984</v>
      </c>
      <c r="G42" s="13">
        <f t="shared" si="0"/>
        <v>362.58333333333331</v>
      </c>
      <c r="I42" s="13">
        <f t="shared" si="1"/>
        <v>-1.0287928501031953</v>
      </c>
      <c r="O42" s="12">
        <f>STANDARDIZE(C42,L$18,M$18)</f>
        <v>-1.3149559972215987</v>
      </c>
      <c r="P42" s="12">
        <v>1983.58333332742</v>
      </c>
      <c r="R42">
        <v>-2.278</v>
      </c>
      <c r="S42">
        <v>-0.46700000000000003</v>
      </c>
      <c r="T42">
        <v>-1.3740000000000001</v>
      </c>
      <c r="U42">
        <v>-2.3380000000000001</v>
      </c>
      <c r="V42">
        <f t="shared" si="3"/>
        <v>-1.61425</v>
      </c>
    </row>
    <row r="43" spans="1:22" x14ac:dyDescent="0.3">
      <c r="A43" t="s">
        <v>8</v>
      </c>
      <c r="B43">
        <v>1983</v>
      </c>
      <c r="C43">
        <v>224.2</v>
      </c>
      <c r="D43" s="12">
        <v>1983.66666666078</v>
      </c>
      <c r="F43">
        <v>1983</v>
      </c>
      <c r="G43" s="13">
        <f t="shared" si="0"/>
        <v>157.01666666666668</v>
      </c>
      <c r="I43" s="13">
        <f t="shared" si="1"/>
        <v>-0.92802054208172335</v>
      </c>
      <c r="O43" s="12">
        <f>STANDARDIZE(C43,L$19,M$19)</f>
        <v>-1.2645172403052607</v>
      </c>
      <c r="P43" s="12">
        <v>1983.66666666078</v>
      </c>
      <c r="R43">
        <v>-2.4169999999999998</v>
      </c>
      <c r="S43">
        <v>-0.69199999999999995</v>
      </c>
      <c r="T43">
        <v>-1.2110000000000001</v>
      </c>
      <c r="U43">
        <v>-2.4409999999999998</v>
      </c>
      <c r="V43">
        <f t="shared" si="3"/>
        <v>-1.69025</v>
      </c>
    </row>
    <row r="44" spans="1:22" x14ac:dyDescent="0.3">
      <c r="A44" t="s">
        <v>9</v>
      </c>
      <c r="B44">
        <v>1983</v>
      </c>
      <c r="C44">
        <v>272.2</v>
      </c>
      <c r="D44" s="12">
        <v>1983.7499999941399</v>
      </c>
      <c r="F44">
        <v>1982</v>
      </c>
      <c r="G44" s="13">
        <f t="shared" si="0"/>
        <v>239.70833333333334</v>
      </c>
      <c r="I44" s="13">
        <f t="shared" si="1"/>
        <v>-0.60554915641301255</v>
      </c>
      <c r="O44" s="12">
        <f>STANDARDIZE(C44,L$20,M$20)</f>
        <v>-1.29844612162921</v>
      </c>
      <c r="P44" s="12">
        <v>1983.7499999941399</v>
      </c>
      <c r="R44">
        <v>-2.0979999999999999</v>
      </c>
      <c r="S44">
        <v>-1.093</v>
      </c>
      <c r="T44">
        <v>-1.208</v>
      </c>
      <c r="U44">
        <v>-2.4889999999999999</v>
      </c>
      <c r="V44">
        <f t="shared" si="3"/>
        <v>-1.722</v>
      </c>
    </row>
    <row r="45" spans="1:22" x14ac:dyDescent="0.3">
      <c r="A45" t="s">
        <v>10</v>
      </c>
      <c r="B45">
        <v>1983</v>
      </c>
      <c r="C45">
        <v>313.10000000000002</v>
      </c>
      <c r="D45" s="12">
        <v>1983.8333333275</v>
      </c>
      <c r="F45">
        <v>1981</v>
      </c>
      <c r="G45" s="13">
        <f t="shared" si="0"/>
        <v>256.24583333333334</v>
      </c>
      <c r="I45" s="13">
        <f t="shared" si="1"/>
        <v>-0.33077666320779842</v>
      </c>
      <c r="O45" s="12">
        <f>STANDARDIZE(C45,L$21,M$21)</f>
        <v>-1.4590615990842015</v>
      </c>
      <c r="P45" s="12">
        <v>1983.8333333275</v>
      </c>
      <c r="R45">
        <v>-1.899</v>
      </c>
      <c r="S45">
        <v>-0.99099999999999999</v>
      </c>
      <c r="T45">
        <v>-0.84699999999999998</v>
      </c>
      <c r="U45">
        <v>-3.1469999999999998</v>
      </c>
      <c r="V45">
        <f t="shared" si="3"/>
        <v>-1.7210000000000001</v>
      </c>
    </row>
    <row r="46" spans="1:22" x14ac:dyDescent="0.3">
      <c r="A46" t="s">
        <v>11</v>
      </c>
      <c r="B46">
        <v>1983</v>
      </c>
      <c r="C46">
        <v>310.5</v>
      </c>
      <c r="D46" s="12">
        <v>1983.9166666608601</v>
      </c>
      <c r="I46" s="13">
        <f t="shared" si="1"/>
        <v>-0.34824386326485374</v>
      </c>
      <c r="O46" s="12">
        <f>STANDARDIZE(C46,L$22,M$22)</f>
        <v>-1.2868149692927713</v>
      </c>
      <c r="P46" s="12">
        <v>1983.9166666608601</v>
      </c>
      <c r="R46">
        <v>-1.4870000000000001</v>
      </c>
      <c r="S46">
        <v>-1.417</v>
      </c>
      <c r="T46">
        <v>-0.68400000000000005</v>
      </c>
      <c r="U46">
        <v>-3.028</v>
      </c>
      <c r="V46">
        <f t="shared" si="3"/>
        <v>-1.6539999999999999</v>
      </c>
    </row>
    <row r="47" spans="1:22" x14ac:dyDescent="0.3">
      <c r="A47" t="s">
        <v>0</v>
      </c>
      <c r="B47">
        <v>1984</v>
      </c>
      <c r="C47">
        <v>347.1</v>
      </c>
      <c r="D47" s="12">
        <v>1983.9999999942199</v>
      </c>
      <c r="I47" s="13">
        <f t="shared" si="1"/>
        <v>-0.10235943169246167</v>
      </c>
      <c r="O47" s="12">
        <f>STANDARDIZE(C47,L$11,M$11)</f>
        <v>-0.1911259519838571</v>
      </c>
      <c r="P47" s="12">
        <v>1983.9999999942199</v>
      </c>
      <c r="R47">
        <v>-1.256</v>
      </c>
      <c r="S47">
        <v>-1.6539999999999999</v>
      </c>
      <c r="T47">
        <v>-0.69199999999999995</v>
      </c>
      <c r="U47">
        <v>-2.4769999999999999</v>
      </c>
      <c r="V47">
        <f t="shared" si="3"/>
        <v>-1.5197500000000002</v>
      </c>
    </row>
    <row r="48" spans="1:22" x14ac:dyDescent="0.3">
      <c r="A48" t="s">
        <v>1</v>
      </c>
      <c r="B48">
        <v>1984</v>
      </c>
      <c r="C48">
        <v>223.7</v>
      </c>
      <c r="D48" s="12">
        <v>1984.08333332758</v>
      </c>
      <c r="I48" s="13">
        <f t="shared" si="1"/>
        <v>-0.93137961901577238</v>
      </c>
      <c r="O48" s="12">
        <f>STANDARDIZE(C48,L$12,M$12)</f>
        <v>-0.15681595740241819</v>
      </c>
      <c r="P48" s="12">
        <v>1984.08333332758</v>
      </c>
      <c r="R48">
        <v>-1.105</v>
      </c>
      <c r="S48">
        <v>-1.704</v>
      </c>
      <c r="T48">
        <v>-0.59</v>
      </c>
      <c r="U48">
        <v>-2.3380000000000001</v>
      </c>
      <c r="V48">
        <f t="shared" si="3"/>
        <v>-1.43425</v>
      </c>
    </row>
    <row r="49" spans="1:22" x14ac:dyDescent="0.3">
      <c r="A49" t="s">
        <v>2</v>
      </c>
      <c r="B49">
        <v>1984</v>
      </c>
      <c r="C49">
        <v>173.2</v>
      </c>
      <c r="D49" s="12">
        <v>1984.1666666609401</v>
      </c>
      <c r="I49" s="13">
        <f t="shared" si="1"/>
        <v>-1.2706463893547284</v>
      </c>
      <c r="O49" s="12">
        <f>STANDARDIZE(C49,L$13,M$13)</f>
        <v>-0.30062283611464163</v>
      </c>
      <c r="P49" s="12">
        <v>1984.1666666609401</v>
      </c>
      <c r="R49">
        <v>-0.81499999999999995</v>
      </c>
      <c r="S49">
        <v>-1.718</v>
      </c>
      <c r="T49">
        <v>-0.52400000000000002</v>
      </c>
      <c r="U49">
        <v>-1.9890000000000001</v>
      </c>
      <c r="V49">
        <f t="shared" si="3"/>
        <v>-1.2615000000000001</v>
      </c>
    </row>
    <row r="50" spans="1:22" x14ac:dyDescent="0.3">
      <c r="A50" t="s">
        <v>3</v>
      </c>
      <c r="B50">
        <v>1984</v>
      </c>
      <c r="C50">
        <v>131.1</v>
      </c>
      <c r="D50" s="12">
        <v>1984.2499999943</v>
      </c>
      <c r="I50" s="13">
        <f t="shared" si="1"/>
        <v>-1.5534806672016601</v>
      </c>
      <c r="O50" s="12">
        <f>STANDARDIZE(C50,L$14,M$14)</f>
        <v>-0.98175990591770446</v>
      </c>
      <c r="P50" s="12">
        <v>1984.2499999943</v>
      </c>
      <c r="R50">
        <v>-0.46200000000000002</v>
      </c>
      <c r="S50">
        <v>-1.42</v>
      </c>
      <c r="T50">
        <v>-0.48499999999999999</v>
      </c>
      <c r="U50">
        <v>-1.698</v>
      </c>
      <c r="V50">
        <f t="shared" si="3"/>
        <v>-1.0162499999999999</v>
      </c>
    </row>
    <row r="51" spans="1:22" x14ac:dyDescent="0.3">
      <c r="A51" t="s">
        <v>4</v>
      </c>
      <c r="B51">
        <v>1984</v>
      </c>
      <c r="C51">
        <v>219.3</v>
      </c>
      <c r="D51" s="12">
        <v>1984.3333333276601</v>
      </c>
      <c r="I51" s="13">
        <f t="shared" si="1"/>
        <v>-0.96093949603540407</v>
      </c>
      <c r="O51" s="12">
        <f>STANDARDIZE(C51,L$15,M$15)</f>
        <v>-0.98439315367722224</v>
      </c>
      <c r="P51" s="12">
        <v>1984.3333333276601</v>
      </c>
      <c r="R51">
        <v>-0.151</v>
      </c>
      <c r="S51">
        <v>-1.2689999999999999</v>
      </c>
      <c r="T51">
        <v>-0.45400000000000001</v>
      </c>
      <c r="U51">
        <v>-1.173</v>
      </c>
      <c r="V51">
        <f t="shared" si="3"/>
        <v>-0.76174999999999993</v>
      </c>
    </row>
    <row r="52" spans="1:22" x14ac:dyDescent="0.3">
      <c r="A52" t="s">
        <v>5</v>
      </c>
      <c r="B52">
        <v>1984</v>
      </c>
      <c r="C52">
        <v>321.7</v>
      </c>
      <c r="D52" s="12">
        <v>1984.4166666610199</v>
      </c>
      <c r="I52" s="13">
        <f t="shared" si="1"/>
        <v>-0.27300053994215467</v>
      </c>
      <c r="O52" s="12">
        <f>STANDARDIZE(C52,L$16,M$16)</f>
        <v>-0.65106456759719578</v>
      </c>
      <c r="P52" s="12">
        <v>1984.4166666610199</v>
      </c>
      <c r="R52">
        <v>-0.62</v>
      </c>
      <c r="S52">
        <v>-1.1579999999999999</v>
      </c>
      <c r="T52">
        <v>-0.25700000000000001</v>
      </c>
      <c r="U52">
        <v>-0.27800000000000002</v>
      </c>
      <c r="V52">
        <f t="shared" si="3"/>
        <v>-0.57825000000000004</v>
      </c>
    </row>
    <row r="53" spans="1:22" x14ac:dyDescent="0.3">
      <c r="A53" t="s">
        <v>6</v>
      </c>
      <c r="B53">
        <v>1984</v>
      </c>
      <c r="C53">
        <v>390.4</v>
      </c>
      <c r="D53" s="12">
        <v>1984.49999999438</v>
      </c>
      <c r="I53" s="13">
        <f t="shared" si="1"/>
        <v>0.18853663079618749</v>
      </c>
      <c r="O53" s="12">
        <f>STANDARDIZE(C53,L$17,M$17)</f>
        <v>-5.3880568232437025E-2</v>
      </c>
      <c r="P53" s="12">
        <v>1984.49999999438</v>
      </c>
      <c r="R53">
        <v>-0.80300000000000005</v>
      </c>
      <c r="S53">
        <v>-0.94699999999999995</v>
      </c>
      <c r="T53">
        <v>4.9000000000000002E-2</v>
      </c>
      <c r="U53">
        <v>9.2999999999999999E-2</v>
      </c>
      <c r="V53">
        <f t="shared" si="3"/>
        <v>-0.40200000000000002</v>
      </c>
    </row>
    <row r="54" spans="1:22" x14ac:dyDescent="0.3">
      <c r="A54" t="s">
        <v>7</v>
      </c>
      <c r="B54">
        <v>1984</v>
      </c>
      <c r="C54">
        <v>438.9</v>
      </c>
      <c r="D54" s="12">
        <v>1984.5833333277401</v>
      </c>
      <c r="I54" s="13">
        <f t="shared" si="1"/>
        <v>0.51436709339894726</v>
      </c>
      <c r="O54" s="12">
        <f>STANDARDIZE(C54,L$18,M$18)</f>
        <v>0.45307516690514565</v>
      </c>
      <c r="P54" s="12">
        <v>1984.5833333277401</v>
      </c>
      <c r="R54">
        <v>-0.47199999999999998</v>
      </c>
      <c r="S54">
        <v>-0.96299999999999997</v>
      </c>
      <c r="T54">
        <v>0.38500000000000001</v>
      </c>
      <c r="U54">
        <v>0.12</v>
      </c>
      <c r="V54">
        <f t="shared" si="3"/>
        <v>-0.23250000000000001</v>
      </c>
    </row>
    <row r="55" spans="1:22" x14ac:dyDescent="0.3">
      <c r="A55" t="s">
        <v>8</v>
      </c>
      <c r="B55">
        <v>1984</v>
      </c>
      <c r="C55">
        <v>426.4</v>
      </c>
      <c r="D55" s="12">
        <v>1984.6666666611</v>
      </c>
      <c r="I55" s="13">
        <f t="shared" si="1"/>
        <v>0.43039017004772051</v>
      </c>
      <c r="O55" s="12">
        <f>STANDARDIZE(C55,L$19,M$19)</f>
        <v>0.29247846392612753</v>
      </c>
      <c r="P55" s="12">
        <v>1984.6666666611</v>
      </c>
      <c r="R55">
        <v>0.184</v>
      </c>
      <c r="S55">
        <v>-0.81399999999999995</v>
      </c>
      <c r="T55">
        <v>0.503</v>
      </c>
      <c r="U55">
        <v>-0.95599999999999996</v>
      </c>
      <c r="V55">
        <f t="shared" si="3"/>
        <v>-0.27074999999999994</v>
      </c>
    </row>
    <row r="56" spans="1:22" x14ac:dyDescent="0.3">
      <c r="A56" t="s">
        <v>9</v>
      </c>
      <c r="B56">
        <v>1984</v>
      </c>
      <c r="C56">
        <v>474.2</v>
      </c>
      <c r="D56" s="12">
        <v>1984.74999999446</v>
      </c>
      <c r="I56" s="13">
        <f t="shared" si="1"/>
        <v>0.75151792494281167</v>
      </c>
      <c r="O56" s="12">
        <f>STANDARDIZE(C56,L$20,M$20)</f>
        <v>0.36755766769214243</v>
      </c>
      <c r="P56" s="12">
        <v>1984.74999999446</v>
      </c>
      <c r="R56">
        <v>0.57999999999999996</v>
      </c>
      <c r="S56">
        <v>-0.77100000000000002</v>
      </c>
      <c r="T56">
        <v>0.74</v>
      </c>
      <c r="U56">
        <v>-1.3280000000000001</v>
      </c>
      <c r="V56">
        <f t="shared" si="3"/>
        <v>-0.19475000000000003</v>
      </c>
    </row>
    <row r="57" spans="1:22" x14ac:dyDescent="0.3">
      <c r="A57" t="s">
        <v>10</v>
      </c>
      <c r="B57">
        <v>1984</v>
      </c>
      <c r="C57">
        <v>576</v>
      </c>
      <c r="D57" s="12">
        <v>1984.8333333278199</v>
      </c>
      <c r="I57" s="13">
        <f t="shared" si="1"/>
        <v>1.4354259887152023</v>
      </c>
      <c r="O57" s="12">
        <f>STANDARDIZE(C57,L$21,M$21)</f>
        <v>0.83786830749805485</v>
      </c>
      <c r="P57" s="12">
        <v>1984.8333333278199</v>
      </c>
      <c r="R57">
        <v>0.34599999999999997</v>
      </c>
      <c r="S57">
        <v>-0.69699999999999995</v>
      </c>
      <c r="T57">
        <v>1.034</v>
      </c>
      <c r="U57">
        <v>-1.395</v>
      </c>
      <c r="V57">
        <f t="shared" si="3"/>
        <v>-0.17799999999999999</v>
      </c>
    </row>
    <row r="58" spans="1:22" x14ac:dyDescent="0.3">
      <c r="A58" t="s">
        <v>11</v>
      </c>
      <c r="B58">
        <v>1984</v>
      </c>
      <c r="C58">
        <v>629</v>
      </c>
      <c r="D58" s="12">
        <v>1984.91666666118</v>
      </c>
      <c r="I58" s="13">
        <f t="shared" si="1"/>
        <v>1.7914881437244039</v>
      </c>
      <c r="O58" s="12">
        <f>STANDARDIZE(C58,L$22,M$22)</f>
        <v>1.0372032197732588</v>
      </c>
      <c r="P58" s="12">
        <v>1984.91666666118</v>
      </c>
      <c r="R58">
        <v>-0.61099999999999999</v>
      </c>
      <c r="S58">
        <v>-1.4259999999999999</v>
      </c>
      <c r="T58">
        <v>0.82899999999999996</v>
      </c>
      <c r="U58">
        <v>-1.036</v>
      </c>
      <c r="V58">
        <f t="shared" si="3"/>
        <v>-0.56099999999999994</v>
      </c>
    </row>
    <row r="59" spans="1:22" x14ac:dyDescent="0.3">
      <c r="A59" t="s">
        <v>0</v>
      </c>
      <c r="B59">
        <v>1985</v>
      </c>
      <c r="C59">
        <v>435.8</v>
      </c>
      <c r="D59" s="12">
        <v>1984.9999999945401</v>
      </c>
      <c r="I59" s="13">
        <f t="shared" si="1"/>
        <v>0.49354081640784325</v>
      </c>
      <c r="O59" s="12">
        <f>STANDARDIZE(C59,L$11,M$11)</f>
        <v>0.40471518188961958</v>
      </c>
      <c r="P59" s="12">
        <v>1984.9999999945401</v>
      </c>
      <c r="R59">
        <v>-0.94899999999999995</v>
      </c>
      <c r="S59">
        <v>-1.625</v>
      </c>
      <c r="T59">
        <v>0.32100000000000001</v>
      </c>
      <c r="U59">
        <v>-0.91300000000000003</v>
      </c>
      <c r="V59">
        <f t="shared" si="3"/>
        <v>-0.79149999999999987</v>
      </c>
    </row>
    <row r="60" spans="1:22" x14ac:dyDescent="0.3">
      <c r="A60" t="s">
        <v>1</v>
      </c>
      <c r="B60">
        <v>1985</v>
      </c>
      <c r="C60">
        <v>227.1</v>
      </c>
      <c r="D60" s="12">
        <v>1985.0833333278999</v>
      </c>
      <c r="I60" s="13">
        <f t="shared" si="1"/>
        <v>-0.90853789586423861</v>
      </c>
      <c r="O60" s="12">
        <f>STANDARDIZE(C60,L$12,M$12)</f>
        <v>-0.12945676895146127</v>
      </c>
      <c r="P60" s="12">
        <v>1985.0833333278999</v>
      </c>
      <c r="R60">
        <v>-0.67700000000000005</v>
      </c>
      <c r="S60">
        <v>-1.5329999999999999</v>
      </c>
      <c r="T60">
        <v>5.3999999999999999E-2</v>
      </c>
      <c r="U60">
        <v>-0.78200000000000003</v>
      </c>
      <c r="V60">
        <f t="shared" si="3"/>
        <v>-0.73450000000000004</v>
      </c>
    </row>
    <row r="61" spans="1:22" x14ac:dyDescent="0.3">
      <c r="A61" t="s">
        <v>2</v>
      </c>
      <c r="B61">
        <v>1985</v>
      </c>
      <c r="C61">
        <v>142.1</v>
      </c>
      <c r="D61" s="12">
        <v>1985.16666666126</v>
      </c>
      <c r="I61" s="13">
        <f t="shared" si="1"/>
        <v>-1.4795809746525805</v>
      </c>
      <c r="O61" s="12">
        <f>STANDARDIZE(C61,L$13,M$13)</f>
        <v>-0.62817834873805212</v>
      </c>
      <c r="P61" s="12">
        <v>1985.16666666126</v>
      </c>
      <c r="R61">
        <v>-0.443</v>
      </c>
      <c r="S61">
        <v>-1.351</v>
      </c>
      <c r="T61">
        <v>0.111</v>
      </c>
      <c r="U61">
        <v>-0.81200000000000006</v>
      </c>
      <c r="V61">
        <f t="shared" si="3"/>
        <v>-0.62375000000000003</v>
      </c>
    </row>
    <row r="62" spans="1:22" x14ac:dyDescent="0.3">
      <c r="A62" t="s">
        <v>3</v>
      </c>
      <c r="B62">
        <v>1985</v>
      </c>
      <c r="C62">
        <v>165.8</v>
      </c>
      <c r="D62" s="12">
        <v>1985.2499999946201</v>
      </c>
      <c r="I62" s="13">
        <f t="shared" si="1"/>
        <v>-1.3203607279786544</v>
      </c>
      <c r="O62" s="12">
        <f>STANDARDIZE(C62,L$14,M$14)</f>
        <v>-0.65604068863522447</v>
      </c>
      <c r="P62" s="12">
        <v>1985.2499999946201</v>
      </c>
      <c r="R62">
        <v>-0.20899999999999999</v>
      </c>
      <c r="S62">
        <v>-1.1100000000000001</v>
      </c>
      <c r="T62">
        <v>-0.10299999999999999</v>
      </c>
      <c r="U62">
        <v>-0.82099999999999995</v>
      </c>
      <c r="V62">
        <f t="shared" si="3"/>
        <v>-0.56075000000000008</v>
      </c>
    </row>
    <row r="63" spans="1:22" x14ac:dyDescent="0.3">
      <c r="A63" t="s">
        <v>4</v>
      </c>
      <c r="B63">
        <v>1985</v>
      </c>
      <c r="C63">
        <v>227.4</v>
      </c>
      <c r="D63" s="12">
        <v>1985.33333332798</v>
      </c>
      <c r="I63" s="13">
        <f t="shared" si="1"/>
        <v>-0.90652244970380913</v>
      </c>
      <c r="O63" s="12">
        <f>STANDARDIZE(C63,L$15,M$15)</f>
        <v>-0.91122891972312425</v>
      </c>
      <c r="P63" s="12">
        <v>1985.33333332798</v>
      </c>
      <c r="R63">
        <v>-3.9E-2</v>
      </c>
      <c r="S63">
        <v>-0.97799999999999998</v>
      </c>
      <c r="T63">
        <v>-0.40799999999999997</v>
      </c>
      <c r="U63">
        <v>-0.98299999999999998</v>
      </c>
      <c r="V63">
        <f t="shared" si="3"/>
        <v>-0.60199999999999998</v>
      </c>
    </row>
    <row r="64" spans="1:22" x14ac:dyDescent="0.3">
      <c r="A64" t="s">
        <v>5</v>
      </c>
      <c r="B64">
        <v>1985</v>
      </c>
      <c r="C64">
        <v>280.2</v>
      </c>
      <c r="D64" s="12">
        <v>1985.4166666613401</v>
      </c>
      <c r="I64" s="13">
        <f t="shared" si="1"/>
        <v>-0.55180392546822743</v>
      </c>
      <c r="O64" s="12">
        <f>STANDARDIZE(C64,L$16,M$16)</f>
        <v>-1.0228199274662606</v>
      </c>
      <c r="P64" s="12">
        <v>1985.4166666613401</v>
      </c>
      <c r="R64">
        <v>-0.127</v>
      </c>
      <c r="S64">
        <v>-0.77700000000000002</v>
      </c>
      <c r="T64">
        <v>-0.441</v>
      </c>
      <c r="U64">
        <v>-0.84699999999999998</v>
      </c>
      <c r="V64">
        <f t="shared" si="3"/>
        <v>-0.54800000000000004</v>
      </c>
    </row>
    <row r="65" spans="1:22" x14ac:dyDescent="0.3">
      <c r="A65" t="s">
        <v>6</v>
      </c>
      <c r="B65">
        <v>1985</v>
      </c>
      <c r="C65">
        <v>214.8</v>
      </c>
      <c r="D65" s="12">
        <v>1985.4999999946999</v>
      </c>
      <c r="I65" s="13">
        <f t="shared" si="1"/>
        <v>-0.99117118844184571</v>
      </c>
      <c r="O65" s="12">
        <f>STANDARDIZE(C65,L$17,M$17)</f>
        <v>-1.4588443881584376</v>
      </c>
      <c r="P65" s="12">
        <v>1985.4999999946999</v>
      </c>
      <c r="R65">
        <v>-1.1100000000000001</v>
      </c>
      <c r="S65">
        <v>-0.50600000000000001</v>
      </c>
      <c r="T65">
        <v>-0.499</v>
      </c>
      <c r="U65">
        <v>-0.89400000000000002</v>
      </c>
      <c r="V65">
        <f t="shared" si="3"/>
        <v>-0.75225000000000009</v>
      </c>
    </row>
    <row r="66" spans="1:22" x14ac:dyDescent="0.3">
      <c r="A66" t="s">
        <v>7</v>
      </c>
      <c r="B66">
        <v>1985</v>
      </c>
      <c r="C66">
        <v>265.8</v>
      </c>
      <c r="D66" s="12">
        <v>1985.58333332806</v>
      </c>
      <c r="I66" s="13">
        <f t="shared" si="1"/>
        <v>-0.64854534116884055</v>
      </c>
      <c r="O66" s="12">
        <f>STANDARDIZE(C66,L$18,M$18)</f>
        <v>-0.87929833988779904</v>
      </c>
      <c r="P66" s="12">
        <v>1985.58333332806</v>
      </c>
      <c r="R66">
        <v>-1.4530000000000001</v>
      </c>
      <c r="S66">
        <v>-0.497</v>
      </c>
      <c r="T66">
        <v>-0.47399999999999998</v>
      </c>
      <c r="U66">
        <v>-1.046</v>
      </c>
      <c r="V66">
        <f t="shared" si="3"/>
        <v>-0.86750000000000016</v>
      </c>
    </row>
    <row r="67" spans="1:22" x14ac:dyDescent="0.3">
      <c r="A67" t="s">
        <v>8</v>
      </c>
      <c r="B67">
        <v>1985</v>
      </c>
      <c r="C67">
        <v>345.3</v>
      </c>
      <c r="D67" s="12">
        <v>1985.6666666614201</v>
      </c>
      <c r="I67" s="13">
        <f t="shared" si="1"/>
        <v>-0.11445210865503841</v>
      </c>
      <c r="O67" s="12">
        <f>STANDARDIZE(C67,L$19,M$19)</f>
        <v>-0.33201387837439444</v>
      </c>
      <c r="P67" s="12">
        <v>1985.6666666614201</v>
      </c>
      <c r="R67">
        <v>-1.5780000000000001</v>
      </c>
      <c r="S67">
        <v>-0.871</v>
      </c>
      <c r="T67">
        <v>-0.40600000000000003</v>
      </c>
      <c r="U67">
        <v>-1.071</v>
      </c>
      <c r="V67">
        <f t="shared" si="3"/>
        <v>-0.98150000000000004</v>
      </c>
    </row>
    <row r="68" spans="1:22" x14ac:dyDescent="0.3">
      <c r="A68" t="s">
        <v>9</v>
      </c>
      <c r="B68">
        <v>1985</v>
      </c>
      <c r="C68">
        <v>406.3</v>
      </c>
      <c r="D68" s="12">
        <v>1985.74999999478</v>
      </c>
      <c r="I68" s="13">
        <f t="shared" si="1"/>
        <v>0.29535527729894812</v>
      </c>
      <c r="O68" s="12">
        <f>STANDARDIZE(C68,L$20,M$20)</f>
        <v>-0.1924505367381536</v>
      </c>
      <c r="P68" s="12">
        <v>1985.74999999478</v>
      </c>
      <c r="R68">
        <v>-1.2769999999999999</v>
      </c>
      <c r="S68">
        <v>-1.238</v>
      </c>
      <c r="T68">
        <v>-0.22</v>
      </c>
      <c r="U68">
        <v>-0.995</v>
      </c>
      <c r="V68">
        <f t="shared" si="3"/>
        <v>-0.9325</v>
      </c>
    </row>
    <row r="69" spans="1:22" x14ac:dyDescent="0.3">
      <c r="A69" t="s">
        <v>10</v>
      </c>
      <c r="B69">
        <v>1985</v>
      </c>
      <c r="C69">
        <v>459.5</v>
      </c>
      <c r="D69" s="12">
        <v>1985.83333332814</v>
      </c>
      <c r="I69" s="13">
        <f t="shared" si="1"/>
        <v>0.65276106308176907</v>
      </c>
      <c r="O69" s="12">
        <f>STANDARDIZE(C69,L$21,M$21)</f>
        <v>-0.17998005353972718</v>
      </c>
      <c r="P69" s="12">
        <v>1985.83333332814</v>
      </c>
      <c r="R69">
        <v>-0.94499999999999995</v>
      </c>
      <c r="S69">
        <v>-1.444</v>
      </c>
      <c r="T69">
        <v>-0.32300000000000001</v>
      </c>
      <c r="U69">
        <v>-1.0609999999999999</v>
      </c>
      <c r="V69">
        <f t="shared" si="3"/>
        <v>-0.94324999999999992</v>
      </c>
    </row>
    <row r="70" spans="1:22" x14ac:dyDescent="0.3">
      <c r="A70" t="s">
        <v>11</v>
      </c>
      <c r="B70">
        <v>1985</v>
      </c>
      <c r="C70">
        <v>478.3</v>
      </c>
      <c r="D70" s="12">
        <v>1985.9166666614999</v>
      </c>
      <c r="I70" s="13">
        <f t="shared" si="1"/>
        <v>0.77906235580201422</v>
      </c>
      <c r="O70" s="12">
        <f>STANDARDIZE(C70,L$22,M$22)</f>
        <v>-6.2418573295032309E-2</v>
      </c>
      <c r="P70" s="12">
        <v>1985.9166666614999</v>
      </c>
      <c r="R70">
        <v>0.92900000000000005</v>
      </c>
      <c r="S70">
        <v>-0.72899999999999998</v>
      </c>
      <c r="T70">
        <v>-0.66800000000000004</v>
      </c>
      <c r="U70">
        <v>-7.3999999999999996E-2</v>
      </c>
      <c r="V70">
        <f t="shared" si="3"/>
        <v>-0.13549999999999998</v>
      </c>
    </row>
    <row r="71" spans="1:22" x14ac:dyDescent="0.3">
      <c r="A71" t="s">
        <v>0</v>
      </c>
      <c r="B71">
        <v>1986</v>
      </c>
      <c r="C71">
        <v>307.5</v>
      </c>
      <c r="D71" s="12">
        <v>1985.99999999486</v>
      </c>
      <c r="I71" s="13">
        <f t="shared" si="1"/>
        <v>-0.36839832486914814</v>
      </c>
      <c r="O71" s="12">
        <f>STANDARDIZE(C71,L$11,M$11)</f>
        <v>-0.45713845369061801</v>
      </c>
      <c r="P71" s="12">
        <v>1985.99999999486</v>
      </c>
      <c r="R71">
        <v>0.92100000000000004</v>
      </c>
      <c r="S71">
        <v>0.98099999999999998</v>
      </c>
      <c r="T71">
        <v>-0.35199999999999998</v>
      </c>
      <c r="U71">
        <v>0.13300000000000001</v>
      </c>
      <c r="V71">
        <f t="shared" si="3"/>
        <v>0.42075000000000007</v>
      </c>
    </row>
    <row r="72" spans="1:22" x14ac:dyDescent="0.3">
      <c r="A72" t="s">
        <v>1</v>
      </c>
      <c r="B72">
        <v>1986</v>
      </c>
      <c r="C72">
        <v>181.2</v>
      </c>
      <c r="D72" s="12">
        <v>1986.0833333282201</v>
      </c>
      <c r="I72" s="13">
        <f t="shared" si="1"/>
        <v>-1.2169011584099434</v>
      </c>
      <c r="O72" s="12">
        <f>STANDARDIZE(C72,L$12,M$12)</f>
        <v>-0.49880581303937893</v>
      </c>
      <c r="P72" s="12">
        <v>1986.0833333282201</v>
      </c>
      <c r="R72">
        <v>0.86499999999999999</v>
      </c>
      <c r="S72">
        <v>0.97199999999999998</v>
      </c>
      <c r="T72">
        <v>-0.17799999999999999</v>
      </c>
      <c r="U72">
        <v>4.2999999999999997E-2</v>
      </c>
      <c r="V72">
        <f t="shared" si="3"/>
        <v>0.42549999999999999</v>
      </c>
    </row>
    <row r="73" spans="1:22" x14ac:dyDescent="0.3">
      <c r="A73" t="s">
        <v>2</v>
      </c>
      <c r="B73">
        <v>1986</v>
      </c>
      <c r="C73">
        <v>192.4</v>
      </c>
      <c r="D73" s="12">
        <v>1986.1666666615799</v>
      </c>
      <c r="I73" s="13">
        <f t="shared" si="1"/>
        <v>-1.1416578350872439</v>
      </c>
      <c r="O73" s="12">
        <f>STANDARDIZE(C73,L$13,M$13)</f>
        <v>-9.8402069478966819E-2</v>
      </c>
      <c r="P73" s="12">
        <v>1986.1666666615799</v>
      </c>
      <c r="R73">
        <v>0.56299999999999994</v>
      </c>
      <c r="S73">
        <v>0.622</v>
      </c>
      <c r="T73">
        <v>-0.129</v>
      </c>
      <c r="U73">
        <v>-9.9000000000000005E-2</v>
      </c>
      <c r="V73">
        <f t="shared" si="3"/>
        <v>0.23925000000000002</v>
      </c>
    </row>
    <row r="74" spans="1:22" x14ac:dyDescent="0.3">
      <c r="A74" t="s">
        <v>3</v>
      </c>
      <c r="B74">
        <v>1986</v>
      </c>
      <c r="C74">
        <v>233.3</v>
      </c>
      <c r="D74" s="12">
        <v>1986.24999999494</v>
      </c>
      <c r="I74" s="13">
        <f t="shared" si="1"/>
        <v>-0.86688534188203004</v>
      </c>
      <c r="O74" s="12">
        <f>STANDARDIZE(C74,L$14,M$14)</f>
        <v>-2.2437023892648473E-2</v>
      </c>
      <c r="P74" s="12">
        <v>1986.24999999494</v>
      </c>
      <c r="R74">
        <v>0.153</v>
      </c>
      <c r="S74">
        <v>-0.126</v>
      </c>
      <c r="T74">
        <v>-0.155</v>
      </c>
      <c r="U74">
        <v>-0.59899999999999998</v>
      </c>
      <c r="V74">
        <f t="shared" si="3"/>
        <v>-0.18174999999999999</v>
      </c>
    </row>
    <row r="75" spans="1:22" x14ac:dyDescent="0.3">
      <c r="A75" t="s">
        <v>4</v>
      </c>
      <c r="B75">
        <v>1986</v>
      </c>
      <c r="C75">
        <v>326.8</v>
      </c>
      <c r="D75" s="12">
        <v>1986.3333333282999</v>
      </c>
      <c r="I75" s="13">
        <f t="shared" si="1"/>
        <v>-0.238737955214854</v>
      </c>
      <c r="O75" s="12">
        <f>STANDARDIZE(C75,L$15,M$15)</f>
        <v>-1.338634502715641E-2</v>
      </c>
      <c r="P75" s="12">
        <v>1986.3333333282999</v>
      </c>
      <c r="R75">
        <v>-0.433</v>
      </c>
      <c r="S75">
        <v>-0.76100000000000001</v>
      </c>
      <c r="T75">
        <v>-0.54</v>
      </c>
      <c r="U75">
        <v>-1.1930000000000001</v>
      </c>
      <c r="V75">
        <f t="shared" si="3"/>
        <v>-0.73175000000000001</v>
      </c>
    </row>
    <row r="76" spans="1:22" x14ac:dyDescent="0.3">
      <c r="A76" t="s">
        <v>5</v>
      </c>
      <c r="B76">
        <v>1986</v>
      </c>
      <c r="C76">
        <v>386.4</v>
      </c>
      <c r="D76" s="12">
        <v>1986.41666666166</v>
      </c>
      <c r="I76" s="13">
        <f t="shared" ref="I76:I139" si="4">STANDARDIZE(C76,C$8,C$9)</f>
        <v>0.16166401532379493</v>
      </c>
      <c r="O76" s="12">
        <f>STANDARDIZE(C76,L$16,M$16)</f>
        <v>-7.1484524620605394E-2</v>
      </c>
      <c r="P76" s="12">
        <v>1986.41666666166</v>
      </c>
      <c r="R76">
        <v>-0.85599999999999998</v>
      </c>
      <c r="S76">
        <v>-1.1639999999999999</v>
      </c>
      <c r="T76">
        <v>-0.69399999999999995</v>
      </c>
      <c r="U76">
        <v>-1.27</v>
      </c>
      <c r="V76">
        <f t="shared" ref="V76:V139" si="5">AVERAGE(R76:U76)</f>
        <v>-0.996</v>
      </c>
    </row>
    <row r="77" spans="1:22" x14ac:dyDescent="0.3">
      <c r="A77" t="s">
        <v>6</v>
      </c>
      <c r="B77">
        <v>1986</v>
      </c>
      <c r="C77">
        <v>389.3</v>
      </c>
      <c r="D77" s="12">
        <v>1986.4999999950201</v>
      </c>
      <c r="I77" s="13">
        <f t="shared" si="4"/>
        <v>0.18114666154127976</v>
      </c>
      <c r="O77" s="12">
        <f>STANDARDIZE(C77,L$17,M$17)</f>
        <v>-6.2681594439262495E-2</v>
      </c>
      <c r="P77" s="12">
        <v>1986.4999999950201</v>
      </c>
      <c r="R77">
        <v>-1.3260000000000001</v>
      </c>
      <c r="S77">
        <v>-1.353</v>
      </c>
      <c r="T77">
        <v>-0.36799999999999999</v>
      </c>
      <c r="U77">
        <v>-1.514</v>
      </c>
      <c r="V77">
        <f t="shared" si="5"/>
        <v>-1.14025</v>
      </c>
    </row>
    <row r="78" spans="1:22" x14ac:dyDescent="0.3">
      <c r="A78" t="s">
        <v>7</v>
      </c>
      <c r="B78">
        <v>1986</v>
      </c>
      <c r="C78">
        <v>270.3</v>
      </c>
      <c r="D78" s="12">
        <v>1986.5833333283799</v>
      </c>
      <c r="I78" s="13">
        <f t="shared" si="4"/>
        <v>-0.61831364876239892</v>
      </c>
      <c r="O78" s="12">
        <f>STANDARDIZE(C78,L$18,M$18)</f>
        <v>-0.84466124699023548</v>
      </c>
      <c r="P78" s="12">
        <v>1986.5833333283799</v>
      </c>
      <c r="R78">
        <v>-1.113</v>
      </c>
      <c r="S78">
        <v>-1.4350000000000001</v>
      </c>
      <c r="T78">
        <v>-0.20599999999999999</v>
      </c>
      <c r="U78">
        <v>-1.762</v>
      </c>
      <c r="V78">
        <f t="shared" si="5"/>
        <v>-1.129</v>
      </c>
    </row>
    <row r="79" spans="1:22" x14ac:dyDescent="0.3">
      <c r="A79" t="s">
        <v>8</v>
      </c>
      <c r="B79">
        <v>1986</v>
      </c>
      <c r="C79">
        <v>245.5</v>
      </c>
      <c r="D79" s="12">
        <v>1986.66666666174</v>
      </c>
      <c r="I79" s="13">
        <f t="shared" si="4"/>
        <v>-0.78492386469123288</v>
      </c>
      <c r="O79" s="12">
        <f>STANDARDIZE(C79,L$19,M$19)</f>
        <v>-1.1005013723521024</v>
      </c>
      <c r="P79" s="12">
        <v>1986.66666666174</v>
      </c>
      <c r="R79">
        <v>-1.5169999999999999</v>
      </c>
      <c r="S79">
        <v>-1.5609999999999999</v>
      </c>
      <c r="T79">
        <v>0.11600000000000001</v>
      </c>
      <c r="U79">
        <v>-1.696</v>
      </c>
      <c r="V79">
        <f t="shared" si="5"/>
        <v>-1.1644999999999999</v>
      </c>
    </row>
    <row r="80" spans="1:22" x14ac:dyDescent="0.3">
      <c r="A80" t="s">
        <v>9</v>
      </c>
      <c r="B80">
        <v>1986</v>
      </c>
      <c r="C80">
        <v>337.8</v>
      </c>
      <c r="D80" s="12">
        <v>1986.7499999951001</v>
      </c>
      <c r="I80" s="13">
        <f t="shared" si="4"/>
        <v>-0.16483826266577445</v>
      </c>
      <c r="O80" s="12">
        <f>STANDARDIZE(C80,L$20,M$20)</f>
        <v>-0.75740726727534491</v>
      </c>
      <c r="P80" s="12">
        <v>1986.7499999951001</v>
      </c>
      <c r="R80">
        <v>-1.4610000000000001</v>
      </c>
      <c r="S80">
        <v>-1.3180000000000001</v>
      </c>
      <c r="T80">
        <v>0.48299999999999998</v>
      </c>
      <c r="U80">
        <v>-1.913</v>
      </c>
      <c r="V80">
        <f t="shared" si="5"/>
        <v>-1.0522499999999999</v>
      </c>
    </row>
    <row r="81" spans="1:22" x14ac:dyDescent="0.3">
      <c r="A81" t="s">
        <v>10</v>
      </c>
      <c r="B81">
        <v>1986</v>
      </c>
      <c r="C81">
        <v>460.5</v>
      </c>
      <c r="D81" s="12">
        <v>1986.83333332846</v>
      </c>
      <c r="I81" s="13">
        <f t="shared" si="4"/>
        <v>0.65947921694986722</v>
      </c>
      <c r="O81" s="12">
        <f>STANDARDIZE(C81,L$21,M$21)</f>
        <v>-0.17124315773682777</v>
      </c>
      <c r="P81" s="12">
        <v>1986.83333332846</v>
      </c>
      <c r="R81">
        <v>-1.484</v>
      </c>
      <c r="S81">
        <v>-1.448</v>
      </c>
      <c r="T81">
        <v>0.18</v>
      </c>
      <c r="U81">
        <v>-1.6579999999999999</v>
      </c>
      <c r="V81">
        <f t="shared" si="5"/>
        <v>-1.1025</v>
      </c>
    </row>
    <row r="82" spans="1:22" x14ac:dyDescent="0.3">
      <c r="A82" t="s">
        <v>11</v>
      </c>
      <c r="B82">
        <v>1986</v>
      </c>
      <c r="C82">
        <v>476.3</v>
      </c>
      <c r="D82" s="12">
        <v>1986.91666666182</v>
      </c>
      <c r="I82" s="13">
        <f t="shared" si="4"/>
        <v>0.76562604806581791</v>
      </c>
      <c r="O82" s="12">
        <f>STANDARDIZE(C82,L$22,M$22)</f>
        <v>-7.7012094105494033E-2</v>
      </c>
      <c r="P82" s="12">
        <v>1986.91666666182</v>
      </c>
      <c r="R82">
        <v>-1.1859999999999999</v>
      </c>
      <c r="S82">
        <v>-1.909</v>
      </c>
      <c r="T82">
        <v>-0.19500000000000001</v>
      </c>
      <c r="U82">
        <v>-1.236</v>
      </c>
      <c r="V82">
        <f t="shared" si="5"/>
        <v>-1.1315</v>
      </c>
    </row>
    <row r="83" spans="1:22" x14ac:dyDescent="0.3">
      <c r="A83" t="s">
        <v>0</v>
      </c>
      <c r="B83">
        <v>1987</v>
      </c>
      <c r="C83">
        <v>254.4</v>
      </c>
      <c r="D83" s="12">
        <v>1986.9999999951799</v>
      </c>
      <c r="I83" s="13">
        <f t="shared" si="4"/>
        <v>-0.72513229526515932</v>
      </c>
      <c r="O83" s="12">
        <f>STANDARDIZE(C83,L$11,M$11)</f>
        <v>-0.81383703552468356</v>
      </c>
      <c r="P83" s="12">
        <v>1986.9999999951799</v>
      </c>
      <c r="R83">
        <v>-1.008</v>
      </c>
      <c r="S83">
        <v>-1.82</v>
      </c>
      <c r="T83">
        <v>-0.64300000000000002</v>
      </c>
      <c r="U83">
        <v>-1.1850000000000001</v>
      </c>
      <c r="V83">
        <f t="shared" si="5"/>
        <v>-1.1640000000000001</v>
      </c>
    </row>
    <row r="84" spans="1:22" x14ac:dyDescent="0.3">
      <c r="A84" t="s">
        <v>1</v>
      </c>
      <c r="B84">
        <v>1987</v>
      </c>
      <c r="C84">
        <v>105.7</v>
      </c>
      <c r="D84" s="12">
        <v>1987.08333332854</v>
      </c>
      <c r="I84" s="13">
        <f t="shared" si="4"/>
        <v>-1.7241217754513529</v>
      </c>
      <c r="O84" s="12">
        <f>STANDARDIZE(C84,L$12,M$12)</f>
        <v>-1.1063407330532737</v>
      </c>
      <c r="P84" s="12">
        <v>1987.08333332854</v>
      </c>
      <c r="R84">
        <v>-1.111</v>
      </c>
      <c r="S84">
        <v>-1.6910000000000001</v>
      </c>
      <c r="T84">
        <v>-0.65</v>
      </c>
      <c r="U84">
        <v>-0.999</v>
      </c>
      <c r="V84">
        <f t="shared" si="5"/>
        <v>-1.1127499999999999</v>
      </c>
    </row>
    <row r="85" spans="1:22" x14ac:dyDescent="0.3">
      <c r="A85" t="s">
        <v>2</v>
      </c>
      <c r="B85">
        <v>1987</v>
      </c>
      <c r="C85">
        <v>79</v>
      </c>
      <c r="D85" s="12">
        <v>1987.1666666619001</v>
      </c>
      <c r="I85" s="13">
        <f t="shared" si="4"/>
        <v>-1.9034964837295731</v>
      </c>
      <c r="O85" s="12">
        <f>STANDARDIZE(C85,L$13,M$13)</f>
        <v>-1.2927684724209203</v>
      </c>
      <c r="P85" s="12">
        <v>1987.1666666619001</v>
      </c>
      <c r="R85">
        <v>-0.80300000000000005</v>
      </c>
      <c r="S85">
        <v>-1.411</v>
      </c>
      <c r="T85">
        <v>-0.71</v>
      </c>
      <c r="U85">
        <v>-1.1850000000000001</v>
      </c>
      <c r="V85">
        <f t="shared" si="5"/>
        <v>-1.02725</v>
      </c>
    </row>
    <row r="86" spans="1:22" x14ac:dyDescent="0.3">
      <c r="A86" t="s">
        <v>3</v>
      </c>
      <c r="B86">
        <v>1987</v>
      </c>
      <c r="C86">
        <v>118.8</v>
      </c>
      <c r="D86" s="12">
        <v>1987.2499999952599</v>
      </c>
      <c r="I86" s="13">
        <f t="shared" si="4"/>
        <v>-1.6361139597792671</v>
      </c>
      <c r="O86" s="12">
        <f>STANDARDIZE(C86,L$14,M$14)</f>
        <v>-1.0972165737152406</v>
      </c>
      <c r="P86" s="12">
        <v>1987.2499999952599</v>
      </c>
      <c r="R86">
        <v>-0.75700000000000001</v>
      </c>
      <c r="S86">
        <v>-1.292</v>
      </c>
      <c r="T86">
        <v>-0.75700000000000001</v>
      </c>
      <c r="U86">
        <v>-1.038</v>
      </c>
      <c r="V86">
        <f t="shared" si="5"/>
        <v>-0.96100000000000008</v>
      </c>
    </row>
    <row r="87" spans="1:22" x14ac:dyDescent="0.3">
      <c r="A87" t="s">
        <v>4</v>
      </c>
      <c r="B87">
        <v>1987</v>
      </c>
      <c r="C87">
        <v>247.8</v>
      </c>
      <c r="D87" s="12">
        <v>1987.33333332862</v>
      </c>
      <c r="I87" s="13">
        <f t="shared" si="4"/>
        <v>-0.76947211079460709</v>
      </c>
      <c r="O87" s="12">
        <f>STANDARDIZE(C87,L$15,M$15)</f>
        <v>-0.72696344161650706</v>
      </c>
      <c r="P87" s="12">
        <v>1987.33333332862</v>
      </c>
      <c r="R87">
        <v>-1.131</v>
      </c>
      <c r="S87">
        <v>-1.0740000000000001</v>
      </c>
      <c r="T87">
        <v>-0.80300000000000005</v>
      </c>
      <c r="U87">
        <v>-1.2010000000000001</v>
      </c>
      <c r="V87">
        <f t="shared" si="5"/>
        <v>-1.0522499999999999</v>
      </c>
    </row>
    <row r="88" spans="1:22" x14ac:dyDescent="0.3">
      <c r="A88" t="s">
        <v>5</v>
      </c>
      <c r="B88">
        <v>1987</v>
      </c>
      <c r="C88">
        <v>321.3</v>
      </c>
      <c r="D88" s="12">
        <v>1987.4166666619799</v>
      </c>
      <c r="I88" s="13">
        <f t="shared" si="4"/>
        <v>-0.27568780148939376</v>
      </c>
      <c r="O88" s="12">
        <f>STANDARDIZE(C88,L$16,M$16)</f>
        <v>-0.6546477517887046</v>
      </c>
      <c r="P88" s="12">
        <v>1987.4166666619799</v>
      </c>
      <c r="R88">
        <v>-1.5409999999999999</v>
      </c>
      <c r="S88">
        <v>-0.90600000000000003</v>
      </c>
      <c r="T88">
        <v>-0.86499999999999999</v>
      </c>
      <c r="U88">
        <v>-1.6970000000000001</v>
      </c>
      <c r="V88">
        <f t="shared" si="5"/>
        <v>-1.2522500000000001</v>
      </c>
    </row>
    <row r="89" spans="1:22" x14ac:dyDescent="0.3">
      <c r="A89" t="s">
        <v>6</v>
      </c>
      <c r="B89">
        <v>1987</v>
      </c>
      <c r="C89">
        <v>279.7</v>
      </c>
      <c r="D89" s="12">
        <v>1987.49999999534</v>
      </c>
      <c r="I89" s="13">
        <f t="shared" si="4"/>
        <v>-0.55516300240227656</v>
      </c>
      <c r="O89" s="12">
        <f>STANDARDIZE(C89,L$17,M$17)</f>
        <v>-0.93958384195571887</v>
      </c>
      <c r="P89" s="12">
        <v>1987.49999999534</v>
      </c>
      <c r="R89">
        <v>-1.4510000000000001</v>
      </c>
      <c r="S89">
        <v>-0.77</v>
      </c>
      <c r="T89">
        <v>-0.82399999999999995</v>
      </c>
      <c r="U89">
        <v>-1.88</v>
      </c>
      <c r="V89">
        <f t="shared" si="5"/>
        <v>-1.23125</v>
      </c>
    </row>
    <row r="90" spans="1:22" x14ac:dyDescent="0.3">
      <c r="A90" t="s">
        <v>7</v>
      </c>
      <c r="B90">
        <v>1987</v>
      </c>
      <c r="C90">
        <v>350.9</v>
      </c>
      <c r="D90" s="12">
        <v>1987.5833333287001</v>
      </c>
      <c r="I90" s="13">
        <f t="shared" si="4"/>
        <v>-7.6830446993689044E-2</v>
      </c>
      <c r="O90" s="12">
        <f>STANDARDIZE(C90,L$18,M$18)</f>
        <v>-0.2242724275360973</v>
      </c>
      <c r="P90" s="12">
        <v>1987.5833333287001</v>
      </c>
      <c r="R90">
        <v>-1.0629999999999999</v>
      </c>
      <c r="S90">
        <v>-0.95899999999999996</v>
      </c>
      <c r="T90">
        <v>-0.85</v>
      </c>
      <c r="U90">
        <v>-2.2269999999999999</v>
      </c>
      <c r="V90">
        <f t="shared" si="5"/>
        <v>-1.27475</v>
      </c>
    </row>
    <row r="91" spans="1:22" x14ac:dyDescent="0.3">
      <c r="A91" t="s">
        <v>8</v>
      </c>
      <c r="B91">
        <v>1987</v>
      </c>
      <c r="C91">
        <v>385.4</v>
      </c>
      <c r="D91" s="12">
        <v>1987.6666666620599</v>
      </c>
      <c r="I91" s="13">
        <f t="shared" si="4"/>
        <v>0.15494586145569678</v>
      </c>
      <c r="O91" s="12">
        <f>STANDARDIZE(C91,L$19,M$19)</f>
        <v>-2.3232831194974952E-2</v>
      </c>
      <c r="P91" s="12">
        <v>1987.6666666620599</v>
      </c>
      <c r="R91">
        <v>-1.0389999999999999</v>
      </c>
      <c r="S91">
        <v>-1.3919999999999999</v>
      </c>
      <c r="T91">
        <v>-0.41699999999999998</v>
      </c>
      <c r="U91">
        <v>-2.395</v>
      </c>
      <c r="V91">
        <f t="shared" si="5"/>
        <v>-1.3107500000000001</v>
      </c>
    </row>
    <row r="92" spans="1:22" x14ac:dyDescent="0.3">
      <c r="A92" t="s">
        <v>9</v>
      </c>
      <c r="B92">
        <v>1987</v>
      </c>
      <c r="C92">
        <v>456.9</v>
      </c>
      <c r="D92" s="12">
        <v>1987.74999999543</v>
      </c>
      <c r="I92" s="13">
        <f t="shared" si="4"/>
        <v>0.6352938630247138</v>
      </c>
      <c r="O92" s="12">
        <f>STANDARDIZE(C92,L$20,M$20)</f>
        <v>0.22487516494333343</v>
      </c>
      <c r="P92" s="12">
        <v>1987.74999999543</v>
      </c>
      <c r="R92">
        <v>-0.85199999999999998</v>
      </c>
      <c r="S92">
        <v>-1.4750000000000001</v>
      </c>
      <c r="T92">
        <v>-0.161</v>
      </c>
      <c r="U92">
        <v>-2.2429999999999999</v>
      </c>
      <c r="V92">
        <f t="shared" si="5"/>
        <v>-1.18275</v>
      </c>
    </row>
    <row r="93" spans="1:22" x14ac:dyDescent="0.3">
      <c r="A93" t="s">
        <v>10</v>
      </c>
      <c r="B93">
        <v>1987</v>
      </c>
      <c r="C93">
        <v>547.29999999999995</v>
      </c>
      <c r="D93" s="12">
        <v>1987.8333333287901</v>
      </c>
      <c r="I93" s="13">
        <f t="shared" si="4"/>
        <v>1.2426149727007856</v>
      </c>
      <c r="O93" s="12">
        <f>STANDARDIZE(C93,L$21,M$21)</f>
        <v>0.58711939795484114</v>
      </c>
      <c r="P93" s="12">
        <v>1987.8333333287901</v>
      </c>
      <c r="R93">
        <v>-0.63800000000000001</v>
      </c>
      <c r="S93">
        <v>-1.6579999999999999</v>
      </c>
      <c r="T93">
        <v>-0.312</v>
      </c>
      <c r="U93">
        <v>-1.5069999999999999</v>
      </c>
      <c r="V93">
        <f t="shared" si="5"/>
        <v>-1.0287499999999998</v>
      </c>
    </row>
    <row r="94" spans="1:22" x14ac:dyDescent="0.3">
      <c r="A94" t="s">
        <v>11</v>
      </c>
      <c r="B94">
        <v>1987</v>
      </c>
      <c r="C94">
        <v>603.29999999999995</v>
      </c>
      <c r="D94" s="12">
        <v>1987.91666666215</v>
      </c>
      <c r="I94" s="13">
        <f t="shared" si="4"/>
        <v>1.6188315893142813</v>
      </c>
      <c r="O94" s="12">
        <f>STANDARDIZE(C94,L$22,M$22)</f>
        <v>0.84967647735882523</v>
      </c>
      <c r="P94" s="12">
        <v>1987.91666666215</v>
      </c>
      <c r="R94">
        <v>-0.20599999999999999</v>
      </c>
      <c r="S94">
        <v>-1.1479999999999999</v>
      </c>
      <c r="T94">
        <v>-0.53700000000000003</v>
      </c>
      <c r="U94">
        <v>-0.92100000000000004</v>
      </c>
      <c r="V94">
        <f t="shared" si="5"/>
        <v>-0.70300000000000007</v>
      </c>
    </row>
    <row r="95" spans="1:22" x14ac:dyDescent="0.3">
      <c r="A95" t="s">
        <v>0</v>
      </c>
      <c r="B95">
        <v>1988</v>
      </c>
      <c r="C95">
        <v>438.4</v>
      </c>
      <c r="D95" s="12">
        <v>1987.9999999955101</v>
      </c>
      <c r="I95" s="13">
        <f t="shared" si="4"/>
        <v>0.51100801646489824</v>
      </c>
      <c r="O95" s="12">
        <f>STANDARDIZE(C95,L$11,M$11)</f>
        <v>0.42218064917339654</v>
      </c>
      <c r="P95" s="12">
        <v>1987.9999999955101</v>
      </c>
      <c r="R95">
        <v>-0.123</v>
      </c>
      <c r="S95">
        <v>-0.52900000000000003</v>
      </c>
      <c r="T95">
        <v>-0.28799999999999998</v>
      </c>
      <c r="U95">
        <v>-1.268</v>
      </c>
      <c r="V95">
        <f t="shared" si="5"/>
        <v>-0.55200000000000005</v>
      </c>
    </row>
    <row r="96" spans="1:22" x14ac:dyDescent="0.3">
      <c r="A96" t="s">
        <v>1</v>
      </c>
      <c r="B96">
        <v>1988</v>
      </c>
      <c r="C96">
        <v>192.3</v>
      </c>
      <c r="D96" s="12">
        <v>1988.0833333288699</v>
      </c>
      <c r="I96" s="13">
        <f t="shared" si="4"/>
        <v>-1.1423296504740539</v>
      </c>
      <c r="O96" s="12">
        <f>STANDARDIZE(C96,L$12,M$12)</f>
        <v>-0.40948610956713727</v>
      </c>
      <c r="P96" s="12">
        <v>1988.0833333288699</v>
      </c>
      <c r="R96">
        <v>-0.504</v>
      </c>
      <c r="S96">
        <v>-0.246</v>
      </c>
      <c r="T96">
        <v>0.188</v>
      </c>
      <c r="U96">
        <v>-0.94899999999999995</v>
      </c>
      <c r="V96">
        <f t="shared" si="5"/>
        <v>-0.37775000000000003</v>
      </c>
    </row>
    <row r="97" spans="1:22" x14ac:dyDescent="0.3">
      <c r="A97" t="s">
        <v>2</v>
      </c>
      <c r="B97">
        <v>1988</v>
      </c>
      <c r="C97">
        <v>123.6</v>
      </c>
      <c r="D97" s="12">
        <v>1988.16666666223</v>
      </c>
      <c r="I97" s="13">
        <f t="shared" si="4"/>
        <v>-1.6038668212123961</v>
      </c>
      <c r="O97" s="12">
        <f>STANDARDIZE(C97,L$13,M$13)</f>
        <v>-0.82302648325680117</v>
      </c>
      <c r="P97" s="12">
        <v>1988.16666666223</v>
      </c>
      <c r="R97">
        <v>-0.86399999999999999</v>
      </c>
      <c r="S97">
        <v>4.5999999999999999E-2</v>
      </c>
      <c r="T97">
        <v>0.56999999999999995</v>
      </c>
      <c r="U97">
        <v>-0.77600000000000002</v>
      </c>
      <c r="V97">
        <f t="shared" si="5"/>
        <v>-0.25600000000000001</v>
      </c>
    </row>
    <row r="98" spans="1:22" x14ac:dyDescent="0.3">
      <c r="A98" t="s">
        <v>3</v>
      </c>
      <c r="B98">
        <v>1988</v>
      </c>
      <c r="C98">
        <v>175</v>
      </c>
      <c r="D98" s="12">
        <v>1988.2499999955901</v>
      </c>
      <c r="I98" s="13">
        <f t="shared" si="4"/>
        <v>-1.2585537123921517</v>
      </c>
      <c r="O98" s="12">
        <f>STANDARDIZE(C98,L$14,M$14)</f>
        <v>-0.56968285581105127</v>
      </c>
      <c r="P98" s="12">
        <v>1988.2499999955901</v>
      </c>
      <c r="R98">
        <v>-1.3440000000000001</v>
      </c>
      <c r="S98">
        <v>-0.17199999999999999</v>
      </c>
      <c r="T98">
        <v>0.503</v>
      </c>
      <c r="U98">
        <v>-0.67300000000000004</v>
      </c>
      <c r="V98">
        <f t="shared" si="5"/>
        <v>-0.42149999999999999</v>
      </c>
    </row>
    <row r="99" spans="1:22" x14ac:dyDescent="0.3">
      <c r="A99" t="s">
        <v>4</v>
      </c>
      <c r="B99">
        <v>1988</v>
      </c>
      <c r="C99">
        <v>286.3</v>
      </c>
      <c r="D99" s="12">
        <v>1988.3333333289499</v>
      </c>
      <c r="I99" s="13">
        <f t="shared" si="4"/>
        <v>-0.51082318687282868</v>
      </c>
      <c r="O99" s="12">
        <f>STANDARDIZE(C99,L$15,M$15)</f>
        <v>-0.37920751479764631</v>
      </c>
      <c r="P99" s="12">
        <v>1988.3333333289499</v>
      </c>
      <c r="R99">
        <v>-0.98799999999999999</v>
      </c>
      <c r="S99">
        <v>-0.46600000000000003</v>
      </c>
      <c r="T99">
        <v>0.33600000000000002</v>
      </c>
      <c r="U99">
        <v>-1.2490000000000001</v>
      </c>
      <c r="V99">
        <f t="shared" si="5"/>
        <v>-0.59175</v>
      </c>
    </row>
    <row r="100" spans="1:22" x14ac:dyDescent="0.3">
      <c r="A100" t="s">
        <v>5</v>
      </c>
      <c r="B100">
        <v>1988</v>
      </c>
      <c r="C100">
        <v>347</v>
      </c>
      <c r="D100" s="12">
        <v>1988.41666666231</v>
      </c>
      <c r="I100" s="13">
        <f t="shared" si="4"/>
        <v>-0.10303124707927164</v>
      </c>
      <c r="O100" s="12">
        <f>STANDARDIZE(C100,L$16,M$16)</f>
        <v>-0.42442816748424761</v>
      </c>
      <c r="P100" s="12">
        <v>1988.41666666231</v>
      </c>
      <c r="R100">
        <v>-0.107</v>
      </c>
      <c r="S100">
        <v>-0.97599999999999998</v>
      </c>
      <c r="T100">
        <v>-0.26600000000000001</v>
      </c>
      <c r="U100">
        <v>-1.8560000000000001</v>
      </c>
      <c r="V100">
        <f t="shared" si="5"/>
        <v>-0.80125000000000002</v>
      </c>
    </row>
    <row r="101" spans="1:22" x14ac:dyDescent="0.3">
      <c r="A101" t="s">
        <v>6</v>
      </c>
      <c r="B101">
        <v>1988</v>
      </c>
      <c r="C101">
        <v>473.6</v>
      </c>
      <c r="D101" s="12">
        <v>1988.4999999956699</v>
      </c>
      <c r="I101" s="13">
        <f t="shared" si="4"/>
        <v>0.74748703262195304</v>
      </c>
      <c r="O101" s="12">
        <f>STANDARDIZE(C101,L$17,M$17)</f>
        <v>0.6117970503202016</v>
      </c>
      <c r="P101" s="12">
        <v>1988.4999999956699</v>
      </c>
      <c r="R101">
        <v>0.69199999999999995</v>
      </c>
      <c r="S101">
        <v>-1.2470000000000001</v>
      </c>
      <c r="T101">
        <v>-0.64600000000000002</v>
      </c>
      <c r="U101">
        <v>-1.742</v>
      </c>
      <c r="V101">
        <f t="shared" si="5"/>
        <v>-0.73575000000000002</v>
      </c>
    </row>
    <row r="102" spans="1:22" x14ac:dyDescent="0.3">
      <c r="A102" t="s">
        <v>7</v>
      </c>
      <c r="B102">
        <v>1988</v>
      </c>
      <c r="C102">
        <v>555.29999999999995</v>
      </c>
      <c r="D102" s="12">
        <v>1988.58333332903</v>
      </c>
      <c r="I102" s="13">
        <f t="shared" si="4"/>
        <v>1.2963602036455706</v>
      </c>
      <c r="O102" s="12">
        <f>STANDARDIZE(C102,L$18,M$18)</f>
        <v>1.3490213031887897</v>
      </c>
      <c r="P102" s="12">
        <v>1988.58333332903</v>
      </c>
      <c r="R102">
        <v>1.3280000000000001</v>
      </c>
      <c r="S102">
        <v>-1.371</v>
      </c>
      <c r="T102">
        <v>-0.71399999999999997</v>
      </c>
      <c r="U102">
        <v>-1.8140000000000001</v>
      </c>
      <c r="V102">
        <f t="shared" si="5"/>
        <v>-0.64274999999999993</v>
      </c>
    </row>
    <row r="103" spans="1:22" x14ac:dyDescent="0.3">
      <c r="A103" t="s">
        <v>8</v>
      </c>
      <c r="B103">
        <v>1988</v>
      </c>
      <c r="C103">
        <v>623.9</v>
      </c>
      <c r="D103" s="12">
        <v>1988.6666666623901</v>
      </c>
      <c r="I103" s="13">
        <f t="shared" si="4"/>
        <v>1.7572255589971031</v>
      </c>
      <c r="O103" s="12">
        <f>STANDARDIZE(C103,L$19,M$19)</f>
        <v>1.8132828733509505</v>
      </c>
      <c r="P103" s="12">
        <v>1988.6666666623901</v>
      </c>
      <c r="R103">
        <v>2.0070000000000001</v>
      </c>
      <c r="S103">
        <v>-1.4079999999999999</v>
      </c>
      <c r="T103">
        <v>-0.80600000000000005</v>
      </c>
      <c r="U103">
        <v>-1.6359999999999999</v>
      </c>
      <c r="V103">
        <f t="shared" si="5"/>
        <v>-0.46074999999999994</v>
      </c>
    </row>
    <row r="104" spans="1:22" x14ac:dyDescent="0.3">
      <c r="A104" t="s">
        <v>9</v>
      </c>
      <c r="B104">
        <v>1988</v>
      </c>
      <c r="C104">
        <v>683.7</v>
      </c>
      <c r="D104" s="12">
        <v>1988.7499999957499</v>
      </c>
      <c r="I104" s="13">
        <f t="shared" si="4"/>
        <v>2.1589711603093722</v>
      </c>
      <c r="O104" s="12">
        <f>STANDARDIZE(C104,L$20,M$20)</f>
        <v>2.0954180333496844</v>
      </c>
      <c r="P104" s="12">
        <v>1988.7499999957499</v>
      </c>
      <c r="R104">
        <v>2.2719999999999998</v>
      </c>
      <c r="S104">
        <v>-1.304</v>
      </c>
      <c r="T104">
        <v>-0.85899999999999999</v>
      </c>
      <c r="U104">
        <v>-1.5049999999999999</v>
      </c>
      <c r="V104">
        <f t="shared" si="5"/>
        <v>-0.34900000000000003</v>
      </c>
    </row>
    <row r="105" spans="1:22" x14ac:dyDescent="0.3">
      <c r="A105" t="s">
        <v>10</v>
      </c>
      <c r="B105">
        <v>1988</v>
      </c>
      <c r="C105">
        <v>677.1</v>
      </c>
      <c r="D105" s="12">
        <v>1988.83333332911</v>
      </c>
      <c r="I105" s="13">
        <f t="shared" si="4"/>
        <v>2.1146313447799243</v>
      </c>
      <c r="O105" s="12">
        <f>STANDARDIZE(C105,L$21,M$21)</f>
        <v>1.721168473171186</v>
      </c>
      <c r="P105" s="12">
        <v>1988.83333332911</v>
      </c>
      <c r="R105">
        <v>2.1219999999999999</v>
      </c>
      <c r="S105">
        <v>-1.383</v>
      </c>
      <c r="T105">
        <v>-0.69199999999999995</v>
      </c>
      <c r="U105">
        <v>-1.5549999999999999</v>
      </c>
      <c r="V105">
        <f t="shared" si="5"/>
        <v>-0.377</v>
      </c>
    </row>
    <row r="106" spans="1:22" x14ac:dyDescent="0.3">
      <c r="A106" t="s">
        <v>11</v>
      </c>
      <c r="B106">
        <v>1988</v>
      </c>
      <c r="C106">
        <v>670</v>
      </c>
      <c r="D106" s="12">
        <v>1988.9166666624701</v>
      </c>
      <c r="I106" s="13">
        <f t="shared" si="4"/>
        <v>2.0669324523164274</v>
      </c>
      <c r="O106" s="12">
        <f>STANDARDIZE(C106,L$22,M$22)</f>
        <v>1.336370396387724</v>
      </c>
      <c r="P106" s="12">
        <v>1988.9166666624701</v>
      </c>
      <c r="R106">
        <v>0.61799999999999999</v>
      </c>
      <c r="S106">
        <v>-0.375</v>
      </c>
      <c r="T106">
        <v>-0.51</v>
      </c>
      <c r="U106">
        <v>-0.1</v>
      </c>
      <c r="V106">
        <f t="shared" si="5"/>
        <v>-9.1749999999999998E-2</v>
      </c>
    </row>
    <row r="107" spans="1:22" x14ac:dyDescent="0.3">
      <c r="A107" t="s">
        <v>0</v>
      </c>
      <c r="B107">
        <v>1989</v>
      </c>
      <c r="C107">
        <v>546.9</v>
      </c>
      <c r="D107" s="12">
        <v>1988.99999999583</v>
      </c>
      <c r="I107" s="13">
        <f t="shared" si="4"/>
        <v>1.2399277111535463</v>
      </c>
      <c r="O107" s="12">
        <f>STANDARDIZE(C107,L$11,M$11)</f>
        <v>1.1510280339002537</v>
      </c>
      <c r="P107" s="12">
        <v>1988.99999999583</v>
      </c>
      <c r="R107">
        <v>-0.13400000000000001</v>
      </c>
      <c r="S107">
        <v>-0.05</v>
      </c>
      <c r="T107">
        <v>0.189</v>
      </c>
      <c r="U107">
        <v>0.95199999999999996</v>
      </c>
      <c r="V107">
        <f t="shared" si="5"/>
        <v>0.23924999999999999</v>
      </c>
    </row>
    <row r="108" spans="1:22" x14ac:dyDescent="0.3">
      <c r="A108" t="s">
        <v>1</v>
      </c>
      <c r="B108">
        <v>1989</v>
      </c>
      <c r="C108">
        <v>374</v>
      </c>
      <c r="D108" s="12">
        <v>1989.0833333291901</v>
      </c>
      <c r="I108" s="13">
        <f t="shared" si="4"/>
        <v>7.835890735937813E-2</v>
      </c>
      <c r="O108" s="12">
        <f>STANDARDIZE(C108,L$12,M$12)</f>
        <v>1.0526211085325279</v>
      </c>
      <c r="P108" s="12">
        <v>1989.0833333291901</v>
      </c>
      <c r="R108">
        <v>-0.69799999999999995</v>
      </c>
      <c r="S108">
        <v>5.3999999999999999E-2</v>
      </c>
      <c r="T108">
        <v>0.52200000000000002</v>
      </c>
      <c r="U108">
        <v>1.5880000000000001</v>
      </c>
      <c r="V108">
        <f t="shared" si="5"/>
        <v>0.36650000000000005</v>
      </c>
    </row>
    <row r="109" spans="1:22" x14ac:dyDescent="0.3">
      <c r="A109" t="s">
        <v>2</v>
      </c>
      <c r="B109">
        <v>1989</v>
      </c>
      <c r="C109">
        <v>254.9</v>
      </c>
      <c r="D109" s="12">
        <v>1989.1666666625499</v>
      </c>
      <c r="I109" s="13">
        <f t="shared" si="4"/>
        <v>-0.7217732183311103</v>
      </c>
      <c r="O109" s="12">
        <f>STANDARDIZE(C109,L$13,M$13)</f>
        <v>0.55986865524653662</v>
      </c>
      <c r="P109" s="12">
        <v>1989.1666666625499</v>
      </c>
      <c r="R109">
        <v>-1.2749999999999999</v>
      </c>
      <c r="S109">
        <v>5.0999999999999997E-2</v>
      </c>
      <c r="T109">
        <v>0.98299999999999998</v>
      </c>
      <c r="U109">
        <v>2.4620000000000002</v>
      </c>
      <c r="V109">
        <f t="shared" si="5"/>
        <v>0.55525000000000002</v>
      </c>
    </row>
    <row r="110" spans="1:22" x14ac:dyDescent="0.3">
      <c r="A110" t="s">
        <v>3</v>
      </c>
      <c r="B110">
        <v>1989</v>
      </c>
      <c r="C110">
        <v>219.7</v>
      </c>
      <c r="D110" s="12">
        <v>1989.24999999591</v>
      </c>
      <c r="I110" s="13">
        <f t="shared" si="4"/>
        <v>-0.95825223448816488</v>
      </c>
      <c r="O110" s="12">
        <f>STANDARDIZE(C110,L$14,M$14)</f>
        <v>-0.15009642893707881</v>
      </c>
      <c r="P110" s="12">
        <v>1989.24999999591</v>
      </c>
      <c r="R110">
        <v>-1.48</v>
      </c>
      <c r="S110">
        <v>5.6000000000000001E-2</v>
      </c>
      <c r="T110">
        <v>0.96699999999999997</v>
      </c>
      <c r="U110">
        <v>2.0720000000000001</v>
      </c>
      <c r="V110">
        <f t="shared" si="5"/>
        <v>0.40375000000000005</v>
      </c>
    </row>
    <row r="111" spans="1:22" x14ac:dyDescent="0.3">
      <c r="A111" t="s">
        <v>4</v>
      </c>
      <c r="B111">
        <v>1989</v>
      </c>
      <c r="C111">
        <v>237.3</v>
      </c>
      <c r="D111" s="12">
        <v>1989.3333333292701</v>
      </c>
      <c r="I111" s="13">
        <f t="shared" si="4"/>
        <v>-0.84001272640963753</v>
      </c>
      <c r="O111" s="12">
        <f>STANDARDIZE(C111,L$15,M$15)</f>
        <v>-0.82180596711256004</v>
      </c>
      <c r="P111" s="12">
        <v>1989.3333333292701</v>
      </c>
      <c r="R111">
        <v>-1.889</v>
      </c>
      <c r="S111">
        <v>0.34799999999999998</v>
      </c>
      <c r="T111">
        <v>1.3089999999999999</v>
      </c>
      <c r="U111">
        <v>0.34300000000000003</v>
      </c>
      <c r="V111">
        <f t="shared" si="5"/>
        <v>2.7750000000000011E-2</v>
      </c>
    </row>
    <row r="112" spans="1:22" x14ac:dyDescent="0.3">
      <c r="A112" t="s">
        <v>5</v>
      </c>
      <c r="B112">
        <v>1989</v>
      </c>
      <c r="C112">
        <v>313</v>
      </c>
      <c r="D112" s="12">
        <v>1989.41666666263</v>
      </c>
      <c r="I112" s="13">
        <f t="shared" si="4"/>
        <v>-0.33144847859460841</v>
      </c>
      <c r="O112" s="12">
        <f>STANDARDIZE(C112,L$16,M$16)</f>
        <v>-0.72899882376251768</v>
      </c>
      <c r="P112" s="12">
        <v>1989.41666666263</v>
      </c>
      <c r="R112">
        <v>-1.704</v>
      </c>
      <c r="S112">
        <v>0.59199999999999997</v>
      </c>
      <c r="T112">
        <v>1.377</v>
      </c>
      <c r="U112">
        <v>-0.628</v>
      </c>
      <c r="V112">
        <f t="shared" si="5"/>
        <v>-9.0750000000000025E-2</v>
      </c>
    </row>
    <row r="113" spans="1:22" x14ac:dyDescent="0.3">
      <c r="A113" t="s">
        <v>6</v>
      </c>
      <c r="B113">
        <v>1989</v>
      </c>
      <c r="C113">
        <v>318.2</v>
      </c>
      <c r="D113" s="12">
        <v>1989.49999999599</v>
      </c>
      <c r="I113" s="13">
        <f t="shared" si="4"/>
        <v>-0.29651407848049816</v>
      </c>
      <c r="O113" s="12">
        <f>STANDARDIZE(C113,L$17,M$17)</f>
        <v>-0.63154792471681775</v>
      </c>
      <c r="P113" s="12">
        <v>1989.49999999599</v>
      </c>
      <c r="R113">
        <v>-0.76300000000000001</v>
      </c>
      <c r="S113">
        <v>0.24399999999999999</v>
      </c>
      <c r="T113">
        <v>1.1990000000000001</v>
      </c>
      <c r="U113">
        <v>-0.97699999999999998</v>
      </c>
      <c r="V113">
        <f t="shared" si="5"/>
        <v>-7.4249999999999983E-2</v>
      </c>
    </row>
    <row r="114" spans="1:22" x14ac:dyDescent="0.3">
      <c r="A114" t="s">
        <v>7</v>
      </c>
      <c r="B114">
        <v>1989</v>
      </c>
      <c r="C114">
        <v>305.7</v>
      </c>
      <c r="D114" s="12">
        <v>1989.5833333293499</v>
      </c>
      <c r="I114" s="13">
        <f t="shared" si="4"/>
        <v>-0.38049100183172491</v>
      </c>
      <c r="O114" s="12">
        <f>STANDARDIZE(C114,L$18,M$18)</f>
        <v>-0.57218278286273561</v>
      </c>
      <c r="P114" s="12">
        <v>1989.5833333293499</v>
      </c>
      <c r="R114">
        <v>-0.105</v>
      </c>
      <c r="S114">
        <v>-0.19400000000000001</v>
      </c>
      <c r="T114">
        <v>0.89100000000000001</v>
      </c>
      <c r="U114">
        <v>-1.5720000000000001</v>
      </c>
      <c r="V114">
        <f t="shared" si="5"/>
        <v>-0.245</v>
      </c>
    </row>
    <row r="115" spans="1:22" x14ac:dyDescent="0.3">
      <c r="A115" t="s">
        <v>8</v>
      </c>
      <c r="B115">
        <v>1989</v>
      </c>
      <c r="C115">
        <v>356.6</v>
      </c>
      <c r="D115" s="12">
        <v>1989.66666666271</v>
      </c>
      <c r="I115" s="13">
        <f t="shared" si="4"/>
        <v>-3.8536969945529347E-2</v>
      </c>
      <c r="O115" s="12">
        <f>STANDARDIZE(C115,L$19,M$19)</f>
        <v>-0.2450007653288222</v>
      </c>
      <c r="P115" s="12">
        <v>1989.66666666271</v>
      </c>
      <c r="R115">
        <v>0.255</v>
      </c>
      <c r="S115">
        <v>-0.51400000000000001</v>
      </c>
      <c r="T115">
        <v>0.97</v>
      </c>
      <c r="U115">
        <v>-1.7769999999999999</v>
      </c>
      <c r="V115">
        <f t="shared" si="5"/>
        <v>-0.26649999999999996</v>
      </c>
    </row>
    <row r="116" spans="1:22" x14ac:dyDescent="0.3">
      <c r="A116" t="s">
        <v>9</v>
      </c>
      <c r="B116">
        <v>1989</v>
      </c>
      <c r="C116">
        <v>453.6</v>
      </c>
      <c r="D116" s="12">
        <v>1989.7499999960701</v>
      </c>
      <c r="I116" s="13">
        <f t="shared" si="4"/>
        <v>0.61312395525999019</v>
      </c>
      <c r="O116" s="12">
        <f>STANDARDIZE(C116,L$20,M$20)</f>
        <v>0.1976582713554107</v>
      </c>
      <c r="P116" s="12">
        <v>1989.7499999960701</v>
      </c>
      <c r="R116">
        <v>0.72299999999999998</v>
      </c>
      <c r="S116">
        <v>-0.76300000000000001</v>
      </c>
      <c r="T116">
        <v>1.2569999999999999</v>
      </c>
      <c r="U116">
        <v>-1.71</v>
      </c>
      <c r="V116">
        <f t="shared" si="5"/>
        <v>-0.12325000000000003</v>
      </c>
    </row>
    <row r="117" spans="1:22" x14ac:dyDescent="0.3">
      <c r="A117" t="s">
        <v>10</v>
      </c>
      <c r="B117">
        <v>1989</v>
      </c>
      <c r="C117">
        <v>529.4</v>
      </c>
      <c r="D117" s="12">
        <v>1989.8333333294299</v>
      </c>
      <c r="I117" s="13">
        <f t="shared" si="4"/>
        <v>1.122360018461829</v>
      </c>
      <c r="O117" s="12">
        <f>STANDARDIZE(C117,L$21,M$21)</f>
        <v>0.43072896308294184</v>
      </c>
      <c r="P117" s="12">
        <v>1989.8333333294299</v>
      </c>
      <c r="R117">
        <v>0.59399999999999997</v>
      </c>
      <c r="S117">
        <v>-0.86199999999999999</v>
      </c>
      <c r="T117">
        <v>0.89600000000000002</v>
      </c>
      <c r="U117">
        <v>-1.0149999999999999</v>
      </c>
      <c r="V117">
        <f t="shared" si="5"/>
        <v>-9.6749999999999975E-2</v>
      </c>
    </row>
    <row r="118" spans="1:22" x14ac:dyDescent="0.3">
      <c r="A118" t="s">
        <v>11</v>
      </c>
      <c r="B118">
        <v>1989</v>
      </c>
      <c r="C118">
        <v>522.4</v>
      </c>
      <c r="D118" s="12">
        <v>1989.91666666279</v>
      </c>
      <c r="I118" s="13">
        <f t="shared" si="4"/>
        <v>1.075332941385142</v>
      </c>
      <c r="O118" s="12">
        <f>STANDARDIZE(C118,L$22,M$22)</f>
        <v>0.2593685605756485</v>
      </c>
      <c r="P118" s="12">
        <v>1989.91666666279</v>
      </c>
      <c r="R118">
        <v>-0.53200000000000003</v>
      </c>
      <c r="S118">
        <v>-1.044</v>
      </c>
      <c r="T118">
        <v>0.86499999999999999</v>
      </c>
      <c r="U118">
        <v>-0.41199999999999998</v>
      </c>
      <c r="V118">
        <f t="shared" si="5"/>
        <v>-0.28075</v>
      </c>
    </row>
    <row r="119" spans="1:22" x14ac:dyDescent="0.3">
      <c r="A119" t="s">
        <v>0</v>
      </c>
      <c r="B119">
        <v>1990</v>
      </c>
      <c r="C119">
        <v>330.1</v>
      </c>
      <c r="D119" s="12">
        <v>1989.9999999961501</v>
      </c>
      <c r="I119" s="13">
        <f t="shared" si="4"/>
        <v>-0.21656804745013006</v>
      </c>
      <c r="O119" s="12">
        <f>STANDARDIZE(C119,L$11,M$11)</f>
        <v>-0.30532323807009276</v>
      </c>
      <c r="P119" s="12">
        <v>1989.9999999961501</v>
      </c>
      <c r="R119">
        <v>-0.93500000000000005</v>
      </c>
      <c r="S119">
        <v>-1.0609999999999999</v>
      </c>
      <c r="T119">
        <v>0.55000000000000004</v>
      </c>
      <c r="U119">
        <v>-0.7</v>
      </c>
      <c r="V119">
        <f t="shared" si="5"/>
        <v>-0.53649999999999998</v>
      </c>
    </row>
    <row r="120" spans="1:22" x14ac:dyDescent="0.3">
      <c r="A120" t="s">
        <v>1</v>
      </c>
      <c r="B120">
        <v>1990</v>
      </c>
      <c r="C120">
        <v>208.9</v>
      </c>
      <c r="D120" s="12">
        <v>1990.08333332951</v>
      </c>
      <c r="I120" s="13">
        <f t="shared" si="4"/>
        <v>-1.0308082962636247</v>
      </c>
      <c r="O120" s="12">
        <f>STANDARDIZE(C120,L$12,M$12)</f>
        <v>-0.27590889536540675</v>
      </c>
      <c r="P120" s="12">
        <v>1990.08333332951</v>
      </c>
      <c r="R120">
        <v>-0.83799999999999997</v>
      </c>
      <c r="S120">
        <v>-0.85</v>
      </c>
      <c r="T120">
        <v>0.61899999999999999</v>
      </c>
      <c r="U120">
        <v>-0.26100000000000001</v>
      </c>
      <c r="V120">
        <f t="shared" si="5"/>
        <v>-0.33250000000000002</v>
      </c>
    </row>
    <row r="121" spans="1:22" x14ac:dyDescent="0.3">
      <c r="A121" t="s">
        <v>2</v>
      </c>
      <c r="B121">
        <v>1990</v>
      </c>
      <c r="C121">
        <v>184.1</v>
      </c>
      <c r="D121" s="12">
        <v>1990.1666666628701</v>
      </c>
      <c r="I121" s="13">
        <f t="shared" si="4"/>
        <v>-1.1974185121924588</v>
      </c>
      <c r="O121" s="12">
        <f>STANDARDIZE(C121,L$13,M$13)</f>
        <v>-0.18582042172251381</v>
      </c>
      <c r="P121" s="12">
        <v>1990.1666666628701</v>
      </c>
      <c r="R121">
        <v>-0.95899999999999996</v>
      </c>
      <c r="S121">
        <v>-0.96599999999999997</v>
      </c>
      <c r="T121">
        <v>0.33900000000000002</v>
      </c>
      <c r="U121">
        <v>3.7999999999999999E-2</v>
      </c>
      <c r="V121">
        <f t="shared" si="5"/>
        <v>-0.38699999999999996</v>
      </c>
    </row>
    <row r="122" spans="1:22" x14ac:dyDescent="0.3">
      <c r="A122" t="s">
        <v>3</v>
      </c>
      <c r="B122">
        <v>1990</v>
      </c>
      <c r="C122">
        <v>204.3</v>
      </c>
      <c r="D122" s="12">
        <v>1990.2499999962299</v>
      </c>
      <c r="I122" s="13">
        <f t="shared" si="4"/>
        <v>-1.061711804056876</v>
      </c>
      <c r="O122" s="12">
        <f>STANDARDIZE(C122,L$14,M$14)</f>
        <v>-0.29465193170797743</v>
      </c>
      <c r="P122" s="12">
        <v>1990.2499999962299</v>
      </c>
      <c r="R122">
        <v>-1.212</v>
      </c>
      <c r="S122">
        <v>-1.2529999999999999</v>
      </c>
      <c r="T122">
        <v>-7.4999999999999997E-2</v>
      </c>
      <c r="U122">
        <v>0.193</v>
      </c>
      <c r="V122">
        <f t="shared" si="5"/>
        <v>-0.58674999999999999</v>
      </c>
    </row>
    <row r="123" spans="1:22" x14ac:dyDescent="0.3">
      <c r="A123" t="s">
        <v>4</v>
      </c>
      <c r="B123">
        <v>1990</v>
      </c>
      <c r="C123">
        <v>306.89999999999998</v>
      </c>
      <c r="D123" s="12">
        <v>1990.33333332959</v>
      </c>
      <c r="I123" s="13">
        <f t="shared" si="4"/>
        <v>-0.37242921719000721</v>
      </c>
      <c r="O123" s="12">
        <f>STANDARDIZE(C123,L$15,M$15)</f>
        <v>-0.19313551239586657</v>
      </c>
      <c r="P123" s="12">
        <v>1990.33333332959</v>
      </c>
      <c r="R123">
        <v>-0.88400000000000001</v>
      </c>
      <c r="S123">
        <v>-1.6319999999999999</v>
      </c>
      <c r="T123">
        <v>-6.8000000000000005E-2</v>
      </c>
      <c r="U123">
        <v>0.23799999999999999</v>
      </c>
      <c r="V123">
        <f t="shared" si="5"/>
        <v>-0.58650000000000002</v>
      </c>
    </row>
    <row r="124" spans="1:22" x14ac:dyDescent="0.3">
      <c r="A124" t="s">
        <v>5</v>
      </c>
      <c r="B124">
        <v>1990</v>
      </c>
      <c r="C124">
        <v>335.2</v>
      </c>
      <c r="D124" s="12">
        <v>1990.4166666629501</v>
      </c>
      <c r="I124" s="13">
        <f t="shared" si="4"/>
        <v>-0.18230546272282977</v>
      </c>
      <c r="O124" s="12">
        <f>STANDARDIZE(C124,L$16,M$16)</f>
        <v>-0.53013210113376497</v>
      </c>
      <c r="P124" s="12">
        <v>1990.4166666629501</v>
      </c>
      <c r="R124">
        <v>-0.51400000000000001</v>
      </c>
      <c r="S124">
        <v>-1.677</v>
      </c>
      <c r="T124">
        <v>-0.39700000000000002</v>
      </c>
      <c r="U124">
        <v>0.21</v>
      </c>
      <c r="V124">
        <f t="shared" si="5"/>
        <v>-0.59450000000000003</v>
      </c>
    </row>
    <row r="125" spans="1:22" x14ac:dyDescent="0.3">
      <c r="A125" t="s">
        <v>6</v>
      </c>
      <c r="B125">
        <v>1990</v>
      </c>
      <c r="C125">
        <v>325.10000000000002</v>
      </c>
      <c r="D125" s="12">
        <v>1990.49999999631</v>
      </c>
      <c r="I125" s="13">
        <f t="shared" si="4"/>
        <v>-0.25015881679062074</v>
      </c>
      <c r="O125" s="12">
        <f>STANDARDIZE(C125,L$17,M$17)</f>
        <v>-0.57634148760127413</v>
      </c>
      <c r="P125" s="12">
        <v>1990.49999999631</v>
      </c>
      <c r="R125">
        <v>-0.377</v>
      </c>
      <c r="S125">
        <v>-1.613</v>
      </c>
      <c r="T125">
        <v>-0.63900000000000001</v>
      </c>
      <c r="U125">
        <v>-0.33500000000000002</v>
      </c>
      <c r="V125">
        <f t="shared" si="5"/>
        <v>-0.74099999999999999</v>
      </c>
    </row>
    <row r="126" spans="1:22" x14ac:dyDescent="0.3">
      <c r="A126" t="s">
        <v>7</v>
      </c>
      <c r="B126">
        <v>1990</v>
      </c>
      <c r="C126">
        <v>294.8</v>
      </c>
      <c r="D126" s="12">
        <v>1990.58333332967</v>
      </c>
      <c r="I126" s="13">
        <f t="shared" si="4"/>
        <v>-0.45371887899399449</v>
      </c>
      <c r="O126" s="12">
        <f>STANDARDIZE(C126,L$18,M$18)</f>
        <v>-0.65608151899238942</v>
      </c>
      <c r="P126" s="12">
        <v>1990.58333332967</v>
      </c>
      <c r="R126">
        <v>-0.221</v>
      </c>
      <c r="S126">
        <v>-1.631</v>
      </c>
      <c r="T126">
        <v>-0.57799999999999996</v>
      </c>
      <c r="U126">
        <v>-0.13100000000000001</v>
      </c>
      <c r="V126">
        <f t="shared" si="5"/>
        <v>-0.64024999999999999</v>
      </c>
    </row>
    <row r="127" spans="1:22" x14ac:dyDescent="0.3">
      <c r="A127" t="s">
        <v>8</v>
      </c>
      <c r="B127">
        <v>1990</v>
      </c>
      <c r="C127">
        <v>304.10000000000002</v>
      </c>
      <c r="D127" s="12">
        <v>1990.6666666630299</v>
      </c>
      <c r="I127" s="13">
        <f t="shared" si="4"/>
        <v>-0.39124004802068169</v>
      </c>
      <c r="O127" s="12">
        <f>STANDARDIZE(C127,L$19,M$19)</f>
        <v>-0.64926522859364855</v>
      </c>
      <c r="P127" s="12">
        <v>1990.6666666630299</v>
      </c>
      <c r="R127">
        <v>-0.44600000000000001</v>
      </c>
      <c r="S127">
        <v>-1.8740000000000001</v>
      </c>
      <c r="T127">
        <v>-0.628</v>
      </c>
      <c r="U127">
        <v>0.13400000000000001</v>
      </c>
      <c r="V127">
        <f t="shared" si="5"/>
        <v>-0.70350000000000013</v>
      </c>
    </row>
    <row r="128" spans="1:22" x14ac:dyDescent="0.3">
      <c r="A128" t="s">
        <v>9</v>
      </c>
      <c r="B128">
        <v>1990</v>
      </c>
      <c r="C128">
        <v>365.6</v>
      </c>
      <c r="D128" s="12">
        <v>1990.74999999639</v>
      </c>
      <c r="I128" s="13">
        <f t="shared" si="4"/>
        <v>2.1926414867353913E-2</v>
      </c>
      <c r="O128" s="12">
        <f>STANDARDIZE(C128,L$20,M$20)</f>
        <v>-0.52812555765587155</v>
      </c>
      <c r="P128" s="12">
        <v>1990.74999999639</v>
      </c>
      <c r="R128">
        <v>-0.39800000000000002</v>
      </c>
      <c r="S128">
        <v>-1.8939999999999999</v>
      </c>
      <c r="T128">
        <v>-0.51400000000000001</v>
      </c>
      <c r="U128">
        <v>4.8000000000000001E-2</v>
      </c>
      <c r="V128">
        <f t="shared" si="5"/>
        <v>-0.6895</v>
      </c>
    </row>
    <row r="129" spans="1:22" x14ac:dyDescent="0.3">
      <c r="A129" t="s">
        <v>10</v>
      </c>
      <c r="B129">
        <v>1990</v>
      </c>
      <c r="C129">
        <v>455.1</v>
      </c>
      <c r="D129" s="12">
        <v>1990.8333333297501</v>
      </c>
      <c r="I129" s="13">
        <f t="shared" si="4"/>
        <v>0.62320118606213748</v>
      </c>
      <c r="O129" s="12">
        <f>STANDARDIZE(C129,L$21,M$21)</f>
        <v>-0.21842239507248443</v>
      </c>
      <c r="P129" s="12">
        <v>1990.8333333297501</v>
      </c>
      <c r="R129">
        <v>-0.44800000000000001</v>
      </c>
      <c r="S129">
        <v>-1.9139999999999999</v>
      </c>
      <c r="T129">
        <v>-0.375</v>
      </c>
      <c r="U129">
        <v>-3.6999999999999998E-2</v>
      </c>
      <c r="V129">
        <f t="shared" si="5"/>
        <v>-0.69350000000000001</v>
      </c>
    </row>
    <row r="130" spans="1:22" x14ac:dyDescent="0.3">
      <c r="A130" t="s">
        <v>11</v>
      </c>
      <c r="B130">
        <v>1990</v>
      </c>
      <c r="C130">
        <v>479.1</v>
      </c>
      <c r="D130" s="12">
        <v>1990.9166666631099</v>
      </c>
      <c r="I130" s="13">
        <f t="shared" si="4"/>
        <v>0.78443687889649283</v>
      </c>
      <c r="O130" s="12">
        <f>STANDARDIZE(C130,L$22,M$22)</f>
        <v>-5.6581164970847531E-2</v>
      </c>
      <c r="P130" s="12">
        <v>1990.9166666631099</v>
      </c>
      <c r="R130">
        <v>-0.72799999999999998</v>
      </c>
      <c r="S130">
        <v>-1.2869999999999999</v>
      </c>
      <c r="T130">
        <v>-0.66900000000000004</v>
      </c>
      <c r="U130">
        <v>0.70699999999999996</v>
      </c>
      <c r="V130">
        <f t="shared" si="5"/>
        <v>-0.49424999999999997</v>
      </c>
    </row>
    <row r="131" spans="1:22" x14ac:dyDescent="0.3">
      <c r="A131" t="s">
        <v>0</v>
      </c>
      <c r="B131">
        <v>1991</v>
      </c>
      <c r="C131">
        <v>282.3</v>
      </c>
      <c r="D131" s="12">
        <v>1990.99999999647</v>
      </c>
      <c r="I131" s="13">
        <f t="shared" si="4"/>
        <v>-0.53769580234522119</v>
      </c>
      <c r="O131" s="12">
        <f>STANDARDIZE(C131,L$11,M$11)</f>
        <v>-0.62641913659492021</v>
      </c>
      <c r="P131" s="12">
        <v>1990.99999999647</v>
      </c>
      <c r="R131">
        <v>-0.71899999999999997</v>
      </c>
      <c r="S131">
        <v>-0.86699999999999999</v>
      </c>
      <c r="T131">
        <v>-0.51900000000000002</v>
      </c>
      <c r="U131">
        <v>0.98799999999999999</v>
      </c>
      <c r="V131">
        <f t="shared" si="5"/>
        <v>-0.27925</v>
      </c>
    </row>
    <row r="132" spans="1:22" x14ac:dyDescent="0.3">
      <c r="A132" t="s">
        <v>1</v>
      </c>
      <c r="B132">
        <v>1991</v>
      </c>
      <c r="C132">
        <v>157.6</v>
      </c>
      <c r="D132" s="12">
        <v>1991.0833333298301</v>
      </c>
      <c r="I132" s="13">
        <f t="shared" si="4"/>
        <v>-1.3754495896970593</v>
      </c>
      <c r="O132" s="12">
        <f>STANDARDIZE(C132,L$12,M$12)</f>
        <v>-0.68871076816955001</v>
      </c>
      <c r="P132" s="12">
        <v>1991.0833333298301</v>
      </c>
      <c r="R132">
        <v>-0.55800000000000005</v>
      </c>
      <c r="S132">
        <v>-0.88200000000000001</v>
      </c>
      <c r="T132">
        <v>-7.6999999999999999E-2</v>
      </c>
      <c r="U132">
        <v>0.88900000000000001</v>
      </c>
      <c r="V132">
        <f t="shared" si="5"/>
        <v>-0.15699999999999997</v>
      </c>
    </row>
    <row r="133" spans="1:22" x14ac:dyDescent="0.3">
      <c r="A133" t="s">
        <v>2</v>
      </c>
      <c r="B133">
        <v>1991</v>
      </c>
      <c r="C133">
        <v>157.69999999999999</v>
      </c>
      <c r="D133" s="12">
        <v>1991.16666666319</v>
      </c>
      <c r="I133" s="13">
        <f t="shared" si="4"/>
        <v>-1.3747777743102496</v>
      </c>
      <c r="O133" s="12">
        <f>STANDARDIZE(C133,L$13,M$13)</f>
        <v>-0.46387397584656653</v>
      </c>
      <c r="P133" s="12">
        <v>1991.16666666319</v>
      </c>
      <c r="R133">
        <v>-0.54300000000000004</v>
      </c>
      <c r="S133">
        <v>-0.71099999999999997</v>
      </c>
      <c r="T133">
        <v>4.9000000000000002E-2</v>
      </c>
      <c r="U133">
        <v>0.23899999999999999</v>
      </c>
      <c r="V133">
        <f t="shared" si="5"/>
        <v>-0.24150000000000002</v>
      </c>
    </row>
    <row r="134" spans="1:22" x14ac:dyDescent="0.3">
      <c r="A134" t="s">
        <v>3</v>
      </c>
      <c r="B134">
        <v>1991</v>
      </c>
      <c r="C134">
        <v>171.9</v>
      </c>
      <c r="D134" s="12">
        <v>1991.2499999965501</v>
      </c>
      <c r="I134" s="13">
        <f t="shared" si="4"/>
        <v>-1.2793799893832558</v>
      </c>
      <c r="O134" s="12">
        <f>STANDARDIZE(C134,L$14,M$14)</f>
        <v>-0.59878169078441401</v>
      </c>
      <c r="P134" s="12">
        <v>1991.2499999965501</v>
      </c>
      <c r="R134">
        <v>-0.81499999999999995</v>
      </c>
      <c r="S134">
        <v>-1.0109999999999999</v>
      </c>
      <c r="T134">
        <v>-0.13300000000000001</v>
      </c>
      <c r="U134">
        <v>-0.38100000000000001</v>
      </c>
      <c r="V134">
        <f t="shared" si="5"/>
        <v>-0.58499999999999996</v>
      </c>
    </row>
    <row r="135" spans="1:22" x14ac:dyDescent="0.3">
      <c r="A135" t="s">
        <v>4</v>
      </c>
      <c r="B135">
        <v>1991</v>
      </c>
      <c r="C135">
        <v>232.1</v>
      </c>
      <c r="D135" s="12">
        <v>1991.3333333299099</v>
      </c>
      <c r="I135" s="13">
        <f t="shared" si="4"/>
        <v>-0.87494712652374795</v>
      </c>
      <c r="O135" s="12">
        <f>STANDARDIZE(C135,L$15,M$15)</f>
        <v>-0.86877559878679589</v>
      </c>
      <c r="P135" s="12">
        <v>1991.3333333299099</v>
      </c>
      <c r="R135">
        <v>-0.95399999999999996</v>
      </c>
      <c r="S135">
        <v>-1.8180000000000001</v>
      </c>
      <c r="T135">
        <v>-8.6999999999999994E-2</v>
      </c>
      <c r="U135">
        <v>-0.27900000000000003</v>
      </c>
      <c r="V135">
        <f t="shared" si="5"/>
        <v>-0.78450000000000009</v>
      </c>
    </row>
    <row r="136" spans="1:22" x14ac:dyDescent="0.3">
      <c r="A136" t="s">
        <v>5</v>
      </c>
      <c r="B136">
        <v>1991</v>
      </c>
      <c r="C136">
        <v>268.8</v>
      </c>
      <c r="D136" s="12">
        <v>1991.41666666327</v>
      </c>
      <c r="I136" s="13">
        <f t="shared" si="4"/>
        <v>-0.62839087956454609</v>
      </c>
      <c r="O136" s="12">
        <f>STANDARDIZE(C136,L$16,M$16)</f>
        <v>-1.1249406769242687</v>
      </c>
      <c r="P136" s="12">
        <v>1991.41666666327</v>
      </c>
      <c r="R136">
        <v>-1.1100000000000001</v>
      </c>
      <c r="S136">
        <v>-1.9950000000000001</v>
      </c>
      <c r="T136">
        <v>-8.3000000000000004E-2</v>
      </c>
      <c r="U136">
        <v>-0.251</v>
      </c>
      <c r="V136">
        <f t="shared" si="5"/>
        <v>-0.85975000000000013</v>
      </c>
    </row>
    <row r="137" spans="1:22" x14ac:dyDescent="0.3">
      <c r="A137" t="s">
        <v>6</v>
      </c>
      <c r="B137">
        <v>1991</v>
      </c>
      <c r="C137">
        <v>267.10000000000002</v>
      </c>
      <c r="D137" s="12">
        <v>1991.4999999966301</v>
      </c>
      <c r="I137" s="13">
        <f t="shared" si="4"/>
        <v>-0.63981174114031292</v>
      </c>
      <c r="O137" s="12">
        <f>STANDARDIZE(C137,L$17,M$17)</f>
        <v>-1.0403955966884499</v>
      </c>
      <c r="P137" s="12">
        <v>1991.4999999966301</v>
      </c>
      <c r="R137">
        <v>-1.194</v>
      </c>
      <c r="S137">
        <v>-1.988</v>
      </c>
      <c r="T137">
        <v>-0.27100000000000002</v>
      </c>
      <c r="U137">
        <v>7.6999999999999999E-2</v>
      </c>
      <c r="V137">
        <f t="shared" si="5"/>
        <v>-0.84399999999999997</v>
      </c>
    </row>
    <row r="138" spans="1:22" x14ac:dyDescent="0.3">
      <c r="A138" t="s">
        <v>7</v>
      </c>
      <c r="B138">
        <v>1991</v>
      </c>
      <c r="C138">
        <v>250.5</v>
      </c>
      <c r="D138" s="12">
        <v>1991.58333332999</v>
      </c>
      <c r="I138" s="13">
        <f t="shared" si="4"/>
        <v>-0.75133309535074211</v>
      </c>
      <c r="O138" s="12">
        <f>STANDARDIZE(C138,L$18,M$18)</f>
        <v>-0.9970644557395153</v>
      </c>
      <c r="P138" s="12">
        <v>1991.58333332999</v>
      </c>
      <c r="R138">
        <v>-0.97599999999999998</v>
      </c>
      <c r="S138">
        <v>-2.0369999999999999</v>
      </c>
      <c r="T138">
        <v>-0.39500000000000002</v>
      </c>
      <c r="U138">
        <v>0.20799999999999999</v>
      </c>
      <c r="V138">
        <f t="shared" si="5"/>
        <v>-0.79999999999999993</v>
      </c>
    </row>
    <row r="139" spans="1:22" x14ac:dyDescent="0.3">
      <c r="A139" t="s">
        <v>8</v>
      </c>
      <c r="B139">
        <v>1991</v>
      </c>
      <c r="C139">
        <v>212.1</v>
      </c>
      <c r="D139" s="12">
        <v>1991.66666666335</v>
      </c>
      <c r="I139" s="13">
        <f t="shared" si="4"/>
        <v>-1.0093102038857107</v>
      </c>
      <c r="O139" s="12">
        <f>STANDARDIZE(C139,L$19,M$19)</f>
        <v>-1.3576905737434397</v>
      </c>
      <c r="P139" s="12">
        <v>1991.66666666335</v>
      </c>
      <c r="R139">
        <v>-0.73099999999999998</v>
      </c>
      <c r="S139">
        <v>-1.925</v>
      </c>
      <c r="T139">
        <v>-0.252</v>
      </c>
      <c r="U139">
        <v>0.53400000000000003</v>
      </c>
      <c r="V139">
        <f t="shared" si="5"/>
        <v>-0.59350000000000014</v>
      </c>
    </row>
    <row r="140" spans="1:22" x14ac:dyDescent="0.3">
      <c r="A140" t="s">
        <v>9</v>
      </c>
      <c r="B140">
        <v>1991</v>
      </c>
      <c r="C140">
        <v>290.89999999999998</v>
      </c>
      <c r="D140" s="12">
        <v>1991.7499999967099</v>
      </c>
      <c r="I140" s="13">
        <f t="shared" ref="I140:I203" si="6">STANDARDIZE(C140,C$8,C$9)</f>
        <v>-0.47991967907957744</v>
      </c>
      <c r="O140" s="12">
        <f>STANDARDIZE(C140,L$20,M$20)</f>
        <v>-1.1442170579643127</v>
      </c>
      <c r="P140" s="12">
        <v>1991.7499999967099</v>
      </c>
      <c r="R140">
        <v>-0.58899999999999997</v>
      </c>
      <c r="S140">
        <v>-1.7130000000000001</v>
      </c>
      <c r="T140">
        <v>-0.10100000000000001</v>
      </c>
      <c r="U140">
        <v>0.55300000000000005</v>
      </c>
      <c r="V140">
        <f t="shared" ref="V140:V203" si="7">AVERAGE(R140:U140)</f>
        <v>-0.46250000000000002</v>
      </c>
    </row>
    <row r="141" spans="1:22" x14ac:dyDescent="0.3">
      <c r="A141" t="s">
        <v>10</v>
      </c>
      <c r="B141">
        <v>1991</v>
      </c>
      <c r="C141">
        <v>311.39999999999998</v>
      </c>
      <c r="D141" s="12">
        <v>1991.83333333007</v>
      </c>
      <c r="I141" s="13">
        <f t="shared" si="6"/>
        <v>-0.34219752478356558</v>
      </c>
      <c r="O141" s="12">
        <f>STANDARDIZE(C141,L$21,M$21)</f>
        <v>-1.4739143219491309</v>
      </c>
      <c r="P141" s="12">
        <v>1991.83333333007</v>
      </c>
      <c r="R141">
        <v>-0.377</v>
      </c>
      <c r="S141">
        <v>-1.544</v>
      </c>
      <c r="T141">
        <v>-0.372</v>
      </c>
      <c r="U141">
        <v>0.66500000000000004</v>
      </c>
      <c r="V141">
        <f t="shared" si="7"/>
        <v>-0.40700000000000003</v>
      </c>
    </row>
    <row r="142" spans="1:22" x14ac:dyDescent="0.3">
      <c r="A142" t="s">
        <v>11</v>
      </c>
      <c r="B142">
        <v>1991</v>
      </c>
      <c r="C142">
        <v>311.2</v>
      </c>
      <c r="D142" s="12">
        <v>1991.9166666634301</v>
      </c>
      <c r="I142" s="13">
        <f t="shared" si="6"/>
        <v>-0.34354115555718512</v>
      </c>
      <c r="O142" s="12">
        <f>STANDARDIZE(C142,L$22,M$22)</f>
        <v>-1.2817072370091098</v>
      </c>
      <c r="P142" s="12">
        <v>1991.9166666634301</v>
      </c>
      <c r="R142">
        <v>0.76400000000000001</v>
      </c>
      <c r="S142">
        <v>-1.2350000000000001</v>
      </c>
      <c r="T142">
        <v>-0.39300000000000002</v>
      </c>
      <c r="U142">
        <v>0.252</v>
      </c>
      <c r="V142">
        <f t="shared" si="7"/>
        <v>-0.15300000000000002</v>
      </c>
    </row>
    <row r="143" spans="1:22" x14ac:dyDescent="0.3">
      <c r="A143" t="s">
        <v>0</v>
      </c>
      <c r="B143">
        <v>1992</v>
      </c>
      <c r="C143">
        <v>238.2</v>
      </c>
      <c r="D143" s="12">
        <v>1991.9999999967899</v>
      </c>
      <c r="I143" s="13">
        <f t="shared" si="6"/>
        <v>-0.83396638792834932</v>
      </c>
      <c r="O143" s="12">
        <f>STANDARDIZE(C143,L$11,M$11)</f>
        <v>-0.92266033167744943</v>
      </c>
      <c r="P143" s="12">
        <v>1991.9999999967899</v>
      </c>
      <c r="R143">
        <v>0.44</v>
      </c>
      <c r="S143">
        <v>-1.212</v>
      </c>
      <c r="T143">
        <v>7.1999999999999995E-2</v>
      </c>
      <c r="U143">
        <v>-2.7E-2</v>
      </c>
      <c r="V143">
        <f t="shared" si="7"/>
        <v>-0.18175000000000002</v>
      </c>
    </row>
    <row r="144" spans="1:22" x14ac:dyDescent="0.3">
      <c r="A144" t="s">
        <v>1</v>
      </c>
      <c r="B144">
        <v>1992</v>
      </c>
      <c r="C144">
        <v>140.1</v>
      </c>
      <c r="D144" s="12">
        <v>1992.08333333015</v>
      </c>
      <c r="I144" s="13">
        <f t="shared" si="6"/>
        <v>-1.4930172823887768</v>
      </c>
      <c r="O144" s="12">
        <f>STANDARDIZE(C144,L$12,M$12)</f>
        <v>-0.82953012049065156</v>
      </c>
      <c r="P144" s="12">
        <v>1992.08333333015</v>
      </c>
      <c r="R144">
        <v>0.58099999999999996</v>
      </c>
      <c r="S144">
        <v>-0.98899999999999999</v>
      </c>
      <c r="T144">
        <v>0.20200000000000001</v>
      </c>
      <c r="U144">
        <v>0.317</v>
      </c>
      <c r="V144">
        <f t="shared" si="7"/>
        <v>2.7749999999999997E-2</v>
      </c>
    </row>
    <row r="145" spans="1:22" x14ac:dyDescent="0.3">
      <c r="A145" t="s">
        <v>2</v>
      </c>
      <c r="B145">
        <v>1992</v>
      </c>
      <c r="C145">
        <v>128.9</v>
      </c>
      <c r="D145" s="12">
        <v>1992.1666666635101</v>
      </c>
      <c r="I145" s="13">
        <f t="shared" si="6"/>
        <v>-1.5682606057114759</v>
      </c>
      <c r="O145" s="12">
        <f>STANDARDIZE(C145,L$13,M$13)</f>
        <v>-0.76720512580007827</v>
      </c>
      <c r="P145" s="12">
        <v>1992.1666666635101</v>
      </c>
      <c r="R145">
        <v>0.51100000000000001</v>
      </c>
      <c r="S145">
        <v>-0.64800000000000002</v>
      </c>
      <c r="T145">
        <v>-1.7000000000000001E-2</v>
      </c>
      <c r="U145">
        <v>0.39</v>
      </c>
      <c r="V145">
        <f t="shared" si="7"/>
        <v>5.8999999999999997E-2</v>
      </c>
    </row>
    <row r="146" spans="1:22" x14ac:dyDescent="0.3">
      <c r="A146" t="s">
        <v>3</v>
      </c>
      <c r="B146">
        <v>1992</v>
      </c>
      <c r="C146">
        <v>130.30000000000001</v>
      </c>
      <c r="D146" s="12">
        <v>1992.24999999687</v>
      </c>
      <c r="I146" s="13">
        <f t="shared" si="6"/>
        <v>-1.5588551902961385</v>
      </c>
      <c r="O146" s="12">
        <f>STANDARDIZE(C146,L$14,M$14)</f>
        <v>-0.98926928268502379</v>
      </c>
      <c r="P146" s="12">
        <v>1992.24999999687</v>
      </c>
      <c r="R146">
        <v>0.443</v>
      </c>
      <c r="S146">
        <v>-0.59299999999999997</v>
      </c>
      <c r="T146">
        <v>-0.56499999999999995</v>
      </c>
      <c r="U146">
        <v>0.224</v>
      </c>
      <c r="V146">
        <f t="shared" si="7"/>
        <v>-0.12274999999999997</v>
      </c>
    </row>
    <row r="147" spans="1:22" x14ac:dyDescent="0.3">
      <c r="A147" t="s">
        <v>4</v>
      </c>
      <c r="B147">
        <v>1992</v>
      </c>
      <c r="C147">
        <v>199.3</v>
      </c>
      <c r="D147" s="12">
        <v>1992.3333333302301</v>
      </c>
      <c r="I147" s="13">
        <f t="shared" si="6"/>
        <v>-1.0953025733973669</v>
      </c>
      <c r="O147" s="12">
        <f>STANDARDIZE(C147,L$15,M$15)</f>
        <v>-1.1650455831935136</v>
      </c>
      <c r="P147" s="12">
        <v>1992.3333333302301</v>
      </c>
      <c r="R147">
        <v>0.40500000000000003</v>
      </c>
      <c r="S147">
        <v>-0.75800000000000001</v>
      </c>
      <c r="T147">
        <v>-1.2430000000000001</v>
      </c>
      <c r="U147">
        <v>-0.28799999999999998</v>
      </c>
      <c r="V147">
        <f t="shared" si="7"/>
        <v>-0.47100000000000003</v>
      </c>
    </row>
    <row r="148" spans="1:22" x14ac:dyDescent="0.3">
      <c r="A148" t="s">
        <v>5</v>
      </c>
      <c r="B148">
        <v>1992</v>
      </c>
      <c r="C148">
        <v>263.10000000000002</v>
      </c>
      <c r="D148" s="12">
        <v>1992.4166666635899</v>
      </c>
      <c r="I148" s="13">
        <f t="shared" si="6"/>
        <v>-0.66668435661270542</v>
      </c>
      <c r="O148" s="12">
        <f>STANDARDIZE(C148,L$16,M$16)</f>
        <v>-1.1760010516532726</v>
      </c>
      <c r="P148" s="12">
        <v>1992.4166666635899</v>
      </c>
      <c r="R148">
        <v>0.29899999999999999</v>
      </c>
      <c r="S148">
        <v>-0.876</v>
      </c>
      <c r="T148">
        <v>-1.4039999999999999</v>
      </c>
      <c r="U148">
        <v>-0.83099999999999996</v>
      </c>
      <c r="V148">
        <f t="shared" si="7"/>
        <v>-0.70299999999999996</v>
      </c>
    </row>
    <row r="149" spans="1:22" x14ac:dyDescent="0.3">
      <c r="A149" t="s">
        <v>6</v>
      </c>
      <c r="B149">
        <v>1992</v>
      </c>
      <c r="C149">
        <v>224.9</v>
      </c>
      <c r="D149" s="12">
        <v>1992.49999999695</v>
      </c>
      <c r="I149" s="13">
        <f t="shared" si="6"/>
        <v>-0.92331783437405446</v>
      </c>
      <c r="O149" s="12">
        <f>STANDARDIZE(C149,L$17,M$17)</f>
        <v>-1.3780349657139468</v>
      </c>
      <c r="P149" s="12">
        <v>1992.49999999695</v>
      </c>
      <c r="R149">
        <v>0.20200000000000001</v>
      </c>
      <c r="S149">
        <v>-1.401</v>
      </c>
      <c r="T149">
        <v>-1.81</v>
      </c>
      <c r="U149">
        <v>-1.0249999999999999</v>
      </c>
      <c r="V149">
        <f t="shared" si="7"/>
        <v>-1.0085000000000002</v>
      </c>
    </row>
    <row r="150" spans="1:22" x14ac:dyDescent="0.3">
      <c r="A150" t="s">
        <v>7</v>
      </c>
      <c r="B150">
        <v>1992</v>
      </c>
      <c r="C150">
        <v>272.89999999999998</v>
      </c>
      <c r="D150" s="12">
        <v>1992.5833333303101</v>
      </c>
      <c r="I150" s="13">
        <f t="shared" si="6"/>
        <v>-0.60084644870534398</v>
      </c>
      <c r="O150" s="12">
        <f>STANDARDIZE(C150,L$18,M$18)</f>
        <v>-0.82464870442719906</v>
      </c>
      <c r="P150" s="12">
        <v>1992.5833333303101</v>
      </c>
      <c r="R150">
        <v>-8.2000000000000003E-2</v>
      </c>
      <c r="S150">
        <v>-1.6160000000000001</v>
      </c>
      <c r="T150">
        <v>-2.113</v>
      </c>
      <c r="U150">
        <v>-0.93899999999999995</v>
      </c>
      <c r="V150">
        <f t="shared" si="7"/>
        <v>-1.1875</v>
      </c>
    </row>
    <row r="151" spans="1:22" x14ac:dyDescent="0.3">
      <c r="A151" t="s">
        <v>8</v>
      </c>
      <c r="B151">
        <v>1992</v>
      </c>
      <c r="C151">
        <v>304.7</v>
      </c>
      <c r="D151" s="12">
        <v>1992.66666666367</v>
      </c>
      <c r="I151" s="13">
        <f t="shared" si="6"/>
        <v>-0.38720915569982306</v>
      </c>
      <c r="O151" s="12">
        <f>STANDARDIZE(C151,L$19,M$19)</f>
        <v>-0.64464506329919369</v>
      </c>
      <c r="P151" s="12">
        <v>1992.66666666367</v>
      </c>
      <c r="R151">
        <v>-0.53</v>
      </c>
      <c r="S151">
        <v>-1.5980000000000001</v>
      </c>
      <c r="T151">
        <v>-2.2330000000000001</v>
      </c>
      <c r="U151">
        <v>-0.66200000000000003</v>
      </c>
      <c r="V151">
        <f t="shared" si="7"/>
        <v>-1.2557500000000001</v>
      </c>
    </row>
    <row r="152" spans="1:22" x14ac:dyDescent="0.3">
      <c r="A152" t="s">
        <v>9</v>
      </c>
      <c r="B152">
        <v>1992</v>
      </c>
      <c r="C152">
        <v>385</v>
      </c>
      <c r="D152" s="12">
        <v>1992.74999999703</v>
      </c>
      <c r="I152" s="13">
        <f t="shared" si="6"/>
        <v>0.15225859990845766</v>
      </c>
      <c r="O152" s="12">
        <f>STANDARDIZE(C152,L$20,M$20)</f>
        <v>-0.36812321353292998</v>
      </c>
      <c r="P152" s="12">
        <v>1992.74999999703</v>
      </c>
      <c r="R152">
        <v>-0.56000000000000005</v>
      </c>
      <c r="S152">
        <v>-1.597</v>
      </c>
      <c r="T152">
        <v>-1.8480000000000001</v>
      </c>
      <c r="U152">
        <v>-0.23699999999999999</v>
      </c>
      <c r="V152">
        <f t="shared" si="7"/>
        <v>-1.0605</v>
      </c>
    </row>
    <row r="153" spans="1:22" x14ac:dyDescent="0.3">
      <c r="A153" t="s">
        <v>10</v>
      </c>
      <c r="B153">
        <v>1992</v>
      </c>
      <c r="C153">
        <v>350.6</v>
      </c>
      <c r="D153" s="12">
        <v>1992.8333333303899</v>
      </c>
      <c r="I153" s="13">
        <f t="shared" si="6"/>
        <v>-7.8845893154118191E-2</v>
      </c>
      <c r="O153" s="12">
        <f>STANDARDIZE(C153,L$21,M$21)</f>
        <v>-1.1314280064754734</v>
      </c>
      <c r="P153" s="12">
        <v>1992.8333333303899</v>
      </c>
      <c r="R153">
        <v>-0.68</v>
      </c>
      <c r="S153">
        <v>-1.31</v>
      </c>
      <c r="T153">
        <v>-1.8140000000000001</v>
      </c>
      <c r="U153">
        <v>-0.36499999999999999</v>
      </c>
      <c r="V153">
        <f t="shared" si="7"/>
        <v>-1.0422500000000001</v>
      </c>
    </row>
    <row r="154" spans="1:22" x14ac:dyDescent="0.3">
      <c r="A154" t="s">
        <v>11</v>
      </c>
      <c r="B154">
        <v>1992</v>
      </c>
      <c r="C154">
        <v>348.1</v>
      </c>
      <c r="D154" s="12">
        <v>1992.91666666375</v>
      </c>
      <c r="I154" s="13">
        <f t="shared" si="6"/>
        <v>-9.5641277824363533E-2</v>
      </c>
      <c r="O154" s="12">
        <f>STANDARDIZE(C154,L$22,M$22)</f>
        <v>-1.0124567780560907</v>
      </c>
      <c r="P154" s="12">
        <v>1992.91666666375</v>
      </c>
      <c r="R154">
        <v>-0.377</v>
      </c>
      <c r="S154">
        <v>-0.44600000000000001</v>
      </c>
      <c r="T154">
        <v>-1.333</v>
      </c>
      <c r="U154">
        <v>0.40799999999999997</v>
      </c>
      <c r="V154">
        <f t="shared" si="7"/>
        <v>-0.43699999999999994</v>
      </c>
    </row>
    <row r="155" spans="1:22" x14ac:dyDescent="0.3">
      <c r="A155" t="s">
        <v>0</v>
      </c>
      <c r="B155">
        <v>1993</v>
      </c>
      <c r="C155">
        <v>252.6</v>
      </c>
      <c r="D155" s="12">
        <v>1992.9999999971101</v>
      </c>
      <c r="I155" s="13">
        <f t="shared" si="6"/>
        <v>-0.73722497222773609</v>
      </c>
      <c r="O155" s="12">
        <f>STANDARDIZE(C155,L$11,M$11)</f>
        <v>-0.82592851287499092</v>
      </c>
      <c r="P155" s="12">
        <v>1992.9999999971101</v>
      </c>
      <c r="R155">
        <v>6.0999999999999999E-2</v>
      </c>
      <c r="S155">
        <v>-0.315</v>
      </c>
      <c r="T155">
        <v>-0.90300000000000002</v>
      </c>
      <c r="U155">
        <v>0.215</v>
      </c>
      <c r="V155">
        <f t="shared" si="7"/>
        <v>-0.23550000000000001</v>
      </c>
    </row>
    <row r="156" spans="1:22" x14ac:dyDescent="0.3">
      <c r="A156" t="s">
        <v>1</v>
      </c>
      <c r="B156">
        <v>1993</v>
      </c>
      <c r="C156">
        <v>169.5</v>
      </c>
      <c r="D156" s="12">
        <v>1993.0833333304699</v>
      </c>
      <c r="I156" s="13">
        <f t="shared" si="6"/>
        <v>-1.2955035586666914</v>
      </c>
      <c r="O156" s="12">
        <f>STANDARDIZE(C156,L$12,M$12)</f>
        <v>-0.59295360859120094</v>
      </c>
      <c r="P156" s="12">
        <v>1993.0833333304699</v>
      </c>
      <c r="R156">
        <v>0.14799999999999999</v>
      </c>
      <c r="S156">
        <v>-0.28100000000000003</v>
      </c>
      <c r="T156">
        <v>-0.91800000000000004</v>
      </c>
      <c r="U156">
        <v>0.122</v>
      </c>
      <c r="V156">
        <f t="shared" si="7"/>
        <v>-0.23225000000000004</v>
      </c>
    </row>
    <row r="157" spans="1:22" x14ac:dyDescent="0.3">
      <c r="A157" t="s">
        <v>2</v>
      </c>
      <c r="B157">
        <v>1993</v>
      </c>
      <c r="C157">
        <v>143.9</v>
      </c>
      <c r="D157" s="12">
        <v>1993.16666666383</v>
      </c>
      <c r="I157" s="13">
        <f t="shared" si="6"/>
        <v>-1.4674882976900039</v>
      </c>
      <c r="O157" s="12">
        <f>STANDARDIZE(C157,L$13,M$13)</f>
        <v>-0.60922015186595746</v>
      </c>
      <c r="P157" s="12">
        <v>1993.16666666383</v>
      </c>
      <c r="R157">
        <v>0.34200000000000003</v>
      </c>
      <c r="S157">
        <v>-0.19500000000000001</v>
      </c>
      <c r="T157">
        <v>-1.175</v>
      </c>
      <c r="U157">
        <v>0.38300000000000001</v>
      </c>
      <c r="V157">
        <f t="shared" si="7"/>
        <v>-0.16125</v>
      </c>
    </row>
    <row r="158" spans="1:22" x14ac:dyDescent="0.3">
      <c r="A158" t="s">
        <v>3</v>
      </c>
      <c r="B158">
        <v>1993</v>
      </c>
      <c r="C158">
        <v>223.8</v>
      </c>
      <c r="D158" s="12">
        <v>1993.2499999971899</v>
      </c>
      <c r="I158" s="13">
        <f t="shared" si="6"/>
        <v>-0.93070780362896244</v>
      </c>
      <c r="O158" s="12">
        <f>STANDARDIZE(C158,L$14,M$14)</f>
        <v>-0.11161087300456658</v>
      </c>
      <c r="P158" s="12">
        <v>1993.2499999971899</v>
      </c>
      <c r="R158">
        <v>0.57999999999999996</v>
      </c>
      <c r="S158">
        <v>-0.27200000000000002</v>
      </c>
      <c r="T158">
        <v>-1.1359999999999999</v>
      </c>
      <c r="U158">
        <v>0.872</v>
      </c>
      <c r="V158">
        <f t="shared" si="7"/>
        <v>1.100000000000001E-2</v>
      </c>
    </row>
    <row r="159" spans="1:22" x14ac:dyDescent="0.3">
      <c r="A159" t="s">
        <v>4</v>
      </c>
      <c r="B159">
        <v>1993</v>
      </c>
      <c r="C159">
        <v>340.4</v>
      </c>
      <c r="D159" s="12">
        <v>1993.33333333055</v>
      </c>
      <c r="I159" s="13">
        <f t="shared" si="6"/>
        <v>-0.14737106260871952</v>
      </c>
      <c r="O159" s="12">
        <f>STANDARDIZE(C159,L$15,M$15)</f>
        <v>0.10945730704392137</v>
      </c>
      <c r="P159" s="12">
        <v>1993.33333333055</v>
      </c>
      <c r="R159">
        <v>0.83299999999999996</v>
      </c>
      <c r="S159">
        <v>-0.29799999999999999</v>
      </c>
      <c r="T159">
        <v>-1.0529999999999999</v>
      </c>
      <c r="U159">
        <v>1.1020000000000001</v>
      </c>
      <c r="V159">
        <f t="shared" si="7"/>
        <v>0.14600000000000002</v>
      </c>
    </row>
    <row r="160" spans="1:22" x14ac:dyDescent="0.3">
      <c r="A160" t="s">
        <v>5</v>
      </c>
      <c r="B160">
        <v>1993</v>
      </c>
      <c r="C160">
        <v>397.4</v>
      </c>
      <c r="D160" s="12">
        <v>1993.4166666639101</v>
      </c>
      <c r="I160" s="13">
        <f t="shared" si="6"/>
        <v>0.23556370787287445</v>
      </c>
      <c r="O160" s="12">
        <f>STANDARDIZE(C160,L$16,M$16)</f>
        <v>2.7053040645893749E-2</v>
      </c>
      <c r="P160" s="12">
        <v>1993.4166666639101</v>
      </c>
      <c r="R160">
        <v>0.85899999999999999</v>
      </c>
      <c r="S160">
        <v>-0.60199999999999998</v>
      </c>
      <c r="T160">
        <v>-1.1839999999999999</v>
      </c>
      <c r="U160">
        <v>0.36299999999999999</v>
      </c>
      <c r="V160">
        <f t="shared" si="7"/>
        <v>-0.14099999999999999</v>
      </c>
    </row>
    <row r="161" spans="1:22" x14ac:dyDescent="0.3">
      <c r="A161" t="s">
        <v>6</v>
      </c>
      <c r="B161">
        <v>1993</v>
      </c>
      <c r="C161">
        <v>385.8</v>
      </c>
      <c r="D161" s="12">
        <v>1993.4999999972699</v>
      </c>
      <c r="I161" s="13">
        <f t="shared" si="6"/>
        <v>0.15763312300293628</v>
      </c>
      <c r="O161" s="12">
        <f>STANDARDIZE(C161,L$17,M$17)</f>
        <v>-9.068485964279896E-2</v>
      </c>
      <c r="P161" s="12">
        <v>1993.4999999972699</v>
      </c>
      <c r="R161">
        <v>0.81699999999999995</v>
      </c>
      <c r="S161">
        <v>-0.94299999999999995</v>
      </c>
      <c r="T161">
        <v>-1.1559999999999999</v>
      </c>
      <c r="U161">
        <v>0.221</v>
      </c>
      <c r="V161">
        <f t="shared" si="7"/>
        <v>-0.26524999999999999</v>
      </c>
    </row>
    <row r="162" spans="1:22" x14ac:dyDescent="0.3">
      <c r="A162" t="s">
        <v>7</v>
      </c>
      <c r="B162">
        <v>1993</v>
      </c>
      <c r="C162">
        <v>328.7</v>
      </c>
      <c r="D162" s="12">
        <v>1993.58333333063</v>
      </c>
      <c r="I162" s="13">
        <f t="shared" si="6"/>
        <v>-0.22597346286546768</v>
      </c>
      <c r="O162" s="12">
        <f>STANDARDIZE(C162,L$18,M$18)</f>
        <v>-0.39514875249741077</v>
      </c>
      <c r="P162" s="12">
        <v>1993.58333333063</v>
      </c>
      <c r="R162">
        <v>0.25</v>
      </c>
      <c r="S162">
        <v>-1.0840000000000001</v>
      </c>
      <c r="T162">
        <v>-1.383</v>
      </c>
      <c r="U162">
        <v>0.254</v>
      </c>
      <c r="V162">
        <f t="shared" si="7"/>
        <v>-0.49075000000000002</v>
      </c>
    </row>
    <row r="163" spans="1:22" x14ac:dyDescent="0.3">
      <c r="A163" t="s">
        <v>8</v>
      </c>
      <c r="B163">
        <v>1993</v>
      </c>
      <c r="C163">
        <v>351.7</v>
      </c>
      <c r="D163" s="12">
        <v>1993.6666666639901</v>
      </c>
      <c r="I163" s="13">
        <f t="shared" si="6"/>
        <v>-7.1455923899210461E-2</v>
      </c>
      <c r="O163" s="12">
        <f>STANDARDIZE(C163,L$19,M$19)</f>
        <v>-0.28273211523353958</v>
      </c>
      <c r="P163" s="12">
        <v>1993.6666666639901</v>
      </c>
      <c r="R163">
        <v>-0.27500000000000002</v>
      </c>
      <c r="S163">
        <v>-1.075</v>
      </c>
      <c r="T163">
        <v>-1.196</v>
      </c>
      <c r="U163">
        <v>0.104</v>
      </c>
      <c r="V163">
        <f t="shared" si="7"/>
        <v>-0.61050000000000004</v>
      </c>
    </row>
    <row r="164" spans="1:22" x14ac:dyDescent="0.3">
      <c r="A164" t="s">
        <v>9</v>
      </c>
      <c r="B164">
        <v>1993</v>
      </c>
      <c r="C164">
        <v>407.6</v>
      </c>
      <c r="D164" s="12">
        <v>1993.74999999735</v>
      </c>
      <c r="I164" s="13">
        <f t="shared" si="6"/>
        <v>0.3040888773274758</v>
      </c>
      <c r="O164" s="12">
        <f>STANDARDIZE(C164,L$20,M$20)</f>
        <v>-0.18172873017321411</v>
      </c>
      <c r="P164" s="12">
        <v>1993.74999999735</v>
      </c>
      <c r="R164">
        <v>-0.54500000000000004</v>
      </c>
      <c r="S164">
        <v>-0.93700000000000006</v>
      </c>
      <c r="T164">
        <v>-1.0369999999999999</v>
      </c>
      <c r="U164">
        <v>0.19</v>
      </c>
      <c r="V164">
        <f t="shared" si="7"/>
        <v>-0.58225000000000005</v>
      </c>
    </row>
    <row r="165" spans="1:22" x14ac:dyDescent="0.3">
      <c r="A165" t="s">
        <v>10</v>
      </c>
      <c r="B165">
        <v>1993</v>
      </c>
      <c r="C165">
        <v>432.1</v>
      </c>
      <c r="D165" s="12">
        <v>1993.83333333071</v>
      </c>
      <c r="I165" s="13">
        <f t="shared" si="6"/>
        <v>0.46868364709588023</v>
      </c>
      <c r="O165" s="12">
        <f>STANDARDIZE(C165,L$21,M$21)</f>
        <v>-0.41937099853917098</v>
      </c>
      <c r="P165" s="12">
        <v>1993.83333333071</v>
      </c>
      <c r="R165">
        <v>-0.28999999999999998</v>
      </c>
      <c r="S165">
        <v>-1.2629999999999999</v>
      </c>
      <c r="T165">
        <v>-1.04</v>
      </c>
      <c r="U165">
        <v>0.28299999999999997</v>
      </c>
      <c r="V165">
        <f t="shared" si="7"/>
        <v>-0.57750000000000001</v>
      </c>
    </row>
    <row r="166" spans="1:22" x14ac:dyDescent="0.3">
      <c r="A166" t="s">
        <v>11</v>
      </c>
      <c r="B166">
        <v>1993</v>
      </c>
      <c r="C166">
        <v>456.5</v>
      </c>
      <c r="D166" s="12">
        <v>1993.9166666640699</v>
      </c>
      <c r="I166" s="13">
        <f t="shared" si="6"/>
        <v>0.63260660147747472</v>
      </c>
      <c r="O166" s="12">
        <f>STANDARDIZE(C166,L$22,M$22)</f>
        <v>-0.22148795012906522</v>
      </c>
      <c r="P166" s="12">
        <v>1993.9166666640699</v>
      </c>
      <c r="R166">
        <v>7.8E-2</v>
      </c>
      <c r="S166">
        <v>-1.3660000000000001</v>
      </c>
      <c r="T166">
        <v>-1.544</v>
      </c>
      <c r="U166">
        <v>-0.67200000000000004</v>
      </c>
      <c r="V166">
        <f t="shared" si="7"/>
        <v>-0.876</v>
      </c>
    </row>
    <row r="167" spans="1:22" x14ac:dyDescent="0.3">
      <c r="A167" t="s">
        <v>0</v>
      </c>
      <c r="B167">
        <v>1994</v>
      </c>
      <c r="C167">
        <v>443.9</v>
      </c>
      <c r="D167" s="12">
        <v>1993.99999999743</v>
      </c>
      <c r="I167" s="13">
        <f t="shared" si="6"/>
        <v>0.54795786273943792</v>
      </c>
      <c r="O167" s="12">
        <f>STANDARDIZE(C167,L$11,M$11)</f>
        <v>0.45912682996600224</v>
      </c>
      <c r="P167" s="12">
        <v>1993.99999999743</v>
      </c>
      <c r="R167">
        <v>0.61099999999999999</v>
      </c>
      <c r="S167">
        <v>-1.3220000000000001</v>
      </c>
      <c r="T167">
        <v>-1.2609999999999999</v>
      </c>
      <c r="U167">
        <v>-0.755</v>
      </c>
      <c r="V167">
        <f t="shared" si="7"/>
        <v>-0.68174999999999997</v>
      </c>
    </row>
    <row r="168" spans="1:22" x14ac:dyDescent="0.3">
      <c r="A168" t="s">
        <v>1</v>
      </c>
      <c r="B168">
        <v>1994</v>
      </c>
      <c r="C168">
        <v>270.10000000000002</v>
      </c>
      <c r="D168" s="12">
        <v>1994.0833333307901</v>
      </c>
      <c r="I168" s="13">
        <f t="shared" si="6"/>
        <v>-0.61965727953601846</v>
      </c>
      <c r="O168" s="12">
        <f>STANDARDIZE(C168,L$12,M$12)</f>
        <v>0.21655649675181687</v>
      </c>
      <c r="P168" s="12">
        <v>1994.0833333307901</v>
      </c>
      <c r="R168">
        <v>1.0840000000000001</v>
      </c>
      <c r="S168">
        <v>-1.105</v>
      </c>
      <c r="T168">
        <v>-0.96399999999999997</v>
      </c>
      <c r="U168">
        <v>-0.74399999999999999</v>
      </c>
      <c r="V168">
        <f t="shared" si="7"/>
        <v>-0.43224999999999997</v>
      </c>
    </row>
    <row r="169" spans="1:22" x14ac:dyDescent="0.3">
      <c r="A169" t="s">
        <v>2</v>
      </c>
      <c r="B169">
        <v>1994</v>
      </c>
      <c r="C169">
        <v>232.3</v>
      </c>
      <c r="D169" s="12">
        <v>1994.1666666641499</v>
      </c>
      <c r="I169" s="13">
        <f t="shared" si="6"/>
        <v>-0.87360349575012819</v>
      </c>
      <c r="O169" s="12">
        <f>STANDARDIZE(C169,L$13,M$13)</f>
        <v>0.32183796118579466</v>
      </c>
      <c r="P169" s="12">
        <v>1994.1666666641499</v>
      </c>
      <c r="R169">
        <v>1.427</v>
      </c>
      <c r="S169">
        <v>-1.1930000000000001</v>
      </c>
      <c r="T169">
        <v>-0.88600000000000001</v>
      </c>
      <c r="U169">
        <v>-0.63500000000000001</v>
      </c>
      <c r="V169">
        <f t="shared" si="7"/>
        <v>-0.32174999999999998</v>
      </c>
    </row>
    <row r="170" spans="1:22" x14ac:dyDescent="0.3">
      <c r="A170" t="s">
        <v>3</v>
      </c>
      <c r="B170">
        <v>1994</v>
      </c>
      <c r="C170">
        <v>304.2</v>
      </c>
      <c r="D170" s="12">
        <v>1994.24999999751</v>
      </c>
      <c r="I170" s="13">
        <f t="shared" si="6"/>
        <v>-0.39056823263387208</v>
      </c>
      <c r="O170" s="12">
        <f>STANDARDIZE(C170,L$14,M$14)</f>
        <v>0.64308149211103494</v>
      </c>
      <c r="P170" s="12">
        <v>1994.24999999751</v>
      </c>
      <c r="R170">
        <v>1.323</v>
      </c>
      <c r="S170">
        <v>-1.2549999999999999</v>
      </c>
      <c r="T170">
        <v>-0.96499999999999997</v>
      </c>
      <c r="U170">
        <v>-0.61899999999999999</v>
      </c>
      <c r="V170">
        <f t="shared" si="7"/>
        <v>-0.379</v>
      </c>
    </row>
    <row r="171" spans="1:22" x14ac:dyDescent="0.3">
      <c r="A171" t="s">
        <v>4</v>
      </c>
      <c r="B171">
        <v>1994</v>
      </c>
      <c r="C171">
        <v>379.7</v>
      </c>
      <c r="D171" s="12">
        <v>1994.3333333308699</v>
      </c>
      <c r="I171" s="13">
        <f t="shared" si="6"/>
        <v>0.11665238440753746</v>
      </c>
      <c r="O171" s="12">
        <f>STANDARDIZE(C171,L$15,M$15)</f>
        <v>0.46443933104343388</v>
      </c>
      <c r="P171" s="12">
        <v>1994.3333333308699</v>
      </c>
      <c r="R171">
        <v>0.72599999999999998</v>
      </c>
      <c r="S171">
        <v>-1.069</v>
      </c>
      <c r="T171">
        <v>-0.89400000000000002</v>
      </c>
      <c r="U171">
        <v>-0.48</v>
      </c>
      <c r="V171">
        <f t="shared" si="7"/>
        <v>-0.42925000000000002</v>
      </c>
    </row>
    <row r="172" spans="1:22" x14ac:dyDescent="0.3">
      <c r="A172" t="s">
        <v>5</v>
      </c>
      <c r="B172">
        <v>1994</v>
      </c>
      <c r="C172">
        <v>444.4</v>
      </c>
      <c r="D172" s="12">
        <v>1994.41666666423</v>
      </c>
      <c r="I172" s="13">
        <f t="shared" si="6"/>
        <v>0.55131693967348705</v>
      </c>
      <c r="O172" s="12">
        <f>STANDARDIZE(C172,L$16,M$16)</f>
        <v>0.44807718314820827</v>
      </c>
      <c r="P172" s="12">
        <v>1994.41666666423</v>
      </c>
      <c r="R172">
        <v>-7.6999999999999999E-2</v>
      </c>
      <c r="S172">
        <v>-0.95499999999999996</v>
      </c>
      <c r="T172">
        <v>-0.73599999999999999</v>
      </c>
      <c r="U172">
        <v>-0.124</v>
      </c>
      <c r="V172">
        <f t="shared" si="7"/>
        <v>-0.47299999999999998</v>
      </c>
    </row>
    <row r="173" spans="1:22" x14ac:dyDescent="0.3">
      <c r="A173" t="s">
        <v>6</v>
      </c>
      <c r="B173">
        <v>1994</v>
      </c>
      <c r="C173">
        <v>446.2</v>
      </c>
      <c r="D173" s="12">
        <v>1994.4999999975901</v>
      </c>
      <c r="I173" s="13">
        <f t="shared" si="6"/>
        <v>0.56340961663606381</v>
      </c>
      <c r="O173" s="12">
        <f>STANDARDIZE(C173,L$17,M$17)</f>
        <v>0.3925714884410873</v>
      </c>
      <c r="P173" s="12">
        <v>1994.4999999975901</v>
      </c>
      <c r="R173">
        <v>-0.35799999999999998</v>
      </c>
      <c r="S173">
        <v>-0.94699999999999995</v>
      </c>
      <c r="T173">
        <v>-0.73799999999999999</v>
      </c>
      <c r="U173">
        <v>8.4000000000000005E-2</v>
      </c>
      <c r="V173">
        <f t="shared" si="7"/>
        <v>-0.48975000000000002</v>
      </c>
    </row>
    <row r="174" spans="1:22" x14ac:dyDescent="0.3">
      <c r="A174" t="s">
        <v>7</v>
      </c>
      <c r="B174">
        <v>1994</v>
      </c>
      <c r="C174">
        <v>377.2</v>
      </c>
      <c r="D174" s="12">
        <v>1994.5833333309499</v>
      </c>
      <c r="I174" s="13">
        <f t="shared" si="6"/>
        <v>9.9856999737292104E-2</v>
      </c>
      <c r="O174" s="12">
        <f>STANDARDIZE(C174,L$18,M$18)</f>
        <v>-2.1837862379225741E-2</v>
      </c>
      <c r="P174" s="12">
        <v>1994.5833333309499</v>
      </c>
      <c r="R174">
        <v>-0.23699999999999999</v>
      </c>
      <c r="S174">
        <v>-1.0089999999999999</v>
      </c>
      <c r="T174">
        <v>-1.087</v>
      </c>
      <c r="U174">
        <v>0.23899999999999999</v>
      </c>
      <c r="V174">
        <f t="shared" si="7"/>
        <v>-0.52350000000000008</v>
      </c>
    </row>
    <row r="175" spans="1:22" x14ac:dyDescent="0.3">
      <c r="A175" t="s">
        <v>8</v>
      </c>
      <c r="B175">
        <v>1994</v>
      </c>
      <c r="C175">
        <v>350.3</v>
      </c>
      <c r="D175" s="12">
        <v>1994.66666666431</v>
      </c>
      <c r="I175" s="13">
        <f t="shared" si="6"/>
        <v>-8.0861339314547698E-2</v>
      </c>
      <c r="O175" s="12">
        <f>STANDARDIZE(C175,L$19,M$19)</f>
        <v>-0.29351250092060144</v>
      </c>
      <c r="P175" s="12">
        <v>1994.66666666431</v>
      </c>
      <c r="R175">
        <v>-8.4000000000000005E-2</v>
      </c>
      <c r="S175">
        <v>-1.121</v>
      </c>
      <c r="T175">
        <v>-1.272</v>
      </c>
      <c r="U175">
        <v>-0.17799999999999999</v>
      </c>
      <c r="V175">
        <f t="shared" si="7"/>
        <v>-0.66375000000000006</v>
      </c>
    </row>
    <row r="176" spans="1:22" x14ac:dyDescent="0.3">
      <c r="A176" t="s">
        <v>9</v>
      </c>
      <c r="B176">
        <v>1994</v>
      </c>
      <c r="C176">
        <v>413</v>
      </c>
      <c r="D176" s="12">
        <v>1994.7499999976701</v>
      </c>
      <c r="I176" s="13">
        <f t="shared" si="6"/>
        <v>0.3403669082152056</v>
      </c>
      <c r="O176" s="12">
        <f>STANDARDIZE(C176,L$20,M$20)</f>
        <v>-0.13719199521115835</v>
      </c>
      <c r="P176" s="12">
        <v>1994.7499999976701</v>
      </c>
      <c r="R176">
        <v>7.6999999999999999E-2</v>
      </c>
      <c r="S176">
        <v>-1.1479999999999999</v>
      </c>
      <c r="T176">
        <v>-1.21</v>
      </c>
      <c r="U176">
        <v>-0.25600000000000001</v>
      </c>
      <c r="V176">
        <f t="shared" si="7"/>
        <v>-0.63424999999999998</v>
      </c>
    </row>
    <row r="177" spans="1:22" x14ac:dyDescent="0.3">
      <c r="A177" t="s">
        <v>10</v>
      </c>
      <c r="B177">
        <v>1994</v>
      </c>
      <c r="C177">
        <v>473.5</v>
      </c>
      <c r="D177" s="12">
        <v>1994.83333333103</v>
      </c>
      <c r="I177" s="13">
        <f t="shared" si="6"/>
        <v>0.7468152172351431</v>
      </c>
      <c r="O177" s="12">
        <f>STANDARDIZE(C177,L$21,M$21)</f>
        <v>-5.7663512299135355E-2</v>
      </c>
      <c r="P177" s="12">
        <v>1994.83333333103</v>
      </c>
      <c r="R177">
        <v>0.72499999999999998</v>
      </c>
      <c r="S177">
        <v>-0.84199999999999997</v>
      </c>
      <c r="T177">
        <v>-1.2110000000000001</v>
      </c>
      <c r="U177">
        <v>0.08</v>
      </c>
      <c r="V177">
        <f t="shared" si="7"/>
        <v>-0.312</v>
      </c>
    </row>
    <row r="178" spans="1:22" x14ac:dyDescent="0.3">
      <c r="A178" t="s">
        <v>11</v>
      </c>
      <c r="B178">
        <v>1994</v>
      </c>
      <c r="C178">
        <v>485.2</v>
      </c>
      <c r="D178" s="12">
        <v>1994.91666666439</v>
      </c>
      <c r="I178" s="13">
        <f t="shared" si="6"/>
        <v>0.82541761749189124</v>
      </c>
      <c r="O178" s="12">
        <f>STANDARDIZE(C178,L$22,M$22)</f>
        <v>-1.2070926498939514E-2</v>
      </c>
      <c r="P178" s="12">
        <v>1994.91666666439</v>
      </c>
      <c r="R178">
        <v>0.46800000000000003</v>
      </c>
      <c r="S178">
        <v>-1.37</v>
      </c>
      <c r="T178">
        <v>-1.121</v>
      </c>
      <c r="U178">
        <v>-0.16500000000000001</v>
      </c>
      <c r="V178">
        <f t="shared" si="7"/>
        <v>-0.54700000000000004</v>
      </c>
    </row>
    <row r="179" spans="1:22" x14ac:dyDescent="0.3">
      <c r="A179" t="s">
        <v>0</v>
      </c>
      <c r="B179">
        <v>1995</v>
      </c>
      <c r="C179">
        <v>344.7</v>
      </c>
      <c r="D179" s="12">
        <v>1994.9999999977499</v>
      </c>
      <c r="I179" s="13">
        <f t="shared" si="6"/>
        <v>-0.11848300097589744</v>
      </c>
      <c r="O179" s="12">
        <f>STANDARDIZE(C179,L$11,M$11)</f>
        <v>-0.20724792178426707</v>
      </c>
      <c r="P179" s="12">
        <v>1994.9999999977499</v>
      </c>
      <c r="R179">
        <v>0.18099999999999999</v>
      </c>
      <c r="S179">
        <v>-1.734</v>
      </c>
      <c r="T179">
        <v>-0.79200000000000004</v>
      </c>
      <c r="U179">
        <v>7.0000000000000007E-2</v>
      </c>
      <c r="V179">
        <f t="shared" si="7"/>
        <v>-0.56874999999999998</v>
      </c>
    </row>
    <row r="180" spans="1:22" x14ac:dyDescent="0.3">
      <c r="A180" t="s">
        <v>1</v>
      </c>
      <c r="B180">
        <v>1995</v>
      </c>
      <c r="C180">
        <v>148.6</v>
      </c>
      <c r="D180" s="12">
        <v>1995.08333333111</v>
      </c>
      <c r="I180" s="13">
        <f t="shared" si="6"/>
        <v>-1.4359129745099426</v>
      </c>
      <c r="O180" s="12">
        <f>STANDARDIZE(C180,L$12,M$12)</f>
        <v>-0.76113214936325935</v>
      </c>
      <c r="P180" s="12">
        <v>1995.08333333111</v>
      </c>
      <c r="R180">
        <v>0.27600000000000002</v>
      </c>
      <c r="S180">
        <v>-1.68</v>
      </c>
      <c r="T180">
        <v>-0.64400000000000002</v>
      </c>
      <c r="U180">
        <v>-0.28599999999999998</v>
      </c>
      <c r="V180">
        <f t="shared" si="7"/>
        <v>-0.58350000000000002</v>
      </c>
    </row>
    <row r="181" spans="1:22" x14ac:dyDescent="0.3">
      <c r="A181" t="s">
        <v>2</v>
      </c>
      <c r="B181">
        <v>1995</v>
      </c>
      <c r="C181">
        <v>135.19999999999999</v>
      </c>
      <c r="D181" s="12">
        <v>1995.1666666644701</v>
      </c>
      <c r="I181" s="13">
        <f t="shared" si="6"/>
        <v>-1.5259362363424578</v>
      </c>
      <c r="O181" s="12">
        <f>STANDARDIZE(C181,L$13,M$13)</f>
        <v>-0.70085143674774775</v>
      </c>
      <c r="P181" s="12">
        <v>1995.1666666644701</v>
      </c>
      <c r="R181">
        <v>0.313</v>
      </c>
      <c r="S181">
        <v>-1.657</v>
      </c>
      <c r="T181">
        <v>-0.39100000000000001</v>
      </c>
      <c r="U181">
        <v>-0.28499999999999998</v>
      </c>
      <c r="V181">
        <f t="shared" si="7"/>
        <v>-0.505</v>
      </c>
    </row>
    <row r="182" spans="1:22" x14ac:dyDescent="0.3">
      <c r="A182" t="s">
        <v>3</v>
      </c>
      <c r="B182">
        <v>1995</v>
      </c>
      <c r="C182">
        <v>182.4</v>
      </c>
      <c r="D182" s="12">
        <v>1995.2499999978299</v>
      </c>
      <c r="I182" s="13">
        <f t="shared" si="6"/>
        <v>-1.2088393737682255</v>
      </c>
      <c r="O182" s="12">
        <f>STANDARDIZE(C182,L$14,M$14)</f>
        <v>-0.50022112071334657</v>
      </c>
      <c r="P182" s="12">
        <v>1995.2499999978299</v>
      </c>
      <c r="R182">
        <v>0.185</v>
      </c>
      <c r="S182">
        <v>-1.901</v>
      </c>
      <c r="T182">
        <v>-0.69</v>
      </c>
      <c r="U182">
        <v>-0.64600000000000002</v>
      </c>
      <c r="V182">
        <f t="shared" si="7"/>
        <v>-0.7629999999999999</v>
      </c>
    </row>
    <row r="183" spans="1:22" x14ac:dyDescent="0.3">
      <c r="A183" t="s">
        <v>4</v>
      </c>
      <c r="B183">
        <v>1995</v>
      </c>
      <c r="C183">
        <v>289.89999999999998</v>
      </c>
      <c r="D183" s="12">
        <v>1995.33333333119</v>
      </c>
      <c r="I183" s="13">
        <f t="shared" si="6"/>
        <v>-0.4866378329476756</v>
      </c>
      <c r="O183" s="12">
        <f>STANDARDIZE(C183,L$15,M$15)</f>
        <v>-0.3466900774847142</v>
      </c>
      <c r="P183" s="12">
        <v>1995.33333333119</v>
      </c>
      <c r="R183">
        <v>-5.0999999999999997E-2</v>
      </c>
      <c r="S183">
        <v>-1.8720000000000001</v>
      </c>
      <c r="T183">
        <v>-1.044</v>
      </c>
      <c r="U183">
        <v>0.10199999999999999</v>
      </c>
      <c r="V183">
        <f t="shared" si="7"/>
        <v>-0.71625000000000005</v>
      </c>
    </row>
    <row r="184" spans="1:22" x14ac:dyDescent="0.3">
      <c r="A184" t="s">
        <v>5</v>
      </c>
      <c r="B184">
        <v>1995</v>
      </c>
      <c r="C184">
        <v>370.4</v>
      </c>
      <c r="D184" s="12">
        <v>1995.4166666645499</v>
      </c>
      <c r="I184" s="13">
        <f t="shared" si="6"/>
        <v>5.4173553434224683E-2</v>
      </c>
      <c r="O184" s="12">
        <f>STANDARDIZE(C184,L$16,M$16)</f>
        <v>-0.21481189228096781</v>
      </c>
      <c r="P184" s="12">
        <v>1995.4166666645499</v>
      </c>
      <c r="R184">
        <v>-0.40400000000000003</v>
      </c>
      <c r="S184">
        <v>-1.56</v>
      </c>
      <c r="T184">
        <v>-1.1870000000000001</v>
      </c>
      <c r="U184">
        <v>-0.218</v>
      </c>
      <c r="V184">
        <f t="shared" si="7"/>
        <v>-0.84224999999999994</v>
      </c>
    </row>
    <row r="185" spans="1:22" x14ac:dyDescent="0.3">
      <c r="A185" t="s">
        <v>6</v>
      </c>
      <c r="B185">
        <v>1995</v>
      </c>
      <c r="C185">
        <v>439.9</v>
      </c>
      <c r="D185" s="12">
        <v>1995.49999999791</v>
      </c>
      <c r="I185" s="13">
        <f t="shared" si="6"/>
        <v>0.52108524726704541</v>
      </c>
      <c r="O185" s="12">
        <f>STANDARDIZE(C185,L$17,M$17)</f>
        <v>0.34216561107472154</v>
      </c>
      <c r="P185" s="12">
        <v>1995.49999999791</v>
      </c>
      <c r="R185">
        <v>-0.39100000000000001</v>
      </c>
      <c r="S185">
        <v>-1.633</v>
      </c>
      <c r="T185">
        <v>-1.1419999999999999</v>
      </c>
      <c r="U185">
        <v>5.5E-2</v>
      </c>
      <c r="V185">
        <f t="shared" si="7"/>
        <v>-0.77774999999999994</v>
      </c>
    </row>
    <row r="186" spans="1:22" x14ac:dyDescent="0.3">
      <c r="A186" t="s">
        <v>7</v>
      </c>
      <c r="B186">
        <v>1995</v>
      </c>
      <c r="C186">
        <v>528.79999999999995</v>
      </c>
      <c r="D186" s="12">
        <v>1995.5833333312701</v>
      </c>
      <c r="I186" s="13">
        <f t="shared" si="6"/>
        <v>1.1183291261409698</v>
      </c>
      <c r="O186" s="12">
        <f>STANDARDIZE(C186,L$18,M$18)</f>
        <v>1.1450473116809152</v>
      </c>
      <c r="P186" s="12">
        <v>1995.5833333312701</v>
      </c>
      <c r="R186">
        <v>-0.98</v>
      </c>
      <c r="S186">
        <v>-1.486</v>
      </c>
      <c r="T186">
        <v>-1.399</v>
      </c>
      <c r="U186">
        <v>0.23899999999999999</v>
      </c>
      <c r="V186">
        <f t="shared" si="7"/>
        <v>-0.90650000000000008</v>
      </c>
    </row>
    <row r="187" spans="1:22" x14ac:dyDescent="0.3">
      <c r="A187" t="s">
        <v>8</v>
      </c>
      <c r="B187">
        <v>1995</v>
      </c>
      <c r="C187">
        <v>577.79999999999995</v>
      </c>
      <c r="D187" s="12">
        <v>1995.6666666646299</v>
      </c>
      <c r="I187" s="13">
        <f t="shared" si="6"/>
        <v>1.4475186656777788</v>
      </c>
      <c r="O187" s="12">
        <f>STANDARDIZE(C187,L$19,M$19)</f>
        <v>1.4583001732269789</v>
      </c>
      <c r="P187" s="12">
        <v>1995.6666666646299</v>
      </c>
      <c r="R187">
        <v>-1.0820000000000001</v>
      </c>
      <c r="S187">
        <v>-1.581</v>
      </c>
      <c r="T187">
        <v>-1.736</v>
      </c>
      <c r="U187">
        <v>0.32100000000000001</v>
      </c>
      <c r="V187">
        <f t="shared" si="7"/>
        <v>-1.0195000000000001</v>
      </c>
    </row>
    <row r="188" spans="1:22" x14ac:dyDescent="0.3">
      <c r="A188" t="s">
        <v>9</v>
      </c>
      <c r="B188">
        <v>1995</v>
      </c>
      <c r="C188">
        <v>565.20000000000005</v>
      </c>
      <c r="D188" s="12">
        <v>1995.74999999799</v>
      </c>
      <c r="I188" s="13">
        <f t="shared" si="6"/>
        <v>1.3628699269397428</v>
      </c>
      <c r="O188" s="12">
        <f>STANDARDIZE(C188,L$20,M$20)</f>
        <v>1.1180841272379007</v>
      </c>
      <c r="P188" s="12">
        <v>1995.74999999799</v>
      </c>
      <c r="R188">
        <v>-0.93100000000000005</v>
      </c>
      <c r="S188">
        <v>-1.5169999999999999</v>
      </c>
      <c r="T188">
        <v>-1.6739999999999999</v>
      </c>
      <c r="U188">
        <v>0.11700000000000001</v>
      </c>
      <c r="V188">
        <f t="shared" si="7"/>
        <v>-1.00125</v>
      </c>
    </row>
    <row r="189" spans="1:22" x14ac:dyDescent="0.3">
      <c r="A189" t="s">
        <v>10</v>
      </c>
      <c r="B189">
        <v>1995</v>
      </c>
      <c r="C189">
        <v>571.5</v>
      </c>
      <c r="D189" s="12">
        <v>1995.8333333313501</v>
      </c>
      <c r="I189" s="13">
        <f t="shared" si="6"/>
        <v>1.4051942963087607</v>
      </c>
      <c r="O189" s="12">
        <f>STANDARDIZE(C189,L$21,M$21)</f>
        <v>0.79855227638500748</v>
      </c>
      <c r="P189" s="12">
        <v>1995.8333333313501</v>
      </c>
      <c r="R189">
        <v>-0.60799999999999998</v>
      </c>
      <c r="S189">
        <v>-1.484</v>
      </c>
      <c r="T189">
        <v>-1.2609999999999999</v>
      </c>
      <c r="U189">
        <v>0.63800000000000001</v>
      </c>
      <c r="V189">
        <f t="shared" si="7"/>
        <v>-0.67874999999999996</v>
      </c>
    </row>
    <row r="190" spans="1:22" x14ac:dyDescent="0.3">
      <c r="A190" t="s">
        <v>11</v>
      </c>
      <c r="B190">
        <v>1995</v>
      </c>
      <c r="C190">
        <v>543.9</v>
      </c>
      <c r="D190" s="12">
        <v>1995.91666666471</v>
      </c>
      <c r="I190" s="13">
        <f t="shared" si="6"/>
        <v>1.2197732495492519</v>
      </c>
      <c r="O190" s="12">
        <f>STANDARDIZE(C190,L$22,M$22)</f>
        <v>0.41624890928811209</v>
      </c>
      <c r="P190" s="12">
        <v>1995.91666666471</v>
      </c>
      <c r="R190">
        <v>-0.22800000000000001</v>
      </c>
      <c r="S190">
        <v>-1.341</v>
      </c>
      <c r="T190">
        <v>0.11700000000000001</v>
      </c>
      <c r="U190">
        <v>-0.129</v>
      </c>
      <c r="V190">
        <f t="shared" si="7"/>
        <v>-0.39524999999999999</v>
      </c>
    </row>
    <row r="191" spans="1:22" x14ac:dyDescent="0.3">
      <c r="A191" t="s">
        <v>0</v>
      </c>
      <c r="B191">
        <v>1996</v>
      </c>
      <c r="C191">
        <v>380.6</v>
      </c>
      <c r="D191" s="12">
        <v>1995.9999999980701</v>
      </c>
      <c r="I191" s="13">
        <f t="shared" si="6"/>
        <v>0.12269872288882601</v>
      </c>
      <c r="O191" s="12">
        <f>STANDARDIZE(C191,L$11,M$11)</f>
        <v>3.3909876480195555E-2</v>
      </c>
      <c r="P191" s="12">
        <v>1995.9999999980701</v>
      </c>
      <c r="R191">
        <v>0.46100000000000002</v>
      </c>
      <c r="S191">
        <v>-1.091</v>
      </c>
      <c r="T191">
        <v>9.6000000000000002E-2</v>
      </c>
      <c r="U191">
        <v>-0.254</v>
      </c>
      <c r="V191">
        <f t="shared" si="7"/>
        <v>-0.19699999999999998</v>
      </c>
    </row>
    <row r="192" spans="1:22" x14ac:dyDescent="0.3">
      <c r="A192" t="s">
        <v>1</v>
      </c>
      <c r="B192">
        <v>1996</v>
      </c>
      <c r="C192">
        <v>298.2</v>
      </c>
      <c r="D192" s="12">
        <v>1996.0833333314299</v>
      </c>
      <c r="I192" s="13">
        <f t="shared" si="6"/>
        <v>-0.43087715584246095</v>
      </c>
      <c r="O192" s="12">
        <f>STANDARDIZE(C192,L$12,M$12)</f>
        <v>0.44267214247884246</v>
      </c>
      <c r="P192" s="12">
        <v>1996.0833333314299</v>
      </c>
      <c r="R192">
        <v>0.63600000000000001</v>
      </c>
      <c r="S192">
        <v>-1.3660000000000001</v>
      </c>
      <c r="T192">
        <v>-0.20300000000000001</v>
      </c>
      <c r="U192">
        <v>8.2000000000000003E-2</v>
      </c>
      <c r="V192">
        <f t="shared" si="7"/>
        <v>-0.21275000000000002</v>
      </c>
    </row>
    <row r="193" spans="1:22" x14ac:dyDescent="0.3">
      <c r="A193" t="s">
        <v>2</v>
      </c>
      <c r="B193">
        <v>1996</v>
      </c>
      <c r="C193">
        <v>313.39999999999998</v>
      </c>
      <c r="D193" s="12">
        <v>1996.16666666479</v>
      </c>
      <c r="I193" s="13">
        <f t="shared" si="6"/>
        <v>-0.32876121704736927</v>
      </c>
      <c r="O193" s="12">
        <f>STANDARDIZE(C193,L$13,M$13)</f>
        <v>1.1760100535896076</v>
      </c>
      <c r="P193" s="12">
        <v>1996.16666666479</v>
      </c>
      <c r="R193">
        <v>1.091</v>
      </c>
      <c r="S193">
        <v>-1.4730000000000001</v>
      </c>
      <c r="T193">
        <v>-0.32</v>
      </c>
      <c r="U193">
        <v>-0.26400000000000001</v>
      </c>
      <c r="V193">
        <f t="shared" si="7"/>
        <v>-0.24150000000000005</v>
      </c>
    </row>
    <row r="194" spans="1:22" x14ac:dyDescent="0.3">
      <c r="A194" t="s">
        <v>3</v>
      </c>
      <c r="B194">
        <v>1996</v>
      </c>
      <c r="C194">
        <v>349.2</v>
      </c>
      <c r="D194" s="12">
        <v>1996.2499999981501</v>
      </c>
      <c r="I194" s="13">
        <f t="shared" si="6"/>
        <v>-8.8251308569455816E-2</v>
      </c>
      <c r="O194" s="12">
        <f>STANDARDIZE(C194,L$14,M$14)</f>
        <v>1.0654839352727523</v>
      </c>
      <c r="P194" s="12">
        <v>1996.2499999981501</v>
      </c>
      <c r="R194">
        <v>1.302</v>
      </c>
      <c r="S194">
        <v>-1.552</v>
      </c>
      <c r="T194">
        <v>-0.28499999999999998</v>
      </c>
      <c r="U194">
        <v>-0.02</v>
      </c>
      <c r="V194">
        <f t="shared" si="7"/>
        <v>-0.13874999999999998</v>
      </c>
    </row>
    <row r="195" spans="1:22" x14ac:dyDescent="0.3">
      <c r="A195" t="s">
        <v>4</v>
      </c>
      <c r="B195">
        <v>1996</v>
      </c>
      <c r="C195">
        <v>368.6</v>
      </c>
      <c r="D195" s="12">
        <v>1996.3333333315099</v>
      </c>
      <c r="I195" s="13">
        <f t="shared" si="6"/>
        <v>4.2080876471648335E-2</v>
      </c>
      <c r="O195" s="12">
        <f>STANDARDIZE(C195,L$15,M$15)</f>
        <v>0.3641772326618925</v>
      </c>
      <c r="P195" s="12">
        <v>1996.3333333315099</v>
      </c>
      <c r="R195">
        <v>2.0379999999999998</v>
      </c>
      <c r="S195">
        <v>-1.4039999999999999</v>
      </c>
      <c r="T195">
        <v>-0.14099999999999999</v>
      </c>
      <c r="U195">
        <v>-0.16400000000000001</v>
      </c>
      <c r="V195">
        <f t="shared" si="7"/>
        <v>8.2249999999999962E-2</v>
      </c>
    </row>
    <row r="196" spans="1:22" x14ac:dyDescent="0.3">
      <c r="A196" t="s">
        <v>5</v>
      </c>
      <c r="B196">
        <v>1996</v>
      </c>
      <c r="C196">
        <v>428.3</v>
      </c>
      <c r="D196" s="12">
        <v>1996.41666666487</v>
      </c>
      <c r="I196" s="13">
        <f t="shared" si="6"/>
        <v>0.44315466239710721</v>
      </c>
      <c r="O196" s="12">
        <f>STANDARDIZE(C196,L$16,M$16)</f>
        <v>0.30385401943996893</v>
      </c>
      <c r="P196" s="12">
        <v>1996.41666666487</v>
      </c>
      <c r="R196">
        <v>2.1139999999999999</v>
      </c>
      <c r="S196">
        <v>-1.6719999999999999</v>
      </c>
      <c r="T196">
        <v>-0.48499999999999999</v>
      </c>
      <c r="U196">
        <v>-0.54100000000000004</v>
      </c>
      <c r="V196">
        <f t="shared" si="7"/>
        <v>-0.14600000000000002</v>
      </c>
    </row>
    <row r="197" spans="1:22" x14ac:dyDescent="0.3">
      <c r="A197" t="s">
        <v>6</v>
      </c>
      <c r="B197">
        <v>1996</v>
      </c>
      <c r="C197">
        <v>464.1</v>
      </c>
      <c r="D197" s="12">
        <v>1996.4999999982299</v>
      </c>
      <c r="I197" s="13">
        <f t="shared" si="6"/>
        <v>0.68366457087502075</v>
      </c>
      <c r="O197" s="12">
        <f>STANDARDIZE(C197,L$17,M$17)</f>
        <v>0.53578818762488833</v>
      </c>
      <c r="P197" s="12">
        <v>1996.4999999982299</v>
      </c>
      <c r="R197">
        <v>1.004</v>
      </c>
      <c r="S197">
        <v>-1.5529999999999999</v>
      </c>
      <c r="T197">
        <v>-0.58299999999999996</v>
      </c>
      <c r="U197">
        <v>-0.48099999999999998</v>
      </c>
      <c r="V197">
        <f t="shared" si="7"/>
        <v>-0.40325</v>
      </c>
    </row>
    <row r="198" spans="1:22" x14ac:dyDescent="0.3">
      <c r="A198" t="s">
        <v>7</v>
      </c>
      <c r="B198">
        <v>1996</v>
      </c>
      <c r="C198">
        <v>478.5</v>
      </c>
      <c r="D198" s="12">
        <v>1996.58333333159</v>
      </c>
      <c r="I198" s="13">
        <f t="shared" si="6"/>
        <v>0.78040598657563376</v>
      </c>
      <c r="O198" s="12">
        <f>STANDARDIZE(C198,L$18,M$18)</f>
        <v>0.75788158440370523</v>
      </c>
      <c r="P198" s="12">
        <v>1996.58333333159</v>
      </c>
      <c r="R198">
        <v>0.32</v>
      </c>
      <c r="S198">
        <v>-1.4450000000000001</v>
      </c>
      <c r="T198">
        <v>-0.52200000000000002</v>
      </c>
      <c r="U198">
        <v>-0.433</v>
      </c>
      <c r="V198">
        <f t="shared" si="7"/>
        <v>-0.52</v>
      </c>
    </row>
    <row r="199" spans="1:22" x14ac:dyDescent="0.3">
      <c r="A199" t="s">
        <v>8</v>
      </c>
      <c r="B199">
        <v>1996</v>
      </c>
      <c r="C199">
        <v>460.3</v>
      </c>
      <c r="D199" s="12">
        <v>1996.6666666649501</v>
      </c>
      <c r="I199" s="13">
        <f t="shared" si="6"/>
        <v>0.65813558617624768</v>
      </c>
      <c r="O199" s="12">
        <f>STANDARDIZE(C199,L$19,M$19)</f>
        <v>0.55351780306284426</v>
      </c>
      <c r="P199" s="12">
        <v>1996.6666666649501</v>
      </c>
      <c r="R199">
        <v>-0.28000000000000003</v>
      </c>
      <c r="S199">
        <v>-1.409</v>
      </c>
      <c r="T199">
        <v>-0.14199999999999999</v>
      </c>
      <c r="U199">
        <v>-0.495</v>
      </c>
      <c r="V199">
        <f t="shared" si="7"/>
        <v>-0.58150000000000002</v>
      </c>
    </row>
    <row r="200" spans="1:22" x14ac:dyDescent="0.3">
      <c r="A200" t="s">
        <v>9</v>
      </c>
      <c r="B200">
        <v>1996</v>
      </c>
      <c r="C200">
        <v>452.9</v>
      </c>
      <c r="D200" s="12">
        <v>1996.7499999983099</v>
      </c>
      <c r="I200" s="13">
        <f t="shared" si="6"/>
        <v>0.60842124755232119</v>
      </c>
      <c r="O200" s="12">
        <f>STANDARDIZE(C200,L$20,M$20)</f>
        <v>0.19188499089736605</v>
      </c>
      <c r="P200" s="12">
        <v>1996.7499999983099</v>
      </c>
      <c r="R200">
        <v>-0.69899999999999995</v>
      </c>
      <c r="S200">
        <v>-1.458</v>
      </c>
      <c r="T200">
        <v>0.16900000000000001</v>
      </c>
      <c r="U200">
        <v>-0.157</v>
      </c>
      <c r="V200">
        <f t="shared" si="7"/>
        <v>-0.53625</v>
      </c>
    </row>
    <row r="201" spans="1:22" x14ac:dyDescent="0.3">
      <c r="A201" t="s">
        <v>10</v>
      </c>
      <c r="B201">
        <v>1996</v>
      </c>
      <c r="C201">
        <v>456.4</v>
      </c>
      <c r="D201" s="12">
        <v>1996.83333333167</v>
      </c>
      <c r="I201" s="13">
        <f t="shared" si="6"/>
        <v>0.63193478609066467</v>
      </c>
      <c r="O201" s="12">
        <f>STANDARDIZE(C201,L$21,M$21)</f>
        <v>-0.20706443052871557</v>
      </c>
      <c r="P201" s="12">
        <v>1996.83333333167</v>
      </c>
      <c r="R201">
        <v>-0.34699999999999998</v>
      </c>
      <c r="S201">
        <v>-0.92</v>
      </c>
      <c r="T201">
        <v>0.36499999999999999</v>
      </c>
      <c r="U201">
        <v>0.25600000000000001</v>
      </c>
      <c r="V201">
        <f t="shared" si="7"/>
        <v>-0.16149999999999998</v>
      </c>
    </row>
    <row r="202" spans="1:22" x14ac:dyDescent="0.3">
      <c r="A202" t="s">
        <v>11</v>
      </c>
      <c r="B202">
        <v>1996</v>
      </c>
      <c r="C202">
        <v>438.6</v>
      </c>
      <c r="D202" s="12">
        <v>1996.9166666650301</v>
      </c>
      <c r="I202" s="13">
        <f t="shared" si="6"/>
        <v>0.51235164723851812</v>
      </c>
      <c r="O202" s="12">
        <f>STANDARDIZE(C202,L$22,M$22)</f>
        <v>-0.3520999613826975</v>
      </c>
      <c r="P202" s="12">
        <v>1996.9166666650301</v>
      </c>
      <c r="R202">
        <v>-0.60499999999999998</v>
      </c>
      <c r="S202">
        <v>0.45100000000000001</v>
      </c>
      <c r="T202">
        <v>0.85499999999999998</v>
      </c>
      <c r="U202">
        <v>0.30299999999999999</v>
      </c>
      <c r="V202">
        <f t="shared" si="7"/>
        <v>0.251</v>
      </c>
    </row>
    <row r="203" spans="1:22" x14ac:dyDescent="0.3">
      <c r="A203" t="s">
        <v>0</v>
      </c>
      <c r="B203">
        <v>1997</v>
      </c>
      <c r="C203">
        <v>288.60000000000002</v>
      </c>
      <c r="D203" s="12">
        <v>1996.99999999839</v>
      </c>
      <c r="I203" s="13">
        <f t="shared" si="6"/>
        <v>-0.49537143297620284</v>
      </c>
      <c r="O203" s="12">
        <f>STANDARDIZE(C203,L$11,M$11)</f>
        <v>-0.58409896586884458</v>
      </c>
      <c r="P203" s="12">
        <v>1996.99999999839</v>
      </c>
      <c r="R203">
        <v>0.65900000000000003</v>
      </c>
      <c r="S203">
        <v>0.55400000000000005</v>
      </c>
      <c r="T203">
        <v>0.126</v>
      </c>
      <c r="U203">
        <v>0.48399999999999999</v>
      </c>
      <c r="V203">
        <f t="shared" si="7"/>
        <v>0.45574999999999999</v>
      </c>
    </row>
    <row r="204" spans="1:22" x14ac:dyDescent="0.3">
      <c r="A204" t="s">
        <v>1</v>
      </c>
      <c r="B204">
        <v>1997</v>
      </c>
      <c r="C204">
        <v>218.1</v>
      </c>
      <c r="D204" s="12">
        <v>1997.0833333317501</v>
      </c>
      <c r="I204" s="13">
        <f t="shared" ref="I204:I267" si="8">STANDARDIZE(C204,C$8,C$9)</f>
        <v>-0.96900128067712188</v>
      </c>
      <c r="O204" s="12">
        <f>STANDARDIZE(C204,L$12,M$12)</f>
        <v>-0.20187815014517063</v>
      </c>
      <c r="P204" s="12">
        <v>1997.0833333317501</v>
      </c>
      <c r="R204">
        <v>0.49199999999999999</v>
      </c>
      <c r="S204">
        <v>0.27100000000000002</v>
      </c>
      <c r="T204">
        <v>-0.51200000000000001</v>
      </c>
      <c r="U204">
        <v>1.0249999999999999</v>
      </c>
      <c r="V204">
        <f t="shared" ref="V204:V267" si="9">AVERAGE(R204:U204)</f>
        <v>0.31899999999999995</v>
      </c>
    </row>
    <row r="205" spans="1:22" x14ac:dyDescent="0.3">
      <c r="A205" t="s">
        <v>2</v>
      </c>
      <c r="B205">
        <v>1997</v>
      </c>
      <c r="C205">
        <v>132.69999999999999</v>
      </c>
      <c r="D205" s="12">
        <v>1997.1666666651099</v>
      </c>
      <c r="I205" s="13">
        <f t="shared" si="8"/>
        <v>-1.5427316210127031</v>
      </c>
      <c r="O205" s="12">
        <f>STANDARDIZE(C205,L$13,M$13)</f>
        <v>-0.72718226573676792</v>
      </c>
      <c r="P205" s="12">
        <v>1997.1666666651099</v>
      </c>
      <c r="R205">
        <v>0.42099999999999999</v>
      </c>
      <c r="S205">
        <v>0.218</v>
      </c>
      <c r="T205">
        <v>-1.137</v>
      </c>
      <c r="U205">
        <v>1.113</v>
      </c>
      <c r="V205">
        <f t="shared" si="9"/>
        <v>0.15375</v>
      </c>
    </row>
    <row r="206" spans="1:22" x14ac:dyDescent="0.3">
      <c r="A206" t="s">
        <v>3</v>
      </c>
      <c r="B206">
        <v>1997</v>
      </c>
      <c r="C206">
        <v>131.80000000000001</v>
      </c>
      <c r="D206" s="12">
        <v>1997.24999999848</v>
      </c>
      <c r="I206" s="13">
        <f t="shared" si="8"/>
        <v>-1.5487779594939912</v>
      </c>
      <c r="O206" s="12">
        <f>STANDARDIZE(C206,L$14,M$14)</f>
        <v>-0.97518920124629982</v>
      </c>
      <c r="P206" s="12">
        <v>1997.24999999848</v>
      </c>
      <c r="R206">
        <v>0.64</v>
      </c>
      <c r="S206">
        <v>0.45500000000000002</v>
      </c>
      <c r="T206">
        <v>-1.1859999999999999</v>
      </c>
      <c r="U206">
        <v>1.3959999999999999</v>
      </c>
      <c r="V206">
        <f t="shared" si="9"/>
        <v>0.32624999999999998</v>
      </c>
    </row>
    <row r="207" spans="1:22" x14ac:dyDescent="0.3">
      <c r="A207" t="s">
        <v>4</v>
      </c>
      <c r="B207">
        <v>1997</v>
      </c>
      <c r="C207">
        <v>173.5</v>
      </c>
      <c r="D207" s="12">
        <v>1997.3333333318401</v>
      </c>
      <c r="I207" s="13">
        <f t="shared" si="8"/>
        <v>-1.2686309431942988</v>
      </c>
      <c r="O207" s="12">
        <f>STANDARDIZE(C207,L$15,M$15)</f>
        <v>-1.3980872172695293</v>
      </c>
      <c r="P207" s="12">
        <v>1997.3333333318401</v>
      </c>
      <c r="R207">
        <v>0.96099999999999997</v>
      </c>
      <c r="S207">
        <v>0.58299999999999996</v>
      </c>
      <c r="T207">
        <v>-1.4159999999999999</v>
      </c>
      <c r="U207">
        <v>1.9890000000000001</v>
      </c>
      <c r="V207">
        <f t="shared" si="9"/>
        <v>0.52925</v>
      </c>
    </row>
    <row r="208" spans="1:22" x14ac:dyDescent="0.3">
      <c r="A208" t="s">
        <v>5</v>
      </c>
      <c r="B208">
        <v>1997</v>
      </c>
      <c r="C208">
        <v>219.6</v>
      </c>
      <c r="D208" s="12">
        <v>1997.4166666652</v>
      </c>
      <c r="I208" s="13">
        <f t="shared" si="8"/>
        <v>-0.9589240498749747</v>
      </c>
      <c r="O208" s="12">
        <f>STANDARDIZE(C208,L$16,M$16)</f>
        <v>-1.5656723324798831</v>
      </c>
      <c r="P208" s="12">
        <v>1997.4166666652</v>
      </c>
      <c r="R208">
        <v>1.3919999999999999</v>
      </c>
      <c r="S208">
        <v>0.45400000000000001</v>
      </c>
      <c r="T208">
        <v>-1.575</v>
      </c>
      <c r="U208">
        <v>3.048</v>
      </c>
      <c r="V208">
        <f t="shared" si="9"/>
        <v>0.82974999999999999</v>
      </c>
    </row>
    <row r="209" spans="1:22" x14ac:dyDescent="0.3">
      <c r="A209" t="s">
        <v>6</v>
      </c>
      <c r="B209">
        <v>1997</v>
      </c>
      <c r="C209">
        <v>251.2</v>
      </c>
      <c r="D209" s="12">
        <v>1997.49999999856</v>
      </c>
      <c r="I209" s="13">
        <f t="shared" si="8"/>
        <v>-0.74663038764307355</v>
      </c>
      <c r="O209" s="12">
        <f>STANDARDIZE(C209,L$17,M$17)</f>
        <v>-1.1676104300416588</v>
      </c>
      <c r="P209" s="12">
        <v>1997.49999999856</v>
      </c>
      <c r="R209">
        <v>1.7829999999999999</v>
      </c>
      <c r="S209">
        <v>-3.6999999999999998E-2</v>
      </c>
      <c r="T209">
        <v>-1.5029999999999999</v>
      </c>
      <c r="U209">
        <v>3.1669999999999998</v>
      </c>
      <c r="V209">
        <f t="shared" si="9"/>
        <v>0.85250000000000004</v>
      </c>
    </row>
    <row r="210" spans="1:22" x14ac:dyDescent="0.3">
      <c r="A210" t="s">
        <v>7</v>
      </c>
      <c r="B210">
        <v>1997</v>
      </c>
      <c r="C210">
        <v>188.8</v>
      </c>
      <c r="D210" s="12">
        <v>1997.5833333319199</v>
      </c>
      <c r="I210" s="13">
        <f t="shared" si="8"/>
        <v>-1.1658431890123973</v>
      </c>
      <c r="O210" s="12">
        <f>STANDARDIZE(C210,L$18,M$18)</f>
        <v>-1.4719774850238867</v>
      </c>
      <c r="P210" s="12">
        <v>1997.5833333319199</v>
      </c>
      <c r="R210">
        <v>1.754</v>
      </c>
      <c r="S210">
        <v>-0.39</v>
      </c>
      <c r="T210">
        <v>-1.222</v>
      </c>
      <c r="U210">
        <v>1.5880000000000001</v>
      </c>
      <c r="V210">
        <f t="shared" si="9"/>
        <v>0.4325</v>
      </c>
    </row>
    <row r="211" spans="1:22" x14ac:dyDescent="0.3">
      <c r="A211" t="s">
        <v>8</v>
      </c>
      <c r="B211">
        <v>1997</v>
      </c>
      <c r="C211">
        <v>188.8</v>
      </c>
      <c r="D211" s="12">
        <v>1997.66666666528</v>
      </c>
      <c r="I211" s="13">
        <f t="shared" si="8"/>
        <v>-1.1658431890123973</v>
      </c>
      <c r="O211" s="12">
        <f>STANDARDIZE(C211,L$19,M$19)</f>
        <v>-1.5371069926781149</v>
      </c>
      <c r="P211" s="12">
        <v>1997.66666666528</v>
      </c>
      <c r="R211">
        <v>0.80200000000000005</v>
      </c>
      <c r="S211">
        <v>-0.435</v>
      </c>
      <c r="T211">
        <v>-1.272</v>
      </c>
      <c r="U211">
        <v>0.55900000000000005</v>
      </c>
      <c r="V211">
        <f t="shared" si="9"/>
        <v>-8.6499999999999994E-2</v>
      </c>
    </row>
    <row r="212" spans="1:22" x14ac:dyDescent="0.3">
      <c r="A212" t="s">
        <v>9</v>
      </c>
      <c r="B212">
        <v>1997</v>
      </c>
      <c r="C212">
        <v>251</v>
      </c>
      <c r="D212" s="12">
        <v>1997.7499999986401</v>
      </c>
      <c r="I212" s="13">
        <f t="shared" si="8"/>
        <v>-0.74797401841669309</v>
      </c>
      <c r="O212" s="12">
        <f>STANDARDIZE(C212,L$20,M$20)</f>
        <v>-1.473294044072837</v>
      </c>
      <c r="P212" s="12">
        <v>1997.7499999986401</v>
      </c>
      <c r="R212">
        <v>0.03</v>
      </c>
      <c r="S212">
        <v>-0.52200000000000002</v>
      </c>
      <c r="T212">
        <v>-1.1220000000000001</v>
      </c>
      <c r="U212">
        <v>0.28499999999999998</v>
      </c>
      <c r="V212">
        <f t="shared" si="9"/>
        <v>-0.33225000000000005</v>
      </c>
    </row>
    <row r="213" spans="1:22" x14ac:dyDescent="0.3">
      <c r="A213" t="s">
        <v>10</v>
      </c>
      <c r="B213">
        <v>1997</v>
      </c>
      <c r="C213">
        <v>280.3</v>
      </c>
      <c r="D213" s="12">
        <v>1997.8333333319999</v>
      </c>
      <c r="I213" s="13">
        <f t="shared" si="8"/>
        <v>-0.55113211008141749</v>
      </c>
      <c r="O213" s="12">
        <f>STANDARDIZE(C213,L$21,M$21)</f>
        <v>-1.7456317814193025</v>
      </c>
      <c r="P213" s="12">
        <v>1997.8333333319999</v>
      </c>
      <c r="R213">
        <v>-7.0000000000000007E-2</v>
      </c>
      <c r="S213">
        <v>-8.6999999999999994E-2</v>
      </c>
      <c r="T213">
        <v>-1.385</v>
      </c>
      <c r="U213">
        <v>-0.23400000000000001</v>
      </c>
      <c r="V213">
        <f t="shared" si="9"/>
        <v>-0.44400000000000001</v>
      </c>
    </row>
    <row r="214" spans="1:22" x14ac:dyDescent="0.3">
      <c r="A214" t="s">
        <v>11</v>
      </c>
      <c r="B214">
        <v>1997</v>
      </c>
      <c r="C214">
        <v>251</v>
      </c>
      <c r="D214" s="12">
        <v>1997.91666666536</v>
      </c>
      <c r="I214" s="13">
        <f t="shared" si="8"/>
        <v>-0.74797401841669309</v>
      </c>
      <c r="O214" s="12">
        <f>STANDARDIZE(C214,L$22,M$22)</f>
        <v>-1.7209722134040077</v>
      </c>
      <c r="P214" s="12">
        <v>1997.91666666536</v>
      </c>
      <c r="R214">
        <v>0.75700000000000001</v>
      </c>
      <c r="S214">
        <v>0.33200000000000002</v>
      </c>
      <c r="T214">
        <v>-2.589</v>
      </c>
      <c r="U214">
        <v>1.7070000000000001</v>
      </c>
      <c r="V214">
        <f t="shared" si="9"/>
        <v>5.1750000000000018E-2</v>
      </c>
    </row>
    <row r="215" spans="1:22" x14ac:dyDescent="0.3">
      <c r="A215" t="s">
        <v>0</v>
      </c>
      <c r="B215">
        <v>1998</v>
      </c>
      <c r="C215">
        <v>143.4</v>
      </c>
      <c r="D215" s="12">
        <v>1997.9999999987201</v>
      </c>
      <c r="I215" s="13">
        <f t="shared" si="8"/>
        <v>-1.4708473746240529</v>
      </c>
      <c r="O215" s="12">
        <f>STANDARDIZE(C215,L$11,M$11)</f>
        <v>-1.5594781387936341</v>
      </c>
      <c r="P215" s="12">
        <v>1997.9999999987201</v>
      </c>
      <c r="R215">
        <v>1.389</v>
      </c>
      <c r="S215">
        <v>0.22900000000000001</v>
      </c>
      <c r="T215">
        <v>-1.0589999999999999</v>
      </c>
      <c r="U215">
        <v>1.4690000000000001</v>
      </c>
      <c r="V215">
        <f t="shared" si="9"/>
        <v>0.50700000000000012</v>
      </c>
    </row>
    <row r="216" spans="1:22" x14ac:dyDescent="0.3">
      <c r="A216" t="s">
        <v>1</v>
      </c>
      <c r="B216">
        <v>1998</v>
      </c>
      <c r="C216">
        <v>135.80000000000001</v>
      </c>
      <c r="D216" s="12">
        <v>1998.08333333208</v>
      </c>
      <c r="I216" s="13">
        <f t="shared" si="8"/>
        <v>-1.5219053440215988</v>
      </c>
      <c r="O216" s="12">
        <f>STANDARDIZE(C216,L$12,M$12)</f>
        <v>-0.86413144706097922</v>
      </c>
      <c r="P216" s="12">
        <v>1998.08333333208</v>
      </c>
      <c r="R216">
        <v>1.2290000000000001</v>
      </c>
      <c r="S216">
        <v>2.8000000000000001E-2</v>
      </c>
      <c r="T216">
        <v>-0.83099999999999996</v>
      </c>
      <c r="U216">
        <v>0.85099999999999998</v>
      </c>
      <c r="V216">
        <f t="shared" si="9"/>
        <v>0.31925000000000003</v>
      </c>
    </row>
    <row r="217" spans="1:22" x14ac:dyDescent="0.3">
      <c r="A217" t="s">
        <v>2</v>
      </c>
      <c r="B217">
        <v>1998</v>
      </c>
      <c r="C217">
        <v>142.1</v>
      </c>
      <c r="D217" s="12">
        <v>1998.1666666654401</v>
      </c>
      <c r="I217" s="13">
        <f t="shared" si="8"/>
        <v>-1.4795809746525805</v>
      </c>
      <c r="O217" s="12">
        <f>STANDARDIZE(C217,L$13,M$13)</f>
        <v>-0.62817834873805212</v>
      </c>
      <c r="P217" s="12">
        <v>1998.1666666654401</v>
      </c>
      <c r="R217">
        <v>0.995</v>
      </c>
      <c r="S217">
        <v>-0.42899999999999999</v>
      </c>
      <c r="T217">
        <v>-0.626</v>
      </c>
      <c r="U217">
        <v>-3.9E-2</v>
      </c>
      <c r="V217">
        <f t="shared" si="9"/>
        <v>-2.4749999999999987E-2</v>
      </c>
    </row>
    <row r="218" spans="1:22" x14ac:dyDescent="0.3">
      <c r="A218" t="s">
        <v>3</v>
      </c>
      <c r="B218">
        <v>1998</v>
      </c>
      <c r="C218">
        <v>204.5</v>
      </c>
      <c r="D218" s="12">
        <v>1998.2499999987999</v>
      </c>
      <c r="I218" s="13">
        <f t="shared" si="8"/>
        <v>-1.0603681732832566</v>
      </c>
      <c r="O218" s="12">
        <f>STANDARDIZE(C218,L$14,M$14)</f>
        <v>-0.29277458751614771</v>
      </c>
      <c r="P218" s="12">
        <v>1998.2499999987999</v>
      </c>
      <c r="R218">
        <v>0.751</v>
      </c>
      <c r="S218">
        <v>-0.59699999999999998</v>
      </c>
      <c r="T218">
        <v>-0.65600000000000003</v>
      </c>
      <c r="U218">
        <v>-0.70299999999999996</v>
      </c>
      <c r="V218">
        <f t="shared" si="9"/>
        <v>-0.30125000000000002</v>
      </c>
    </row>
    <row r="219" spans="1:22" x14ac:dyDescent="0.3">
      <c r="A219" t="s">
        <v>4</v>
      </c>
      <c r="B219">
        <v>1998</v>
      </c>
      <c r="C219">
        <v>319</v>
      </c>
      <c r="D219" s="12">
        <v>1998.33333333216</v>
      </c>
      <c r="I219" s="13">
        <f t="shared" si="8"/>
        <v>-0.29113955538601954</v>
      </c>
      <c r="O219" s="12">
        <f>STANDARDIZE(C219,L$15,M$15)</f>
        <v>-8.3840792538510123E-2</v>
      </c>
      <c r="P219" s="12">
        <v>1998.33333333216</v>
      </c>
      <c r="R219">
        <v>9.8000000000000004E-2</v>
      </c>
      <c r="S219">
        <v>-1.01</v>
      </c>
      <c r="T219">
        <v>-0.67</v>
      </c>
      <c r="U219">
        <v>-0.28899999999999998</v>
      </c>
      <c r="V219">
        <f t="shared" si="9"/>
        <v>-0.46775</v>
      </c>
    </row>
    <row r="220" spans="1:22" x14ac:dyDescent="0.3">
      <c r="A220" t="s">
        <v>5</v>
      </c>
      <c r="B220">
        <v>1998</v>
      </c>
      <c r="C220">
        <v>402.8</v>
      </c>
      <c r="D220" s="12">
        <v>1998.4166666655201</v>
      </c>
      <c r="I220" s="13">
        <f t="shared" si="8"/>
        <v>0.27184173876060463</v>
      </c>
      <c r="O220" s="12">
        <f>STANDARDIZE(C220,L$16,M$16)</f>
        <v>7.542602723126636E-2</v>
      </c>
      <c r="P220" s="12">
        <v>1998.4166666655201</v>
      </c>
      <c r="R220">
        <v>-2.8000000000000001E-2</v>
      </c>
      <c r="S220">
        <v>-1.494</v>
      </c>
      <c r="T220">
        <v>-0.20399999999999999</v>
      </c>
      <c r="U220">
        <v>-0.16200000000000001</v>
      </c>
      <c r="V220">
        <f t="shared" si="9"/>
        <v>-0.47199999999999998</v>
      </c>
    </row>
    <row r="221" spans="1:22" x14ac:dyDescent="0.3">
      <c r="A221" t="s">
        <v>6</v>
      </c>
      <c r="B221">
        <v>1998</v>
      </c>
      <c r="C221">
        <v>449.2</v>
      </c>
      <c r="D221" s="12">
        <v>1998.49999999888</v>
      </c>
      <c r="I221" s="13">
        <f t="shared" si="8"/>
        <v>0.58356407824035816</v>
      </c>
      <c r="O221" s="12">
        <f>STANDARDIZE(C221,L$17,M$17)</f>
        <v>0.4165742871869757</v>
      </c>
      <c r="P221" s="12">
        <v>1998.49999999888</v>
      </c>
      <c r="R221">
        <v>-0.247</v>
      </c>
      <c r="S221">
        <v>-1.522</v>
      </c>
      <c r="T221">
        <v>-0.48399999999999999</v>
      </c>
      <c r="U221">
        <v>-0.20499999999999999</v>
      </c>
      <c r="V221">
        <f t="shared" si="9"/>
        <v>-0.61450000000000005</v>
      </c>
    </row>
    <row r="222" spans="1:22" x14ac:dyDescent="0.3">
      <c r="A222" t="s">
        <v>7</v>
      </c>
      <c r="B222">
        <v>1998</v>
      </c>
      <c r="C222">
        <v>465</v>
      </c>
      <c r="D222" s="12">
        <v>1998.58333333224</v>
      </c>
      <c r="I222" s="13">
        <f t="shared" si="8"/>
        <v>0.68971090935630885</v>
      </c>
      <c r="O222" s="12">
        <f>STANDARDIZE(C222,L$18,M$18)</f>
        <v>0.65397030571101444</v>
      </c>
      <c r="P222" s="12">
        <v>1998.58333333224</v>
      </c>
      <c r="R222">
        <v>-1.1279999999999999</v>
      </c>
      <c r="S222">
        <v>-1.462</v>
      </c>
      <c r="T222">
        <v>0.06</v>
      </c>
      <c r="U222">
        <v>-0.25600000000000001</v>
      </c>
      <c r="V222">
        <f t="shared" si="9"/>
        <v>-0.6964999999999999</v>
      </c>
    </row>
    <row r="223" spans="1:22" x14ac:dyDescent="0.3">
      <c r="A223" t="s">
        <v>8</v>
      </c>
      <c r="B223">
        <v>1998</v>
      </c>
      <c r="C223">
        <v>477.7</v>
      </c>
      <c r="D223" s="12">
        <v>1998.6666666655999</v>
      </c>
      <c r="I223" s="13">
        <f t="shared" si="8"/>
        <v>0.77503146348115515</v>
      </c>
      <c r="O223" s="12">
        <f>STANDARDIZE(C223,L$19,M$19)</f>
        <v>0.6875025966020436</v>
      </c>
      <c r="P223" s="12">
        <v>1998.6666666655999</v>
      </c>
      <c r="R223">
        <v>-0.77600000000000002</v>
      </c>
      <c r="S223">
        <v>-1.3919999999999999</v>
      </c>
      <c r="T223">
        <v>-5.1999999999999998E-2</v>
      </c>
      <c r="U223">
        <v>-0.28000000000000003</v>
      </c>
      <c r="V223">
        <f t="shared" si="9"/>
        <v>-0.625</v>
      </c>
    </row>
    <row r="224" spans="1:22" x14ac:dyDescent="0.3">
      <c r="A224" t="s">
        <v>9</v>
      </c>
      <c r="B224">
        <v>1998</v>
      </c>
      <c r="C224">
        <v>499.5</v>
      </c>
      <c r="D224" s="12">
        <v>1998.74999999896</v>
      </c>
      <c r="I224" s="13">
        <f t="shared" si="8"/>
        <v>0.92148721780569465</v>
      </c>
      <c r="O224" s="12">
        <f>STANDARDIZE(C224,L$20,M$20)</f>
        <v>0.57622051853288614</v>
      </c>
      <c r="P224" s="12">
        <v>1998.74999999896</v>
      </c>
      <c r="R224">
        <v>-0.40500000000000003</v>
      </c>
      <c r="S224">
        <v>-1.702</v>
      </c>
      <c r="T224">
        <v>0.60099999999999998</v>
      </c>
      <c r="U224">
        <v>-0.55600000000000005</v>
      </c>
      <c r="V224">
        <f t="shared" si="9"/>
        <v>-0.51550000000000007</v>
      </c>
    </row>
    <row r="225" spans="1:22" x14ac:dyDescent="0.3">
      <c r="A225" t="s">
        <v>10</v>
      </c>
      <c r="B225">
        <v>1998</v>
      </c>
      <c r="C225">
        <v>521.29999999999995</v>
      </c>
      <c r="D225" s="12">
        <v>1998.8333333323201</v>
      </c>
      <c r="I225" s="13">
        <f t="shared" si="8"/>
        <v>1.0679429721302338</v>
      </c>
      <c r="O225" s="12">
        <f>STANDARDIZE(C225,L$21,M$21)</f>
        <v>0.35996010707945636</v>
      </c>
      <c r="P225" s="12">
        <v>1998.8333333323201</v>
      </c>
      <c r="R225">
        <v>-0.67200000000000004</v>
      </c>
      <c r="S225">
        <v>-1.5629999999999999</v>
      </c>
      <c r="T225">
        <v>1.337</v>
      </c>
      <c r="U225">
        <v>-0.70499999999999996</v>
      </c>
      <c r="V225">
        <f t="shared" si="9"/>
        <v>-0.40074999999999994</v>
      </c>
    </row>
    <row r="226" spans="1:22" x14ac:dyDescent="0.3">
      <c r="A226" t="s">
        <v>11</v>
      </c>
      <c r="B226">
        <v>1998</v>
      </c>
      <c r="C226">
        <v>539.79999999999995</v>
      </c>
      <c r="D226" s="12">
        <v>1998.9166666656799</v>
      </c>
      <c r="I226" s="13">
        <f t="shared" si="8"/>
        <v>1.1922288186900494</v>
      </c>
      <c r="O226" s="12">
        <f>STANDARDIZE(C226,L$22,M$22)</f>
        <v>0.38633219162666538</v>
      </c>
      <c r="P226" s="12">
        <v>1998.9166666656799</v>
      </c>
      <c r="R226">
        <v>-1.841</v>
      </c>
      <c r="S226">
        <v>-1.958</v>
      </c>
      <c r="T226">
        <v>0.76</v>
      </c>
      <c r="U226">
        <v>-1.5629999999999999</v>
      </c>
      <c r="V226">
        <f t="shared" si="9"/>
        <v>-1.1504999999999999</v>
      </c>
    </row>
    <row r="227" spans="1:22" x14ac:dyDescent="0.3">
      <c r="A227" t="s">
        <v>0</v>
      </c>
      <c r="B227">
        <v>1999</v>
      </c>
      <c r="C227">
        <v>534.20000000000005</v>
      </c>
      <c r="D227" s="12">
        <v>1998.99999999904</v>
      </c>
      <c r="I227" s="13">
        <f t="shared" si="8"/>
        <v>1.1546071570287004</v>
      </c>
      <c r="O227" s="12">
        <f>STANDARDIZE(C227,L$11,M$11)</f>
        <v>1.0657159437064192</v>
      </c>
      <c r="P227" s="12">
        <v>1998.99999999904</v>
      </c>
      <c r="R227">
        <v>-1.58</v>
      </c>
      <c r="S227">
        <v>-1.627</v>
      </c>
      <c r="T227">
        <v>0.47499999999999998</v>
      </c>
      <c r="U227">
        <v>-1.712</v>
      </c>
      <c r="V227">
        <f t="shared" si="9"/>
        <v>-1.111</v>
      </c>
    </row>
    <row r="228" spans="1:22" x14ac:dyDescent="0.3">
      <c r="A228" t="s">
        <v>1</v>
      </c>
      <c r="B228">
        <v>1999</v>
      </c>
      <c r="C228">
        <v>465.3</v>
      </c>
      <c r="D228" s="12">
        <v>1999.0833333323999</v>
      </c>
      <c r="I228" s="13">
        <f t="shared" si="8"/>
        <v>0.69172635551673833</v>
      </c>
      <c r="O228" s="12">
        <f>STANDARDIZE(C228,L$12,M$12)</f>
        <v>1.787295786642046</v>
      </c>
      <c r="P228" s="12">
        <v>1999.0833333323999</v>
      </c>
      <c r="R228">
        <v>-1.6739999999999999</v>
      </c>
      <c r="S228">
        <v>-1.6359999999999999</v>
      </c>
      <c r="T228">
        <v>0.437</v>
      </c>
      <c r="U228">
        <v>-1.663</v>
      </c>
      <c r="V228">
        <f t="shared" si="9"/>
        <v>-1.1339999999999999</v>
      </c>
    </row>
    <row r="229" spans="1:22" x14ac:dyDescent="0.3">
      <c r="A229" t="s">
        <v>2</v>
      </c>
      <c r="B229">
        <v>1999</v>
      </c>
      <c r="C229">
        <v>463.5</v>
      </c>
      <c r="D229" s="12">
        <v>1999.16666666576</v>
      </c>
      <c r="I229" s="13">
        <f t="shared" si="8"/>
        <v>0.67963367855416168</v>
      </c>
      <c r="O229" s="12">
        <f>STANDARDIZE(C229,L$13,M$13)</f>
        <v>2.7569130260903774</v>
      </c>
      <c r="P229" s="12">
        <v>1999.16666666576</v>
      </c>
      <c r="R229">
        <v>-1.79</v>
      </c>
      <c r="S229">
        <v>-1.887</v>
      </c>
      <c r="T229">
        <v>0.41299999999999998</v>
      </c>
      <c r="U229">
        <v>-1.764</v>
      </c>
      <c r="V229">
        <f t="shared" si="9"/>
        <v>-1.2570000000000001</v>
      </c>
    </row>
    <row r="230" spans="1:22" x14ac:dyDescent="0.3">
      <c r="A230" t="s">
        <v>3</v>
      </c>
      <c r="B230">
        <v>1999</v>
      </c>
      <c r="C230">
        <v>471.8</v>
      </c>
      <c r="D230" s="12">
        <v>1999.2499999991201</v>
      </c>
      <c r="I230" s="13">
        <f t="shared" si="8"/>
        <v>0.73539435565937628</v>
      </c>
      <c r="O230" s="12">
        <f>STANDARDIZE(C230,L$14,M$14)</f>
        <v>2.2162959248644536</v>
      </c>
      <c r="P230" s="12">
        <v>1999.2499999991201</v>
      </c>
      <c r="R230">
        <v>-1.8440000000000001</v>
      </c>
      <c r="S230">
        <v>-1.8160000000000001</v>
      </c>
      <c r="T230">
        <v>0.434</v>
      </c>
      <c r="U230">
        <v>-1.986</v>
      </c>
      <c r="V230">
        <f t="shared" si="9"/>
        <v>-1.3029999999999999</v>
      </c>
    </row>
    <row r="231" spans="1:22" x14ac:dyDescent="0.3">
      <c r="A231" t="s">
        <v>4</v>
      </c>
      <c r="B231">
        <v>1999</v>
      </c>
      <c r="C231">
        <v>513.1</v>
      </c>
      <c r="D231" s="12">
        <v>1999.3333333324799</v>
      </c>
      <c r="I231" s="13">
        <f t="shared" si="8"/>
        <v>1.0128541104118296</v>
      </c>
      <c r="O231" s="12">
        <f>STANDARDIZE(C231,L$15,M$15)</f>
        <v>1.6693910359170971</v>
      </c>
      <c r="P231" s="12">
        <v>1999.3333333324799</v>
      </c>
      <c r="R231">
        <v>-1.746</v>
      </c>
      <c r="S231">
        <v>-1.222</v>
      </c>
      <c r="T231">
        <v>0.57199999999999995</v>
      </c>
      <c r="U231">
        <v>-1.972</v>
      </c>
      <c r="V231">
        <f t="shared" si="9"/>
        <v>-1.0920000000000001</v>
      </c>
    </row>
    <row r="232" spans="1:22" x14ac:dyDescent="0.3">
      <c r="A232" t="s">
        <v>5</v>
      </c>
      <c r="B232">
        <v>1999</v>
      </c>
      <c r="C232">
        <v>533.29999999999995</v>
      </c>
      <c r="D232" s="12">
        <v>1999.41666666584</v>
      </c>
      <c r="I232" s="13">
        <f t="shared" si="8"/>
        <v>1.1485608185474114</v>
      </c>
      <c r="O232" s="12">
        <f>STANDARDIZE(C232,L$16,M$16)</f>
        <v>1.2444398697110965</v>
      </c>
      <c r="P232" s="12">
        <v>1999.41666666584</v>
      </c>
      <c r="R232">
        <v>-1.5680000000000001</v>
      </c>
      <c r="S232">
        <v>-1.077</v>
      </c>
      <c r="T232">
        <v>0.86799999999999999</v>
      </c>
      <c r="U232">
        <v>-1.9059999999999999</v>
      </c>
      <c r="V232">
        <f t="shared" si="9"/>
        <v>-0.92074999999999996</v>
      </c>
    </row>
    <row r="233" spans="1:22" x14ac:dyDescent="0.3">
      <c r="A233" t="s">
        <v>6</v>
      </c>
      <c r="B233">
        <v>1999</v>
      </c>
      <c r="C233">
        <v>548.6</v>
      </c>
      <c r="D233" s="12">
        <v>1999.4999999992001</v>
      </c>
      <c r="I233" s="13">
        <f t="shared" si="8"/>
        <v>1.2513485727293134</v>
      </c>
      <c r="O233" s="12">
        <f>STANDARDIZE(C233,L$17,M$17)</f>
        <v>1.2118670189674117</v>
      </c>
      <c r="P233" s="12">
        <v>1999.4999999992001</v>
      </c>
      <c r="R233">
        <v>-1.224</v>
      </c>
      <c r="S233">
        <v>-1.5289999999999999</v>
      </c>
      <c r="T233">
        <v>0.95599999999999996</v>
      </c>
      <c r="U233">
        <v>-1.5660000000000001</v>
      </c>
      <c r="V233">
        <f t="shared" si="9"/>
        <v>-0.84075000000000011</v>
      </c>
    </row>
    <row r="234" spans="1:22" x14ac:dyDescent="0.3">
      <c r="A234" t="s">
        <v>7</v>
      </c>
      <c r="B234">
        <v>1999</v>
      </c>
      <c r="C234">
        <v>548.9</v>
      </c>
      <c r="D234" s="12">
        <v>1999.58333333256</v>
      </c>
      <c r="I234" s="13">
        <f t="shared" si="8"/>
        <v>1.2533640188897426</v>
      </c>
      <c r="O234" s="12">
        <f>STANDARDIZE(C234,L$18,M$18)</f>
        <v>1.2997596599566994</v>
      </c>
      <c r="P234" s="12">
        <v>1999.58333333256</v>
      </c>
      <c r="R234">
        <v>-0.91600000000000004</v>
      </c>
      <c r="S234">
        <v>-1.401</v>
      </c>
      <c r="T234">
        <v>1.2050000000000001</v>
      </c>
      <c r="U234">
        <v>-1.038</v>
      </c>
      <c r="V234">
        <f t="shared" si="9"/>
        <v>-0.53750000000000009</v>
      </c>
    </row>
    <row r="235" spans="1:22" x14ac:dyDescent="0.3">
      <c r="A235" t="s">
        <v>8</v>
      </c>
      <c r="B235">
        <v>1999</v>
      </c>
      <c r="C235">
        <v>552.9</v>
      </c>
      <c r="D235" s="12">
        <v>1999.66666666592</v>
      </c>
      <c r="I235" s="13">
        <f t="shared" si="8"/>
        <v>1.2802366343621352</v>
      </c>
      <c r="O235" s="12">
        <f>STANDARDIZE(C235,L$19,M$19)</f>
        <v>1.2665633135070902</v>
      </c>
      <c r="P235" s="12">
        <v>1999.66666666592</v>
      </c>
      <c r="R235">
        <v>-0.61699999999999999</v>
      </c>
      <c r="S235">
        <v>-1.5</v>
      </c>
      <c r="T235">
        <v>1.3839999999999999</v>
      </c>
      <c r="U235">
        <v>1.4019999999999999</v>
      </c>
      <c r="V235">
        <f t="shared" si="9"/>
        <v>0.16724999999999995</v>
      </c>
    </row>
    <row r="236" spans="1:22" x14ac:dyDescent="0.3">
      <c r="A236" t="s">
        <v>9</v>
      </c>
      <c r="B236">
        <v>1999</v>
      </c>
      <c r="C236">
        <v>572.79999999999995</v>
      </c>
      <c r="D236" s="12">
        <v>1999.7499999992799</v>
      </c>
      <c r="I236" s="13">
        <f t="shared" si="8"/>
        <v>1.4139278963372881</v>
      </c>
      <c r="O236" s="12">
        <f>STANDARDIZE(C236,L$20,M$20)</f>
        <v>1.180765457925238</v>
      </c>
      <c r="P236" s="12">
        <v>1999.7499999992799</v>
      </c>
      <c r="R236">
        <v>-0.41699999999999998</v>
      </c>
      <c r="S236">
        <v>-1.7749999999999999</v>
      </c>
      <c r="T236">
        <v>1.6</v>
      </c>
      <c r="U236">
        <v>0.59099999999999997</v>
      </c>
      <c r="V236">
        <f t="shared" si="9"/>
        <v>-2.4999999999991696E-4</v>
      </c>
    </row>
    <row r="237" spans="1:22" x14ac:dyDescent="0.3">
      <c r="A237" t="s">
        <v>10</v>
      </c>
      <c r="B237">
        <v>1999</v>
      </c>
      <c r="C237">
        <v>620.9</v>
      </c>
      <c r="D237" s="12">
        <v>1999.83333333264</v>
      </c>
      <c r="I237" s="13">
        <f t="shared" si="8"/>
        <v>1.7370710973928087</v>
      </c>
      <c r="O237" s="12">
        <f>STANDARDIZE(C237,L$21,M$21)</f>
        <v>1.2301549290482385</v>
      </c>
      <c r="P237" s="12">
        <v>1999.83333333264</v>
      </c>
      <c r="R237">
        <v>-0.26100000000000001</v>
      </c>
      <c r="S237">
        <v>-1.7070000000000001</v>
      </c>
      <c r="T237">
        <v>1.6259999999999999</v>
      </c>
      <c r="U237">
        <v>1.4550000000000001</v>
      </c>
      <c r="V237">
        <f t="shared" si="9"/>
        <v>0.27825</v>
      </c>
    </row>
    <row r="238" spans="1:22" x14ac:dyDescent="0.3">
      <c r="A238" t="s">
        <v>11</v>
      </c>
      <c r="B238">
        <v>1999</v>
      </c>
      <c r="C238">
        <v>628.70000000000005</v>
      </c>
      <c r="D238" s="12">
        <v>1999.9166666660001</v>
      </c>
      <c r="I238" s="13">
        <f t="shared" si="8"/>
        <v>1.7894726975639748</v>
      </c>
      <c r="O238" s="12">
        <f>STANDARDIZE(C238,L$22,M$22)</f>
        <v>1.0350141916516897</v>
      </c>
      <c r="P238" s="12">
        <v>1999.9166666660001</v>
      </c>
      <c r="R238">
        <v>0.69699999999999995</v>
      </c>
      <c r="S238">
        <v>-1.2869999999999999</v>
      </c>
      <c r="T238">
        <v>0.374</v>
      </c>
      <c r="U238">
        <v>-7.1999999999999995E-2</v>
      </c>
      <c r="V238">
        <f t="shared" si="9"/>
        <v>-7.1999999999999995E-2</v>
      </c>
    </row>
    <row r="239" spans="1:22" x14ac:dyDescent="0.3">
      <c r="A239" t="s">
        <v>0</v>
      </c>
      <c r="B239">
        <v>2000</v>
      </c>
      <c r="C239">
        <v>592</v>
      </c>
      <c r="D239" s="12">
        <v>2000</v>
      </c>
      <c r="F239">
        <v>2000</v>
      </c>
      <c r="G239" s="12">
        <f>AVERAGEIFS(C$239:C$370,B$239:B$370,F239)</f>
        <v>511.77499999999992</v>
      </c>
      <c r="I239" s="13">
        <f t="shared" si="8"/>
        <v>1.5429164506047726</v>
      </c>
      <c r="O239" s="12">
        <f>STANDARDIZE(C239,L$11,M$11)</f>
        <v>1.4539867163996203</v>
      </c>
      <c r="P239" s="12">
        <v>2000</v>
      </c>
      <c r="R239">
        <v>0.69499999999999995</v>
      </c>
      <c r="S239">
        <v>-0.32200000000000001</v>
      </c>
      <c r="T239">
        <v>1.212</v>
      </c>
      <c r="U239">
        <v>-1.087</v>
      </c>
      <c r="V239">
        <f t="shared" si="9"/>
        <v>0.1245</v>
      </c>
    </row>
    <row r="240" spans="1:22" x14ac:dyDescent="0.3">
      <c r="A240" t="s">
        <v>1</v>
      </c>
      <c r="B240">
        <v>2000</v>
      </c>
      <c r="C240">
        <v>477</v>
      </c>
      <c r="D240" s="12">
        <v>2000.0833333333101</v>
      </c>
      <c r="F240">
        <v>2001</v>
      </c>
      <c r="G240" s="12">
        <f t="shared" ref="G240:G249" si="10">AVERAGEIFS(C$239:C$370,B$239:B$370,F240)</f>
        <v>284.85000000000002</v>
      </c>
      <c r="I240" s="13">
        <f t="shared" si="8"/>
        <v>0.77032875577348658</v>
      </c>
      <c r="O240" s="12">
        <f>STANDARDIZE(C240,L$12,M$12)</f>
        <v>1.881443582193868</v>
      </c>
      <c r="P240" s="12">
        <v>2000.0833333333101</v>
      </c>
      <c r="R240">
        <v>1.036</v>
      </c>
      <c r="S240">
        <v>-0.30299999999999999</v>
      </c>
      <c r="T240">
        <v>1.234</v>
      </c>
      <c r="U240">
        <v>-1.056</v>
      </c>
      <c r="V240">
        <f t="shared" si="9"/>
        <v>0.22775000000000001</v>
      </c>
    </row>
    <row r="241" spans="1:22" x14ac:dyDescent="0.3">
      <c r="A241" t="s">
        <v>2</v>
      </c>
      <c r="B241">
        <v>2000</v>
      </c>
      <c r="C241">
        <v>395.6</v>
      </c>
      <c r="D241" s="12">
        <v>2000.1666666666399</v>
      </c>
      <c r="F241">
        <v>2002</v>
      </c>
      <c r="G241" s="12">
        <f t="shared" si="10"/>
        <v>361.55833333333334</v>
      </c>
      <c r="I241" s="13">
        <f t="shared" si="8"/>
        <v>0.2234710309102981</v>
      </c>
      <c r="O241" s="12">
        <f>STANDARDIZE(C241,L$13,M$13)</f>
        <v>2.0417677107485903</v>
      </c>
      <c r="P241" s="12">
        <v>2000.1666666666399</v>
      </c>
      <c r="R241">
        <v>1.3580000000000001</v>
      </c>
      <c r="S241">
        <v>0.16500000000000001</v>
      </c>
      <c r="T241">
        <v>0.84499999999999997</v>
      </c>
      <c r="U241">
        <v>-1.3160000000000001</v>
      </c>
      <c r="V241">
        <f t="shared" si="9"/>
        <v>0.26300000000000007</v>
      </c>
    </row>
    <row r="242" spans="1:22" x14ac:dyDescent="0.3">
      <c r="A242" t="s">
        <v>3</v>
      </c>
      <c r="B242">
        <v>2000</v>
      </c>
      <c r="C242">
        <v>361.7</v>
      </c>
      <c r="D242" s="12">
        <v>2000.24999999997</v>
      </c>
      <c r="F242">
        <v>2003</v>
      </c>
      <c r="G242" s="12">
        <f t="shared" si="10"/>
        <v>377.73636363636365</v>
      </c>
      <c r="I242" s="13">
        <f t="shared" si="8"/>
        <v>-4.274385218229061E-3</v>
      </c>
      <c r="O242" s="12">
        <f>STANDARDIZE(C242,L$14,M$14)</f>
        <v>1.1828179472621181</v>
      </c>
      <c r="P242" s="12">
        <v>2000.24999999997</v>
      </c>
      <c r="R242">
        <v>1.198</v>
      </c>
      <c r="S242">
        <v>0.26700000000000002</v>
      </c>
      <c r="T242">
        <v>0.84499999999999997</v>
      </c>
      <c r="U242">
        <v>-1.488</v>
      </c>
      <c r="V242">
        <f t="shared" si="9"/>
        <v>0.2054999999999999</v>
      </c>
    </row>
    <row r="243" spans="1:22" x14ac:dyDescent="0.3">
      <c r="A243" t="s">
        <v>4</v>
      </c>
      <c r="B243">
        <v>2000</v>
      </c>
      <c r="C243">
        <v>421</v>
      </c>
      <c r="D243" s="12">
        <v>2000.3333333333101</v>
      </c>
      <c r="F243">
        <v>2004</v>
      </c>
      <c r="G243" s="12">
        <f t="shared" si="10"/>
        <v>370.7833333333333</v>
      </c>
      <c r="I243" s="13">
        <f t="shared" si="8"/>
        <v>0.39411213915999072</v>
      </c>
      <c r="O243" s="12">
        <f>STANDARDIZE(C243,L$15,M$15)</f>
        <v>0.83748659799457559</v>
      </c>
      <c r="P243" s="12">
        <v>2000.3333333333101</v>
      </c>
      <c r="R243">
        <v>1.0269999999999999</v>
      </c>
      <c r="S243">
        <v>-3.9E-2</v>
      </c>
      <c r="T243">
        <v>1.0669999999999999</v>
      </c>
      <c r="U243">
        <v>-1.3460000000000001</v>
      </c>
      <c r="V243">
        <f t="shared" si="9"/>
        <v>0.17724999999999991</v>
      </c>
    </row>
    <row r="244" spans="1:22" x14ac:dyDescent="0.3">
      <c r="A244" t="s">
        <v>5</v>
      </c>
      <c r="B244">
        <v>2000</v>
      </c>
      <c r="C244">
        <v>513.29999999999995</v>
      </c>
      <c r="D244" s="12">
        <v>2000.4166666666399</v>
      </c>
      <c r="F244">
        <v>2005</v>
      </c>
      <c r="G244" s="12">
        <f t="shared" si="10"/>
        <v>401.8</v>
      </c>
      <c r="I244" s="13">
        <f t="shared" si="8"/>
        <v>1.0141977411854488</v>
      </c>
      <c r="O244" s="12">
        <f>STANDARDIZE(C244,L$16,M$16)</f>
        <v>1.0652806601356437</v>
      </c>
      <c r="P244" s="12">
        <v>2000.4166666666399</v>
      </c>
      <c r="R244">
        <v>1.2649999999999999</v>
      </c>
      <c r="S244">
        <v>-0.32500000000000001</v>
      </c>
      <c r="T244">
        <v>1.486</v>
      </c>
      <c r="U244">
        <v>-0.878</v>
      </c>
      <c r="V244">
        <f t="shared" si="9"/>
        <v>0.38700000000000001</v>
      </c>
    </row>
    <row r="245" spans="1:22" x14ac:dyDescent="0.3">
      <c r="A245" t="s">
        <v>6</v>
      </c>
      <c r="B245">
        <v>2000</v>
      </c>
      <c r="C245">
        <v>573.20000000000005</v>
      </c>
      <c r="D245" s="12">
        <v>2000.49999999997</v>
      </c>
      <c r="F245">
        <v>2006</v>
      </c>
      <c r="G245" s="12">
        <f t="shared" si="10"/>
        <v>482.4083333333333</v>
      </c>
      <c r="I245" s="13">
        <f t="shared" si="8"/>
        <v>1.4166151578845279</v>
      </c>
      <c r="O245" s="12">
        <f>STANDARDIZE(C245,L$17,M$17)</f>
        <v>1.4086899686836967</v>
      </c>
      <c r="P245" s="12">
        <v>2000.49999999997</v>
      </c>
      <c r="R245">
        <v>1.4219999999999999</v>
      </c>
      <c r="S245">
        <v>-0.71199999999999997</v>
      </c>
      <c r="T245">
        <v>1.857</v>
      </c>
      <c r="U245">
        <v>-0.371</v>
      </c>
      <c r="V245">
        <f t="shared" si="9"/>
        <v>0.54900000000000004</v>
      </c>
    </row>
    <row r="246" spans="1:22" x14ac:dyDescent="0.3">
      <c r="A246" t="s">
        <v>7</v>
      </c>
      <c r="B246">
        <v>2000</v>
      </c>
      <c r="C246">
        <v>558.29999999999995</v>
      </c>
      <c r="D246" s="12">
        <v>2000.5833333333101</v>
      </c>
      <c r="F246">
        <v>2007</v>
      </c>
      <c r="G246" s="12">
        <f t="shared" si="10"/>
        <v>525.62727272727273</v>
      </c>
      <c r="I246" s="13">
        <f t="shared" si="8"/>
        <v>1.3165146652498649</v>
      </c>
      <c r="O246" s="12">
        <f>STANDARDIZE(C246,L$18,M$18)</f>
        <v>1.3721126984538319</v>
      </c>
      <c r="P246" s="12">
        <v>2000.5833333333101</v>
      </c>
      <c r="R246">
        <v>1.3049999999999999</v>
      </c>
      <c r="S246">
        <v>-0.37</v>
      </c>
      <c r="T246">
        <v>1.9470000000000001</v>
      </c>
      <c r="U246">
        <v>0.09</v>
      </c>
      <c r="V246">
        <f t="shared" si="9"/>
        <v>0.74299999999999999</v>
      </c>
    </row>
    <row r="247" spans="1:22" x14ac:dyDescent="0.3">
      <c r="A247" t="s">
        <v>8</v>
      </c>
      <c r="B247">
        <v>2000</v>
      </c>
      <c r="C247">
        <v>525.9</v>
      </c>
      <c r="D247" s="12">
        <v>2000.6666666666399</v>
      </c>
      <c r="F247">
        <v>2008</v>
      </c>
      <c r="G247" s="12">
        <f t="shared" si="10"/>
        <v>560.5</v>
      </c>
      <c r="I247" s="13">
        <f t="shared" si="8"/>
        <v>1.0988464799234854</v>
      </c>
      <c r="O247" s="12">
        <f>STANDARDIZE(C247,L$19,M$19)</f>
        <v>1.058655875256608</v>
      </c>
      <c r="P247" s="12">
        <v>2000.6666666666399</v>
      </c>
      <c r="R247">
        <v>1.0609999999999999</v>
      </c>
      <c r="S247">
        <v>-0.47399999999999998</v>
      </c>
      <c r="T247">
        <v>2.2970000000000002</v>
      </c>
      <c r="U247">
        <v>0.16700000000000001</v>
      </c>
      <c r="V247">
        <f t="shared" si="9"/>
        <v>0.76275000000000004</v>
      </c>
    </row>
    <row r="248" spans="1:22" x14ac:dyDescent="0.3">
      <c r="A248" t="s">
        <v>9</v>
      </c>
      <c r="B248">
        <v>2000</v>
      </c>
      <c r="C248">
        <v>571.9</v>
      </c>
      <c r="D248" s="12">
        <v>2000.74999999997</v>
      </c>
      <c r="F248">
        <v>2009</v>
      </c>
      <c r="G248" s="12">
        <f t="shared" si="10"/>
        <v>419.25833333333338</v>
      </c>
      <c r="I248" s="13">
        <f t="shared" si="8"/>
        <v>1.4078815578559998</v>
      </c>
      <c r="O248" s="12">
        <f>STANDARDIZE(C248,L$20,M$20)</f>
        <v>1.1733426687648956</v>
      </c>
      <c r="P248" s="12">
        <v>2000.74999999997</v>
      </c>
      <c r="R248">
        <v>0.76300000000000001</v>
      </c>
      <c r="S248">
        <v>-0.372</v>
      </c>
      <c r="T248">
        <v>2.3260000000000001</v>
      </c>
      <c r="U248">
        <v>0.46400000000000002</v>
      </c>
      <c r="V248">
        <f t="shared" si="9"/>
        <v>0.79525000000000001</v>
      </c>
    </row>
    <row r="249" spans="1:22" x14ac:dyDescent="0.3">
      <c r="A249" t="s">
        <v>10</v>
      </c>
      <c r="B249">
        <v>2000</v>
      </c>
      <c r="C249">
        <v>591.5</v>
      </c>
      <c r="D249" s="12">
        <v>2000.8333333333101</v>
      </c>
      <c r="F249">
        <v>2010</v>
      </c>
      <c r="G249" s="12">
        <f t="shared" si="10"/>
        <v>465.3416666666667</v>
      </c>
      <c r="I249" s="13">
        <f t="shared" si="8"/>
        <v>1.5395573736707235</v>
      </c>
      <c r="O249" s="12">
        <f>STANDARDIZE(C249,L$21,M$21)</f>
        <v>0.97329019244299575</v>
      </c>
      <c r="P249" s="12">
        <v>2000.8333333333101</v>
      </c>
      <c r="R249">
        <v>0.53400000000000003</v>
      </c>
      <c r="S249">
        <v>-7.2999999999999995E-2</v>
      </c>
      <c r="T249">
        <v>2.6539999999999999</v>
      </c>
      <c r="U249">
        <v>0.61699999999999999</v>
      </c>
      <c r="V249">
        <f t="shared" si="9"/>
        <v>0.93299999999999994</v>
      </c>
    </row>
    <row r="250" spans="1:22" x14ac:dyDescent="0.3">
      <c r="A250" t="s">
        <v>11</v>
      </c>
      <c r="B250">
        <v>2000</v>
      </c>
      <c r="C250">
        <v>559.9</v>
      </c>
      <c r="D250" s="12">
        <v>2000.9166666666399</v>
      </c>
      <c r="I250" s="13">
        <f t="shared" si="8"/>
        <v>1.3272637114388222</v>
      </c>
      <c r="O250" s="12">
        <f>STANDARDIZE(C250,L$22,M$22)</f>
        <v>0.53299707577180588</v>
      </c>
      <c r="P250" s="12">
        <v>2000.9166666666399</v>
      </c>
      <c r="R250">
        <v>1.1319999999999999</v>
      </c>
      <c r="S250">
        <v>0.307</v>
      </c>
      <c r="T250">
        <v>1.6339999999999999</v>
      </c>
      <c r="U250">
        <v>0.95899999999999996</v>
      </c>
      <c r="V250">
        <f t="shared" si="9"/>
        <v>1.0079999999999998</v>
      </c>
    </row>
    <row r="251" spans="1:22" x14ac:dyDescent="0.3">
      <c r="A251" t="s">
        <v>0</v>
      </c>
      <c r="B251">
        <v>2001</v>
      </c>
      <c r="C251">
        <v>350.9</v>
      </c>
      <c r="D251" s="12">
        <v>2001</v>
      </c>
      <c r="I251" s="13">
        <f t="shared" si="8"/>
        <v>-7.6830446993689044E-2</v>
      </c>
      <c r="O251" s="12">
        <f>STANDARDIZE(C251,L$11,M$11)</f>
        <v>-0.16559949979987532</v>
      </c>
      <c r="P251" s="12">
        <v>2001</v>
      </c>
      <c r="R251">
        <v>0.91800000000000004</v>
      </c>
      <c r="S251">
        <v>0.251</v>
      </c>
      <c r="T251">
        <v>0.65500000000000003</v>
      </c>
      <c r="U251">
        <v>0.436</v>
      </c>
      <c r="V251">
        <f t="shared" si="9"/>
        <v>0.56500000000000006</v>
      </c>
    </row>
    <row r="252" spans="1:22" x14ac:dyDescent="0.3">
      <c r="A252" t="s">
        <v>1</v>
      </c>
      <c r="B252">
        <v>2001</v>
      </c>
      <c r="C252">
        <v>187.5</v>
      </c>
      <c r="D252" s="12">
        <v>2001.0833333333101</v>
      </c>
      <c r="I252" s="13">
        <f t="shared" si="8"/>
        <v>-1.1745767890409249</v>
      </c>
      <c r="O252" s="12">
        <f>STANDARDIZE(C252,L$12,M$12)</f>
        <v>-0.44811084620378233</v>
      </c>
      <c r="P252" s="12">
        <v>2001.0833333333101</v>
      </c>
      <c r="R252">
        <v>1.0089999999999999</v>
      </c>
      <c r="S252">
        <v>9.8000000000000004E-2</v>
      </c>
      <c r="T252">
        <v>0.83</v>
      </c>
      <c r="U252">
        <v>0.59499999999999997</v>
      </c>
      <c r="V252">
        <f t="shared" si="9"/>
        <v>0.63300000000000001</v>
      </c>
    </row>
    <row r="253" spans="1:22" x14ac:dyDescent="0.3">
      <c r="A253" t="s">
        <v>2</v>
      </c>
      <c r="B253">
        <v>2001</v>
      </c>
      <c r="C253">
        <v>182.7</v>
      </c>
      <c r="D253" s="12">
        <v>2001.1666666666399</v>
      </c>
      <c r="I253" s="13">
        <f t="shared" si="8"/>
        <v>-1.2068239276077961</v>
      </c>
      <c r="O253" s="12">
        <f>STANDARDIZE(C253,L$13,M$13)</f>
        <v>-0.20056568595636515</v>
      </c>
      <c r="P253" s="12">
        <v>2001.1666666666399</v>
      </c>
      <c r="R253">
        <v>0.71699999999999997</v>
      </c>
      <c r="S253">
        <v>0.14399999999999999</v>
      </c>
      <c r="T253">
        <v>0.96</v>
      </c>
      <c r="U253">
        <v>0.41199999999999998</v>
      </c>
      <c r="V253">
        <f t="shared" si="9"/>
        <v>0.55825000000000002</v>
      </c>
    </row>
    <row r="254" spans="1:22" x14ac:dyDescent="0.3">
      <c r="A254" t="s">
        <v>3</v>
      </c>
      <c r="B254">
        <v>2001</v>
      </c>
      <c r="C254">
        <v>183.9</v>
      </c>
      <c r="D254" s="12">
        <v>2001.24999999997</v>
      </c>
      <c r="I254" s="13">
        <f t="shared" si="8"/>
        <v>-1.1987621429660782</v>
      </c>
      <c r="O254" s="12">
        <f>STANDARDIZE(C254,L$14,M$14)</f>
        <v>-0.48614103927462271</v>
      </c>
      <c r="P254" s="12">
        <v>2001.24999999997</v>
      </c>
      <c r="R254">
        <v>0.67700000000000005</v>
      </c>
      <c r="S254">
        <v>-0.17699999999999999</v>
      </c>
      <c r="T254">
        <v>0.91200000000000003</v>
      </c>
      <c r="U254">
        <v>-0.185</v>
      </c>
      <c r="V254">
        <f t="shared" si="9"/>
        <v>0.30674999999999997</v>
      </c>
    </row>
    <row r="255" spans="1:22" x14ac:dyDescent="0.3">
      <c r="A255" t="s">
        <v>4</v>
      </c>
      <c r="B255">
        <v>2001</v>
      </c>
      <c r="C255">
        <v>223</v>
      </c>
      <c r="D255" s="12">
        <v>2001.3333333333101</v>
      </c>
      <c r="I255" s="13">
        <f t="shared" si="8"/>
        <v>-0.93608232672344094</v>
      </c>
      <c r="O255" s="12">
        <f>STANDARDIZE(C255,L$15,M$15)</f>
        <v>-0.9509724542167084</v>
      </c>
      <c r="P255" s="12">
        <v>2001.3333333333101</v>
      </c>
      <c r="R255">
        <v>0.84499999999999997</v>
      </c>
      <c r="S255">
        <v>-0.68200000000000005</v>
      </c>
      <c r="T255">
        <v>1.0740000000000001</v>
      </c>
      <c r="U255">
        <v>-1.21</v>
      </c>
      <c r="V255">
        <f t="shared" si="9"/>
        <v>6.7500000000000338E-3</v>
      </c>
    </row>
    <row r="256" spans="1:22" x14ac:dyDescent="0.3">
      <c r="A256" t="s">
        <v>5</v>
      </c>
      <c r="B256">
        <v>2001</v>
      </c>
      <c r="C256">
        <v>312</v>
      </c>
      <c r="D256" s="12">
        <v>2001.4166666666399</v>
      </c>
      <c r="I256" s="13">
        <f t="shared" si="8"/>
        <v>-0.33816663246270656</v>
      </c>
      <c r="O256" s="12">
        <f>STANDARDIZE(C256,L$16,M$16)</f>
        <v>-0.7379567842412903</v>
      </c>
      <c r="P256" s="12">
        <v>2001.4166666666399</v>
      </c>
      <c r="R256">
        <v>0.81100000000000005</v>
      </c>
      <c r="S256">
        <v>-0.629</v>
      </c>
      <c r="T256">
        <v>1.3280000000000001</v>
      </c>
      <c r="U256">
        <v>-1.2330000000000001</v>
      </c>
      <c r="V256">
        <f t="shared" si="9"/>
        <v>6.9250000000000034E-2</v>
      </c>
    </row>
    <row r="257" spans="1:22" x14ac:dyDescent="0.3">
      <c r="A257" t="s">
        <v>6</v>
      </c>
      <c r="B257">
        <v>2001</v>
      </c>
      <c r="C257">
        <v>291.10000000000002</v>
      </c>
      <c r="D257" s="12">
        <v>2001.49999999998</v>
      </c>
      <c r="I257" s="13">
        <f t="shared" si="8"/>
        <v>-0.47857604830595751</v>
      </c>
      <c r="O257" s="12">
        <f>STANDARDIZE(C257,L$17,M$17)</f>
        <v>-0.84837320672134264</v>
      </c>
      <c r="P257" s="12">
        <v>2001.49999999998</v>
      </c>
      <c r="R257">
        <v>0.78800000000000003</v>
      </c>
      <c r="S257">
        <v>-0.436</v>
      </c>
      <c r="T257">
        <v>1.4159999999999999</v>
      </c>
      <c r="U257">
        <v>-0.97299999999999998</v>
      </c>
      <c r="V257">
        <f t="shared" si="9"/>
        <v>0.19875000000000001</v>
      </c>
    </row>
    <row r="258" spans="1:22" x14ac:dyDescent="0.3">
      <c r="A258" t="s">
        <v>7</v>
      </c>
      <c r="B258">
        <v>2001</v>
      </c>
      <c r="C258">
        <v>260.3</v>
      </c>
      <c r="D258" s="12">
        <v>2001.5833333333101</v>
      </c>
      <c r="I258" s="13">
        <f t="shared" si="8"/>
        <v>-0.68549518744338034</v>
      </c>
      <c r="O258" s="12">
        <f>STANDARDIZE(C258,L$18,M$18)</f>
        <v>-0.92163256454037679</v>
      </c>
      <c r="P258" s="12">
        <v>2001.5833333333101</v>
      </c>
      <c r="R258">
        <v>0.69399999999999995</v>
      </c>
      <c r="S258">
        <v>-0.41399999999999998</v>
      </c>
      <c r="T258">
        <v>1.417</v>
      </c>
      <c r="U258">
        <v>-0.751</v>
      </c>
      <c r="V258">
        <f t="shared" si="9"/>
        <v>0.23650000000000002</v>
      </c>
    </row>
    <row r="259" spans="1:22" x14ac:dyDescent="0.3">
      <c r="A259" t="s">
        <v>8</v>
      </c>
      <c r="B259">
        <v>2001</v>
      </c>
      <c r="C259">
        <v>274.10000000000002</v>
      </c>
      <c r="D259" s="12">
        <v>2001.6666666666399</v>
      </c>
      <c r="I259" s="13">
        <f t="shared" si="8"/>
        <v>-0.59278466406362584</v>
      </c>
      <c r="O259" s="12">
        <f>STANDARDIZE(C259,L$19,M$19)</f>
        <v>-0.88027349331640647</v>
      </c>
      <c r="P259" s="12">
        <v>2001.6666666666399</v>
      </c>
      <c r="R259">
        <v>0.754</v>
      </c>
      <c r="S259">
        <v>-0.127</v>
      </c>
      <c r="T259">
        <v>1.6479999999999999</v>
      </c>
      <c r="U259">
        <v>-0.67800000000000005</v>
      </c>
      <c r="V259">
        <f t="shared" si="9"/>
        <v>0.39924999999999999</v>
      </c>
    </row>
    <row r="260" spans="1:22" x14ac:dyDescent="0.3">
      <c r="A260" t="s">
        <v>9</v>
      </c>
      <c r="B260">
        <v>2001</v>
      </c>
      <c r="C260">
        <v>330.4</v>
      </c>
      <c r="D260" s="12">
        <v>2001.74999999998</v>
      </c>
      <c r="I260" s="13">
        <f t="shared" si="8"/>
        <v>-0.21455260128970091</v>
      </c>
      <c r="O260" s="12">
        <f>STANDARDIZE(C260,L$20,M$20)</f>
        <v>-0.81843908926038489</v>
      </c>
      <c r="P260" s="12">
        <v>2001.74999999998</v>
      </c>
      <c r="R260">
        <v>0.312</v>
      </c>
      <c r="S260">
        <v>0.20399999999999999</v>
      </c>
      <c r="T260">
        <v>1.8979999999999999</v>
      </c>
      <c r="U260">
        <v>-0.45700000000000002</v>
      </c>
      <c r="V260">
        <f t="shared" si="9"/>
        <v>0.48924999999999991</v>
      </c>
    </row>
    <row r="261" spans="1:22" x14ac:dyDescent="0.3">
      <c r="A261" t="s">
        <v>10</v>
      </c>
      <c r="B261">
        <v>2001</v>
      </c>
      <c r="C261">
        <v>390.3</v>
      </c>
      <c r="D261" s="12">
        <v>2001.8333333333101</v>
      </c>
      <c r="I261" s="13">
        <f t="shared" si="8"/>
        <v>0.18786481540937788</v>
      </c>
      <c r="O261" s="12">
        <f>STANDARDIZE(C261,L$21,M$21)</f>
        <v>-0.78457324310036669</v>
      </c>
      <c r="P261" s="12">
        <v>2001.8333333333101</v>
      </c>
      <c r="R261">
        <v>-4.2999999999999997E-2</v>
      </c>
      <c r="S261">
        <v>8.7999999999999995E-2</v>
      </c>
      <c r="T261">
        <v>1.2070000000000001</v>
      </c>
      <c r="U261">
        <v>-0.67500000000000004</v>
      </c>
      <c r="V261">
        <f t="shared" si="9"/>
        <v>0.14424999999999999</v>
      </c>
    </row>
    <row r="262" spans="1:22" x14ac:dyDescent="0.3">
      <c r="A262" t="s">
        <v>11</v>
      </c>
      <c r="B262">
        <v>2001</v>
      </c>
      <c r="C262">
        <v>432</v>
      </c>
      <c r="D262" s="12">
        <v>2001.9166666666399</v>
      </c>
      <c r="I262" s="13">
        <f t="shared" si="8"/>
        <v>0.46801183170907024</v>
      </c>
      <c r="O262" s="12">
        <f>STANDARDIZE(C262,L$22,M$22)</f>
        <v>-0.40025858005722137</v>
      </c>
      <c r="P262" s="12">
        <v>2001.9166666666399</v>
      </c>
      <c r="R262">
        <v>0.16900000000000001</v>
      </c>
      <c r="S262">
        <v>0.315</v>
      </c>
      <c r="T262">
        <v>-0.47899999999999998</v>
      </c>
      <c r="U262">
        <v>-0.26300000000000001</v>
      </c>
      <c r="V262">
        <f t="shared" si="9"/>
        <v>-6.4500000000000002E-2</v>
      </c>
    </row>
    <row r="263" spans="1:22" x14ac:dyDescent="0.3">
      <c r="A263" t="s">
        <v>0</v>
      </c>
      <c r="B263">
        <v>2002</v>
      </c>
      <c r="C263">
        <v>393.2</v>
      </c>
      <c r="D263" s="12">
        <v>2002</v>
      </c>
      <c r="I263" s="13">
        <f t="shared" si="8"/>
        <v>0.20734746162686235</v>
      </c>
      <c r="O263" s="12">
        <f>STANDARDIZE(C263,L$11,M$11)</f>
        <v>0.11855021793234648</v>
      </c>
      <c r="P263" s="12">
        <v>2002</v>
      </c>
      <c r="R263">
        <v>0.30199999999999999</v>
      </c>
      <c r="S263">
        <v>-0.12</v>
      </c>
      <c r="T263">
        <v>-0.51100000000000001</v>
      </c>
      <c r="U263">
        <v>-0.17</v>
      </c>
      <c r="V263">
        <f t="shared" si="9"/>
        <v>-0.12475</v>
      </c>
    </row>
    <row r="264" spans="1:22" x14ac:dyDescent="0.3">
      <c r="A264" t="s">
        <v>1</v>
      </c>
      <c r="B264">
        <v>2002</v>
      </c>
      <c r="C264">
        <v>222.4</v>
      </c>
      <c r="D264" s="12">
        <v>2002.0833333333101</v>
      </c>
      <c r="I264" s="13">
        <f t="shared" si="8"/>
        <v>-0.94011321904429979</v>
      </c>
      <c r="O264" s="12">
        <f>STANDARDIZE(C264,L$12,M$12)</f>
        <v>-0.16727682357484275</v>
      </c>
      <c r="P264" s="12">
        <v>2002.0833333333101</v>
      </c>
      <c r="R264">
        <v>-0.122</v>
      </c>
      <c r="S264">
        <v>-0.433</v>
      </c>
      <c r="T264">
        <v>-0.46</v>
      </c>
      <c r="U264">
        <v>-0.29899999999999999</v>
      </c>
      <c r="V264">
        <f t="shared" si="9"/>
        <v>-0.32849999999999996</v>
      </c>
    </row>
    <row r="265" spans="1:22" x14ac:dyDescent="0.3">
      <c r="A265" t="s">
        <v>2</v>
      </c>
      <c r="B265">
        <v>2002</v>
      </c>
      <c r="C265">
        <v>202.3</v>
      </c>
      <c r="D265" s="12">
        <v>2002.1666666666399</v>
      </c>
      <c r="I265" s="13">
        <f t="shared" si="8"/>
        <v>-1.0751481117930723</v>
      </c>
      <c r="O265" s="12">
        <f>STANDARDIZE(C265,L$13,M$13)</f>
        <v>5.8680133175529822E-3</v>
      </c>
      <c r="P265" s="12">
        <v>2002.1666666666399</v>
      </c>
      <c r="R265">
        <v>0.14000000000000001</v>
      </c>
      <c r="S265">
        <v>-0.58399999999999996</v>
      </c>
      <c r="T265">
        <v>-0.221</v>
      </c>
      <c r="U265">
        <v>0.26100000000000001</v>
      </c>
      <c r="V265">
        <f t="shared" si="9"/>
        <v>-0.10099999999999998</v>
      </c>
    </row>
    <row r="266" spans="1:22" x14ac:dyDescent="0.3">
      <c r="A266" t="s">
        <v>3</v>
      </c>
      <c r="B266">
        <v>2002</v>
      </c>
      <c r="C266">
        <v>300.2</v>
      </c>
      <c r="D266" s="12">
        <v>2002.24999999998</v>
      </c>
      <c r="I266" s="13">
        <f t="shared" si="8"/>
        <v>-0.41744084810626464</v>
      </c>
      <c r="O266" s="12">
        <f>STANDARDIZE(C266,L$14,M$14)</f>
        <v>0.60553460827443784</v>
      </c>
      <c r="P266" s="12">
        <v>2002.24999999998</v>
      </c>
      <c r="R266">
        <v>0.10299999999999999</v>
      </c>
      <c r="S266">
        <v>-0.46600000000000003</v>
      </c>
      <c r="T266">
        <v>-0.13900000000000001</v>
      </c>
      <c r="U266">
        <v>0.755</v>
      </c>
      <c r="V266">
        <f t="shared" si="9"/>
        <v>6.3250000000000001E-2</v>
      </c>
    </row>
    <row r="267" spans="1:22" x14ac:dyDescent="0.3">
      <c r="A267" t="s">
        <v>4</v>
      </c>
      <c r="B267">
        <v>2002</v>
      </c>
      <c r="C267">
        <v>400.9</v>
      </c>
      <c r="D267" s="12">
        <v>2002.3333333333101</v>
      </c>
      <c r="I267" s="13">
        <f t="shared" si="8"/>
        <v>0.25907724641121793</v>
      </c>
      <c r="O267" s="12">
        <f>STANDARDIZE(C267,L$15,M$15)</f>
        <v>0.65593090633070261</v>
      </c>
      <c r="P267" s="12">
        <v>2002.3333333333101</v>
      </c>
      <c r="R267">
        <v>0.22500000000000001</v>
      </c>
      <c r="S267">
        <v>-0.504</v>
      </c>
      <c r="T267">
        <v>3.7999999999999999E-2</v>
      </c>
      <c r="U267">
        <v>0.123</v>
      </c>
      <c r="V267">
        <f t="shared" si="9"/>
        <v>-2.9500000000000005E-2</v>
      </c>
    </row>
    <row r="268" spans="1:22" x14ac:dyDescent="0.3">
      <c r="A268" t="s">
        <v>5</v>
      </c>
      <c r="B268">
        <v>2002</v>
      </c>
      <c r="C268">
        <v>445</v>
      </c>
      <c r="D268" s="12">
        <v>2002.4166666666399</v>
      </c>
      <c r="I268" s="13">
        <f t="shared" ref="I268:I331" si="11">STANDARDIZE(C268,C$8,C$9)</f>
        <v>0.55534783199434612</v>
      </c>
      <c r="O268" s="12">
        <f>STANDARDIZE(C268,L$16,M$16)</f>
        <v>0.45345195943547206</v>
      </c>
      <c r="P268" s="12">
        <v>2002.4166666666399</v>
      </c>
      <c r="R268">
        <v>0.55400000000000005</v>
      </c>
      <c r="S268">
        <v>-0.51900000000000002</v>
      </c>
      <c r="T268">
        <v>0.28199999999999997</v>
      </c>
      <c r="U268">
        <v>-0.66600000000000004</v>
      </c>
      <c r="V268">
        <f t="shared" ref="V268:V331" si="12">AVERAGE(R268:U268)</f>
        <v>-8.7250000000000008E-2</v>
      </c>
    </row>
    <row r="269" spans="1:22" x14ac:dyDescent="0.3">
      <c r="A269" t="s">
        <v>6</v>
      </c>
      <c r="B269">
        <v>2002</v>
      </c>
      <c r="C269">
        <v>432.6</v>
      </c>
      <c r="D269" s="12">
        <v>2002.49999999998</v>
      </c>
      <c r="I269" s="13">
        <f t="shared" si="11"/>
        <v>0.47204272402992931</v>
      </c>
      <c r="O269" s="12">
        <f>STANDARDIZE(C269,L$17,M$17)</f>
        <v>0.28375880079306015</v>
      </c>
      <c r="P269" s="12">
        <v>2002.49999999998</v>
      </c>
      <c r="R269">
        <v>0.37</v>
      </c>
      <c r="S269">
        <v>-0.44900000000000001</v>
      </c>
      <c r="T269">
        <v>0.36199999999999999</v>
      </c>
      <c r="U269">
        <v>-0.78100000000000003</v>
      </c>
      <c r="V269">
        <f t="shared" si="12"/>
        <v>-0.12450000000000001</v>
      </c>
    </row>
    <row r="270" spans="1:22" x14ac:dyDescent="0.3">
      <c r="A270" t="s">
        <v>7</v>
      </c>
      <c r="B270">
        <v>2002</v>
      </c>
      <c r="C270">
        <v>339.4</v>
      </c>
      <c r="D270" s="12">
        <v>2002.5833333333101</v>
      </c>
      <c r="I270" s="13">
        <f t="shared" si="11"/>
        <v>-0.15408921647681767</v>
      </c>
      <c r="O270" s="12">
        <f>STANDARDIZE(C270,L$18,M$18)</f>
        <v>-0.31278944271875975</v>
      </c>
      <c r="P270" s="12">
        <v>2002.5833333333101</v>
      </c>
      <c r="R270">
        <v>0.29299999999999998</v>
      </c>
      <c r="S270">
        <v>-0.40899999999999997</v>
      </c>
      <c r="T270">
        <v>0.433</v>
      </c>
      <c r="U270">
        <v>-1.1910000000000001</v>
      </c>
      <c r="V270">
        <f t="shared" si="12"/>
        <v>-0.21850000000000003</v>
      </c>
    </row>
    <row r="271" spans="1:22" x14ac:dyDescent="0.3">
      <c r="A271" t="s">
        <v>8</v>
      </c>
      <c r="B271">
        <v>2002</v>
      </c>
      <c r="C271">
        <v>349</v>
      </c>
      <c r="D271" s="12">
        <v>2002.6666666666399</v>
      </c>
      <c r="I271" s="13">
        <f t="shared" si="11"/>
        <v>-8.9594939343075358E-2</v>
      </c>
      <c r="O271" s="12">
        <f>STANDARDIZE(C271,L$19,M$19)</f>
        <v>-0.30352285905858772</v>
      </c>
      <c r="P271" s="12">
        <v>2002.6666666666399</v>
      </c>
      <c r="R271">
        <v>0.27700000000000002</v>
      </c>
      <c r="S271">
        <v>-0.71799999999999997</v>
      </c>
      <c r="T271">
        <v>0.67300000000000004</v>
      </c>
      <c r="U271">
        <v>-0.89800000000000002</v>
      </c>
      <c r="V271">
        <f t="shared" si="12"/>
        <v>-0.16649999999999998</v>
      </c>
    </row>
    <row r="272" spans="1:22" x14ac:dyDescent="0.3">
      <c r="A272" t="s">
        <v>9</v>
      </c>
      <c r="B272">
        <v>2002</v>
      </c>
      <c r="C272">
        <v>393.5</v>
      </c>
      <c r="D272" s="12">
        <v>2002.74999999998</v>
      </c>
      <c r="I272" s="13">
        <f t="shared" si="11"/>
        <v>0.20936290778729186</v>
      </c>
      <c r="O272" s="12">
        <f>STANDARDIZE(C272,L$20,M$20)</f>
        <v>-0.29801909368524931</v>
      </c>
      <c r="P272" s="12">
        <v>2002.74999999998</v>
      </c>
      <c r="R272">
        <v>5.0999999999999997E-2</v>
      </c>
      <c r="S272">
        <v>-0.76300000000000001</v>
      </c>
      <c r="T272">
        <v>0.999</v>
      </c>
      <c r="U272">
        <v>-1.3029999999999999</v>
      </c>
      <c r="V272">
        <f t="shared" si="12"/>
        <v>-0.254</v>
      </c>
    </row>
    <row r="273" spans="1:22" x14ac:dyDescent="0.3">
      <c r="A273" t="s">
        <v>10</v>
      </c>
      <c r="B273">
        <v>2002</v>
      </c>
      <c r="C273">
        <v>465.5</v>
      </c>
      <c r="D273" s="12">
        <v>2002.8333333333101</v>
      </c>
      <c r="I273" s="13">
        <f t="shared" si="11"/>
        <v>0.69306998629035799</v>
      </c>
      <c r="O273" s="12">
        <f>STANDARDIZE(C273,L$21,M$21)</f>
        <v>-0.12755867872233068</v>
      </c>
      <c r="P273" s="12">
        <v>2002.8333333333101</v>
      </c>
      <c r="R273">
        <v>-0.128</v>
      </c>
      <c r="S273">
        <v>-0.35</v>
      </c>
      <c r="T273">
        <v>0.97299999999999998</v>
      </c>
      <c r="U273">
        <v>-1.0960000000000001</v>
      </c>
      <c r="V273">
        <f t="shared" si="12"/>
        <v>-0.15025000000000002</v>
      </c>
    </row>
    <row r="274" spans="1:22" x14ac:dyDescent="0.3">
      <c r="A274" t="s">
        <v>11</v>
      </c>
      <c r="B274">
        <v>2002</v>
      </c>
      <c r="C274">
        <v>394.7</v>
      </c>
      <c r="D274" s="12">
        <v>2002.9166666666399</v>
      </c>
      <c r="I274" s="13">
        <f t="shared" si="11"/>
        <v>0.21742469242900955</v>
      </c>
      <c r="O274" s="12">
        <f>STANDARDIZE(C274,L$22,M$22)</f>
        <v>-0.67242774317233267</v>
      </c>
      <c r="P274" s="12">
        <v>2002.9166666666399</v>
      </c>
      <c r="R274">
        <v>1.2999999999999999E-2</v>
      </c>
      <c r="S274">
        <v>4.4999999999999998E-2</v>
      </c>
      <c r="T274">
        <v>-0.27700000000000002</v>
      </c>
      <c r="U274">
        <v>-0.312</v>
      </c>
      <c r="V274">
        <f t="shared" si="12"/>
        <v>-0.13275000000000001</v>
      </c>
    </row>
    <row r="275" spans="1:22" x14ac:dyDescent="0.3">
      <c r="A275" t="s">
        <v>0</v>
      </c>
      <c r="B275">
        <v>2003</v>
      </c>
      <c r="C275">
        <v>243.8</v>
      </c>
      <c r="D275" s="12">
        <v>2003</v>
      </c>
      <c r="I275" s="13">
        <f t="shared" si="11"/>
        <v>-0.79634472626699959</v>
      </c>
      <c r="O275" s="12">
        <f>STANDARDIZE(C275,L$11,M$11)</f>
        <v>-0.88504240214315988</v>
      </c>
      <c r="P275" s="12">
        <v>2003</v>
      </c>
      <c r="R275">
        <v>0.40600000000000003</v>
      </c>
      <c r="S275">
        <v>-0.13200000000000001</v>
      </c>
      <c r="T275">
        <v>-0.65500000000000003</v>
      </c>
      <c r="U275">
        <v>-0.32700000000000001</v>
      </c>
      <c r="V275">
        <f t="shared" si="12"/>
        <v>-0.17699999999999999</v>
      </c>
    </row>
    <row r="276" spans="1:22" x14ac:dyDescent="0.3">
      <c r="A276" t="s">
        <v>1</v>
      </c>
      <c r="B276">
        <v>2003</v>
      </c>
      <c r="C276">
        <v>175.8</v>
      </c>
      <c r="D276" s="12">
        <v>2003.0833333333101</v>
      </c>
      <c r="I276" s="13">
        <f t="shared" si="11"/>
        <v>-1.2531791892976731</v>
      </c>
      <c r="O276" s="12">
        <f>STANDARDIZE(C276,L$12,M$12)</f>
        <v>-0.54225864175560434</v>
      </c>
      <c r="P276" s="12">
        <v>2003.0833333333101</v>
      </c>
      <c r="R276">
        <v>0.61299999999999999</v>
      </c>
      <c r="S276">
        <v>-0.14899999999999999</v>
      </c>
      <c r="T276">
        <v>-0.60699999999999998</v>
      </c>
      <c r="U276">
        <v>-0.22</v>
      </c>
      <c r="V276">
        <f t="shared" si="12"/>
        <v>-9.0749999999999997E-2</v>
      </c>
    </row>
    <row r="277" spans="1:22" x14ac:dyDescent="0.3">
      <c r="A277" t="s">
        <v>2</v>
      </c>
      <c r="B277">
        <v>2003</v>
      </c>
      <c r="C277">
        <v>173</v>
      </c>
      <c r="D277" s="12">
        <v>2003.1666666666499</v>
      </c>
      <c r="I277" s="13">
        <f t="shared" si="11"/>
        <v>-1.2719900201283481</v>
      </c>
      <c r="O277" s="12">
        <f>STANDARDIZE(C277,L$13,M$13)</f>
        <v>-0.30272930243376317</v>
      </c>
      <c r="P277" s="12">
        <v>2003.1666666666499</v>
      </c>
      <c r="R277">
        <v>0.57699999999999996</v>
      </c>
      <c r="S277">
        <v>0.1</v>
      </c>
      <c r="T277">
        <v>-0.505</v>
      </c>
      <c r="U277">
        <v>0.11899999999999999</v>
      </c>
      <c r="V277">
        <f t="shared" si="12"/>
        <v>7.2749999999999981E-2</v>
      </c>
    </row>
    <row r="278" spans="1:22" x14ac:dyDescent="0.3">
      <c r="A278" t="s">
        <v>3</v>
      </c>
      <c r="B278">
        <v>2003</v>
      </c>
      <c r="C278" s="1"/>
      <c r="D278" s="12">
        <v>2003.24999999998</v>
      </c>
      <c r="I278" s="13"/>
      <c r="O278" s="12"/>
      <c r="P278" s="12">
        <v>2003.24999999998</v>
      </c>
      <c r="R278">
        <v>0.70699999999999996</v>
      </c>
      <c r="S278">
        <v>0.34399999999999997</v>
      </c>
      <c r="T278">
        <v>-0.34399999999999997</v>
      </c>
      <c r="U278">
        <v>0.26900000000000002</v>
      </c>
      <c r="V278">
        <f t="shared" si="12"/>
        <v>0.24399999999999999</v>
      </c>
    </row>
    <row r="279" spans="1:22" x14ac:dyDescent="0.3">
      <c r="A279" t="s">
        <v>4</v>
      </c>
      <c r="B279">
        <v>2003</v>
      </c>
      <c r="C279">
        <v>324.39999999999998</v>
      </c>
      <c r="D279" s="12">
        <v>2003.3333333333101</v>
      </c>
      <c r="I279" s="13">
        <f t="shared" si="11"/>
        <v>-0.25486152449828975</v>
      </c>
      <c r="O279" s="12">
        <f>STANDARDIZE(C279,L$15,M$15)</f>
        <v>-3.5064636569111678E-2</v>
      </c>
      <c r="P279" s="12">
        <v>2003.3333333333101</v>
      </c>
      <c r="R279">
        <v>0.71299999999999997</v>
      </c>
      <c r="S279">
        <v>0.67200000000000004</v>
      </c>
      <c r="T279">
        <v>-9.1999999999999998E-2</v>
      </c>
      <c r="U279">
        <v>0.41799999999999998</v>
      </c>
      <c r="V279">
        <f t="shared" si="12"/>
        <v>0.42774999999999996</v>
      </c>
    </row>
    <row r="280" spans="1:22" x14ac:dyDescent="0.3">
      <c r="A280" t="s">
        <v>5</v>
      </c>
      <c r="B280">
        <v>2003</v>
      </c>
      <c r="C280">
        <v>392.4</v>
      </c>
      <c r="D280" s="12">
        <v>2003.4166666666499</v>
      </c>
      <c r="I280" s="13">
        <f t="shared" si="11"/>
        <v>0.20197293853238377</v>
      </c>
      <c r="O280" s="12">
        <f>STANDARDIZE(C280,L$16,M$16)</f>
        <v>-1.7736761747969499E-2</v>
      </c>
      <c r="P280" s="12">
        <v>2003.4166666666499</v>
      </c>
      <c r="R280">
        <v>0.53900000000000003</v>
      </c>
      <c r="S280">
        <v>0.45500000000000002</v>
      </c>
      <c r="T280">
        <v>0.13400000000000001</v>
      </c>
      <c r="U280">
        <v>0.25600000000000001</v>
      </c>
      <c r="V280">
        <f t="shared" si="12"/>
        <v>0.34600000000000003</v>
      </c>
    </row>
    <row r="281" spans="1:22" x14ac:dyDescent="0.3">
      <c r="A281" t="s">
        <v>6</v>
      </c>
      <c r="B281">
        <v>2003</v>
      </c>
      <c r="C281">
        <v>449.4</v>
      </c>
      <c r="D281" s="12">
        <v>2003.49999999998</v>
      </c>
      <c r="I281" s="13">
        <f t="shared" si="11"/>
        <v>0.58490770901397771</v>
      </c>
      <c r="O281" s="12">
        <f>STANDARDIZE(C281,L$17,M$17)</f>
        <v>0.4181744737700348</v>
      </c>
      <c r="P281" s="12">
        <v>2003.49999999998</v>
      </c>
      <c r="R281">
        <v>0.53500000000000003</v>
      </c>
      <c r="S281">
        <v>0.33900000000000002</v>
      </c>
      <c r="T281">
        <v>0.40500000000000003</v>
      </c>
      <c r="U281">
        <v>-0.40600000000000003</v>
      </c>
      <c r="V281">
        <f t="shared" si="12"/>
        <v>0.21825000000000003</v>
      </c>
    </row>
    <row r="282" spans="1:22" x14ac:dyDescent="0.3">
      <c r="A282" t="s">
        <v>7</v>
      </c>
      <c r="B282">
        <v>2003</v>
      </c>
      <c r="C282">
        <v>443.4</v>
      </c>
      <c r="D282" s="12">
        <v>2003.5833333333101</v>
      </c>
      <c r="I282" s="13">
        <f t="shared" si="11"/>
        <v>0.5445987858053889</v>
      </c>
      <c r="O282" s="12">
        <f>STANDARDIZE(C282,L$18,M$18)</f>
        <v>0.48771225980270921</v>
      </c>
      <c r="P282" s="12">
        <v>2003.5833333333101</v>
      </c>
      <c r="R282">
        <v>0.61199999999999999</v>
      </c>
      <c r="S282">
        <v>0.158</v>
      </c>
      <c r="T282">
        <v>0.56699999999999995</v>
      </c>
      <c r="U282">
        <v>-0.10100000000000001</v>
      </c>
      <c r="V282">
        <f t="shared" si="12"/>
        <v>0.309</v>
      </c>
    </row>
    <row r="283" spans="1:22" x14ac:dyDescent="0.3">
      <c r="A283" t="s">
        <v>8</v>
      </c>
      <c r="B283">
        <v>2003</v>
      </c>
      <c r="C283">
        <v>400.8</v>
      </c>
      <c r="D283" s="12">
        <v>2003.6666666666499</v>
      </c>
      <c r="I283" s="13">
        <f t="shared" si="11"/>
        <v>0.25840543102440838</v>
      </c>
      <c r="O283" s="12">
        <f>STANDARDIZE(C283,L$19,M$19)</f>
        <v>9.5351411362707708E-2</v>
      </c>
      <c r="P283" s="12">
        <v>2003.6666666666499</v>
      </c>
      <c r="R283">
        <v>0.51200000000000001</v>
      </c>
      <c r="S283">
        <v>-9.1999999999999998E-2</v>
      </c>
      <c r="T283">
        <v>0.80400000000000005</v>
      </c>
      <c r="U283">
        <v>6.7000000000000004E-2</v>
      </c>
      <c r="V283">
        <f t="shared" si="12"/>
        <v>0.32275000000000004</v>
      </c>
    </row>
    <row r="284" spans="1:22" x14ac:dyDescent="0.3">
      <c r="A284" t="s">
        <v>9</v>
      </c>
      <c r="B284">
        <v>2003</v>
      </c>
      <c r="C284">
        <v>467.7</v>
      </c>
      <c r="D284" s="12">
        <v>2003.74999999998</v>
      </c>
      <c r="I284" s="13">
        <f t="shared" si="11"/>
        <v>0.70784992480017372</v>
      </c>
      <c r="O284" s="12">
        <f>STANDARDIZE(C284,L$20,M$20)</f>
        <v>0.3139486348674454</v>
      </c>
      <c r="P284" s="12">
        <v>2003.74999999998</v>
      </c>
      <c r="R284">
        <v>0.62</v>
      </c>
      <c r="S284">
        <v>0.26300000000000001</v>
      </c>
      <c r="T284">
        <v>1.0569999999999999</v>
      </c>
      <c r="U284">
        <v>-0.8</v>
      </c>
      <c r="V284">
        <f t="shared" si="12"/>
        <v>0.28499999999999998</v>
      </c>
    </row>
    <row r="285" spans="1:22" x14ac:dyDescent="0.3">
      <c r="A285" t="s">
        <v>10</v>
      </c>
      <c r="B285">
        <v>2003</v>
      </c>
      <c r="C285">
        <v>518</v>
      </c>
      <c r="D285" s="12">
        <v>2003.8333333333101</v>
      </c>
      <c r="I285" s="13">
        <f t="shared" si="11"/>
        <v>1.0457730643655103</v>
      </c>
      <c r="O285" s="12">
        <f>STANDARDIZE(C285,L$21,M$21)</f>
        <v>0.33112835092988868</v>
      </c>
      <c r="P285" s="12">
        <v>2003.8333333333101</v>
      </c>
      <c r="R285">
        <v>0.45400000000000001</v>
      </c>
      <c r="S285">
        <v>0.14699999999999999</v>
      </c>
      <c r="T285">
        <v>1.1850000000000001</v>
      </c>
      <c r="U285">
        <v>-0.94099999999999995</v>
      </c>
      <c r="V285">
        <f t="shared" si="12"/>
        <v>0.21125000000000002</v>
      </c>
    </row>
    <row r="286" spans="1:22" x14ac:dyDescent="0.3">
      <c r="A286" t="s">
        <v>11</v>
      </c>
      <c r="B286">
        <v>2003</v>
      </c>
      <c r="C286">
        <v>566.4</v>
      </c>
      <c r="D286" s="12">
        <v>2003.9166666666499</v>
      </c>
      <c r="I286" s="13">
        <f t="shared" si="11"/>
        <v>1.3709317115814601</v>
      </c>
      <c r="O286" s="12">
        <f>STANDARDIZE(C286,L$22,M$22)</f>
        <v>0.58042601840580654</v>
      </c>
      <c r="P286" s="12">
        <v>2003.9166666666499</v>
      </c>
      <c r="R286">
        <v>-0.6</v>
      </c>
      <c r="S286">
        <v>-4.0000000000000001E-3</v>
      </c>
      <c r="T286">
        <v>2.3E-2</v>
      </c>
      <c r="U286">
        <v>-1.2849999999999999</v>
      </c>
      <c r="V286">
        <f t="shared" si="12"/>
        <v>-0.46649999999999997</v>
      </c>
    </row>
    <row r="287" spans="1:22" x14ac:dyDescent="0.3">
      <c r="A287" t="s">
        <v>0</v>
      </c>
      <c r="B287">
        <v>2004</v>
      </c>
      <c r="C287">
        <v>474.6</v>
      </c>
      <c r="D287" s="12">
        <v>2004</v>
      </c>
      <c r="I287" s="13">
        <f t="shared" si="11"/>
        <v>0.75420518649005119</v>
      </c>
      <c r="O287" s="12">
        <f>STANDARDIZE(C287,L$11,M$11)</f>
        <v>0.66535369366291053</v>
      </c>
      <c r="P287" s="12">
        <v>2004</v>
      </c>
      <c r="R287">
        <v>-0.75</v>
      </c>
      <c r="S287">
        <v>-0.14399999999999999</v>
      </c>
      <c r="T287">
        <v>0.64500000000000002</v>
      </c>
      <c r="U287">
        <v>-0.52800000000000002</v>
      </c>
      <c r="V287">
        <f t="shared" si="12"/>
        <v>-0.19425000000000001</v>
      </c>
    </row>
    <row r="288" spans="1:22" x14ac:dyDescent="0.3">
      <c r="A288" t="s">
        <v>1</v>
      </c>
      <c r="B288">
        <v>2004</v>
      </c>
      <c r="C288">
        <v>220.1</v>
      </c>
      <c r="D288" s="12">
        <v>2004.0833333333101</v>
      </c>
      <c r="I288" s="13">
        <f t="shared" si="11"/>
        <v>-0.95556497294092568</v>
      </c>
      <c r="O288" s="12">
        <f>STANDARDIZE(C288,L$12,M$12)</f>
        <v>-0.18578450987990189</v>
      </c>
      <c r="P288" s="12">
        <v>2004.0833333333101</v>
      </c>
      <c r="R288">
        <v>-0.67500000000000004</v>
      </c>
      <c r="S288">
        <v>-0.17</v>
      </c>
      <c r="T288">
        <v>0.74199999999999999</v>
      </c>
      <c r="U288">
        <v>-0.65700000000000003</v>
      </c>
      <c r="V288">
        <f t="shared" si="12"/>
        <v>-0.19000000000000003</v>
      </c>
    </row>
    <row r="289" spans="1:22" x14ac:dyDescent="0.3">
      <c r="A289" t="s">
        <v>2</v>
      </c>
      <c r="B289">
        <v>2004</v>
      </c>
      <c r="C289">
        <v>125.6</v>
      </c>
      <c r="D289" s="12">
        <v>2004.1666666666499</v>
      </c>
      <c r="I289" s="13">
        <f t="shared" si="11"/>
        <v>-1.5904305134761998</v>
      </c>
      <c r="O289" s="12">
        <f>STANDARDIZE(C289,L$13,M$13)</f>
        <v>-0.80196182006558503</v>
      </c>
      <c r="P289" s="12">
        <v>2004.1666666666499</v>
      </c>
      <c r="R289">
        <v>-0.78</v>
      </c>
      <c r="S289">
        <v>-0.38300000000000001</v>
      </c>
      <c r="T289">
        <v>0.66300000000000003</v>
      </c>
      <c r="U289">
        <v>-0.56299999999999994</v>
      </c>
      <c r="V289">
        <f t="shared" si="12"/>
        <v>-0.26574999999999999</v>
      </c>
    </row>
    <row r="290" spans="1:22" x14ac:dyDescent="0.3">
      <c r="A290" t="s">
        <v>3</v>
      </c>
      <c r="B290">
        <v>2004</v>
      </c>
      <c r="C290">
        <v>159.30000000000001</v>
      </c>
      <c r="D290" s="12">
        <v>2004.24999999998</v>
      </c>
      <c r="I290" s="13">
        <f t="shared" si="11"/>
        <v>-1.3640287281212924</v>
      </c>
      <c r="O290" s="12">
        <f>STANDARDIZE(C290,L$14,M$14)</f>
        <v>-0.71705437486969481</v>
      </c>
      <c r="P290" s="12">
        <v>2004.24999999998</v>
      </c>
      <c r="R290">
        <v>-0.78400000000000003</v>
      </c>
      <c r="S290">
        <v>-0.23</v>
      </c>
      <c r="T290">
        <v>0.70299999999999996</v>
      </c>
      <c r="U290">
        <v>-0.09</v>
      </c>
      <c r="V290">
        <f t="shared" si="12"/>
        <v>-0.10025000000000001</v>
      </c>
    </row>
    <row r="291" spans="1:22" x14ac:dyDescent="0.3">
      <c r="A291" t="s">
        <v>4</v>
      </c>
      <c r="B291">
        <v>2004</v>
      </c>
      <c r="C291">
        <v>349.9</v>
      </c>
      <c r="D291" s="12">
        <v>2004.3333333333101</v>
      </c>
      <c r="I291" s="13">
        <f t="shared" si="11"/>
        <v>-8.3548600861787184E-2</v>
      </c>
      <c r="O291" s="12">
        <f>STANDARDIZE(C291,L$15,M$15)</f>
        <v>0.19526721106415973</v>
      </c>
      <c r="P291" s="12">
        <v>2004.3333333333101</v>
      </c>
      <c r="R291">
        <v>-0.61899999999999999</v>
      </c>
      <c r="S291">
        <v>-0.29299999999999998</v>
      </c>
      <c r="T291">
        <v>1.054</v>
      </c>
      <c r="U291">
        <v>-6.8000000000000005E-2</v>
      </c>
      <c r="V291">
        <f t="shared" si="12"/>
        <v>1.850000000000003E-2</v>
      </c>
    </row>
    <row r="292" spans="1:22" x14ac:dyDescent="0.3">
      <c r="A292" t="s">
        <v>5</v>
      </c>
      <c r="B292">
        <v>2004</v>
      </c>
      <c r="C292">
        <v>431.1</v>
      </c>
      <c r="D292" s="12">
        <v>2004.4166666666499</v>
      </c>
      <c r="I292" s="13">
        <f t="shared" si="11"/>
        <v>0.46196549322778208</v>
      </c>
      <c r="O292" s="12">
        <f>STANDARDIZE(C292,L$16,M$16)</f>
        <v>0.32893630878053248</v>
      </c>
      <c r="P292" s="12">
        <v>2004.4166666666499</v>
      </c>
      <c r="R292">
        <v>-0.42499999999999999</v>
      </c>
      <c r="S292">
        <v>-0.185</v>
      </c>
      <c r="T292">
        <v>1.45</v>
      </c>
      <c r="U292">
        <v>-0.80400000000000005</v>
      </c>
      <c r="V292">
        <f t="shared" si="12"/>
        <v>8.9999999999999802E-3</v>
      </c>
    </row>
    <row r="293" spans="1:22" x14ac:dyDescent="0.3">
      <c r="A293" t="s">
        <v>6</v>
      </c>
      <c r="B293">
        <v>2004</v>
      </c>
      <c r="C293">
        <v>380</v>
      </c>
      <c r="D293" s="12">
        <v>2004.49999999998</v>
      </c>
      <c r="I293" s="13">
        <f t="shared" si="11"/>
        <v>0.11866783056796698</v>
      </c>
      <c r="O293" s="12">
        <f>STANDARDIZE(C293,L$17,M$17)</f>
        <v>-0.13709027055151662</v>
      </c>
      <c r="P293" s="12">
        <v>2004.49999999998</v>
      </c>
      <c r="R293">
        <v>-0.40600000000000003</v>
      </c>
      <c r="S293">
        <v>-0.47199999999999998</v>
      </c>
      <c r="T293">
        <v>1.474</v>
      </c>
      <c r="U293">
        <v>-1.22</v>
      </c>
      <c r="V293">
        <f t="shared" si="12"/>
        <v>-0.156</v>
      </c>
    </row>
    <row r="294" spans="1:22" x14ac:dyDescent="0.3">
      <c r="A294" t="s">
        <v>7</v>
      </c>
      <c r="B294">
        <v>2004</v>
      </c>
      <c r="C294">
        <v>381.1</v>
      </c>
      <c r="D294" s="12">
        <v>2004.5833333333101</v>
      </c>
      <c r="I294" s="13">
        <f t="shared" si="11"/>
        <v>0.12605779982287507</v>
      </c>
      <c r="O294" s="12">
        <f>STANDARDIZE(C294,L$18,M$18)</f>
        <v>8.1809514653296087E-3</v>
      </c>
      <c r="P294" s="12">
        <v>2004.5833333333101</v>
      </c>
      <c r="R294">
        <v>-0.53300000000000003</v>
      </c>
      <c r="S294">
        <v>-0.40600000000000003</v>
      </c>
      <c r="T294">
        <v>1.679</v>
      </c>
      <c r="U294">
        <v>-1.1319999999999999</v>
      </c>
      <c r="V294">
        <f t="shared" si="12"/>
        <v>-9.7999999999999976E-2</v>
      </c>
    </row>
    <row r="295" spans="1:22" x14ac:dyDescent="0.3">
      <c r="A295" t="s">
        <v>8</v>
      </c>
      <c r="B295">
        <v>2004</v>
      </c>
      <c r="C295">
        <v>401</v>
      </c>
      <c r="D295" s="12">
        <v>2004.6666666666499</v>
      </c>
      <c r="I295" s="13">
        <f t="shared" si="11"/>
        <v>0.25974906179802792</v>
      </c>
      <c r="O295" s="12">
        <f>STANDARDIZE(C295,L$19,M$19)</f>
        <v>9.6891466460859332E-2</v>
      </c>
      <c r="P295" s="12">
        <v>2004.6666666666499</v>
      </c>
      <c r="R295">
        <v>-0.26800000000000002</v>
      </c>
      <c r="S295">
        <v>5.5E-2</v>
      </c>
      <c r="T295">
        <v>1.617</v>
      </c>
      <c r="U295">
        <v>-0.36699999999999999</v>
      </c>
      <c r="V295">
        <f t="shared" si="12"/>
        <v>0.25924999999999998</v>
      </c>
    </row>
    <row r="296" spans="1:22" x14ac:dyDescent="0.3">
      <c r="A296" t="s">
        <v>9</v>
      </c>
      <c r="B296">
        <v>2004</v>
      </c>
      <c r="C296">
        <v>458.3</v>
      </c>
      <c r="D296" s="12">
        <v>2004.74999999998</v>
      </c>
      <c r="I296" s="13">
        <f t="shared" si="11"/>
        <v>0.64469927844005137</v>
      </c>
      <c r="O296" s="12">
        <f>STANDARDIZE(C296,L$20,M$20)</f>
        <v>0.23642172585942228</v>
      </c>
      <c r="P296" s="12">
        <v>2004.74999999998</v>
      </c>
      <c r="R296">
        <v>-4.8000000000000001E-2</v>
      </c>
      <c r="S296">
        <v>0.05</v>
      </c>
      <c r="T296">
        <v>1.673</v>
      </c>
      <c r="U296">
        <v>-0.439</v>
      </c>
      <c r="V296">
        <f t="shared" si="12"/>
        <v>0.309</v>
      </c>
    </row>
    <row r="297" spans="1:22" x14ac:dyDescent="0.3">
      <c r="A297" t="s">
        <v>10</v>
      </c>
      <c r="B297">
        <v>2004</v>
      </c>
      <c r="C297">
        <v>540.70000000000005</v>
      </c>
      <c r="D297" s="12">
        <v>2004.8333333333101</v>
      </c>
      <c r="I297" s="13">
        <f t="shared" si="11"/>
        <v>1.1982751571713384</v>
      </c>
      <c r="O297" s="12">
        <f>STANDARDIZE(C297,L$21,M$21)</f>
        <v>0.52945588565570578</v>
      </c>
      <c r="P297" s="12">
        <v>2004.8333333333101</v>
      </c>
      <c r="R297">
        <v>-0.23899999999999999</v>
      </c>
      <c r="S297">
        <v>-0.35</v>
      </c>
      <c r="T297">
        <v>2.181</v>
      </c>
      <c r="U297">
        <v>-0.32800000000000001</v>
      </c>
      <c r="V297">
        <f t="shared" si="12"/>
        <v>0.316</v>
      </c>
    </row>
    <row r="298" spans="1:22" x14ac:dyDescent="0.3">
      <c r="A298" t="s">
        <v>11</v>
      </c>
      <c r="B298">
        <v>2004</v>
      </c>
      <c r="C298">
        <v>527.70000000000005</v>
      </c>
      <c r="D298" s="12">
        <v>2004.9166666666499</v>
      </c>
      <c r="I298" s="13">
        <f t="shared" si="11"/>
        <v>1.1109391568860625</v>
      </c>
      <c r="O298" s="12">
        <f>STANDARDIZE(C298,L$22,M$22)</f>
        <v>0.2980413907233726</v>
      </c>
      <c r="P298" s="12">
        <v>2004.9166666666499</v>
      </c>
      <c r="R298">
        <v>-0.59599999999999997</v>
      </c>
      <c r="S298">
        <v>-0.107</v>
      </c>
      <c r="T298">
        <v>0.73299999999999998</v>
      </c>
      <c r="U298">
        <v>-0.41199999999999998</v>
      </c>
      <c r="V298">
        <f t="shared" si="12"/>
        <v>-9.5499999999999988E-2</v>
      </c>
    </row>
    <row r="299" spans="1:22" x14ac:dyDescent="0.3">
      <c r="A299" t="s">
        <v>0</v>
      </c>
      <c r="B299">
        <v>2005</v>
      </c>
      <c r="C299">
        <v>432.7</v>
      </c>
      <c r="D299" s="12">
        <v>2005</v>
      </c>
      <c r="I299" s="13">
        <f t="shared" si="11"/>
        <v>0.47271453941673885</v>
      </c>
      <c r="O299" s="12">
        <f>STANDARDIZE(C299,L$11,M$11)</f>
        <v>0.38389097089742347</v>
      </c>
      <c r="P299" s="12">
        <v>2005</v>
      </c>
      <c r="R299">
        <v>-0.434</v>
      </c>
      <c r="S299">
        <v>-0.17399999999999999</v>
      </c>
      <c r="T299">
        <v>0.67</v>
      </c>
      <c r="U299">
        <v>-0.27500000000000002</v>
      </c>
      <c r="V299">
        <f t="shared" si="12"/>
        <v>-5.3249999999999992E-2</v>
      </c>
    </row>
    <row r="300" spans="1:22" x14ac:dyDescent="0.3">
      <c r="A300" t="s">
        <v>1</v>
      </c>
      <c r="B300">
        <v>2005</v>
      </c>
      <c r="C300">
        <v>291.2</v>
      </c>
      <c r="D300" s="12">
        <v>2005.0833333333201</v>
      </c>
      <c r="I300" s="13">
        <f t="shared" si="11"/>
        <v>-0.47790423291914791</v>
      </c>
      <c r="O300" s="12">
        <f>STANDARDIZE(C300,L$12,M$12)</f>
        <v>0.38634440155040184</v>
      </c>
      <c r="P300" s="12">
        <v>2005.0833333333201</v>
      </c>
      <c r="R300">
        <v>-0.495</v>
      </c>
      <c r="S300">
        <v>-0.24099999999999999</v>
      </c>
      <c r="T300">
        <v>0.78300000000000003</v>
      </c>
      <c r="U300">
        <v>-2.7E-2</v>
      </c>
      <c r="V300">
        <f t="shared" si="12"/>
        <v>5.0000000000000105E-3</v>
      </c>
    </row>
    <row r="301" spans="1:22" x14ac:dyDescent="0.3">
      <c r="A301" t="s">
        <v>2</v>
      </c>
      <c r="B301">
        <v>2005</v>
      </c>
      <c r="C301">
        <v>219.8</v>
      </c>
      <c r="D301" s="12">
        <v>2005.1666666666499</v>
      </c>
      <c r="I301" s="13">
        <f t="shared" si="11"/>
        <v>-0.95758041910135494</v>
      </c>
      <c r="O301" s="12">
        <f>STANDARDIZE(C301,L$13,M$13)</f>
        <v>0.19018381624069394</v>
      </c>
      <c r="P301" s="12">
        <v>2005.1666666666499</v>
      </c>
      <c r="R301">
        <v>-0.432</v>
      </c>
      <c r="S301">
        <v>-0.13900000000000001</v>
      </c>
      <c r="T301">
        <v>0.68200000000000005</v>
      </c>
      <c r="U301">
        <v>0.14899999999999999</v>
      </c>
      <c r="V301">
        <f t="shared" si="12"/>
        <v>6.500000000000003E-2</v>
      </c>
    </row>
    <row r="302" spans="1:22" x14ac:dyDescent="0.3">
      <c r="A302" t="s">
        <v>3</v>
      </c>
      <c r="B302">
        <v>2005</v>
      </c>
      <c r="C302">
        <v>255.8</v>
      </c>
      <c r="D302" s="12">
        <v>2005.24999999998</v>
      </c>
      <c r="I302" s="13">
        <f t="shared" si="11"/>
        <v>-0.71572687984982197</v>
      </c>
      <c r="O302" s="12">
        <f>STANDARDIZE(C302,L$14,M$14)</f>
        <v>0.18876419768821021</v>
      </c>
      <c r="P302" s="12">
        <v>2005.24999999998</v>
      </c>
      <c r="R302">
        <v>-0.05</v>
      </c>
      <c r="S302">
        <v>-0.19700000000000001</v>
      </c>
      <c r="T302">
        <v>0.52300000000000002</v>
      </c>
      <c r="U302">
        <v>0.79100000000000004</v>
      </c>
      <c r="V302">
        <f t="shared" si="12"/>
        <v>0.26675000000000004</v>
      </c>
    </row>
    <row r="303" spans="1:22" x14ac:dyDescent="0.3">
      <c r="A303" t="s">
        <v>4</v>
      </c>
      <c r="B303">
        <v>2005</v>
      </c>
      <c r="C303">
        <v>380.2</v>
      </c>
      <c r="D303" s="12">
        <v>2005.3333333333201</v>
      </c>
      <c r="I303" s="13">
        <f t="shared" si="11"/>
        <v>0.12001146134158652</v>
      </c>
      <c r="O303" s="12">
        <f>STANDARDIZE(C303,L$15,M$15)</f>
        <v>0.46895564178134119</v>
      </c>
      <c r="P303" s="12">
        <v>2005.3333333333201</v>
      </c>
      <c r="R303">
        <v>-4.5999999999999999E-2</v>
      </c>
      <c r="S303">
        <v>-0.23400000000000001</v>
      </c>
      <c r="T303">
        <v>0.76900000000000002</v>
      </c>
      <c r="U303">
        <v>1.6970000000000001</v>
      </c>
      <c r="V303">
        <f t="shared" si="12"/>
        <v>0.54649999999999999</v>
      </c>
    </row>
    <row r="304" spans="1:22" x14ac:dyDescent="0.3">
      <c r="A304" t="s">
        <v>5</v>
      </c>
      <c r="B304">
        <v>2005</v>
      </c>
      <c r="C304">
        <v>463.6</v>
      </c>
      <c r="D304" s="12">
        <v>2005.4166666666499</v>
      </c>
      <c r="I304" s="13">
        <f t="shared" si="11"/>
        <v>0.68030549394097162</v>
      </c>
      <c r="O304" s="12">
        <f>STANDARDIZE(C304,L$16,M$16)</f>
        <v>0.62007002434064362</v>
      </c>
      <c r="P304" s="12">
        <v>2005.4166666666499</v>
      </c>
      <c r="R304">
        <v>0.11600000000000001</v>
      </c>
      <c r="S304">
        <v>0.10100000000000001</v>
      </c>
      <c r="T304">
        <v>0.874</v>
      </c>
      <c r="U304">
        <v>1.839</v>
      </c>
      <c r="V304">
        <f t="shared" si="12"/>
        <v>0.73249999999999993</v>
      </c>
    </row>
    <row r="305" spans="1:22" x14ac:dyDescent="0.3">
      <c r="A305" t="s">
        <v>6</v>
      </c>
      <c r="B305">
        <v>2005</v>
      </c>
      <c r="C305">
        <v>466.4</v>
      </c>
      <c r="D305" s="12">
        <v>2005.49999999998</v>
      </c>
      <c r="I305" s="13">
        <f t="shared" si="11"/>
        <v>0.69911632477164609</v>
      </c>
      <c r="O305" s="12">
        <f>STANDARDIZE(C305,L$17,M$17)</f>
        <v>0.55419033333006906</v>
      </c>
      <c r="P305" s="12">
        <v>2005.49999999998</v>
      </c>
      <c r="R305">
        <v>8.7999999999999995E-2</v>
      </c>
      <c r="S305">
        <v>0.214</v>
      </c>
      <c r="T305">
        <v>1.0620000000000001</v>
      </c>
      <c r="U305">
        <v>1.587</v>
      </c>
      <c r="V305">
        <f t="shared" si="12"/>
        <v>0.73775000000000002</v>
      </c>
    </row>
    <row r="306" spans="1:22" x14ac:dyDescent="0.3">
      <c r="A306" t="s">
        <v>7</v>
      </c>
      <c r="B306">
        <v>2005</v>
      </c>
      <c r="C306">
        <v>397.4</v>
      </c>
      <c r="D306" s="12">
        <v>2005.5833333333201</v>
      </c>
      <c r="I306" s="13">
        <f t="shared" si="11"/>
        <v>0.23556370787287445</v>
      </c>
      <c r="O306" s="12">
        <f>STANDARDIZE(C306,L$18,M$18)</f>
        <v>0.13364419907205949</v>
      </c>
      <c r="P306" s="12">
        <v>2005.5833333333201</v>
      </c>
      <c r="R306">
        <v>0.20599999999999999</v>
      </c>
      <c r="S306">
        <v>0.21299999999999999</v>
      </c>
      <c r="T306">
        <v>1.109</v>
      </c>
      <c r="U306">
        <v>0.96699999999999997</v>
      </c>
      <c r="V306">
        <f t="shared" si="12"/>
        <v>0.62375000000000003</v>
      </c>
    </row>
    <row r="307" spans="1:22" x14ac:dyDescent="0.3">
      <c r="A307" t="s">
        <v>8</v>
      </c>
      <c r="B307">
        <v>2005</v>
      </c>
      <c r="C307">
        <v>389.9</v>
      </c>
      <c r="D307" s="12">
        <v>2005.6666666666499</v>
      </c>
      <c r="I307" s="13">
        <f t="shared" si="11"/>
        <v>0.18517755386213841</v>
      </c>
      <c r="O307" s="12">
        <f>STANDARDIZE(C307,L$19,M$19)</f>
        <v>1.1418408513438734E-2</v>
      </c>
      <c r="P307" s="12">
        <v>2005.6666666666499</v>
      </c>
      <c r="R307">
        <v>0.65</v>
      </c>
      <c r="S307">
        <v>0.40799999999999997</v>
      </c>
      <c r="T307">
        <v>1.2529999999999999</v>
      </c>
      <c r="U307">
        <v>0.217</v>
      </c>
      <c r="V307">
        <f t="shared" si="12"/>
        <v>0.63200000000000001</v>
      </c>
    </row>
    <row r="308" spans="1:22" x14ac:dyDescent="0.3">
      <c r="A308" t="s">
        <v>9</v>
      </c>
      <c r="B308">
        <v>2005</v>
      </c>
      <c r="C308">
        <v>442.1</v>
      </c>
      <c r="D308" s="12">
        <v>2005.74999999998</v>
      </c>
      <c r="I308" s="13">
        <f t="shared" si="11"/>
        <v>0.5358651857768616</v>
      </c>
      <c r="O308" s="12">
        <f>STANDARDIZE(C308,L$20,M$20)</f>
        <v>0.10281152097325449</v>
      </c>
      <c r="P308" s="12">
        <v>2005.74999999998</v>
      </c>
      <c r="R308">
        <v>0.98799999999999999</v>
      </c>
      <c r="S308">
        <v>0.47299999999999998</v>
      </c>
      <c r="T308">
        <v>1.7450000000000001</v>
      </c>
      <c r="U308">
        <v>0.05</v>
      </c>
      <c r="V308">
        <f t="shared" si="12"/>
        <v>0.81399999999999995</v>
      </c>
    </row>
    <row r="309" spans="1:22" x14ac:dyDescent="0.3">
      <c r="A309" t="s">
        <v>10</v>
      </c>
      <c r="B309">
        <v>2005</v>
      </c>
      <c r="C309">
        <v>519.70000000000005</v>
      </c>
      <c r="D309" s="12">
        <v>2005.8333333333201</v>
      </c>
      <c r="I309" s="13">
        <f t="shared" si="11"/>
        <v>1.0571939259412775</v>
      </c>
      <c r="O309" s="12">
        <f>STANDARDIZE(C309,L$21,M$21)</f>
        <v>0.34598107379481807</v>
      </c>
      <c r="P309" s="12">
        <v>2005.8333333333201</v>
      </c>
      <c r="R309">
        <v>1.014</v>
      </c>
      <c r="S309">
        <v>0.32400000000000001</v>
      </c>
      <c r="T309">
        <v>1.679</v>
      </c>
      <c r="U309">
        <v>-5.0000000000000001E-3</v>
      </c>
      <c r="V309">
        <f t="shared" si="12"/>
        <v>0.75300000000000011</v>
      </c>
    </row>
    <row r="310" spans="1:22" x14ac:dyDescent="0.3">
      <c r="A310" t="s">
        <v>11</v>
      </c>
      <c r="B310">
        <v>2005</v>
      </c>
      <c r="C310">
        <v>562.79999999999995</v>
      </c>
      <c r="D310" s="12">
        <v>2005.9166666666499</v>
      </c>
      <c r="I310" s="13">
        <f t="shared" si="11"/>
        <v>1.3467463576563066</v>
      </c>
      <c r="O310" s="12">
        <f>STANDARDIZE(C310,L$22,M$22)</f>
        <v>0.55415768094697526</v>
      </c>
      <c r="P310" s="12">
        <v>2005.9166666666499</v>
      </c>
      <c r="R310">
        <v>1.304</v>
      </c>
      <c r="S310">
        <v>0.26300000000000001</v>
      </c>
      <c r="T310">
        <v>0.53</v>
      </c>
      <c r="U310">
        <v>-0.45500000000000002</v>
      </c>
      <c r="V310">
        <f t="shared" si="12"/>
        <v>0.41050000000000009</v>
      </c>
    </row>
    <row r="311" spans="1:22" x14ac:dyDescent="0.3">
      <c r="A311" t="s">
        <v>0</v>
      </c>
      <c r="B311">
        <v>2006</v>
      </c>
      <c r="C311">
        <v>508.5</v>
      </c>
      <c r="D311" s="12">
        <v>2006</v>
      </c>
      <c r="I311" s="13">
        <f t="shared" si="11"/>
        <v>0.98195060261857792</v>
      </c>
      <c r="O311" s="12">
        <f>STANDARDIZE(C311,L$11,M$11)</f>
        <v>0.89307651709369795</v>
      </c>
      <c r="P311" s="12">
        <v>2006</v>
      </c>
      <c r="R311">
        <v>0.47699999999999998</v>
      </c>
      <c r="S311">
        <v>0.53400000000000003</v>
      </c>
      <c r="T311">
        <v>1.94</v>
      </c>
      <c r="U311">
        <v>0.17399999999999999</v>
      </c>
      <c r="V311">
        <f t="shared" si="12"/>
        <v>0.78125</v>
      </c>
    </row>
    <row r="312" spans="1:22" x14ac:dyDescent="0.3">
      <c r="A312" t="s">
        <v>1</v>
      </c>
      <c r="B312">
        <v>2006</v>
      </c>
      <c r="C312">
        <v>388.1</v>
      </c>
      <c r="D312" s="12">
        <v>2006.0833333333201</v>
      </c>
      <c r="I312" s="13">
        <f t="shared" si="11"/>
        <v>0.17308487689956206</v>
      </c>
      <c r="O312" s="12">
        <f>STANDARDIZE(C312,L$12,M$12)</f>
        <v>1.1660812724026726</v>
      </c>
      <c r="P312" s="12">
        <v>2006.0833333333201</v>
      </c>
      <c r="R312">
        <v>0.51300000000000001</v>
      </c>
      <c r="S312">
        <v>0.35599999999999998</v>
      </c>
      <c r="T312">
        <v>2.1829999999999998</v>
      </c>
      <c r="U312">
        <v>0.215</v>
      </c>
      <c r="V312">
        <f t="shared" si="12"/>
        <v>0.81674999999999986</v>
      </c>
    </row>
    <row r="313" spans="1:22" x14ac:dyDescent="0.3">
      <c r="A313" t="s">
        <v>2</v>
      </c>
      <c r="B313">
        <v>2006</v>
      </c>
      <c r="C313">
        <v>277.7</v>
      </c>
      <c r="D313" s="12">
        <v>2006.1666666666499</v>
      </c>
      <c r="I313" s="13">
        <f t="shared" si="11"/>
        <v>-0.56859931013847287</v>
      </c>
      <c r="O313" s="12">
        <f>STANDARDIZE(C313,L$13,M$13)</f>
        <v>0.80000581562640005</v>
      </c>
      <c r="P313" s="12">
        <v>2006.1666666666499</v>
      </c>
      <c r="R313">
        <v>0.57899999999999996</v>
      </c>
      <c r="S313">
        <v>0.56599999999999995</v>
      </c>
      <c r="T313">
        <v>1.962</v>
      </c>
      <c r="U313">
        <v>0.86699999999999999</v>
      </c>
      <c r="V313">
        <f t="shared" si="12"/>
        <v>0.99350000000000005</v>
      </c>
    </row>
    <row r="314" spans="1:22" x14ac:dyDescent="0.3">
      <c r="A314" t="s">
        <v>3</v>
      </c>
      <c r="B314">
        <v>2006</v>
      </c>
      <c r="C314">
        <v>383.4</v>
      </c>
      <c r="D314" s="12">
        <v>2006.24999999998</v>
      </c>
      <c r="I314" s="13">
        <f t="shared" si="11"/>
        <v>0.1415095537195005</v>
      </c>
      <c r="O314" s="12">
        <f>STANDARDIZE(C314,L$14,M$14)</f>
        <v>1.3865097920756573</v>
      </c>
      <c r="P314" s="12">
        <v>2006.24999999998</v>
      </c>
      <c r="R314">
        <v>0.79800000000000004</v>
      </c>
      <c r="S314">
        <v>0.84099999999999997</v>
      </c>
      <c r="T314">
        <v>1.87</v>
      </c>
      <c r="U314">
        <v>1.8180000000000001</v>
      </c>
      <c r="V314">
        <f t="shared" si="12"/>
        <v>1.33175</v>
      </c>
    </row>
    <row r="315" spans="1:22" x14ac:dyDescent="0.3">
      <c r="A315" t="s">
        <v>4</v>
      </c>
      <c r="B315">
        <v>2006</v>
      </c>
      <c r="C315">
        <v>510.2</v>
      </c>
      <c r="D315" s="12">
        <v>2006.3333333333201</v>
      </c>
      <c r="I315" s="13">
        <f t="shared" si="11"/>
        <v>0.99337146419434474</v>
      </c>
      <c r="O315" s="12">
        <f>STANDARDIZE(C315,L$15,M$15)</f>
        <v>1.6431964336372347</v>
      </c>
      <c r="P315" s="12">
        <v>2006.3333333333201</v>
      </c>
      <c r="R315">
        <v>1.016</v>
      </c>
      <c r="S315">
        <v>0.53300000000000003</v>
      </c>
      <c r="T315">
        <v>2.1480000000000001</v>
      </c>
      <c r="U315">
        <v>2.4510000000000001</v>
      </c>
      <c r="V315">
        <f t="shared" si="12"/>
        <v>1.5369999999999999</v>
      </c>
    </row>
    <row r="316" spans="1:22" x14ac:dyDescent="0.3">
      <c r="A316" t="s">
        <v>5</v>
      </c>
      <c r="B316">
        <v>2006</v>
      </c>
      <c r="C316">
        <v>592.9</v>
      </c>
      <c r="D316" s="12">
        <v>2006.4166666666499</v>
      </c>
      <c r="I316" s="13">
        <f t="shared" si="11"/>
        <v>1.5489627890860609</v>
      </c>
      <c r="O316" s="12">
        <f>STANDARDIZE(C316,L$16,M$16)</f>
        <v>1.7783343142459467</v>
      </c>
      <c r="P316" s="12">
        <v>2006.4166666666499</v>
      </c>
      <c r="R316">
        <v>0.56299999999999994</v>
      </c>
      <c r="S316">
        <v>0.60399999999999998</v>
      </c>
      <c r="T316">
        <v>2.1760000000000002</v>
      </c>
      <c r="U316">
        <v>2.5640000000000001</v>
      </c>
      <c r="V316">
        <f t="shared" si="12"/>
        <v>1.47675</v>
      </c>
    </row>
    <row r="317" spans="1:22" x14ac:dyDescent="0.3">
      <c r="A317" t="s">
        <v>6</v>
      </c>
      <c r="B317">
        <v>2006</v>
      </c>
      <c r="C317">
        <v>579.9</v>
      </c>
      <c r="D317" s="12">
        <v>2006.49999999998</v>
      </c>
      <c r="I317" s="13">
        <f t="shared" si="11"/>
        <v>1.461626788800785</v>
      </c>
      <c r="O317" s="12">
        <f>STANDARDIZE(C317,L$17,M$17)</f>
        <v>1.4622962192161801</v>
      </c>
      <c r="P317" s="12">
        <v>2006.49999999998</v>
      </c>
      <c r="R317">
        <v>0.44500000000000001</v>
      </c>
      <c r="S317">
        <v>0.496</v>
      </c>
      <c r="T317">
        <v>2.319</v>
      </c>
      <c r="U317">
        <v>1.909</v>
      </c>
      <c r="V317">
        <f t="shared" si="12"/>
        <v>1.2922499999999999</v>
      </c>
    </row>
    <row r="318" spans="1:22" x14ac:dyDescent="0.3">
      <c r="A318" t="s">
        <v>7</v>
      </c>
      <c r="B318">
        <v>2006</v>
      </c>
      <c r="C318">
        <v>484.6</v>
      </c>
      <c r="D318" s="12">
        <v>2006.5833333333201</v>
      </c>
      <c r="I318" s="13">
        <f t="shared" si="11"/>
        <v>0.82138672517103262</v>
      </c>
      <c r="O318" s="12">
        <f>STANDARDIZE(C318,L$18,M$18)</f>
        <v>0.80483408810929147</v>
      </c>
      <c r="P318" s="12">
        <v>2006.5833333333201</v>
      </c>
      <c r="R318">
        <v>0.23</v>
      </c>
      <c r="S318">
        <v>0.436</v>
      </c>
      <c r="T318">
        <v>2.3380000000000001</v>
      </c>
      <c r="U318">
        <v>1.522</v>
      </c>
      <c r="V318">
        <f t="shared" si="12"/>
        <v>1.1315</v>
      </c>
    </row>
    <row r="319" spans="1:22" x14ac:dyDescent="0.3">
      <c r="A319" t="s">
        <v>8</v>
      </c>
      <c r="B319">
        <v>2006</v>
      </c>
      <c r="C319">
        <v>474.7</v>
      </c>
      <c r="D319" s="12">
        <v>2006.6666666666499</v>
      </c>
      <c r="I319" s="13">
        <f t="shared" si="11"/>
        <v>0.7548770018768608</v>
      </c>
      <c r="O319" s="12">
        <f>STANDARDIZE(C319,L$19,M$19)</f>
        <v>0.66440177012976787</v>
      </c>
      <c r="P319" s="12">
        <v>2006.6666666666499</v>
      </c>
      <c r="R319">
        <v>0.34300000000000003</v>
      </c>
      <c r="S319">
        <v>0.39700000000000002</v>
      </c>
      <c r="T319">
        <v>2.1309999999999998</v>
      </c>
      <c r="U319">
        <v>1.9119999999999999</v>
      </c>
      <c r="V319">
        <f t="shared" si="12"/>
        <v>1.1957499999999999</v>
      </c>
    </row>
    <row r="320" spans="1:22" x14ac:dyDescent="0.3">
      <c r="A320" t="s">
        <v>9</v>
      </c>
      <c r="B320">
        <v>2006</v>
      </c>
      <c r="C320">
        <v>472.9</v>
      </c>
      <c r="D320" s="12">
        <v>2006.74999999998</v>
      </c>
      <c r="I320" s="13">
        <f t="shared" si="11"/>
        <v>0.74278432491428403</v>
      </c>
      <c r="O320" s="12">
        <f>STANDARDIZE(C320,L$20,M$20)</f>
        <v>0.35683586112720289</v>
      </c>
      <c r="P320" s="12">
        <v>2006.74999999998</v>
      </c>
      <c r="R320">
        <v>-4.1000000000000002E-2</v>
      </c>
      <c r="S320">
        <v>0.83299999999999996</v>
      </c>
      <c r="T320">
        <v>2.113</v>
      </c>
      <c r="U320">
        <v>1.8360000000000001</v>
      </c>
      <c r="V320">
        <f t="shared" si="12"/>
        <v>1.1852499999999999</v>
      </c>
    </row>
    <row r="321" spans="1:22" x14ac:dyDescent="0.3">
      <c r="A321" t="s">
        <v>10</v>
      </c>
      <c r="B321">
        <v>2006</v>
      </c>
      <c r="C321">
        <v>527.4</v>
      </c>
      <c r="D321" s="12">
        <v>2006.8333333333201</v>
      </c>
      <c r="I321" s="13">
        <f t="shared" si="11"/>
        <v>1.1089237107256327</v>
      </c>
      <c r="O321" s="12">
        <f>STANDARDIZE(C321,L$21,M$21)</f>
        <v>0.41325517147714297</v>
      </c>
      <c r="P321" s="12">
        <v>2006.8333333333201</v>
      </c>
      <c r="R321">
        <v>-6.2E-2</v>
      </c>
      <c r="S321">
        <v>0.77700000000000002</v>
      </c>
      <c r="T321">
        <v>1.47</v>
      </c>
      <c r="U321">
        <v>1.726</v>
      </c>
      <c r="V321">
        <f t="shared" si="12"/>
        <v>0.97775000000000001</v>
      </c>
    </row>
    <row r="322" spans="1:22" x14ac:dyDescent="0.3">
      <c r="A322" t="s">
        <v>11</v>
      </c>
      <c r="B322">
        <v>2006</v>
      </c>
      <c r="C322">
        <v>588.6</v>
      </c>
      <c r="D322" s="12">
        <v>2006.9166666666499</v>
      </c>
      <c r="I322" s="13">
        <f t="shared" si="11"/>
        <v>1.5200747274532391</v>
      </c>
      <c r="O322" s="12">
        <f>STANDARDIZE(C322,L$22,M$22)</f>
        <v>0.74241409940193204</v>
      </c>
      <c r="P322" s="12">
        <v>2006.9166666666499</v>
      </c>
      <c r="R322">
        <v>0.73499999999999999</v>
      </c>
      <c r="S322">
        <v>1.077</v>
      </c>
      <c r="T322">
        <v>-0.219</v>
      </c>
      <c r="U322">
        <v>1.0589999999999999</v>
      </c>
      <c r="V322">
        <f t="shared" si="12"/>
        <v>0.66299999999999992</v>
      </c>
    </row>
    <row r="323" spans="1:22" x14ac:dyDescent="0.3">
      <c r="A323" t="s">
        <v>0</v>
      </c>
      <c r="B323">
        <v>2007</v>
      </c>
      <c r="C323">
        <v>540.29999999999995</v>
      </c>
      <c r="D323" s="12">
        <v>2007</v>
      </c>
      <c r="I323" s="13">
        <f t="shared" si="11"/>
        <v>1.1955878956240984</v>
      </c>
      <c r="O323" s="12">
        <f>STANDARDIZE(C323,L$11,M$11)</f>
        <v>1.1066926169491267</v>
      </c>
      <c r="P323" s="12">
        <v>2007</v>
      </c>
      <c r="R323">
        <v>1.0660000000000001</v>
      </c>
      <c r="S323">
        <v>0.68899999999999995</v>
      </c>
      <c r="T323">
        <v>-0.25</v>
      </c>
      <c r="U323">
        <v>1.8160000000000001</v>
      </c>
      <c r="V323">
        <f t="shared" si="12"/>
        <v>0.83024999999999993</v>
      </c>
    </row>
    <row r="324" spans="1:22" x14ac:dyDescent="0.3">
      <c r="A324" t="s">
        <v>1</v>
      </c>
      <c r="B324">
        <v>2007</v>
      </c>
      <c r="C324" s="1"/>
      <c r="D324" s="12">
        <v>2007.0833333333201</v>
      </c>
      <c r="I324" s="13"/>
      <c r="O324" s="12"/>
      <c r="P324" s="12">
        <v>2007.0833333333201</v>
      </c>
      <c r="R324">
        <v>0.77400000000000002</v>
      </c>
      <c r="S324">
        <v>0.51600000000000001</v>
      </c>
      <c r="T324">
        <v>-0.13800000000000001</v>
      </c>
      <c r="U324">
        <v>1.601</v>
      </c>
      <c r="V324">
        <f t="shared" si="12"/>
        <v>0.68825000000000003</v>
      </c>
    </row>
    <row r="325" spans="1:22" x14ac:dyDescent="0.3">
      <c r="A325" t="s">
        <v>2</v>
      </c>
      <c r="B325">
        <v>2007</v>
      </c>
      <c r="C325">
        <v>190.1</v>
      </c>
      <c r="D325" s="12">
        <v>2007.1666666666499</v>
      </c>
      <c r="I325" s="13">
        <f t="shared" si="11"/>
        <v>-1.1571095889838698</v>
      </c>
      <c r="O325" s="12">
        <f>STANDARDIZE(C325,L$13,M$13)</f>
        <v>-0.12262643214886547</v>
      </c>
      <c r="P325" s="12">
        <v>2007.1666666666499</v>
      </c>
      <c r="R325">
        <v>0.69199999999999995</v>
      </c>
      <c r="S325">
        <v>0.31900000000000001</v>
      </c>
      <c r="T325">
        <v>-5.7000000000000002E-2</v>
      </c>
      <c r="U325">
        <v>0.71299999999999997</v>
      </c>
      <c r="V325">
        <f t="shared" si="12"/>
        <v>0.41674999999999995</v>
      </c>
    </row>
    <row r="326" spans="1:22" x14ac:dyDescent="0.3">
      <c r="A326" t="s">
        <v>3</v>
      </c>
      <c r="B326">
        <v>2007</v>
      </c>
      <c r="C326">
        <v>346.9</v>
      </c>
      <c r="D326" s="12">
        <v>2007.24999999999</v>
      </c>
      <c r="I326" s="13">
        <f t="shared" si="11"/>
        <v>-0.1037030624660816</v>
      </c>
      <c r="O326" s="12">
        <f>STANDARDIZE(C326,L$14,M$14)</f>
        <v>1.0438944770667089</v>
      </c>
      <c r="P326" s="12">
        <v>2007.24999999999</v>
      </c>
      <c r="R326">
        <v>0.95399999999999996</v>
      </c>
      <c r="S326">
        <v>0.27900000000000003</v>
      </c>
      <c r="T326">
        <v>0.254</v>
      </c>
      <c r="U326">
        <v>-6.2E-2</v>
      </c>
      <c r="V326">
        <f t="shared" si="12"/>
        <v>0.35625000000000001</v>
      </c>
    </row>
    <row r="327" spans="1:22" x14ac:dyDescent="0.3">
      <c r="A327" t="s">
        <v>4</v>
      </c>
      <c r="B327">
        <v>2007</v>
      </c>
      <c r="C327">
        <v>478.1</v>
      </c>
      <c r="D327" s="12">
        <v>2007.3333333333201</v>
      </c>
      <c r="I327" s="13">
        <f t="shared" si="11"/>
        <v>0.77771872502839468</v>
      </c>
      <c r="O327" s="12">
        <f>STANDARDIZE(C327,L$15,M$15)</f>
        <v>1.3532492842635875</v>
      </c>
      <c r="P327" s="12">
        <v>2007.3333333333201</v>
      </c>
      <c r="R327">
        <v>1.0620000000000001</v>
      </c>
      <c r="S327">
        <v>-5.3999999999999999E-2</v>
      </c>
      <c r="T327">
        <v>0.38800000000000001</v>
      </c>
      <c r="U327">
        <v>0.2</v>
      </c>
      <c r="V327">
        <f t="shared" si="12"/>
        <v>0.39899999999999997</v>
      </c>
    </row>
    <row r="328" spans="1:22" x14ac:dyDescent="0.3">
      <c r="A328" t="s">
        <v>5</v>
      </c>
      <c r="B328">
        <v>2007</v>
      </c>
      <c r="C328">
        <v>581.79999999999995</v>
      </c>
      <c r="D328" s="12">
        <v>2007.4166666666499</v>
      </c>
      <c r="I328" s="13">
        <f t="shared" si="11"/>
        <v>1.4743912811501714</v>
      </c>
      <c r="O328" s="12">
        <f>STANDARDIZE(C328,L$16,M$16)</f>
        <v>1.6789009529315702</v>
      </c>
      <c r="P328" s="12">
        <v>2007.4166666666499</v>
      </c>
      <c r="R328">
        <v>0.59199999999999997</v>
      </c>
      <c r="S328">
        <v>-0.86099999999999999</v>
      </c>
      <c r="T328">
        <v>0.44500000000000001</v>
      </c>
      <c r="U328">
        <v>0.56899999999999995</v>
      </c>
      <c r="V328">
        <f t="shared" si="12"/>
        <v>0.18624999999999997</v>
      </c>
    </row>
    <row r="329" spans="1:22" x14ac:dyDescent="0.3">
      <c r="A329" t="s">
        <v>6</v>
      </c>
      <c r="B329">
        <v>2007</v>
      </c>
      <c r="C329">
        <v>601.1</v>
      </c>
      <c r="D329" s="12">
        <v>2007.49999999999</v>
      </c>
      <c r="I329" s="13">
        <f t="shared" si="11"/>
        <v>1.6040516508044658</v>
      </c>
      <c r="O329" s="12">
        <f>STANDARDIZE(C329,L$17,M$17)</f>
        <v>1.6319159970204586</v>
      </c>
      <c r="P329" s="12">
        <v>2007.49999999999</v>
      </c>
      <c r="R329">
        <v>0.34300000000000003</v>
      </c>
      <c r="S329">
        <v>-0.69099999999999995</v>
      </c>
      <c r="T329">
        <v>0.44700000000000001</v>
      </c>
      <c r="U329">
        <v>0.66600000000000004</v>
      </c>
      <c r="V329">
        <f t="shared" si="12"/>
        <v>0.19125000000000003</v>
      </c>
    </row>
    <row r="330" spans="1:22" x14ac:dyDescent="0.3">
      <c r="A330" t="s">
        <v>7</v>
      </c>
      <c r="B330">
        <v>2007</v>
      </c>
      <c r="C330">
        <v>569.9</v>
      </c>
      <c r="D330" s="12">
        <v>2007.5833333333201</v>
      </c>
      <c r="I330" s="13">
        <f t="shared" si="11"/>
        <v>1.3944452501198037</v>
      </c>
      <c r="O330" s="12">
        <f>STANDARDIZE(C330,L$18,M$18)</f>
        <v>1.4613994268119961</v>
      </c>
      <c r="P330" s="12">
        <v>2007.5833333333201</v>
      </c>
      <c r="R330">
        <v>0.64</v>
      </c>
      <c r="S330">
        <v>-0.60599999999999998</v>
      </c>
      <c r="T330">
        <v>0.48899999999999999</v>
      </c>
      <c r="U330">
        <v>0.183</v>
      </c>
      <c r="V330">
        <f t="shared" si="12"/>
        <v>0.17649999999999999</v>
      </c>
    </row>
    <row r="331" spans="1:22" x14ac:dyDescent="0.3">
      <c r="A331" t="s">
        <v>8</v>
      </c>
      <c r="B331">
        <v>2007</v>
      </c>
      <c r="C331">
        <v>595.6</v>
      </c>
      <c r="D331" s="12">
        <v>2007.6666666666499</v>
      </c>
      <c r="I331" s="13">
        <f t="shared" si="11"/>
        <v>1.5671018045299261</v>
      </c>
      <c r="O331" s="12">
        <f>STANDARDIZE(C331,L$19,M$19)</f>
        <v>1.5953650769624825</v>
      </c>
      <c r="P331" s="12">
        <v>2007.6666666666499</v>
      </c>
      <c r="R331">
        <v>0.53600000000000003</v>
      </c>
      <c r="S331">
        <v>-0.432</v>
      </c>
      <c r="T331">
        <v>0.42199999999999999</v>
      </c>
      <c r="U331">
        <v>0.109</v>
      </c>
      <c r="V331">
        <f t="shared" si="12"/>
        <v>0.15875</v>
      </c>
    </row>
    <row r="332" spans="1:22" x14ac:dyDescent="0.3">
      <c r="A332" t="s">
        <v>9</v>
      </c>
      <c r="B332">
        <v>2007</v>
      </c>
      <c r="C332">
        <v>604.4</v>
      </c>
      <c r="D332" s="12">
        <v>2007.74999999999</v>
      </c>
      <c r="I332" s="13">
        <f t="shared" ref="I332:I395" si="13">STANDARDIZE(C332,C$8,C$9)</f>
        <v>1.6262215585691895</v>
      </c>
      <c r="O332" s="12">
        <f>STANDARDIZE(C332,L$20,M$20)</f>
        <v>1.4413878328883805</v>
      </c>
      <c r="P332" s="12">
        <v>2007.74999999999</v>
      </c>
      <c r="R332">
        <v>0.47399999999999998</v>
      </c>
      <c r="S332">
        <v>-0.38900000000000001</v>
      </c>
      <c r="T332">
        <v>0.40600000000000003</v>
      </c>
      <c r="U332">
        <v>0.58399999999999996</v>
      </c>
      <c r="V332">
        <f t="shared" ref="V332:V395" si="14">AVERAGE(R332:U332)</f>
        <v>0.26874999999999999</v>
      </c>
    </row>
    <row r="333" spans="1:22" x14ac:dyDescent="0.3">
      <c r="A333" t="s">
        <v>10</v>
      </c>
      <c r="B333">
        <v>2007</v>
      </c>
      <c r="C333">
        <v>635.79999999999995</v>
      </c>
      <c r="D333" s="12">
        <v>2007.8333333333201</v>
      </c>
      <c r="I333" s="13">
        <f t="shared" si="13"/>
        <v>1.8371715900274708</v>
      </c>
      <c r="O333" s="12">
        <f>STANDARDIZE(C333,L$21,M$21)</f>
        <v>1.3603346765114395</v>
      </c>
      <c r="P333" s="12">
        <v>2007.8333333333201</v>
      </c>
      <c r="R333">
        <v>0.56599999999999995</v>
      </c>
      <c r="S333">
        <v>-0.22600000000000001</v>
      </c>
      <c r="T333">
        <v>-0.183</v>
      </c>
      <c r="U333">
        <v>0.14000000000000001</v>
      </c>
      <c r="V333">
        <f t="shared" si="14"/>
        <v>7.4249999999999997E-2</v>
      </c>
    </row>
    <row r="334" spans="1:22" x14ac:dyDescent="0.3">
      <c r="A334" t="s">
        <v>11</v>
      </c>
      <c r="B334">
        <v>2007</v>
      </c>
      <c r="C334">
        <v>637.9</v>
      </c>
      <c r="D334" s="12">
        <v>2007.9166666666499</v>
      </c>
      <c r="I334" s="13">
        <f t="shared" si="13"/>
        <v>1.851279713150477</v>
      </c>
      <c r="O334" s="12">
        <f>STANDARDIZE(C334,L$22,M$22)</f>
        <v>1.1021443873798134</v>
      </c>
      <c r="P334" s="12">
        <v>2007.9166666666499</v>
      </c>
      <c r="R334">
        <v>1.54</v>
      </c>
      <c r="S334">
        <v>2.0950000000000002</v>
      </c>
      <c r="T334">
        <v>-1.641</v>
      </c>
      <c r="U334">
        <v>2.6339999999999999</v>
      </c>
      <c r="V334">
        <f t="shared" si="14"/>
        <v>1.157</v>
      </c>
    </row>
    <row r="335" spans="1:22" x14ac:dyDescent="0.3">
      <c r="A335" t="s">
        <v>0</v>
      </c>
      <c r="B335">
        <v>2008</v>
      </c>
      <c r="C335">
        <v>556.6</v>
      </c>
      <c r="D335" s="12">
        <v>2008</v>
      </c>
      <c r="I335" s="13">
        <f t="shared" si="13"/>
        <v>1.3050938036740987</v>
      </c>
      <c r="O335" s="12">
        <f>STANDARDIZE(C335,L$11,M$11)</f>
        <v>1.2161876618435767</v>
      </c>
      <c r="P335" s="12">
        <v>2008</v>
      </c>
      <c r="R335">
        <v>3.794</v>
      </c>
      <c r="S335">
        <v>1.39</v>
      </c>
      <c r="T335">
        <v>-1.84</v>
      </c>
      <c r="U335">
        <v>2.6</v>
      </c>
      <c r="V335">
        <f t="shared" si="14"/>
        <v>1.4860000000000002</v>
      </c>
    </row>
    <row r="336" spans="1:22" x14ac:dyDescent="0.3">
      <c r="A336" t="s">
        <v>1</v>
      </c>
      <c r="B336">
        <v>2008</v>
      </c>
      <c r="C336">
        <v>434.3</v>
      </c>
      <c r="D336" s="12">
        <v>2008.0833333333201</v>
      </c>
      <c r="I336" s="13">
        <f t="shared" si="13"/>
        <v>0.48346358560569608</v>
      </c>
      <c r="O336" s="12">
        <f>STANDARDIZE(C336,L$12,M$12)</f>
        <v>1.5378443625303804</v>
      </c>
      <c r="P336" s="12">
        <v>2008.0833333333201</v>
      </c>
      <c r="R336">
        <v>2.9809999999999999</v>
      </c>
      <c r="S336">
        <v>0.73299999999999998</v>
      </c>
      <c r="T336">
        <v>-1.827</v>
      </c>
      <c r="U336">
        <v>1.8120000000000001</v>
      </c>
      <c r="V336">
        <f t="shared" si="14"/>
        <v>0.92474999999999996</v>
      </c>
    </row>
    <row r="337" spans="1:22" x14ac:dyDescent="0.3">
      <c r="A337" t="s">
        <v>2</v>
      </c>
      <c r="B337">
        <v>2008</v>
      </c>
      <c r="C337">
        <v>380.6</v>
      </c>
      <c r="D337" s="12">
        <v>2008.1666666666499</v>
      </c>
      <c r="I337" s="13">
        <f t="shared" si="13"/>
        <v>0.12269872288882601</v>
      </c>
      <c r="O337" s="12">
        <f>STANDARDIZE(C337,L$13,M$13)</f>
        <v>1.8837827368144693</v>
      </c>
      <c r="P337" s="12">
        <v>2008.1666666666499</v>
      </c>
      <c r="R337">
        <v>1.98</v>
      </c>
      <c r="S337">
        <v>0.33900000000000002</v>
      </c>
      <c r="T337">
        <v>-1.66</v>
      </c>
      <c r="U337">
        <v>0.59299999999999997</v>
      </c>
      <c r="V337">
        <f t="shared" si="14"/>
        <v>0.313</v>
      </c>
    </row>
    <row r="338" spans="1:22" x14ac:dyDescent="0.3">
      <c r="A338" t="s">
        <v>3</v>
      </c>
      <c r="B338">
        <v>2008</v>
      </c>
      <c r="C338">
        <v>374.5</v>
      </c>
      <c r="D338" s="12">
        <v>2008.24999999999</v>
      </c>
      <c r="I338" s="13">
        <f t="shared" si="13"/>
        <v>8.1717984293427207E-2</v>
      </c>
      <c r="O338" s="12">
        <f>STANDARDIZE(C338,L$14,M$14)</f>
        <v>1.3029679755392289</v>
      </c>
      <c r="P338" s="12">
        <v>2008.24999999999</v>
      </c>
      <c r="R338">
        <v>1.3</v>
      </c>
      <c r="S338">
        <v>0.188</v>
      </c>
      <c r="T338">
        <v>-1.2430000000000001</v>
      </c>
      <c r="U338">
        <v>-0.22</v>
      </c>
      <c r="V338">
        <f t="shared" si="14"/>
        <v>6.2499999999999709E-3</v>
      </c>
    </row>
    <row r="339" spans="1:22" x14ac:dyDescent="0.3">
      <c r="A339" t="s">
        <v>4</v>
      </c>
      <c r="B339">
        <v>2008</v>
      </c>
      <c r="C339">
        <v>475.4</v>
      </c>
      <c r="D339" s="12">
        <v>2008.3333333333201</v>
      </c>
      <c r="I339" s="13">
        <f t="shared" si="13"/>
        <v>0.75957970958452936</v>
      </c>
      <c r="O339" s="12">
        <f>STANDARDIZE(C339,L$15,M$15)</f>
        <v>1.3288612062788876</v>
      </c>
      <c r="P339" s="12">
        <v>2008.3333333333201</v>
      </c>
      <c r="R339">
        <v>0.1</v>
      </c>
      <c r="S339">
        <v>-8.9999999999999993E-3</v>
      </c>
      <c r="T339">
        <v>-0.93700000000000006</v>
      </c>
      <c r="U339">
        <v>-0.54900000000000004</v>
      </c>
      <c r="V339">
        <f t="shared" si="14"/>
        <v>-0.34875</v>
      </c>
    </row>
    <row r="340" spans="1:22" x14ac:dyDescent="0.3">
      <c r="A340" t="s">
        <v>5</v>
      </c>
      <c r="B340">
        <v>2008</v>
      </c>
      <c r="C340">
        <v>578.70000000000005</v>
      </c>
      <c r="D340" s="12">
        <v>2008.4166666666499</v>
      </c>
      <c r="I340" s="13">
        <f t="shared" si="13"/>
        <v>1.4535650041590678</v>
      </c>
      <c r="O340" s="12">
        <f>STANDARDIZE(C340,L$16,M$16)</f>
        <v>1.6511312754473757</v>
      </c>
      <c r="P340" s="12">
        <v>2008.4166666666499</v>
      </c>
      <c r="R340">
        <v>-0.44900000000000001</v>
      </c>
      <c r="S340">
        <v>-0.309</v>
      </c>
      <c r="T340">
        <v>-0.56299999999999994</v>
      </c>
      <c r="U340">
        <v>-0.115</v>
      </c>
      <c r="V340">
        <f t="shared" si="14"/>
        <v>-0.35899999999999999</v>
      </c>
    </row>
    <row r="341" spans="1:22" x14ac:dyDescent="0.3">
      <c r="A341" t="s">
        <v>6</v>
      </c>
      <c r="B341">
        <v>2008</v>
      </c>
      <c r="C341">
        <v>633.70000000000005</v>
      </c>
      <c r="D341" s="12">
        <v>2008.49999999999</v>
      </c>
      <c r="I341" s="13">
        <f t="shared" si="13"/>
        <v>1.8230634669044654</v>
      </c>
      <c r="O341" s="12">
        <f>STANDARDIZE(C341,L$17,M$17)</f>
        <v>1.8927464100591127</v>
      </c>
      <c r="P341" s="12">
        <v>2008.49999999999</v>
      </c>
      <c r="R341">
        <v>-0.93400000000000005</v>
      </c>
      <c r="S341">
        <v>-0.28799999999999998</v>
      </c>
      <c r="T341">
        <v>-0.29899999999999999</v>
      </c>
      <c r="U341">
        <v>-0.27400000000000002</v>
      </c>
      <c r="V341">
        <f t="shared" si="14"/>
        <v>-0.44874999999999998</v>
      </c>
    </row>
    <row r="342" spans="1:22" x14ac:dyDescent="0.3">
      <c r="A342" t="s">
        <v>7</v>
      </c>
      <c r="B342">
        <v>2008</v>
      </c>
      <c r="C342">
        <v>641</v>
      </c>
      <c r="D342" s="12">
        <v>2008.5833333333201</v>
      </c>
      <c r="I342" s="13">
        <f t="shared" si="13"/>
        <v>1.8721059901415815</v>
      </c>
      <c r="O342" s="12">
        <f>STANDARDIZE(C342,L$18,M$18)</f>
        <v>2.0086654945935005</v>
      </c>
      <c r="P342" s="12">
        <v>2008.5833333333201</v>
      </c>
      <c r="R342">
        <v>-1.1220000000000001</v>
      </c>
      <c r="S342">
        <v>-0.44</v>
      </c>
      <c r="T342">
        <v>-0.20699999999999999</v>
      </c>
      <c r="U342">
        <v>-0.33</v>
      </c>
      <c r="V342">
        <f t="shared" si="14"/>
        <v>-0.52475000000000005</v>
      </c>
    </row>
    <row r="343" spans="1:22" x14ac:dyDescent="0.3">
      <c r="A343" t="s">
        <v>8</v>
      </c>
      <c r="B343">
        <v>2008</v>
      </c>
      <c r="C343">
        <v>649.79999999999995</v>
      </c>
      <c r="D343" s="12">
        <v>2008.6666666666599</v>
      </c>
      <c r="I343" s="13">
        <f t="shared" si="13"/>
        <v>1.9312257441808449</v>
      </c>
      <c r="O343" s="12">
        <f>STANDARDIZE(C343,L$19,M$19)</f>
        <v>2.0127200085615979</v>
      </c>
      <c r="P343" s="12">
        <v>2008.6666666666599</v>
      </c>
      <c r="R343">
        <v>-1.202</v>
      </c>
      <c r="S343">
        <v>-0.45700000000000002</v>
      </c>
      <c r="T343">
        <v>-0.16500000000000001</v>
      </c>
      <c r="U343">
        <v>-0.24099999999999999</v>
      </c>
      <c r="V343">
        <f t="shared" si="14"/>
        <v>-0.51624999999999999</v>
      </c>
    </row>
    <row r="344" spans="1:22" x14ac:dyDescent="0.3">
      <c r="A344" t="s">
        <v>9</v>
      </c>
      <c r="B344">
        <v>2008</v>
      </c>
      <c r="C344">
        <v>653.4</v>
      </c>
      <c r="D344" s="12">
        <v>2008.74999999999</v>
      </c>
      <c r="I344" s="13">
        <f t="shared" si="13"/>
        <v>1.9554110981059982</v>
      </c>
      <c r="O344" s="12">
        <f>STANDARDIZE(C344,L$20,M$20)</f>
        <v>1.8455174649514807</v>
      </c>
      <c r="P344" s="12">
        <v>2008.74999999999</v>
      </c>
      <c r="R344">
        <v>-1.3280000000000001</v>
      </c>
      <c r="S344">
        <v>-0.505</v>
      </c>
      <c r="T344">
        <v>-9.1999999999999998E-2</v>
      </c>
      <c r="U344">
        <v>0.20300000000000001</v>
      </c>
      <c r="V344">
        <f t="shared" si="14"/>
        <v>-0.43050000000000005</v>
      </c>
    </row>
    <row r="345" spans="1:22" x14ac:dyDescent="0.3">
      <c r="A345" t="s">
        <v>10</v>
      </c>
      <c r="B345">
        <v>2008</v>
      </c>
      <c r="C345">
        <v>679.9</v>
      </c>
      <c r="D345" s="12">
        <v>2008.8333333333201</v>
      </c>
      <c r="I345" s="13">
        <f t="shared" si="13"/>
        <v>2.133442175610599</v>
      </c>
      <c r="O345" s="12">
        <f>STANDARDIZE(C345,L$21,M$21)</f>
        <v>1.7456317814193041</v>
      </c>
      <c r="P345" s="12">
        <v>2008.8333333333201</v>
      </c>
      <c r="R345">
        <v>-1.06</v>
      </c>
      <c r="S345">
        <v>-0.65</v>
      </c>
      <c r="T345">
        <v>0.39700000000000002</v>
      </c>
      <c r="U345">
        <v>0.95799999999999996</v>
      </c>
      <c r="V345">
        <f t="shared" si="14"/>
        <v>-8.8749999999999996E-2</v>
      </c>
    </row>
    <row r="346" spans="1:22" x14ac:dyDescent="0.3">
      <c r="A346" t="s">
        <v>11</v>
      </c>
      <c r="B346">
        <v>2008</v>
      </c>
      <c r="C346">
        <v>668.1</v>
      </c>
      <c r="D346" s="12">
        <v>2008.9166666666599</v>
      </c>
      <c r="I346" s="13">
        <f t="shared" si="13"/>
        <v>2.054167959967041</v>
      </c>
      <c r="O346" s="12">
        <f>STANDARDIZE(C346,L$22,M$22)</f>
        <v>1.3225065516177856</v>
      </c>
      <c r="P346" s="12">
        <v>2008.9166666666599</v>
      </c>
      <c r="R346">
        <v>0.85</v>
      </c>
      <c r="S346">
        <v>0.26200000000000001</v>
      </c>
      <c r="T346">
        <v>1.1659999999999999</v>
      </c>
      <c r="U346">
        <v>1.1830000000000001</v>
      </c>
      <c r="V346">
        <f t="shared" si="14"/>
        <v>0.86525000000000007</v>
      </c>
    </row>
    <row r="347" spans="1:22" x14ac:dyDescent="0.3">
      <c r="A347" t="s">
        <v>0</v>
      </c>
      <c r="B347">
        <v>2009</v>
      </c>
      <c r="C347">
        <v>589.6</v>
      </c>
      <c r="D347" s="12">
        <v>2009</v>
      </c>
      <c r="I347" s="13">
        <f t="shared" si="13"/>
        <v>1.5267928813213372</v>
      </c>
      <c r="O347" s="12">
        <f>STANDARDIZE(C347,L$11,M$11)</f>
        <v>1.4378647465992107</v>
      </c>
      <c r="P347" s="12">
        <v>2009</v>
      </c>
      <c r="R347">
        <v>1.927</v>
      </c>
      <c r="S347">
        <v>-7.1999999999999995E-2</v>
      </c>
      <c r="T347">
        <v>0.93500000000000005</v>
      </c>
      <c r="U347">
        <v>0.99199999999999999</v>
      </c>
      <c r="V347">
        <f t="shared" si="14"/>
        <v>0.94550000000000001</v>
      </c>
    </row>
    <row r="348" spans="1:22" x14ac:dyDescent="0.3">
      <c r="A348" t="s">
        <v>1</v>
      </c>
      <c r="B348">
        <v>2009</v>
      </c>
      <c r="C348">
        <v>479.6</v>
      </c>
      <c r="D348" s="12">
        <v>2009.0833333333201</v>
      </c>
      <c r="I348" s="13">
        <f t="shared" si="13"/>
        <v>0.78779595583054185</v>
      </c>
      <c r="O348" s="12">
        <f>STANDARDIZE(C348,L$12,M$12)</f>
        <v>1.9023653145387176</v>
      </c>
      <c r="P348" s="12">
        <v>2009.0833333333201</v>
      </c>
      <c r="R348">
        <v>1.6890000000000001</v>
      </c>
      <c r="S348">
        <v>6.8000000000000005E-2</v>
      </c>
      <c r="T348">
        <v>1.1479999999999999</v>
      </c>
      <c r="U348">
        <v>7.0000000000000001E-3</v>
      </c>
      <c r="V348">
        <f t="shared" si="14"/>
        <v>0.72800000000000009</v>
      </c>
    </row>
    <row r="349" spans="1:22" x14ac:dyDescent="0.3">
      <c r="A349" t="s">
        <v>2</v>
      </c>
      <c r="B349">
        <v>2009</v>
      </c>
      <c r="C349">
        <v>359.6</v>
      </c>
      <c r="D349" s="12">
        <v>2009.1666666666599</v>
      </c>
      <c r="I349" s="13">
        <f t="shared" si="13"/>
        <v>-1.8382508341234925E-2</v>
      </c>
      <c r="O349" s="12">
        <f>STANDARDIZE(C349,L$13,M$13)</f>
        <v>1.6626037733067003</v>
      </c>
      <c r="P349" s="12">
        <v>2009.1666666666599</v>
      </c>
      <c r="R349">
        <v>1.3089999999999999</v>
      </c>
      <c r="S349">
        <v>0.125</v>
      </c>
      <c r="T349">
        <v>0.873</v>
      </c>
      <c r="U349">
        <v>-0.436</v>
      </c>
      <c r="V349">
        <f t="shared" si="14"/>
        <v>0.46775</v>
      </c>
    </row>
    <row r="350" spans="1:22" x14ac:dyDescent="0.3">
      <c r="A350" t="s">
        <v>3</v>
      </c>
      <c r="B350">
        <v>2009</v>
      </c>
      <c r="C350">
        <v>394.5</v>
      </c>
      <c r="D350" s="12">
        <v>2009.24999999999</v>
      </c>
      <c r="I350" s="13">
        <f t="shared" si="13"/>
        <v>0.21608106165539001</v>
      </c>
      <c r="O350" s="12">
        <f>STANDARDIZE(C350,L$14,M$14)</f>
        <v>1.4907023947222144</v>
      </c>
      <c r="P350" s="12">
        <v>2009.24999999999</v>
      </c>
      <c r="R350">
        <v>0.69799999999999995</v>
      </c>
      <c r="S350">
        <v>-4.5999999999999999E-2</v>
      </c>
      <c r="T350">
        <v>0.59699999999999998</v>
      </c>
      <c r="U350">
        <v>-0.73199999999999998</v>
      </c>
      <c r="V350">
        <f t="shared" si="14"/>
        <v>0.12924999999999998</v>
      </c>
    </row>
    <row r="351" spans="1:22" x14ac:dyDescent="0.3">
      <c r="A351" t="s">
        <v>4</v>
      </c>
      <c r="B351">
        <v>2009</v>
      </c>
      <c r="C351">
        <v>454.6</v>
      </c>
      <c r="D351" s="12">
        <v>2009.3333333333201</v>
      </c>
      <c r="I351" s="13">
        <f t="shared" si="13"/>
        <v>0.61984210912808835</v>
      </c>
      <c r="O351" s="12">
        <f>STANDARDIZE(C351,L$15,M$15)</f>
        <v>1.1409826795819451</v>
      </c>
      <c r="P351" s="12">
        <v>2009.3333333333201</v>
      </c>
      <c r="R351">
        <v>-0.1</v>
      </c>
      <c r="S351">
        <v>-0.10199999999999999</v>
      </c>
      <c r="T351">
        <v>0.92400000000000004</v>
      </c>
      <c r="U351">
        <v>-0.73299999999999998</v>
      </c>
      <c r="V351">
        <f t="shared" si="14"/>
        <v>-2.7500000000000024E-3</v>
      </c>
    </row>
    <row r="352" spans="1:22" x14ac:dyDescent="0.3">
      <c r="A352" t="s">
        <v>5</v>
      </c>
      <c r="B352">
        <v>2009</v>
      </c>
      <c r="C352">
        <v>476.9</v>
      </c>
      <c r="D352" s="12">
        <v>2009.4166666666599</v>
      </c>
      <c r="I352" s="13">
        <f t="shared" si="13"/>
        <v>0.76965694038667654</v>
      </c>
      <c r="O352" s="12">
        <f>STANDARDIZE(C352,L$16,M$16)</f>
        <v>0.73921089870831946</v>
      </c>
      <c r="P352" s="12">
        <v>2009.4166666666599</v>
      </c>
      <c r="R352">
        <v>-0.73299999999999998</v>
      </c>
      <c r="S352">
        <v>-0.10199999999999999</v>
      </c>
      <c r="T352">
        <v>1.1539999999999999</v>
      </c>
      <c r="U352">
        <v>1.6E-2</v>
      </c>
      <c r="V352">
        <f t="shared" si="14"/>
        <v>8.3749999999999991E-2</v>
      </c>
    </row>
    <row r="353" spans="1:22" x14ac:dyDescent="0.3">
      <c r="A353" t="s">
        <v>6</v>
      </c>
      <c r="B353">
        <v>2009</v>
      </c>
      <c r="C353">
        <v>460.8</v>
      </c>
      <c r="D353" s="12">
        <v>2009.49999999999</v>
      </c>
      <c r="I353" s="13">
        <f t="shared" si="13"/>
        <v>0.66149466311029681</v>
      </c>
      <c r="O353" s="12">
        <f>STANDARDIZE(C353,L$17,M$17)</f>
        <v>0.50938510900441103</v>
      </c>
      <c r="P353" s="12">
        <v>2009.49999999999</v>
      </c>
      <c r="R353">
        <v>-1.1579999999999999</v>
      </c>
      <c r="S353">
        <v>0.13800000000000001</v>
      </c>
      <c r="T353">
        <v>1.228</v>
      </c>
      <c r="U353">
        <v>-0.23100000000000001</v>
      </c>
      <c r="V353">
        <f t="shared" si="14"/>
        <v>-5.750000000000012E-3</v>
      </c>
    </row>
    <row r="354" spans="1:22" x14ac:dyDescent="0.3">
      <c r="A354" t="s">
        <v>7</v>
      </c>
      <c r="B354">
        <v>2009</v>
      </c>
      <c r="C354">
        <v>369.3</v>
      </c>
      <c r="D354" s="12">
        <v>2009.5833333333201</v>
      </c>
      <c r="I354" s="13">
        <f t="shared" si="13"/>
        <v>4.6783584179316953E-2</v>
      </c>
      <c r="O354" s="12">
        <f>STANDARDIZE(C354,L$18,M$18)</f>
        <v>-8.2645203243837145E-2</v>
      </c>
      <c r="P354" s="12">
        <v>2009.5833333333201</v>
      </c>
      <c r="R354">
        <v>-1.5129999999999999</v>
      </c>
      <c r="S354">
        <v>0.17799999999999999</v>
      </c>
      <c r="T354">
        <v>0.93400000000000005</v>
      </c>
      <c r="U354">
        <v>-0.75800000000000001</v>
      </c>
      <c r="V354">
        <f t="shared" si="14"/>
        <v>-0.28974999999999995</v>
      </c>
    </row>
    <row r="355" spans="1:22" x14ac:dyDescent="0.3">
      <c r="A355" t="s">
        <v>8</v>
      </c>
      <c r="B355">
        <v>2009</v>
      </c>
      <c r="C355">
        <v>369.2</v>
      </c>
      <c r="D355" s="12">
        <v>2009.6666666666599</v>
      </c>
      <c r="I355" s="13">
        <f t="shared" si="13"/>
        <v>4.6111768792506988E-2</v>
      </c>
      <c r="O355" s="12">
        <f>STANDARDIZE(C355,L$19,M$19)</f>
        <v>-0.14797729414526414</v>
      </c>
      <c r="P355" s="12">
        <v>2009.6666666666599</v>
      </c>
      <c r="R355">
        <v>-1.4570000000000001</v>
      </c>
      <c r="S355">
        <v>0.23799999999999999</v>
      </c>
      <c r="T355">
        <v>0.39300000000000002</v>
      </c>
      <c r="U355">
        <v>-0.88400000000000001</v>
      </c>
      <c r="V355">
        <f t="shared" si="14"/>
        <v>-0.42749999999999999</v>
      </c>
    </row>
    <row r="356" spans="1:22" x14ac:dyDescent="0.3">
      <c r="A356" t="s">
        <v>9</v>
      </c>
      <c r="B356">
        <v>2009</v>
      </c>
      <c r="C356">
        <v>323.7</v>
      </c>
      <c r="D356" s="12">
        <v>2009.74999999999</v>
      </c>
      <c r="I356" s="13">
        <f t="shared" si="13"/>
        <v>-0.25956423220595837</v>
      </c>
      <c r="O356" s="12">
        <f>STANDARDIZE(C356,L$20,M$20)</f>
        <v>-0.87369763078738005</v>
      </c>
      <c r="P356" s="12">
        <v>2009.74999999999</v>
      </c>
      <c r="R356">
        <v>-1.6839999999999999</v>
      </c>
      <c r="S356">
        <v>0.57299999999999995</v>
      </c>
      <c r="T356">
        <v>0.34399999999999997</v>
      </c>
      <c r="U356">
        <v>-1.198</v>
      </c>
      <c r="V356">
        <f t="shared" si="14"/>
        <v>-0.49124999999999996</v>
      </c>
    </row>
    <row r="357" spans="1:22" x14ac:dyDescent="0.3">
      <c r="A357" t="s">
        <v>10</v>
      </c>
      <c r="B357">
        <v>2009</v>
      </c>
      <c r="C357">
        <v>418.1</v>
      </c>
      <c r="D357" s="12">
        <v>2009.8333333333201</v>
      </c>
      <c r="I357" s="13">
        <f t="shared" si="13"/>
        <v>0.37462949294250625</v>
      </c>
      <c r="O357" s="12">
        <f>STANDARDIZE(C357,L$21,M$21)</f>
        <v>-0.54168753977976281</v>
      </c>
      <c r="P357" s="12">
        <v>2009.8333333333201</v>
      </c>
      <c r="R357">
        <v>-1.3440000000000001</v>
      </c>
      <c r="S357">
        <v>0.54200000000000004</v>
      </c>
      <c r="T357">
        <v>0.67700000000000005</v>
      </c>
      <c r="U357">
        <v>-1.0569999999999999</v>
      </c>
      <c r="V357">
        <f t="shared" si="14"/>
        <v>-0.29549999999999998</v>
      </c>
    </row>
    <row r="358" spans="1:22" x14ac:dyDescent="0.3">
      <c r="A358" t="s">
        <v>11</v>
      </c>
      <c r="B358">
        <v>2009</v>
      </c>
      <c r="C358">
        <v>335.2</v>
      </c>
      <c r="D358" s="12">
        <v>2009.9166666666599</v>
      </c>
      <c r="I358" s="13">
        <f t="shared" si="13"/>
        <v>-0.18230546272282977</v>
      </c>
      <c r="O358" s="12">
        <f>STANDARDIZE(C358,L$22,M$22)</f>
        <v>-1.1065849872835691</v>
      </c>
      <c r="P358" s="12">
        <v>2009.9166666666599</v>
      </c>
      <c r="R358">
        <v>0.30099999999999999</v>
      </c>
      <c r="S358">
        <v>-0.20100000000000001</v>
      </c>
      <c r="T358">
        <v>1.212</v>
      </c>
      <c r="U358">
        <v>-1.2669999999999999</v>
      </c>
      <c r="V358">
        <f t="shared" si="14"/>
        <v>1.1249999999999982E-2</v>
      </c>
    </row>
    <row r="359" spans="1:22" x14ac:dyDescent="0.3">
      <c r="A359" t="s">
        <v>0</v>
      </c>
      <c r="B359">
        <v>2010</v>
      </c>
      <c r="C359">
        <v>186.5</v>
      </c>
      <c r="D359" s="12">
        <v>2010</v>
      </c>
      <c r="I359" s="13">
        <f t="shared" si="13"/>
        <v>-1.1812949429090231</v>
      </c>
      <c r="O359" s="12">
        <f>STANDARDIZE(C359,L$11,M$11)</f>
        <v>-1.2699544311279425</v>
      </c>
      <c r="P359" s="12">
        <v>2010</v>
      </c>
      <c r="R359">
        <v>0.96199999999999997</v>
      </c>
      <c r="S359">
        <v>-0.45200000000000001</v>
      </c>
      <c r="T359">
        <v>0.60699999999999998</v>
      </c>
      <c r="U359">
        <v>-1.47</v>
      </c>
      <c r="V359">
        <f t="shared" si="14"/>
        <v>-8.8249999999999995E-2</v>
      </c>
    </row>
    <row r="360" spans="1:22" x14ac:dyDescent="0.3">
      <c r="A360" t="s">
        <v>1</v>
      </c>
      <c r="B360">
        <v>2010</v>
      </c>
      <c r="C360">
        <v>144.69999999999999</v>
      </c>
      <c r="D360" s="12">
        <v>2010.0833333333201</v>
      </c>
      <c r="I360" s="13">
        <f t="shared" si="13"/>
        <v>-1.4621137745955255</v>
      </c>
      <c r="O360" s="12">
        <f>STANDARDIZE(C360,L$12,M$12)</f>
        <v>-0.79251474788053344</v>
      </c>
      <c r="P360" s="12">
        <v>2010.0833333333201</v>
      </c>
      <c r="R360">
        <v>0.69599999999999995</v>
      </c>
      <c r="S360">
        <v>-0.65900000000000003</v>
      </c>
      <c r="T360">
        <v>0.59399999999999997</v>
      </c>
      <c r="U360">
        <v>-1.393</v>
      </c>
      <c r="V360">
        <f t="shared" si="14"/>
        <v>-0.19050000000000003</v>
      </c>
    </row>
    <row r="361" spans="1:22" x14ac:dyDescent="0.3">
      <c r="A361" t="s">
        <v>2</v>
      </c>
      <c r="B361">
        <v>2010</v>
      </c>
      <c r="C361">
        <v>163.9</v>
      </c>
      <c r="D361" s="12">
        <v>2010.1666666666599</v>
      </c>
      <c r="I361" s="13">
        <f t="shared" si="13"/>
        <v>-1.333125220328041</v>
      </c>
      <c r="O361" s="12">
        <f>STANDARDIZE(C361,L$13,M$13)</f>
        <v>-0.39857351995379642</v>
      </c>
      <c r="P361" s="12">
        <v>2010.1666666666599</v>
      </c>
      <c r="R361">
        <v>0.107</v>
      </c>
      <c r="S361">
        <v>-0.58499999999999996</v>
      </c>
      <c r="T361">
        <v>1.073</v>
      </c>
      <c r="U361">
        <v>-1.248</v>
      </c>
      <c r="V361">
        <f t="shared" si="14"/>
        <v>-0.16325000000000001</v>
      </c>
    </row>
    <row r="362" spans="1:22" x14ac:dyDescent="0.3">
      <c r="A362" t="s">
        <v>3</v>
      </c>
      <c r="B362">
        <v>2010</v>
      </c>
      <c r="C362">
        <v>211.5</v>
      </c>
      <c r="D362" s="12">
        <v>2010.24999999999</v>
      </c>
      <c r="I362" s="13">
        <f t="shared" si="13"/>
        <v>-1.0133410962065696</v>
      </c>
      <c r="O362" s="12">
        <f>STANDARDIZE(C362,L$14,M$14)</f>
        <v>-0.22706754080210276</v>
      </c>
      <c r="P362" s="12">
        <v>2010.24999999999</v>
      </c>
      <c r="R362">
        <v>0.3</v>
      </c>
      <c r="S362">
        <v>-0.46600000000000003</v>
      </c>
      <c r="T362">
        <v>1.099</v>
      </c>
      <c r="U362">
        <v>-0.97899999999999998</v>
      </c>
      <c r="V362">
        <f t="shared" si="14"/>
        <v>-1.150000000000001E-2</v>
      </c>
    </row>
    <row r="363" spans="1:22" x14ac:dyDescent="0.3">
      <c r="A363" t="s">
        <v>4</v>
      </c>
      <c r="B363">
        <v>2010</v>
      </c>
      <c r="C363">
        <v>341.9</v>
      </c>
      <c r="D363" s="12">
        <v>2010.3333333333201</v>
      </c>
      <c r="I363" s="13">
        <f t="shared" si="13"/>
        <v>-0.13729383180657231</v>
      </c>
      <c r="O363" s="12">
        <f>STANDARDIZE(C363,L$15,M$15)</f>
        <v>0.12300623925764322</v>
      </c>
      <c r="P363" s="12">
        <v>2010.3333333333201</v>
      </c>
      <c r="R363">
        <v>0.31</v>
      </c>
      <c r="S363">
        <v>-0.24099999999999999</v>
      </c>
      <c r="T363">
        <v>0.628</v>
      </c>
      <c r="U363">
        <v>-0.83</v>
      </c>
      <c r="V363">
        <f t="shared" si="14"/>
        <v>-3.3249999999999974E-2</v>
      </c>
    </row>
    <row r="364" spans="1:22" x14ac:dyDescent="0.3">
      <c r="A364" t="s">
        <v>5</v>
      </c>
      <c r="B364">
        <v>2010</v>
      </c>
      <c r="C364">
        <v>470.4</v>
      </c>
      <c r="D364" s="12">
        <v>2010.4166666666599</v>
      </c>
      <c r="I364" s="13">
        <f t="shared" si="13"/>
        <v>0.72598894024403871</v>
      </c>
      <c r="O364" s="12">
        <f>STANDARDIZE(C364,L$16,M$16)</f>
        <v>0.68098415559629721</v>
      </c>
      <c r="P364" s="12">
        <v>2010.4166666666599</v>
      </c>
      <c r="R364">
        <v>-7.6999999999999999E-2</v>
      </c>
      <c r="S364">
        <v>-0.158</v>
      </c>
      <c r="T364">
        <v>0.46400000000000002</v>
      </c>
      <c r="U364">
        <v>-0.255</v>
      </c>
      <c r="V364">
        <f t="shared" si="14"/>
        <v>-6.4999999999999919E-3</v>
      </c>
    </row>
    <row r="365" spans="1:22" x14ac:dyDescent="0.3">
      <c r="A365" t="s">
        <v>6</v>
      </c>
      <c r="B365">
        <v>2010</v>
      </c>
      <c r="C365">
        <v>587.70000000000005</v>
      </c>
      <c r="D365" s="12">
        <v>2010.49999999999</v>
      </c>
      <c r="I365" s="13">
        <f t="shared" si="13"/>
        <v>1.514028388971951</v>
      </c>
      <c r="O365" s="12">
        <f>STANDARDIZE(C365,L$17,M$17)</f>
        <v>1.5247034959554906</v>
      </c>
      <c r="P365" s="12">
        <v>2010.49999999999</v>
      </c>
      <c r="R365">
        <v>-0.84799999999999998</v>
      </c>
      <c r="S365">
        <v>0.11899999999999999</v>
      </c>
      <c r="T365">
        <v>0.26600000000000001</v>
      </c>
      <c r="U365">
        <v>-0.17899999999999999</v>
      </c>
      <c r="V365">
        <f t="shared" si="14"/>
        <v>-0.16049999999999998</v>
      </c>
    </row>
    <row r="366" spans="1:22" x14ac:dyDescent="0.3">
      <c r="A366" t="s">
        <v>7</v>
      </c>
      <c r="B366">
        <v>2010</v>
      </c>
      <c r="C366">
        <v>641.20000000000005</v>
      </c>
      <c r="D366" s="12">
        <v>2010.5833333333301</v>
      </c>
      <c r="I366" s="13">
        <f t="shared" si="13"/>
        <v>1.8734496209152014</v>
      </c>
      <c r="O366" s="12">
        <f>STANDARDIZE(C366,L$18,M$18)</f>
        <v>2.0102049209445036</v>
      </c>
      <c r="P366" s="12">
        <v>2010.5833333333301</v>
      </c>
      <c r="R366">
        <v>-1.103</v>
      </c>
      <c r="S366">
        <v>4.4999999999999998E-2</v>
      </c>
      <c r="T366">
        <v>-5.1999999999999998E-2</v>
      </c>
      <c r="U366">
        <v>-0.252</v>
      </c>
      <c r="V366">
        <f t="shared" si="14"/>
        <v>-0.34050000000000002</v>
      </c>
    </row>
    <row r="367" spans="1:22" x14ac:dyDescent="0.3">
      <c r="A367" t="s">
        <v>8</v>
      </c>
      <c r="B367">
        <v>2010</v>
      </c>
      <c r="C367">
        <v>633.5</v>
      </c>
      <c r="D367" s="12">
        <v>2010.6666666666599</v>
      </c>
      <c r="I367" s="13">
        <f t="shared" si="13"/>
        <v>1.8217198361308455</v>
      </c>
      <c r="O367" s="12">
        <f>STANDARDIZE(C367,L$19,M$19)</f>
        <v>1.8872055180622331</v>
      </c>
      <c r="P367" s="12">
        <v>2010.6666666666599</v>
      </c>
      <c r="R367">
        <v>-0.93500000000000005</v>
      </c>
      <c r="S367">
        <v>0.161</v>
      </c>
      <c r="T367">
        <v>0.24</v>
      </c>
      <c r="U367">
        <v>-0.66800000000000004</v>
      </c>
      <c r="V367">
        <f t="shared" si="14"/>
        <v>-0.30049999999999999</v>
      </c>
    </row>
    <row r="368" spans="1:22" x14ac:dyDescent="0.3">
      <c r="A368" t="s">
        <v>9</v>
      </c>
      <c r="B368">
        <v>2010</v>
      </c>
      <c r="C368">
        <v>668.4</v>
      </c>
      <c r="D368" s="12">
        <v>2010.74999999999</v>
      </c>
      <c r="I368" s="13">
        <f t="shared" si="13"/>
        <v>2.0561834061274702</v>
      </c>
      <c r="O368" s="12">
        <f>STANDARDIZE(C368,L$20,M$20)</f>
        <v>1.9692306176238583</v>
      </c>
      <c r="P368" s="12">
        <v>2010.74999999999</v>
      </c>
      <c r="R368">
        <v>-1.06</v>
      </c>
      <c r="S368">
        <v>0.34699999999999998</v>
      </c>
      <c r="T368">
        <v>0.33500000000000002</v>
      </c>
      <c r="U368">
        <v>-0.755</v>
      </c>
      <c r="V368">
        <f t="shared" si="14"/>
        <v>-0.28325</v>
      </c>
    </row>
    <row r="369" spans="1:22" x14ac:dyDescent="0.3">
      <c r="A369" t="s">
        <v>10</v>
      </c>
      <c r="B369">
        <v>2010</v>
      </c>
      <c r="C369">
        <v>699.3</v>
      </c>
      <c r="D369" s="12">
        <v>2010.8333333333301</v>
      </c>
      <c r="I369" s="13">
        <f t="shared" si="13"/>
        <v>2.2637743606517029</v>
      </c>
      <c r="O369" s="12">
        <f>STANDARDIZE(C369,L$21,M$21)</f>
        <v>1.9151275599955524</v>
      </c>
      <c r="P369" s="12">
        <v>2010.8333333333301</v>
      </c>
      <c r="R369">
        <v>-0.55700000000000005</v>
      </c>
      <c r="S369">
        <v>0.438</v>
      </c>
      <c r="T369">
        <v>0.111</v>
      </c>
      <c r="U369">
        <v>-0.88</v>
      </c>
      <c r="V369">
        <f t="shared" si="14"/>
        <v>-0.222</v>
      </c>
    </row>
    <row r="370" spans="1:22" x14ac:dyDescent="0.3">
      <c r="A370" t="s">
        <v>11</v>
      </c>
      <c r="B370">
        <v>2010</v>
      </c>
      <c r="C370">
        <v>835.1</v>
      </c>
      <c r="D370" s="12">
        <v>2010.9166666666599</v>
      </c>
      <c r="I370" s="13">
        <f t="shared" si="13"/>
        <v>3.1760996559394306</v>
      </c>
      <c r="O370" s="12">
        <f>STANDARDIZE(C370,L$22,M$22)</f>
        <v>2.5410655392913397</v>
      </c>
      <c r="P370" s="12">
        <v>2010.9166666666599</v>
      </c>
      <c r="R370">
        <v>1.0960000000000001</v>
      </c>
      <c r="S370">
        <v>0.48899999999999999</v>
      </c>
      <c r="T370">
        <v>0.625</v>
      </c>
      <c r="U370">
        <v>-0.51100000000000001</v>
      </c>
      <c r="V370">
        <f t="shared" si="14"/>
        <v>0.42474999999999996</v>
      </c>
    </row>
    <row r="371" spans="1:22" x14ac:dyDescent="0.3">
      <c r="A371" t="s">
        <v>0</v>
      </c>
      <c r="B371">
        <v>2011</v>
      </c>
      <c r="C371">
        <v>720.9</v>
      </c>
      <c r="D371" s="12">
        <v>2011</v>
      </c>
      <c r="I371" s="13">
        <f t="shared" si="13"/>
        <v>2.4088864842026227</v>
      </c>
      <c r="O371" s="12">
        <f>STANDARDIZE(C371,L$11,M$11)</f>
        <v>2.3198708444299601</v>
      </c>
      <c r="P371" s="12">
        <v>2011</v>
      </c>
      <c r="R371">
        <v>1.5980000000000001</v>
      </c>
      <c r="S371">
        <v>0.182</v>
      </c>
      <c r="T371">
        <v>0.377</v>
      </c>
      <c r="U371">
        <v>-0.377</v>
      </c>
      <c r="V371">
        <f t="shared" si="14"/>
        <v>0.44500000000000001</v>
      </c>
    </row>
    <row r="372" spans="1:22" x14ac:dyDescent="0.3">
      <c r="A372" t="s">
        <v>1</v>
      </c>
      <c r="B372">
        <v>2011</v>
      </c>
      <c r="C372">
        <v>435.5</v>
      </c>
      <c r="D372" s="12">
        <v>2011.0833333333301</v>
      </c>
      <c r="I372" s="13">
        <f t="shared" si="13"/>
        <v>0.49152537024741372</v>
      </c>
      <c r="O372" s="12">
        <f>STANDARDIZE(C372,L$12,M$12)</f>
        <v>1.5475005466895417</v>
      </c>
      <c r="P372" s="12">
        <v>2011.0833333333301</v>
      </c>
      <c r="R372">
        <v>1.27</v>
      </c>
      <c r="S372">
        <v>-0.17399999999999999</v>
      </c>
      <c r="T372">
        <v>0.26300000000000001</v>
      </c>
      <c r="U372">
        <v>-0.96799999999999997</v>
      </c>
      <c r="V372">
        <f t="shared" si="14"/>
        <v>9.7750000000000004E-2</v>
      </c>
    </row>
    <row r="373" spans="1:22" x14ac:dyDescent="0.3">
      <c r="A373" t="s">
        <v>2</v>
      </c>
      <c r="B373">
        <v>2011</v>
      </c>
      <c r="C373">
        <v>336.6</v>
      </c>
      <c r="D373" s="12">
        <v>2011.1666666666599</v>
      </c>
      <c r="I373" s="13">
        <f t="shared" si="13"/>
        <v>-0.17290004730749214</v>
      </c>
      <c r="O373" s="12">
        <f>STANDARDIZE(C373,L$13,M$13)</f>
        <v>1.4203601466077149</v>
      </c>
      <c r="P373" s="12">
        <v>2011.1666666666599</v>
      </c>
      <c r="R373">
        <v>1.78</v>
      </c>
      <c r="S373">
        <v>-0.434</v>
      </c>
      <c r="T373">
        <v>0.28100000000000003</v>
      </c>
      <c r="U373">
        <v>-1.3069999999999999</v>
      </c>
      <c r="V373">
        <f t="shared" si="14"/>
        <v>8.0000000000000071E-2</v>
      </c>
    </row>
    <row r="374" spans="1:22" x14ac:dyDescent="0.3">
      <c r="A374" t="s">
        <v>3</v>
      </c>
      <c r="B374">
        <v>2011</v>
      </c>
      <c r="C374">
        <v>395.5</v>
      </c>
      <c r="D374" s="12">
        <v>2011.24999999999</v>
      </c>
      <c r="I374" s="13">
        <f t="shared" si="13"/>
        <v>0.22279921552348814</v>
      </c>
      <c r="O374" s="12">
        <f>STANDARDIZE(C374,L$14,M$14)</f>
        <v>1.5000891156813638</v>
      </c>
      <c r="P374" s="12">
        <v>2011.24999999999</v>
      </c>
      <c r="R374">
        <v>0.69799999999999995</v>
      </c>
      <c r="S374">
        <v>-0.36599999999999999</v>
      </c>
      <c r="T374">
        <v>-1.2E-2</v>
      </c>
      <c r="U374">
        <v>-1.607</v>
      </c>
      <c r="V374">
        <f t="shared" si="14"/>
        <v>-0.32174999999999998</v>
      </c>
    </row>
    <row r="375" spans="1:22" x14ac:dyDescent="0.3">
      <c r="A375" t="s">
        <v>4</v>
      </c>
      <c r="B375">
        <v>2011</v>
      </c>
      <c r="C375">
        <v>595</v>
      </c>
      <c r="D375" s="12">
        <v>2011.3333333333301</v>
      </c>
      <c r="I375" s="13">
        <f t="shared" si="13"/>
        <v>1.5630709122090671</v>
      </c>
      <c r="O375" s="12">
        <f>STANDARDIZE(C375,L$15,M$15)</f>
        <v>2.4091627347863098</v>
      </c>
      <c r="P375" s="12">
        <v>2011.3333333333301</v>
      </c>
      <c r="R375">
        <v>-0.24</v>
      </c>
      <c r="S375">
        <v>-0.36099999999999999</v>
      </c>
      <c r="T375">
        <v>-0.13400000000000001</v>
      </c>
      <c r="U375">
        <v>-1.89</v>
      </c>
      <c r="V375">
        <f t="shared" si="14"/>
        <v>-0.65625</v>
      </c>
    </row>
    <row r="376" spans="1:22" x14ac:dyDescent="0.3">
      <c r="A376" t="s">
        <v>5</v>
      </c>
      <c r="B376">
        <v>2011</v>
      </c>
      <c r="C376">
        <v>627.1</v>
      </c>
      <c r="D376" s="12">
        <v>2011.4166666666599</v>
      </c>
      <c r="I376" s="13">
        <f t="shared" si="13"/>
        <v>1.7787236513750175</v>
      </c>
      <c r="O376" s="12">
        <f>STANDARDIZE(C376,L$16,M$16)</f>
        <v>2.0846965626199716</v>
      </c>
      <c r="P376" s="12">
        <v>2011.4166666666599</v>
      </c>
      <c r="R376">
        <v>-0.75</v>
      </c>
      <c r="S376">
        <v>-8.4000000000000005E-2</v>
      </c>
      <c r="T376">
        <v>0.124</v>
      </c>
      <c r="U376">
        <v>-1.728</v>
      </c>
      <c r="V376">
        <f t="shared" si="14"/>
        <v>-0.60949999999999993</v>
      </c>
    </row>
    <row r="377" spans="1:22" x14ac:dyDescent="0.3">
      <c r="A377" t="s">
        <v>6</v>
      </c>
      <c r="B377">
        <v>2011</v>
      </c>
      <c r="C377">
        <v>547.29999999999995</v>
      </c>
      <c r="D377" s="12">
        <v>2011.49999999999</v>
      </c>
      <c r="I377" s="13">
        <f t="shared" si="13"/>
        <v>1.2426149727007856</v>
      </c>
      <c r="O377" s="12">
        <f>STANDARDIZE(C377,L$17,M$17)</f>
        <v>1.2014658061775261</v>
      </c>
      <c r="P377" s="12">
        <v>2011.49999999999</v>
      </c>
      <c r="R377">
        <v>-1.0980000000000001</v>
      </c>
      <c r="S377">
        <v>-0.17100000000000001</v>
      </c>
      <c r="T377">
        <v>0.35299999999999998</v>
      </c>
      <c r="U377">
        <v>-1.2789999999999999</v>
      </c>
      <c r="V377">
        <f t="shared" si="14"/>
        <v>-0.54875000000000007</v>
      </c>
    </row>
    <row r="378" spans="1:22" x14ac:dyDescent="0.3">
      <c r="A378" t="s">
        <v>7</v>
      </c>
      <c r="B378">
        <v>2011</v>
      </c>
      <c r="C378">
        <v>488.5</v>
      </c>
      <c r="D378" s="12">
        <v>2011.5833333333301</v>
      </c>
      <c r="I378" s="13">
        <f t="shared" si="13"/>
        <v>0.84758752525661518</v>
      </c>
      <c r="O378" s="12">
        <f>STANDARDIZE(C378,L$18,M$18)</f>
        <v>0.83485290195384643</v>
      </c>
      <c r="P378" s="12">
        <v>2011.5833333333301</v>
      </c>
      <c r="R378">
        <v>-1.107</v>
      </c>
      <c r="S378">
        <v>0.14399999999999999</v>
      </c>
      <c r="T378">
        <v>0.59899999999999998</v>
      </c>
      <c r="U378">
        <v>-1.3520000000000001</v>
      </c>
      <c r="V378">
        <f t="shared" si="14"/>
        <v>-0.42900000000000005</v>
      </c>
    </row>
    <row r="379" spans="1:22" x14ac:dyDescent="0.3">
      <c r="A379" t="s">
        <v>8</v>
      </c>
      <c r="B379">
        <v>2011</v>
      </c>
      <c r="C379">
        <v>435.2</v>
      </c>
      <c r="D379" s="12">
        <v>2011.6666666666599</v>
      </c>
      <c r="I379" s="13">
        <f t="shared" si="13"/>
        <v>0.48950992408698424</v>
      </c>
      <c r="O379" s="12">
        <f>STANDARDIZE(C379,L$19,M$19)</f>
        <v>0.36024088824480327</v>
      </c>
      <c r="P379" s="12">
        <v>2011.6666666666599</v>
      </c>
      <c r="R379">
        <v>-1.0209999999999999</v>
      </c>
      <c r="S379">
        <v>0.05</v>
      </c>
      <c r="T379">
        <v>0.38300000000000001</v>
      </c>
      <c r="U379">
        <v>-1.1879999999999999</v>
      </c>
      <c r="V379">
        <f t="shared" si="14"/>
        <v>-0.44399999999999995</v>
      </c>
    </row>
    <row r="380" spans="1:22" x14ac:dyDescent="0.3">
      <c r="A380" t="s">
        <v>9</v>
      </c>
      <c r="B380">
        <v>2011</v>
      </c>
      <c r="C380">
        <v>466.5</v>
      </c>
      <c r="D380" s="12">
        <v>2011.74999999999</v>
      </c>
      <c r="I380" s="13">
        <f t="shared" si="13"/>
        <v>0.69978814015845603</v>
      </c>
      <c r="O380" s="12">
        <f>STANDARDIZE(C380,L$20,M$20)</f>
        <v>0.30405158265365528</v>
      </c>
      <c r="P380" s="12">
        <v>2011.74999999999</v>
      </c>
      <c r="R380">
        <v>-1.2450000000000001</v>
      </c>
      <c r="S380">
        <v>0.17699999999999999</v>
      </c>
      <c r="T380">
        <v>-0.215</v>
      </c>
      <c r="U380">
        <v>-0.83799999999999997</v>
      </c>
      <c r="V380">
        <f t="shared" si="14"/>
        <v>-0.53025</v>
      </c>
    </row>
    <row r="381" spans="1:22" x14ac:dyDescent="0.3">
      <c r="A381" t="s">
        <v>10</v>
      </c>
      <c r="B381">
        <v>2011</v>
      </c>
      <c r="C381">
        <v>531.79999999999995</v>
      </c>
      <c r="D381" s="12">
        <v>2011.8333333333301</v>
      </c>
      <c r="I381" s="13">
        <f t="shared" si="13"/>
        <v>1.1384835877452644</v>
      </c>
      <c r="O381" s="12">
        <f>STANDARDIZE(C381,L$21,M$21)</f>
        <v>0.45169751300990024</v>
      </c>
      <c r="P381" s="12">
        <v>2011.8333333333301</v>
      </c>
      <c r="R381">
        <v>-0.9</v>
      </c>
      <c r="S381">
        <v>0.28299999999999997</v>
      </c>
      <c r="T381">
        <v>-0.51600000000000001</v>
      </c>
      <c r="U381">
        <v>-0.86899999999999999</v>
      </c>
      <c r="V381">
        <f t="shared" si="14"/>
        <v>-0.50049999999999994</v>
      </c>
    </row>
    <row r="382" spans="1:22" x14ac:dyDescent="0.3">
      <c r="A382" t="s">
        <v>11</v>
      </c>
      <c r="B382">
        <v>2011</v>
      </c>
      <c r="C382">
        <v>610.79999999999995</v>
      </c>
      <c r="D382" s="12">
        <v>2011.9166666666599</v>
      </c>
      <c r="I382" s="13">
        <f t="shared" si="13"/>
        <v>1.6692177433250173</v>
      </c>
      <c r="O382" s="12">
        <f>STANDARDIZE(C382,L$22,M$22)</f>
        <v>0.90440218039805664</v>
      </c>
      <c r="P382" s="12">
        <v>2011.9166666666599</v>
      </c>
      <c r="R382">
        <v>0.996</v>
      </c>
      <c r="S382">
        <v>0.18099999999999999</v>
      </c>
      <c r="T382">
        <v>0.28100000000000003</v>
      </c>
      <c r="U382">
        <v>-0.71299999999999997</v>
      </c>
      <c r="V382">
        <f t="shared" si="14"/>
        <v>0.18625000000000005</v>
      </c>
    </row>
    <row r="383" spans="1:22" x14ac:dyDescent="0.3">
      <c r="A383" t="s">
        <v>0</v>
      </c>
      <c r="B383">
        <v>2012</v>
      </c>
      <c r="C383">
        <v>576.20000000000005</v>
      </c>
      <c r="D383" s="12">
        <v>2012</v>
      </c>
      <c r="I383" s="13">
        <f t="shared" si="13"/>
        <v>1.4367696194888224</v>
      </c>
      <c r="O383" s="12">
        <f>STANDARDIZE(C383,L$11,M$11)</f>
        <v>1.3478504152135897</v>
      </c>
      <c r="P383" s="12">
        <v>2012</v>
      </c>
      <c r="R383">
        <v>1.73</v>
      </c>
      <c r="S383">
        <v>0.124</v>
      </c>
      <c r="T383">
        <v>-0.16500000000000001</v>
      </c>
      <c r="U383">
        <v>-0.48799999999999999</v>
      </c>
      <c r="V383">
        <f t="shared" si="14"/>
        <v>0.30025000000000002</v>
      </c>
    </row>
    <row r="384" spans="1:22" x14ac:dyDescent="0.3">
      <c r="A384" t="s">
        <v>1</v>
      </c>
      <c r="B384">
        <v>2012</v>
      </c>
      <c r="C384">
        <v>395.8</v>
      </c>
      <c r="D384" s="12">
        <v>2012.0833333333301</v>
      </c>
      <c r="I384" s="13">
        <f t="shared" si="13"/>
        <v>0.22481466168391767</v>
      </c>
      <c r="O384" s="12">
        <f>STANDARDIZE(C384,L$12,M$12)</f>
        <v>1.2280417874239571</v>
      </c>
      <c r="P384" s="12">
        <v>2012.0833333333301</v>
      </c>
      <c r="R384">
        <v>1.431</v>
      </c>
      <c r="S384">
        <v>5.6000000000000001E-2</v>
      </c>
      <c r="T384">
        <v>-0.86399999999999999</v>
      </c>
      <c r="U384">
        <v>-0.161</v>
      </c>
      <c r="V384">
        <f t="shared" si="14"/>
        <v>0.11550000000000002</v>
      </c>
    </row>
    <row r="385" spans="1:22" x14ac:dyDescent="0.3">
      <c r="A385" t="s">
        <v>2</v>
      </c>
      <c r="B385">
        <v>2012</v>
      </c>
      <c r="C385">
        <v>216.9</v>
      </c>
      <c r="D385" s="12">
        <v>2012.1666666666599</v>
      </c>
      <c r="I385" s="13">
        <f t="shared" si="13"/>
        <v>-0.97706306531883957</v>
      </c>
      <c r="O385" s="12">
        <f>STANDARDIZE(C385,L$13,M$13)</f>
        <v>0.15964005461343053</v>
      </c>
      <c r="P385" s="12">
        <v>2012.1666666666599</v>
      </c>
      <c r="R385">
        <v>1.415</v>
      </c>
      <c r="S385">
        <v>0.27</v>
      </c>
      <c r="T385">
        <v>-0.67300000000000004</v>
      </c>
      <c r="U385">
        <v>-0.13900000000000001</v>
      </c>
      <c r="V385">
        <f t="shared" si="14"/>
        <v>0.21825</v>
      </c>
    </row>
    <row r="386" spans="1:22" x14ac:dyDescent="0.3">
      <c r="A386" t="s">
        <v>3</v>
      </c>
      <c r="B386">
        <v>2012</v>
      </c>
      <c r="C386">
        <v>275.10000000000002</v>
      </c>
      <c r="D386" s="12">
        <v>2012.24999999999</v>
      </c>
      <c r="I386" s="13">
        <f t="shared" si="13"/>
        <v>-0.5860665101955278</v>
      </c>
      <c r="O386" s="12">
        <f>STANDARDIZE(C386,L$14,M$14)</f>
        <v>0.36992791219979132</v>
      </c>
      <c r="P386" s="12">
        <v>2012.24999999999</v>
      </c>
      <c r="R386">
        <v>1.3640000000000001</v>
      </c>
      <c r="S386">
        <v>0.628</v>
      </c>
      <c r="T386">
        <v>-1.3420000000000001</v>
      </c>
      <c r="U386">
        <v>-0.72199999999999998</v>
      </c>
      <c r="V386">
        <f t="shared" si="14"/>
        <v>-1.8000000000000016E-2</v>
      </c>
    </row>
    <row r="387" spans="1:22" x14ac:dyDescent="0.3">
      <c r="A387" t="s">
        <v>4</v>
      </c>
      <c r="B387">
        <v>2012</v>
      </c>
      <c r="C387">
        <v>427.5</v>
      </c>
      <c r="D387" s="12">
        <v>2012.3333333333301</v>
      </c>
      <c r="I387" s="13">
        <f t="shared" si="13"/>
        <v>0.4377801393026286</v>
      </c>
      <c r="O387" s="12">
        <f>STANDARDIZE(C387,L$15,M$15)</f>
        <v>0.89619863758737017</v>
      </c>
      <c r="P387" s="12">
        <v>2012.3333333333301</v>
      </c>
      <c r="R387">
        <v>1.2310000000000001</v>
      </c>
      <c r="S387">
        <v>0.94799999999999995</v>
      </c>
      <c r="T387">
        <v>-0.71599999999999997</v>
      </c>
      <c r="U387">
        <v>-1.54</v>
      </c>
      <c r="V387">
        <f t="shared" si="14"/>
        <v>-1.9249999999999934E-2</v>
      </c>
    </row>
    <row r="388" spans="1:22" x14ac:dyDescent="0.3">
      <c r="A388" t="s">
        <v>5</v>
      </c>
      <c r="B388">
        <v>2012</v>
      </c>
      <c r="C388">
        <v>427.4</v>
      </c>
      <c r="D388" s="12">
        <v>2012.4166666666599</v>
      </c>
      <c r="I388" s="13">
        <f t="shared" si="13"/>
        <v>0.43710832391581866</v>
      </c>
      <c r="O388" s="12">
        <f>STANDARDIZE(C388,L$16,M$16)</f>
        <v>0.29579185500907323</v>
      </c>
      <c r="P388" s="12">
        <v>2012.4166666666599</v>
      </c>
      <c r="R388">
        <v>1.171</v>
      </c>
      <c r="S388">
        <v>0.878</v>
      </c>
      <c r="T388">
        <v>-0.374</v>
      </c>
      <c r="U388">
        <v>-1.516</v>
      </c>
      <c r="V388">
        <f t="shared" si="14"/>
        <v>3.9749999999999952E-2</v>
      </c>
    </row>
    <row r="389" spans="1:22" x14ac:dyDescent="0.3">
      <c r="A389" t="s">
        <v>6</v>
      </c>
      <c r="B389">
        <v>2012</v>
      </c>
      <c r="C389">
        <v>313.60000000000002</v>
      </c>
      <c r="D389" s="12">
        <v>2012.5</v>
      </c>
      <c r="I389" s="13">
        <f t="shared" si="13"/>
        <v>-0.32741758627374934</v>
      </c>
      <c r="O389" s="12">
        <f>STANDARDIZE(C389,L$17,M$17)</f>
        <v>-0.66835221612717965</v>
      </c>
      <c r="P389" s="12">
        <v>2012.5</v>
      </c>
      <c r="R389">
        <v>1.099</v>
      </c>
      <c r="S389">
        <v>0.77900000000000003</v>
      </c>
      <c r="T389">
        <v>-0.88600000000000001</v>
      </c>
      <c r="U389">
        <v>-0.96</v>
      </c>
      <c r="V389">
        <f t="shared" si="14"/>
        <v>8.0000000000000349E-3</v>
      </c>
    </row>
    <row r="390" spans="1:22" x14ac:dyDescent="0.3">
      <c r="A390" t="s">
        <v>7</v>
      </c>
      <c r="B390">
        <v>2012</v>
      </c>
      <c r="C390">
        <v>292.89999999999998</v>
      </c>
      <c r="D390" s="12">
        <v>2012.5833333333301</v>
      </c>
      <c r="I390" s="13">
        <f t="shared" si="13"/>
        <v>-0.46648337134338119</v>
      </c>
      <c r="O390" s="12">
        <f>STANDARDIZE(C390,L$18,M$18)</f>
        <v>-0.67070606932691657</v>
      </c>
      <c r="P390" s="12">
        <v>2012.5833333333301</v>
      </c>
      <c r="R390">
        <v>0.36799999999999999</v>
      </c>
      <c r="S390">
        <v>0.65900000000000003</v>
      </c>
      <c r="T390">
        <v>-0.81899999999999995</v>
      </c>
      <c r="U390">
        <v>-0.65300000000000002</v>
      </c>
      <c r="V390">
        <f t="shared" si="14"/>
        <v>-0.11124999999999996</v>
      </c>
    </row>
    <row r="391" spans="1:22" x14ac:dyDescent="0.3">
      <c r="A391" t="s">
        <v>8</v>
      </c>
      <c r="B391">
        <v>2012</v>
      </c>
      <c r="C391">
        <v>314.5</v>
      </c>
      <c r="D391" s="12">
        <v>2012.6666666666599</v>
      </c>
      <c r="I391" s="13">
        <f t="shared" si="13"/>
        <v>-0.32137124779246118</v>
      </c>
      <c r="O391" s="12">
        <f>STANDARDIZE(C391,L$19,M$19)</f>
        <v>-0.56918236348975937</v>
      </c>
      <c r="P391" s="12">
        <v>2012.6666666666599</v>
      </c>
      <c r="R391">
        <v>-0.16200000000000001</v>
      </c>
      <c r="S391">
        <v>0.40699999999999997</v>
      </c>
      <c r="T391">
        <v>-0.92300000000000004</v>
      </c>
      <c r="U391">
        <v>-0.91200000000000003</v>
      </c>
      <c r="V391">
        <f t="shared" si="14"/>
        <v>-0.39750000000000002</v>
      </c>
    </row>
    <row r="392" spans="1:22" x14ac:dyDescent="0.3">
      <c r="A392" t="s">
        <v>9</v>
      </c>
      <c r="B392">
        <v>2012</v>
      </c>
      <c r="C392">
        <v>318.2</v>
      </c>
      <c r="D392" s="12">
        <v>2012.75</v>
      </c>
      <c r="I392" s="13">
        <f t="shared" si="13"/>
        <v>-0.29651407848049816</v>
      </c>
      <c r="O392" s="12">
        <f>STANDARDIZE(C392,L$20,M$20)</f>
        <v>-0.91905912010058521</v>
      </c>
      <c r="P392" s="12">
        <v>2012.75</v>
      </c>
      <c r="R392">
        <v>-0.58599999999999997</v>
      </c>
      <c r="S392">
        <v>0.48599999999999999</v>
      </c>
      <c r="T392">
        <v>-1.0229999999999999</v>
      </c>
      <c r="U392">
        <v>-0.71899999999999997</v>
      </c>
      <c r="V392">
        <f t="shared" si="14"/>
        <v>-0.46049999999999991</v>
      </c>
    </row>
    <row r="393" spans="1:22" x14ac:dyDescent="0.3">
      <c r="A393" t="s">
        <v>10</v>
      </c>
      <c r="B393">
        <v>2012</v>
      </c>
      <c r="C393">
        <v>377.8</v>
      </c>
      <c r="D393" s="12">
        <v>2012.8333333333301</v>
      </c>
      <c r="I393" s="13">
        <f t="shared" si="13"/>
        <v>0.10388789205815115</v>
      </c>
      <c r="O393" s="12">
        <f>STANDARDIZE(C393,L$21,M$21)</f>
        <v>-0.89378444063660945</v>
      </c>
      <c r="P393" s="12">
        <v>2012.8333333333301</v>
      </c>
      <c r="R393">
        <v>-0.42199999999999999</v>
      </c>
      <c r="S393">
        <v>0.52300000000000002</v>
      </c>
      <c r="T393">
        <v>-0.78</v>
      </c>
      <c r="U393">
        <v>-0.39900000000000002</v>
      </c>
      <c r="V393">
        <f t="shared" si="14"/>
        <v>-0.26950000000000002</v>
      </c>
    </row>
    <row r="394" spans="1:22" x14ac:dyDescent="0.3">
      <c r="A394" t="s">
        <v>11</v>
      </c>
      <c r="B394">
        <v>2012</v>
      </c>
      <c r="C394">
        <v>341.8</v>
      </c>
      <c r="D394" s="12">
        <v>2012.9166666666599</v>
      </c>
      <c r="I394" s="13">
        <f t="shared" si="13"/>
        <v>-0.13796564719338189</v>
      </c>
      <c r="O394" s="12">
        <f>STANDARDIZE(C394,L$22,M$22)</f>
        <v>-1.0584263686090452</v>
      </c>
      <c r="P394" s="12">
        <v>2012.9166666666599</v>
      </c>
      <c r="R394">
        <v>0.60299999999999998</v>
      </c>
      <c r="S394">
        <v>0.16</v>
      </c>
      <c r="T394">
        <v>-1.083</v>
      </c>
      <c r="U394">
        <v>1.0999999999999999E-2</v>
      </c>
      <c r="V394">
        <f t="shared" si="14"/>
        <v>-7.7249999999999985E-2</v>
      </c>
    </row>
    <row r="395" spans="1:22" x14ac:dyDescent="0.3">
      <c r="A395" t="s">
        <v>0</v>
      </c>
      <c r="B395">
        <v>2013</v>
      </c>
      <c r="C395">
        <v>188.9</v>
      </c>
      <c r="D395" s="12">
        <v>2013</v>
      </c>
      <c r="I395" s="13">
        <f t="shared" si="13"/>
        <v>-1.1651713736255875</v>
      </c>
      <c r="O395" s="12">
        <f>STANDARDIZE(C395,L$11,M$11)</f>
        <v>-1.2538324613275327</v>
      </c>
      <c r="P395" s="12">
        <v>2013</v>
      </c>
      <c r="R395">
        <v>1.825</v>
      </c>
      <c r="S395">
        <v>0.432</v>
      </c>
      <c r="T395">
        <v>-1.306</v>
      </c>
      <c r="U395">
        <v>-9.4E-2</v>
      </c>
      <c r="V395">
        <f t="shared" si="14"/>
        <v>0.21425000000000002</v>
      </c>
    </row>
    <row r="396" spans="1:22" x14ac:dyDescent="0.3">
      <c r="A396" t="s">
        <v>1</v>
      </c>
      <c r="B396">
        <v>2013</v>
      </c>
      <c r="C396">
        <v>163.4</v>
      </c>
      <c r="D396" s="12">
        <v>2013.0833333333301</v>
      </c>
      <c r="I396" s="13">
        <f t="shared" ref="I396:I430" si="15">STANDARDIZE(C396,C$8,C$9)</f>
        <v>-1.3364842972620901</v>
      </c>
      <c r="O396" s="12">
        <f>STANDARDIZE(C396,L$12,M$12)</f>
        <v>-0.64203921140027065</v>
      </c>
      <c r="P396" s="12">
        <v>2013.0833333333301</v>
      </c>
      <c r="R396">
        <v>0.88300000000000001</v>
      </c>
      <c r="S396">
        <v>0.20200000000000001</v>
      </c>
      <c r="T396">
        <v>-0.41599999999999998</v>
      </c>
      <c r="U396">
        <v>0.01</v>
      </c>
      <c r="V396">
        <f t="shared" ref="V396:V459" si="16">AVERAGE(R396:U396)</f>
        <v>0.16975000000000001</v>
      </c>
    </row>
    <row r="397" spans="1:22" x14ac:dyDescent="0.3">
      <c r="A397" t="s">
        <v>2</v>
      </c>
      <c r="B397">
        <v>2013</v>
      </c>
      <c r="C397">
        <v>178</v>
      </c>
      <c r="D397" s="12">
        <v>2013.1666666666599</v>
      </c>
      <c r="I397" s="13">
        <f t="shared" si="15"/>
        <v>-1.2383992507878574</v>
      </c>
      <c r="O397" s="12">
        <f>STANDARDIZE(C397,L$13,M$13)</f>
        <v>-0.25006764445572288</v>
      </c>
      <c r="P397" s="12">
        <v>2013.1666666666599</v>
      </c>
      <c r="R397">
        <v>0.22</v>
      </c>
      <c r="S397">
        <v>-0.11899999999999999</v>
      </c>
      <c r="T397">
        <v>0.33700000000000002</v>
      </c>
      <c r="U397">
        <v>4.9000000000000002E-2</v>
      </c>
      <c r="V397">
        <f t="shared" si="16"/>
        <v>0.12175000000000001</v>
      </c>
    </row>
    <row r="398" spans="1:22" x14ac:dyDescent="0.3">
      <c r="A398" t="s">
        <v>3</v>
      </c>
      <c r="B398">
        <v>2013</v>
      </c>
      <c r="C398">
        <v>182</v>
      </c>
      <c r="D398" s="12">
        <v>2013.25</v>
      </c>
      <c r="I398" s="13">
        <f t="shared" si="15"/>
        <v>-1.2115266353154648</v>
      </c>
      <c r="O398" s="12">
        <f>STANDARDIZE(C398,L$14,M$14)</f>
        <v>-0.50397580909700634</v>
      </c>
      <c r="P398" s="12">
        <v>2013.25</v>
      </c>
      <c r="R398">
        <v>0.27800000000000002</v>
      </c>
      <c r="S398">
        <v>-0.316</v>
      </c>
      <c r="T398">
        <v>0.46100000000000002</v>
      </c>
      <c r="U398">
        <v>3.7999999999999999E-2</v>
      </c>
      <c r="V398">
        <f t="shared" si="16"/>
        <v>0.11525000000000001</v>
      </c>
    </row>
    <row r="399" spans="1:22" x14ac:dyDescent="0.3">
      <c r="A399" t="s">
        <v>4</v>
      </c>
      <c r="B399">
        <v>2013</v>
      </c>
      <c r="C399">
        <v>274</v>
      </c>
      <c r="D399" s="12">
        <v>2013.3333333333301</v>
      </c>
      <c r="I399" s="13">
        <f t="shared" si="15"/>
        <v>-0.59345647945043589</v>
      </c>
      <c r="O399" s="12">
        <f>STANDARDIZE(C399,L$15,M$15)</f>
        <v>-0.49030875895016557</v>
      </c>
      <c r="P399" s="12">
        <v>2013.3333333333301</v>
      </c>
      <c r="R399">
        <v>-0.41699999999999998</v>
      </c>
      <c r="S399">
        <v>-0.215</v>
      </c>
      <c r="T399">
        <v>0.26700000000000002</v>
      </c>
      <c r="U399">
        <v>0.19700000000000001</v>
      </c>
      <c r="V399">
        <f t="shared" si="16"/>
        <v>-4.1999999999999996E-2</v>
      </c>
    </row>
    <row r="400" spans="1:22" x14ac:dyDescent="0.3">
      <c r="A400" t="s">
        <v>5</v>
      </c>
      <c r="B400">
        <v>2013</v>
      </c>
      <c r="C400">
        <v>351.5</v>
      </c>
      <c r="D400" s="12">
        <v>2013.4166666666599</v>
      </c>
      <c r="I400" s="13">
        <f t="shared" si="15"/>
        <v>-7.2799554672830016E-2</v>
      </c>
      <c r="O400" s="12">
        <f>STANDARDIZE(C400,L$16,M$16)</f>
        <v>-0.38411734532977065</v>
      </c>
      <c r="P400" s="12">
        <v>2013.4166666666599</v>
      </c>
      <c r="R400">
        <v>-0.92300000000000004</v>
      </c>
      <c r="S400">
        <v>-0.16200000000000001</v>
      </c>
      <c r="T400">
        <v>0.78100000000000003</v>
      </c>
      <c r="U400">
        <v>-0.1</v>
      </c>
      <c r="V400">
        <f t="shared" si="16"/>
        <v>-0.10099999999999998</v>
      </c>
    </row>
    <row r="401" spans="1:22" x14ac:dyDescent="0.3">
      <c r="A401" t="s">
        <v>6</v>
      </c>
      <c r="B401">
        <v>2013</v>
      </c>
      <c r="C401">
        <v>317.39999999999998</v>
      </c>
      <c r="D401" s="12">
        <v>2013.5</v>
      </c>
      <c r="I401" s="13">
        <f t="shared" si="15"/>
        <v>-0.30188860157497671</v>
      </c>
      <c r="O401" s="12">
        <f>STANDARDIZE(C401,L$17,M$17)</f>
        <v>-0.63794867104905473</v>
      </c>
      <c r="P401" s="12">
        <v>2013.5</v>
      </c>
      <c r="R401">
        <v>-1.1379999999999999</v>
      </c>
      <c r="S401">
        <v>0.27300000000000002</v>
      </c>
      <c r="T401">
        <v>0.18</v>
      </c>
      <c r="U401">
        <v>-4.8000000000000001E-2</v>
      </c>
      <c r="V401">
        <f t="shared" si="16"/>
        <v>-0.18324999999999997</v>
      </c>
    </row>
    <row r="402" spans="1:22" x14ac:dyDescent="0.3">
      <c r="A402" t="s">
        <v>7</v>
      </c>
      <c r="B402">
        <v>2013</v>
      </c>
      <c r="C402">
        <v>272.5</v>
      </c>
      <c r="D402" s="12">
        <v>2013.5833333333301</v>
      </c>
      <c r="I402" s="13">
        <f t="shared" si="15"/>
        <v>-0.60353371025258307</v>
      </c>
      <c r="O402" s="12">
        <f>STANDARDIZE(C402,L$18,M$18)</f>
        <v>-0.82772755712920454</v>
      </c>
      <c r="P402" s="12">
        <v>2013.5833333333301</v>
      </c>
      <c r="R402">
        <v>-1.306</v>
      </c>
      <c r="S402">
        <v>0.49099999999999999</v>
      </c>
      <c r="T402">
        <v>-0.214</v>
      </c>
      <c r="U402">
        <v>-0.14199999999999999</v>
      </c>
      <c r="V402">
        <f t="shared" si="16"/>
        <v>-0.29275000000000001</v>
      </c>
    </row>
    <row r="403" spans="1:22" x14ac:dyDescent="0.3">
      <c r="A403" t="s">
        <v>8</v>
      </c>
      <c r="B403">
        <v>2013</v>
      </c>
      <c r="C403">
        <v>358</v>
      </c>
      <c r="D403" s="12">
        <v>2013.6666666666599</v>
      </c>
      <c r="I403" s="13">
        <f t="shared" si="15"/>
        <v>-2.9131554530192103E-2</v>
      </c>
      <c r="O403" s="12">
        <f>STANDARDIZE(C403,L$19,M$19)</f>
        <v>-0.23422037964176035</v>
      </c>
      <c r="P403" s="12">
        <v>2013.6666666666599</v>
      </c>
      <c r="R403">
        <v>-1.1559999999999999</v>
      </c>
      <c r="S403">
        <v>0.39700000000000002</v>
      </c>
      <c r="T403">
        <v>-0.34599999999999997</v>
      </c>
      <c r="U403">
        <v>-0.41499999999999998</v>
      </c>
      <c r="V403">
        <f t="shared" si="16"/>
        <v>-0.38</v>
      </c>
    </row>
    <row r="404" spans="1:22" x14ac:dyDescent="0.3">
      <c r="A404" t="s">
        <v>9</v>
      </c>
      <c r="B404">
        <v>2013</v>
      </c>
      <c r="C404">
        <v>404.5</v>
      </c>
      <c r="D404" s="12">
        <v>2013.75</v>
      </c>
      <c r="I404" s="13">
        <f t="shared" si="15"/>
        <v>0.28326260033637141</v>
      </c>
      <c r="O404" s="12">
        <f>STANDARDIZE(C404,L$20,M$20)</f>
        <v>-0.20729611505883902</v>
      </c>
      <c r="P404" s="12">
        <v>2013.75</v>
      </c>
      <c r="R404">
        <v>-1.2829999999999999</v>
      </c>
      <c r="S404">
        <v>0.22600000000000001</v>
      </c>
      <c r="T404">
        <v>-0.30599999999999999</v>
      </c>
      <c r="U404">
        <v>-0.35399999999999998</v>
      </c>
      <c r="V404">
        <f t="shared" si="16"/>
        <v>-0.42925000000000002</v>
      </c>
    </row>
    <row r="405" spans="1:22" x14ac:dyDescent="0.3">
      <c r="A405" t="s">
        <v>10</v>
      </c>
      <c r="B405">
        <v>2013</v>
      </c>
      <c r="C405">
        <v>427.3</v>
      </c>
      <c r="D405" s="12">
        <v>2013.8333333333301</v>
      </c>
      <c r="I405" s="13">
        <f t="shared" si="15"/>
        <v>0.43643650852900906</v>
      </c>
      <c r="O405" s="12">
        <f>STANDARDIZE(C405,L$21,M$21)</f>
        <v>-0.46130809839308828</v>
      </c>
      <c r="P405" s="12">
        <v>2013.8333333333301</v>
      </c>
      <c r="R405">
        <v>-1.385</v>
      </c>
      <c r="S405">
        <v>0.11799999999999999</v>
      </c>
      <c r="T405">
        <v>1.2E-2</v>
      </c>
      <c r="U405">
        <v>0.42599999999999999</v>
      </c>
      <c r="V405">
        <f t="shared" si="16"/>
        <v>-0.20724999999999999</v>
      </c>
    </row>
    <row r="406" spans="1:22" x14ac:dyDescent="0.3">
      <c r="A406" t="s">
        <v>11</v>
      </c>
      <c r="B406">
        <v>2013</v>
      </c>
      <c r="C406">
        <v>411.1</v>
      </c>
      <c r="D406" s="12">
        <v>2013.9166666666599</v>
      </c>
      <c r="I406" s="13">
        <f t="shared" si="15"/>
        <v>0.32760241586581929</v>
      </c>
      <c r="O406" s="12">
        <f>STANDARDIZE(C406,L$22,M$22)</f>
        <v>-0.55276087252654627</v>
      </c>
      <c r="P406" s="12">
        <v>2013.9166666666599</v>
      </c>
      <c r="R406">
        <v>-7.4999999999999997E-2</v>
      </c>
      <c r="S406">
        <v>-0.44500000000000001</v>
      </c>
      <c r="T406">
        <v>2.2149999999999999</v>
      </c>
      <c r="U406">
        <v>-0.58799999999999997</v>
      </c>
      <c r="V406">
        <f t="shared" si="16"/>
        <v>0.27674999999999994</v>
      </c>
    </row>
    <row r="407" spans="1:22" x14ac:dyDescent="0.3">
      <c r="A407" t="s">
        <v>0</v>
      </c>
      <c r="B407">
        <v>2014</v>
      </c>
      <c r="C407">
        <v>338.7</v>
      </c>
      <c r="D407" s="12">
        <v>2014</v>
      </c>
      <c r="I407" s="13">
        <f t="shared" si="15"/>
        <v>-0.15879192418448629</v>
      </c>
      <c r="O407" s="12">
        <f>STANDARDIZE(C407,L$11,M$11)</f>
        <v>-0.24755284628529142</v>
      </c>
      <c r="P407" s="12">
        <v>2014</v>
      </c>
      <c r="R407">
        <v>0.76</v>
      </c>
      <c r="S407">
        <v>-0.76900000000000002</v>
      </c>
      <c r="T407">
        <v>2.415</v>
      </c>
      <c r="U407">
        <v>-1.073</v>
      </c>
      <c r="V407">
        <f t="shared" si="16"/>
        <v>0.33325000000000005</v>
      </c>
    </row>
    <row r="408" spans="1:22" x14ac:dyDescent="0.3">
      <c r="A408" t="s">
        <v>1</v>
      </c>
      <c r="B408">
        <v>2014</v>
      </c>
      <c r="C408">
        <v>198.5</v>
      </c>
      <c r="D408" s="12">
        <v>2014.0833333333333</v>
      </c>
      <c r="I408" s="13">
        <f t="shared" si="15"/>
        <v>-1.1006770964918455</v>
      </c>
      <c r="O408" s="12">
        <f>STANDARDIZE(C408,L$12,M$12)</f>
        <v>-0.35959582474480423</v>
      </c>
      <c r="P408" s="12">
        <v>2014.0833333333333</v>
      </c>
      <c r="R408">
        <v>0.61399999999999999</v>
      </c>
      <c r="S408">
        <v>-0.68100000000000005</v>
      </c>
      <c r="T408">
        <v>2.456</v>
      </c>
      <c r="U408">
        <v>-1.286</v>
      </c>
      <c r="V408">
        <f t="shared" si="16"/>
        <v>0.27574999999999994</v>
      </c>
    </row>
    <row r="409" spans="1:22" x14ac:dyDescent="0.3">
      <c r="A409" t="s">
        <v>2</v>
      </c>
      <c r="B409">
        <v>2014</v>
      </c>
      <c r="C409">
        <v>216.6</v>
      </c>
      <c r="D409" s="12">
        <v>2014.1666666666665</v>
      </c>
      <c r="I409" s="13">
        <f t="shared" si="15"/>
        <v>-0.97907851147926916</v>
      </c>
      <c r="O409" s="12">
        <f>STANDARDIZE(C409,L$13,M$13)</f>
        <v>0.15648035513474798</v>
      </c>
      <c r="P409" s="12">
        <v>2014.1666666666665</v>
      </c>
      <c r="R409">
        <v>0.64</v>
      </c>
      <c r="S409">
        <v>-0.69599999999999995</v>
      </c>
      <c r="T409">
        <v>2.085</v>
      </c>
      <c r="U409">
        <v>-1.153</v>
      </c>
      <c r="V409">
        <f t="shared" si="16"/>
        <v>0.21899999999999997</v>
      </c>
    </row>
    <row r="410" spans="1:22" x14ac:dyDescent="0.3">
      <c r="A410" t="s">
        <v>3</v>
      </c>
      <c r="B410">
        <v>2014</v>
      </c>
      <c r="C410">
        <v>197.2</v>
      </c>
      <c r="D410" s="12">
        <v>2014.25</v>
      </c>
      <c r="I410" s="13">
        <f t="shared" si="15"/>
        <v>-1.1094106965203732</v>
      </c>
      <c r="O410" s="12">
        <f>STANDARDIZE(C410,L$14,M$14)</f>
        <v>-0.3612976505179375</v>
      </c>
      <c r="P410" s="12">
        <v>2014.25</v>
      </c>
      <c r="R410">
        <v>0.77300000000000002</v>
      </c>
      <c r="S410">
        <v>-0.503</v>
      </c>
      <c r="T410">
        <v>1.5289999999999999</v>
      </c>
      <c r="U410">
        <v>-0.38300000000000001</v>
      </c>
      <c r="V410">
        <f t="shared" si="16"/>
        <v>0.35399999999999998</v>
      </c>
    </row>
    <row r="411" spans="1:22" x14ac:dyDescent="0.3">
      <c r="A411" t="s">
        <v>4</v>
      </c>
      <c r="B411">
        <v>2014</v>
      </c>
      <c r="C411">
        <v>339.4</v>
      </c>
      <c r="D411" s="12">
        <v>2014.3333333333333</v>
      </c>
      <c r="I411" s="13">
        <f t="shared" si="15"/>
        <v>-0.15408921647681767</v>
      </c>
      <c r="O411" s="12">
        <f>STANDARDIZE(C411,L$15,M$15)</f>
        <v>0.10042468556810681</v>
      </c>
      <c r="P411" s="12">
        <v>2014.3333333333333</v>
      </c>
      <c r="R411">
        <v>0.57399999999999995</v>
      </c>
      <c r="S411">
        <v>0.31</v>
      </c>
      <c r="T411">
        <v>1.706</v>
      </c>
      <c r="U411">
        <v>0.35399999999999998</v>
      </c>
      <c r="V411">
        <f t="shared" si="16"/>
        <v>0.73599999999999999</v>
      </c>
    </row>
    <row r="412" spans="1:22" x14ac:dyDescent="0.3">
      <c r="A412" t="s">
        <v>5</v>
      </c>
      <c r="B412">
        <v>2014</v>
      </c>
      <c r="C412">
        <v>369.3</v>
      </c>
      <c r="D412" s="12">
        <v>2014.4166666666665</v>
      </c>
      <c r="I412" s="13">
        <f t="shared" si="15"/>
        <v>4.6783584179316953E-2</v>
      </c>
      <c r="O412" s="12">
        <f>STANDARDIZE(C412,L$16,M$16)</f>
        <v>-0.22466564880761741</v>
      </c>
      <c r="P412" s="12">
        <v>2014.4166666666665</v>
      </c>
      <c r="R412">
        <v>0.189</v>
      </c>
      <c r="S412">
        <v>0.99199999999999999</v>
      </c>
      <c r="T412">
        <v>1.101</v>
      </c>
      <c r="U412">
        <v>0.65</v>
      </c>
      <c r="V412">
        <f t="shared" si="16"/>
        <v>0.73299999999999998</v>
      </c>
    </row>
    <row r="413" spans="1:22" x14ac:dyDescent="0.3">
      <c r="A413" t="s">
        <v>6</v>
      </c>
      <c r="B413">
        <v>2014</v>
      </c>
      <c r="C413">
        <v>280.5</v>
      </c>
      <c r="D413" s="12">
        <v>2014.5</v>
      </c>
      <c r="I413" s="13">
        <f t="shared" si="15"/>
        <v>-0.54978847930779795</v>
      </c>
      <c r="O413" s="12">
        <f>STANDARDIZE(C413,L$17,M$17)</f>
        <v>-0.9331830956234819</v>
      </c>
      <c r="P413" s="12">
        <v>2014.5</v>
      </c>
      <c r="R413">
        <v>-9.0999999999999998E-2</v>
      </c>
      <c r="S413">
        <v>0.41399999999999998</v>
      </c>
      <c r="T413">
        <v>0.72099999999999997</v>
      </c>
      <c r="U413">
        <v>0.30399999999999999</v>
      </c>
      <c r="V413">
        <f t="shared" si="16"/>
        <v>0.33700000000000002</v>
      </c>
    </row>
    <row r="414" spans="1:22" x14ac:dyDescent="0.3">
      <c r="A414" t="s">
        <v>7</v>
      </c>
      <c r="B414">
        <v>2014</v>
      </c>
      <c r="C414">
        <v>230.4</v>
      </c>
      <c r="D414" s="12">
        <v>2014.5833333333333</v>
      </c>
      <c r="I414" s="13">
        <f t="shared" si="15"/>
        <v>-0.88636798809951467</v>
      </c>
      <c r="O414" s="12">
        <f>STANDARDIZE(C414,L$18,M$18)</f>
        <v>-1.1517768040152991</v>
      </c>
      <c r="P414" s="12">
        <v>2014.5833333333333</v>
      </c>
      <c r="R414">
        <v>-0.10299999999999999</v>
      </c>
      <c r="S414">
        <v>8.8999999999999996E-2</v>
      </c>
      <c r="T414">
        <v>1.081</v>
      </c>
      <c r="U414">
        <v>0.29299999999999998</v>
      </c>
      <c r="V414">
        <f t="shared" si="16"/>
        <v>0.33999999999999997</v>
      </c>
    </row>
    <row r="415" spans="1:22" x14ac:dyDescent="0.3">
      <c r="A415" t="s">
        <v>8</v>
      </c>
      <c r="B415">
        <v>2014</v>
      </c>
      <c r="C415">
        <v>313.2</v>
      </c>
      <c r="D415" s="12">
        <v>2014.6666666666665</v>
      </c>
      <c r="I415" s="13">
        <f t="shared" si="15"/>
        <v>-0.33010484782098887</v>
      </c>
      <c r="O415" s="12">
        <f>STANDARDIZE(C415,L$19,M$19)</f>
        <v>-0.5791927216277456</v>
      </c>
      <c r="P415" s="12">
        <v>2014.6666666666665</v>
      </c>
      <c r="R415">
        <v>-0.76500000000000001</v>
      </c>
      <c r="S415">
        <v>0.107</v>
      </c>
      <c r="T415">
        <v>1.859</v>
      </c>
      <c r="U415">
        <v>-0.126</v>
      </c>
      <c r="V415">
        <f t="shared" si="16"/>
        <v>0.26875000000000004</v>
      </c>
    </row>
    <row r="416" spans="1:22" x14ac:dyDescent="0.3">
      <c r="A416" t="s">
        <v>9</v>
      </c>
      <c r="B416">
        <v>2014</v>
      </c>
      <c r="C416">
        <v>411.8</v>
      </c>
      <c r="D416" s="12">
        <v>2014.75</v>
      </c>
      <c r="I416" s="13">
        <f t="shared" si="15"/>
        <v>0.3323051235734879</v>
      </c>
      <c r="O416" s="12">
        <f>STANDARDIZE(C416,L$20,M$20)</f>
        <v>-0.14708904742494847</v>
      </c>
      <c r="P416" s="12">
        <v>2014.75</v>
      </c>
      <c r="R416">
        <v>-1.3819999999999999</v>
      </c>
      <c r="S416">
        <v>3.1E-2</v>
      </c>
      <c r="T416">
        <v>1.5660000000000001</v>
      </c>
      <c r="U416">
        <v>-0.24399999999999999</v>
      </c>
      <c r="V416">
        <f t="shared" si="16"/>
        <v>-7.2499999999999787E-3</v>
      </c>
    </row>
    <row r="417" spans="1:22" x14ac:dyDescent="0.3">
      <c r="A417" t="s">
        <v>10</v>
      </c>
      <c r="B417">
        <v>2014</v>
      </c>
      <c r="C417">
        <v>496.8</v>
      </c>
      <c r="D417" s="12">
        <v>2014.8333333333333</v>
      </c>
      <c r="I417" s="13">
        <f t="shared" si="15"/>
        <v>0.90334820236182978</v>
      </c>
      <c r="O417" s="12">
        <f>STANDARDIZE(C417,L$21,M$21)</f>
        <v>0.14590615990842115</v>
      </c>
      <c r="P417" s="12">
        <v>2014.8333333333333</v>
      </c>
      <c r="R417">
        <v>-0.88700000000000001</v>
      </c>
      <c r="S417">
        <v>-0.25</v>
      </c>
      <c r="T417">
        <v>1.405</v>
      </c>
      <c r="U417">
        <v>-8.7999999999999995E-2</v>
      </c>
      <c r="V417">
        <f t="shared" si="16"/>
        <v>4.5000000000000005E-2</v>
      </c>
    </row>
    <row r="418" spans="1:22" x14ac:dyDescent="0.3">
      <c r="A418" t="s">
        <v>11</v>
      </c>
      <c r="B418">
        <v>2014</v>
      </c>
      <c r="C418">
        <v>523.29999999999995</v>
      </c>
      <c r="D418" s="12">
        <v>2014.9166666666665</v>
      </c>
      <c r="I418" s="13">
        <f t="shared" si="15"/>
        <v>1.0813792798664301</v>
      </c>
      <c r="O418" s="12">
        <f>STANDARDIZE(C418,L$22,M$22)</f>
        <v>0.26593564494035615</v>
      </c>
      <c r="P418" s="12">
        <v>2014.9166666666665</v>
      </c>
      <c r="R418">
        <v>0.63100000000000001</v>
      </c>
      <c r="S418">
        <v>-0.35599999999999998</v>
      </c>
      <c r="T418">
        <v>1.151</v>
      </c>
      <c r="U418">
        <v>-0.10100000000000001</v>
      </c>
      <c r="V418">
        <f t="shared" si="16"/>
        <v>0.33125000000000004</v>
      </c>
    </row>
    <row r="419" spans="1:22" x14ac:dyDescent="0.3">
      <c r="A419" t="s">
        <v>0</v>
      </c>
      <c r="B419">
        <v>2015</v>
      </c>
      <c r="C419">
        <v>295.3</v>
      </c>
      <c r="D419" s="12">
        <v>2015</v>
      </c>
      <c r="I419" s="13">
        <f t="shared" si="15"/>
        <v>-0.45035980205994541</v>
      </c>
      <c r="O419" s="12">
        <f>STANDARDIZE(C419,L$11,M$11)</f>
        <v>-0.53909180017603409</v>
      </c>
      <c r="P419" s="12">
        <v>2015</v>
      </c>
      <c r="S419">
        <v>0.33600000000000002</v>
      </c>
      <c r="T419">
        <v>0.89200000000000002</v>
      </c>
      <c r="U419">
        <v>0.876</v>
      </c>
      <c r="V419">
        <f t="shared" si="16"/>
        <v>0.70133333333333336</v>
      </c>
    </row>
    <row r="420" spans="1:22" x14ac:dyDescent="0.3">
      <c r="A420" t="s">
        <v>1</v>
      </c>
      <c r="B420">
        <v>2015</v>
      </c>
      <c r="C420">
        <v>220.7</v>
      </c>
      <c r="D420" s="12">
        <v>2015.0833333333333</v>
      </c>
      <c r="I420" s="13">
        <f t="shared" si="15"/>
        <v>-0.95153408062006684</v>
      </c>
      <c r="O420" s="12">
        <f>STANDARDIZE(C420,L$12,M$12)</f>
        <v>-0.18095641780032129</v>
      </c>
      <c r="P420" s="12">
        <v>2015.0833333333333</v>
      </c>
      <c r="S420">
        <v>0.39600000000000002</v>
      </c>
      <c r="T420">
        <v>0.61299999999999999</v>
      </c>
      <c r="U420">
        <v>1.1919999999999999</v>
      </c>
      <c r="V420">
        <f t="shared" si="16"/>
        <v>0.73366666666666658</v>
      </c>
    </row>
    <row r="421" spans="1:22" x14ac:dyDescent="0.3">
      <c r="A421" t="s">
        <v>2</v>
      </c>
      <c r="B421">
        <v>2015</v>
      </c>
      <c r="C421">
        <v>185.7</v>
      </c>
      <c r="D421" s="12">
        <v>2015.1666666666665</v>
      </c>
      <c r="I421" s="13">
        <f t="shared" si="15"/>
        <v>-1.1866694660035018</v>
      </c>
      <c r="O421" s="12">
        <f>STANDARDIZE(C421,L$13,M$13)</f>
        <v>-0.16896869116954097</v>
      </c>
      <c r="P421" s="12">
        <v>2015.1666666666665</v>
      </c>
      <c r="S421">
        <v>0.67800000000000005</v>
      </c>
      <c r="T421">
        <v>0.28399999999999997</v>
      </c>
      <c r="U421">
        <v>1.415</v>
      </c>
      <c r="V421">
        <f t="shared" si="16"/>
        <v>0.79233333333333322</v>
      </c>
    </row>
    <row r="422" spans="1:22" x14ac:dyDescent="0.3">
      <c r="A422" t="s">
        <v>3</v>
      </c>
      <c r="B422">
        <v>2015</v>
      </c>
      <c r="C422">
        <v>255.8</v>
      </c>
      <c r="D422" s="12">
        <v>2015.25</v>
      </c>
      <c r="I422" s="13">
        <f t="shared" si="15"/>
        <v>-0.71572687984982197</v>
      </c>
      <c r="O422" s="12">
        <f>STANDARDIZE(C422,L$14,M$14)</f>
        <v>0.18876419768821021</v>
      </c>
      <c r="P422" s="12">
        <v>2015.25</v>
      </c>
      <c r="S422">
        <v>0.66500000000000004</v>
      </c>
      <c r="T422">
        <v>4.8000000000000001E-2</v>
      </c>
      <c r="U422">
        <v>1.2470000000000001</v>
      </c>
      <c r="V422">
        <f t="shared" si="16"/>
        <v>0.65333333333333343</v>
      </c>
    </row>
    <row r="423" spans="1:22" x14ac:dyDescent="0.3">
      <c r="A423" t="s">
        <v>4</v>
      </c>
      <c r="B423">
        <v>2015</v>
      </c>
      <c r="C423">
        <v>283.8</v>
      </c>
      <c r="D423" s="12">
        <v>2015.3333333333333</v>
      </c>
      <c r="I423" s="13">
        <f t="shared" si="15"/>
        <v>-0.52761857154307401</v>
      </c>
      <c r="O423" s="12">
        <f>STANDARDIZE(C423,L$15,M$15)</f>
        <v>-0.40178906848718271</v>
      </c>
      <c r="P423" s="12">
        <v>2015.3333333333333</v>
      </c>
      <c r="S423">
        <v>0.61399999999999999</v>
      </c>
      <c r="T423">
        <v>0.36499999999999999</v>
      </c>
      <c r="U423">
        <v>1.0389999999999999</v>
      </c>
      <c r="V423">
        <f t="shared" si="16"/>
        <v>0.67266666666666663</v>
      </c>
    </row>
    <row r="424" spans="1:22" x14ac:dyDescent="0.3">
      <c r="A424" t="s">
        <v>5</v>
      </c>
      <c r="B424">
        <v>2015</v>
      </c>
      <c r="C424">
        <v>328.8</v>
      </c>
      <c r="D424" s="12">
        <v>2015.4166666666665</v>
      </c>
      <c r="I424" s="13">
        <f t="shared" si="15"/>
        <v>-0.22530164747865772</v>
      </c>
      <c r="O424" s="12">
        <f>STANDARDIZE(C424,L$16,M$16)</f>
        <v>-0.58746304819790973</v>
      </c>
      <c r="P424" s="12">
        <v>2015.4166666666665</v>
      </c>
      <c r="S424">
        <v>0.627</v>
      </c>
      <c r="T424">
        <v>0.23100000000000001</v>
      </c>
      <c r="U424">
        <v>-0.218</v>
      </c>
      <c r="V424">
        <f t="shared" si="16"/>
        <v>0.21333333333333335</v>
      </c>
    </row>
    <row r="425" spans="1:22" x14ac:dyDescent="0.3">
      <c r="A425" t="s">
        <v>6</v>
      </c>
      <c r="B425">
        <v>2015</v>
      </c>
      <c r="C425">
        <v>240.5</v>
      </c>
      <c r="D425" s="12">
        <v>2015.5</v>
      </c>
      <c r="I425" s="13">
        <f t="shared" si="15"/>
        <v>-0.81851463403172353</v>
      </c>
      <c r="O425" s="12">
        <f>STANDARDIZE(C425,L$17,M$17)</f>
        <v>-1.2532204122353272</v>
      </c>
      <c r="P425" s="12">
        <v>2015.5</v>
      </c>
      <c r="S425">
        <v>0.755</v>
      </c>
      <c r="T425">
        <v>0.52900000000000003</v>
      </c>
      <c r="U425">
        <v>3.7999999999999999E-2</v>
      </c>
      <c r="V425">
        <f t="shared" si="16"/>
        <v>0.44066666666666671</v>
      </c>
    </row>
    <row r="426" spans="1:22" x14ac:dyDescent="0.3">
      <c r="A426" t="s">
        <v>7</v>
      </c>
      <c r="B426">
        <v>2015</v>
      </c>
      <c r="C426">
        <v>233.5</v>
      </c>
      <c r="D426" s="12">
        <v>2015.5833333333333</v>
      </c>
      <c r="I426" s="13">
        <f t="shared" si="15"/>
        <v>-0.86554171110841049</v>
      </c>
      <c r="O426" s="12">
        <f>STANDARDIZE(C426,L$18,M$18)</f>
        <v>-1.1279156955747554</v>
      </c>
      <c r="P426" s="12">
        <v>2015.5833333333333</v>
      </c>
      <c r="S426">
        <v>0.70799999999999996</v>
      </c>
      <c r="T426">
        <v>0.86499999999999999</v>
      </c>
      <c r="U426">
        <v>0.54600000000000004</v>
      </c>
      <c r="V426">
        <f t="shared" si="16"/>
        <v>0.70633333333333326</v>
      </c>
    </row>
    <row r="427" spans="1:22" x14ac:dyDescent="0.3">
      <c r="A427" t="s">
        <v>8</v>
      </c>
      <c r="B427">
        <v>2015</v>
      </c>
      <c r="C427">
        <v>242.4</v>
      </c>
      <c r="D427" s="12">
        <v>2015.6666666666665</v>
      </c>
      <c r="I427" s="13">
        <f t="shared" si="15"/>
        <v>-0.80575014168233705</v>
      </c>
      <c r="O427" s="12">
        <f>STANDARDIZE(C427,L$19,M$19)</f>
        <v>-1.1243722263734541</v>
      </c>
      <c r="P427" s="12">
        <v>2015.6666666666665</v>
      </c>
      <c r="S427">
        <v>0.83</v>
      </c>
      <c r="T427">
        <v>1.075</v>
      </c>
      <c r="U427">
        <v>0.75600000000000001</v>
      </c>
      <c r="V427">
        <f t="shared" si="16"/>
        <v>0.8869999999999999</v>
      </c>
    </row>
    <row r="428" spans="1:22" x14ac:dyDescent="0.3">
      <c r="A428" t="s">
        <v>9</v>
      </c>
      <c r="B428">
        <v>2015</v>
      </c>
      <c r="C428">
        <v>236.6</v>
      </c>
      <c r="D428" s="12">
        <v>2015.75</v>
      </c>
      <c r="I428" s="13">
        <f t="shared" si="15"/>
        <v>-0.84471543411730632</v>
      </c>
      <c r="O428" s="12">
        <f>STANDARDIZE(C428,L$20,M$20)</f>
        <v>-1.5920586706383197</v>
      </c>
      <c r="P428" s="12">
        <v>2015.75</v>
      </c>
      <c r="S428">
        <v>0.81200000000000006</v>
      </c>
      <c r="T428">
        <v>1.2190000000000001</v>
      </c>
      <c r="U428">
        <v>0.75800000000000001</v>
      </c>
      <c r="V428">
        <f t="shared" si="16"/>
        <v>0.92966666666666675</v>
      </c>
    </row>
    <row r="429" spans="1:22" x14ac:dyDescent="0.3">
      <c r="A429" t="s">
        <v>10</v>
      </c>
      <c r="B429">
        <v>2015</v>
      </c>
      <c r="C429">
        <v>327.5</v>
      </c>
      <c r="D429" s="12">
        <v>2015.8333333333333</v>
      </c>
      <c r="I429" s="13">
        <f t="shared" si="15"/>
        <v>-0.23403524750718538</v>
      </c>
      <c r="O429" s="12">
        <f>STANDARDIZE(C429,L$21,M$21)</f>
        <v>-1.3332502995224502</v>
      </c>
      <c r="P429" s="12">
        <v>2015.8333333333333</v>
      </c>
      <c r="S429">
        <v>0.65200000000000002</v>
      </c>
      <c r="T429">
        <v>1.1279999999999999</v>
      </c>
      <c r="U429">
        <v>0.91600000000000004</v>
      </c>
      <c r="V429">
        <f t="shared" si="16"/>
        <v>0.89866666666666661</v>
      </c>
    </row>
    <row r="430" spans="1:22" x14ac:dyDescent="0.3">
      <c r="A430" t="s">
        <v>11</v>
      </c>
      <c r="B430">
        <v>2015</v>
      </c>
      <c r="C430">
        <v>266.3</v>
      </c>
      <c r="D430" s="12">
        <v>2015.9166666666665</v>
      </c>
      <c r="I430" s="13">
        <f t="shared" si="15"/>
        <v>-0.64518626423479142</v>
      </c>
      <c r="O430" s="12">
        <f>STANDARDIZE(C430,L$22,M$22)</f>
        <v>-1.6093317792039754</v>
      </c>
      <c r="P430" s="12">
        <v>2015.9166666666665</v>
      </c>
      <c r="S430">
        <v>-0.35299999999999998</v>
      </c>
      <c r="T430">
        <v>1.1890000000000001</v>
      </c>
      <c r="U430">
        <v>9.4E-2</v>
      </c>
      <c r="V430">
        <f t="shared" si="16"/>
        <v>0.31</v>
      </c>
    </row>
    <row r="431" spans="1:22" x14ac:dyDescent="0.3">
      <c r="O431" s="12"/>
      <c r="S431">
        <v>-1.119</v>
      </c>
      <c r="T431">
        <v>0.81699999999999995</v>
      </c>
      <c r="U431">
        <v>-0.107</v>
      </c>
      <c r="V431">
        <f t="shared" si="16"/>
        <v>-0.13633333333333333</v>
      </c>
    </row>
    <row r="432" spans="1:22" x14ac:dyDescent="0.3">
      <c r="O432" s="12"/>
      <c r="S432">
        <v>-0.90100000000000002</v>
      </c>
      <c r="T432">
        <v>0.73699999999999999</v>
      </c>
      <c r="U432">
        <v>-0.28399999999999997</v>
      </c>
      <c r="V432">
        <f t="shared" si="16"/>
        <v>-0.14933333333333335</v>
      </c>
    </row>
    <row r="433" spans="15:22" x14ac:dyDescent="0.3">
      <c r="O433" s="12"/>
      <c r="S433">
        <v>-0.88900000000000001</v>
      </c>
      <c r="T433">
        <v>0.84899999999999998</v>
      </c>
      <c r="U433">
        <v>-0.49399999999999999</v>
      </c>
      <c r="V433">
        <f t="shared" si="16"/>
        <v>-0.17800000000000002</v>
      </c>
    </row>
    <row r="434" spans="15:22" x14ac:dyDescent="0.3">
      <c r="O434" s="12"/>
      <c r="S434">
        <v>-0.79800000000000004</v>
      </c>
      <c r="T434">
        <v>0.84699999999999998</v>
      </c>
      <c r="U434">
        <v>-0.30399999999999999</v>
      </c>
      <c r="V434">
        <f t="shared" si="16"/>
        <v>-8.500000000000002E-2</v>
      </c>
    </row>
    <row r="435" spans="15:22" x14ac:dyDescent="0.3">
      <c r="O435" s="12"/>
      <c r="S435">
        <v>-0.55100000000000005</v>
      </c>
      <c r="T435">
        <v>0.48499999999999999</v>
      </c>
      <c r="U435">
        <v>0.14699999999999999</v>
      </c>
      <c r="V435">
        <f t="shared" si="16"/>
        <v>2.6999999999999979E-2</v>
      </c>
    </row>
    <row r="436" spans="15:22" x14ac:dyDescent="0.3">
      <c r="O436" s="12"/>
      <c r="S436">
        <v>-0.182</v>
      </c>
      <c r="T436">
        <v>9.9000000000000005E-2</v>
      </c>
      <c r="U436">
        <v>-0.26</v>
      </c>
      <c r="V436">
        <f t="shared" si="16"/>
        <v>-0.11433333333333333</v>
      </c>
    </row>
    <row r="437" spans="15:22" x14ac:dyDescent="0.3">
      <c r="O437" s="12"/>
      <c r="S437">
        <v>0.33100000000000002</v>
      </c>
      <c r="T437">
        <v>-0.30499999999999999</v>
      </c>
      <c r="U437">
        <v>-5.5E-2</v>
      </c>
      <c r="V437">
        <f t="shared" si="16"/>
        <v>-9.6666666666666585E-3</v>
      </c>
    </row>
    <row r="438" spans="15:22" x14ac:dyDescent="0.3">
      <c r="O438" s="12"/>
      <c r="S438">
        <v>0.48099999999999998</v>
      </c>
      <c r="T438">
        <v>-0.189</v>
      </c>
      <c r="U438">
        <v>0.23899999999999999</v>
      </c>
      <c r="V438">
        <f t="shared" si="16"/>
        <v>0.17699999999999996</v>
      </c>
    </row>
    <row r="439" spans="15:22" x14ac:dyDescent="0.3">
      <c r="O439" s="12"/>
      <c r="S439">
        <v>0.36099999999999999</v>
      </c>
      <c r="T439">
        <v>7.0000000000000007E-2</v>
      </c>
      <c r="U439">
        <v>0.54400000000000004</v>
      </c>
      <c r="V439">
        <f t="shared" si="16"/>
        <v>0.32500000000000001</v>
      </c>
    </row>
    <row r="440" spans="15:22" x14ac:dyDescent="0.3">
      <c r="O440" s="12"/>
      <c r="S440">
        <v>-0.10299999999999999</v>
      </c>
      <c r="T440">
        <v>-0.128</v>
      </c>
      <c r="U440">
        <v>0.80300000000000005</v>
      </c>
      <c r="V440">
        <f t="shared" si="16"/>
        <v>0.19066666666666668</v>
      </c>
    </row>
    <row r="441" spans="15:22" x14ac:dyDescent="0.3">
      <c r="O441" s="12"/>
      <c r="S441">
        <v>7.5999999999999998E-2</v>
      </c>
      <c r="T441">
        <v>-0.246</v>
      </c>
      <c r="U441">
        <v>0.59399999999999997</v>
      </c>
      <c r="V441">
        <f t="shared" si="16"/>
        <v>0.14133333333333334</v>
      </c>
    </row>
    <row r="442" spans="15:22" x14ac:dyDescent="0.3">
      <c r="O442" s="12"/>
      <c r="S442">
        <v>0.25700000000000001</v>
      </c>
      <c r="T442">
        <v>0.629</v>
      </c>
      <c r="U442">
        <v>0.751</v>
      </c>
      <c r="V442">
        <f t="shared" si="16"/>
        <v>0.54566666666666663</v>
      </c>
    </row>
    <row r="443" spans="15:22" x14ac:dyDescent="0.3">
      <c r="S443">
        <v>0.58599999999999997</v>
      </c>
      <c r="T443">
        <v>1.155</v>
      </c>
      <c r="U443">
        <v>0.75700000000000001</v>
      </c>
      <c r="V443">
        <f t="shared" si="16"/>
        <v>0.83266666666666678</v>
      </c>
    </row>
    <row r="444" spans="15:22" x14ac:dyDescent="0.3">
      <c r="S444">
        <v>0.79900000000000004</v>
      </c>
      <c r="T444">
        <v>1.546</v>
      </c>
      <c r="U444">
        <v>0.22500000000000001</v>
      </c>
      <c r="V444">
        <f t="shared" si="16"/>
        <v>0.8566666666666668</v>
      </c>
    </row>
    <row r="445" spans="15:22" x14ac:dyDescent="0.3">
      <c r="S445">
        <v>0.70199999999999996</v>
      </c>
      <c r="T445">
        <v>1.704</v>
      </c>
      <c r="U445">
        <v>-0.40200000000000002</v>
      </c>
      <c r="V445">
        <f t="shared" si="16"/>
        <v>0.66799999999999982</v>
      </c>
    </row>
    <row r="446" spans="15:22" x14ac:dyDescent="0.3">
      <c r="S446">
        <v>0.44500000000000001</v>
      </c>
      <c r="T446">
        <v>1.5629999999999999</v>
      </c>
      <c r="U446">
        <v>0.115</v>
      </c>
      <c r="V446">
        <f t="shared" si="16"/>
        <v>0.70766666666666678</v>
      </c>
    </row>
    <row r="447" spans="15:22" x14ac:dyDescent="0.3">
      <c r="S447">
        <v>0.37</v>
      </c>
      <c r="T447">
        <v>0.99399999999999999</v>
      </c>
      <c r="U447">
        <v>0.69099999999999995</v>
      </c>
      <c r="V447">
        <f t="shared" si="16"/>
        <v>0.68499999999999994</v>
      </c>
    </row>
    <row r="448" spans="15:22" x14ac:dyDescent="0.3">
      <c r="S448">
        <v>0.28100000000000003</v>
      </c>
      <c r="T448">
        <v>0.78</v>
      </c>
      <c r="U448">
        <v>2.1859999999999999</v>
      </c>
      <c r="V448">
        <f t="shared" si="16"/>
        <v>1.0823333333333334</v>
      </c>
    </row>
    <row r="449" spans="19:22" x14ac:dyDescent="0.3">
      <c r="S449">
        <v>0.10199999999999999</v>
      </c>
      <c r="T449">
        <v>0.64300000000000002</v>
      </c>
      <c r="U449">
        <v>3.1429999999999998</v>
      </c>
      <c r="V449">
        <f t="shared" si="16"/>
        <v>1.296</v>
      </c>
    </row>
    <row r="450" spans="19:22" x14ac:dyDescent="0.3">
      <c r="S450">
        <v>0.36199999999999999</v>
      </c>
      <c r="T450">
        <v>0.48099999999999998</v>
      </c>
      <c r="U450">
        <v>3.5920000000000001</v>
      </c>
      <c r="V450">
        <f t="shared" si="16"/>
        <v>1.4783333333333335</v>
      </c>
    </row>
    <row r="451" spans="19:22" x14ac:dyDescent="0.3">
      <c r="S451">
        <v>0.70599999999999996</v>
      </c>
      <c r="T451">
        <v>0.49199999999999999</v>
      </c>
      <c r="U451">
        <v>3.4990000000000001</v>
      </c>
      <c r="V451">
        <f t="shared" si="16"/>
        <v>1.5656666666666668</v>
      </c>
    </row>
    <row r="452" spans="19:22" x14ac:dyDescent="0.3">
      <c r="S452">
        <v>0.81100000000000005</v>
      </c>
      <c r="T452">
        <v>0.38300000000000001</v>
      </c>
      <c r="U452">
        <v>3.0230000000000001</v>
      </c>
      <c r="V452">
        <f t="shared" si="16"/>
        <v>1.4056666666666668</v>
      </c>
    </row>
    <row r="453" spans="19:22" x14ac:dyDescent="0.3">
      <c r="S453">
        <v>0.71799999999999997</v>
      </c>
      <c r="T453">
        <v>0.22500000000000001</v>
      </c>
      <c r="U453">
        <v>2.8260000000000001</v>
      </c>
      <c r="V453">
        <f t="shared" si="16"/>
        <v>1.2563333333333333</v>
      </c>
    </row>
    <row r="454" spans="19:22" x14ac:dyDescent="0.3">
      <c r="S454">
        <v>0.44900000000000001</v>
      </c>
      <c r="T454">
        <v>0.97099999999999997</v>
      </c>
      <c r="U454">
        <v>0.98899999999999999</v>
      </c>
      <c r="V454">
        <f t="shared" si="16"/>
        <v>0.80299999999999994</v>
      </c>
    </row>
    <row r="455" spans="19:22" x14ac:dyDescent="0.3">
      <c r="S455">
        <v>-0.69899999999999995</v>
      </c>
      <c r="T455">
        <v>0.98499999999999999</v>
      </c>
      <c r="U455">
        <v>0.625</v>
      </c>
      <c r="V455">
        <f t="shared" si="16"/>
        <v>0.3036666666666667</v>
      </c>
    </row>
    <row r="456" spans="19:22" x14ac:dyDescent="0.3">
      <c r="S456">
        <v>-0.65900000000000003</v>
      </c>
      <c r="T456">
        <v>0.76500000000000001</v>
      </c>
      <c r="U456">
        <v>0.65500000000000003</v>
      </c>
      <c r="V456">
        <f t="shared" si="16"/>
        <v>0.25366666666666665</v>
      </c>
    </row>
    <row r="457" spans="19:22" x14ac:dyDescent="0.3">
      <c r="S457">
        <v>-0.313</v>
      </c>
      <c r="T457">
        <v>0.47199999999999998</v>
      </c>
      <c r="U457">
        <v>0.80200000000000005</v>
      </c>
      <c r="V457">
        <f t="shared" si="16"/>
        <v>0.32033333333333336</v>
      </c>
    </row>
    <row r="458" spans="19:22" x14ac:dyDescent="0.3">
      <c r="S458">
        <v>0.32</v>
      </c>
      <c r="T458">
        <v>0.14499999999999999</v>
      </c>
      <c r="U458">
        <v>0.751</v>
      </c>
      <c r="V458">
        <f t="shared" si="16"/>
        <v>0.40533333333333332</v>
      </c>
    </row>
    <row r="459" spans="19:22" x14ac:dyDescent="0.3">
      <c r="S459">
        <v>0.749</v>
      </c>
      <c r="T459">
        <v>0.20200000000000001</v>
      </c>
      <c r="U459">
        <v>0.998</v>
      </c>
      <c r="V459">
        <f t="shared" si="16"/>
        <v>0.64966666666666673</v>
      </c>
    </row>
    <row r="460" spans="19:22" x14ac:dyDescent="0.3">
      <c r="S460">
        <v>1.2989999999999999</v>
      </c>
      <c r="T460">
        <v>1.4E-2</v>
      </c>
      <c r="U460">
        <v>0.995</v>
      </c>
      <c r="V460">
        <f t="shared" ref="V460:V523" si="17">AVERAGE(R460:U460)</f>
        <v>0.76933333333333331</v>
      </c>
    </row>
    <row r="461" spans="19:22" x14ac:dyDescent="0.3">
      <c r="S461">
        <v>1.4450000000000001</v>
      </c>
      <c r="T461">
        <v>0.222</v>
      </c>
      <c r="U461">
        <v>1.2370000000000001</v>
      </c>
      <c r="V461">
        <f t="shared" si="17"/>
        <v>0.96799999999999997</v>
      </c>
    </row>
    <row r="462" spans="19:22" x14ac:dyDescent="0.3">
      <c r="S462">
        <v>0.96799999999999997</v>
      </c>
      <c r="T462">
        <v>0.32100000000000001</v>
      </c>
      <c r="U462">
        <v>1.395</v>
      </c>
      <c r="V462">
        <f t="shared" si="17"/>
        <v>0.89466666666666672</v>
      </c>
    </row>
    <row r="463" spans="19:22" x14ac:dyDescent="0.3">
      <c r="S463">
        <v>0.77900000000000003</v>
      </c>
      <c r="T463">
        <v>0.51600000000000001</v>
      </c>
      <c r="U463">
        <v>1.522</v>
      </c>
      <c r="V463">
        <f t="shared" si="17"/>
        <v>0.93900000000000006</v>
      </c>
    </row>
    <row r="464" spans="19:22" x14ac:dyDescent="0.3">
      <c r="S464">
        <v>0.73199999999999998</v>
      </c>
      <c r="T464">
        <v>0.39200000000000002</v>
      </c>
      <c r="U464">
        <v>1.587</v>
      </c>
      <c r="V464">
        <f t="shared" si="17"/>
        <v>0.90366666666666673</v>
      </c>
    </row>
    <row r="465" spans="19:22" x14ac:dyDescent="0.3">
      <c r="S465">
        <v>0.52700000000000002</v>
      </c>
      <c r="T465">
        <v>3.5000000000000003E-2</v>
      </c>
      <c r="U465">
        <v>1.4279999999999999</v>
      </c>
      <c r="V465">
        <f t="shared" si="17"/>
        <v>0.66333333333333333</v>
      </c>
    </row>
    <row r="466" spans="19:22" x14ac:dyDescent="0.3">
      <c r="S466">
        <v>-0.23699999999999999</v>
      </c>
      <c r="T466">
        <v>-0.504</v>
      </c>
      <c r="U466">
        <v>0.45300000000000001</v>
      </c>
      <c r="V466">
        <f t="shared" si="17"/>
        <v>-9.5999999999999988E-2</v>
      </c>
    </row>
    <row r="467" spans="19:22" x14ac:dyDescent="0.3">
      <c r="S467">
        <v>-0.64100000000000001</v>
      </c>
      <c r="T467">
        <v>-0.85099999999999998</v>
      </c>
      <c r="U467">
        <v>0.32200000000000001</v>
      </c>
      <c r="V467">
        <f t="shared" si="17"/>
        <v>-0.38999999999999996</v>
      </c>
    </row>
    <row r="468" spans="19:22" x14ac:dyDescent="0.3">
      <c r="S468">
        <v>-0.53500000000000003</v>
      </c>
      <c r="T468">
        <v>-0.94</v>
      </c>
      <c r="U468">
        <v>0.34899999999999998</v>
      </c>
      <c r="V468">
        <f t="shared" si="17"/>
        <v>-0.37533333333333335</v>
      </c>
    </row>
    <row r="469" spans="19:22" x14ac:dyDescent="0.3">
      <c r="S469">
        <v>-0.36699999999999999</v>
      </c>
      <c r="T469">
        <v>-0.75900000000000001</v>
      </c>
      <c r="U469">
        <v>0.26500000000000001</v>
      </c>
      <c r="V469">
        <f t="shared" si="17"/>
        <v>-0.28699999999999998</v>
      </c>
    </row>
    <row r="470" spans="19:22" x14ac:dyDescent="0.3">
      <c r="S470">
        <v>-7.1999999999999995E-2</v>
      </c>
      <c r="T470">
        <v>0.51100000000000001</v>
      </c>
      <c r="U470">
        <v>0.36199999999999999</v>
      </c>
      <c r="V470">
        <f t="shared" si="17"/>
        <v>0.26699999999999996</v>
      </c>
    </row>
    <row r="471" spans="19:22" x14ac:dyDescent="0.3">
      <c r="S471">
        <v>0.32400000000000001</v>
      </c>
      <c r="T471">
        <v>0.89300000000000002</v>
      </c>
      <c r="U471">
        <v>1.0389999999999999</v>
      </c>
      <c r="V471">
        <f t="shared" si="17"/>
        <v>0.75200000000000011</v>
      </c>
    </row>
    <row r="472" spans="19:22" x14ac:dyDescent="0.3">
      <c r="S472">
        <v>0.57599999999999996</v>
      </c>
      <c r="T472">
        <v>1.6639999999999999</v>
      </c>
      <c r="U472">
        <v>1.8380000000000001</v>
      </c>
      <c r="V472">
        <f t="shared" si="17"/>
        <v>1.3593333333333331</v>
      </c>
    </row>
    <row r="473" spans="19:22" x14ac:dyDescent="0.3">
      <c r="S473">
        <v>0.71899999999999997</v>
      </c>
      <c r="T473">
        <v>1.823</v>
      </c>
      <c r="U473">
        <v>2.0779999999999998</v>
      </c>
      <c r="V473">
        <f t="shared" si="17"/>
        <v>1.5399999999999998</v>
      </c>
    </row>
    <row r="474" spans="19:22" x14ac:dyDescent="0.3">
      <c r="S474">
        <v>0.67900000000000005</v>
      </c>
      <c r="T474">
        <v>1.8360000000000001</v>
      </c>
      <c r="U474">
        <v>1.7769999999999999</v>
      </c>
      <c r="V474">
        <f t="shared" si="17"/>
        <v>1.4306666666666665</v>
      </c>
    </row>
    <row r="475" spans="19:22" x14ac:dyDescent="0.3">
      <c r="S475">
        <v>0.61699999999999999</v>
      </c>
      <c r="T475">
        <v>1.5109999999999999</v>
      </c>
      <c r="U475">
        <v>1.403</v>
      </c>
      <c r="V475">
        <f t="shared" si="17"/>
        <v>1.177</v>
      </c>
    </row>
    <row r="476" spans="19:22" x14ac:dyDescent="0.3">
      <c r="S476">
        <v>0.69099999999999995</v>
      </c>
      <c r="T476">
        <v>0.996</v>
      </c>
      <c r="U476">
        <v>1.748</v>
      </c>
      <c r="V476">
        <f t="shared" si="17"/>
        <v>1.1449999999999998</v>
      </c>
    </row>
    <row r="477" spans="19:22" x14ac:dyDescent="0.3">
      <c r="S477">
        <v>0.42199999999999999</v>
      </c>
      <c r="T477">
        <v>0.97</v>
      </c>
      <c r="U477">
        <v>1.4259999999999999</v>
      </c>
      <c r="V477">
        <f t="shared" si="17"/>
        <v>0.93933333333333324</v>
      </c>
    </row>
    <row r="478" spans="19:22" x14ac:dyDescent="0.3">
      <c r="S478">
        <v>-0.63800000000000001</v>
      </c>
      <c r="T478">
        <v>1.7170000000000001</v>
      </c>
      <c r="U478">
        <v>1.1850000000000001</v>
      </c>
      <c r="V478">
        <f t="shared" si="17"/>
        <v>0.75466666666666671</v>
      </c>
    </row>
    <row r="479" spans="19:22" x14ac:dyDescent="0.3">
      <c r="S479">
        <v>-0.47</v>
      </c>
      <c r="T479">
        <v>1.536</v>
      </c>
      <c r="U479">
        <v>1.7</v>
      </c>
      <c r="V479">
        <f t="shared" si="17"/>
        <v>0.92200000000000004</v>
      </c>
    </row>
    <row r="480" spans="19:22" x14ac:dyDescent="0.3">
      <c r="S480">
        <v>-0.36299999999999999</v>
      </c>
      <c r="T480">
        <v>1.554</v>
      </c>
      <c r="U480">
        <v>1.7230000000000001</v>
      </c>
      <c r="V480">
        <f t="shared" si="17"/>
        <v>0.97133333333333338</v>
      </c>
    </row>
    <row r="481" spans="19:22" x14ac:dyDescent="0.3">
      <c r="S481">
        <v>-0.48299999999999998</v>
      </c>
      <c r="T481">
        <v>1.0129999999999999</v>
      </c>
      <c r="U481">
        <v>1.2290000000000001</v>
      </c>
      <c r="V481">
        <f t="shared" si="17"/>
        <v>0.58633333333333326</v>
      </c>
    </row>
    <row r="482" spans="19:22" x14ac:dyDescent="0.3">
      <c r="S482">
        <v>-0.83699999999999997</v>
      </c>
      <c r="T482">
        <v>0.23699999999999999</v>
      </c>
      <c r="U482">
        <v>1.19</v>
      </c>
      <c r="V482">
        <f t="shared" si="17"/>
        <v>0.19666666666666666</v>
      </c>
    </row>
    <row r="483" spans="19:22" x14ac:dyDescent="0.3">
      <c r="S483">
        <v>-0.81100000000000005</v>
      </c>
      <c r="T483">
        <v>-9.0999999999999998E-2</v>
      </c>
      <c r="U483">
        <v>1.506</v>
      </c>
      <c r="V483">
        <f t="shared" si="17"/>
        <v>0.20133333333333334</v>
      </c>
    </row>
    <row r="484" spans="19:22" x14ac:dyDescent="0.3">
      <c r="S484">
        <v>-0.20300000000000001</v>
      </c>
      <c r="T484">
        <v>-0.56999999999999995</v>
      </c>
      <c r="U484">
        <v>1.7170000000000001</v>
      </c>
      <c r="V484">
        <f t="shared" si="17"/>
        <v>0.31466666666666671</v>
      </c>
    </row>
    <row r="485" spans="19:22" x14ac:dyDescent="0.3">
      <c r="S485">
        <v>0.374</v>
      </c>
      <c r="T485">
        <v>-0.91100000000000003</v>
      </c>
      <c r="U485">
        <v>1.774</v>
      </c>
      <c r="V485">
        <f t="shared" si="17"/>
        <v>0.41233333333333338</v>
      </c>
    </row>
    <row r="486" spans="19:22" x14ac:dyDescent="0.3">
      <c r="S486">
        <v>0.42599999999999999</v>
      </c>
      <c r="T486">
        <v>-0.84799999999999998</v>
      </c>
      <c r="U486">
        <v>2.0720000000000001</v>
      </c>
      <c r="V486">
        <f t="shared" si="17"/>
        <v>0.55000000000000004</v>
      </c>
    </row>
    <row r="487" spans="19:22" x14ac:dyDescent="0.3">
      <c r="S487">
        <v>0.108</v>
      </c>
      <c r="T487">
        <v>-0.753</v>
      </c>
      <c r="U487">
        <v>1.909</v>
      </c>
      <c r="V487">
        <f t="shared" si="17"/>
        <v>0.42133333333333334</v>
      </c>
    </row>
    <row r="488" spans="19:22" x14ac:dyDescent="0.3">
      <c r="S488">
        <v>0.01</v>
      </c>
      <c r="T488">
        <v>-0.69699999999999995</v>
      </c>
      <c r="U488">
        <v>1.8320000000000001</v>
      </c>
      <c r="V488">
        <f t="shared" si="17"/>
        <v>0.38166666666666665</v>
      </c>
    </row>
    <row r="489" spans="19:22" x14ac:dyDescent="0.3">
      <c r="S489">
        <v>0.20300000000000001</v>
      </c>
      <c r="T489">
        <v>-0.42099999999999999</v>
      </c>
      <c r="U489">
        <v>1.323</v>
      </c>
      <c r="V489">
        <f t="shared" si="17"/>
        <v>0.36833333333333335</v>
      </c>
    </row>
    <row r="490" spans="19:22" x14ac:dyDescent="0.3">
      <c r="S490">
        <v>1.208</v>
      </c>
      <c r="T490">
        <v>-0.82199999999999995</v>
      </c>
      <c r="U490">
        <v>0.156</v>
      </c>
      <c r="V490">
        <f t="shared" si="17"/>
        <v>0.18066666666666667</v>
      </c>
    </row>
    <row r="491" spans="19:22" x14ac:dyDescent="0.3">
      <c r="S491">
        <v>1.1930000000000001</v>
      </c>
      <c r="T491">
        <v>-1.2769999999999999</v>
      </c>
      <c r="U491">
        <v>-0.106</v>
      </c>
      <c r="V491">
        <f t="shared" si="17"/>
        <v>-6.3333333333333283E-2</v>
      </c>
    </row>
    <row r="492" spans="19:22" x14ac:dyDescent="0.3">
      <c r="S492">
        <v>1.298</v>
      </c>
      <c r="T492">
        <v>-1.022</v>
      </c>
      <c r="U492">
        <v>-0.26300000000000001</v>
      </c>
      <c r="V492">
        <f t="shared" si="17"/>
        <v>4.3333333333333375E-3</v>
      </c>
    </row>
    <row r="493" spans="19:22" x14ac:dyDescent="0.3">
      <c r="S493">
        <v>1.3819999999999999</v>
      </c>
      <c r="T493">
        <v>-0.86599999999999999</v>
      </c>
      <c r="U493">
        <v>-0.30099999999999999</v>
      </c>
      <c r="V493">
        <f t="shared" si="17"/>
        <v>7.1666666666666642E-2</v>
      </c>
    </row>
    <row r="494" spans="19:22" x14ac:dyDescent="0.3">
      <c r="S494">
        <v>0.72499999999999998</v>
      </c>
      <c r="T494">
        <v>-0.67500000000000004</v>
      </c>
      <c r="U494">
        <v>-0.43</v>
      </c>
      <c r="V494">
        <f t="shared" si="17"/>
        <v>-0.12666666666666668</v>
      </c>
    </row>
    <row r="495" spans="19:22" x14ac:dyDescent="0.3">
      <c r="S495">
        <v>0.99199999999999999</v>
      </c>
      <c r="T495">
        <v>-0.69299999999999995</v>
      </c>
      <c r="U495">
        <v>5.6000000000000001E-2</v>
      </c>
      <c r="V495">
        <f t="shared" si="17"/>
        <v>0.11833333333333335</v>
      </c>
    </row>
    <row r="496" spans="19:22" x14ac:dyDescent="0.3">
      <c r="S496">
        <v>1.4950000000000001</v>
      </c>
      <c r="T496">
        <v>-0.92100000000000004</v>
      </c>
      <c r="U496">
        <v>0.30499999999999999</v>
      </c>
      <c r="V496">
        <f t="shared" si="17"/>
        <v>0.29299999999999998</v>
      </c>
    </row>
    <row r="497" spans="19:22" x14ac:dyDescent="0.3">
      <c r="S497">
        <v>1.1539999999999999</v>
      </c>
      <c r="T497">
        <v>-1.0980000000000001</v>
      </c>
      <c r="U497">
        <v>0.44500000000000001</v>
      </c>
      <c r="V497">
        <f t="shared" si="17"/>
        <v>0.16699999999999995</v>
      </c>
    </row>
    <row r="498" spans="19:22" x14ac:dyDescent="0.3">
      <c r="S498">
        <v>1.016</v>
      </c>
      <c r="T498">
        <v>-1.4139999999999999</v>
      </c>
      <c r="U498">
        <v>0.50800000000000001</v>
      </c>
      <c r="V498">
        <f t="shared" si="17"/>
        <v>3.6666666666666702E-2</v>
      </c>
    </row>
    <row r="499" spans="19:22" x14ac:dyDescent="0.3">
      <c r="S499">
        <v>0.55500000000000005</v>
      </c>
      <c r="T499">
        <v>-1.3280000000000001</v>
      </c>
      <c r="U499">
        <v>0.55300000000000005</v>
      </c>
      <c r="V499">
        <f t="shared" si="17"/>
        <v>-7.333333333333332E-2</v>
      </c>
    </row>
    <row r="500" spans="19:22" x14ac:dyDescent="0.3">
      <c r="S500">
        <v>0.17499999999999999</v>
      </c>
      <c r="T500">
        <v>-1.29</v>
      </c>
      <c r="U500">
        <v>0.78800000000000003</v>
      </c>
      <c r="V500">
        <f t="shared" si="17"/>
        <v>-0.10899999999999999</v>
      </c>
    </row>
    <row r="501" spans="19:22" x14ac:dyDescent="0.3">
      <c r="S501">
        <v>0.28799999999999998</v>
      </c>
      <c r="T501">
        <v>-1.538</v>
      </c>
      <c r="U501">
        <v>0.94699999999999995</v>
      </c>
      <c r="V501">
        <f t="shared" si="17"/>
        <v>-0.10100000000000002</v>
      </c>
    </row>
    <row r="502" spans="19:22" x14ac:dyDescent="0.3">
      <c r="S502">
        <v>-0.35199999999999998</v>
      </c>
      <c r="T502">
        <v>-1.226</v>
      </c>
      <c r="U502">
        <v>0.54</v>
      </c>
      <c r="V502">
        <f t="shared" si="17"/>
        <v>-0.34599999999999992</v>
      </c>
    </row>
    <row r="503" spans="19:22" x14ac:dyDescent="0.3">
      <c r="S503">
        <v>0.25700000000000001</v>
      </c>
      <c r="T503">
        <v>-0.64900000000000002</v>
      </c>
      <c r="U503">
        <v>0.70399999999999996</v>
      </c>
      <c r="V503">
        <f t="shared" si="17"/>
        <v>0.10399999999999998</v>
      </c>
    </row>
    <row r="504" spans="19:22" x14ac:dyDescent="0.3">
      <c r="S504">
        <v>0.17</v>
      </c>
      <c r="T504">
        <v>-1.2050000000000001</v>
      </c>
      <c r="U504">
        <v>0.86099999999999999</v>
      </c>
      <c r="V504">
        <f t="shared" si="17"/>
        <v>-5.8000000000000052E-2</v>
      </c>
    </row>
    <row r="505" spans="19:22" x14ac:dyDescent="0.3">
      <c r="S505">
        <v>0.26200000000000001</v>
      </c>
      <c r="T505">
        <v>-1.423</v>
      </c>
      <c r="U505">
        <v>0.94499999999999995</v>
      </c>
      <c r="V505">
        <f t="shared" si="17"/>
        <v>-7.2000000000000022E-2</v>
      </c>
    </row>
    <row r="506" spans="19:22" x14ac:dyDescent="0.3">
      <c r="S506">
        <v>0.35599999999999998</v>
      </c>
      <c r="T506">
        <v>-1.159</v>
      </c>
      <c r="U506">
        <v>1.2290000000000001</v>
      </c>
      <c r="V506">
        <f t="shared" si="17"/>
        <v>0.14200000000000002</v>
      </c>
    </row>
    <row r="507" spans="19:22" x14ac:dyDescent="0.3">
      <c r="S507">
        <v>0.27600000000000002</v>
      </c>
      <c r="T507">
        <v>-0.79200000000000004</v>
      </c>
      <c r="U507">
        <v>0.83299999999999996</v>
      </c>
      <c r="V507">
        <f t="shared" si="17"/>
        <v>0.10566666666666664</v>
      </c>
    </row>
    <row r="508" spans="19:22" x14ac:dyDescent="0.3">
      <c r="S508">
        <v>-3.1E-2</v>
      </c>
      <c r="T508">
        <v>-0.318</v>
      </c>
      <c r="U508">
        <v>0.52800000000000002</v>
      </c>
      <c r="V508">
        <f t="shared" si="17"/>
        <v>5.966666666666668E-2</v>
      </c>
    </row>
    <row r="509" spans="19:22" x14ac:dyDescent="0.3">
      <c r="S509">
        <v>0.25900000000000001</v>
      </c>
      <c r="T509">
        <v>6.0999999999999999E-2</v>
      </c>
      <c r="U509">
        <v>1.0999999999999999E-2</v>
      </c>
      <c r="V509">
        <f t="shared" si="17"/>
        <v>0.11033333333333334</v>
      </c>
    </row>
    <row r="510" spans="19:22" x14ac:dyDescent="0.3">
      <c r="S510">
        <v>-0.05</v>
      </c>
      <c r="T510">
        <v>0.34599999999999997</v>
      </c>
      <c r="U510">
        <v>0.36599999999999999</v>
      </c>
      <c r="V510">
        <f t="shared" si="17"/>
        <v>0.22066666666666665</v>
      </c>
    </row>
    <row r="511" spans="19:22" x14ac:dyDescent="0.3">
      <c r="S511">
        <v>-2.3E-2</v>
      </c>
      <c r="T511">
        <v>-5.8000000000000003E-2</v>
      </c>
      <c r="U511">
        <v>0.158</v>
      </c>
      <c r="V511">
        <f t="shared" si="17"/>
        <v>2.5666666666666667E-2</v>
      </c>
    </row>
    <row r="512" spans="19:22" x14ac:dyDescent="0.3">
      <c r="S512">
        <v>0.159</v>
      </c>
      <c r="T512">
        <v>-0.159</v>
      </c>
      <c r="U512">
        <v>-9.1999999999999998E-2</v>
      </c>
      <c r="V512">
        <f t="shared" si="17"/>
        <v>-3.0666666666666665E-2</v>
      </c>
    </row>
    <row r="513" spans="19:22" x14ac:dyDescent="0.3">
      <c r="S513">
        <v>-5.5E-2</v>
      </c>
      <c r="T513">
        <v>-0.36899999999999999</v>
      </c>
      <c r="U513">
        <v>-0.20699999999999999</v>
      </c>
      <c r="V513">
        <f t="shared" si="17"/>
        <v>-0.21033333333333334</v>
      </c>
    </row>
    <row r="514" spans="19:22" x14ac:dyDescent="0.3">
      <c r="S514">
        <v>0.84799999999999998</v>
      </c>
      <c r="T514">
        <v>-1.274</v>
      </c>
      <c r="U514">
        <v>-0.52</v>
      </c>
      <c r="V514">
        <f t="shared" si="17"/>
        <v>-0.31533333333333335</v>
      </c>
    </row>
    <row r="515" spans="19:22" x14ac:dyDescent="0.3">
      <c r="S515">
        <v>1.4279999999999999</v>
      </c>
      <c r="T515">
        <v>-1.742</v>
      </c>
      <c r="U515">
        <v>-0.64200000000000002</v>
      </c>
      <c r="V515">
        <f t="shared" si="17"/>
        <v>-0.31866666666666671</v>
      </c>
    </row>
    <row r="516" spans="19:22" x14ac:dyDescent="0.3">
      <c r="S516">
        <v>1.64</v>
      </c>
      <c r="T516">
        <v>-1.651</v>
      </c>
      <c r="U516">
        <v>-0.48599999999999999</v>
      </c>
      <c r="V516">
        <f t="shared" si="17"/>
        <v>-0.16566666666666671</v>
      </c>
    </row>
    <row r="517" spans="19:22" x14ac:dyDescent="0.3">
      <c r="S517">
        <v>0.997</v>
      </c>
      <c r="T517">
        <v>-1.589</v>
      </c>
      <c r="U517">
        <v>-0.26300000000000001</v>
      </c>
      <c r="V517">
        <f t="shared" si="17"/>
        <v>-0.28499999999999998</v>
      </c>
    </row>
    <row r="518" spans="19:22" x14ac:dyDescent="0.3">
      <c r="S518">
        <v>0.78</v>
      </c>
      <c r="T518">
        <v>-1.1659999999999999</v>
      </c>
      <c r="U518">
        <v>-3.1E-2</v>
      </c>
      <c r="V518">
        <f t="shared" si="17"/>
        <v>-0.13899999999999998</v>
      </c>
    </row>
    <row r="519" spans="19:22" x14ac:dyDescent="0.3">
      <c r="S519">
        <v>0.39300000000000002</v>
      </c>
      <c r="T519">
        <v>-1.121</v>
      </c>
      <c r="U519">
        <v>-0.28899999999999998</v>
      </c>
      <c r="V519">
        <f t="shared" si="17"/>
        <v>-0.33899999999999997</v>
      </c>
    </row>
    <row r="520" spans="19:22" x14ac:dyDescent="0.3">
      <c r="S520">
        <v>3.5000000000000003E-2</v>
      </c>
      <c r="T520">
        <v>-0.84599999999999997</v>
      </c>
      <c r="U520">
        <v>-0.13100000000000001</v>
      </c>
      <c r="V520">
        <f t="shared" si="17"/>
        <v>-0.314</v>
      </c>
    </row>
    <row r="521" spans="19:22" x14ac:dyDescent="0.3">
      <c r="S521">
        <v>-0.124</v>
      </c>
      <c r="T521">
        <v>-0.32200000000000001</v>
      </c>
      <c r="U521">
        <v>7.5999999999999998E-2</v>
      </c>
      <c r="V521">
        <f t="shared" si="17"/>
        <v>-0.12333333333333334</v>
      </c>
    </row>
    <row r="522" spans="19:22" x14ac:dyDescent="0.3">
      <c r="S522">
        <v>0.13200000000000001</v>
      </c>
      <c r="T522">
        <v>-0.13300000000000001</v>
      </c>
      <c r="U522">
        <v>0.22900000000000001</v>
      </c>
      <c r="V522">
        <f t="shared" si="17"/>
        <v>7.5999999999999998E-2</v>
      </c>
    </row>
    <row r="523" spans="19:22" x14ac:dyDescent="0.3">
      <c r="S523">
        <v>0.88100000000000001</v>
      </c>
      <c r="T523">
        <v>-0.52200000000000002</v>
      </c>
      <c r="U523">
        <v>-1.7000000000000001E-2</v>
      </c>
      <c r="V523">
        <f t="shared" si="17"/>
        <v>0.11399999999999999</v>
      </c>
    </row>
    <row r="524" spans="19:22" x14ac:dyDescent="0.3">
      <c r="S524">
        <v>0.79500000000000004</v>
      </c>
      <c r="T524">
        <v>-0.68799999999999994</v>
      </c>
      <c r="U524">
        <v>-7.9000000000000001E-2</v>
      </c>
      <c r="V524">
        <f t="shared" ref="V524:V587" si="18">AVERAGE(R524:U524)</f>
        <v>9.3333333333333653E-3</v>
      </c>
    </row>
    <row r="525" spans="19:22" x14ac:dyDescent="0.3">
      <c r="S525">
        <v>0.36799999999999999</v>
      </c>
      <c r="T525">
        <v>-0.82</v>
      </c>
      <c r="U525">
        <v>0.57399999999999995</v>
      </c>
      <c r="V525">
        <f t="shared" si="18"/>
        <v>4.0666666666666663E-2</v>
      </c>
    </row>
    <row r="526" spans="19:22" x14ac:dyDescent="0.3">
      <c r="S526">
        <v>-0.216</v>
      </c>
      <c r="T526">
        <v>-1.3380000000000001</v>
      </c>
      <c r="U526">
        <v>0.53400000000000003</v>
      </c>
      <c r="V526">
        <f t="shared" si="18"/>
        <v>-0.34</v>
      </c>
    </row>
    <row r="527" spans="19:22" x14ac:dyDescent="0.3">
      <c r="S527">
        <v>-0.312</v>
      </c>
      <c r="T527">
        <v>-1.1850000000000001</v>
      </c>
      <c r="U527">
        <v>0.19</v>
      </c>
      <c r="V527">
        <f t="shared" si="18"/>
        <v>-0.4356666666666667</v>
      </c>
    </row>
    <row r="528" spans="19:22" x14ac:dyDescent="0.3">
      <c r="S528">
        <v>-0.28000000000000003</v>
      </c>
      <c r="T528">
        <v>-1.1439999999999999</v>
      </c>
      <c r="U528">
        <v>-8.3000000000000004E-2</v>
      </c>
      <c r="V528">
        <f t="shared" si="18"/>
        <v>-0.5023333333333333</v>
      </c>
    </row>
    <row r="529" spans="19:22" x14ac:dyDescent="0.3">
      <c r="S529">
        <v>-0.11799999999999999</v>
      </c>
      <c r="T529">
        <v>-1.306</v>
      </c>
      <c r="U529">
        <v>-0.23</v>
      </c>
      <c r="V529">
        <f t="shared" si="18"/>
        <v>-0.55133333333333334</v>
      </c>
    </row>
    <row r="530" spans="19:22" x14ac:dyDescent="0.3">
      <c r="S530">
        <v>0.58299999999999996</v>
      </c>
      <c r="T530">
        <v>-1.292</v>
      </c>
      <c r="U530">
        <v>2.1999999999999999E-2</v>
      </c>
      <c r="V530">
        <f t="shared" si="18"/>
        <v>-0.22900000000000001</v>
      </c>
    </row>
    <row r="531" spans="19:22" x14ac:dyDescent="0.3">
      <c r="S531">
        <v>0.74299999999999999</v>
      </c>
      <c r="T531">
        <v>-1.4650000000000001</v>
      </c>
      <c r="U531">
        <v>0.54400000000000004</v>
      </c>
      <c r="V531">
        <f t="shared" si="18"/>
        <v>-5.9333333333333349E-2</v>
      </c>
    </row>
    <row r="532" spans="19:22" x14ac:dyDescent="0.3">
      <c r="S532">
        <v>0.188</v>
      </c>
      <c r="T532">
        <v>-1.617</v>
      </c>
      <c r="U532">
        <v>0.79800000000000004</v>
      </c>
      <c r="V532">
        <f t="shared" si="18"/>
        <v>-0.21033333333333334</v>
      </c>
    </row>
    <row r="533" spans="19:22" x14ac:dyDescent="0.3">
      <c r="S533">
        <v>6.9000000000000006E-2</v>
      </c>
      <c r="T533">
        <v>-1.6890000000000001</v>
      </c>
      <c r="U533">
        <v>0.94599999999999995</v>
      </c>
      <c r="V533">
        <f t="shared" si="18"/>
        <v>-0.22466666666666671</v>
      </c>
    </row>
    <row r="534" spans="19:22" x14ac:dyDescent="0.3">
      <c r="S534">
        <v>0.11899999999999999</v>
      </c>
      <c r="T534">
        <v>-2.0030000000000001</v>
      </c>
      <c r="U534">
        <v>0.76700000000000002</v>
      </c>
      <c r="V534">
        <f t="shared" si="18"/>
        <v>-0.37233333333333335</v>
      </c>
    </row>
    <row r="535" spans="19:22" x14ac:dyDescent="0.3">
      <c r="S535">
        <v>0.60699999999999998</v>
      </c>
      <c r="T535">
        <v>-1.873</v>
      </c>
      <c r="U535">
        <v>0.503</v>
      </c>
      <c r="V535">
        <f t="shared" si="18"/>
        <v>-0.25433333333333336</v>
      </c>
    </row>
    <row r="536" spans="19:22" x14ac:dyDescent="0.3">
      <c r="S536">
        <v>0.29399999999999998</v>
      </c>
      <c r="T536">
        <v>-1.756</v>
      </c>
      <c r="U536">
        <v>0.16200000000000001</v>
      </c>
      <c r="V536">
        <f t="shared" si="18"/>
        <v>-0.43333333333333335</v>
      </c>
    </row>
    <row r="537" spans="19:22" x14ac:dyDescent="0.3">
      <c r="S537">
        <v>0.50800000000000001</v>
      </c>
      <c r="T537">
        <v>-1.494</v>
      </c>
      <c r="U537">
        <v>1.0209999999999999</v>
      </c>
      <c r="V537">
        <f t="shared" si="18"/>
        <v>1.1666666666666639E-2</v>
      </c>
    </row>
    <row r="538" spans="19:22" x14ac:dyDescent="0.3">
      <c r="S538">
        <v>0.251</v>
      </c>
      <c r="T538">
        <v>-0.73799999999999999</v>
      </c>
      <c r="U538">
        <v>1.0620000000000001</v>
      </c>
      <c r="V538">
        <f t="shared" si="18"/>
        <v>0.19166666666666668</v>
      </c>
    </row>
    <row r="539" spans="19:22" x14ac:dyDescent="0.3">
      <c r="S539">
        <v>0.254</v>
      </c>
      <c r="T539">
        <v>-0.33100000000000002</v>
      </c>
      <c r="U539">
        <v>1.3260000000000001</v>
      </c>
      <c r="V539">
        <f t="shared" si="18"/>
        <v>0.41633333333333339</v>
      </c>
    </row>
    <row r="540" spans="19:22" x14ac:dyDescent="0.3">
      <c r="S540">
        <v>0.40500000000000003</v>
      </c>
      <c r="T540">
        <v>-0.33200000000000002</v>
      </c>
      <c r="U540">
        <v>1.5289999999999999</v>
      </c>
      <c r="V540">
        <f t="shared" si="18"/>
        <v>0.53399999999999992</v>
      </c>
    </row>
    <row r="541" spans="19:22" x14ac:dyDescent="0.3">
      <c r="S541">
        <v>0.45800000000000002</v>
      </c>
      <c r="T541">
        <v>-0.61099999999999999</v>
      </c>
      <c r="U541">
        <v>1.589</v>
      </c>
      <c r="V541">
        <f t="shared" si="18"/>
        <v>0.47866666666666663</v>
      </c>
    </row>
    <row r="542" spans="19:22" x14ac:dyDescent="0.3">
      <c r="S542">
        <v>0.52800000000000002</v>
      </c>
      <c r="T542">
        <v>-0.77400000000000002</v>
      </c>
      <c r="U542">
        <v>1.125</v>
      </c>
      <c r="V542">
        <f t="shared" si="18"/>
        <v>0.29299999999999998</v>
      </c>
    </row>
    <row r="543" spans="19:22" x14ac:dyDescent="0.3">
      <c r="S543">
        <v>0.495</v>
      </c>
      <c r="T543">
        <v>-0.65400000000000003</v>
      </c>
      <c r="U543">
        <v>0.56499999999999995</v>
      </c>
      <c r="V543">
        <f t="shared" si="18"/>
        <v>0.13533333333333331</v>
      </c>
    </row>
    <row r="544" spans="19:22" x14ac:dyDescent="0.3">
      <c r="S544">
        <v>0.84399999999999997</v>
      </c>
      <c r="T544">
        <v>-1.7000000000000001E-2</v>
      </c>
      <c r="U544">
        <v>0.313</v>
      </c>
      <c r="V544">
        <f t="shared" si="18"/>
        <v>0.37999999999999995</v>
      </c>
    </row>
    <row r="545" spans="19:22" x14ac:dyDescent="0.3">
      <c r="S545">
        <v>1.5529999999999999</v>
      </c>
      <c r="T545">
        <v>-8.2000000000000003E-2</v>
      </c>
      <c r="U545">
        <v>0.182</v>
      </c>
      <c r="V545">
        <f t="shared" si="18"/>
        <v>0.55099999999999993</v>
      </c>
    </row>
    <row r="546" spans="19:22" x14ac:dyDescent="0.3">
      <c r="S546">
        <v>1.133</v>
      </c>
      <c r="T546">
        <v>-1.0640000000000001</v>
      </c>
      <c r="U546">
        <v>0.30399999999999999</v>
      </c>
      <c r="V546">
        <f t="shared" si="18"/>
        <v>0.12433333333333331</v>
      </c>
    </row>
    <row r="547" spans="19:22" x14ac:dyDescent="0.3">
      <c r="S547">
        <v>0.98699999999999999</v>
      </c>
      <c r="T547">
        <v>-1.502</v>
      </c>
      <c r="U547">
        <v>-1.4E-2</v>
      </c>
      <c r="V547">
        <f t="shared" si="18"/>
        <v>-0.17633333333333334</v>
      </c>
    </row>
    <row r="548" spans="19:22" x14ac:dyDescent="0.3">
      <c r="S548">
        <v>0.93700000000000006</v>
      </c>
      <c r="T548">
        <v>-1.383</v>
      </c>
      <c r="U548">
        <v>-0.216</v>
      </c>
      <c r="V548">
        <f t="shared" si="18"/>
        <v>-0.22066666666666665</v>
      </c>
    </row>
    <row r="549" spans="19:22" x14ac:dyDescent="0.3">
      <c r="S549">
        <v>1.81</v>
      </c>
      <c r="T549">
        <v>-1.407</v>
      </c>
      <c r="U549">
        <v>-0.23200000000000001</v>
      </c>
      <c r="V549">
        <f t="shared" si="18"/>
        <v>5.7000000000000002E-2</v>
      </c>
    </row>
    <row r="550" spans="19:22" x14ac:dyDescent="0.3">
      <c r="S550">
        <v>1.81</v>
      </c>
      <c r="T550">
        <v>-1.9910000000000001</v>
      </c>
      <c r="U550">
        <v>-0.41099999999999998</v>
      </c>
      <c r="V550">
        <f t="shared" si="18"/>
        <v>-0.19733333333333336</v>
      </c>
    </row>
    <row r="551" spans="19:22" x14ac:dyDescent="0.3">
      <c r="S551">
        <v>1.085</v>
      </c>
      <c r="T551">
        <v>-2.2269999999999999</v>
      </c>
      <c r="U551">
        <v>-0.35799999999999998</v>
      </c>
      <c r="V551">
        <f t="shared" si="18"/>
        <v>-0.5</v>
      </c>
    </row>
    <row r="552" spans="19:22" x14ac:dyDescent="0.3">
      <c r="S552">
        <v>0.90800000000000003</v>
      </c>
      <c r="T552">
        <v>-2.0790000000000002</v>
      </c>
      <c r="U552">
        <v>0.20499999999999999</v>
      </c>
      <c r="V552">
        <f t="shared" si="18"/>
        <v>-0.32200000000000012</v>
      </c>
    </row>
    <row r="553" spans="19:22" x14ac:dyDescent="0.3">
      <c r="S553">
        <v>0.75700000000000001</v>
      </c>
      <c r="T553">
        <v>-1.5680000000000001</v>
      </c>
      <c r="U553">
        <v>1.4690000000000001</v>
      </c>
      <c r="V553">
        <f t="shared" si="18"/>
        <v>0.21933333333333335</v>
      </c>
    </row>
    <row r="554" spans="19:22" x14ac:dyDescent="0.3">
      <c r="S554">
        <v>0.54200000000000004</v>
      </c>
      <c r="T554">
        <v>-0.80600000000000005</v>
      </c>
      <c r="U554">
        <v>2.1160000000000001</v>
      </c>
      <c r="V554">
        <f t="shared" si="18"/>
        <v>0.6173333333333334</v>
      </c>
    </row>
    <row r="555" spans="19:22" x14ac:dyDescent="0.3">
      <c r="S555">
        <v>0.59799999999999998</v>
      </c>
      <c r="T555">
        <v>-0.33500000000000002</v>
      </c>
      <c r="U555">
        <v>2.2599999999999998</v>
      </c>
      <c r="V555">
        <f t="shared" si="18"/>
        <v>0.84099999999999986</v>
      </c>
    </row>
    <row r="556" spans="19:22" x14ac:dyDescent="0.3">
      <c r="S556">
        <v>0.318</v>
      </c>
      <c r="T556">
        <v>0.24</v>
      </c>
      <c r="U556">
        <v>0.998</v>
      </c>
      <c r="V556">
        <f t="shared" si="18"/>
        <v>0.51866666666666672</v>
      </c>
    </row>
    <row r="557" spans="19:22" x14ac:dyDescent="0.3">
      <c r="S557">
        <v>0.41199999999999998</v>
      </c>
      <c r="T557">
        <v>0.92900000000000005</v>
      </c>
      <c r="U557">
        <v>0.16900000000000001</v>
      </c>
      <c r="V557">
        <f t="shared" si="18"/>
        <v>0.5033333333333333</v>
      </c>
    </row>
    <row r="558" spans="19:22" x14ac:dyDescent="0.3">
      <c r="S558">
        <v>0.72799999999999998</v>
      </c>
      <c r="T558">
        <v>1.099</v>
      </c>
      <c r="U558">
        <v>0.39200000000000002</v>
      </c>
      <c r="V558">
        <f t="shared" si="18"/>
        <v>0.73966666666666658</v>
      </c>
    </row>
    <row r="559" spans="19:22" x14ac:dyDescent="0.3">
      <c r="S559">
        <v>0.99299999999999999</v>
      </c>
      <c r="T559">
        <v>0.99399999999999999</v>
      </c>
      <c r="U559">
        <v>0.72599999999999998</v>
      </c>
      <c r="V559">
        <f t="shared" si="18"/>
        <v>0.90433333333333332</v>
      </c>
    </row>
    <row r="560" spans="19:22" x14ac:dyDescent="0.3">
      <c r="S560">
        <v>1.1850000000000001</v>
      </c>
      <c r="T560">
        <v>0.38200000000000001</v>
      </c>
      <c r="U560">
        <v>0.871</v>
      </c>
      <c r="V560">
        <f t="shared" si="18"/>
        <v>0.81266666666666676</v>
      </c>
    </row>
    <row r="561" spans="19:22" x14ac:dyDescent="0.3">
      <c r="S561">
        <v>0.86299999999999999</v>
      </c>
      <c r="T561">
        <v>-0.15</v>
      </c>
      <c r="U561">
        <v>0.32200000000000001</v>
      </c>
      <c r="V561">
        <f t="shared" si="18"/>
        <v>0.34499999999999997</v>
      </c>
    </row>
    <row r="562" spans="19:22" x14ac:dyDescent="0.3">
      <c r="S562">
        <v>0.61499999999999999</v>
      </c>
      <c r="T562">
        <v>-0.06</v>
      </c>
      <c r="U562">
        <v>1.0980000000000001</v>
      </c>
      <c r="V562">
        <f t="shared" si="18"/>
        <v>0.55100000000000005</v>
      </c>
    </row>
    <row r="563" spans="19:22" x14ac:dyDescent="0.3">
      <c r="S563">
        <v>0.65</v>
      </c>
      <c r="T563">
        <v>-0.39500000000000002</v>
      </c>
      <c r="U563">
        <v>1.754</v>
      </c>
      <c r="V563">
        <f t="shared" si="18"/>
        <v>0.66966666666666663</v>
      </c>
    </row>
    <row r="564" spans="19:22" x14ac:dyDescent="0.3">
      <c r="S564">
        <v>0.34699999999999998</v>
      </c>
      <c r="T564">
        <v>-0.67100000000000004</v>
      </c>
      <c r="U564">
        <v>1.349</v>
      </c>
      <c r="V564">
        <f t="shared" si="18"/>
        <v>0.34166666666666662</v>
      </c>
    </row>
    <row r="565" spans="19:22" x14ac:dyDescent="0.3">
      <c r="S565">
        <v>0.17599999999999999</v>
      </c>
      <c r="T565">
        <v>-0.79600000000000004</v>
      </c>
      <c r="U565">
        <v>1.488</v>
      </c>
      <c r="V565">
        <f t="shared" si="18"/>
        <v>0.28933333333333328</v>
      </c>
    </row>
    <row r="566" spans="19:22" x14ac:dyDescent="0.3">
      <c r="S566">
        <v>0.435</v>
      </c>
      <c r="T566">
        <v>-0.65700000000000003</v>
      </c>
      <c r="U566">
        <v>1.4630000000000001</v>
      </c>
      <c r="V566">
        <f t="shared" si="18"/>
        <v>0.41366666666666668</v>
      </c>
    </row>
    <row r="567" spans="19:22" x14ac:dyDescent="0.3">
      <c r="S567">
        <v>0.57599999999999996</v>
      </c>
      <c r="T567">
        <v>-0.70099999999999996</v>
      </c>
      <c r="U567">
        <v>0.86</v>
      </c>
      <c r="V567">
        <f t="shared" si="18"/>
        <v>0.245</v>
      </c>
    </row>
    <row r="568" spans="19:22" x14ac:dyDescent="0.3">
      <c r="S568">
        <v>0.58799999999999997</v>
      </c>
      <c r="T568">
        <v>-0.82799999999999996</v>
      </c>
      <c r="U568">
        <v>0.36899999999999999</v>
      </c>
      <c r="V568">
        <f t="shared" si="18"/>
        <v>4.3000000000000003E-2</v>
      </c>
    </row>
    <row r="569" spans="19:22" x14ac:dyDescent="0.3">
      <c r="S569">
        <v>0.89700000000000002</v>
      </c>
      <c r="T569">
        <v>-0.79200000000000004</v>
      </c>
      <c r="U569">
        <v>0.496</v>
      </c>
      <c r="V569">
        <f t="shared" si="18"/>
        <v>0.20033333333333334</v>
      </c>
    </row>
    <row r="570" spans="19:22" x14ac:dyDescent="0.3">
      <c r="S570">
        <v>1.1519999999999999</v>
      </c>
      <c r="T570">
        <v>-0.65500000000000003</v>
      </c>
      <c r="U570">
        <v>0.36099999999999999</v>
      </c>
      <c r="V570">
        <f t="shared" si="18"/>
        <v>0.28599999999999998</v>
      </c>
    </row>
    <row r="571" spans="19:22" x14ac:dyDescent="0.3">
      <c r="S571">
        <v>1.296</v>
      </c>
      <c r="T571">
        <v>-0.49299999999999999</v>
      </c>
      <c r="U571">
        <v>0.62</v>
      </c>
      <c r="V571">
        <f t="shared" si="18"/>
        <v>0.47433333333333333</v>
      </c>
    </row>
    <row r="572" spans="19:22" x14ac:dyDescent="0.3">
      <c r="S572">
        <v>1.4550000000000001</v>
      </c>
      <c r="T572">
        <v>-0.89500000000000002</v>
      </c>
      <c r="U572">
        <v>0.57899999999999996</v>
      </c>
      <c r="V572">
        <f t="shared" si="18"/>
        <v>0.37966666666666665</v>
      </c>
    </row>
    <row r="573" spans="19:22" x14ac:dyDescent="0.3">
      <c r="S573">
        <v>2.105</v>
      </c>
      <c r="T573">
        <v>-1.1339999999999999</v>
      </c>
      <c r="U573">
        <v>0.84699999999999998</v>
      </c>
      <c r="V573">
        <f t="shared" si="18"/>
        <v>0.60599999999999998</v>
      </c>
    </row>
    <row r="574" spans="19:22" x14ac:dyDescent="0.3">
      <c r="S574">
        <v>1.9930000000000001</v>
      </c>
      <c r="T574">
        <v>-0.70799999999999996</v>
      </c>
      <c r="U574">
        <v>0.89800000000000002</v>
      </c>
      <c r="V574">
        <f t="shared" si="18"/>
        <v>0.72766666666666679</v>
      </c>
    </row>
    <row r="575" spans="19:22" x14ac:dyDescent="0.3">
      <c r="S575">
        <v>1.341</v>
      </c>
      <c r="T575">
        <v>-0.374</v>
      </c>
      <c r="U575">
        <v>0.52400000000000002</v>
      </c>
      <c r="V575">
        <f t="shared" si="18"/>
        <v>0.49700000000000005</v>
      </c>
    </row>
    <row r="576" spans="19:22" x14ac:dyDescent="0.3">
      <c r="S576">
        <v>0.30299999999999999</v>
      </c>
      <c r="T576">
        <v>-0.52800000000000002</v>
      </c>
      <c r="U576">
        <v>0.46800000000000003</v>
      </c>
      <c r="V576">
        <f t="shared" si="18"/>
        <v>8.1000000000000003E-2</v>
      </c>
    </row>
    <row r="577" spans="19:22" x14ac:dyDescent="0.3">
      <c r="S577">
        <v>-0.14299999999999999</v>
      </c>
      <c r="T577">
        <v>-0.92900000000000005</v>
      </c>
      <c r="U577">
        <v>8.6999999999999994E-2</v>
      </c>
      <c r="V577">
        <f t="shared" si="18"/>
        <v>-0.32833333333333337</v>
      </c>
    </row>
    <row r="578" spans="19:22" x14ac:dyDescent="0.3">
      <c r="S578">
        <v>-0.43</v>
      </c>
      <c r="T578">
        <v>-0.97099999999999997</v>
      </c>
      <c r="U578">
        <v>0.307</v>
      </c>
      <c r="V578">
        <f t="shared" si="18"/>
        <v>-0.36466666666666669</v>
      </c>
    </row>
    <row r="579" spans="19:22" x14ac:dyDescent="0.3">
      <c r="S579">
        <v>1.0229999999999999</v>
      </c>
      <c r="T579">
        <v>-0.96099999999999997</v>
      </c>
      <c r="U579">
        <v>-0.13200000000000001</v>
      </c>
      <c r="V579">
        <f t="shared" si="18"/>
        <v>-2.3333333333333355E-2</v>
      </c>
    </row>
    <row r="580" spans="19:22" x14ac:dyDescent="0.3">
      <c r="S580">
        <v>0.36199999999999999</v>
      </c>
      <c r="T580">
        <v>-1.0409999999999999</v>
      </c>
      <c r="U580">
        <v>1.9E-2</v>
      </c>
      <c r="V580">
        <f t="shared" si="18"/>
        <v>-0.21999999999999997</v>
      </c>
    </row>
    <row r="581" spans="19:22" x14ac:dyDescent="0.3">
      <c r="S581">
        <v>-0.14399999999999999</v>
      </c>
      <c r="T581">
        <v>-0.628</v>
      </c>
      <c r="U581">
        <v>0.02</v>
      </c>
      <c r="V581">
        <f t="shared" si="18"/>
        <v>-0.25066666666666665</v>
      </c>
    </row>
    <row r="582" spans="19:22" x14ac:dyDescent="0.3">
      <c r="S582">
        <v>-0.23200000000000001</v>
      </c>
      <c r="T582">
        <v>-0.41599999999999998</v>
      </c>
      <c r="U582">
        <v>0.13300000000000001</v>
      </c>
      <c r="V582">
        <f t="shared" si="18"/>
        <v>-0.17166666666666666</v>
      </c>
    </row>
    <row r="583" spans="19:22" x14ac:dyDescent="0.3">
      <c r="S583">
        <v>-0.434</v>
      </c>
      <c r="T583">
        <v>0.14499999999999999</v>
      </c>
      <c r="U583">
        <v>4.5999999999999999E-2</v>
      </c>
      <c r="V583">
        <f t="shared" si="18"/>
        <v>-8.1000000000000016E-2</v>
      </c>
    </row>
    <row r="584" spans="19:22" x14ac:dyDescent="0.3">
      <c r="S584">
        <v>5.5E-2</v>
      </c>
      <c r="T584">
        <v>0.248</v>
      </c>
      <c r="U584">
        <v>0.14699999999999999</v>
      </c>
      <c r="V584">
        <f t="shared" si="18"/>
        <v>0.15</v>
      </c>
    </row>
    <row r="585" spans="19:22" x14ac:dyDescent="0.3">
      <c r="S585">
        <v>-0.17199999999999999</v>
      </c>
      <c r="T585">
        <v>0.311</v>
      </c>
      <c r="U585">
        <v>-2.3E-2</v>
      </c>
      <c r="V585">
        <f t="shared" si="18"/>
        <v>3.8666666666666676E-2</v>
      </c>
    </row>
    <row r="586" spans="19:22" x14ac:dyDescent="0.3">
      <c r="S586">
        <v>-0.20100000000000001</v>
      </c>
      <c r="T586">
        <v>0.495</v>
      </c>
      <c r="U586">
        <v>-0.107</v>
      </c>
      <c r="V586">
        <f t="shared" si="18"/>
        <v>6.2333333333333331E-2</v>
      </c>
    </row>
    <row r="587" spans="19:22" x14ac:dyDescent="0.3">
      <c r="S587">
        <v>-0.24199999999999999</v>
      </c>
      <c r="T587">
        <v>0.28100000000000003</v>
      </c>
      <c r="U587">
        <v>0.23</v>
      </c>
      <c r="V587">
        <f t="shared" si="18"/>
        <v>8.9666666666666672E-2</v>
      </c>
    </row>
    <row r="588" spans="19:22" x14ac:dyDescent="0.3">
      <c r="S588">
        <v>-0.22</v>
      </c>
      <c r="T588">
        <v>0.51600000000000001</v>
      </c>
      <c r="U588">
        <v>0.49099999999999999</v>
      </c>
      <c r="V588">
        <f t="shared" ref="V588:V651" si="19">AVERAGE(R588:U588)</f>
        <v>0.26233333333333336</v>
      </c>
    </row>
    <row r="589" spans="19:22" x14ac:dyDescent="0.3">
      <c r="S589">
        <v>-0.30399999999999999</v>
      </c>
      <c r="T589">
        <v>3.4000000000000002E-2</v>
      </c>
      <c r="U589">
        <v>0.79100000000000004</v>
      </c>
      <c r="V589">
        <f t="shared" si="19"/>
        <v>0.17366666666666666</v>
      </c>
    </row>
    <row r="590" spans="19:22" x14ac:dyDescent="0.3">
      <c r="S590">
        <v>0.30599999999999999</v>
      </c>
      <c r="T590">
        <v>-0.57699999999999996</v>
      </c>
      <c r="U590">
        <v>1.2749999999999999</v>
      </c>
      <c r="V590">
        <f t="shared" si="19"/>
        <v>0.33466666666666667</v>
      </c>
    </row>
    <row r="591" spans="19:22" x14ac:dyDescent="0.3">
      <c r="S591">
        <v>1.0449999999999999</v>
      </c>
      <c r="T591">
        <v>-0.66600000000000004</v>
      </c>
      <c r="U591">
        <v>0.36799999999999999</v>
      </c>
      <c r="V591">
        <f t="shared" si="19"/>
        <v>0.24899999999999997</v>
      </c>
    </row>
    <row r="592" spans="19:22" x14ac:dyDescent="0.3">
      <c r="S592">
        <v>1.2689999999999999</v>
      </c>
      <c r="T592">
        <v>-0.83199999999999996</v>
      </c>
      <c r="U592">
        <v>-8.7999999999999995E-2</v>
      </c>
      <c r="V592">
        <f t="shared" si="19"/>
        <v>0.11633333333333333</v>
      </c>
    </row>
    <row r="593" spans="19:22" x14ac:dyDescent="0.3">
      <c r="S593">
        <v>1.034</v>
      </c>
      <c r="T593">
        <v>-0.57499999999999996</v>
      </c>
      <c r="U593">
        <v>-0.03</v>
      </c>
      <c r="V593">
        <f t="shared" si="19"/>
        <v>0.14300000000000002</v>
      </c>
    </row>
    <row r="594" spans="19:22" x14ac:dyDescent="0.3">
      <c r="S594">
        <v>1.35</v>
      </c>
      <c r="T594">
        <v>-0.46400000000000002</v>
      </c>
      <c r="U594">
        <v>0.54600000000000004</v>
      </c>
      <c r="V594">
        <f t="shared" si="19"/>
        <v>0.47733333333333339</v>
      </c>
    </row>
    <row r="595" spans="19:22" x14ac:dyDescent="0.3">
      <c r="S595">
        <v>0.80400000000000005</v>
      </c>
      <c r="T595">
        <v>-0.60899999999999999</v>
      </c>
      <c r="U595">
        <v>0.29199999999999998</v>
      </c>
      <c r="V595">
        <f t="shared" si="19"/>
        <v>0.16233333333333336</v>
      </c>
    </row>
    <row r="596" spans="19:22" x14ac:dyDescent="0.3">
      <c r="S596">
        <v>0.47599999999999998</v>
      </c>
      <c r="T596">
        <v>-0.96499999999999997</v>
      </c>
      <c r="U596">
        <v>0.22700000000000001</v>
      </c>
      <c r="V596">
        <f t="shared" si="19"/>
        <v>-8.7333333333333332E-2</v>
      </c>
    </row>
    <row r="597" spans="19:22" x14ac:dyDescent="0.3">
      <c r="S597">
        <v>0.307</v>
      </c>
      <c r="T597">
        <v>-0.74199999999999999</v>
      </c>
      <c r="U597">
        <v>-1.0999999999999999E-2</v>
      </c>
      <c r="V597">
        <f t="shared" si="19"/>
        <v>-0.14866666666666667</v>
      </c>
    </row>
    <row r="598" spans="19:22" x14ac:dyDescent="0.3">
      <c r="S598">
        <v>0.48099999999999998</v>
      </c>
      <c r="T598">
        <v>-0.48499999999999999</v>
      </c>
      <c r="U598">
        <v>-0.33800000000000002</v>
      </c>
      <c r="V598">
        <f t="shared" si="19"/>
        <v>-0.114</v>
      </c>
    </row>
    <row r="599" spans="19:22" x14ac:dyDescent="0.3">
      <c r="S599">
        <v>1.0289999999999999</v>
      </c>
      <c r="T599">
        <v>-0.622</v>
      </c>
      <c r="U599">
        <v>-0.65500000000000003</v>
      </c>
      <c r="V599">
        <f t="shared" si="19"/>
        <v>-8.2666666666666708E-2</v>
      </c>
    </row>
    <row r="600" spans="19:22" x14ac:dyDescent="0.3">
      <c r="S600">
        <v>1.7789999999999999</v>
      </c>
      <c r="T600">
        <v>-1.3420000000000001</v>
      </c>
      <c r="U600">
        <v>-0.626</v>
      </c>
      <c r="V600">
        <f t="shared" si="19"/>
        <v>-6.3000000000000056E-2</v>
      </c>
    </row>
    <row r="601" spans="19:22" x14ac:dyDescent="0.3">
      <c r="S601">
        <v>1.8340000000000001</v>
      </c>
      <c r="T601">
        <v>-1.518</v>
      </c>
      <c r="U601">
        <v>-0.45200000000000001</v>
      </c>
      <c r="V601">
        <f t="shared" si="19"/>
        <v>-4.5333333333333316E-2</v>
      </c>
    </row>
    <row r="602" spans="19:22" x14ac:dyDescent="0.3">
      <c r="S602">
        <v>1.5720000000000001</v>
      </c>
      <c r="T602">
        <v>-1.595</v>
      </c>
      <c r="U602">
        <v>-0.26200000000000001</v>
      </c>
      <c r="V602">
        <f t="shared" si="19"/>
        <v>-9.4999999999999973E-2</v>
      </c>
    </row>
    <row r="603" spans="19:22" x14ac:dyDescent="0.3">
      <c r="S603">
        <v>0.92500000000000004</v>
      </c>
      <c r="T603">
        <v>-1.6419999999999999</v>
      </c>
      <c r="U603">
        <v>-5.8000000000000003E-2</v>
      </c>
      <c r="V603">
        <f t="shared" si="19"/>
        <v>-0.2583333333333333</v>
      </c>
    </row>
    <row r="604" spans="19:22" x14ac:dyDescent="0.3">
      <c r="S604">
        <v>0.57699999999999996</v>
      </c>
      <c r="T604">
        <v>-1.6479999999999999</v>
      </c>
      <c r="U604">
        <v>0.45</v>
      </c>
      <c r="V604">
        <f t="shared" si="19"/>
        <v>-0.20699999999999999</v>
      </c>
    </row>
    <row r="605" spans="19:22" x14ac:dyDescent="0.3">
      <c r="S605">
        <v>0.58199999999999996</v>
      </c>
      <c r="T605">
        <v>-1.5249999999999999</v>
      </c>
      <c r="U605">
        <v>0.47899999999999998</v>
      </c>
      <c r="V605">
        <f t="shared" si="19"/>
        <v>-0.15466666666666665</v>
      </c>
    </row>
    <row r="606" spans="19:22" x14ac:dyDescent="0.3">
      <c r="S606">
        <v>0.55100000000000005</v>
      </c>
      <c r="T606">
        <v>-1.4379999999999999</v>
      </c>
      <c r="U606">
        <v>0.23599999999999999</v>
      </c>
      <c r="V606">
        <f t="shared" si="19"/>
        <v>-0.21699999999999997</v>
      </c>
    </row>
    <row r="607" spans="19:22" x14ac:dyDescent="0.3">
      <c r="S607">
        <v>0.68400000000000005</v>
      </c>
      <c r="T607">
        <v>-1.33</v>
      </c>
      <c r="U607">
        <v>-0.14799999999999999</v>
      </c>
      <c r="V607">
        <f t="shared" si="19"/>
        <v>-0.26466666666666666</v>
      </c>
    </row>
    <row r="608" spans="19:22" x14ac:dyDescent="0.3">
      <c r="S608">
        <v>0.63</v>
      </c>
      <c r="T608">
        <v>-1.2529999999999999</v>
      </c>
      <c r="U608">
        <v>-0.25900000000000001</v>
      </c>
      <c r="V608">
        <f t="shared" si="19"/>
        <v>-0.29399999999999998</v>
      </c>
    </row>
    <row r="609" spans="19:22" x14ac:dyDescent="0.3">
      <c r="S609">
        <v>0.71099999999999997</v>
      </c>
      <c r="T609">
        <v>-1.4810000000000001</v>
      </c>
      <c r="U609">
        <v>-0.53800000000000003</v>
      </c>
      <c r="V609">
        <f t="shared" si="19"/>
        <v>-0.43600000000000011</v>
      </c>
    </row>
    <row r="610" spans="19:22" x14ac:dyDescent="0.3">
      <c r="S610">
        <v>3.7999999999999999E-2</v>
      </c>
      <c r="T610">
        <v>-0.38</v>
      </c>
      <c r="U610">
        <v>2.6949999999999998</v>
      </c>
      <c r="V610">
        <f t="shared" si="19"/>
        <v>0.78433333333333322</v>
      </c>
    </row>
    <row r="611" spans="19:22" x14ac:dyDescent="0.3">
      <c r="S611">
        <v>-0.33600000000000002</v>
      </c>
      <c r="T611">
        <v>0.26500000000000001</v>
      </c>
      <c r="U611">
        <v>0.04</v>
      </c>
      <c r="V611">
        <f t="shared" si="19"/>
        <v>-1.0333333333333335E-2</v>
      </c>
    </row>
    <row r="612" spans="19:22" x14ac:dyDescent="0.3">
      <c r="S612">
        <v>1.4E-2</v>
      </c>
      <c r="T612">
        <v>-0.21</v>
      </c>
      <c r="U612">
        <v>-0.89700000000000002</v>
      </c>
      <c r="V612">
        <f t="shared" si="19"/>
        <v>-0.36433333333333334</v>
      </c>
    </row>
    <row r="613" spans="19:22" x14ac:dyDescent="0.3">
      <c r="S613">
        <v>0.215</v>
      </c>
      <c r="T613">
        <v>-0.71899999999999997</v>
      </c>
      <c r="U613">
        <v>-1.39</v>
      </c>
      <c r="V613">
        <f t="shared" si="19"/>
        <v>-0.6313333333333333</v>
      </c>
    </row>
    <row r="614" spans="19:22" x14ac:dyDescent="0.3">
      <c r="S614">
        <v>0.14399999999999999</v>
      </c>
      <c r="T614">
        <v>-0.70799999999999996</v>
      </c>
      <c r="U614">
        <v>-1.2589999999999999</v>
      </c>
      <c r="V614">
        <f t="shared" si="19"/>
        <v>-0.60766666666666669</v>
      </c>
    </row>
    <row r="615" spans="19:22" x14ac:dyDescent="0.3">
      <c r="S615">
        <v>-0.376</v>
      </c>
      <c r="T615">
        <v>-0.78100000000000003</v>
      </c>
      <c r="U615">
        <v>-1.321</v>
      </c>
      <c r="V615">
        <f t="shared" si="19"/>
        <v>-0.82599999999999996</v>
      </c>
    </row>
    <row r="616" spans="19:22" x14ac:dyDescent="0.3">
      <c r="S616">
        <v>-0.48299999999999998</v>
      </c>
      <c r="T616">
        <v>-0.77600000000000002</v>
      </c>
      <c r="U616">
        <v>-0.89</v>
      </c>
      <c r="V616">
        <f t="shared" si="19"/>
        <v>-0.71633333333333338</v>
      </c>
    </row>
    <row r="617" spans="19:22" x14ac:dyDescent="0.3">
      <c r="S617">
        <v>-0.51500000000000001</v>
      </c>
      <c r="T617">
        <v>-1.085</v>
      </c>
      <c r="U617">
        <v>-0.63</v>
      </c>
      <c r="V617">
        <f t="shared" si="19"/>
        <v>-0.74333333333333329</v>
      </c>
    </row>
    <row r="618" spans="19:22" x14ac:dyDescent="0.3">
      <c r="S618">
        <v>-0.54500000000000004</v>
      </c>
      <c r="T618">
        <v>-1.3160000000000001</v>
      </c>
      <c r="U618">
        <v>-0.61399999999999999</v>
      </c>
      <c r="V618">
        <f t="shared" si="19"/>
        <v>-0.82500000000000007</v>
      </c>
    </row>
    <row r="619" spans="19:22" x14ac:dyDescent="0.3">
      <c r="S619">
        <v>-6.8000000000000005E-2</v>
      </c>
      <c r="T619">
        <v>-0.78200000000000003</v>
      </c>
      <c r="U619">
        <v>-0.11700000000000001</v>
      </c>
      <c r="V619">
        <f t="shared" si="19"/>
        <v>-0.32233333333333336</v>
      </c>
    </row>
    <row r="620" spans="19:22" x14ac:dyDescent="0.3">
      <c r="S620">
        <v>-0.46800000000000003</v>
      </c>
      <c r="T620">
        <v>-0.66200000000000003</v>
      </c>
      <c r="U620">
        <v>8.0000000000000002E-3</v>
      </c>
      <c r="V620">
        <f t="shared" si="19"/>
        <v>-0.37400000000000005</v>
      </c>
    </row>
    <row r="621" spans="19:22" x14ac:dyDescent="0.3">
      <c r="S621">
        <v>-0.76100000000000001</v>
      </c>
      <c r="T621">
        <v>-1.0720000000000001</v>
      </c>
      <c r="U621">
        <v>-0.34799999999999998</v>
      </c>
      <c r="V621">
        <f t="shared" si="19"/>
        <v>-0.72699999999999998</v>
      </c>
    </row>
    <row r="622" spans="19:22" x14ac:dyDescent="0.3">
      <c r="S622">
        <v>-0.45</v>
      </c>
      <c r="T622">
        <v>-0.84899999999999998</v>
      </c>
      <c r="U622">
        <v>0.28000000000000003</v>
      </c>
      <c r="V622">
        <f t="shared" si="19"/>
        <v>-0.33966666666666662</v>
      </c>
    </row>
    <row r="623" spans="19:22" x14ac:dyDescent="0.3">
      <c r="S623">
        <v>1.0269999999999999</v>
      </c>
      <c r="T623">
        <v>-0.71899999999999997</v>
      </c>
      <c r="U623">
        <v>0.433</v>
      </c>
      <c r="V623">
        <f t="shared" si="19"/>
        <v>0.24699999999999997</v>
      </c>
    </row>
    <row r="624" spans="19:22" x14ac:dyDescent="0.3">
      <c r="S624">
        <v>0.95899999999999996</v>
      </c>
      <c r="T624">
        <v>-0.52400000000000002</v>
      </c>
      <c r="U624">
        <v>0.32200000000000001</v>
      </c>
      <c r="V624">
        <f t="shared" si="19"/>
        <v>0.2523333333333333</v>
      </c>
    </row>
    <row r="625" spans="19:22" x14ac:dyDescent="0.3">
      <c r="S625">
        <v>1.097</v>
      </c>
      <c r="T625">
        <v>-3.1E-2</v>
      </c>
      <c r="U625">
        <v>-0.111</v>
      </c>
      <c r="V625">
        <f t="shared" si="19"/>
        <v>0.31833333333333336</v>
      </c>
    </row>
    <row r="626" spans="19:22" x14ac:dyDescent="0.3">
      <c r="S626">
        <v>0.254</v>
      </c>
      <c r="T626">
        <v>0.219</v>
      </c>
      <c r="U626">
        <v>-0.52100000000000002</v>
      </c>
      <c r="V626">
        <f t="shared" si="19"/>
        <v>-1.6000000000000014E-2</v>
      </c>
    </row>
    <row r="627" spans="19:22" x14ac:dyDescent="0.3">
      <c r="S627">
        <v>-0.24199999999999999</v>
      </c>
      <c r="T627">
        <v>0.14399999999999999</v>
      </c>
      <c r="U627">
        <v>-0.29699999999999999</v>
      </c>
      <c r="V627">
        <f t="shared" si="19"/>
        <v>-0.13166666666666668</v>
      </c>
    </row>
    <row r="628" spans="19:22" x14ac:dyDescent="0.3">
      <c r="S628">
        <v>3.0000000000000001E-3</v>
      </c>
      <c r="T628">
        <v>-0.19400000000000001</v>
      </c>
      <c r="U628">
        <v>-0.22500000000000001</v>
      </c>
      <c r="V628">
        <f t="shared" si="19"/>
        <v>-0.13866666666666669</v>
      </c>
    </row>
    <row r="629" spans="19:22" x14ac:dyDescent="0.3">
      <c r="S629">
        <v>0.17899999999999999</v>
      </c>
      <c r="T629">
        <v>-7.5999999999999998E-2</v>
      </c>
      <c r="U629">
        <v>8.5999999999999993E-2</v>
      </c>
      <c r="V629">
        <f t="shared" si="19"/>
        <v>6.3E-2</v>
      </c>
    </row>
    <row r="630" spans="19:22" x14ac:dyDescent="0.3">
      <c r="S630">
        <v>8.9999999999999993E-3</v>
      </c>
      <c r="T630">
        <v>-0.25700000000000001</v>
      </c>
      <c r="U630">
        <v>0.26</v>
      </c>
      <c r="V630">
        <f t="shared" si="19"/>
        <v>4.0000000000000036E-3</v>
      </c>
    </row>
    <row r="631" spans="19:22" x14ac:dyDescent="0.3">
      <c r="S631">
        <v>-0.38500000000000001</v>
      </c>
      <c r="T631">
        <v>-0.66</v>
      </c>
      <c r="U631">
        <v>-7.0999999999999994E-2</v>
      </c>
      <c r="V631">
        <f t="shared" si="19"/>
        <v>-0.37199999999999994</v>
      </c>
    </row>
    <row r="632" spans="19:22" x14ac:dyDescent="0.3">
      <c r="S632">
        <v>-0.125</v>
      </c>
      <c r="T632">
        <v>-0.90800000000000003</v>
      </c>
      <c r="U632">
        <v>0.22</v>
      </c>
      <c r="V632">
        <f t="shared" si="19"/>
        <v>-0.27099999999999996</v>
      </c>
    </row>
    <row r="633" spans="19:22" x14ac:dyDescent="0.3">
      <c r="S633">
        <v>-0.52500000000000002</v>
      </c>
      <c r="T633">
        <v>-0.89200000000000002</v>
      </c>
      <c r="U633">
        <v>-8.9999999999999993E-3</v>
      </c>
      <c r="V633">
        <f t="shared" si="19"/>
        <v>-0.47533333333333333</v>
      </c>
    </row>
    <row r="634" spans="19:22" x14ac:dyDescent="0.3">
      <c r="S634">
        <v>-0.57199999999999995</v>
      </c>
      <c r="T634">
        <v>-0.52500000000000002</v>
      </c>
      <c r="U634">
        <v>0.4</v>
      </c>
      <c r="V634">
        <f t="shared" si="19"/>
        <v>-0.23233333333333331</v>
      </c>
    </row>
    <row r="635" spans="19:22" x14ac:dyDescent="0.3">
      <c r="S635">
        <v>0.313</v>
      </c>
      <c r="T635">
        <v>0.16200000000000001</v>
      </c>
      <c r="U635">
        <v>0.27900000000000003</v>
      </c>
      <c r="V635">
        <f t="shared" si="19"/>
        <v>0.25133333333333335</v>
      </c>
    </row>
    <row r="636" spans="19:22" x14ac:dyDescent="0.3">
      <c r="S636">
        <v>0.67</v>
      </c>
      <c r="T636">
        <v>0.26800000000000002</v>
      </c>
      <c r="U636">
        <v>0.50900000000000001</v>
      </c>
      <c r="V636">
        <f t="shared" si="19"/>
        <v>0.48233333333333334</v>
      </c>
    </row>
    <row r="637" spans="19:22" x14ac:dyDescent="0.3">
      <c r="S637">
        <v>0.876</v>
      </c>
      <c r="T637">
        <v>0.309</v>
      </c>
      <c r="U637">
        <v>0.871</v>
      </c>
      <c r="V637">
        <f t="shared" si="19"/>
        <v>0.68533333333333335</v>
      </c>
    </row>
    <row r="638" spans="19:22" x14ac:dyDescent="0.3">
      <c r="S638">
        <v>0.72299999999999998</v>
      </c>
      <c r="T638">
        <v>-0.33</v>
      </c>
      <c r="U638">
        <v>1.052</v>
      </c>
      <c r="V638">
        <f t="shared" si="19"/>
        <v>0.48166666666666669</v>
      </c>
    </row>
    <row r="639" spans="19:22" x14ac:dyDescent="0.3">
      <c r="S639">
        <v>-7.5999999999999998E-2</v>
      </c>
      <c r="T639">
        <v>-0.77200000000000002</v>
      </c>
      <c r="U639">
        <v>0.95099999999999996</v>
      </c>
      <c r="V639">
        <f t="shared" si="19"/>
        <v>3.4333333333333327E-2</v>
      </c>
    </row>
    <row r="640" spans="19:22" x14ac:dyDescent="0.3">
      <c r="S640">
        <v>-0.20799999999999999</v>
      </c>
      <c r="T640">
        <v>-1.452</v>
      </c>
      <c r="U640">
        <v>0.73899999999999999</v>
      </c>
      <c r="V640">
        <f t="shared" si="19"/>
        <v>-0.307</v>
      </c>
    </row>
    <row r="641" spans="19:22" x14ac:dyDescent="0.3">
      <c r="S641">
        <v>9.6000000000000002E-2</v>
      </c>
      <c r="T641">
        <v>-1.3979999999999999</v>
      </c>
      <c r="U641">
        <v>4.3999999999999997E-2</v>
      </c>
      <c r="V641">
        <f t="shared" si="19"/>
        <v>-0.41933333333333328</v>
      </c>
    </row>
    <row r="642" spans="19:22" x14ac:dyDescent="0.3">
      <c r="S642">
        <v>-0.123</v>
      </c>
      <c r="T642">
        <v>-0.58699999999999997</v>
      </c>
      <c r="U642">
        <v>0.309</v>
      </c>
      <c r="V642">
        <f t="shared" si="19"/>
        <v>-0.13366666666666666</v>
      </c>
    </row>
    <row r="643" spans="19:22" x14ac:dyDescent="0.3">
      <c r="S643">
        <v>0.16300000000000001</v>
      </c>
      <c r="T643">
        <v>-0.50900000000000001</v>
      </c>
      <c r="U643">
        <v>0.248</v>
      </c>
      <c r="V643">
        <f t="shared" si="19"/>
        <v>-3.2666666666666656E-2</v>
      </c>
    </row>
    <row r="644" spans="19:22" x14ac:dyDescent="0.3">
      <c r="S644">
        <v>0.39400000000000002</v>
      </c>
      <c r="T644">
        <v>-0.57699999999999996</v>
      </c>
      <c r="U644">
        <v>4.3999999999999997E-2</v>
      </c>
      <c r="V644">
        <f t="shared" si="19"/>
        <v>-4.6333333333333317E-2</v>
      </c>
    </row>
    <row r="645" spans="19:22" x14ac:dyDescent="0.3">
      <c r="S645">
        <v>0.36699999999999999</v>
      </c>
      <c r="T645">
        <v>-0.73599999999999999</v>
      </c>
      <c r="U645">
        <v>-0.22700000000000001</v>
      </c>
      <c r="V645">
        <f t="shared" si="19"/>
        <v>-0.19866666666666666</v>
      </c>
    </row>
    <row r="646" spans="19:22" x14ac:dyDescent="0.3">
      <c r="S646">
        <v>0.91600000000000004</v>
      </c>
      <c r="T646">
        <v>-3.2000000000000001E-2</v>
      </c>
      <c r="U646">
        <v>-0.59299999999999997</v>
      </c>
      <c r="V646">
        <f t="shared" si="19"/>
        <v>9.7000000000000017E-2</v>
      </c>
    </row>
    <row r="647" spans="19:22" x14ac:dyDescent="0.3">
      <c r="S647">
        <v>1.077</v>
      </c>
      <c r="T647">
        <v>0.80100000000000005</v>
      </c>
      <c r="U647">
        <v>0.51100000000000001</v>
      </c>
      <c r="V647">
        <f t="shared" si="19"/>
        <v>0.79633333333333345</v>
      </c>
    </row>
    <row r="648" spans="19:22" x14ac:dyDescent="0.3">
      <c r="S648">
        <v>1.659</v>
      </c>
      <c r="T648">
        <v>0.84499999999999997</v>
      </c>
      <c r="U648">
        <v>0.496</v>
      </c>
      <c r="V648">
        <f t="shared" si="19"/>
        <v>1</v>
      </c>
    </row>
    <row r="649" spans="19:22" x14ac:dyDescent="0.3">
      <c r="S649">
        <v>1.7</v>
      </c>
      <c r="T649">
        <v>0.41399999999999998</v>
      </c>
      <c r="U649">
        <v>0.47199999999999998</v>
      </c>
      <c r="V649">
        <f t="shared" si="19"/>
        <v>0.86199999999999999</v>
      </c>
    </row>
    <row r="650" spans="19:22" x14ac:dyDescent="0.3">
      <c r="S650">
        <v>0.89</v>
      </c>
      <c r="T650">
        <v>0.11</v>
      </c>
      <c r="U650">
        <v>0.44400000000000001</v>
      </c>
      <c r="V650">
        <f t="shared" si="19"/>
        <v>0.48133333333333334</v>
      </c>
    </row>
    <row r="651" spans="19:22" x14ac:dyDescent="0.3">
      <c r="S651">
        <v>6.5000000000000002E-2</v>
      </c>
      <c r="T651">
        <v>-5.5E-2</v>
      </c>
      <c r="U651">
        <v>0.72899999999999998</v>
      </c>
      <c r="V651">
        <f t="shared" si="19"/>
        <v>0.24633333333333332</v>
      </c>
    </row>
    <row r="652" spans="19:22" x14ac:dyDescent="0.3">
      <c r="S652">
        <v>0.53200000000000003</v>
      </c>
      <c r="T652">
        <v>0.26300000000000001</v>
      </c>
      <c r="U652">
        <v>0.29399999999999998</v>
      </c>
      <c r="V652">
        <f t="shared" ref="V652:V715" si="20">AVERAGE(R652:U652)</f>
        <v>0.36299999999999999</v>
      </c>
    </row>
    <row r="653" spans="19:22" x14ac:dyDescent="0.3">
      <c r="S653">
        <v>0.17699999999999999</v>
      </c>
      <c r="T653">
        <v>7.6999999999999999E-2</v>
      </c>
      <c r="U653">
        <v>-6.2E-2</v>
      </c>
      <c r="V653">
        <f t="shared" si="20"/>
        <v>6.4000000000000001E-2</v>
      </c>
    </row>
    <row r="654" spans="19:22" x14ac:dyDescent="0.3">
      <c r="S654">
        <v>0.74</v>
      </c>
      <c r="T654">
        <v>-3.5999999999999997E-2</v>
      </c>
      <c r="U654">
        <v>-0.02</v>
      </c>
      <c r="V654">
        <f t="shared" si="20"/>
        <v>0.22799999999999998</v>
      </c>
    </row>
    <row r="655" spans="19:22" x14ac:dyDescent="0.3">
      <c r="S655">
        <v>0.85199999999999998</v>
      </c>
      <c r="T655">
        <v>0.28799999999999998</v>
      </c>
      <c r="U655">
        <v>0.313</v>
      </c>
      <c r="V655">
        <f t="shared" si="20"/>
        <v>0.48433333333333328</v>
      </c>
    </row>
    <row r="656" spans="19:22" x14ac:dyDescent="0.3">
      <c r="S656">
        <v>0.88700000000000001</v>
      </c>
      <c r="T656">
        <v>0.191</v>
      </c>
      <c r="U656">
        <v>0.33200000000000002</v>
      </c>
      <c r="V656">
        <f t="shared" si="20"/>
        <v>0.47000000000000003</v>
      </c>
    </row>
    <row r="657" spans="19:22" x14ac:dyDescent="0.3">
      <c r="S657">
        <v>1.22</v>
      </c>
      <c r="T657">
        <v>0.28399999999999997</v>
      </c>
      <c r="U657">
        <v>0.2</v>
      </c>
      <c r="V657">
        <f t="shared" si="20"/>
        <v>0.56799999999999995</v>
      </c>
    </row>
    <row r="658" spans="19:22" x14ac:dyDescent="0.3">
      <c r="S658">
        <v>0.97099999999999997</v>
      </c>
      <c r="T658">
        <v>0.06</v>
      </c>
      <c r="U658">
        <v>-0.33</v>
      </c>
      <c r="V658">
        <f t="shared" si="20"/>
        <v>0.23366666666666661</v>
      </c>
    </row>
    <row r="659" spans="19:22" x14ac:dyDescent="0.3">
      <c r="S659">
        <v>0.88300000000000001</v>
      </c>
      <c r="T659">
        <v>-5.3999999999999999E-2</v>
      </c>
      <c r="U659">
        <v>-1.2E-2</v>
      </c>
      <c r="V659">
        <f t="shared" si="20"/>
        <v>0.27233333333333332</v>
      </c>
    </row>
    <row r="660" spans="19:22" x14ac:dyDescent="0.3">
      <c r="S660">
        <v>0.51100000000000001</v>
      </c>
      <c r="T660">
        <v>-0.127</v>
      </c>
      <c r="U660">
        <v>-0.28299999999999997</v>
      </c>
      <c r="V660">
        <f t="shared" si="20"/>
        <v>3.3666666666666678E-2</v>
      </c>
    </row>
    <row r="661" spans="19:22" x14ac:dyDescent="0.3">
      <c r="S661">
        <v>-0.30099999999999999</v>
      </c>
      <c r="T661">
        <v>0.77900000000000003</v>
      </c>
      <c r="U661">
        <v>-8.0000000000000002E-3</v>
      </c>
      <c r="V661">
        <f t="shared" si="20"/>
        <v>0.15666666666666668</v>
      </c>
    </row>
    <row r="662" spans="19:22" x14ac:dyDescent="0.3">
      <c r="S662">
        <v>-0.61599999999999999</v>
      </c>
      <c r="T662">
        <v>1.4890000000000001</v>
      </c>
      <c r="U662">
        <v>-0.01</v>
      </c>
      <c r="V662">
        <f t="shared" si="20"/>
        <v>0.28766666666666668</v>
      </c>
    </row>
    <row r="663" spans="19:22" x14ac:dyDescent="0.3">
      <c r="S663">
        <v>0.378</v>
      </c>
      <c r="T663">
        <v>1.5409999999999999</v>
      </c>
      <c r="U663">
        <v>7.9000000000000001E-2</v>
      </c>
      <c r="V663">
        <f t="shared" si="20"/>
        <v>0.66600000000000004</v>
      </c>
    </row>
    <row r="664" spans="19:22" x14ac:dyDescent="0.3">
      <c r="S664">
        <v>1.0229999999999999</v>
      </c>
      <c r="T664">
        <v>1.752</v>
      </c>
      <c r="U664">
        <v>0.31</v>
      </c>
      <c r="V664">
        <f t="shared" si="20"/>
        <v>1.0283333333333333</v>
      </c>
    </row>
    <row r="665" spans="19:22" x14ac:dyDescent="0.3">
      <c r="S665">
        <v>0.67</v>
      </c>
      <c r="T665">
        <v>1.4159999999999999</v>
      </c>
      <c r="U665">
        <v>0.30199999999999999</v>
      </c>
      <c r="V665">
        <f t="shared" si="20"/>
        <v>0.79599999999999993</v>
      </c>
    </row>
    <row r="666" spans="19:22" x14ac:dyDescent="0.3">
      <c r="S666">
        <v>0.52900000000000003</v>
      </c>
      <c r="T666">
        <v>0.76500000000000001</v>
      </c>
      <c r="U666">
        <v>0.189</v>
      </c>
      <c r="V666">
        <f t="shared" si="20"/>
        <v>0.49433333333333335</v>
      </c>
    </row>
    <row r="667" spans="19:22" x14ac:dyDescent="0.3">
      <c r="S667">
        <v>0.65900000000000003</v>
      </c>
      <c r="T667">
        <v>0.80800000000000005</v>
      </c>
      <c r="U667">
        <v>0.27600000000000002</v>
      </c>
      <c r="V667">
        <f t="shared" si="20"/>
        <v>0.58100000000000007</v>
      </c>
    </row>
    <row r="668" spans="19:22" x14ac:dyDescent="0.3">
      <c r="S668">
        <v>0.60299999999999998</v>
      </c>
      <c r="T668">
        <v>-0.17799999999999999</v>
      </c>
      <c r="U668">
        <v>0.27700000000000002</v>
      </c>
      <c r="V668">
        <f t="shared" si="20"/>
        <v>0.23399999999999999</v>
      </c>
    </row>
    <row r="669" spans="19:22" x14ac:dyDescent="0.3">
      <c r="S669">
        <v>1.3540000000000001</v>
      </c>
      <c r="T669">
        <v>-0.308</v>
      </c>
      <c r="U669">
        <v>0.40600000000000003</v>
      </c>
      <c r="V669">
        <f t="shared" si="20"/>
        <v>0.48399999999999999</v>
      </c>
    </row>
    <row r="670" spans="19:22" x14ac:dyDescent="0.3">
      <c r="S670">
        <v>1.448</v>
      </c>
      <c r="T670">
        <v>0.09</v>
      </c>
      <c r="U670">
        <v>8.4000000000000005E-2</v>
      </c>
      <c r="V670">
        <f t="shared" si="20"/>
        <v>0.54066666666666674</v>
      </c>
    </row>
    <row r="671" spans="19:22" x14ac:dyDescent="0.3">
      <c r="S671">
        <v>1.0940000000000001</v>
      </c>
      <c r="T671">
        <v>-0.27100000000000002</v>
      </c>
      <c r="U671">
        <v>-9.4E-2</v>
      </c>
      <c r="V671">
        <f t="shared" si="20"/>
        <v>0.24300000000000002</v>
      </c>
    </row>
    <row r="672" spans="19:22" x14ac:dyDescent="0.3">
      <c r="S672">
        <v>0.81699999999999995</v>
      </c>
      <c r="T672">
        <v>0.13700000000000001</v>
      </c>
      <c r="U672">
        <v>-0.09</v>
      </c>
      <c r="V672">
        <f t="shared" si="20"/>
        <v>0.28799999999999998</v>
      </c>
    </row>
    <row r="673" spans="19:22" x14ac:dyDescent="0.3">
      <c r="S673">
        <v>0.86</v>
      </c>
      <c r="T673">
        <v>0.50700000000000001</v>
      </c>
      <c r="U673">
        <v>0.60799999999999998</v>
      </c>
      <c r="V673">
        <f t="shared" si="20"/>
        <v>0.65833333333333333</v>
      </c>
    </row>
    <row r="674" spans="19:22" x14ac:dyDescent="0.3">
      <c r="S674">
        <v>1.8260000000000001</v>
      </c>
      <c r="T674">
        <v>0.39</v>
      </c>
      <c r="U674">
        <v>0.95599999999999996</v>
      </c>
      <c r="V674">
        <f t="shared" si="20"/>
        <v>1.0573333333333335</v>
      </c>
    </row>
    <row r="675" spans="19:22" x14ac:dyDescent="0.3">
      <c r="S675">
        <v>1.6120000000000001</v>
      </c>
      <c r="T675">
        <v>0.67100000000000004</v>
      </c>
      <c r="U675">
        <v>0.57299999999999995</v>
      </c>
      <c r="V675">
        <f t="shared" si="20"/>
        <v>0.95200000000000007</v>
      </c>
    </row>
    <row r="676" spans="19:22" x14ac:dyDescent="0.3">
      <c r="S676">
        <v>1.2569999999999999</v>
      </c>
      <c r="T676">
        <v>0.36</v>
      </c>
      <c r="U676">
        <v>-0.313</v>
      </c>
      <c r="V676">
        <f t="shared" si="20"/>
        <v>0.4346666666666667</v>
      </c>
    </row>
    <row r="677" spans="19:22" x14ac:dyDescent="0.3">
      <c r="S677">
        <v>1.002</v>
      </c>
      <c r="T677">
        <v>0.93200000000000005</v>
      </c>
      <c r="U677">
        <v>-0.29299999999999998</v>
      </c>
      <c r="V677">
        <f t="shared" si="20"/>
        <v>0.54700000000000004</v>
      </c>
    </row>
    <row r="678" spans="19:22" x14ac:dyDescent="0.3">
      <c r="S678">
        <v>0.54700000000000004</v>
      </c>
      <c r="T678">
        <v>1.258</v>
      </c>
      <c r="U678" s="17">
        <v>5.7180000000000002E-4</v>
      </c>
      <c r="V678">
        <f t="shared" si="20"/>
        <v>0.60185726666666672</v>
      </c>
    </row>
    <row r="679" spans="19:22" x14ac:dyDescent="0.3">
      <c r="S679">
        <v>0.76</v>
      </c>
      <c r="T679">
        <v>0.65200000000000002</v>
      </c>
      <c r="U679">
        <v>0.41599999999999998</v>
      </c>
      <c r="V679">
        <f t="shared" si="20"/>
        <v>0.60933333333333328</v>
      </c>
    </row>
    <row r="680" spans="19:22" x14ac:dyDescent="0.3">
      <c r="S680">
        <v>0.89200000000000002</v>
      </c>
      <c r="T680">
        <v>0.245</v>
      </c>
      <c r="U680">
        <v>0.36899999999999999</v>
      </c>
      <c r="V680">
        <f t="shared" si="20"/>
        <v>0.502</v>
      </c>
    </row>
    <row r="681" spans="19:22" x14ac:dyDescent="0.3">
      <c r="S681">
        <v>0.58799999999999997</v>
      </c>
      <c r="T681">
        <v>0.36199999999999999</v>
      </c>
      <c r="U681">
        <v>0.66300000000000003</v>
      </c>
      <c r="V681">
        <f t="shared" si="20"/>
        <v>0.53766666666666663</v>
      </c>
    </row>
    <row r="682" spans="19:22" x14ac:dyDescent="0.3">
      <c r="S682">
        <v>0.11</v>
      </c>
      <c r="T682">
        <v>1.01</v>
      </c>
      <c r="U682">
        <v>0.38700000000000001</v>
      </c>
      <c r="V682">
        <f t="shared" si="20"/>
        <v>0.50233333333333341</v>
      </c>
    </row>
    <row r="683" spans="19:22" x14ac:dyDescent="0.3">
      <c r="S683">
        <v>0.47599999999999998</v>
      </c>
      <c r="T683">
        <v>0.72799999999999998</v>
      </c>
      <c r="U683">
        <v>0.17599999999999999</v>
      </c>
      <c r="V683">
        <f t="shared" si="20"/>
        <v>0.45999999999999996</v>
      </c>
    </row>
    <row r="684" spans="19:22" x14ac:dyDescent="0.3">
      <c r="S684">
        <v>0.161</v>
      </c>
      <c r="T684">
        <v>0.14899999999999999</v>
      </c>
      <c r="U684">
        <v>5.0000000000000001E-3</v>
      </c>
      <c r="V684">
        <f t="shared" si="20"/>
        <v>0.105</v>
      </c>
    </row>
    <row r="685" spans="19:22" x14ac:dyDescent="0.3">
      <c r="S685">
        <v>0.64100000000000001</v>
      </c>
      <c r="T685">
        <v>-0.97699999999999998</v>
      </c>
      <c r="U685">
        <v>3.0000000000000001E-3</v>
      </c>
      <c r="V685">
        <f t="shared" si="20"/>
        <v>-0.11099999999999999</v>
      </c>
    </row>
    <row r="686" spans="19:22" x14ac:dyDescent="0.3">
      <c r="S686">
        <v>0.66800000000000004</v>
      </c>
      <c r="T686">
        <v>-1.214</v>
      </c>
      <c r="U686">
        <v>-0.29899999999999999</v>
      </c>
      <c r="V686">
        <f t="shared" si="20"/>
        <v>-0.28166666666666668</v>
      </c>
    </row>
    <row r="687" spans="19:22" x14ac:dyDescent="0.3">
      <c r="S687">
        <v>-0.26900000000000002</v>
      </c>
      <c r="T687">
        <v>-1.137</v>
      </c>
      <c r="U687">
        <v>-0.157</v>
      </c>
      <c r="V687">
        <f t="shared" si="20"/>
        <v>-0.52100000000000002</v>
      </c>
    </row>
    <row r="688" spans="19:22" x14ac:dyDescent="0.3">
      <c r="S688">
        <v>-0.26200000000000001</v>
      </c>
      <c r="T688">
        <v>-0.27500000000000002</v>
      </c>
      <c r="U688">
        <v>4.8000000000000001E-2</v>
      </c>
      <c r="V688">
        <f t="shared" si="20"/>
        <v>-0.16300000000000001</v>
      </c>
    </row>
    <row r="689" spans="19:22" x14ac:dyDescent="0.3">
      <c r="S689">
        <v>0.25900000000000001</v>
      </c>
      <c r="T689">
        <v>4.0000000000000001E-3</v>
      </c>
      <c r="U689">
        <v>-0.17799999999999999</v>
      </c>
      <c r="V689">
        <f t="shared" si="20"/>
        <v>2.8333333333333339E-2</v>
      </c>
    </row>
    <row r="690" spans="19:22" x14ac:dyDescent="0.3">
      <c r="S690">
        <v>0.48399999999999999</v>
      </c>
      <c r="T690">
        <v>7.2999999999999995E-2</v>
      </c>
      <c r="U690">
        <v>-0.13800000000000001</v>
      </c>
      <c r="V690">
        <f t="shared" si="20"/>
        <v>0.13966666666666663</v>
      </c>
    </row>
    <row r="691" spans="19:22" x14ac:dyDescent="0.3">
      <c r="S691">
        <v>0.65900000000000003</v>
      </c>
      <c r="T691">
        <v>0.36399999999999999</v>
      </c>
      <c r="U691">
        <v>-2.5999999999999999E-2</v>
      </c>
      <c r="V691">
        <f t="shared" si="20"/>
        <v>0.33233333333333337</v>
      </c>
    </row>
    <row r="692" spans="19:22" x14ac:dyDescent="0.3">
      <c r="S692">
        <v>0.81200000000000006</v>
      </c>
      <c r="T692">
        <v>-6.7000000000000004E-2</v>
      </c>
      <c r="U692">
        <v>0.48799999999999999</v>
      </c>
      <c r="V692">
        <f t="shared" si="20"/>
        <v>0.41100000000000003</v>
      </c>
    </row>
    <row r="693" spans="19:22" x14ac:dyDescent="0.3">
      <c r="S693">
        <v>1.1870000000000001</v>
      </c>
      <c r="T693">
        <v>0.14299999999999999</v>
      </c>
      <c r="U693">
        <v>0.183</v>
      </c>
      <c r="V693">
        <f t="shared" si="20"/>
        <v>0.50433333333333341</v>
      </c>
    </row>
    <row r="694" spans="19:22" x14ac:dyDescent="0.3">
      <c r="S694">
        <v>1.097</v>
      </c>
      <c r="T694">
        <v>0.35599999999999998</v>
      </c>
      <c r="U694">
        <v>-0.54300000000000004</v>
      </c>
      <c r="V694">
        <f t="shared" si="20"/>
        <v>0.30333333333333329</v>
      </c>
    </row>
    <row r="695" spans="19:22" x14ac:dyDescent="0.3">
      <c r="S695">
        <v>0.81699999999999995</v>
      </c>
      <c r="T695">
        <v>0.17299999999999999</v>
      </c>
      <c r="U695">
        <v>-0.65300000000000002</v>
      </c>
      <c r="V695">
        <f t="shared" si="20"/>
        <v>0.11233333333333333</v>
      </c>
    </row>
    <row r="696" spans="19:22" x14ac:dyDescent="0.3">
      <c r="S696">
        <v>0.92500000000000004</v>
      </c>
      <c r="T696">
        <v>-0.107</v>
      </c>
      <c r="U696">
        <v>-0.79100000000000004</v>
      </c>
      <c r="V696">
        <f t="shared" si="20"/>
        <v>9.000000000000008E-3</v>
      </c>
    </row>
    <row r="697" spans="19:22" x14ac:dyDescent="0.3">
      <c r="S697">
        <v>0.48</v>
      </c>
      <c r="T697">
        <v>-0.112</v>
      </c>
      <c r="U697">
        <v>-0.70699999999999996</v>
      </c>
      <c r="V697">
        <f t="shared" si="20"/>
        <v>-0.11299999999999999</v>
      </c>
    </row>
    <row r="698" spans="19:22" x14ac:dyDescent="0.3">
      <c r="S698">
        <v>3.7999999999999999E-2</v>
      </c>
      <c r="T698">
        <v>-0.14000000000000001</v>
      </c>
      <c r="U698">
        <v>-0.91700000000000004</v>
      </c>
      <c r="V698">
        <f t="shared" si="20"/>
        <v>-0.33966666666666673</v>
      </c>
    </row>
    <row r="699" spans="19:22" x14ac:dyDescent="0.3">
      <c r="S699">
        <v>6.5000000000000002E-2</v>
      </c>
      <c r="T699">
        <v>-0.219</v>
      </c>
      <c r="U699">
        <v>-0.49</v>
      </c>
      <c r="V699">
        <f t="shared" si="20"/>
        <v>-0.21466666666666667</v>
      </c>
    </row>
    <row r="700" spans="19:22" x14ac:dyDescent="0.3">
      <c r="S700">
        <v>-0.10100000000000001</v>
      </c>
      <c r="T700">
        <v>-0.498</v>
      </c>
      <c r="U700">
        <v>0.23499999999999999</v>
      </c>
      <c r="V700">
        <f t="shared" si="20"/>
        <v>-0.12133333333333333</v>
      </c>
    </row>
    <row r="701" spans="19:22" x14ac:dyDescent="0.3">
      <c r="S701">
        <v>0.113</v>
      </c>
      <c r="T701">
        <v>-0.35399999999999998</v>
      </c>
      <c r="U701">
        <v>0.216</v>
      </c>
      <c r="V701">
        <f t="shared" si="20"/>
        <v>-8.3333333333333315E-3</v>
      </c>
    </row>
    <row r="702" spans="19:22" x14ac:dyDescent="0.3">
      <c r="S702">
        <v>1.159</v>
      </c>
      <c r="T702">
        <v>-0.94</v>
      </c>
      <c r="U702">
        <v>0.40200000000000002</v>
      </c>
      <c r="V702">
        <f t="shared" si="20"/>
        <v>0.20700000000000005</v>
      </c>
    </row>
    <row r="703" spans="19:22" x14ac:dyDescent="0.3">
      <c r="S703">
        <v>1.3109999999999999</v>
      </c>
      <c r="T703">
        <v>-0.94099999999999995</v>
      </c>
      <c r="U703">
        <v>0.71199999999999997</v>
      </c>
      <c r="V703">
        <f t="shared" si="20"/>
        <v>0.36066666666666664</v>
      </c>
    </row>
    <row r="704" spans="19:22" x14ac:dyDescent="0.3">
      <c r="S704">
        <v>1.3029999999999999</v>
      </c>
      <c r="T704">
        <v>-0.84199999999999997</v>
      </c>
      <c r="U704">
        <v>1.0229999999999999</v>
      </c>
      <c r="V704">
        <f t="shared" si="20"/>
        <v>0.49466666666666664</v>
      </c>
    </row>
    <row r="705" spans="19:22" x14ac:dyDescent="0.3">
      <c r="S705">
        <v>1.351</v>
      </c>
      <c r="T705">
        <v>-0.17199999999999999</v>
      </c>
      <c r="U705">
        <v>0.82699999999999996</v>
      </c>
      <c r="V705">
        <f t="shared" si="20"/>
        <v>0.66866666666666674</v>
      </c>
    </row>
    <row r="706" spans="19:22" x14ac:dyDescent="0.3">
      <c r="S706">
        <v>0.34699999999999998</v>
      </c>
      <c r="T706">
        <v>0.82199999999999995</v>
      </c>
      <c r="U706">
        <v>0.38</v>
      </c>
      <c r="V706">
        <f t="shared" si="20"/>
        <v>0.51633333333333331</v>
      </c>
    </row>
    <row r="707" spans="19:22" x14ac:dyDescent="0.3">
      <c r="S707">
        <v>0.13700000000000001</v>
      </c>
      <c r="T707">
        <v>0.61</v>
      </c>
      <c r="U707">
        <v>0.25700000000000001</v>
      </c>
      <c r="V707">
        <f t="shared" si="20"/>
        <v>0.33466666666666667</v>
      </c>
    </row>
    <row r="708" spans="19:22" x14ac:dyDescent="0.3">
      <c r="S708">
        <v>-0.14099999999999999</v>
      </c>
      <c r="T708">
        <v>0.40600000000000003</v>
      </c>
      <c r="U708">
        <v>0.29699999999999999</v>
      </c>
      <c r="V708">
        <f t="shared" si="20"/>
        <v>0.18733333333333335</v>
      </c>
    </row>
    <row r="709" spans="19:22" x14ac:dyDescent="0.3">
      <c r="S709">
        <v>-0.16500000000000001</v>
      </c>
      <c r="T709">
        <v>0.27300000000000002</v>
      </c>
      <c r="U709">
        <v>0.61299999999999999</v>
      </c>
      <c r="V709">
        <f t="shared" si="20"/>
        <v>0.24033333333333332</v>
      </c>
    </row>
    <row r="710" spans="19:22" x14ac:dyDescent="0.3">
      <c r="S710">
        <v>0.31</v>
      </c>
      <c r="T710">
        <v>0.55600000000000005</v>
      </c>
      <c r="U710">
        <v>0.83799999999999997</v>
      </c>
      <c r="V710">
        <f t="shared" si="20"/>
        <v>0.56800000000000006</v>
      </c>
    </row>
    <row r="711" spans="19:22" x14ac:dyDescent="0.3">
      <c r="S711">
        <v>0.10299999999999999</v>
      </c>
      <c r="T711">
        <v>1.1819999999999999</v>
      </c>
      <c r="U711">
        <v>1.099</v>
      </c>
      <c r="V711">
        <f t="shared" si="20"/>
        <v>0.79466666666666663</v>
      </c>
    </row>
    <row r="712" spans="19:22" x14ac:dyDescent="0.3">
      <c r="S712">
        <v>-0.23899999999999999</v>
      </c>
      <c r="T712">
        <v>1.3660000000000001</v>
      </c>
      <c r="U712">
        <v>0.92700000000000005</v>
      </c>
      <c r="V712">
        <f t="shared" si="20"/>
        <v>0.68466666666666676</v>
      </c>
    </row>
    <row r="713" spans="19:22" x14ac:dyDescent="0.3">
      <c r="S713">
        <v>0.01</v>
      </c>
      <c r="T713">
        <v>1.377</v>
      </c>
      <c r="U713">
        <v>1.214</v>
      </c>
      <c r="V713">
        <f t="shared" si="20"/>
        <v>0.86699999999999999</v>
      </c>
    </row>
    <row r="714" spans="19:22" x14ac:dyDescent="0.3">
      <c r="S714">
        <v>-0.106</v>
      </c>
      <c r="T714">
        <v>0.76900000000000002</v>
      </c>
      <c r="U714">
        <v>1.169</v>
      </c>
      <c r="V714">
        <f t="shared" si="20"/>
        <v>0.61066666666666669</v>
      </c>
    </row>
    <row r="715" spans="19:22" x14ac:dyDescent="0.3">
      <c r="S715">
        <v>0.67600000000000005</v>
      </c>
      <c r="T715">
        <v>-0.10100000000000001</v>
      </c>
      <c r="U715">
        <v>1.1120000000000001</v>
      </c>
      <c r="V715">
        <f t="shared" si="20"/>
        <v>0.56233333333333346</v>
      </c>
    </row>
    <row r="716" spans="19:22" x14ac:dyDescent="0.3">
      <c r="S716">
        <v>0.92800000000000005</v>
      </c>
      <c r="T716">
        <v>0.43099999999999999</v>
      </c>
      <c r="U716">
        <v>1.3620000000000001</v>
      </c>
      <c r="V716">
        <f t="shared" ref="V716:V779" si="21">AVERAGE(R716:U716)</f>
        <v>0.90700000000000003</v>
      </c>
    </row>
    <row r="717" spans="19:22" x14ac:dyDescent="0.3">
      <c r="S717">
        <v>1.0289999999999999</v>
      </c>
      <c r="T717">
        <v>0.40899999999999997</v>
      </c>
      <c r="U717">
        <v>1.7210000000000001</v>
      </c>
      <c r="V717">
        <f t="shared" si="21"/>
        <v>1.0529999999999999</v>
      </c>
    </row>
    <row r="718" spans="19:22" x14ac:dyDescent="0.3">
      <c r="S718">
        <v>1.5760000000000001</v>
      </c>
      <c r="T718">
        <v>1.2190000000000001</v>
      </c>
      <c r="U718">
        <v>1.391</v>
      </c>
      <c r="V718">
        <f t="shared" si="21"/>
        <v>1.3953333333333333</v>
      </c>
    </row>
    <row r="719" spans="19:22" x14ac:dyDescent="0.3">
      <c r="S719">
        <v>1.4390000000000001</v>
      </c>
      <c r="T719">
        <v>1.284</v>
      </c>
      <c r="U719">
        <v>0.88600000000000001</v>
      </c>
      <c r="V719">
        <f t="shared" si="21"/>
        <v>1.2030000000000001</v>
      </c>
    </row>
    <row r="720" spans="19:22" x14ac:dyDescent="0.3">
      <c r="S720">
        <v>1.302</v>
      </c>
      <c r="T720">
        <v>1.462</v>
      </c>
      <c r="U720">
        <v>1.395</v>
      </c>
      <c r="V720">
        <f t="shared" si="21"/>
        <v>1.3863333333333336</v>
      </c>
    </row>
    <row r="721" spans="19:22" x14ac:dyDescent="0.3">
      <c r="S721">
        <v>1.7669999999999999</v>
      </c>
      <c r="T721">
        <v>1.504</v>
      </c>
      <c r="U721">
        <v>1.411</v>
      </c>
      <c r="V721">
        <f t="shared" si="21"/>
        <v>1.5606666666666669</v>
      </c>
    </row>
    <row r="722" spans="19:22" x14ac:dyDescent="0.3">
      <c r="S722">
        <v>2.516</v>
      </c>
      <c r="T722">
        <v>1.363</v>
      </c>
      <c r="U722">
        <v>0.40100000000000002</v>
      </c>
      <c r="V722">
        <f t="shared" si="21"/>
        <v>1.4266666666666667</v>
      </c>
    </row>
    <row r="723" spans="19:22" x14ac:dyDescent="0.3">
      <c r="S723">
        <v>2.8919999999999999</v>
      </c>
      <c r="T723">
        <v>1.0940000000000001</v>
      </c>
      <c r="U723">
        <v>-0.159</v>
      </c>
      <c r="V723">
        <f t="shared" si="21"/>
        <v>1.2756666666666667</v>
      </c>
    </row>
    <row r="724" spans="19:22" x14ac:dyDescent="0.3">
      <c r="S724">
        <v>2.37</v>
      </c>
      <c r="T724">
        <v>0.81399999999999995</v>
      </c>
      <c r="U724">
        <v>1.7000000000000001E-2</v>
      </c>
      <c r="V724">
        <f t="shared" si="21"/>
        <v>1.0669999999999999</v>
      </c>
    </row>
    <row r="725" spans="19:22" x14ac:dyDescent="0.3">
      <c r="S725">
        <v>1.929</v>
      </c>
      <c r="T725">
        <v>7.8E-2</v>
      </c>
      <c r="U725">
        <v>0.45200000000000001</v>
      </c>
      <c r="V725">
        <f t="shared" si="21"/>
        <v>0.81966666666666665</v>
      </c>
    </row>
    <row r="726" spans="19:22" x14ac:dyDescent="0.3">
      <c r="S726">
        <v>2.2250000000000001</v>
      </c>
      <c r="T726">
        <v>-0.15</v>
      </c>
      <c r="U726">
        <v>0.61599999999999999</v>
      </c>
      <c r="V726">
        <f t="shared" si="21"/>
        <v>0.89700000000000013</v>
      </c>
    </row>
    <row r="727" spans="19:22" x14ac:dyDescent="0.3">
      <c r="S727">
        <v>2.1429999999999998</v>
      </c>
      <c r="T727">
        <v>-0.54200000000000004</v>
      </c>
      <c r="U727">
        <v>0.78100000000000003</v>
      </c>
      <c r="V727">
        <f t="shared" si="21"/>
        <v>0.79399999999999993</v>
      </c>
    </row>
    <row r="728" spans="19:22" x14ac:dyDescent="0.3">
      <c r="S728">
        <v>1.845</v>
      </c>
      <c r="T728">
        <v>-1.252</v>
      </c>
      <c r="U728">
        <v>1.048</v>
      </c>
      <c r="V728">
        <f t="shared" si="21"/>
        <v>0.54700000000000004</v>
      </c>
    </row>
    <row r="729" spans="19:22" x14ac:dyDescent="0.3">
      <c r="S729">
        <v>1.304</v>
      </c>
      <c r="T729">
        <v>-1.5569999999999999</v>
      </c>
      <c r="U729">
        <v>0.53300000000000003</v>
      </c>
      <c r="V729">
        <f t="shared" si="21"/>
        <v>9.3333333333333379E-2</v>
      </c>
    </row>
    <row r="730" spans="19:22" x14ac:dyDescent="0.3">
      <c r="S730">
        <v>1.5489999999999999</v>
      </c>
      <c r="T730">
        <v>0.14099999999999999</v>
      </c>
      <c r="U730">
        <v>0.443</v>
      </c>
      <c r="V730">
        <f t="shared" si="21"/>
        <v>0.71099999999999997</v>
      </c>
    </row>
    <row r="731" spans="19:22" x14ac:dyDescent="0.3">
      <c r="S731">
        <v>2.0390000000000001</v>
      </c>
      <c r="T731">
        <v>0.78</v>
      </c>
      <c r="U731">
        <v>0.65300000000000002</v>
      </c>
      <c r="V731">
        <f t="shared" si="21"/>
        <v>1.1573333333333333</v>
      </c>
    </row>
    <row r="732" spans="19:22" x14ac:dyDescent="0.3">
      <c r="S732">
        <v>2.6349999999999998</v>
      </c>
      <c r="T732">
        <v>0.373</v>
      </c>
      <c r="U732">
        <v>1.224</v>
      </c>
      <c r="V732">
        <f t="shared" si="21"/>
        <v>1.4106666666666667</v>
      </c>
    </row>
    <row r="733" spans="19:22" x14ac:dyDescent="0.3">
      <c r="S733">
        <v>2.8090000000000002</v>
      </c>
      <c r="T733">
        <v>0.17</v>
      </c>
      <c r="U733">
        <v>1.26</v>
      </c>
      <c r="V733">
        <f t="shared" si="21"/>
        <v>1.413</v>
      </c>
    </row>
    <row r="734" spans="19:22" x14ac:dyDescent="0.3">
      <c r="S734">
        <v>2.6190000000000002</v>
      </c>
      <c r="T734">
        <v>0.40899999999999997</v>
      </c>
      <c r="U734">
        <v>1.004</v>
      </c>
      <c r="V734">
        <f t="shared" si="21"/>
        <v>1.3440000000000001</v>
      </c>
    </row>
    <row r="735" spans="19:22" x14ac:dyDescent="0.3">
      <c r="S735">
        <v>2.6890000000000001</v>
      </c>
      <c r="T735">
        <v>0.20399999999999999</v>
      </c>
      <c r="U735">
        <v>0.93500000000000005</v>
      </c>
      <c r="V735">
        <f t="shared" si="21"/>
        <v>1.276</v>
      </c>
    </row>
    <row r="736" spans="19:22" x14ac:dyDescent="0.3">
      <c r="S736">
        <v>2.3220000000000001</v>
      </c>
      <c r="T736">
        <v>-0.38800000000000001</v>
      </c>
      <c r="U736">
        <v>0.96899999999999997</v>
      </c>
      <c r="V736">
        <f t="shared" si="21"/>
        <v>0.96766666666666667</v>
      </c>
    </row>
    <row r="737" spans="19:22" x14ac:dyDescent="0.3">
      <c r="S737">
        <v>2.37</v>
      </c>
      <c r="T737">
        <v>-1.0449999999999999</v>
      </c>
      <c r="U737">
        <v>0.67800000000000005</v>
      </c>
      <c r="V737">
        <f t="shared" si="21"/>
        <v>0.66766666666666674</v>
      </c>
    </row>
    <row r="738" spans="19:22" x14ac:dyDescent="0.3">
      <c r="S738">
        <v>2.214</v>
      </c>
      <c r="T738">
        <v>-3.3000000000000002E-2</v>
      </c>
      <c r="U738">
        <v>0.71099999999999997</v>
      </c>
      <c r="V738">
        <f t="shared" si="21"/>
        <v>0.96399999999999997</v>
      </c>
    </row>
    <row r="739" spans="19:22" x14ac:dyDescent="0.3">
      <c r="S739">
        <v>2.1739999999999999</v>
      </c>
      <c r="T739">
        <v>-0.33700000000000002</v>
      </c>
      <c r="U739">
        <v>0.86099999999999999</v>
      </c>
      <c r="V739">
        <f t="shared" si="21"/>
        <v>0.89933333333333332</v>
      </c>
    </row>
    <row r="740" spans="19:22" x14ac:dyDescent="0.3">
      <c r="S740">
        <v>2.0739999999999998</v>
      </c>
      <c r="T740">
        <v>-0.85599999999999998</v>
      </c>
      <c r="U740">
        <v>0.438</v>
      </c>
      <c r="V740">
        <f t="shared" si="21"/>
        <v>0.55199999999999994</v>
      </c>
    </row>
    <row r="741" spans="19:22" x14ac:dyDescent="0.3">
      <c r="S741">
        <v>1.8720000000000001</v>
      </c>
      <c r="T741">
        <v>-0.78800000000000003</v>
      </c>
      <c r="U741">
        <v>7.4999999999999997E-2</v>
      </c>
      <c r="V741">
        <f t="shared" si="21"/>
        <v>0.38633333333333336</v>
      </c>
    </row>
    <row r="742" spans="19:22" x14ac:dyDescent="0.3">
      <c r="S742">
        <v>2.0739999999999998</v>
      </c>
      <c r="T742">
        <v>-0.23300000000000001</v>
      </c>
      <c r="U742">
        <v>-0.51700000000000002</v>
      </c>
      <c r="V742">
        <f t="shared" si="21"/>
        <v>0.4413333333333333</v>
      </c>
    </row>
    <row r="743" spans="19:22" x14ac:dyDescent="0.3">
      <c r="S743">
        <v>3.3279999999999998</v>
      </c>
      <c r="T743">
        <v>0.52100000000000002</v>
      </c>
      <c r="U743">
        <v>-0.44800000000000001</v>
      </c>
      <c r="V743">
        <f t="shared" si="21"/>
        <v>1.1336666666666666</v>
      </c>
    </row>
    <row r="744" spans="19:22" x14ac:dyDescent="0.3">
      <c r="S744">
        <v>3.4820000000000002</v>
      </c>
      <c r="T744">
        <v>0.77600000000000002</v>
      </c>
      <c r="U744">
        <v>-0.33100000000000002</v>
      </c>
      <c r="V744">
        <f t="shared" si="21"/>
        <v>1.3089999999999999</v>
      </c>
    </row>
    <row r="745" spans="19:22" x14ac:dyDescent="0.3">
      <c r="S745">
        <v>3.3319999999999999</v>
      </c>
      <c r="T745">
        <v>0.33800000000000002</v>
      </c>
      <c r="U745">
        <v>-0.30499999999999999</v>
      </c>
      <c r="V745">
        <f t="shared" si="21"/>
        <v>1.1216666666666666</v>
      </c>
    </row>
    <row r="746" spans="19:22" x14ac:dyDescent="0.3">
      <c r="S746">
        <v>2.903</v>
      </c>
      <c r="T746">
        <v>-0.36799999999999999</v>
      </c>
      <c r="U746">
        <v>-3.3000000000000002E-2</v>
      </c>
      <c r="V746">
        <f t="shared" si="21"/>
        <v>0.83400000000000007</v>
      </c>
    </row>
    <row r="747" spans="19:22" x14ac:dyDescent="0.3">
      <c r="S747">
        <v>2.4910000000000001</v>
      </c>
      <c r="T747">
        <v>-0.86599999999999999</v>
      </c>
      <c r="U747">
        <v>0.312</v>
      </c>
      <c r="V747">
        <f t="shared" si="21"/>
        <v>0.64566666666666672</v>
      </c>
    </row>
    <row r="748" spans="19:22" x14ac:dyDescent="0.3">
      <c r="S748">
        <v>2.3849999999999998</v>
      </c>
      <c r="T748">
        <v>-0.89500000000000002</v>
      </c>
      <c r="U748">
        <v>-0.25900000000000001</v>
      </c>
      <c r="V748">
        <f t="shared" si="21"/>
        <v>0.41033333333333327</v>
      </c>
    </row>
    <row r="749" spans="19:22" x14ac:dyDescent="0.3">
      <c r="S749">
        <v>2.1179999999999999</v>
      </c>
      <c r="T749">
        <v>-0.30299999999999999</v>
      </c>
      <c r="U749">
        <v>-0.34399999999999997</v>
      </c>
      <c r="V749">
        <f t="shared" si="21"/>
        <v>0.49033333333333334</v>
      </c>
    </row>
    <row r="750" spans="19:22" x14ac:dyDescent="0.3">
      <c r="S750">
        <v>1.778</v>
      </c>
      <c r="T750">
        <v>0.48</v>
      </c>
      <c r="U750">
        <v>-0.46200000000000002</v>
      </c>
      <c r="V750">
        <f t="shared" si="21"/>
        <v>0.59866666666666668</v>
      </c>
    </row>
    <row r="751" spans="19:22" x14ac:dyDescent="0.3">
      <c r="S751">
        <v>0.96599999999999997</v>
      </c>
      <c r="T751">
        <v>0.76100000000000001</v>
      </c>
      <c r="U751">
        <v>-0.64400000000000002</v>
      </c>
      <c r="V751">
        <f t="shared" si="21"/>
        <v>0.36099999999999993</v>
      </c>
    </row>
    <row r="752" spans="19:22" x14ac:dyDescent="0.3">
      <c r="S752">
        <v>0.27700000000000002</v>
      </c>
      <c r="T752">
        <v>0.59</v>
      </c>
      <c r="U752">
        <v>-0.33800000000000002</v>
      </c>
      <c r="V752">
        <f t="shared" si="21"/>
        <v>0.17633333333333331</v>
      </c>
    </row>
    <row r="753" spans="19:22" x14ac:dyDescent="0.3">
      <c r="S753">
        <v>0.437</v>
      </c>
      <c r="T753">
        <v>0.435</v>
      </c>
      <c r="U753">
        <v>-0.50900000000000001</v>
      </c>
      <c r="V753">
        <f t="shared" si="21"/>
        <v>0.121</v>
      </c>
    </row>
    <row r="754" spans="19:22" x14ac:dyDescent="0.3">
      <c r="S754">
        <v>0.57699999999999996</v>
      </c>
      <c r="T754">
        <v>0.56399999999999995</v>
      </c>
      <c r="U754">
        <v>-0.36599999999999999</v>
      </c>
      <c r="V754">
        <f t="shared" si="21"/>
        <v>0.25833333333333336</v>
      </c>
    </row>
    <row r="755" spans="19:22" x14ac:dyDescent="0.3">
      <c r="T755">
        <v>0.88500000000000001</v>
      </c>
      <c r="U755">
        <v>0.373</v>
      </c>
      <c r="V755">
        <f t="shared" si="21"/>
        <v>0.629</v>
      </c>
    </row>
    <row r="756" spans="19:22" x14ac:dyDescent="0.3">
      <c r="T756">
        <v>0.84599999999999997</v>
      </c>
      <c r="U756">
        <v>0.42</v>
      </c>
      <c r="V756">
        <f t="shared" si="21"/>
        <v>0.63300000000000001</v>
      </c>
    </row>
    <row r="757" spans="19:22" x14ac:dyDescent="0.3">
      <c r="T757">
        <v>0.86599999999999999</v>
      </c>
      <c r="U757">
        <v>0.56399999999999995</v>
      </c>
      <c r="V757">
        <f t="shared" si="21"/>
        <v>0.71499999999999997</v>
      </c>
    </row>
    <row r="758" spans="19:22" x14ac:dyDescent="0.3">
      <c r="T758">
        <v>0.73199999999999998</v>
      </c>
      <c r="U758">
        <v>0.85699999999999998</v>
      </c>
      <c r="V758">
        <f t="shared" si="21"/>
        <v>0.79449999999999998</v>
      </c>
    </row>
    <row r="759" spans="19:22" x14ac:dyDescent="0.3">
      <c r="T759">
        <v>0.27900000000000003</v>
      </c>
      <c r="U759">
        <v>0.84</v>
      </c>
      <c r="V759">
        <f t="shared" si="21"/>
        <v>0.5595</v>
      </c>
    </row>
    <row r="760" spans="19:22" x14ac:dyDescent="0.3">
      <c r="T760">
        <v>-8.5999999999999993E-2</v>
      </c>
      <c r="U760">
        <v>0.44400000000000001</v>
      </c>
      <c r="V760">
        <f t="shared" si="21"/>
        <v>0.17899999999999999</v>
      </c>
    </row>
    <row r="761" spans="19:22" x14ac:dyDescent="0.3">
      <c r="T761">
        <v>0.11799999999999999</v>
      </c>
      <c r="U761">
        <v>0.23899999999999999</v>
      </c>
      <c r="V761">
        <f t="shared" si="21"/>
        <v>0.17849999999999999</v>
      </c>
    </row>
    <row r="762" spans="19:22" x14ac:dyDescent="0.3">
      <c r="T762">
        <v>-0.17299999999999999</v>
      </c>
      <c r="U762">
        <v>-3.2000000000000001E-2</v>
      </c>
      <c r="V762">
        <f t="shared" si="21"/>
        <v>-0.10249999999999999</v>
      </c>
    </row>
    <row r="763" spans="19:22" x14ac:dyDescent="0.3">
      <c r="T763">
        <v>-0.441</v>
      </c>
      <c r="U763">
        <v>-0.34599999999999997</v>
      </c>
      <c r="V763">
        <f t="shared" si="21"/>
        <v>-0.39349999999999996</v>
      </c>
    </row>
    <row r="764" spans="19:22" x14ac:dyDescent="0.3">
      <c r="T764">
        <v>-0.67300000000000004</v>
      </c>
      <c r="U764">
        <v>-0.224</v>
      </c>
      <c r="V764">
        <f t="shared" si="21"/>
        <v>-0.44850000000000001</v>
      </c>
    </row>
    <row r="765" spans="19:22" x14ac:dyDescent="0.3">
      <c r="T765">
        <v>-0.28299999999999997</v>
      </c>
      <c r="U765">
        <v>-0.33900000000000002</v>
      </c>
      <c r="V765">
        <f t="shared" si="21"/>
        <v>-0.311</v>
      </c>
    </row>
    <row r="766" spans="19:22" x14ac:dyDescent="0.3">
      <c r="T766">
        <v>1.165</v>
      </c>
      <c r="U766">
        <v>0.314</v>
      </c>
      <c r="V766">
        <f t="shared" si="21"/>
        <v>0.73950000000000005</v>
      </c>
    </row>
    <row r="767" spans="19:22" x14ac:dyDescent="0.3">
      <c r="T767">
        <v>0.73699999999999999</v>
      </c>
      <c r="U767">
        <v>0.97099999999999997</v>
      </c>
      <c r="V767">
        <f t="shared" si="21"/>
        <v>0.85399999999999998</v>
      </c>
    </row>
    <row r="768" spans="19:22" x14ac:dyDescent="0.3">
      <c r="T768">
        <v>0.86299999999999999</v>
      </c>
      <c r="U768">
        <v>1.089</v>
      </c>
      <c r="V768">
        <f t="shared" si="21"/>
        <v>0.97599999999999998</v>
      </c>
    </row>
    <row r="769" spans="20:22" x14ac:dyDescent="0.3">
      <c r="T769">
        <v>0.94899999999999995</v>
      </c>
      <c r="U769">
        <v>0.76200000000000001</v>
      </c>
      <c r="V769">
        <f t="shared" si="21"/>
        <v>0.85549999999999993</v>
      </c>
    </row>
    <row r="770" spans="20:22" x14ac:dyDescent="0.3">
      <c r="T770">
        <v>0.97599999999999998</v>
      </c>
      <c r="U770">
        <v>0.20699999999999999</v>
      </c>
      <c r="V770">
        <f t="shared" si="21"/>
        <v>0.59150000000000003</v>
      </c>
    </row>
    <row r="771" spans="20:22" x14ac:dyDescent="0.3">
      <c r="T771">
        <v>0.88</v>
      </c>
      <c r="U771">
        <v>-3.0000000000000001E-3</v>
      </c>
      <c r="V771">
        <f t="shared" si="21"/>
        <v>0.4385</v>
      </c>
    </row>
    <row r="772" spans="20:22" x14ac:dyDescent="0.3">
      <c r="T772">
        <v>0.61399999999999999</v>
      </c>
      <c r="U772">
        <v>0.32300000000000001</v>
      </c>
      <c r="V772">
        <f t="shared" si="21"/>
        <v>0.46850000000000003</v>
      </c>
    </row>
    <row r="773" spans="20:22" x14ac:dyDescent="0.3">
      <c r="T773">
        <v>1.1020000000000001</v>
      </c>
      <c r="U773">
        <v>0.54700000000000004</v>
      </c>
      <c r="V773">
        <f t="shared" si="21"/>
        <v>0.82450000000000001</v>
      </c>
    </row>
    <row r="774" spans="20:22" x14ac:dyDescent="0.3">
      <c r="T774">
        <v>1.5349999999999999</v>
      </c>
      <c r="U774">
        <v>0.747</v>
      </c>
      <c r="V774">
        <f t="shared" si="21"/>
        <v>1.141</v>
      </c>
    </row>
    <row r="775" spans="20:22" x14ac:dyDescent="0.3">
      <c r="T775">
        <v>1.615</v>
      </c>
      <c r="U775">
        <v>0.85299999999999998</v>
      </c>
      <c r="V775">
        <f t="shared" si="21"/>
        <v>1.234</v>
      </c>
    </row>
    <row r="776" spans="20:22" x14ac:dyDescent="0.3">
      <c r="T776">
        <v>1.4219999999999999</v>
      </c>
      <c r="U776">
        <v>0.90900000000000003</v>
      </c>
      <c r="V776">
        <f t="shared" si="21"/>
        <v>1.1655</v>
      </c>
    </row>
    <row r="777" spans="20:22" x14ac:dyDescent="0.3">
      <c r="T777">
        <v>1.55</v>
      </c>
      <c r="U777">
        <v>0.73</v>
      </c>
      <c r="V777">
        <f t="shared" si="21"/>
        <v>1.1400000000000001</v>
      </c>
    </row>
    <row r="778" spans="20:22" x14ac:dyDescent="0.3">
      <c r="T778">
        <v>1.329</v>
      </c>
      <c r="U778">
        <v>0.65700000000000003</v>
      </c>
      <c r="V778">
        <f t="shared" si="21"/>
        <v>0.99299999999999999</v>
      </c>
    </row>
    <row r="779" spans="20:22" x14ac:dyDescent="0.3">
      <c r="T779">
        <v>1.1479999999999999</v>
      </c>
      <c r="U779">
        <v>0.68700000000000006</v>
      </c>
      <c r="V779">
        <f t="shared" si="21"/>
        <v>0.91749999999999998</v>
      </c>
    </row>
    <row r="780" spans="20:22" x14ac:dyDescent="0.3">
      <c r="T780">
        <v>0.76100000000000001</v>
      </c>
      <c r="U780">
        <v>0.77300000000000002</v>
      </c>
      <c r="V780">
        <f t="shared" ref="V780:V802" si="22">AVERAGE(R780:U780)</f>
        <v>0.76700000000000002</v>
      </c>
    </row>
    <row r="781" spans="20:22" x14ac:dyDescent="0.3">
      <c r="T781">
        <v>1.782</v>
      </c>
      <c r="U781">
        <v>0.59699999999999998</v>
      </c>
      <c r="V781">
        <f t="shared" si="22"/>
        <v>1.1895</v>
      </c>
    </row>
    <row r="782" spans="20:22" x14ac:dyDescent="0.3">
      <c r="T782">
        <v>3.03</v>
      </c>
      <c r="U782">
        <v>0.36299999999999999</v>
      </c>
      <c r="V782">
        <f t="shared" si="22"/>
        <v>1.6964999999999999</v>
      </c>
    </row>
    <row r="783" spans="20:22" x14ac:dyDescent="0.3">
      <c r="T783">
        <v>2.59</v>
      </c>
      <c r="U783">
        <v>0.126</v>
      </c>
      <c r="V783">
        <f t="shared" si="22"/>
        <v>1.3579999999999999</v>
      </c>
    </row>
    <row r="784" spans="20:22" x14ac:dyDescent="0.3">
      <c r="T784">
        <v>1.929</v>
      </c>
      <c r="U784">
        <v>6.2E-2</v>
      </c>
      <c r="V784">
        <f t="shared" si="22"/>
        <v>0.99550000000000005</v>
      </c>
    </row>
    <row r="785" spans="20:22" x14ac:dyDescent="0.3">
      <c r="T785">
        <v>1.579</v>
      </c>
      <c r="U785">
        <v>0.19700000000000001</v>
      </c>
      <c r="V785">
        <f t="shared" si="22"/>
        <v>0.88800000000000001</v>
      </c>
    </row>
    <row r="786" spans="20:22" x14ac:dyDescent="0.3">
      <c r="T786">
        <v>1.0960000000000001</v>
      </c>
      <c r="U786">
        <v>0.31900000000000001</v>
      </c>
      <c r="V786">
        <f t="shared" si="22"/>
        <v>0.70750000000000002</v>
      </c>
    </row>
    <row r="787" spans="20:22" x14ac:dyDescent="0.3">
      <c r="T787">
        <v>0.68500000000000005</v>
      </c>
      <c r="U787">
        <v>2.4E-2</v>
      </c>
      <c r="V787">
        <f t="shared" si="22"/>
        <v>0.35450000000000004</v>
      </c>
    </row>
    <row r="788" spans="20:22" x14ac:dyDescent="0.3">
      <c r="T788">
        <v>0.75900000000000001</v>
      </c>
      <c r="U788">
        <v>-0.129</v>
      </c>
      <c r="V788">
        <f t="shared" si="22"/>
        <v>0.315</v>
      </c>
    </row>
    <row r="789" spans="20:22" x14ac:dyDescent="0.3">
      <c r="T789">
        <v>0.55300000000000005</v>
      </c>
      <c r="U789">
        <v>-0.24199999999999999</v>
      </c>
      <c r="V789">
        <f t="shared" si="22"/>
        <v>0.15550000000000003</v>
      </c>
    </row>
    <row r="790" spans="20:22" x14ac:dyDescent="0.3">
      <c r="T790">
        <v>0.19600000000000001</v>
      </c>
      <c r="U790">
        <v>-0.47599999999999998</v>
      </c>
      <c r="V790">
        <f t="shared" si="22"/>
        <v>-0.13999999999999999</v>
      </c>
    </row>
    <row r="791" spans="20:22" x14ac:dyDescent="0.3">
      <c r="T791">
        <v>0.70399999999999996</v>
      </c>
      <c r="U791">
        <v>0.64500000000000002</v>
      </c>
      <c r="V791">
        <f t="shared" si="22"/>
        <v>0.67449999999999999</v>
      </c>
    </row>
    <row r="792" spans="20:22" x14ac:dyDescent="0.3">
      <c r="T792">
        <v>1.0109999999999999</v>
      </c>
      <c r="U792">
        <v>0.76600000000000001</v>
      </c>
      <c r="V792">
        <f t="shared" si="22"/>
        <v>0.88849999999999996</v>
      </c>
    </row>
    <row r="793" spans="20:22" x14ac:dyDescent="0.3">
      <c r="T793">
        <v>1.262</v>
      </c>
      <c r="U793">
        <v>0.502</v>
      </c>
      <c r="V793">
        <f t="shared" si="22"/>
        <v>0.88200000000000001</v>
      </c>
    </row>
    <row r="794" spans="20:22" x14ac:dyDescent="0.3">
      <c r="T794">
        <v>1.4339999999999999</v>
      </c>
      <c r="U794">
        <v>0.17299999999999999</v>
      </c>
      <c r="V794">
        <f t="shared" si="22"/>
        <v>0.80349999999999999</v>
      </c>
    </row>
    <row r="795" spans="20:22" x14ac:dyDescent="0.3">
      <c r="T795">
        <v>1.3149999999999999</v>
      </c>
      <c r="U795">
        <v>0.114</v>
      </c>
      <c r="V795">
        <f t="shared" si="22"/>
        <v>0.71450000000000002</v>
      </c>
    </row>
    <row r="796" spans="20:22" x14ac:dyDescent="0.3">
      <c r="T796">
        <v>1.0620000000000001</v>
      </c>
      <c r="U796">
        <v>-0.14899999999999999</v>
      </c>
      <c r="V796">
        <f t="shared" si="22"/>
        <v>0.45650000000000002</v>
      </c>
    </row>
    <row r="797" spans="20:22" x14ac:dyDescent="0.3">
      <c r="T797">
        <v>1.323</v>
      </c>
      <c r="U797">
        <v>-0.379</v>
      </c>
      <c r="V797">
        <f t="shared" si="22"/>
        <v>0.47199999999999998</v>
      </c>
    </row>
    <row r="798" spans="20:22" x14ac:dyDescent="0.3">
      <c r="T798">
        <v>0.83699999999999997</v>
      </c>
      <c r="U798">
        <v>-0.27500000000000002</v>
      </c>
      <c r="V798">
        <f t="shared" si="22"/>
        <v>0.28099999999999997</v>
      </c>
    </row>
    <row r="799" spans="20:22" x14ac:dyDescent="0.3">
      <c r="T799">
        <v>0.23100000000000001</v>
      </c>
      <c r="U799">
        <v>-0.42699999999999999</v>
      </c>
      <c r="V799">
        <f t="shared" si="22"/>
        <v>-9.799999999999999E-2</v>
      </c>
    </row>
    <row r="800" spans="20:22" x14ac:dyDescent="0.3">
      <c r="T800">
        <v>0.27500000000000002</v>
      </c>
      <c r="U800">
        <v>-0.253</v>
      </c>
      <c r="V800">
        <f t="shared" si="22"/>
        <v>1.100000000000001E-2</v>
      </c>
    </row>
    <row r="801" spans="20:22" x14ac:dyDescent="0.3">
      <c r="T801">
        <v>0.42899999999999999</v>
      </c>
      <c r="U801">
        <v>-0.27</v>
      </c>
      <c r="V801">
        <f t="shared" si="22"/>
        <v>7.9499999999999987E-2</v>
      </c>
    </row>
    <row r="802" spans="20:22" x14ac:dyDescent="0.3">
      <c r="T802">
        <v>0.67100000000000004</v>
      </c>
      <c r="U802">
        <v>-0.36</v>
      </c>
      <c r="V802">
        <f t="shared" si="22"/>
        <v>0.15550000000000003</v>
      </c>
    </row>
  </sheetData>
  <autoFilter ref="A10:D10" xr:uid="{00000000-0009-0000-0000-000000000000}">
    <sortState xmlns:xlrd2="http://schemas.microsoft.com/office/spreadsheetml/2017/richdata2" ref="A11:D430">
      <sortCondition ref="D10"/>
    </sortState>
  </autoFilter>
  <mergeCells count="2">
    <mergeCell ref="K10:L10"/>
    <mergeCell ref="F10:G10"/>
  </mergeCells>
  <pageMargins left="0.7" right="0.7" top="0.75" bottom="0.75" header="0.3" footer="0.3"/>
  <pageSetup paperSize="9" orientation="portrait" horizontalDpi="4294967292" verticalDpi="429496729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B132"/>
  <sheetViews>
    <sheetView workbookViewId="0"/>
  </sheetViews>
  <sheetFormatPr baseColWidth="10" defaultColWidth="11.44140625" defaultRowHeight="14.4" x14ac:dyDescent="0.3"/>
  <sheetData>
    <row r="1" spans="1:2" x14ac:dyDescent="0.3">
      <c r="A1" t="s">
        <v>44</v>
      </c>
      <c r="B1" s="10" t="s">
        <v>45</v>
      </c>
    </row>
    <row r="2" spans="1:2" x14ac:dyDescent="0.3">
      <c r="A2">
        <v>1</v>
      </c>
      <c r="B2" s="11">
        <v>477</v>
      </c>
    </row>
    <row r="3" spans="1:2" x14ac:dyDescent="0.3">
      <c r="A3">
        <v>2</v>
      </c>
      <c r="B3" s="11">
        <v>395.6</v>
      </c>
    </row>
    <row r="4" spans="1:2" x14ac:dyDescent="0.3">
      <c r="A4">
        <v>3</v>
      </c>
      <c r="B4" s="11">
        <v>361.7</v>
      </c>
    </row>
    <row r="5" spans="1:2" x14ac:dyDescent="0.3">
      <c r="A5">
        <v>4</v>
      </c>
      <c r="B5" s="11">
        <v>421</v>
      </c>
    </row>
    <row r="6" spans="1:2" x14ac:dyDescent="0.3">
      <c r="A6">
        <v>5</v>
      </c>
      <c r="B6" s="11">
        <v>513.29999999999995</v>
      </c>
    </row>
    <row r="7" spans="1:2" x14ac:dyDescent="0.3">
      <c r="A7">
        <v>6</v>
      </c>
      <c r="B7" s="11">
        <v>573.20000000000005</v>
      </c>
    </row>
    <row r="8" spans="1:2" x14ac:dyDescent="0.3">
      <c r="A8">
        <v>7</v>
      </c>
      <c r="B8" s="11">
        <v>558.29999999999995</v>
      </c>
    </row>
    <row r="9" spans="1:2" x14ac:dyDescent="0.3">
      <c r="A9">
        <v>8</v>
      </c>
      <c r="B9" s="11">
        <v>525.9</v>
      </c>
    </row>
    <row r="10" spans="1:2" x14ac:dyDescent="0.3">
      <c r="A10">
        <v>9</v>
      </c>
      <c r="B10" s="11">
        <v>571.9</v>
      </c>
    </row>
    <row r="11" spans="1:2" x14ac:dyDescent="0.3">
      <c r="A11">
        <v>10</v>
      </c>
      <c r="B11" s="11">
        <v>591.5</v>
      </c>
    </row>
    <row r="12" spans="1:2" x14ac:dyDescent="0.3">
      <c r="A12">
        <v>11</v>
      </c>
      <c r="B12" s="11">
        <v>559.9</v>
      </c>
    </row>
    <row r="13" spans="1:2" x14ac:dyDescent="0.3">
      <c r="A13">
        <v>12</v>
      </c>
      <c r="B13" s="11">
        <v>350.9</v>
      </c>
    </row>
    <row r="14" spans="1:2" x14ac:dyDescent="0.3">
      <c r="A14">
        <v>13</v>
      </c>
      <c r="B14" s="11">
        <v>187.5</v>
      </c>
    </row>
    <row r="15" spans="1:2" x14ac:dyDescent="0.3">
      <c r="A15">
        <v>14</v>
      </c>
      <c r="B15" s="11">
        <v>182.7</v>
      </c>
    </row>
    <row r="16" spans="1:2" x14ac:dyDescent="0.3">
      <c r="A16">
        <v>15</v>
      </c>
      <c r="B16" s="11">
        <v>183.9</v>
      </c>
    </row>
    <row r="17" spans="1:2" x14ac:dyDescent="0.3">
      <c r="A17">
        <v>16</v>
      </c>
      <c r="B17" s="11">
        <v>223</v>
      </c>
    </row>
    <row r="18" spans="1:2" x14ac:dyDescent="0.3">
      <c r="A18">
        <v>17</v>
      </c>
      <c r="B18" s="11">
        <v>312</v>
      </c>
    </row>
    <row r="19" spans="1:2" x14ac:dyDescent="0.3">
      <c r="A19">
        <v>18</v>
      </c>
      <c r="B19" s="11">
        <v>291.10000000000002</v>
      </c>
    </row>
    <row r="20" spans="1:2" x14ac:dyDescent="0.3">
      <c r="A20">
        <v>19</v>
      </c>
      <c r="B20" s="11">
        <v>260.3</v>
      </c>
    </row>
    <row r="21" spans="1:2" x14ac:dyDescent="0.3">
      <c r="A21">
        <v>20</v>
      </c>
      <c r="B21" s="11">
        <v>274.10000000000002</v>
      </c>
    </row>
    <row r="22" spans="1:2" x14ac:dyDescent="0.3">
      <c r="A22">
        <v>21</v>
      </c>
      <c r="B22" s="11">
        <v>330.4</v>
      </c>
    </row>
    <row r="23" spans="1:2" x14ac:dyDescent="0.3">
      <c r="A23">
        <v>22</v>
      </c>
      <c r="B23" s="11">
        <v>390.3</v>
      </c>
    </row>
    <row r="24" spans="1:2" x14ac:dyDescent="0.3">
      <c r="A24">
        <v>23</v>
      </c>
      <c r="B24" s="11">
        <v>432</v>
      </c>
    </row>
    <row r="25" spans="1:2" x14ac:dyDescent="0.3">
      <c r="A25">
        <v>24</v>
      </c>
      <c r="B25" s="11">
        <v>393.2</v>
      </c>
    </row>
    <row r="26" spans="1:2" x14ac:dyDescent="0.3">
      <c r="A26">
        <v>25</v>
      </c>
      <c r="B26" s="11">
        <v>222.4</v>
      </c>
    </row>
    <row r="27" spans="1:2" x14ac:dyDescent="0.3">
      <c r="A27">
        <v>26</v>
      </c>
      <c r="B27" s="11">
        <v>202.3</v>
      </c>
    </row>
    <row r="28" spans="1:2" x14ac:dyDescent="0.3">
      <c r="A28">
        <v>27</v>
      </c>
      <c r="B28" s="11">
        <v>300.2</v>
      </c>
    </row>
    <row r="29" spans="1:2" x14ac:dyDescent="0.3">
      <c r="A29">
        <v>28</v>
      </c>
      <c r="B29" s="11">
        <v>400.9</v>
      </c>
    </row>
    <row r="30" spans="1:2" x14ac:dyDescent="0.3">
      <c r="A30">
        <v>29</v>
      </c>
      <c r="B30" s="11">
        <v>445</v>
      </c>
    </row>
    <row r="31" spans="1:2" x14ac:dyDescent="0.3">
      <c r="A31">
        <v>30</v>
      </c>
      <c r="B31" s="11">
        <v>432.6</v>
      </c>
    </row>
    <row r="32" spans="1:2" x14ac:dyDescent="0.3">
      <c r="A32">
        <v>31</v>
      </c>
      <c r="B32" s="11">
        <v>339.4</v>
      </c>
    </row>
    <row r="33" spans="1:2" x14ac:dyDescent="0.3">
      <c r="A33">
        <v>32</v>
      </c>
      <c r="B33" s="11">
        <v>349</v>
      </c>
    </row>
    <row r="34" spans="1:2" x14ac:dyDescent="0.3">
      <c r="A34">
        <v>33</v>
      </c>
      <c r="B34" s="11">
        <v>393.5</v>
      </c>
    </row>
    <row r="35" spans="1:2" x14ac:dyDescent="0.3">
      <c r="A35">
        <v>34</v>
      </c>
      <c r="B35" s="11">
        <v>465.5</v>
      </c>
    </row>
    <row r="36" spans="1:2" x14ac:dyDescent="0.3">
      <c r="A36">
        <v>35</v>
      </c>
      <c r="B36" s="11">
        <v>394.7</v>
      </c>
    </row>
    <row r="37" spans="1:2" x14ac:dyDescent="0.3">
      <c r="A37">
        <v>36</v>
      </c>
      <c r="B37" s="11">
        <v>243.8</v>
      </c>
    </row>
    <row r="38" spans="1:2" x14ac:dyDescent="0.3">
      <c r="A38">
        <v>37</v>
      </c>
      <c r="B38" s="11">
        <v>175.8</v>
      </c>
    </row>
    <row r="39" spans="1:2" x14ac:dyDescent="0.3">
      <c r="A39">
        <v>38</v>
      </c>
      <c r="B39" s="11">
        <v>173</v>
      </c>
    </row>
    <row r="40" spans="1:2" x14ac:dyDescent="0.3">
      <c r="A40">
        <v>39</v>
      </c>
      <c r="B40" s="11">
        <v>248.7</v>
      </c>
    </row>
    <row r="41" spans="1:2" x14ac:dyDescent="0.3">
      <c r="A41">
        <v>40</v>
      </c>
      <c r="B41" s="11">
        <v>324.39999999999998</v>
      </c>
    </row>
    <row r="42" spans="1:2" x14ac:dyDescent="0.3">
      <c r="A42">
        <v>41</v>
      </c>
      <c r="B42" s="11">
        <v>392.4</v>
      </c>
    </row>
    <row r="43" spans="1:2" x14ac:dyDescent="0.3">
      <c r="A43">
        <v>42</v>
      </c>
      <c r="B43" s="11">
        <v>449.4</v>
      </c>
    </row>
    <row r="44" spans="1:2" x14ac:dyDescent="0.3">
      <c r="A44">
        <v>43</v>
      </c>
      <c r="B44" s="11">
        <v>443.4</v>
      </c>
    </row>
    <row r="45" spans="1:2" x14ac:dyDescent="0.3">
      <c r="A45">
        <v>44</v>
      </c>
      <c r="B45" s="11">
        <v>400.8</v>
      </c>
    </row>
    <row r="46" spans="1:2" x14ac:dyDescent="0.3">
      <c r="A46">
        <v>45</v>
      </c>
      <c r="B46" s="11">
        <v>467.7</v>
      </c>
    </row>
    <row r="47" spans="1:2" x14ac:dyDescent="0.3">
      <c r="A47">
        <v>46</v>
      </c>
      <c r="B47" s="11">
        <v>518</v>
      </c>
    </row>
    <row r="48" spans="1:2" x14ac:dyDescent="0.3">
      <c r="A48">
        <v>47</v>
      </c>
      <c r="B48" s="11">
        <v>566.4</v>
      </c>
    </row>
    <row r="49" spans="1:2" x14ac:dyDescent="0.3">
      <c r="A49">
        <v>48</v>
      </c>
      <c r="B49" s="11">
        <v>474.6</v>
      </c>
    </row>
    <row r="50" spans="1:2" x14ac:dyDescent="0.3">
      <c r="A50">
        <v>49</v>
      </c>
      <c r="B50" s="11">
        <v>220.1</v>
      </c>
    </row>
    <row r="51" spans="1:2" x14ac:dyDescent="0.3">
      <c r="A51">
        <v>50</v>
      </c>
      <c r="B51" s="11">
        <v>125.6</v>
      </c>
    </row>
    <row r="52" spans="1:2" x14ac:dyDescent="0.3">
      <c r="A52">
        <v>51</v>
      </c>
      <c r="B52" s="11">
        <v>159.30000000000001</v>
      </c>
    </row>
    <row r="53" spans="1:2" x14ac:dyDescent="0.3">
      <c r="A53">
        <v>52</v>
      </c>
      <c r="B53" s="11">
        <v>349.9</v>
      </c>
    </row>
    <row r="54" spans="1:2" x14ac:dyDescent="0.3">
      <c r="A54">
        <v>53</v>
      </c>
      <c r="B54" s="11">
        <v>431.1</v>
      </c>
    </row>
    <row r="55" spans="1:2" x14ac:dyDescent="0.3">
      <c r="A55">
        <v>54</v>
      </c>
      <c r="B55" s="11">
        <v>380</v>
      </c>
    </row>
    <row r="56" spans="1:2" x14ac:dyDescent="0.3">
      <c r="A56">
        <v>55</v>
      </c>
      <c r="B56" s="11">
        <v>381.1</v>
      </c>
    </row>
    <row r="57" spans="1:2" x14ac:dyDescent="0.3">
      <c r="A57">
        <v>56</v>
      </c>
      <c r="B57" s="11">
        <v>401</v>
      </c>
    </row>
    <row r="58" spans="1:2" x14ac:dyDescent="0.3">
      <c r="A58">
        <v>57</v>
      </c>
      <c r="B58" s="11">
        <v>458.3</v>
      </c>
    </row>
    <row r="59" spans="1:2" x14ac:dyDescent="0.3">
      <c r="A59">
        <v>58</v>
      </c>
      <c r="B59" s="11">
        <v>540.70000000000005</v>
      </c>
    </row>
    <row r="60" spans="1:2" x14ac:dyDescent="0.3">
      <c r="A60">
        <v>59</v>
      </c>
      <c r="B60" s="11">
        <v>527.70000000000005</v>
      </c>
    </row>
    <row r="61" spans="1:2" x14ac:dyDescent="0.3">
      <c r="A61">
        <v>60</v>
      </c>
      <c r="B61" s="11">
        <v>432.7</v>
      </c>
    </row>
    <row r="62" spans="1:2" x14ac:dyDescent="0.3">
      <c r="A62">
        <v>61</v>
      </c>
      <c r="B62" s="11">
        <v>291.2</v>
      </c>
    </row>
    <row r="63" spans="1:2" x14ac:dyDescent="0.3">
      <c r="A63">
        <v>62</v>
      </c>
      <c r="B63" s="11">
        <v>219.8</v>
      </c>
    </row>
    <row r="64" spans="1:2" x14ac:dyDescent="0.3">
      <c r="A64">
        <v>63</v>
      </c>
      <c r="B64" s="11">
        <v>255.8</v>
      </c>
    </row>
    <row r="65" spans="1:2" x14ac:dyDescent="0.3">
      <c r="A65">
        <v>64</v>
      </c>
      <c r="B65" s="11">
        <v>380.2</v>
      </c>
    </row>
    <row r="66" spans="1:2" x14ac:dyDescent="0.3">
      <c r="A66">
        <v>65</v>
      </c>
      <c r="B66" s="11">
        <v>463.6</v>
      </c>
    </row>
    <row r="67" spans="1:2" x14ac:dyDescent="0.3">
      <c r="A67">
        <v>66</v>
      </c>
      <c r="B67" s="11">
        <v>466.4</v>
      </c>
    </row>
    <row r="68" spans="1:2" x14ac:dyDescent="0.3">
      <c r="A68">
        <v>67</v>
      </c>
      <c r="B68" s="11">
        <v>397.4</v>
      </c>
    </row>
    <row r="69" spans="1:2" x14ac:dyDescent="0.3">
      <c r="A69">
        <v>68</v>
      </c>
      <c r="B69" s="11">
        <v>389.9</v>
      </c>
    </row>
    <row r="70" spans="1:2" x14ac:dyDescent="0.3">
      <c r="A70">
        <v>69</v>
      </c>
      <c r="B70" s="11">
        <v>442.1</v>
      </c>
    </row>
    <row r="71" spans="1:2" x14ac:dyDescent="0.3">
      <c r="A71">
        <v>70</v>
      </c>
      <c r="B71" s="11">
        <v>519.70000000000005</v>
      </c>
    </row>
    <row r="72" spans="1:2" x14ac:dyDescent="0.3">
      <c r="A72">
        <v>71</v>
      </c>
      <c r="B72" s="11">
        <v>562.79999999999995</v>
      </c>
    </row>
    <row r="73" spans="1:2" x14ac:dyDescent="0.3">
      <c r="A73">
        <v>72</v>
      </c>
      <c r="B73" s="11">
        <v>508.5</v>
      </c>
    </row>
    <row r="74" spans="1:2" x14ac:dyDescent="0.3">
      <c r="A74">
        <v>73</v>
      </c>
      <c r="B74" s="11">
        <v>388.1</v>
      </c>
    </row>
    <row r="75" spans="1:2" x14ac:dyDescent="0.3">
      <c r="A75">
        <v>74</v>
      </c>
      <c r="B75" s="11">
        <v>277.7</v>
      </c>
    </row>
    <row r="76" spans="1:2" x14ac:dyDescent="0.3">
      <c r="A76">
        <v>75</v>
      </c>
      <c r="B76" s="11">
        <v>383.4</v>
      </c>
    </row>
    <row r="77" spans="1:2" x14ac:dyDescent="0.3">
      <c r="A77">
        <v>76</v>
      </c>
      <c r="B77" s="11">
        <v>510.2</v>
      </c>
    </row>
    <row r="78" spans="1:2" x14ac:dyDescent="0.3">
      <c r="A78">
        <v>77</v>
      </c>
      <c r="B78" s="11">
        <v>592.9</v>
      </c>
    </row>
    <row r="79" spans="1:2" x14ac:dyDescent="0.3">
      <c r="A79">
        <v>78</v>
      </c>
      <c r="B79" s="11">
        <v>579.9</v>
      </c>
    </row>
    <row r="80" spans="1:2" x14ac:dyDescent="0.3">
      <c r="A80">
        <v>79</v>
      </c>
      <c r="B80" s="11">
        <v>484.6</v>
      </c>
    </row>
    <row r="81" spans="1:2" x14ac:dyDescent="0.3">
      <c r="A81">
        <v>80</v>
      </c>
      <c r="B81" s="11">
        <v>474.7</v>
      </c>
    </row>
    <row r="82" spans="1:2" x14ac:dyDescent="0.3">
      <c r="A82">
        <v>81</v>
      </c>
      <c r="B82" s="11">
        <v>472.9</v>
      </c>
    </row>
    <row r="83" spans="1:2" x14ac:dyDescent="0.3">
      <c r="A83">
        <v>82</v>
      </c>
      <c r="B83" s="11">
        <v>527.4</v>
      </c>
    </row>
    <row r="84" spans="1:2" x14ac:dyDescent="0.3">
      <c r="A84">
        <v>83</v>
      </c>
      <c r="B84" s="11">
        <v>588.6</v>
      </c>
    </row>
    <row r="85" spans="1:2" x14ac:dyDescent="0.3">
      <c r="A85">
        <v>84</v>
      </c>
      <c r="B85" s="11">
        <v>540.29999999999995</v>
      </c>
    </row>
    <row r="86" spans="1:2" x14ac:dyDescent="0.3">
      <c r="A86">
        <v>85</v>
      </c>
      <c r="B86" s="11">
        <v>365.2</v>
      </c>
    </row>
    <row r="87" spans="1:2" x14ac:dyDescent="0.3">
      <c r="A87">
        <v>86</v>
      </c>
      <c r="B87" s="11">
        <v>190.1</v>
      </c>
    </row>
    <row r="88" spans="1:2" x14ac:dyDescent="0.3">
      <c r="A88">
        <v>87</v>
      </c>
      <c r="B88" s="11">
        <v>346.9</v>
      </c>
    </row>
    <row r="89" spans="1:2" x14ac:dyDescent="0.3">
      <c r="A89">
        <v>88</v>
      </c>
      <c r="B89" s="11">
        <v>478.1</v>
      </c>
    </row>
    <row r="90" spans="1:2" x14ac:dyDescent="0.3">
      <c r="A90">
        <v>89</v>
      </c>
      <c r="B90" s="11">
        <v>581.79999999999995</v>
      </c>
    </row>
    <row r="91" spans="1:2" x14ac:dyDescent="0.3">
      <c r="A91">
        <v>90</v>
      </c>
      <c r="B91" s="11">
        <v>601.1</v>
      </c>
    </row>
    <row r="92" spans="1:2" x14ac:dyDescent="0.3">
      <c r="A92">
        <v>91</v>
      </c>
      <c r="B92" s="11">
        <v>569.9</v>
      </c>
    </row>
    <row r="93" spans="1:2" x14ac:dyDescent="0.3">
      <c r="A93">
        <v>92</v>
      </c>
      <c r="B93" s="11">
        <v>595.6</v>
      </c>
    </row>
    <row r="94" spans="1:2" x14ac:dyDescent="0.3">
      <c r="A94">
        <v>93</v>
      </c>
      <c r="B94" s="11">
        <v>604.4</v>
      </c>
    </row>
    <row r="95" spans="1:2" x14ac:dyDescent="0.3">
      <c r="A95">
        <v>94</v>
      </c>
      <c r="B95" s="11">
        <v>635.79999999999995</v>
      </c>
    </row>
    <row r="96" spans="1:2" x14ac:dyDescent="0.3">
      <c r="A96">
        <v>95</v>
      </c>
      <c r="B96" s="11">
        <v>637.9</v>
      </c>
    </row>
    <row r="97" spans="1:2" x14ac:dyDescent="0.3">
      <c r="A97">
        <v>96</v>
      </c>
      <c r="B97" s="11">
        <v>556.6</v>
      </c>
    </row>
    <row r="98" spans="1:2" x14ac:dyDescent="0.3">
      <c r="A98">
        <v>97</v>
      </c>
      <c r="B98" s="11">
        <v>434.3</v>
      </c>
    </row>
    <row r="99" spans="1:2" x14ac:dyDescent="0.3">
      <c r="A99">
        <v>98</v>
      </c>
      <c r="B99" s="11">
        <v>380.6</v>
      </c>
    </row>
    <row r="100" spans="1:2" x14ac:dyDescent="0.3">
      <c r="A100">
        <v>99</v>
      </c>
      <c r="B100" s="11">
        <v>374.5</v>
      </c>
    </row>
    <row r="101" spans="1:2" x14ac:dyDescent="0.3">
      <c r="A101">
        <v>100</v>
      </c>
      <c r="B101" s="11">
        <v>475.4</v>
      </c>
    </row>
    <row r="102" spans="1:2" x14ac:dyDescent="0.3">
      <c r="A102">
        <v>101</v>
      </c>
      <c r="B102" s="11">
        <v>578.70000000000005</v>
      </c>
    </row>
    <row r="103" spans="1:2" x14ac:dyDescent="0.3">
      <c r="A103">
        <v>102</v>
      </c>
      <c r="B103" s="11">
        <v>633.70000000000005</v>
      </c>
    </row>
    <row r="104" spans="1:2" x14ac:dyDescent="0.3">
      <c r="A104">
        <v>103</v>
      </c>
      <c r="B104" s="11">
        <v>641</v>
      </c>
    </row>
    <row r="105" spans="1:2" x14ac:dyDescent="0.3">
      <c r="A105">
        <v>104</v>
      </c>
      <c r="B105" s="11">
        <v>649.79999999999995</v>
      </c>
    </row>
    <row r="106" spans="1:2" x14ac:dyDescent="0.3">
      <c r="A106">
        <v>105</v>
      </c>
      <c r="B106" s="11">
        <v>653.4</v>
      </c>
    </row>
    <row r="107" spans="1:2" x14ac:dyDescent="0.3">
      <c r="A107">
        <v>106</v>
      </c>
      <c r="B107" s="11">
        <v>679.9</v>
      </c>
    </row>
    <row r="108" spans="1:2" x14ac:dyDescent="0.3">
      <c r="A108">
        <v>107</v>
      </c>
      <c r="B108" s="11">
        <v>668.1</v>
      </c>
    </row>
    <row r="109" spans="1:2" x14ac:dyDescent="0.3">
      <c r="A109">
        <v>108</v>
      </c>
      <c r="B109" s="11">
        <v>589.6</v>
      </c>
    </row>
    <row r="110" spans="1:2" x14ac:dyDescent="0.3">
      <c r="A110">
        <v>109</v>
      </c>
      <c r="B110" s="11">
        <v>479.6</v>
      </c>
    </row>
    <row r="111" spans="1:2" x14ac:dyDescent="0.3">
      <c r="A111">
        <v>110</v>
      </c>
      <c r="B111" s="11">
        <v>359.6</v>
      </c>
    </row>
    <row r="112" spans="1:2" x14ac:dyDescent="0.3">
      <c r="A112">
        <v>111</v>
      </c>
      <c r="B112" s="11">
        <v>394.5</v>
      </c>
    </row>
    <row r="113" spans="1:2" x14ac:dyDescent="0.3">
      <c r="A113">
        <v>112</v>
      </c>
      <c r="B113" s="11">
        <v>454.6</v>
      </c>
    </row>
    <row r="114" spans="1:2" x14ac:dyDescent="0.3">
      <c r="A114">
        <v>113</v>
      </c>
      <c r="B114" s="11">
        <v>476.9</v>
      </c>
    </row>
    <row r="115" spans="1:2" x14ac:dyDescent="0.3">
      <c r="A115">
        <v>114</v>
      </c>
      <c r="B115" s="11">
        <v>460.8</v>
      </c>
    </row>
    <row r="116" spans="1:2" x14ac:dyDescent="0.3">
      <c r="A116">
        <v>115</v>
      </c>
      <c r="B116" s="11">
        <v>369.3</v>
      </c>
    </row>
    <row r="117" spans="1:2" x14ac:dyDescent="0.3">
      <c r="A117">
        <v>116</v>
      </c>
      <c r="B117" s="11">
        <v>369.2</v>
      </c>
    </row>
    <row r="118" spans="1:2" x14ac:dyDescent="0.3">
      <c r="A118">
        <v>117</v>
      </c>
      <c r="B118" s="11">
        <v>323.7</v>
      </c>
    </row>
    <row r="119" spans="1:2" x14ac:dyDescent="0.3">
      <c r="A119">
        <v>118</v>
      </c>
      <c r="B119" s="11">
        <v>418.1</v>
      </c>
    </row>
    <row r="120" spans="1:2" x14ac:dyDescent="0.3">
      <c r="A120">
        <v>119</v>
      </c>
      <c r="B120" s="11">
        <v>335.2</v>
      </c>
    </row>
    <row r="121" spans="1:2" x14ac:dyDescent="0.3">
      <c r="A121">
        <v>120</v>
      </c>
      <c r="B121" s="11">
        <v>186.5</v>
      </c>
    </row>
    <row r="122" spans="1:2" x14ac:dyDescent="0.3">
      <c r="A122">
        <v>121</v>
      </c>
      <c r="B122" s="11">
        <v>144.69999999999999</v>
      </c>
    </row>
    <row r="123" spans="1:2" x14ac:dyDescent="0.3">
      <c r="A123">
        <v>122</v>
      </c>
      <c r="B123" s="11">
        <v>163.9</v>
      </c>
    </row>
    <row r="124" spans="1:2" x14ac:dyDescent="0.3">
      <c r="A124">
        <v>123</v>
      </c>
      <c r="B124" s="11">
        <v>211.5</v>
      </c>
    </row>
    <row r="125" spans="1:2" x14ac:dyDescent="0.3">
      <c r="A125">
        <v>124</v>
      </c>
      <c r="B125" s="11">
        <v>341.9</v>
      </c>
    </row>
    <row r="126" spans="1:2" x14ac:dyDescent="0.3">
      <c r="A126">
        <v>125</v>
      </c>
      <c r="B126" s="11">
        <v>470.4</v>
      </c>
    </row>
    <row r="127" spans="1:2" x14ac:dyDescent="0.3">
      <c r="A127">
        <v>126</v>
      </c>
      <c r="B127" s="11">
        <v>587.70000000000005</v>
      </c>
    </row>
    <row r="128" spans="1:2" x14ac:dyDescent="0.3">
      <c r="A128">
        <v>127</v>
      </c>
      <c r="B128" s="11">
        <v>641.20000000000005</v>
      </c>
    </row>
    <row r="129" spans="1:2" x14ac:dyDescent="0.3">
      <c r="A129">
        <v>128</v>
      </c>
      <c r="B129" s="11">
        <v>633.5</v>
      </c>
    </row>
    <row r="130" spans="1:2" x14ac:dyDescent="0.3">
      <c r="A130">
        <v>129</v>
      </c>
      <c r="B130" s="11">
        <v>668.4</v>
      </c>
    </row>
    <row r="131" spans="1:2" x14ac:dyDescent="0.3">
      <c r="A131">
        <v>130</v>
      </c>
      <c r="B131" s="11">
        <v>699.3</v>
      </c>
    </row>
    <row r="132" spans="1:2" x14ac:dyDescent="0.3">
      <c r="A132">
        <v>131</v>
      </c>
      <c r="B132" s="11">
        <v>835.1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B132"/>
  <sheetViews>
    <sheetView workbookViewId="0"/>
  </sheetViews>
  <sheetFormatPr baseColWidth="10" defaultColWidth="11.44140625" defaultRowHeight="14.4" x14ac:dyDescent="0.3"/>
  <sheetData>
    <row r="1" spans="1:2" x14ac:dyDescent="0.3">
      <c r="A1" s="9" t="s">
        <v>44</v>
      </c>
      <c r="B1" s="10" t="s">
        <v>45</v>
      </c>
    </row>
    <row r="2" spans="1:2" x14ac:dyDescent="0.3">
      <c r="A2" s="9">
        <v>36557</v>
      </c>
      <c r="B2" s="11">
        <v>477</v>
      </c>
    </row>
    <row r="3" spans="1:2" x14ac:dyDescent="0.3">
      <c r="A3" s="9">
        <v>36586</v>
      </c>
      <c r="B3" s="11">
        <v>395.6</v>
      </c>
    </row>
    <row r="4" spans="1:2" x14ac:dyDescent="0.3">
      <c r="A4" s="9">
        <v>36617</v>
      </c>
      <c r="B4" s="11">
        <v>361.7</v>
      </c>
    </row>
    <row r="5" spans="1:2" x14ac:dyDescent="0.3">
      <c r="A5" s="9">
        <v>36647</v>
      </c>
      <c r="B5" s="11">
        <v>421</v>
      </c>
    </row>
    <row r="6" spans="1:2" x14ac:dyDescent="0.3">
      <c r="A6" s="9">
        <v>36678</v>
      </c>
      <c r="B6" s="11">
        <v>513.29999999999995</v>
      </c>
    </row>
    <row r="7" spans="1:2" x14ac:dyDescent="0.3">
      <c r="A7" s="9">
        <v>36708</v>
      </c>
      <c r="B7" s="11">
        <v>573.20000000000005</v>
      </c>
    </row>
    <row r="8" spans="1:2" x14ac:dyDescent="0.3">
      <c r="A8" s="9">
        <v>36739</v>
      </c>
      <c r="B8" s="11">
        <v>558.29999999999995</v>
      </c>
    </row>
    <row r="9" spans="1:2" x14ac:dyDescent="0.3">
      <c r="A9" s="9">
        <v>36770</v>
      </c>
      <c r="B9" s="11">
        <v>525.9</v>
      </c>
    </row>
    <row r="10" spans="1:2" x14ac:dyDescent="0.3">
      <c r="A10" s="9">
        <v>36800</v>
      </c>
      <c r="B10" s="11">
        <v>571.9</v>
      </c>
    </row>
    <row r="11" spans="1:2" x14ac:dyDescent="0.3">
      <c r="A11" s="9">
        <v>36831</v>
      </c>
      <c r="B11" s="11">
        <v>591.5</v>
      </c>
    </row>
    <row r="12" spans="1:2" x14ac:dyDescent="0.3">
      <c r="A12" s="9">
        <v>36861</v>
      </c>
      <c r="B12" s="11">
        <v>559.9</v>
      </c>
    </row>
    <row r="13" spans="1:2" x14ac:dyDescent="0.3">
      <c r="A13" s="9">
        <v>36892</v>
      </c>
      <c r="B13" s="11">
        <v>350.9</v>
      </c>
    </row>
    <row r="14" spans="1:2" x14ac:dyDescent="0.3">
      <c r="A14" s="9">
        <v>36923</v>
      </c>
      <c r="B14" s="11">
        <v>187.5</v>
      </c>
    </row>
    <row r="15" spans="1:2" x14ac:dyDescent="0.3">
      <c r="A15" s="9">
        <v>36951</v>
      </c>
      <c r="B15" s="11">
        <v>182.7</v>
      </c>
    </row>
    <row r="16" spans="1:2" x14ac:dyDescent="0.3">
      <c r="A16" s="9">
        <v>36982</v>
      </c>
      <c r="B16" s="11">
        <v>183.9</v>
      </c>
    </row>
    <row r="17" spans="1:2" x14ac:dyDescent="0.3">
      <c r="A17" s="9">
        <v>37012</v>
      </c>
      <c r="B17" s="11">
        <v>223</v>
      </c>
    </row>
    <row r="18" spans="1:2" x14ac:dyDescent="0.3">
      <c r="A18" s="9">
        <v>37043</v>
      </c>
      <c r="B18" s="11">
        <v>312</v>
      </c>
    </row>
    <row r="19" spans="1:2" x14ac:dyDescent="0.3">
      <c r="A19" s="9">
        <v>37073</v>
      </c>
      <c r="B19" s="11">
        <v>291.10000000000002</v>
      </c>
    </row>
    <row r="20" spans="1:2" x14ac:dyDescent="0.3">
      <c r="A20" s="9">
        <v>37104</v>
      </c>
      <c r="B20" s="11">
        <v>260.3</v>
      </c>
    </row>
    <row r="21" spans="1:2" x14ac:dyDescent="0.3">
      <c r="A21" s="9">
        <v>37135</v>
      </c>
      <c r="B21" s="11">
        <v>274.10000000000002</v>
      </c>
    </row>
    <row r="22" spans="1:2" x14ac:dyDescent="0.3">
      <c r="A22" s="9">
        <v>37165</v>
      </c>
      <c r="B22" s="11">
        <v>330.4</v>
      </c>
    </row>
    <row r="23" spans="1:2" x14ac:dyDescent="0.3">
      <c r="A23" s="9">
        <v>37196</v>
      </c>
      <c r="B23" s="11">
        <v>390.3</v>
      </c>
    </row>
    <row r="24" spans="1:2" x14ac:dyDescent="0.3">
      <c r="A24" s="9">
        <v>37226</v>
      </c>
      <c r="B24" s="11">
        <v>432</v>
      </c>
    </row>
    <row r="25" spans="1:2" x14ac:dyDescent="0.3">
      <c r="A25" s="9">
        <v>37257</v>
      </c>
      <c r="B25" s="11">
        <v>393.2</v>
      </c>
    </row>
    <row r="26" spans="1:2" x14ac:dyDescent="0.3">
      <c r="A26" s="9">
        <v>37288</v>
      </c>
      <c r="B26" s="11">
        <v>222.4</v>
      </c>
    </row>
    <row r="27" spans="1:2" x14ac:dyDescent="0.3">
      <c r="A27" s="9">
        <v>37316</v>
      </c>
      <c r="B27" s="11">
        <v>202.3</v>
      </c>
    </row>
    <row r="28" spans="1:2" x14ac:dyDescent="0.3">
      <c r="A28" s="9">
        <v>37347</v>
      </c>
      <c r="B28" s="11">
        <v>300.2</v>
      </c>
    </row>
    <row r="29" spans="1:2" x14ac:dyDescent="0.3">
      <c r="A29" s="9">
        <v>37377</v>
      </c>
      <c r="B29" s="11">
        <v>400.9</v>
      </c>
    </row>
    <row r="30" spans="1:2" x14ac:dyDescent="0.3">
      <c r="A30" s="9">
        <v>37408</v>
      </c>
      <c r="B30" s="11">
        <v>445</v>
      </c>
    </row>
    <row r="31" spans="1:2" x14ac:dyDescent="0.3">
      <c r="A31" s="9">
        <v>37438</v>
      </c>
      <c r="B31" s="11">
        <v>432.6</v>
      </c>
    </row>
    <row r="32" spans="1:2" x14ac:dyDescent="0.3">
      <c r="A32" s="9">
        <v>37469</v>
      </c>
      <c r="B32" s="11">
        <v>339.4</v>
      </c>
    </row>
    <row r="33" spans="1:2" x14ac:dyDescent="0.3">
      <c r="A33" s="9">
        <v>37500</v>
      </c>
      <c r="B33" s="11">
        <v>349</v>
      </c>
    </row>
    <row r="34" spans="1:2" x14ac:dyDescent="0.3">
      <c r="A34" s="9">
        <v>37530</v>
      </c>
      <c r="B34" s="11">
        <v>393.5</v>
      </c>
    </row>
    <row r="35" spans="1:2" x14ac:dyDescent="0.3">
      <c r="A35" s="9">
        <v>37561</v>
      </c>
      <c r="B35" s="11">
        <v>465.5</v>
      </c>
    </row>
    <row r="36" spans="1:2" x14ac:dyDescent="0.3">
      <c r="A36" s="9">
        <v>37591</v>
      </c>
      <c r="B36" s="11">
        <v>394.7</v>
      </c>
    </row>
    <row r="37" spans="1:2" x14ac:dyDescent="0.3">
      <c r="A37" s="9">
        <v>37622</v>
      </c>
      <c r="B37" s="11">
        <v>243.8</v>
      </c>
    </row>
    <row r="38" spans="1:2" x14ac:dyDescent="0.3">
      <c r="A38" s="9">
        <v>37653</v>
      </c>
      <c r="B38" s="11">
        <v>175.8</v>
      </c>
    </row>
    <row r="39" spans="1:2" x14ac:dyDescent="0.3">
      <c r="A39" s="9">
        <v>37681</v>
      </c>
      <c r="B39" s="11">
        <v>173</v>
      </c>
    </row>
    <row r="40" spans="1:2" x14ac:dyDescent="0.3">
      <c r="A40" s="9">
        <v>37712</v>
      </c>
      <c r="B40" s="11"/>
    </row>
    <row r="41" spans="1:2" x14ac:dyDescent="0.3">
      <c r="A41" s="9">
        <v>37742</v>
      </c>
      <c r="B41" s="11">
        <v>324.39999999999998</v>
      </c>
    </row>
    <row r="42" spans="1:2" x14ac:dyDescent="0.3">
      <c r="A42" s="9">
        <v>37773</v>
      </c>
      <c r="B42" s="11">
        <v>392.4</v>
      </c>
    </row>
    <row r="43" spans="1:2" x14ac:dyDescent="0.3">
      <c r="A43" s="9">
        <v>37803</v>
      </c>
      <c r="B43" s="11">
        <v>449.4</v>
      </c>
    </row>
    <row r="44" spans="1:2" x14ac:dyDescent="0.3">
      <c r="A44" s="9">
        <v>37834</v>
      </c>
      <c r="B44" s="11">
        <v>443.4</v>
      </c>
    </row>
    <row r="45" spans="1:2" x14ac:dyDescent="0.3">
      <c r="A45" s="9">
        <v>37865</v>
      </c>
      <c r="B45" s="11">
        <v>400.8</v>
      </c>
    </row>
    <row r="46" spans="1:2" x14ac:dyDescent="0.3">
      <c r="A46" s="9">
        <v>37895</v>
      </c>
      <c r="B46" s="11">
        <v>467.7</v>
      </c>
    </row>
    <row r="47" spans="1:2" x14ac:dyDescent="0.3">
      <c r="A47" s="9">
        <v>37926</v>
      </c>
      <c r="B47" s="11">
        <v>518</v>
      </c>
    </row>
    <row r="48" spans="1:2" x14ac:dyDescent="0.3">
      <c r="A48" s="9">
        <v>37956</v>
      </c>
      <c r="B48" s="11">
        <v>566.4</v>
      </c>
    </row>
    <row r="49" spans="1:2" x14ac:dyDescent="0.3">
      <c r="A49" s="9">
        <v>37987</v>
      </c>
      <c r="B49" s="11">
        <v>474.6</v>
      </c>
    </row>
    <row r="50" spans="1:2" x14ac:dyDescent="0.3">
      <c r="A50" s="9">
        <v>38018</v>
      </c>
      <c r="B50" s="11">
        <v>220.1</v>
      </c>
    </row>
    <row r="51" spans="1:2" x14ac:dyDescent="0.3">
      <c r="A51" s="9">
        <v>38047</v>
      </c>
      <c r="B51" s="11">
        <v>125.6</v>
      </c>
    </row>
    <row r="52" spans="1:2" x14ac:dyDescent="0.3">
      <c r="A52" s="9">
        <v>38078</v>
      </c>
      <c r="B52" s="11">
        <v>159.30000000000001</v>
      </c>
    </row>
    <row r="53" spans="1:2" x14ac:dyDescent="0.3">
      <c r="A53" s="9">
        <v>38108</v>
      </c>
      <c r="B53" s="11">
        <v>349.9</v>
      </c>
    </row>
    <row r="54" spans="1:2" x14ac:dyDescent="0.3">
      <c r="A54" s="9">
        <v>38139</v>
      </c>
      <c r="B54" s="11">
        <v>431.1</v>
      </c>
    </row>
    <row r="55" spans="1:2" x14ac:dyDescent="0.3">
      <c r="A55" s="9">
        <v>38169</v>
      </c>
      <c r="B55" s="11">
        <v>380</v>
      </c>
    </row>
    <row r="56" spans="1:2" x14ac:dyDescent="0.3">
      <c r="A56" s="9">
        <v>38200</v>
      </c>
      <c r="B56" s="11">
        <v>381.1</v>
      </c>
    </row>
    <row r="57" spans="1:2" x14ac:dyDescent="0.3">
      <c r="A57" s="9">
        <v>38231</v>
      </c>
      <c r="B57" s="11">
        <v>401</v>
      </c>
    </row>
    <row r="58" spans="1:2" x14ac:dyDescent="0.3">
      <c r="A58" s="9">
        <v>38261</v>
      </c>
      <c r="B58" s="11">
        <v>458.3</v>
      </c>
    </row>
    <row r="59" spans="1:2" x14ac:dyDescent="0.3">
      <c r="A59" s="9">
        <v>38292</v>
      </c>
      <c r="B59" s="11">
        <v>540.70000000000005</v>
      </c>
    </row>
    <row r="60" spans="1:2" x14ac:dyDescent="0.3">
      <c r="A60" s="9">
        <v>38322</v>
      </c>
      <c r="B60" s="11">
        <v>527.70000000000005</v>
      </c>
    </row>
    <row r="61" spans="1:2" x14ac:dyDescent="0.3">
      <c r="A61" s="9">
        <v>38353</v>
      </c>
      <c r="B61" s="11">
        <v>432.7</v>
      </c>
    </row>
    <row r="62" spans="1:2" x14ac:dyDescent="0.3">
      <c r="A62" s="9">
        <v>38384</v>
      </c>
      <c r="B62" s="11">
        <v>291.2</v>
      </c>
    </row>
    <row r="63" spans="1:2" x14ac:dyDescent="0.3">
      <c r="A63" s="9">
        <v>38412</v>
      </c>
      <c r="B63" s="11">
        <v>219.8</v>
      </c>
    </row>
    <row r="64" spans="1:2" x14ac:dyDescent="0.3">
      <c r="A64" s="9">
        <v>38443</v>
      </c>
      <c r="B64" s="11">
        <v>255.8</v>
      </c>
    </row>
    <row r="65" spans="1:2" x14ac:dyDescent="0.3">
      <c r="A65" s="9">
        <v>38473</v>
      </c>
      <c r="B65" s="11">
        <v>380.2</v>
      </c>
    </row>
    <row r="66" spans="1:2" x14ac:dyDescent="0.3">
      <c r="A66" s="9">
        <v>38504</v>
      </c>
      <c r="B66" s="11">
        <v>463.6</v>
      </c>
    </row>
    <row r="67" spans="1:2" x14ac:dyDescent="0.3">
      <c r="A67" s="9">
        <v>38534</v>
      </c>
      <c r="B67" s="11">
        <v>466.4</v>
      </c>
    </row>
    <row r="68" spans="1:2" x14ac:dyDescent="0.3">
      <c r="A68" s="9">
        <v>38565</v>
      </c>
      <c r="B68" s="11">
        <v>397.4</v>
      </c>
    </row>
    <row r="69" spans="1:2" x14ac:dyDescent="0.3">
      <c r="A69" s="9">
        <v>38596</v>
      </c>
      <c r="B69" s="11">
        <v>389.9</v>
      </c>
    </row>
    <row r="70" spans="1:2" x14ac:dyDescent="0.3">
      <c r="A70" s="9">
        <v>38626</v>
      </c>
      <c r="B70" s="11">
        <v>442.1</v>
      </c>
    </row>
    <row r="71" spans="1:2" x14ac:dyDescent="0.3">
      <c r="A71" s="9">
        <v>38657</v>
      </c>
      <c r="B71" s="11">
        <v>519.70000000000005</v>
      </c>
    </row>
    <row r="72" spans="1:2" x14ac:dyDescent="0.3">
      <c r="A72" s="9">
        <v>38687</v>
      </c>
      <c r="B72" s="11">
        <v>562.79999999999995</v>
      </c>
    </row>
    <row r="73" spans="1:2" x14ac:dyDescent="0.3">
      <c r="A73" s="9">
        <v>38718</v>
      </c>
      <c r="B73" s="11">
        <v>508.5</v>
      </c>
    </row>
    <row r="74" spans="1:2" x14ac:dyDescent="0.3">
      <c r="A74" s="9">
        <v>38749</v>
      </c>
      <c r="B74" s="11">
        <v>388.1</v>
      </c>
    </row>
    <row r="75" spans="1:2" x14ac:dyDescent="0.3">
      <c r="A75" s="9">
        <v>38777</v>
      </c>
      <c r="B75" s="11">
        <v>277.7</v>
      </c>
    </row>
    <row r="76" spans="1:2" x14ac:dyDescent="0.3">
      <c r="A76" s="9">
        <v>38808</v>
      </c>
      <c r="B76" s="11">
        <v>383.4</v>
      </c>
    </row>
    <row r="77" spans="1:2" x14ac:dyDescent="0.3">
      <c r="A77" s="9">
        <v>38838</v>
      </c>
      <c r="B77" s="11">
        <v>510.2</v>
      </c>
    </row>
    <row r="78" spans="1:2" x14ac:dyDescent="0.3">
      <c r="A78" s="9">
        <v>38869</v>
      </c>
      <c r="B78" s="11">
        <v>592.9</v>
      </c>
    </row>
    <row r="79" spans="1:2" x14ac:dyDescent="0.3">
      <c r="A79" s="9">
        <v>38899</v>
      </c>
      <c r="B79" s="11">
        <v>579.9</v>
      </c>
    </row>
    <row r="80" spans="1:2" x14ac:dyDescent="0.3">
      <c r="A80" s="9">
        <v>38930</v>
      </c>
      <c r="B80" s="11">
        <v>484.6</v>
      </c>
    </row>
    <row r="81" spans="1:2" x14ac:dyDescent="0.3">
      <c r="A81" s="9">
        <v>38961</v>
      </c>
      <c r="B81" s="11">
        <v>474.7</v>
      </c>
    </row>
    <row r="82" spans="1:2" x14ac:dyDescent="0.3">
      <c r="A82" s="9">
        <v>38991</v>
      </c>
      <c r="B82" s="11">
        <v>472.9</v>
      </c>
    </row>
    <row r="83" spans="1:2" x14ac:dyDescent="0.3">
      <c r="A83" s="9">
        <v>39022</v>
      </c>
      <c r="B83" s="11">
        <v>527.4</v>
      </c>
    </row>
    <row r="84" spans="1:2" x14ac:dyDescent="0.3">
      <c r="A84" s="9">
        <v>39052</v>
      </c>
      <c r="B84" s="11">
        <v>588.6</v>
      </c>
    </row>
    <row r="85" spans="1:2" x14ac:dyDescent="0.3">
      <c r="A85" s="9">
        <v>39083</v>
      </c>
      <c r="B85" s="11">
        <v>540.29999999999995</v>
      </c>
    </row>
    <row r="86" spans="1:2" x14ac:dyDescent="0.3">
      <c r="A86" s="9">
        <v>39114</v>
      </c>
      <c r="B86" s="11"/>
    </row>
    <row r="87" spans="1:2" x14ac:dyDescent="0.3">
      <c r="A87" s="9">
        <v>39142</v>
      </c>
      <c r="B87" s="11">
        <v>190.1</v>
      </c>
    </row>
    <row r="88" spans="1:2" x14ac:dyDescent="0.3">
      <c r="A88" s="9">
        <v>39173</v>
      </c>
      <c r="B88" s="11">
        <v>346.9</v>
      </c>
    </row>
    <row r="89" spans="1:2" x14ac:dyDescent="0.3">
      <c r="A89" s="9">
        <v>39203</v>
      </c>
      <c r="B89" s="11">
        <v>478.1</v>
      </c>
    </row>
    <row r="90" spans="1:2" x14ac:dyDescent="0.3">
      <c r="A90" s="9">
        <v>39234</v>
      </c>
      <c r="B90" s="11">
        <v>581.79999999999995</v>
      </c>
    </row>
    <row r="91" spans="1:2" x14ac:dyDescent="0.3">
      <c r="A91" s="9">
        <v>39264</v>
      </c>
      <c r="B91" s="11">
        <v>601.1</v>
      </c>
    </row>
    <row r="92" spans="1:2" x14ac:dyDescent="0.3">
      <c r="A92" s="9">
        <v>39295</v>
      </c>
      <c r="B92" s="11">
        <v>569.9</v>
      </c>
    </row>
    <row r="93" spans="1:2" x14ac:dyDescent="0.3">
      <c r="A93" s="9">
        <v>39326</v>
      </c>
      <c r="B93" s="11">
        <v>595.6</v>
      </c>
    </row>
    <row r="94" spans="1:2" x14ac:dyDescent="0.3">
      <c r="A94" s="9">
        <v>39356</v>
      </c>
      <c r="B94" s="11">
        <v>604.4</v>
      </c>
    </row>
    <row r="95" spans="1:2" x14ac:dyDescent="0.3">
      <c r="A95" s="9">
        <v>39387</v>
      </c>
      <c r="B95" s="11">
        <v>635.79999999999995</v>
      </c>
    </row>
    <row r="96" spans="1:2" x14ac:dyDescent="0.3">
      <c r="A96" s="9">
        <v>39417</v>
      </c>
      <c r="B96" s="11">
        <v>637.9</v>
      </c>
    </row>
    <row r="97" spans="1:2" x14ac:dyDescent="0.3">
      <c r="A97" s="9">
        <v>39448</v>
      </c>
      <c r="B97" s="11">
        <v>556.6</v>
      </c>
    </row>
    <row r="98" spans="1:2" x14ac:dyDescent="0.3">
      <c r="A98" s="9">
        <v>39479</v>
      </c>
      <c r="B98" s="11">
        <v>434.3</v>
      </c>
    </row>
    <row r="99" spans="1:2" x14ac:dyDescent="0.3">
      <c r="A99" s="9">
        <v>39508</v>
      </c>
      <c r="B99" s="11">
        <v>380.6</v>
      </c>
    </row>
    <row r="100" spans="1:2" x14ac:dyDescent="0.3">
      <c r="A100" s="9">
        <v>39539</v>
      </c>
      <c r="B100" s="11">
        <v>374.5</v>
      </c>
    </row>
    <row r="101" spans="1:2" x14ac:dyDescent="0.3">
      <c r="A101" s="9">
        <v>39569</v>
      </c>
      <c r="B101" s="11">
        <v>475.4</v>
      </c>
    </row>
    <row r="102" spans="1:2" x14ac:dyDescent="0.3">
      <c r="A102" s="9">
        <v>39600</v>
      </c>
      <c r="B102" s="11">
        <v>578.70000000000005</v>
      </c>
    </row>
    <row r="103" spans="1:2" x14ac:dyDescent="0.3">
      <c r="A103" s="9">
        <v>39630</v>
      </c>
      <c r="B103" s="11">
        <v>633.70000000000005</v>
      </c>
    </row>
    <row r="104" spans="1:2" x14ac:dyDescent="0.3">
      <c r="A104" s="9">
        <v>39661</v>
      </c>
      <c r="B104" s="11">
        <v>641</v>
      </c>
    </row>
    <row r="105" spans="1:2" x14ac:dyDescent="0.3">
      <c r="A105" s="9">
        <v>39692</v>
      </c>
      <c r="B105" s="11">
        <v>649.79999999999995</v>
      </c>
    </row>
    <row r="106" spans="1:2" x14ac:dyDescent="0.3">
      <c r="A106" s="9">
        <v>39722</v>
      </c>
      <c r="B106" s="11">
        <v>653.4</v>
      </c>
    </row>
    <row r="107" spans="1:2" x14ac:dyDescent="0.3">
      <c r="A107" s="9">
        <v>39753</v>
      </c>
      <c r="B107" s="11">
        <v>679.9</v>
      </c>
    </row>
    <row r="108" spans="1:2" x14ac:dyDescent="0.3">
      <c r="A108" s="9">
        <v>39783</v>
      </c>
      <c r="B108" s="11">
        <v>668.1</v>
      </c>
    </row>
    <row r="109" spans="1:2" x14ac:dyDescent="0.3">
      <c r="A109" s="9">
        <v>39814</v>
      </c>
      <c r="B109" s="11">
        <v>589.6</v>
      </c>
    </row>
    <row r="110" spans="1:2" x14ac:dyDescent="0.3">
      <c r="A110" s="9">
        <v>39845</v>
      </c>
      <c r="B110" s="11">
        <v>479.6</v>
      </c>
    </row>
    <row r="111" spans="1:2" x14ac:dyDescent="0.3">
      <c r="A111" s="9">
        <v>39873</v>
      </c>
      <c r="B111" s="11">
        <v>359.6</v>
      </c>
    </row>
    <row r="112" spans="1:2" x14ac:dyDescent="0.3">
      <c r="A112" s="9">
        <v>39904</v>
      </c>
      <c r="B112" s="11">
        <v>394.5</v>
      </c>
    </row>
    <row r="113" spans="1:2" x14ac:dyDescent="0.3">
      <c r="A113" s="9">
        <v>39934</v>
      </c>
      <c r="B113" s="11">
        <v>454.6</v>
      </c>
    </row>
    <row r="114" spans="1:2" x14ac:dyDescent="0.3">
      <c r="A114" s="9">
        <v>39965</v>
      </c>
      <c r="B114" s="11">
        <v>476.9</v>
      </c>
    </row>
    <row r="115" spans="1:2" x14ac:dyDescent="0.3">
      <c r="A115" s="9">
        <v>39995</v>
      </c>
      <c r="B115" s="11">
        <v>460.8</v>
      </c>
    </row>
    <row r="116" spans="1:2" x14ac:dyDescent="0.3">
      <c r="A116" s="9">
        <v>40026</v>
      </c>
      <c r="B116" s="11">
        <v>369.3</v>
      </c>
    </row>
    <row r="117" spans="1:2" x14ac:dyDescent="0.3">
      <c r="A117" s="9">
        <v>40057</v>
      </c>
      <c r="B117" s="11">
        <v>369.2</v>
      </c>
    </row>
    <row r="118" spans="1:2" x14ac:dyDescent="0.3">
      <c r="A118" s="9">
        <v>40087</v>
      </c>
      <c r="B118" s="11">
        <v>323.7</v>
      </c>
    </row>
    <row r="119" spans="1:2" x14ac:dyDescent="0.3">
      <c r="A119" s="9">
        <v>40118</v>
      </c>
      <c r="B119" s="11">
        <v>418.1</v>
      </c>
    </row>
    <row r="120" spans="1:2" x14ac:dyDescent="0.3">
      <c r="A120" s="9">
        <v>40148</v>
      </c>
      <c r="B120" s="11">
        <v>335.2</v>
      </c>
    </row>
    <row r="121" spans="1:2" x14ac:dyDescent="0.3">
      <c r="A121" s="9">
        <v>40179</v>
      </c>
      <c r="B121" s="11">
        <v>186.5</v>
      </c>
    </row>
    <row r="122" spans="1:2" x14ac:dyDescent="0.3">
      <c r="A122" s="9">
        <v>40210</v>
      </c>
      <c r="B122" s="11">
        <v>144.69999999999999</v>
      </c>
    </row>
    <row r="123" spans="1:2" x14ac:dyDescent="0.3">
      <c r="A123" s="9">
        <v>40238</v>
      </c>
      <c r="B123" s="11">
        <v>163.9</v>
      </c>
    </row>
    <row r="124" spans="1:2" x14ac:dyDescent="0.3">
      <c r="A124" s="9">
        <v>40269</v>
      </c>
      <c r="B124" s="11">
        <v>211.5</v>
      </c>
    </row>
    <row r="125" spans="1:2" x14ac:dyDescent="0.3">
      <c r="A125" s="9">
        <v>40299</v>
      </c>
      <c r="B125" s="11">
        <v>341.9</v>
      </c>
    </row>
    <row r="126" spans="1:2" x14ac:dyDescent="0.3">
      <c r="A126" s="9">
        <v>40330</v>
      </c>
      <c r="B126" s="11">
        <v>470.4</v>
      </c>
    </row>
    <row r="127" spans="1:2" x14ac:dyDescent="0.3">
      <c r="A127" s="9">
        <v>40360</v>
      </c>
      <c r="B127" s="11">
        <v>587.70000000000005</v>
      </c>
    </row>
    <row r="128" spans="1:2" x14ac:dyDescent="0.3">
      <c r="A128" s="9">
        <v>40391</v>
      </c>
      <c r="B128" s="11">
        <v>641.20000000000005</v>
      </c>
    </row>
    <row r="129" spans="1:2" x14ac:dyDescent="0.3">
      <c r="A129" s="9">
        <v>40422</v>
      </c>
      <c r="B129" s="11">
        <v>633.5</v>
      </c>
    </row>
    <row r="130" spans="1:2" x14ac:dyDescent="0.3">
      <c r="A130" s="9">
        <v>40452</v>
      </c>
      <c r="B130" s="11">
        <v>668.4</v>
      </c>
    </row>
    <row r="131" spans="1:2" x14ac:dyDescent="0.3">
      <c r="A131" s="9">
        <v>40483</v>
      </c>
      <c r="B131" s="11">
        <v>699.3</v>
      </c>
    </row>
    <row r="132" spans="1:2" x14ac:dyDescent="0.3">
      <c r="A132" s="9">
        <v>40513</v>
      </c>
      <c r="B132" s="11">
        <v>835.1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B133"/>
  <sheetViews>
    <sheetView workbookViewId="0"/>
  </sheetViews>
  <sheetFormatPr baseColWidth="10" defaultColWidth="11.44140625" defaultRowHeight="14.4" x14ac:dyDescent="0.3"/>
  <sheetData>
    <row r="1" spans="1:2" x14ac:dyDescent="0.3">
      <c r="A1" s="9" t="s">
        <v>44</v>
      </c>
      <c r="B1" s="10" t="s">
        <v>43</v>
      </c>
    </row>
    <row r="2" spans="1:2" x14ac:dyDescent="0.3">
      <c r="A2" s="9">
        <v>36526</v>
      </c>
      <c r="B2" s="11">
        <v>592</v>
      </c>
    </row>
    <row r="3" spans="1:2" x14ac:dyDescent="0.3">
      <c r="A3" s="9">
        <v>36557</v>
      </c>
      <c r="B3" s="11">
        <v>477</v>
      </c>
    </row>
    <row r="4" spans="1:2" x14ac:dyDescent="0.3">
      <c r="A4" s="9">
        <v>36586</v>
      </c>
      <c r="B4" s="11">
        <v>395.6</v>
      </c>
    </row>
    <row r="5" spans="1:2" x14ac:dyDescent="0.3">
      <c r="A5" s="9">
        <v>36617</v>
      </c>
      <c r="B5" s="11">
        <v>361.7</v>
      </c>
    </row>
    <row r="6" spans="1:2" x14ac:dyDescent="0.3">
      <c r="A6" s="9">
        <v>36647</v>
      </c>
      <c r="B6" s="11">
        <v>421</v>
      </c>
    </row>
    <row r="7" spans="1:2" x14ac:dyDescent="0.3">
      <c r="A7" s="9">
        <v>36678</v>
      </c>
      <c r="B7" s="11">
        <v>513.29999999999995</v>
      </c>
    </row>
    <row r="8" spans="1:2" x14ac:dyDescent="0.3">
      <c r="A8" s="9">
        <v>36708</v>
      </c>
      <c r="B8" s="11">
        <v>573.20000000000005</v>
      </c>
    </row>
    <row r="9" spans="1:2" x14ac:dyDescent="0.3">
      <c r="A9" s="9">
        <v>36739</v>
      </c>
      <c r="B9" s="11">
        <v>558.29999999999995</v>
      </c>
    </row>
    <row r="10" spans="1:2" x14ac:dyDescent="0.3">
      <c r="A10" s="9">
        <v>36770</v>
      </c>
      <c r="B10" s="11">
        <v>525.9</v>
      </c>
    </row>
    <row r="11" spans="1:2" x14ac:dyDescent="0.3">
      <c r="A11" s="9">
        <v>36800</v>
      </c>
      <c r="B11" s="11">
        <v>571.9</v>
      </c>
    </row>
    <row r="12" spans="1:2" x14ac:dyDescent="0.3">
      <c r="A12" s="9">
        <v>36831</v>
      </c>
      <c r="B12" s="11">
        <v>591.5</v>
      </c>
    </row>
    <row r="13" spans="1:2" x14ac:dyDescent="0.3">
      <c r="A13" s="9">
        <v>36861</v>
      </c>
      <c r="B13" s="11">
        <v>559.9</v>
      </c>
    </row>
    <row r="14" spans="1:2" x14ac:dyDescent="0.3">
      <c r="A14" s="9">
        <v>36892</v>
      </c>
      <c r="B14" s="11">
        <v>350.9</v>
      </c>
    </row>
    <row r="15" spans="1:2" x14ac:dyDescent="0.3">
      <c r="A15" s="9">
        <v>36923</v>
      </c>
      <c r="B15" s="11">
        <v>187.5</v>
      </c>
    </row>
    <row r="16" spans="1:2" x14ac:dyDescent="0.3">
      <c r="A16" s="9">
        <v>36951</v>
      </c>
      <c r="B16" s="11">
        <v>182.7</v>
      </c>
    </row>
    <row r="17" spans="1:2" x14ac:dyDescent="0.3">
      <c r="A17" s="9">
        <v>36982</v>
      </c>
      <c r="B17" s="11">
        <v>183.9</v>
      </c>
    </row>
    <row r="18" spans="1:2" x14ac:dyDescent="0.3">
      <c r="A18" s="9">
        <v>37012</v>
      </c>
      <c r="B18" s="11">
        <v>223</v>
      </c>
    </row>
    <row r="19" spans="1:2" x14ac:dyDescent="0.3">
      <c r="A19" s="9">
        <v>37043</v>
      </c>
      <c r="B19" s="11">
        <v>312</v>
      </c>
    </row>
    <row r="20" spans="1:2" x14ac:dyDescent="0.3">
      <c r="A20" s="9">
        <v>37073</v>
      </c>
      <c r="B20" s="11">
        <v>291.10000000000002</v>
      </c>
    </row>
    <row r="21" spans="1:2" x14ac:dyDescent="0.3">
      <c r="A21" s="9">
        <v>37104</v>
      </c>
      <c r="B21" s="11">
        <v>260.3</v>
      </c>
    </row>
    <row r="22" spans="1:2" x14ac:dyDescent="0.3">
      <c r="A22" s="9">
        <v>37135</v>
      </c>
      <c r="B22" s="11">
        <v>274.10000000000002</v>
      </c>
    </row>
    <row r="23" spans="1:2" x14ac:dyDescent="0.3">
      <c r="A23" s="9">
        <v>37165</v>
      </c>
      <c r="B23" s="11">
        <v>330.4</v>
      </c>
    </row>
    <row r="24" spans="1:2" x14ac:dyDescent="0.3">
      <c r="A24" s="9">
        <v>37196</v>
      </c>
      <c r="B24" s="11">
        <v>390.3</v>
      </c>
    </row>
    <row r="25" spans="1:2" x14ac:dyDescent="0.3">
      <c r="A25" s="9">
        <v>37226</v>
      </c>
      <c r="B25" s="11">
        <v>432</v>
      </c>
    </row>
    <row r="26" spans="1:2" x14ac:dyDescent="0.3">
      <c r="A26" s="9">
        <v>37257</v>
      </c>
      <c r="B26" s="11">
        <v>393.2</v>
      </c>
    </row>
    <row r="27" spans="1:2" x14ac:dyDescent="0.3">
      <c r="A27" s="9">
        <v>37288</v>
      </c>
      <c r="B27" s="11">
        <v>222.4</v>
      </c>
    </row>
    <row r="28" spans="1:2" x14ac:dyDescent="0.3">
      <c r="A28" s="9">
        <v>37316</v>
      </c>
      <c r="B28" s="11">
        <v>202.3</v>
      </c>
    </row>
    <row r="29" spans="1:2" x14ac:dyDescent="0.3">
      <c r="A29" s="9">
        <v>37347</v>
      </c>
      <c r="B29" s="11">
        <v>300.2</v>
      </c>
    </row>
    <row r="30" spans="1:2" x14ac:dyDescent="0.3">
      <c r="A30" s="9">
        <v>37377</v>
      </c>
      <c r="B30" s="11">
        <v>400.9</v>
      </c>
    </row>
    <row r="31" spans="1:2" x14ac:dyDescent="0.3">
      <c r="A31" s="9">
        <v>37408</v>
      </c>
      <c r="B31" s="11">
        <v>445</v>
      </c>
    </row>
    <row r="32" spans="1:2" x14ac:dyDescent="0.3">
      <c r="A32" s="9">
        <v>37438</v>
      </c>
      <c r="B32" s="11">
        <v>432.6</v>
      </c>
    </row>
    <row r="33" spans="1:2" x14ac:dyDescent="0.3">
      <c r="A33" s="9">
        <v>37469</v>
      </c>
      <c r="B33" s="11">
        <v>339.4</v>
      </c>
    </row>
    <row r="34" spans="1:2" x14ac:dyDescent="0.3">
      <c r="A34" s="9">
        <v>37500</v>
      </c>
      <c r="B34" s="11">
        <v>349</v>
      </c>
    </row>
    <row r="35" spans="1:2" x14ac:dyDescent="0.3">
      <c r="A35" s="9">
        <v>37530</v>
      </c>
      <c r="B35" s="11">
        <v>393.5</v>
      </c>
    </row>
    <row r="36" spans="1:2" x14ac:dyDescent="0.3">
      <c r="A36" s="9">
        <v>37561</v>
      </c>
      <c r="B36" s="11">
        <v>465.5</v>
      </c>
    </row>
    <row r="37" spans="1:2" x14ac:dyDescent="0.3">
      <c r="A37" s="9">
        <v>37591</v>
      </c>
      <c r="B37" s="11">
        <v>394.7</v>
      </c>
    </row>
    <row r="38" spans="1:2" x14ac:dyDescent="0.3">
      <c r="A38" s="9">
        <v>37622</v>
      </c>
      <c r="B38" s="11">
        <v>243.8</v>
      </c>
    </row>
    <row r="39" spans="1:2" x14ac:dyDescent="0.3">
      <c r="A39" s="9">
        <v>37653</v>
      </c>
      <c r="B39" s="11">
        <v>175.8</v>
      </c>
    </row>
    <row r="40" spans="1:2" x14ac:dyDescent="0.3">
      <c r="A40" s="9">
        <v>37681</v>
      </c>
      <c r="B40" s="11">
        <v>173</v>
      </c>
    </row>
    <row r="41" spans="1:2" x14ac:dyDescent="0.3">
      <c r="A41" s="9">
        <v>37712</v>
      </c>
      <c r="B41" s="11"/>
    </row>
    <row r="42" spans="1:2" x14ac:dyDescent="0.3">
      <c r="A42" s="9">
        <v>37742</v>
      </c>
      <c r="B42" s="11">
        <v>324.39999999999998</v>
      </c>
    </row>
    <row r="43" spans="1:2" x14ac:dyDescent="0.3">
      <c r="A43" s="9">
        <v>37773</v>
      </c>
      <c r="B43" s="11">
        <v>392.4</v>
      </c>
    </row>
    <row r="44" spans="1:2" x14ac:dyDescent="0.3">
      <c r="A44" s="9">
        <v>37803</v>
      </c>
      <c r="B44" s="11">
        <v>449.4</v>
      </c>
    </row>
    <row r="45" spans="1:2" x14ac:dyDescent="0.3">
      <c r="A45" s="9">
        <v>37834</v>
      </c>
      <c r="B45" s="11">
        <v>443.4</v>
      </c>
    </row>
    <row r="46" spans="1:2" x14ac:dyDescent="0.3">
      <c r="A46" s="9">
        <v>37865</v>
      </c>
      <c r="B46" s="11">
        <v>400.8</v>
      </c>
    </row>
    <row r="47" spans="1:2" x14ac:dyDescent="0.3">
      <c r="A47" s="9">
        <v>37895</v>
      </c>
      <c r="B47" s="11">
        <v>467.7</v>
      </c>
    </row>
    <row r="48" spans="1:2" x14ac:dyDescent="0.3">
      <c r="A48" s="9">
        <v>37926</v>
      </c>
      <c r="B48" s="11">
        <v>518</v>
      </c>
    </row>
    <row r="49" spans="1:2" x14ac:dyDescent="0.3">
      <c r="A49" s="9">
        <v>37956</v>
      </c>
      <c r="B49" s="11">
        <v>566.4</v>
      </c>
    </row>
    <row r="50" spans="1:2" x14ac:dyDescent="0.3">
      <c r="A50" s="9">
        <v>37987</v>
      </c>
      <c r="B50" s="11">
        <v>474.6</v>
      </c>
    </row>
    <row r="51" spans="1:2" x14ac:dyDescent="0.3">
      <c r="A51" s="9">
        <v>38018</v>
      </c>
      <c r="B51" s="11">
        <v>220.1</v>
      </c>
    </row>
    <row r="52" spans="1:2" x14ac:dyDescent="0.3">
      <c r="A52" s="9">
        <v>38047</v>
      </c>
      <c r="B52" s="11">
        <v>125.6</v>
      </c>
    </row>
    <row r="53" spans="1:2" x14ac:dyDescent="0.3">
      <c r="A53" s="9">
        <v>38078</v>
      </c>
      <c r="B53" s="11">
        <v>159.30000000000001</v>
      </c>
    </row>
    <row r="54" spans="1:2" x14ac:dyDescent="0.3">
      <c r="A54" s="9">
        <v>38108</v>
      </c>
      <c r="B54" s="11">
        <v>349.9</v>
      </c>
    </row>
    <row r="55" spans="1:2" x14ac:dyDescent="0.3">
      <c r="A55" s="9">
        <v>38139</v>
      </c>
      <c r="B55" s="11">
        <v>431.1</v>
      </c>
    </row>
    <row r="56" spans="1:2" x14ac:dyDescent="0.3">
      <c r="A56" s="9">
        <v>38169</v>
      </c>
      <c r="B56" s="11">
        <v>380</v>
      </c>
    </row>
    <row r="57" spans="1:2" x14ac:dyDescent="0.3">
      <c r="A57" s="9">
        <v>38200</v>
      </c>
      <c r="B57" s="11">
        <v>381.1</v>
      </c>
    </row>
    <row r="58" spans="1:2" x14ac:dyDescent="0.3">
      <c r="A58" s="9">
        <v>38231</v>
      </c>
      <c r="B58" s="11">
        <v>401</v>
      </c>
    </row>
    <row r="59" spans="1:2" x14ac:dyDescent="0.3">
      <c r="A59" s="9">
        <v>38261</v>
      </c>
      <c r="B59" s="11">
        <v>458.3</v>
      </c>
    </row>
    <row r="60" spans="1:2" x14ac:dyDescent="0.3">
      <c r="A60" s="9">
        <v>38292</v>
      </c>
      <c r="B60" s="11">
        <v>540.70000000000005</v>
      </c>
    </row>
    <row r="61" spans="1:2" x14ac:dyDescent="0.3">
      <c r="A61" s="9">
        <v>38322</v>
      </c>
      <c r="B61" s="11">
        <v>527.70000000000005</v>
      </c>
    </row>
    <row r="62" spans="1:2" x14ac:dyDescent="0.3">
      <c r="A62" s="9">
        <v>38353</v>
      </c>
      <c r="B62" s="11">
        <v>432.7</v>
      </c>
    </row>
    <row r="63" spans="1:2" x14ac:dyDescent="0.3">
      <c r="A63" s="9">
        <v>38384</v>
      </c>
      <c r="B63" s="11">
        <v>291.2</v>
      </c>
    </row>
    <row r="64" spans="1:2" x14ac:dyDescent="0.3">
      <c r="A64" s="9">
        <v>38412</v>
      </c>
      <c r="B64" s="11">
        <v>219.8</v>
      </c>
    </row>
    <row r="65" spans="1:2" x14ac:dyDescent="0.3">
      <c r="A65" s="9">
        <v>38443</v>
      </c>
      <c r="B65" s="11">
        <v>255.8</v>
      </c>
    </row>
    <row r="66" spans="1:2" x14ac:dyDescent="0.3">
      <c r="A66" s="9">
        <v>38473</v>
      </c>
      <c r="B66" s="11">
        <v>380.2</v>
      </c>
    </row>
    <row r="67" spans="1:2" x14ac:dyDescent="0.3">
      <c r="A67" s="9">
        <v>38504</v>
      </c>
      <c r="B67" s="11">
        <v>463.6</v>
      </c>
    </row>
    <row r="68" spans="1:2" x14ac:dyDescent="0.3">
      <c r="A68" s="9">
        <v>38534</v>
      </c>
      <c r="B68" s="11">
        <v>466.4</v>
      </c>
    </row>
    <row r="69" spans="1:2" x14ac:dyDescent="0.3">
      <c r="A69" s="9">
        <v>38565</v>
      </c>
      <c r="B69" s="11">
        <v>397.4</v>
      </c>
    </row>
    <row r="70" spans="1:2" x14ac:dyDescent="0.3">
      <c r="A70" s="9">
        <v>38596</v>
      </c>
      <c r="B70" s="11">
        <v>389.9</v>
      </c>
    </row>
    <row r="71" spans="1:2" x14ac:dyDescent="0.3">
      <c r="A71" s="9">
        <v>38626</v>
      </c>
      <c r="B71" s="11">
        <v>442.1</v>
      </c>
    </row>
    <row r="72" spans="1:2" x14ac:dyDescent="0.3">
      <c r="A72" s="9">
        <v>38657</v>
      </c>
      <c r="B72" s="11">
        <v>519.70000000000005</v>
      </c>
    </row>
    <row r="73" spans="1:2" x14ac:dyDescent="0.3">
      <c r="A73" s="9">
        <v>38687</v>
      </c>
      <c r="B73" s="11">
        <v>562.79999999999995</v>
      </c>
    </row>
    <row r="74" spans="1:2" x14ac:dyDescent="0.3">
      <c r="A74" s="9">
        <v>38718</v>
      </c>
      <c r="B74" s="11">
        <v>508.5</v>
      </c>
    </row>
    <row r="75" spans="1:2" x14ac:dyDescent="0.3">
      <c r="A75" s="9">
        <v>38749</v>
      </c>
      <c r="B75" s="11">
        <v>388.1</v>
      </c>
    </row>
    <row r="76" spans="1:2" x14ac:dyDescent="0.3">
      <c r="A76" s="9">
        <v>38777</v>
      </c>
      <c r="B76" s="11">
        <v>277.7</v>
      </c>
    </row>
    <row r="77" spans="1:2" x14ac:dyDescent="0.3">
      <c r="A77" s="9">
        <v>38808</v>
      </c>
      <c r="B77" s="11">
        <v>383.4</v>
      </c>
    </row>
    <row r="78" spans="1:2" x14ac:dyDescent="0.3">
      <c r="A78" s="9">
        <v>38838</v>
      </c>
      <c r="B78" s="11">
        <v>510.2</v>
      </c>
    </row>
    <row r="79" spans="1:2" x14ac:dyDescent="0.3">
      <c r="A79" s="9">
        <v>38869</v>
      </c>
      <c r="B79" s="11">
        <v>592.9</v>
      </c>
    </row>
    <row r="80" spans="1:2" x14ac:dyDescent="0.3">
      <c r="A80" s="9">
        <v>38899</v>
      </c>
      <c r="B80" s="11">
        <v>579.9</v>
      </c>
    </row>
    <row r="81" spans="1:2" x14ac:dyDescent="0.3">
      <c r="A81" s="9">
        <v>38930</v>
      </c>
      <c r="B81" s="11">
        <v>484.6</v>
      </c>
    </row>
    <row r="82" spans="1:2" x14ac:dyDescent="0.3">
      <c r="A82" s="9">
        <v>38961</v>
      </c>
      <c r="B82" s="11">
        <v>474.7</v>
      </c>
    </row>
    <row r="83" spans="1:2" x14ac:dyDescent="0.3">
      <c r="A83" s="9">
        <v>38991</v>
      </c>
      <c r="B83" s="11">
        <v>472.9</v>
      </c>
    </row>
    <row r="84" spans="1:2" x14ac:dyDescent="0.3">
      <c r="A84" s="9">
        <v>39022</v>
      </c>
      <c r="B84" s="11">
        <v>527.4</v>
      </c>
    </row>
    <row r="85" spans="1:2" x14ac:dyDescent="0.3">
      <c r="A85" s="9">
        <v>39052</v>
      </c>
      <c r="B85" s="11">
        <v>588.6</v>
      </c>
    </row>
    <row r="86" spans="1:2" x14ac:dyDescent="0.3">
      <c r="A86" s="9">
        <v>39083</v>
      </c>
      <c r="B86" s="11">
        <v>540.29999999999995</v>
      </c>
    </row>
    <row r="87" spans="1:2" x14ac:dyDescent="0.3">
      <c r="A87" s="9">
        <v>39114</v>
      </c>
      <c r="B87" s="11"/>
    </row>
    <row r="88" spans="1:2" x14ac:dyDescent="0.3">
      <c r="A88" s="9">
        <v>39142</v>
      </c>
      <c r="B88" s="11">
        <v>190.1</v>
      </c>
    </row>
    <row r="89" spans="1:2" x14ac:dyDescent="0.3">
      <c r="A89" s="9">
        <v>39173</v>
      </c>
      <c r="B89" s="11">
        <v>346.9</v>
      </c>
    </row>
    <row r="90" spans="1:2" x14ac:dyDescent="0.3">
      <c r="A90" s="9">
        <v>39203</v>
      </c>
      <c r="B90" s="11">
        <v>478.1</v>
      </c>
    </row>
    <row r="91" spans="1:2" x14ac:dyDescent="0.3">
      <c r="A91" s="9">
        <v>39234</v>
      </c>
      <c r="B91" s="11">
        <v>581.79999999999995</v>
      </c>
    </row>
    <row r="92" spans="1:2" x14ac:dyDescent="0.3">
      <c r="A92" s="9">
        <v>39264</v>
      </c>
      <c r="B92" s="11">
        <v>601.1</v>
      </c>
    </row>
    <row r="93" spans="1:2" x14ac:dyDescent="0.3">
      <c r="A93" s="9">
        <v>39295</v>
      </c>
      <c r="B93" s="11">
        <v>569.9</v>
      </c>
    </row>
    <row r="94" spans="1:2" x14ac:dyDescent="0.3">
      <c r="A94" s="9">
        <v>39326</v>
      </c>
      <c r="B94" s="11">
        <v>595.6</v>
      </c>
    </row>
    <row r="95" spans="1:2" x14ac:dyDescent="0.3">
      <c r="A95" s="9">
        <v>39356</v>
      </c>
      <c r="B95" s="11">
        <v>604.4</v>
      </c>
    </row>
    <row r="96" spans="1:2" x14ac:dyDescent="0.3">
      <c r="A96" s="9">
        <v>39387</v>
      </c>
      <c r="B96" s="11">
        <v>635.79999999999995</v>
      </c>
    </row>
    <row r="97" spans="1:2" x14ac:dyDescent="0.3">
      <c r="A97" s="9">
        <v>39417</v>
      </c>
      <c r="B97" s="11">
        <v>637.9</v>
      </c>
    </row>
    <row r="98" spans="1:2" x14ac:dyDescent="0.3">
      <c r="A98" s="9">
        <v>39448</v>
      </c>
      <c r="B98" s="11">
        <v>556.6</v>
      </c>
    </row>
    <row r="99" spans="1:2" x14ac:dyDescent="0.3">
      <c r="A99" s="9">
        <v>39479</v>
      </c>
      <c r="B99" s="11">
        <v>434.3</v>
      </c>
    </row>
    <row r="100" spans="1:2" x14ac:dyDescent="0.3">
      <c r="A100" s="9">
        <v>39508</v>
      </c>
      <c r="B100" s="11">
        <v>380.6</v>
      </c>
    </row>
    <row r="101" spans="1:2" x14ac:dyDescent="0.3">
      <c r="A101" s="9">
        <v>39539</v>
      </c>
      <c r="B101" s="11">
        <v>374.5</v>
      </c>
    </row>
    <row r="102" spans="1:2" x14ac:dyDescent="0.3">
      <c r="A102" s="9">
        <v>39569</v>
      </c>
      <c r="B102" s="11">
        <v>475.4</v>
      </c>
    </row>
    <row r="103" spans="1:2" x14ac:dyDescent="0.3">
      <c r="A103" s="9">
        <v>39600</v>
      </c>
      <c r="B103" s="11">
        <v>578.70000000000005</v>
      </c>
    </row>
    <row r="104" spans="1:2" x14ac:dyDescent="0.3">
      <c r="A104" s="9">
        <v>39630</v>
      </c>
      <c r="B104" s="11">
        <v>633.70000000000005</v>
      </c>
    </row>
    <row r="105" spans="1:2" x14ac:dyDescent="0.3">
      <c r="A105" s="9">
        <v>39661</v>
      </c>
      <c r="B105" s="11">
        <v>641</v>
      </c>
    </row>
    <row r="106" spans="1:2" x14ac:dyDescent="0.3">
      <c r="A106" s="9">
        <v>39692</v>
      </c>
      <c r="B106" s="11">
        <v>649.79999999999995</v>
      </c>
    </row>
    <row r="107" spans="1:2" x14ac:dyDescent="0.3">
      <c r="A107" s="9">
        <v>39722</v>
      </c>
      <c r="B107" s="11">
        <v>653.4</v>
      </c>
    </row>
    <row r="108" spans="1:2" x14ac:dyDescent="0.3">
      <c r="A108" s="9">
        <v>39753</v>
      </c>
      <c r="B108" s="11">
        <v>679.9</v>
      </c>
    </row>
    <row r="109" spans="1:2" x14ac:dyDescent="0.3">
      <c r="A109" s="9">
        <v>39783</v>
      </c>
      <c r="B109" s="11">
        <v>668.1</v>
      </c>
    </row>
    <row r="110" spans="1:2" x14ac:dyDescent="0.3">
      <c r="A110" s="9">
        <v>39814</v>
      </c>
      <c r="B110" s="11">
        <v>589.6</v>
      </c>
    </row>
    <row r="111" spans="1:2" x14ac:dyDescent="0.3">
      <c r="A111" s="9">
        <v>39845</v>
      </c>
      <c r="B111" s="11">
        <v>479.6</v>
      </c>
    </row>
    <row r="112" spans="1:2" x14ac:dyDescent="0.3">
      <c r="A112" s="9">
        <v>39873</v>
      </c>
      <c r="B112" s="11">
        <v>359.6</v>
      </c>
    </row>
    <row r="113" spans="1:2" x14ac:dyDescent="0.3">
      <c r="A113" s="9">
        <v>39904</v>
      </c>
      <c r="B113" s="11">
        <v>394.5</v>
      </c>
    </row>
    <row r="114" spans="1:2" x14ac:dyDescent="0.3">
      <c r="A114" s="9">
        <v>39934</v>
      </c>
      <c r="B114" s="11">
        <v>454.6</v>
      </c>
    </row>
    <row r="115" spans="1:2" x14ac:dyDescent="0.3">
      <c r="A115" s="9">
        <v>39965</v>
      </c>
      <c r="B115" s="11">
        <v>476.9</v>
      </c>
    </row>
    <row r="116" spans="1:2" x14ac:dyDescent="0.3">
      <c r="A116" s="9">
        <v>39995</v>
      </c>
      <c r="B116" s="11">
        <v>460.8</v>
      </c>
    </row>
    <row r="117" spans="1:2" x14ac:dyDescent="0.3">
      <c r="A117" s="9">
        <v>40026</v>
      </c>
      <c r="B117" s="11">
        <v>369.3</v>
      </c>
    </row>
    <row r="118" spans="1:2" x14ac:dyDescent="0.3">
      <c r="A118" s="9">
        <v>40057</v>
      </c>
      <c r="B118" s="11">
        <v>369.2</v>
      </c>
    </row>
    <row r="119" spans="1:2" x14ac:dyDescent="0.3">
      <c r="A119" s="9">
        <v>40087</v>
      </c>
      <c r="B119" s="11">
        <v>323.7</v>
      </c>
    </row>
    <row r="120" spans="1:2" x14ac:dyDescent="0.3">
      <c r="A120" s="9">
        <v>40118</v>
      </c>
      <c r="B120" s="11">
        <v>418.1</v>
      </c>
    </row>
    <row r="121" spans="1:2" x14ac:dyDescent="0.3">
      <c r="A121" s="9">
        <v>40148</v>
      </c>
      <c r="B121" s="11">
        <v>335.2</v>
      </c>
    </row>
    <row r="122" spans="1:2" x14ac:dyDescent="0.3">
      <c r="A122" s="9">
        <v>40179</v>
      </c>
      <c r="B122" s="11">
        <v>186.5</v>
      </c>
    </row>
    <row r="123" spans="1:2" x14ac:dyDescent="0.3">
      <c r="A123" s="9">
        <v>40210</v>
      </c>
      <c r="B123" s="11">
        <v>144.69999999999999</v>
      </c>
    </row>
    <row r="124" spans="1:2" x14ac:dyDescent="0.3">
      <c r="A124" s="9">
        <v>40238</v>
      </c>
      <c r="B124" s="11">
        <v>163.9</v>
      </c>
    </row>
    <row r="125" spans="1:2" x14ac:dyDescent="0.3">
      <c r="A125" s="9">
        <v>40269</v>
      </c>
      <c r="B125" s="11">
        <v>211.5</v>
      </c>
    </row>
    <row r="126" spans="1:2" x14ac:dyDescent="0.3">
      <c r="A126" s="9">
        <v>40299</v>
      </c>
      <c r="B126" s="11">
        <v>341.9</v>
      </c>
    </row>
    <row r="127" spans="1:2" x14ac:dyDescent="0.3">
      <c r="A127" s="9">
        <v>40330</v>
      </c>
      <c r="B127" s="11">
        <v>470.4</v>
      </c>
    </row>
    <row r="128" spans="1:2" x14ac:dyDescent="0.3">
      <c r="A128" s="9">
        <v>40360</v>
      </c>
      <c r="B128" s="11">
        <v>587.70000000000005</v>
      </c>
    </row>
    <row r="129" spans="1:2" x14ac:dyDescent="0.3">
      <c r="A129" s="9">
        <v>40391</v>
      </c>
      <c r="B129" s="11">
        <v>641.20000000000005</v>
      </c>
    </row>
    <row r="130" spans="1:2" x14ac:dyDescent="0.3">
      <c r="A130" s="9">
        <v>40422</v>
      </c>
      <c r="B130" s="11">
        <v>633.5</v>
      </c>
    </row>
    <row r="131" spans="1:2" x14ac:dyDescent="0.3">
      <c r="A131" s="9">
        <v>40452</v>
      </c>
      <c r="B131" s="11">
        <v>668.4</v>
      </c>
    </row>
    <row r="132" spans="1:2" x14ac:dyDescent="0.3">
      <c r="A132" s="9">
        <v>40483</v>
      </c>
      <c r="B132" s="11">
        <v>699.3</v>
      </c>
    </row>
    <row r="133" spans="1:2" x14ac:dyDescent="0.3">
      <c r="A133" s="9">
        <v>40513</v>
      </c>
      <c r="B133" s="11">
        <v>835.1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B133"/>
  <sheetViews>
    <sheetView workbookViewId="0"/>
  </sheetViews>
  <sheetFormatPr baseColWidth="10" defaultColWidth="11.44140625" defaultRowHeight="14.4" x14ac:dyDescent="0.3"/>
  <sheetData>
    <row r="1" spans="1:2" x14ac:dyDescent="0.3">
      <c r="A1" t="s">
        <v>44</v>
      </c>
      <c r="B1" s="10" t="s">
        <v>43</v>
      </c>
    </row>
    <row r="2" spans="1:2" x14ac:dyDescent="0.3">
      <c r="A2">
        <v>1</v>
      </c>
      <c r="B2" s="11">
        <v>592</v>
      </c>
    </row>
    <row r="3" spans="1:2" x14ac:dyDescent="0.3">
      <c r="A3">
        <v>2</v>
      </c>
      <c r="B3" s="11">
        <v>477</v>
      </c>
    </row>
    <row r="4" spans="1:2" x14ac:dyDescent="0.3">
      <c r="A4">
        <v>3</v>
      </c>
      <c r="B4" s="11">
        <v>395.6</v>
      </c>
    </row>
    <row r="5" spans="1:2" x14ac:dyDescent="0.3">
      <c r="A5">
        <v>4</v>
      </c>
      <c r="B5" s="11">
        <v>361.7</v>
      </c>
    </row>
    <row r="6" spans="1:2" x14ac:dyDescent="0.3">
      <c r="A6">
        <v>5</v>
      </c>
      <c r="B6" s="11">
        <v>421</v>
      </c>
    </row>
    <row r="7" spans="1:2" x14ac:dyDescent="0.3">
      <c r="A7">
        <v>6</v>
      </c>
      <c r="B7" s="11">
        <v>513.29999999999995</v>
      </c>
    </row>
    <row r="8" spans="1:2" x14ac:dyDescent="0.3">
      <c r="A8">
        <v>7</v>
      </c>
      <c r="B8" s="11">
        <v>573.20000000000005</v>
      </c>
    </row>
    <row r="9" spans="1:2" x14ac:dyDescent="0.3">
      <c r="A9">
        <v>8</v>
      </c>
      <c r="B9" s="11">
        <v>558.29999999999995</v>
      </c>
    </row>
    <row r="10" spans="1:2" x14ac:dyDescent="0.3">
      <c r="A10">
        <v>9</v>
      </c>
      <c r="B10" s="11">
        <v>525.9</v>
      </c>
    </row>
    <row r="11" spans="1:2" x14ac:dyDescent="0.3">
      <c r="A11">
        <v>10</v>
      </c>
      <c r="B11" s="11">
        <v>571.9</v>
      </c>
    </row>
    <row r="12" spans="1:2" x14ac:dyDescent="0.3">
      <c r="A12">
        <v>11</v>
      </c>
      <c r="B12" s="11">
        <v>591.5</v>
      </c>
    </row>
    <row r="13" spans="1:2" x14ac:dyDescent="0.3">
      <c r="A13">
        <v>12</v>
      </c>
      <c r="B13" s="11">
        <v>559.9</v>
      </c>
    </row>
    <row r="14" spans="1:2" x14ac:dyDescent="0.3">
      <c r="A14">
        <v>13</v>
      </c>
      <c r="B14" s="11">
        <v>350.9</v>
      </c>
    </row>
    <row r="15" spans="1:2" x14ac:dyDescent="0.3">
      <c r="A15">
        <v>14</v>
      </c>
      <c r="B15" s="11">
        <v>187.5</v>
      </c>
    </row>
    <row r="16" spans="1:2" x14ac:dyDescent="0.3">
      <c r="A16">
        <v>15</v>
      </c>
      <c r="B16" s="11">
        <v>182.7</v>
      </c>
    </row>
    <row r="17" spans="1:2" x14ac:dyDescent="0.3">
      <c r="A17">
        <v>16</v>
      </c>
      <c r="B17" s="11">
        <v>183.9</v>
      </c>
    </row>
    <row r="18" spans="1:2" x14ac:dyDescent="0.3">
      <c r="A18">
        <v>17</v>
      </c>
      <c r="B18" s="11">
        <v>223</v>
      </c>
    </row>
    <row r="19" spans="1:2" x14ac:dyDescent="0.3">
      <c r="A19">
        <v>18</v>
      </c>
      <c r="B19" s="11">
        <v>312</v>
      </c>
    </row>
    <row r="20" spans="1:2" x14ac:dyDescent="0.3">
      <c r="A20">
        <v>19</v>
      </c>
      <c r="B20" s="11">
        <v>291.10000000000002</v>
      </c>
    </row>
    <row r="21" spans="1:2" x14ac:dyDescent="0.3">
      <c r="A21">
        <v>20</v>
      </c>
      <c r="B21" s="11">
        <v>260.3</v>
      </c>
    </row>
    <row r="22" spans="1:2" x14ac:dyDescent="0.3">
      <c r="A22">
        <v>21</v>
      </c>
      <c r="B22" s="11">
        <v>274.10000000000002</v>
      </c>
    </row>
    <row r="23" spans="1:2" x14ac:dyDescent="0.3">
      <c r="A23">
        <v>22</v>
      </c>
      <c r="B23" s="11">
        <v>330.4</v>
      </c>
    </row>
    <row r="24" spans="1:2" x14ac:dyDescent="0.3">
      <c r="A24">
        <v>23</v>
      </c>
      <c r="B24" s="11">
        <v>390.3</v>
      </c>
    </row>
    <row r="25" spans="1:2" x14ac:dyDescent="0.3">
      <c r="A25">
        <v>24</v>
      </c>
      <c r="B25" s="11">
        <v>432</v>
      </c>
    </row>
    <row r="26" spans="1:2" x14ac:dyDescent="0.3">
      <c r="A26">
        <v>25</v>
      </c>
      <c r="B26" s="11">
        <v>393.2</v>
      </c>
    </row>
    <row r="27" spans="1:2" x14ac:dyDescent="0.3">
      <c r="A27">
        <v>26</v>
      </c>
      <c r="B27" s="11">
        <v>222.4</v>
      </c>
    </row>
    <row r="28" spans="1:2" x14ac:dyDescent="0.3">
      <c r="A28">
        <v>27</v>
      </c>
      <c r="B28" s="11">
        <v>202.3</v>
      </c>
    </row>
    <row r="29" spans="1:2" x14ac:dyDescent="0.3">
      <c r="A29">
        <v>28</v>
      </c>
      <c r="B29" s="11">
        <v>300.2</v>
      </c>
    </row>
    <row r="30" spans="1:2" x14ac:dyDescent="0.3">
      <c r="A30">
        <v>29</v>
      </c>
      <c r="B30" s="11">
        <v>400.9</v>
      </c>
    </row>
    <row r="31" spans="1:2" x14ac:dyDescent="0.3">
      <c r="A31">
        <v>30</v>
      </c>
      <c r="B31" s="11">
        <v>445</v>
      </c>
    </row>
    <row r="32" spans="1:2" x14ac:dyDescent="0.3">
      <c r="A32">
        <v>31</v>
      </c>
      <c r="B32" s="11">
        <v>432.6</v>
      </c>
    </row>
    <row r="33" spans="1:2" x14ac:dyDescent="0.3">
      <c r="A33">
        <v>32</v>
      </c>
      <c r="B33" s="11">
        <v>339.4</v>
      </c>
    </row>
    <row r="34" spans="1:2" x14ac:dyDescent="0.3">
      <c r="A34">
        <v>33</v>
      </c>
      <c r="B34" s="11">
        <v>349</v>
      </c>
    </row>
    <row r="35" spans="1:2" x14ac:dyDescent="0.3">
      <c r="A35">
        <v>34</v>
      </c>
      <c r="B35" s="11">
        <v>393.5</v>
      </c>
    </row>
    <row r="36" spans="1:2" x14ac:dyDescent="0.3">
      <c r="A36">
        <v>35</v>
      </c>
      <c r="B36" s="11">
        <v>465.5</v>
      </c>
    </row>
    <row r="37" spans="1:2" x14ac:dyDescent="0.3">
      <c r="A37">
        <v>36</v>
      </c>
      <c r="B37" s="11">
        <v>394.7</v>
      </c>
    </row>
    <row r="38" spans="1:2" x14ac:dyDescent="0.3">
      <c r="A38">
        <v>37</v>
      </c>
      <c r="B38" s="11">
        <v>243.8</v>
      </c>
    </row>
    <row r="39" spans="1:2" x14ac:dyDescent="0.3">
      <c r="A39">
        <v>38</v>
      </c>
      <c r="B39" s="11">
        <v>175.8</v>
      </c>
    </row>
    <row r="40" spans="1:2" x14ac:dyDescent="0.3">
      <c r="A40">
        <v>39</v>
      </c>
      <c r="B40" s="11">
        <v>173</v>
      </c>
    </row>
    <row r="41" spans="1:2" x14ac:dyDescent="0.3">
      <c r="A41">
        <v>40</v>
      </c>
      <c r="B41" s="11"/>
    </row>
    <row r="42" spans="1:2" x14ac:dyDescent="0.3">
      <c r="A42">
        <v>41</v>
      </c>
      <c r="B42" s="11">
        <v>324.39999999999998</v>
      </c>
    </row>
    <row r="43" spans="1:2" x14ac:dyDescent="0.3">
      <c r="A43">
        <v>42</v>
      </c>
      <c r="B43" s="11">
        <v>392.4</v>
      </c>
    </row>
    <row r="44" spans="1:2" x14ac:dyDescent="0.3">
      <c r="A44">
        <v>43</v>
      </c>
      <c r="B44" s="11">
        <v>449.4</v>
      </c>
    </row>
    <row r="45" spans="1:2" x14ac:dyDescent="0.3">
      <c r="A45">
        <v>44</v>
      </c>
      <c r="B45" s="11">
        <v>443.4</v>
      </c>
    </row>
    <row r="46" spans="1:2" x14ac:dyDescent="0.3">
      <c r="A46">
        <v>45</v>
      </c>
      <c r="B46" s="11">
        <v>400.8</v>
      </c>
    </row>
    <row r="47" spans="1:2" x14ac:dyDescent="0.3">
      <c r="A47">
        <v>46</v>
      </c>
      <c r="B47" s="11">
        <v>467.7</v>
      </c>
    </row>
    <row r="48" spans="1:2" x14ac:dyDescent="0.3">
      <c r="A48">
        <v>47</v>
      </c>
      <c r="B48" s="11">
        <v>518</v>
      </c>
    </row>
    <row r="49" spans="1:2" x14ac:dyDescent="0.3">
      <c r="A49">
        <v>48</v>
      </c>
      <c r="B49" s="11">
        <v>566.4</v>
      </c>
    </row>
    <row r="50" spans="1:2" x14ac:dyDescent="0.3">
      <c r="A50">
        <v>49</v>
      </c>
      <c r="B50" s="11">
        <v>474.6</v>
      </c>
    </row>
    <row r="51" spans="1:2" x14ac:dyDescent="0.3">
      <c r="A51">
        <v>50</v>
      </c>
      <c r="B51" s="11">
        <v>220.1</v>
      </c>
    </row>
    <row r="52" spans="1:2" x14ac:dyDescent="0.3">
      <c r="A52">
        <v>51</v>
      </c>
      <c r="B52" s="11">
        <v>125.6</v>
      </c>
    </row>
    <row r="53" spans="1:2" x14ac:dyDescent="0.3">
      <c r="A53">
        <v>52</v>
      </c>
      <c r="B53" s="11">
        <v>159.30000000000001</v>
      </c>
    </row>
    <row r="54" spans="1:2" x14ac:dyDescent="0.3">
      <c r="A54">
        <v>53</v>
      </c>
      <c r="B54" s="11">
        <v>349.9</v>
      </c>
    </row>
    <row r="55" spans="1:2" x14ac:dyDescent="0.3">
      <c r="A55">
        <v>54</v>
      </c>
      <c r="B55" s="11">
        <v>431.1</v>
      </c>
    </row>
    <row r="56" spans="1:2" x14ac:dyDescent="0.3">
      <c r="A56">
        <v>55</v>
      </c>
      <c r="B56" s="11">
        <v>380</v>
      </c>
    </row>
    <row r="57" spans="1:2" x14ac:dyDescent="0.3">
      <c r="A57">
        <v>56</v>
      </c>
      <c r="B57" s="11">
        <v>381.1</v>
      </c>
    </row>
    <row r="58" spans="1:2" x14ac:dyDescent="0.3">
      <c r="A58">
        <v>57</v>
      </c>
      <c r="B58" s="11">
        <v>401</v>
      </c>
    </row>
    <row r="59" spans="1:2" x14ac:dyDescent="0.3">
      <c r="A59">
        <v>58</v>
      </c>
      <c r="B59" s="11">
        <v>458.3</v>
      </c>
    </row>
    <row r="60" spans="1:2" x14ac:dyDescent="0.3">
      <c r="A60">
        <v>59</v>
      </c>
      <c r="B60" s="11">
        <v>540.70000000000005</v>
      </c>
    </row>
    <row r="61" spans="1:2" x14ac:dyDescent="0.3">
      <c r="A61">
        <v>60</v>
      </c>
      <c r="B61" s="11">
        <v>527.70000000000005</v>
      </c>
    </row>
    <row r="62" spans="1:2" x14ac:dyDescent="0.3">
      <c r="A62">
        <v>61</v>
      </c>
      <c r="B62" s="11">
        <v>432.7</v>
      </c>
    </row>
    <row r="63" spans="1:2" x14ac:dyDescent="0.3">
      <c r="A63">
        <v>62</v>
      </c>
      <c r="B63" s="11">
        <v>291.2</v>
      </c>
    </row>
    <row r="64" spans="1:2" x14ac:dyDescent="0.3">
      <c r="A64">
        <v>63</v>
      </c>
      <c r="B64" s="11">
        <v>219.8</v>
      </c>
    </row>
    <row r="65" spans="1:2" x14ac:dyDescent="0.3">
      <c r="A65">
        <v>64</v>
      </c>
      <c r="B65" s="11">
        <v>255.8</v>
      </c>
    </row>
    <row r="66" spans="1:2" x14ac:dyDescent="0.3">
      <c r="A66">
        <v>65</v>
      </c>
      <c r="B66" s="11">
        <v>380.2</v>
      </c>
    </row>
    <row r="67" spans="1:2" x14ac:dyDescent="0.3">
      <c r="A67">
        <v>66</v>
      </c>
      <c r="B67" s="11">
        <v>463.6</v>
      </c>
    </row>
    <row r="68" spans="1:2" x14ac:dyDescent="0.3">
      <c r="A68">
        <v>67</v>
      </c>
      <c r="B68" s="11">
        <v>466.4</v>
      </c>
    </row>
    <row r="69" spans="1:2" x14ac:dyDescent="0.3">
      <c r="A69">
        <v>68</v>
      </c>
      <c r="B69" s="11">
        <v>397.4</v>
      </c>
    </row>
    <row r="70" spans="1:2" x14ac:dyDescent="0.3">
      <c r="A70">
        <v>69</v>
      </c>
      <c r="B70" s="11">
        <v>389.9</v>
      </c>
    </row>
    <row r="71" spans="1:2" x14ac:dyDescent="0.3">
      <c r="A71">
        <v>70</v>
      </c>
      <c r="B71" s="11">
        <v>442.1</v>
      </c>
    </row>
    <row r="72" spans="1:2" x14ac:dyDescent="0.3">
      <c r="A72">
        <v>71</v>
      </c>
      <c r="B72" s="11">
        <v>519.70000000000005</v>
      </c>
    </row>
    <row r="73" spans="1:2" x14ac:dyDescent="0.3">
      <c r="A73">
        <v>72</v>
      </c>
      <c r="B73" s="11">
        <v>562.79999999999995</v>
      </c>
    </row>
    <row r="74" spans="1:2" x14ac:dyDescent="0.3">
      <c r="A74">
        <v>73</v>
      </c>
      <c r="B74" s="11">
        <v>508.5</v>
      </c>
    </row>
    <row r="75" spans="1:2" x14ac:dyDescent="0.3">
      <c r="A75">
        <v>74</v>
      </c>
      <c r="B75" s="11">
        <v>388.1</v>
      </c>
    </row>
    <row r="76" spans="1:2" x14ac:dyDescent="0.3">
      <c r="A76">
        <v>75</v>
      </c>
      <c r="B76" s="11">
        <v>277.7</v>
      </c>
    </row>
    <row r="77" spans="1:2" x14ac:dyDescent="0.3">
      <c r="A77">
        <v>76</v>
      </c>
      <c r="B77" s="11">
        <v>383.4</v>
      </c>
    </row>
    <row r="78" spans="1:2" x14ac:dyDescent="0.3">
      <c r="A78">
        <v>77</v>
      </c>
      <c r="B78" s="11">
        <v>510.2</v>
      </c>
    </row>
    <row r="79" spans="1:2" x14ac:dyDescent="0.3">
      <c r="A79">
        <v>78</v>
      </c>
      <c r="B79" s="11">
        <v>592.9</v>
      </c>
    </row>
    <row r="80" spans="1:2" x14ac:dyDescent="0.3">
      <c r="A80">
        <v>79</v>
      </c>
      <c r="B80" s="11">
        <v>579.9</v>
      </c>
    </row>
    <row r="81" spans="1:2" x14ac:dyDescent="0.3">
      <c r="A81">
        <v>80</v>
      </c>
      <c r="B81" s="11">
        <v>484.6</v>
      </c>
    </row>
    <row r="82" spans="1:2" x14ac:dyDescent="0.3">
      <c r="A82">
        <v>81</v>
      </c>
      <c r="B82" s="11">
        <v>474.7</v>
      </c>
    </row>
    <row r="83" spans="1:2" x14ac:dyDescent="0.3">
      <c r="A83">
        <v>82</v>
      </c>
      <c r="B83" s="11">
        <v>472.9</v>
      </c>
    </row>
    <row r="84" spans="1:2" x14ac:dyDescent="0.3">
      <c r="A84">
        <v>83</v>
      </c>
      <c r="B84" s="11">
        <v>527.4</v>
      </c>
    </row>
    <row r="85" spans="1:2" x14ac:dyDescent="0.3">
      <c r="A85">
        <v>84</v>
      </c>
      <c r="B85" s="11">
        <v>588.6</v>
      </c>
    </row>
    <row r="86" spans="1:2" x14ac:dyDescent="0.3">
      <c r="A86">
        <v>85</v>
      </c>
      <c r="B86" s="11">
        <v>540.29999999999995</v>
      </c>
    </row>
    <row r="87" spans="1:2" x14ac:dyDescent="0.3">
      <c r="A87">
        <v>86</v>
      </c>
      <c r="B87" s="11"/>
    </row>
    <row r="88" spans="1:2" x14ac:dyDescent="0.3">
      <c r="A88">
        <v>87</v>
      </c>
      <c r="B88" s="11">
        <v>190.1</v>
      </c>
    </row>
    <row r="89" spans="1:2" x14ac:dyDescent="0.3">
      <c r="A89">
        <v>88</v>
      </c>
      <c r="B89" s="11">
        <v>346.9</v>
      </c>
    </row>
    <row r="90" spans="1:2" x14ac:dyDescent="0.3">
      <c r="A90">
        <v>89</v>
      </c>
      <c r="B90" s="11">
        <v>478.1</v>
      </c>
    </row>
    <row r="91" spans="1:2" x14ac:dyDescent="0.3">
      <c r="A91">
        <v>90</v>
      </c>
      <c r="B91" s="11">
        <v>581.79999999999995</v>
      </c>
    </row>
    <row r="92" spans="1:2" x14ac:dyDescent="0.3">
      <c r="A92">
        <v>91</v>
      </c>
      <c r="B92" s="11">
        <v>601.1</v>
      </c>
    </row>
    <row r="93" spans="1:2" x14ac:dyDescent="0.3">
      <c r="A93">
        <v>92</v>
      </c>
      <c r="B93" s="11">
        <v>569.9</v>
      </c>
    </row>
    <row r="94" spans="1:2" x14ac:dyDescent="0.3">
      <c r="A94">
        <v>93</v>
      </c>
      <c r="B94" s="11">
        <v>595.6</v>
      </c>
    </row>
    <row r="95" spans="1:2" x14ac:dyDescent="0.3">
      <c r="A95">
        <v>94</v>
      </c>
      <c r="B95" s="11">
        <v>604.4</v>
      </c>
    </row>
    <row r="96" spans="1:2" x14ac:dyDescent="0.3">
      <c r="A96">
        <v>95</v>
      </c>
      <c r="B96" s="11">
        <v>635.79999999999995</v>
      </c>
    </row>
    <row r="97" spans="1:2" x14ac:dyDescent="0.3">
      <c r="A97">
        <v>96</v>
      </c>
      <c r="B97" s="11">
        <v>637.9</v>
      </c>
    </row>
    <row r="98" spans="1:2" x14ac:dyDescent="0.3">
      <c r="A98">
        <v>97</v>
      </c>
      <c r="B98" s="11">
        <v>556.6</v>
      </c>
    </row>
    <row r="99" spans="1:2" x14ac:dyDescent="0.3">
      <c r="A99">
        <v>98</v>
      </c>
      <c r="B99" s="11">
        <v>434.3</v>
      </c>
    </row>
    <row r="100" spans="1:2" x14ac:dyDescent="0.3">
      <c r="A100">
        <v>99</v>
      </c>
      <c r="B100" s="11">
        <v>380.6</v>
      </c>
    </row>
    <row r="101" spans="1:2" x14ac:dyDescent="0.3">
      <c r="A101">
        <v>100</v>
      </c>
      <c r="B101" s="11">
        <v>374.5</v>
      </c>
    </row>
    <row r="102" spans="1:2" x14ac:dyDescent="0.3">
      <c r="A102">
        <v>101</v>
      </c>
      <c r="B102" s="11">
        <v>475.4</v>
      </c>
    </row>
    <row r="103" spans="1:2" x14ac:dyDescent="0.3">
      <c r="A103">
        <v>102</v>
      </c>
      <c r="B103" s="11">
        <v>578.70000000000005</v>
      </c>
    </row>
    <row r="104" spans="1:2" x14ac:dyDescent="0.3">
      <c r="A104">
        <v>103</v>
      </c>
      <c r="B104" s="11">
        <v>633.70000000000005</v>
      </c>
    </row>
    <row r="105" spans="1:2" x14ac:dyDescent="0.3">
      <c r="A105">
        <v>104</v>
      </c>
      <c r="B105" s="11">
        <v>641</v>
      </c>
    </row>
    <row r="106" spans="1:2" x14ac:dyDescent="0.3">
      <c r="A106">
        <v>105</v>
      </c>
      <c r="B106" s="11">
        <v>649.79999999999995</v>
      </c>
    </row>
    <row r="107" spans="1:2" x14ac:dyDescent="0.3">
      <c r="A107">
        <v>106</v>
      </c>
      <c r="B107" s="11">
        <v>653.4</v>
      </c>
    </row>
    <row r="108" spans="1:2" x14ac:dyDescent="0.3">
      <c r="A108">
        <v>107</v>
      </c>
      <c r="B108" s="11">
        <v>679.9</v>
      </c>
    </row>
    <row r="109" spans="1:2" x14ac:dyDescent="0.3">
      <c r="A109">
        <v>108</v>
      </c>
      <c r="B109" s="11">
        <v>668.1</v>
      </c>
    </row>
    <row r="110" spans="1:2" x14ac:dyDescent="0.3">
      <c r="A110">
        <v>109</v>
      </c>
      <c r="B110" s="11">
        <v>589.6</v>
      </c>
    </row>
    <row r="111" spans="1:2" x14ac:dyDescent="0.3">
      <c r="A111">
        <v>110</v>
      </c>
      <c r="B111" s="11">
        <v>479.6</v>
      </c>
    </row>
    <row r="112" spans="1:2" x14ac:dyDescent="0.3">
      <c r="A112">
        <v>111</v>
      </c>
      <c r="B112" s="11">
        <v>359.6</v>
      </c>
    </row>
    <row r="113" spans="1:2" x14ac:dyDescent="0.3">
      <c r="A113">
        <v>112</v>
      </c>
      <c r="B113" s="11">
        <v>394.5</v>
      </c>
    </row>
    <row r="114" spans="1:2" x14ac:dyDescent="0.3">
      <c r="A114">
        <v>113</v>
      </c>
      <c r="B114" s="11">
        <v>454.6</v>
      </c>
    </row>
    <row r="115" spans="1:2" x14ac:dyDescent="0.3">
      <c r="A115">
        <v>114</v>
      </c>
      <c r="B115" s="11">
        <v>476.9</v>
      </c>
    </row>
    <row r="116" spans="1:2" x14ac:dyDescent="0.3">
      <c r="A116">
        <v>115</v>
      </c>
      <c r="B116" s="11">
        <v>460.8</v>
      </c>
    </row>
    <row r="117" spans="1:2" x14ac:dyDescent="0.3">
      <c r="A117">
        <v>116</v>
      </c>
      <c r="B117" s="11">
        <v>369.3</v>
      </c>
    </row>
    <row r="118" spans="1:2" x14ac:dyDescent="0.3">
      <c r="A118">
        <v>117</v>
      </c>
      <c r="B118" s="11">
        <v>369.2</v>
      </c>
    </row>
    <row r="119" spans="1:2" x14ac:dyDescent="0.3">
      <c r="A119">
        <v>118</v>
      </c>
      <c r="B119" s="11">
        <v>323.7</v>
      </c>
    </row>
    <row r="120" spans="1:2" x14ac:dyDescent="0.3">
      <c r="A120">
        <v>119</v>
      </c>
      <c r="B120" s="11">
        <v>418.1</v>
      </c>
    </row>
    <row r="121" spans="1:2" x14ac:dyDescent="0.3">
      <c r="A121">
        <v>120</v>
      </c>
      <c r="B121" s="11">
        <v>335.2</v>
      </c>
    </row>
    <row r="122" spans="1:2" x14ac:dyDescent="0.3">
      <c r="A122">
        <v>121</v>
      </c>
      <c r="B122" s="11">
        <v>186.5</v>
      </c>
    </row>
    <row r="123" spans="1:2" x14ac:dyDescent="0.3">
      <c r="A123">
        <v>122</v>
      </c>
      <c r="B123" s="11">
        <v>144.69999999999999</v>
      </c>
    </row>
    <row r="124" spans="1:2" x14ac:dyDescent="0.3">
      <c r="A124">
        <v>123</v>
      </c>
      <c r="B124" s="11">
        <v>163.9</v>
      </c>
    </row>
    <row r="125" spans="1:2" x14ac:dyDescent="0.3">
      <c r="A125">
        <v>124</v>
      </c>
      <c r="B125" s="11">
        <v>211.5</v>
      </c>
    </row>
    <row r="126" spans="1:2" x14ac:dyDescent="0.3">
      <c r="A126">
        <v>125</v>
      </c>
      <c r="B126" s="11">
        <v>341.9</v>
      </c>
    </row>
    <row r="127" spans="1:2" x14ac:dyDescent="0.3">
      <c r="A127">
        <v>126</v>
      </c>
      <c r="B127" s="11">
        <v>470.4</v>
      </c>
    </row>
    <row r="128" spans="1:2" x14ac:dyDescent="0.3">
      <c r="A128">
        <v>127</v>
      </c>
      <c r="B128" s="11">
        <v>587.70000000000005</v>
      </c>
    </row>
    <row r="129" spans="1:2" x14ac:dyDescent="0.3">
      <c r="A129">
        <v>128</v>
      </c>
      <c r="B129" s="11">
        <v>641.20000000000005</v>
      </c>
    </row>
    <row r="130" spans="1:2" x14ac:dyDescent="0.3">
      <c r="A130">
        <v>129</v>
      </c>
      <c r="B130" s="11">
        <v>633.5</v>
      </c>
    </row>
    <row r="131" spans="1:2" x14ac:dyDescent="0.3">
      <c r="A131">
        <v>130</v>
      </c>
      <c r="B131" s="11">
        <v>668.4</v>
      </c>
    </row>
    <row r="132" spans="1:2" x14ac:dyDescent="0.3">
      <c r="A132">
        <v>131</v>
      </c>
      <c r="B132" s="11">
        <v>699.3</v>
      </c>
    </row>
    <row r="133" spans="1:2" x14ac:dyDescent="0.3">
      <c r="A133">
        <v>132</v>
      </c>
      <c r="B133" s="11">
        <v>835.1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B12"/>
  <sheetViews>
    <sheetView workbookViewId="0"/>
  </sheetViews>
  <sheetFormatPr baseColWidth="10" defaultColWidth="11.44140625" defaultRowHeight="14.4" x14ac:dyDescent="0.3"/>
  <sheetData>
    <row r="1" spans="1:2" x14ac:dyDescent="0.3">
      <c r="A1" t="s">
        <v>44</v>
      </c>
      <c r="B1" s="10" t="s">
        <v>43</v>
      </c>
    </row>
    <row r="2" spans="1:2" x14ac:dyDescent="0.3">
      <c r="A2">
        <v>2000</v>
      </c>
      <c r="B2" s="11">
        <v>511.77499999999992</v>
      </c>
    </row>
    <row r="3" spans="1:2" x14ac:dyDescent="0.3">
      <c r="A3">
        <v>2001</v>
      </c>
      <c r="B3" s="11">
        <v>284.85000000000002</v>
      </c>
    </row>
    <row r="4" spans="1:2" x14ac:dyDescent="0.3">
      <c r="A4">
        <v>2002</v>
      </c>
      <c r="B4" s="11">
        <v>361.55833333333334</v>
      </c>
    </row>
    <row r="5" spans="1:2" x14ac:dyDescent="0.3">
      <c r="A5">
        <v>2003</v>
      </c>
      <c r="B5" s="11">
        <v>377.73636363636365</v>
      </c>
    </row>
    <row r="6" spans="1:2" x14ac:dyDescent="0.3">
      <c r="A6">
        <v>2004</v>
      </c>
      <c r="B6" s="11">
        <v>370.7833333333333</v>
      </c>
    </row>
    <row r="7" spans="1:2" x14ac:dyDescent="0.3">
      <c r="A7">
        <v>2005</v>
      </c>
      <c r="B7" s="11">
        <v>401.8</v>
      </c>
    </row>
    <row r="8" spans="1:2" x14ac:dyDescent="0.3">
      <c r="A8">
        <v>2006</v>
      </c>
      <c r="B8" s="11">
        <v>482.4083333333333</v>
      </c>
    </row>
    <row r="9" spans="1:2" x14ac:dyDescent="0.3">
      <c r="A9">
        <v>2007</v>
      </c>
      <c r="B9" s="11">
        <v>525.62727272727273</v>
      </c>
    </row>
    <row r="10" spans="1:2" x14ac:dyDescent="0.3">
      <c r="A10">
        <v>2008</v>
      </c>
      <c r="B10" s="11">
        <v>560.5</v>
      </c>
    </row>
    <row r="11" spans="1:2" x14ac:dyDescent="0.3">
      <c r="A11">
        <v>2009</v>
      </c>
      <c r="B11" s="11">
        <v>419.25833333333338</v>
      </c>
    </row>
    <row r="12" spans="1:2" x14ac:dyDescent="0.3">
      <c r="A12">
        <v>2010</v>
      </c>
      <c r="B12" s="11">
        <v>465.3416666666667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/>
  <dimension ref="A1:B12"/>
  <sheetViews>
    <sheetView workbookViewId="0"/>
  </sheetViews>
  <sheetFormatPr baseColWidth="10" defaultColWidth="11.44140625" defaultRowHeight="14.4" x14ac:dyDescent="0.3"/>
  <sheetData>
    <row r="1" spans="1:2" x14ac:dyDescent="0.3">
      <c r="A1" t="s">
        <v>44</v>
      </c>
      <c r="B1" s="10" t="s">
        <v>43</v>
      </c>
    </row>
    <row r="2" spans="1:2" x14ac:dyDescent="0.3">
      <c r="A2">
        <v>1</v>
      </c>
      <c r="B2" s="11">
        <v>511.77499999999992</v>
      </c>
    </row>
    <row r="3" spans="1:2" x14ac:dyDescent="0.3">
      <c r="A3">
        <v>2</v>
      </c>
      <c r="B3" s="11">
        <v>284.85000000000002</v>
      </c>
    </row>
    <row r="4" spans="1:2" x14ac:dyDescent="0.3">
      <c r="A4">
        <v>3</v>
      </c>
      <c r="B4" s="11">
        <v>361.55833333333334</v>
      </c>
    </row>
    <row r="5" spans="1:2" x14ac:dyDescent="0.3">
      <c r="A5">
        <v>4</v>
      </c>
      <c r="B5" s="11">
        <v>377.73636363636365</v>
      </c>
    </row>
    <row r="6" spans="1:2" x14ac:dyDescent="0.3">
      <c r="A6">
        <v>5</v>
      </c>
      <c r="B6" s="11">
        <v>370.7833333333333</v>
      </c>
    </row>
    <row r="7" spans="1:2" x14ac:dyDescent="0.3">
      <c r="A7">
        <v>6</v>
      </c>
      <c r="B7" s="11">
        <v>401.8</v>
      </c>
    </row>
    <row r="8" spans="1:2" x14ac:dyDescent="0.3">
      <c r="A8">
        <v>7</v>
      </c>
      <c r="B8" s="11">
        <v>482.4083333333333</v>
      </c>
    </row>
    <row r="9" spans="1:2" x14ac:dyDescent="0.3">
      <c r="A9">
        <v>8</v>
      </c>
      <c r="B9" s="11">
        <v>525.62727272727273</v>
      </c>
    </row>
    <row r="10" spans="1:2" x14ac:dyDescent="0.3">
      <c r="A10">
        <v>9</v>
      </c>
      <c r="B10" s="11">
        <v>560.5</v>
      </c>
    </row>
    <row r="11" spans="1:2" x14ac:dyDescent="0.3">
      <c r="A11">
        <v>10</v>
      </c>
      <c r="B11" s="11">
        <v>419.25833333333338</v>
      </c>
    </row>
    <row r="12" spans="1:2" x14ac:dyDescent="0.3">
      <c r="A12">
        <v>11</v>
      </c>
      <c r="B12" s="11">
        <v>465.3416666666667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/>
  <dimension ref="A1:B12"/>
  <sheetViews>
    <sheetView workbookViewId="0"/>
  </sheetViews>
  <sheetFormatPr baseColWidth="10" defaultColWidth="11.44140625" defaultRowHeight="14.4" x14ac:dyDescent="0.3"/>
  <sheetData>
    <row r="1" spans="1:2" x14ac:dyDescent="0.3">
      <c r="A1" t="s">
        <v>44</v>
      </c>
      <c r="B1" s="10" t="s">
        <v>43</v>
      </c>
    </row>
    <row r="2" spans="1:2" x14ac:dyDescent="0.3">
      <c r="A2">
        <v>2000</v>
      </c>
      <c r="B2" s="11">
        <v>511.77499999999992</v>
      </c>
    </row>
    <row r="3" spans="1:2" x14ac:dyDescent="0.3">
      <c r="A3">
        <v>2001</v>
      </c>
      <c r="B3" s="11">
        <v>284.85000000000002</v>
      </c>
    </row>
    <row r="4" spans="1:2" x14ac:dyDescent="0.3">
      <c r="A4">
        <v>2002</v>
      </c>
      <c r="B4" s="11">
        <v>361.55833333333334</v>
      </c>
    </row>
    <row r="5" spans="1:2" x14ac:dyDescent="0.3">
      <c r="A5">
        <v>2003</v>
      </c>
      <c r="B5" s="11">
        <v>377.73636363636365</v>
      </c>
    </row>
    <row r="6" spans="1:2" x14ac:dyDescent="0.3">
      <c r="A6">
        <v>2004</v>
      </c>
      <c r="B6" s="11">
        <v>370.7833333333333</v>
      </c>
    </row>
    <row r="7" spans="1:2" x14ac:dyDescent="0.3">
      <c r="A7">
        <v>2005</v>
      </c>
      <c r="B7" s="11">
        <v>401.8</v>
      </c>
    </row>
    <row r="8" spans="1:2" x14ac:dyDescent="0.3">
      <c r="A8">
        <v>2006</v>
      </c>
      <c r="B8" s="11">
        <v>482.4083333333333</v>
      </c>
    </row>
    <row r="9" spans="1:2" x14ac:dyDescent="0.3">
      <c r="A9">
        <v>2007</v>
      </c>
      <c r="B9" s="11">
        <v>525.62727272727273</v>
      </c>
    </row>
    <row r="10" spans="1:2" x14ac:dyDescent="0.3">
      <c r="A10">
        <v>2008</v>
      </c>
      <c r="B10" s="11">
        <v>560.5</v>
      </c>
    </row>
    <row r="11" spans="1:2" x14ac:dyDescent="0.3">
      <c r="A11">
        <v>2009</v>
      </c>
      <c r="B11" s="11">
        <v>419.25833333333338</v>
      </c>
    </row>
    <row r="12" spans="1:2" x14ac:dyDescent="0.3">
      <c r="A12">
        <v>2010</v>
      </c>
      <c r="B12" s="11">
        <v>465.3416666666667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/>
  <dimension ref="A1:B12"/>
  <sheetViews>
    <sheetView workbookViewId="0"/>
  </sheetViews>
  <sheetFormatPr baseColWidth="10" defaultColWidth="11.44140625" defaultRowHeight="14.4" x14ac:dyDescent="0.3"/>
  <sheetData>
    <row r="1" spans="1:2" x14ac:dyDescent="0.3">
      <c r="A1" t="s">
        <v>44</v>
      </c>
      <c r="B1" s="10" t="s">
        <v>43</v>
      </c>
    </row>
    <row r="2" spans="1:2" x14ac:dyDescent="0.3">
      <c r="A2">
        <v>2000</v>
      </c>
      <c r="B2" s="11">
        <v>511.77499999999992</v>
      </c>
    </row>
    <row r="3" spans="1:2" x14ac:dyDescent="0.3">
      <c r="A3">
        <v>2001</v>
      </c>
      <c r="B3" s="11">
        <v>284.85000000000002</v>
      </c>
    </row>
    <row r="4" spans="1:2" x14ac:dyDescent="0.3">
      <c r="A4">
        <v>2002</v>
      </c>
      <c r="B4" s="11">
        <v>361.55833333333334</v>
      </c>
    </row>
    <row r="5" spans="1:2" x14ac:dyDescent="0.3">
      <c r="A5">
        <v>2003</v>
      </c>
      <c r="B5" s="11">
        <v>377.73636363636365</v>
      </c>
    </row>
    <row r="6" spans="1:2" x14ac:dyDescent="0.3">
      <c r="A6">
        <v>2004</v>
      </c>
      <c r="B6" s="11">
        <v>370.7833333333333</v>
      </c>
    </row>
    <row r="7" spans="1:2" x14ac:dyDescent="0.3">
      <c r="A7">
        <v>2005</v>
      </c>
      <c r="B7" s="11">
        <v>401.8</v>
      </c>
    </row>
    <row r="8" spans="1:2" x14ac:dyDescent="0.3">
      <c r="A8">
        <v>2006</v>
      </c>
      <c r="B8" s="11">
        <v>482.4083333333333</v>
      </c>
    </row>
    <row r="9" spans="1:2" x14ac:dyDescent="0.3">
      <c r="A9">
        <v>2007</v>
      </c>
      <c r="B9" s="11">
        <v>525.62727272727273</v>
      </c>
    </row>
    <row r="10" spans="1:2" x14ac:dyDescent="0.3">
      <c r="A10">
        <v>2008</v>
      </c>
      <c r="B10" s="11">
        <v>560.5</v>
      </c>
    </row>
    <row r="11" spans="1:2" x14ac:dyDescent="0.3">
      <c r="A11">
        <v>2009</v>
      </c>
      <c r="B11" s="11">
        <v>419.25833333333338</v>
      </c>
    </row>
    <row r="12" spans="1:2" x14ac:dyDescent="0.3">
      <c r="A12">
        <v>2010</v>
      </c>
      <c r="B12" s="11">
        <v>465.3416666666667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1"/>
  <dimension ref="A1:W429"/>
  <sheetViews>
    <sheetView topLeftCell="A5" zoomScale="85" zoomScaleNormal="85" workbookViewId="0">
      <selection activeCell="Q4" sqref="Q4"/>
    </sheetView>
  </sheetViews>
  <sheetFormatPr baseColWidth="10" defaultColWidth="11.44140625" defaultRowHeight="14.4" x14ac:dyDescent="0.3"/>
  <cols>
    <col min="2" max="2" width="8.88671875" customWidth="1"/>
    <col min="3" max="3" width="13.5546875" customWidth="1"/>
    <col min="4" max="4" width="10.44140625" customWidth="1"/>
    <col min="5" max="5" width="6" customWidth="1"/>
    <col min="7" max="7" width="8.88671875" customWidth="1"/>
    <col min="8" max="8" width="14.5546875" customWidth="1"/>
    <col min="9" max="9" width="5.6640625" customWidth="1"/>
    <col min="10" max="10" width="8" customWidth="1"/>
    <col min="11" max="11" width="8.6640625" customWidth="1"/>
    <col min="12" max="12" width="5.44140625" customWidth="1"/>
    <col min="13" max="13" width="7.6640625" customWidth="1"/>
    <col min="14" max="14" width="4.44140625" customWidth="1"/>
    <col min="16" max="16" width="9.109375" customWidth="1"/>
    <col min="17" max="17" width="7" customWidth="1"/>
    <col min="18" max="18" width="3.5546875" customWidth="1"/>
    <col min="19" max="20" width="8.33203125" customWidth="1"/>
    <col min="21" max="21" width="6.88671875" customWidth="1"/>
  </cols>
  <sheetData>
    <row r="1" spans="1:20" x14ac:dyDescent="0.3">
      <c r="A1" s="4" t="s">
        <v>31</v>
      </c>
      <c r="B1" s="4"/>
      <c r="C1" s="4"/>
      <c r="D1" s="2"/>
      <c r="E1" s="2"/>
      <c r="F1" s="4" t="s">
        <v>31</v>
      </c>
      <c r="G1" s="4"/>
      <c r="H1" s="4"/>
    </row>
    <row r="2" spans="1:20" x14ac:dyDescent="0.3">
      <c r="A2" t="s">
        <v>15</v>
      </c>
      <c r="F2" s="22" t="s">
        <v>25</v>
      </c>
      <c r="G2" s="22"/>
      <c r="H2" s="22"/>
    </row>
    <row r="3" spans="1:20" x14ac:dyDescent="0.3">
      <c r="A3" t="s">
        <v>17</v>
      </c>
      <c r="F3" s="21" t="s">
        <v>32</v>
      </c>
      <c r="G3" s="21"/>
      <c r="H3" s="21"/>
    </row>
    <row r="4" spans="1:20" x14ac:dyDescent="0.3">
      <c r="A4" s="2" t="s">
        <v>18</v>
      </c>
      <c r="F4" s="23" t="s">
        <v>37</v>
      </c>
      <c r="G4" s="23"/>
      <c r="H4" s="23"/>
      <c r="K4">
        <f>AVERAGE(H47:H417)</f>
        <v>673.22905027932961</v>
      </c>
    </row>
    <row r="5" spans="1:20" x14ac:dyDescent="0.3">
      <c r="A5" t="s">
        <v>23</v>
      </c>
      <c r="C5" t="s">
        <v>20</v>
      </c>
      <c r="F5" s="23" t="s">
        <v>33</v>
      </c>
      <c r="G5" s="23"/>
      <c r="H5" s="23"/>
      <c r="K5">
        <f>AVERAGE(C47:C417)</f>
        <v>569.59078590785907</v>
      </c>
    </row>
    <row r="6" spans="1:20" x14ac:dyDescent="0.3">
      <c r="A6" t="s">
        <v>24</v>
      </c>
      <c r="C6" t="s">
        <v>21</v>
      </c>
      <c r="F6" s="1" t="s">
        <v>34</v>
      </c>
      <c r="H6" s="1" t="s">
        <v>35</v>
      </c>
      <c r="K6">
        <v>546</v>
      </c>
    </row>
    <row r="7" spans="1:20" x14ac:dyDescent="0.3">
      <c r="A7" t="s">
        <v>19</v>
      </c>
      <c r="C7" t="s">
        <v>22</v>
      </c>
      <c r="F7" s="1"/>
      <c r="G7" t="s">
        <v>53</v>
      </c>
      <c r="H7" s="16">
        <f>AVERAGE(H10:H417)</f>
        <v>671.29411764705878</v>
      </c>
    </row>
    <row r="8" spans="1:20" x14ac:dyDescent="0.3">
      <c r="F8" s="1"/>
      <c r="G8" t="s">
        <v>54</v>
      </c>
      <c r="H8" s="16">
        <f>_xlfn.STDEV.S(H10:H417)</f>
        <v>20.477328080323389</v>
      </c>
    </row>
    <row r="9" spans="1:20" x14ac:dyDescent="0.3">
      <c r="A9" s="2" t="s">
        <v>12</v>
      </c>
      <c r="B9" s="2" t="s">
        <v>13</v>
      </c>
      <c r="C9" s="7" t="s">
        <v>36</v>
      </c>
      <c r="D9" s="2" t="s">
        <v>46</v>
      </c>
      <c r="E9" s="2"/>
      <c r="F9" s="2" t="s">
        <v>12</v>
      </c>
      <c r="G9" s="5" t="s">
        <v>13</v>
      </c>
      <c r="H9" s="5" t="s">
        <v>36</v>
      </c>
      <c r="J9" t="s">
        <v>49</v>
      </c>
      <c r="K9" t="s">
        <v>50</v>
      </c>
      <c r="M9" s="2" t="s">
        <v>52</v>
      </c>
      <c r="O9" s="21" t="s">
        <v>55</v>
      </c>
      <c r="P9" s="21"/>
      <c r="Q9" s="14" t="s">
        <v>54</v>
      </c>
      <c r="S9" s="2" t="s">
        <v>58</v>
      </c>
    </row>
    <row r="10" spans="1:20" x14ac:dyDescent="0.3">
      <c r="A10" t="s">
        <v>0</v>
      </c>
      <c r="B10">
        <v>1981</v>
      </c>
      <c r="C10" s="18">
        <v>771</v>
      </c>
      <c r="D10" s="12">
        <v>1980.99999999326</v>
      </c>
      <c r="F10" t="s">
        <v>0</v>
      </c>
      <c r="G10">
        <v>1981</v>
      </c>
      <c r="J10">
        <v>2015</v>
      </c>
      <c r="K10">
        <f>AVERAGEIF(B$46:B$429,J10,C$46:C$429)</f>
        <v>482</v>
      </c>
      <c r="M10" s="13"/>
      <c r="O10" t="s">
        <v>0</v>
      </c>
      <c r="P10" s="13">
        <f>AVERAGEIF(F$10:F$429,O10,H$10:H$429)</f>
        <v>671.65625</v>
      </c>
      <c r="Q10" s="13">
        <f t="array" ref="Q10">_xlfn.STDEV.S(IF(F$10:F$429=O10,H$10:H$429))</f>
        <v>191.61993194688213</v>
      </c>
      <c r="S10" s="12"/>
      <c r="T10" s="12">
        <v>1980.99999999326</v>
      </c>
    </row>
    <row r="11" spans="1:20" x14ac:dyDescent="0.3">
      <c r="A11" t="s">
        <v>1</v>
      </c>
      <c r="B11">
        <v>1981</v>
      </c>
      <c r="C11" s="18">
        <v>672</v>
      </c>
      <c r="D11" s="12">
        <v>1981.08333332662</v>
      </c>
      <c r="F11" t="s">
        <v>1</v>
      </c>
      <c r="G11">
        <v>1981</v>
      </c>
      <c r="J11">
        <v>2014</v>
      </c>
      <c r="K11">
        <f t="shared" ref="K11:K40" si="0">AVERAGEIF(B$46:B$429,J11,C$46:C$429)</f>
        <v>506.41666666666669</v>
      </c>
      <c r="M11" s="13"/>
      <c r="O11" t="s">
        <v>1</v>
      </c>
      <c r="P11" s="13">
        <f>AVERAGEIF(F$10:F$429,O11,H$10:H$429)</f>
        <v>656.125</v>
      </c>
      <c r="Q11" s="13">
        <f t="array" ref="Q11">_xlfn.STDEV.S(IF(F$10:F$429=O11,H$10:H$429))</f>
        <v>186.90273837866945</v>
      </c>
      <c r="S11" s="12"/>
      <c r="T11" s="12">
        <v>1981.08333332662</v>
      </c>
    </row>
    <row r="12" spans="1:20" x14ac:dyDescent="0.3">
      <c r="A12" t="s">
        <v>2</v>
      </c>
      <c r="B12">
        <v>1981</v>
      </c>
      <c r="C12" s="18">
        <v>682</v>
      </c>
      <c r="D12" s="12">
        <v>1981.1666666599799</v>
      </c>
      <c r="F12" t="s">
        <v>2</v>
      </c>
      <c r="G12">
        <v>1981</v>
      </c>
      <c r="J12">
        <v>2013</v>
      </c>
      <c r="K12">
        <f t="shared" si="0"/>
        <v>507.5</v>
      </c>
      <c r="M12" s="13"/>
      <c r="O12" t="s">
        <v>2</v>
      </c>
      <c r="P12" s="13">
        <f t="shared" ref="P12:P21" si="1">AVERAGEIF(F$10:F$429,O12,H$10:H$429)</f>
        <v>651.125</v>
      </c>
      <c r="Q12" s="13">
        <f t="array" ref="Q12">_xlfn.STDEV.S(IF(F$10:F$429=O12,H$10:H$429))</f>
        <v>185.37018153327858</v>
      </c>
      <c r="S12" s="12"/>
      <c r="T12" s="12">
        <v>1981.1666666599799</v>
      </c>
    </row>
    <row r="13" spans="1:20" x14ac:dyDescent="0.3">
      <c r="A13" t="s">
        <v>3</v>
      </c>
      <c r="B13">
        <v>1981</v>
      </c>
      <c r="C13" s="18">
        <v>685</v>
      </c>
      <c r="D13" s="12">
        <v>1981.24999999334</v>
      </c>
      <c r="F13" t="s">
        <v>3</v>
      </c>
      <c r="G13">
        <v>1981</v>
      </c>
      <c r="H13">
        <v>640</v>
      </c>
      <c r="J13">
        <v>2012</v>
      </c>
      <c r="K13">
        <f t="shared" si="0"/>
        <v>537.08333333333337</v>
      </c>
      <c r="M13" s="13">
        <f>STANDARDIZE(H13,H$7,H$8)</f>
        <v>-1.5282324688214191</v>
      </c>
      <c r="O13" t="s">
        <v>3</v>
      </c>
      <c r="P13" s="13">
        <f t="shared" si="1"/>
        <v>654.5625</v>
      </c>
      <c r="Q13" s="13">
        <f t="array" ref="Q13">_xlfn.STDEV.S(IF(F$10:F$429=O13,H$10:H$429))</f>
        <v>186.39337637454429</v>
      </c>
      <c r="S13" s="12"/>
      <c r="T13" s="12">
        <v>1981.24999999334</v>
      </c>
    </row>
    <row r="14" spans="1:20" x14ac:dyDescent="0.3">
      <c r="A14" t="s">
        <v>4</v>
      </c>
      <c r="B14">
        <v>1981</v>
      </c>
      <c r="C14" s="18">
        <v>766</v>
      </c>
      <c r="D14" s="12">
        <v>1981.3333333267001</v>
      </c>
      <c r="F14" t="s">
        <v>4</v>
      </c>
      <c r="G14">
        <v>1981</v>
      </c>
      <c r="H14">
        <v>656</v>
      </c>
      <c r="J14">
        <v>2011</v>
      </c>
      <c r="K14">
        <f t="shared" si="0"/>
        <v>593.5</v>
      </c>
      <c r="M14" s="13">
        <f t="shared" ref="M14:M74" si="2">STANDARDIZE(H14,H$7,H$8)</f>
        <v>-0.74688052987512865</v>
      </c>
      <c r="O14" t="s">
        <v>4</v>
      </c>
      <c r="P14" s="13">
        <f t="shared" si="1"/>
        <v>667.06060606060601</v>
      </c>
      <c r="Q14" s="13">
        <f t="array" ref="Q14">_xlfn.STDEV.S(IF(F$10:F$429=O14,H$10:H$429))</f>
        <v>157.80217378230299</v>
      </c>
      <c r="S14" s="12"/>
      <c r="T14" s="12">
        <v>1981.3333333267001</v>
      </c>
    </row>
    <row r="15" spans="1:20" x14ac:dyDescent="0.3">
      <c r="A15" t="s">
        <v>5</v>
      </c>
      <c r="B15">
        <v>1981</v>
      </c>
      <c r="C15" s="18">
        <v>834</v>
      </c>
      <c r="D15" s="12">
        <v>1981.4166666600599</v>
      </c>
      <c r="F15" t="s">
        <v>5</v>
      </c>
      <c r="G15">
        <v>1981</v>
      </c>
      <c r="H15">
        <v>663</v>
      </c>
      <c r="J15">
        <v>2010</v>
      </c>
      <c r="K15">
        <f t="shared" si="0"/>
        <v>561.83333333333337</v>
      </c>
      <c r="M15" s="13">
        <f t="shared" si="2"/>
        <v>-0.40503905658612654</v>
      </c>
      <c r="O15" t="s">
        <v>5</v>
      </c>
      <c r="P15" s="13">
        <f t="shared" si="1"/>
        <v>673.30303030303025</v>
      </c>
      <c r="Q15" s="13">
        <f t="array" ref="Q15">_xlfn.STDEV.S(IF(F$10:F$429=O15,H$10:H$429))</f>
        <v>159.44563626631412</v>
      </c>
      <c r="S15" s="12"/>
      <c r="T15" s="12">
        <v>1981.4166666600599</v>
      </c>
    </row>
    <row r="16" spans="1:20" x14ac:dyDescent="0.3">
      <c r="A16" t="s">
        <v>6</v>
      </c>
      <c r="B16">
        <v>1981</v>
      </c>
      <c r="C16" s="18">
        <v>849</v>
      </c>
      <c r="D16" s="12">
        <v>1981.49999999342</v>
      </c>
      <c r="F16" t="s">
        <v>6</v>
      </c>
      <c r="G16">
        <v>1981</v>
      </c>
      <c r="H16">
        <v>664</v>
      </c>
      <c r="J16">
        <v>2009</v>
      </c>
      <c r="K16">
        <f t="shared" si="0"/>
        <v>562.75</v>
      </c>
      <c r="M16" s="13">
        <f t="shared" si="2"/>
        <v>-0.35620456040198339</v>
      </c>
      <c r="O16" t="s">
        <v>6</v>
      </c>
      <c r="P16" s="13">
        <f t="shared" si="1"/>
        <v>674.15151515151513</v>
      </c>
      <c r="Q16" s="13">
        <f t="array" ref="Q16">_xlfn.STDEV.S(IF(F$10:F$429=O16,H$10:H$429))</f>
        <v>159.71538761815273</v>
      </c>
      <c r="S16" s="12"/>
      <c r="T16" s="12">
        <v>1981.49999999342</v>
      </c>
    </row>
    <row r="17" spans="1:20" x14ac:dyDescent="0.3">
      <c r="A17" t="s">
        <v>7</v>
      </c>
      <c r="B17">
        <v>1981</v>
      </c>
      <c r="C17" s="18">
        <v>832</v>
      </c>
      <c r="D17" s="12">
        <v>1981.5833333267799</v>
      </c>
      <c r="F17" t="s">
        <v>7</v>
      </c>
      <c r="G17">
        <v>1981</v>
      </c>
      <c r="H17">
        <v>663</v>
      </c>
      <c r="J17">
        <v>2008</v>
      </c>
      <c r="K17">
        <f t="shared" si="0"/>
        <v>607.25</v>
      </c>
      <c r="M17" s="13">
        <f t="shared" si="2"/>
        <v>-0.40503905658612654</v>
      </c>
      <c r="O17" t="s">
        <v>7</v>
      </c>
      <c r="P17" s="13">
        <f t="shared" si="1"/>
        <v>674.33333333333337</v>
      </c>
      <c r="Q17" s="13">
        <f t="array" ref="Q17">_xlfn.STDEV.S(IF(F$10:F$429=O17,H$10:H$429))</f>
        <v>159.82928392506798</v>
      </c>
      <c r="S17" s="12"/>
      <c r="T17" s="12">
        <v>1981.5833333267799</v>
      </c>
    </row>
    <row r="18" spans="1:20" x14ac:dyDescent="0.3">
      <c r="A18" t="s">
        <v>8</v>
      </c>
      <c r="B18">
        <v>1981</v>
      </c>
      <c r="C18" s="18">
        <v>815</v>
      </c>
      <c r="D18" s="12">
        <v>1981.66666666014</v>
      </c>
      <c r="F18" t="s">
        <v>8</v>
      </c>
      <c r="G18">
        <v>1981</v>
      </c>
      <c r="H18">
        <v>664</v>
      </c>
      <c r="J18">
        <v>2007</v>
      </c>
      <c r="K18">
        <f t="shared" si="0"/>
        <v>593.72727272727275</v>
      </c>
      <c r="M18" s="13">
        <f t="shared" si="2"/>
        <v>-0.35620456040198339</v>
      </c>
      <c r="O18" t="s">
        <v>8</v>
      </c>
      <c r="P18" s="13">
        <f t="shared" si="1"/>
        <v>677.75757575757575</v>
      </c>
      <c r="Q18" s="13">
        <f t="array" ref="Q18">_xlfn.STDEV.S(IF(F$10:F$429=O18,H$10:H$429))</f>
        <v>160.58779634870905</v>
      </c>
      <c r="S18" s="12"/>
      <c r="T18" s="12">
        <v>1981.66666666014</v>
      </c>
    </row>
    <row r="19" spans="1:20" x14ac:dyDescent="0.3">
      <c r="A19" t="s">
        <v>9</v>
      </c>
      <c r="B19">
        <v>1981</v>
      </c>
      <c r="C19" s="18">
        <v>813</v>
      </c>
      <c r="D19" s="12">
        <v>1981.7499999935001</v>
      </c>
      <c r="F19" t="s">
        <v>9</v>
      </c>
      <c r="G19">
        <v>1981</v>
      </c>
      <c r="J19">
        <v>2006</v>
      </c>
      <c r="K19">
        <f t="shared" si="0"/>
        <v>583.41666666666663</v>
      </c>
      <c r="M19" s="13"/>
      <c r="O19" t="s">
        <v>9</v>
      </c>
      <c r="P19" s="13">
        <f t="shared" si="1"/>
        <v>683.25</v>
      </c>
      <c r="Q19" s="13">
        <f t="array" ref="Q19">_xlfn.STDEV.S(IF(F$10:F$429=O19,H$10:H$429))</f>
        <v>194.82401884605426</v>
      </c>
      <c r="S19" s="12"/>
      <c r="T19" s="12">
        <v>1981.7499999935001</v>
      </c>
    </row>
    <row r="20" spans="1:20" x14ac:dyDescent="0.3">
      <c r="A20" t="s">
        <v>10</v>
      </c>
      <c r="B20">
        <v>1981</v>
      </c>
      <c r="C20" s="18">
        <v>820</v>
      </c>
      <c r="D20" s="12">
        <v>1981.8333333268599</v>
      </c>
      <c r="F20" t="s">
        <v>10</v>
      </c>
      <c r="G20">
        <v>1981</v>
      </c>
      <c r="H20">
        <v>665</v>
      </c>
      <c r="J20">
        <v>2005</v>
      </c>
      <c r="K20">
        <f t="shared" si="0"/>
        <v>554.25</v>
      </c>
      <c r="M20" s="13">
        <f t="shared" si="2"/>
        <v>-0.30737006421784024</v>
      </c>
      <c r="O20" t="s">
        <v>10</v>
      </c>
      <c r="P20" s="13">
        <f t="shared" si="1"/>
        <v>686.87878787878788</v>
      </c>
      <c r="Q20" s="13">
        <f t="array" ref="Q20">_xlfn.STDEV.S(IF(F$10:F$429=O20,H$10:H$429))</f>
        <v>162.82796509963322</v>
      </c>
      <c r="S20" s="12"/>
      <c r="T20" s="12">
        <v>1981.8333333268599</v>
      </c>
    </row>
    <row r="21" spans="1:20" x14ac:dyDescent="0.3">
      <c r="A21" t="s">
        <v>11</v>
      </c>
      <c r="B21">
        <v>1981</v>
      </c>
      <c r="C21" s="18">
        <v>830</v>
      </c>
      <c r="D21" s="12">
        <v>1981.91666666022</v>
      </c>
      <c r="F21" t="s">
        <v>11</v>
      </c>
      <c r="G21">
        <v>1981</v>
      </c>
      <c r="H21">
        <v>663</v>
      </c>
      <c r="J21">
        <v>2004</v>
      </c>
      <c r="K21">
        <f t="shared" si="0"/>
        <v>536.5</v>
      </c>
      <c r="M21" s="13">
        <f t="shared" si="2"/>
        <v>-0.40503905658612654</v>
      </c>
      <c r="O21" t="s">
        <v>11</v>
      </c>
      <c r="P21" s="13">
        <f t="shared" si="1"/>
        <v>684.12121212121212</v>
      </c>
      <c r="Q21" s="13">
        <f t="array" ref="Q21">_xlfn.STDEV.S(IF(F$10:F$429=O21,H$10:H$429))</f>
        <v>162.31224188441922</v>
      </c>
      <c r="S21" s="12"/>
      <c r="T21" s="12">
        <v>1981.91666666022</v>
      </c>
    </row>
    <row r="22" spans="1:20" x14ac:dyDescent="0.3">
      <c r="A22" t="s">
        <v>0</v>
      </c>
      <c r="B22">
        <v>1982</v>
      </c>
      <c r="C22" s="18">
        <v>811</v>
      </c>
      <c r="D22" s="12">
        <v>1981.9999999935801</v>
      </c>
      <c r="F22" t="s">
        <v>0</v>
      </c>
      <c r="G22">
        <v>1982</v>
      </c>
      <c r="H22">
        <v>663</v>
      </c>
      <c r="J22">
        <v>2003</v>
      </c>
      <c r="K22">
        <f t="shared" si="0"/>
        <v>584.4545454545455</v>
      </c>
      <c r="M22" s="13">
        <f t="shared" si="2"/>
        <v>-0.40503905658612654</v>
      </c>
      <c r="S22" s="12"/>
      <c r="T22" s="12">
        <v>1981.9999999935801</v>
      </c>
    </row>
    <row r="23" spans="1:20" x14ac:dyDescent="0.3">
      <c r="A23" t="s">
        <v>1</v>
      </c>
      <c r="B23">
        <v>1982</v>
      </c>
      <c r="C23" s="18">
        <v>757</v>
      </c>
      <c r="D23" s="12">
        <v>1982.08333332694</v>
      </c>
      <c r="F23" t="s">
        <v>1</v>
      </c>
      <c r="G23">
        <v>1982</v>
      </c>
      <c r="H23">
        <v>661</v>
      </c>
      <c r="J23">
        <v>2002</v>
      </c>
      <c r="K23">
        <f t="shared" si="0"/>
        <v>581.83333333333337</v>
      </c>
      <c r="M23" s="13">
        <f t="shared" si="2"/>
        <v>-0.5027080489544129</v>
      </c>
      <c r="S23" s="12"/>
      <c r="T23" s="12">
        <v>1982.08333332694</v>
      </c>
    </row>
    <row r="24" spans="1:20" x14ac:dyDescent="0.3">
      <c r="A24" t="s">
        <v>2</v>
      </c>
      <c r="B24">
        <v>1982</v>
      </c>
      <c r="C24" s="18">
        <v>713</v>
      </c>
      <c r="D24" s="12">
        <v>1982.1666666603001</v>
      </c>
      <c r="F24" t="s">
        <v>2</v>
      </c>
      <c r="G24">
        <v>1982</v>
      </c>
      <c r="H24">
        <v>638</v>
      </c>
      <c r="J24">
        <v>2001</v>
      </c>
      <c r="K24">
        <f t="shared" si="0"/>
        <v>543.16666666666663</v>
      </c>
      <c r="M24" s="13">
        <f t="shared" si="2"/>
        <v>-1.6259014611897054</v>
      </c>
      <c r="S24" s="12"/>
      <c r="T24" s="12">
        <v>1982.1666666603001</v>
      </c>
    </row>
    <row r="25" spans="1:20" x14ac:dyDescent="0.3">
      <c r="A25" t="s">
        <v>3</v>
      </c>
      <c r="B25">
        <v>1982</v>
      </c>
      <c r="C25" s="18">
        <v>738</v>
      </c>
      <c r="D25" s="12">
        <v>1982.2499999936599</v>
      </c>
      <c r="F25" t="s">
        <v>3</v>
      </c>
      <c r="G25">
        <v>1982</v>
      </c>
      <c r="H25">
        <v>642</v>
      </c>
      <c r="J25">
        <v>2000</v>
      </c>
      <c r="K25">
        <f t="shared" si="0"/>
        <v>646.91666666666663</v>
      </c>
      <c r="M25" s="13">
        <f t="shared" si="2"/>
        <v>-1.4305634764531328</v>
      </c>
      <c r="O25" s="21" t="s">
        <v>60</v>
      </c>
      <c r="P25" s="21"/>
      <c r="S25" s="12"/>
      <c r="T25" s="12">
        <v>1982.2499999936599</v>
      </c>
    </row>
    <row r="26" spans="1:20" x14ac:dyDescent="0.3">
      <c r="A26" t="s">
        <v>4</v>
      </c>
      <c r="B26">
        <v>1982</v>
      </c>
      <c r="C26" s="18">
        <v>792</v>
      </c>
      <c r="D26" s="12">
        <v>1982.33333332702</v>
      </c>
      <c r="F26" t="s">
        <v>4</v>
      </c>
      <c r="G26">
        <v>1982</v>
      </c>
      <c r="H26">
        <v>651</v>
      </c>
      <c r="J26">
        <v>1999</v>
      </c>
      <c r="K26">
        <f t="shared" si="0"/>
        <v>656.75</v>
      </c>
      <c r="M26" s="13">
        <f t="shared" si="2"/>
        <v>-0.9910530107958444</v>
      </c>
      <c r="O26" t="s">
        <v>0</v>
      </c>
      <c r="P26" s="13">
        <f>AVERAGEIF(F$46:F$429,O26,C$46:C$429)</f>
        <v>571.80645161290317</v>
      </c>
      <c r="Q26" s="13">
        <f t="array" ref="Q26">_xlfn.STDEV.S(IF(F$47:F$429=O26,C$47:C$429))</f>
        <v>58.819168845333813</v>
      </c>
      <c r="S26" s="12"/>
      <c r="T26" s="12">
        <v>1982.33333332702</v>
      </c>
    </row>
    <row r="27" spans="1:20" x14ac:dyDescent="0.3">
      <c r="A27" t="s">
        <v>5</v>
      </c>
      <c r="B27">
        <v>1982</v>
      </c>
      <c r="C27" s="18">
        <v>839</v>
      </c>
      <c r="D27" s="12">
        <v>1982.4166666603801</v>
      </c>
      <c r="F27" t="s">
        <v>5</v>
      </c>
      <c r="G27">
        <v>1982</v>
      </c>
      <c r="H27">
        <v>658</v>
      </c>
      <c r="J27">
        <v>1998</v>
      </c>
      <c r="K27">
        <f t="shared" si="0"/>
        <v>571.33333333333337</v>
      </c>
      <c r="M27" s="13">
        <f t="shared" si="2"/>
        <v>-0.64921153750684235</v>
      </c>
      <c r="O27" t="s">
        <v>1</v>
      </c>
      <c r="P27" s="13">
        <f>AVERAGEIF(F$46:F$429,O27,C$46:C$429)</f>
        <v>514.09677419354841</v>
      </c>
      <c r="Q27" s="13">
        <f t="array" ref="Q27">_xlfn.STDEV.S(IF(F$47:F$429=O27,C$47:C$429))</f>
        <v>106.28643113562703</v>
      </c>
      <c r="S27" s="12"/>
      <c r="T27" s="12">
        <v>1982.4166666603801</v>
      </c>
    </row>
    <row r="28" spans="1:20" x14ac:dyDescent="0.3">
      <c r="A28" t="s">
        <v>6</v>
      </c>
      <c r="B28">
        <v>1982</v>
      </c>
      <c r="C28" s="18">
        <v>838</v>
      </c>
      <c r="D28" s="12">
        <v>1982.4999999937399</v>
      </c>
      <c r="F28" t="s">
        <v>6</v>
      </c>
      <c r="G28">
        <v>1982</v>
      </c>
      <c r="H28">
        <v>653</v>
      </c>
      <c r="J28">
        <v>1997</v>
      </c>
      <c r="K28">
        <f t="shared" si="0"/>
        <v>501.91666666666669</v>
      </c>
      <c r="M28" s="13">
        <f t="shared" si="2"/>
        <v>-0.8933840184275581</v>
      </c>
      <c r="O28" t="s">
        <v>2</v>
      </c>
      <c r="P28" s="13">
        <f t="shared" ref="P28:P37" si="3">AVERAGEIF(F$46:F$429,O28,C$46:C$429)</f>
        <v>491.90625</v>
      </c>
      <c r="Q28" s="13">
        <f t="array" ref="Q28">_xlfn.STDEV.S(IF(F$47:F$429=O28,C$47:C$429))</f>
        <v>50.228740888960402</v>
      </c>
      <c r="S28" s="12"/>
      <c r="T28" s="12">
        <v>1982.4999999937399</v>
      </c>
    </row>
    <row r="29" spans="1:20" x14ac:dyDescent="0.3">
      <c r="A29" t="s">
        <v>7</v>
      </c>
      <c r="B29">
        <v>1982</v>
      </c>
      <c r="C29" s="18">
        <v>782</v>
      </c>
      <c r="D29" s="12">
        <v>1982.5833333271</v>
      </c>
      <c r="F29" t="s">
        <v>7</v>
      </c>
      <c r="G29">
        <v>1982</v>
      </c>
      <c r="H29">
        <v>647</v>
      </c>
      <c r="J29">
        <v>1996</v>
      </c>
      <c r="K29">
        <f t="shared" si="0"/>
        <v>605.66666666666663</v>
      </c>
      <c r="M29" s="13">
        <f t="shared" si="2"/>
        <v>-1.186390995532417</v>
      </c>
      <c r="O29" t="s">
        <v>3</v>
      </c>
      <c r="P29" s="13">
        <f t="shared" si="3"/>
        <v>511.80645161290323</v>
      </c>
      <c r="Q29" s="13">
        <f t="array" ref="Q29">_xlfn.STDEV.S(IF(F$47:F$429=O29,C$47:C$429))</f>
        <v>101.71859902248347</v>
      </c>
      <c r="S29" s="12"/>
      <c r="T29" s="12">
        <v>1982.5833333271</v>
      </c>
    </row>
    <row r="30" spans="1:20" x14ac:dyDescent="0.3">
      <c r="A30" t="s">
        <v>8</v>
      </c>
      <c r="B30">
        <v>1982</v>
      </c>
      <c r="C30" s="18">
        <v>753</v>
      </c>
      <c r="D30" s="12">
        <v>1982.6666666604599</v>
      </c>
      <c r="F30" t="s">
        <v>8</v>
      </c>
      <c r="G30">
        <v>1982</v>
      </c>
      <c r="H30">
        <v>649</v>
      </c>
      <c r="J30">
        <v>1995</v>
      </c>
      <c r="K30">
        <f t="shared" si="0"/>
        <v>572.75</v>
      </c>
      <c r="M30" s="13">
        <f t="shared" si="2"/>
        <v>-1.0887220031641307</v>
      </c>
      <c r="O30" t="s">
        <v>4</v>
      </c>
      <c r="P30" s="13">
        <f t="shared" si="3"/>
        <v>557.71875</v>
      </c>
      <c r="Q30" s="13">
        <f t="array" ref="Q30">_xlfn.STDEV.S(IF(F$47:F$429=O30,C$47:C$429))</f>
        <v>39.313655490993405</v>
      </c>
      <c r="S30" s="12"/>
      <c r="T30" s="12">
        <v>1982.6666666604599</v>
      </c>
    </row>
    <row r="31" spans="1:20" x14ac:dyDescent="0.3">
      <c r="A31" t="s">
        <v>9</v>
      </c>
      <c r="B31">
        <v>1982</v>
      </c>
      <c r="C31" s="18">
        <v>782</v>
      </c>
      <c r="D31" s="12">
        <v>1982.74999999382</v>
      </c>
      <c r="F31" t="s">
        <v>9</v>
      </c>
      <c r="G31">
        <v>1982</v>
      </c>
      <c r="H31">
        <v>653</v>
      </c>
      <c r="J31">
        <v>1994</v>
      </c>
      <c r="K31">
        <f t="shared" si="0"/>
        <v>590.33333333333337</v>
      </c>
      <c r="M31" s="13">
        <f t="shared" si="2"/>
        <v>-0.8933840184275581</v>
      </c>
      <c r="O31" t="s">
        <v>5</v>
      </c>
      <c r="P31" s="13">
        <f t="shared" si="3"/>
        <v>584.40625</v>
      </c>
      <c r="Q31" s="13">
        <f t="array" ref="Q31">_xlfn.STDEV.S(IF(F$47:F$429=O31,C$47:C$429))</f>
        <v>36.637596919892495</v>
      </c>
      <c r="S31" s="12"/>
      <c r="T31" s="12">
        <v>1982.74999999382</v>
      </c>
    </row>
    <row r="32" spans="1:20" x14ac:dyDescent="0.3">
      <c r="A32" t="s">
        <v>10</v>
      </c>
      <c r="B32">
        <v>1982</v>
      </c>
      <c r="C32" s="18">
        <v>818</v>
      </c>
      <c r="D32" s="12">
        <v>1982.8333333271801</v>
      </c>
      <c r="F32" t="s">
        <v>10</v>
      </c>
      <c r="G32">
        <v>1982</v>
      </c>
      <c r="H32">
        <v>649</v>
      </c>
      <c r="J32">
        <v>1993</v>
      </c>
      <c r="K32">
        <f t="shared" si="0"/>
        <v>565.08333333333337</v>
      </c>
      <c r="M32" s="13">
        <f t="shared" si="2"/>
        <v>-1.0887220031641307</v>
      </c>
      <c r="O32" t="s">
        <v>6</v>
      </c>
      <c r="P32" s="13">
        <f t="shared" si="3"/>
        <v>583.5625</v>
      </c>
      <c r="Q32" s="13">
        <f t="array" ref="Q32">_xlfn.STDEV.S(IF(F$47:F$429=O32,C$47:C$429))</f>
        <v>48.789169541160767</v>
      </c>
      <c r="S32" s="12"/>
      <c r="T32" s="12">
        <v>1982.8333333271801</v>
      </c>
    </row>
    <row r="33" spans="1:23" x14ac:dyDescent="0.3">
      <c r="A33" t="s">
        <v>11</v>
      </c>
      <c r="B33">
        <v>1982</v>
      </c>
      <c r="C33" s="18">
        <v>802</v>
      </c>
      <c r="D33" s="12">
        <v>1982.9166666605399</v>
      </c>
      <c r="F33" t="s">
        <v>11</v>
      </c>
      <c r="G33">
        <v>1982</v>
      </c>
      <c r="H33">
        <v>655</v>
      </c>
      <c r="J33">
        <v>1992</v>
      </c>
      <c r="K33">
        <f t="shared" si="0"/>
        <v>527.58333333333337</v>
      </c>
      <c r="M33" s="13">
        <f t="shared" si="2"/>
        <v>-0.7957150260592718</v>
      </c>
      <c r="O33" t="s">
        <v>7</v>
      </c>
      <c r="P33" s="13">
        <f t="shared" si="3"/>
        <v>575.75</v>
      </c>
      <c r="Q33" s="13">
        <f t="array" ref="Q33">_xlfn.STDEV.S(IF(F$47:F$429=O33,C$47:C$429))</f>
        <v>53.741315877619378</v>
      </c>
      <c r="S33" s="12"/>
      <c r="T33" s="12">
        <v>1982.9166666605399</v>
      </c>
    </row>
    <row r="34" spans="1:23" x14ac:dyDescent="0.3">
      <c r="A34" t="s">
        <v>0</v>
      </c>
      <c r="B34">
        <v>1983</v>
      </c>
      <c r="C34" s="18">
        <v>583</v>
      </c>
      <c r="D34" s="12">
        <v>1982.9999999939</v>
      </c>
      <c r="F34" t="s">
        <v>0</v>
      </c>
      <c r="G34">
        <v>1983</v>
      </c>
      <c r="H34">
        <v>647</v>
      </c>
      <c r="J34">
        <v>1991</v>
      </c>
      <c r="K34">
        <f t="shared" si="0"/>
        <v>537.58333333333337</v>
      </c>
      <c r="M34" s="13">
        <f t="shared" si="2"/>
        <v>-1.186390995532417</v>
      </c>
      <c r="O34" t="s">
        <v>8</v>
      </c>
      <c r="P34" s="13">
        <f t="shared" si="3"/>
        <v>579.96875</v>
      </c>
      <c r="Q34" s="13">
        <f t="array" ref="Q34">_xlfn.STDEV.S(IF(F$47:F$429=O34,C$47:C$429))</f>
        <v>50.332112737104978</v>
      </c>
      <c r="S34" s="12"/>
      <c r="T34" s="12">
        <v>1982.9999999939</v>
      </c>
    </row>
    <row r="35" spans="1:23" x14ac:dyDescent="0.3">
      <c r="A35" t="s">
        <v>1</v>
      </c>
      <c r="B35">
        <v>1983</v>
      </c>
      <c r="C35" s="18">
        <v>559</v>
      </c>
      <c r="D35" s="12">
        <v>1983.0833333272601</v>
      </c>
      <c r="F35" t="s">
        <v>1</v>
      </c>
      <c r="G35">
        <v>1983</v>
      </c>
      <c r="H35">
        <v>636</v>
      </c>
      <c r="J35">
        <v>1990</v>
      </c>
      <c r="K35">
        <f t="shared" si="0"/>
        <v>543.58333333333337</v>
      </c>
      <c r="M35" s="13">
        <f t="shared" si="2"/>
        <v>-1.7235704535579917</v>
      </c>
      <c r="O35" t="s">
        <v>9</v>
      </c>
      <c r="P35" s="13">
        <f t="shared" si="3"/>
        <v>597.28125</v>
      </c>
      <c r="Q35" s="13">
        <f t="array" ref="Q35">_xlfn.STDEV.S(IF(F$47:F$429=O35,C$47:C$429))</f>
        <v>46.869230827773315</v>
      </c>
      <c r="S35" s="12"/>
      <c r="T35" s="12">
        <v>1983.0833333272601</v>
      </c>
    </row>
    <row r="36" spans="1:23" x14ac:dyDescent="0.3">
      <c r="A36" t="s">
        <v>2</v>
      </c>
      <c r="B36">
        <v>1983</v>
      </c>
      <c r="C36" s="18">
        <v>555</v>
      </c>
      <c r="D36" s="12">
        <v>1983.16666666062</v>
      </c>
      <c r="F36" t="s">
        <v>2</v>
      </c>
      <c r="G36">
        <v>1983</v>
      </c>
      <c r="H36">
        <v>635</v>
      </c>
      <c r="J36">
        <v>1989</v>
      </c>
      <c r="K36">
        <f t="shared" si="0"/>
        <v>591.41666666666663</v>
      </c>
      <c r="M36" s="13">
        <f t="shared" si="2"/>
        <v>-1.7724049497421348</v>
      </c>
      <c r="O36" t="s">
        <v>10</v>
      </c>
      <c r="P36" s="13">
        <f t="shared" si="3"/>
        <v>614.90625</v>
      </c>
      <c r="Q36" s="13">
        <f t="array" ref="Q36">_xlfn.STDEV.S(IF(F$47:F$429=O36,C$47:C$429))</f>
        <v>40.844598786130831</v>
      </c>
      <c r="S36" s="12"/>
      <c r="T36" s="12">
        <v>1983.16666666062</v>
      </c>
    </row>
    <row r="37" spans="1:23" x14ac:dyDescent="0.3">
      <c r="A37" t="s">
        <v>3</v>
      </c>
      <c r="B37">
        <v>1983</v>
      </c>
      <c r="C37" s="18">
        <v>622</v>
      </c>
      <c r="D37" s="12">
        <v>1983.2499999939801</v>
      </c>
      <c r="F37" t="s">
        <v>3</v>
      </c>
      <c r="G37">
        <v>1983</v>
      </c>
      <c r="H37">
        <v>636</v>
      </c>
      <c r="J37">
        <v>1988</v>
      </c>
      <c r="K37">
        <f t="shared" si="0"/>
        <v>590.91666666666663</v>
      </c>
      <c r="M37" s="13">
        <f t="shared" si="2"/>
        <v>-1.7235704535579917</v>
      </c>
      <c r="O37" t="s">
        <v>11</v>
      </c>
      <c r="P37" s="13">
        <f t="shared" si="3"/>
        <v>615.5625</v>
      </c>
      <c r="Q37" s="13">
        <f t="array" ref="Q37">_xlfn.STDEV.S(IF(F$47:F$429=O37,C$47:C$429))</f>
        <v>48.208510492142025</v>
      </c>
      <c r="S37" s="12"/>
      <c r="T37" s="12">
        <v>1983.2499999939801</v>
      </c>
    </row>
    <row r="38" spans="1:23" x14ac:dyDescent="0.3">
      <c r="A38" t="s">
        <v>4</v>
      </c>
      <c r="B38">
        <v>1983</v>
      </c>
      <c r="C38" s="18">
        <v>659</v>
      </c>
      <c r="D38" s="12">
        <v>1983.3333333273399</v>
      </c>
      <c r="F38" t="s">
        <v>4</v>
      </c>
      <c r="G38">
        <v>1983</v>
      </c>
      <c r="H38">
        <v>639</v>
      </c>
      <c r="J38">
        <v>1987</v>
      </c>
      <c r="K38">
        <f t="shared" si="0"/>
        <v>562.91666666666663</v>
      </c>
      <c r="M38" s="13">
        <f t="shared" si="2"/>
        <v>-1.5770669650055622</v>
      </c>
      <c r="S38" s="12"/>
      <c r="T38" s="12">
        <v>1983.3333333273399</v>
      </c>
    </row>
    <row r="39" spans="1:23" x14ac:dyDescent="0.3">
      <c r="A39" t="s">
        <v>5</v>
      </c>
      <c r="B39">
        <v>1983</v>
      </c>
      <c r="C39" s="18">
        <v>688</v>
      </c>
      <c r="D39" s="12">
        <v>1983.4166666607</v>
      </c>
      <c r="F39" t="s">
        <v>5</v>
      </c>
      <c r="G39">
        <v>1983</v>
      </c>
      <c r="H39">
        <v>638</v>
      </c>
      <c r="J39">
        <v>1986</v>
      </c>
      <c r="K39">
        <f t="shared" si="0"/>
        <v>572</v>
      </c>
      <c r="M39" s="13">
        <f t="shared" si="2"/>
        <v>-1.6259014611897054</v>
      </c>
      <c r="S39" s="12"/>
      <c r="T39" s="12">
        <v>1983.4166666607</v>
      </c>
    </row>
    <row r="40" spans="1:23" x14ac:dyDescent="0.3">
      <c r="A40" t="s">
        <v>6</v>
      </c>
      <c r="B40">
        <v>1983</v>
      </c>
      <c r="C40" s="18">
        <v>705</v>
      </c>
      <c r="D40" s="12">
        <v>1983.4999999940601</v>
      </c>
      <c r="F40" t="s">
        <v>6</v>
      </c>
      <c r="G40">
        <v>1983</v>
      </c>
      <c r="H40">
        <v>642</v>
      </c>
      <c r="J40">
        <v>1985</v>
      </c>
      <c r="K40">
        <f t="shared" si="0"/>
        <v>564.58333333333337</v>
      </c>
      <c r="M40" s="13">
        <f t="shared" si="2"/>
        <v>-1.4305634764531328</v>
      </c>
      <c r="S40" s="12"/>
      <c r="T40" s="12">
        <v>1983.4999999940601</v>
      </c>
    </row>
    <row r="41" spans="1:23" x14ac:dyDescent="0.3">
      <c r="A41" t="s">
        <v>7</v>
      </c>
      <c r="B41">
        <v>1983</v>
      </c>
      <c r="C41" s="18">
        <v>769</v>
      </c>
      <c r="D41" s="12">
        <v>1983.58333332742</v>
      </c>
      <c r="F41" t="s">
        <v>7</v>
      </c>
      <c r="G41">
        <v>1983</v>
      </c>
      <c r="H41">
        <v>643</v>
      </c>
      <c r="J41">
        <v>1984</v>
      </c>
      <c r="K41">
        <f>AVERAGEIF(B$46:B$429,J41,C$46:C$429)</f>
        <v>608.81818181818187</v>
      </c>
      <c r="M41" s="13">
        <f t="shared" si="2"/>
        <v>-1.3817289802689896</v>
      </c>
      <c r="S41" s="12"/>
      <c r="T41" s="12">
        <v>1983.58333332742</v>
      </c>
    </row>
    <row r="42" spans="1:23" x14ac:dyDescent="0.3">
      <c r="A42" t="s">
        <v>8</v>
      </c>
      <c r="B42">
        <v>1983</v>
      </c>
      <c r="C42" s="18">
        <v>778</v>
      </c>
      <c r="D42" s="12">
        <v>1983.66666666078</v>
      </c>
      <c r="F42" t="s">
        <v>8</v>
      </c>
      <c r="G42">
        <v>1983</v>
      </c>
      <c r="H42">
        <v>647</v>
      </c>
      <c r="M42" s="13">
        <f t="shared" si="2"/>
        <v>-1.186390995532417</v>
      </c>
      <c r="S42" s="12"/>
      <c r="T42" s="12">
        <v>1983.66666666078</v>
      </c>
    </row>
    <row r="43" spans="1:23" x14ac:dyDescent="0.3">
      <c r="A43" t="s">
        <v>9</v>
      </c>
      <c r="B43">
        <v>1983</v>
      </c>
      <c r="C43" s="18">
        <v>804</v>
      </c>
      <c r="D43" s="12">
        <v>1983.7499999941399</v>
      </c>
      <c r="F43" t="s">
        <v>9</v>
      </c>
      <c r="G43">
        <v>1983</v>
      </c>
      <c r="H43">
        <v>654</v>
      </c>
      <c r="M43" s="13">
        <f t="shared" si="2"/>
        <v>-0.84454952224341495</v>
      </c>
      <c r="S43" s="12"/>
      <c r="T43" s="12">
        <v>1983.7499999941399</v>
      </c>
    </row>
    <row r="44" spans="1:23" x14ac:dyDescent="0.3">
      <c r="A44" t="s">
        <v>10</v>
      </c>
      <c r="B44">
        <v>1983</v>
      </c>
      <c r="C44" s="18">
        <v>823</v>
      </c>
      <c r="D44" s="12">
        <v>1983.8333333275</v>
      </c>
      <c r="F44" t="s">
        <v>10</v>
      </c>
      <c r="G44">
        <v>1983</v>
      </c>
      <c r="H44">
        <v>650</v>
      </c>
      <c r="M44" s="13">
        <f t="shared" si="2"/>
        <v>-1.0398875069799876</v>
      </c>
      <c r="S44" s="12"/>
      <c r="T44" s="12">
        <v>1983.8333333275</v>
      </c>
    </row>
    <row r="45" spans="1:23" x14ac:dyDescent="0.3">
      <c r="A45" t="s">
        <v>11</v>
      </c>
      <c r="B45">
        <v>1983</v>
      </c>
      <c r="C45" s="18">
        <v>821</v>
      </c>
      <c r="D45" s="12">
        <v>1983.9166666608601</v>
      </c>
      <c r="F45" t="s">
        <v>11</v>
      </c>
      <c r="G45">
        <v>1983</v>
      </c>
      <c r="H45">
        <v>647</v>
      </c>
      <c r="M45" s="13">
        <f t="shared" si="2"/>
        <v>-1.186390995532417</v>
      </c>
      <c r="S45" s="12"/>
      <c r="T45" s="12">
        <v>1983.9166666608601</v>
      </c>
    </row>
    <row r="46" spans="1:23" x14ac:dyDescent="0.3">
      <c r="A46" t="s">
        <v>0</v>
      </c>
      <c r="B46">
        <v>1984</v>
      </c>
      <c r="D46" s="12">
        <v>1983.9999999942199</v>
      </c>
      <c r="F46" t="s">
        <v>0</v>
      </c>
      <c r="G46">
        <v>1984</v>
      </c>
      <c r="H46">
        <v>649</v>
      </c>
      <c r="M46" s="13">
        <f t="shared" si="2"/>
        <v>-1.0887220031641307</v>
      </c>
      <c r="S46" s="12"/>
      <c r="T46" s="12">
        <v>1983.9999999942199</v>
      </c>
    </row>
    <row r="47" spans="1:23" x14ac:dyDescent="0.3">
      <c r="A47" t="s">
        <v>1</v>
      </c>
      <c r="B47">
        <v>1984</v>
      </c>
      <c r="C47">
        <v>572</v>
      </c>
      <c r="D47" s="12">
        <v>1984.08333332758</v>
      </c>
      <c r="F47" t="s">
        <v>1</v>
      </c>
      <c r="G47">
        <v>1984</v>
      </c>
      <c r="H47">
        <v>647</v>
      </c>
      <c r="M47" s="13">
        <f t="shared" si="2"/>
        <v>-1.186390995532417</v>
      </c>
      <c r="S47" s="12">
        <f>STANDARDIZE(C47,P$27,Q$27)</f>
        <v>0.54478474051465753</v>
      </c>
      <c r="T47" s="12">
        <v>1984.08333332758</v>
      </c>
      <c r="V47">
        <v>-2.7082873680837256</v>
      </c>
      <c r="W47">
        <v>2015.9166666666599</v>
      </c>
    </row>
    <row r="48" spans="1:23" x14ac:dyDescent="0.3">
      <c r="A48" t="s">
        <v>2</v>
      </c>
      <c r="B48">
        <v>1984</v>
      </c>
      <c r="C48">
        <v>543</v>
      </c>
      <c r="D48" s="12">
        <v>1984.1666666609401</v>
      </c>
      <c r="F48" t="s">
        <v>2</v>
      </c>
      <c r="G48">
        <v>1984</v>
      </c>
      <c r="H48">
        <v>646</v>
      </c>
      <c r="M48" s="13">
        <f t="shared" si="2"/>
        <v>-1.2352254917165602</v>
      </c>
      <c r="S48" s="12">
        <f>STANDARDIZE(C48,P$28,Q$28)</f>
        <v>1.017221397465484</v>
      </c>
      <c r="T48" s="12">
        <v>1984.1666666609401</v>
      </c>
      <c r="V48">
        <v>-2.5439410127167745</v>
      </c>
      <c r="W48">
        <v>2015.8333333333301</v>
      </c>
    </row>
    <row r="49" spans="1:23" x14ac:dyDescent="0.3">
      <c r="A49" t="s">
        <v>3</v>
      </c>
      <c r="B49">
        <v>1984</v>
      </c>
      <c r="C49">
        <v>519</v>
      </c>
      <c r="D49" s="12">
        <v>1984.2499999943</v>
      </c>
      <c r="F49" t="s">
        <v>3</v>
      </c>
      <c r="G49">
        <v>1984</v>
      </c>
      <c r="H49">
        <v>646</v>
      </c>
      <c r="M49" s="13">
        <f t="shared" si="2"/>
        <v>-1.2352254917165602</v>
      </c>
      <c r="S49" s="12">
        <f>STANDARDIZE(C49,P$29,Q$29)</f>
        <v>7.0720089110809861E-2</v>
      </c>
      <c r="T49" s="12">
        <v>1984.2499999943</v>
      </c>
      <c r="V49">
        <v>-2.672995647408023</v>
      </c>
      <c r="W49">
        <v>2015.75</v>
      </c>
    </row>
    <row r="50" spans="1:23" x14ac:dyDescent="0.3">
      <c r="A50" t="s">
        <v>4</v>
      </c>
      <c r="B50">
        <v>1984</v>
      </c>
      <c r="C50">
        <v>569</v>
      </c>
      <c r="D50" s="12">
        <v>1984.3333333276601</v>
      </c>
      <c r="F50" t="s">
        <v>4</v>
      </c>
      <c r="G50">
        <v>1984</v>
      </c>
      <c r="H50">
        <v>649</v>
      </c>
      <c r="M50" s="13">
        <f t="shared" si="2"/>
        <v>-1.0887220031641307</v>
      </c>
      <c r="S50" s="12">
        <f>STANDARDIZE(C50,P$30,Q$30)</f>
        <v>0.28695499970956623</v>
      </c>
      <c r="T50" s="12">
        <v>1984.3333333276601</v>
      </c>
      <c r="V50">
        <v>-2.0656543972841011</v>
      </c>
      <c r="W50">
        <v>2015.6666666666699</v>
      </c>
    </row>
    <row r="51" spans="1:23" x14ac:dyDescent="0.3">
      <c r="A51" t="s">
        <v>5</v>
      </c>
      <c r="B51">
        <v>1984</v>
      </c>
      <c r="C51">
        <v>612</v>
      </c>
      <c r="D51" s="12">
        <v>1984.4166666610199</v>
      </c>
      <c r="F51" t="s">
        <v>5</v>
      </c>
      <c r="G51">
        <v>1984</v>
      </c>
      <c r="H51">
        <v>656</v>
      </c>
      <c r="M51" s="13">
        <f t="shared" si="2"/>
        <v>-0.74688052987512865</v>
      </c>
      <c r="S51" s="12">
        <f>STANDARDIZE(C51,P$31,Q$31)</f>
        <v>0.75315392710753604</v>
      </c>
      <c r="T51" s="12">
        <v>1984.4166666610199</v>
      </c>
      <c r="V51">
        <v>-1.9305444666866967</v>
      </c>
      <c r="W51">
        <v>2015.5833333333301</v>
      </c>
    </row>
    <row r="52" spans="1:23" x14ac:dyDescent="0.3">
      <c r="A52" t="s">
        <v>6</v>
      </c>
      <c r="B52">
        <v>1984</v>
      </c>
      <c r="C52">
        <v>632</v>
      </c>
      <c r="D52" s="12">
        <v>1984.49999999438</v>
      </c>
      <c r="F52" t="s">
        <v>6</v>
      </c>
      <c r="G52">
        <v>1984</v>
      </c>
      <c r="H52">
        <v>663</v>
      </c>
      <c r="M52" s="13">
        <f t="shared" si="2"/>
        <v>-0.40503905658612654</v>
      </c>
      <c r="S52" s="12">
        <f>STANDARDIZE(C52,P$32,Q$32)</f>
        <v>0.99279205724409625</v>
      </c>
      <c r="T52" s="12">
        <v>1984.49999999438</v>
      </c>
      <c r="V52">
        <v>-2.2251352302361229</v>
      </c>
      <c r="W52">
        <v>2015.5</v>
      </c>
    </row>
    <row r="53" spans="1:23" x14ac:dyDescent="0.3">
      <c r="A53" t="s">
        <v>7</v>
      </c>
      <c r="B53">
        <v>1984</v>
      </c>
      <c r="C53">
        <v>642</v>
      </c>
      <c r="D53" s="12">
        <v>1984.5833333277401</v>
      </c>
      <c r="F53" t="s">
        <v>7</v>
      </c>
      <c r="G53">
        <v>1984</v>
      </c>
      <c r="H53">
        <v>665</v>
      </c>
      <c r="M53" s="13">
        <f t="shared" si="2"/>
        <v>-0.30737006421784024</v>
      </c>
      <c r="S53" s="12">
        <f>STANDARDIZE(C53,P$33,Q$33)</f>
        <v>1.2327573100529507</v>
      </c>
      <c r="T53" s="12">
        <v>1984.5833333277401</v>
      </c>
      <c r="V53">
        <v>-1.9762827283218132</v>
      </c>
      <c r="W53">
        <v>2015.4166666666699</v>
      </c>
    </row>
    <row r="54" spans="1:23" x14ac:dyDescent="0.3">
      <c r="A54" t="s">
        <v>8</v>
      </c>
      <c r="B54">
        <v>1984</v>
      </c>
      <c r="C54">
        <v>639</v>
      </c>
      <c r="D54" s="12">
        <v>1984.6666666611</v>
      </c>
      <c r="F54" t="s">
        <v>8</v>
      </c>
      <c r="G54">
        <v>1984</v>
      </c>
      <c r="H54">
        <v>672</v>
      </c>
      <c r="M54" s="13">
        <f t="shared" si="2"/>
        <v>3.4471409071161835E-2</v>
      </c>
      <c r="S54" s="12">
        <f>STANDARDIZE(C54,P$34,Q$34)</f>
        <v>1.1728347329334736</v>
      </c>
      <c r="T54" s="12">
        <v>1984.6666666611</v>
      </c>
      <c r="V54">
        <v>-1.6462155246496168</v>
      </c>
      <c r="W54">
        <v>2015.3333333333301</v>
      </c>
    </row>
    <row r="55" spans="1:23" x14ac:dyDescent="0.3">
      <c r="A55" t="s">
        <v>9</v>
      </c>
      <c r="B55">
        <v>1984</v>
      </c>
      <c r="C55">
        <v>648</v>
      </c>
      <c r="D55" s="12">
        <v>1984.74999999446</v>
      </c>
      <c r="F55" t="s">
        <v>9</v>
      </c>
      <c r="G55">
        <v>1984</v>
      </c>
      <c r="H55">
        <v>677</v>
      </c>
      <c r="M55" s="13">
        <f t="shared" si="2"/>
        <v>0.27864388999187761</v>
      </c>
      <c r="S55" s="12">
        <f>STANDARDIZE(C55,P$35,Q$35)</f>
        <v>1.0821331842711952</v>
      </c>
      <c r="T55" s="12">
        <v>1984.74999999446</v>
      </c>
      <c r="V55">
        <v>-0.30285957444315464</v>
      </c>
      <c r="W55">
        <v>2015.25</v>
      </c>
    </row>
    <row r="56" spans="1:23" x14ac:dyDescent="0.3">
      <c r="A56" t="s">
        <v>10</v>
      </c>
      <c r="B56">
        <v>1984</v>
      </c>
      <c r="C56">
        <v>659</v>
      </c>
      <c r="D56" s="12">
        <v>1984.8333333278199</v>
      </c>
      <c r="F56" t="s">
        <v>10</v>
      </c>
      <c r="G56">
        <v>1984</v>
      </c>
      <c r="H56">
        <v>678</v>
      </c>
      <c r="M56" s="13">
        <f t="shared" si="2"/>
        <v>0.32747838617602076</v>
      </c>
      <c r="S56" s="12">
        <f>STANDARDIZE(C56,P$36,Q$36)</f>
        <v>1.0795491034416147</v>
      </c>
      <c r="T56" s="12">
        <v>1984.8333333278199</v>
      </c>
      <c r="V56">
        <v>-0.91394387331914129</v>
      </c>
      <c r="W56">
        <v>2015.1666666666699</v>
      </c>
    </row>
    <row r="57" spans="1:23" x14ac:dyDescent="0.3">
      <c r="A57" t="s">
        <v>11</v>
      </c>
      <c r="B57">
        <v>1984</v>
      </c>
      <c r="C57">
        <v>662</v>
      </c>
      <c r="D57" s="12">
        <v>1984.91666666118</v>
      </c>
      <c r="F57" t="s">
        <v>11</v>
      </c>
      <c r="G57">
        <v>1984</v>
      </c>
      <c r="H57">
        <v>667</v>
      </c>
      <c r="M57" s="13">
        <f t="shared" si="2"/>
        <v>-0.20970107184955394</v>
      </c>
      <c r="S57" s="12">
        <f>STANDARDIZE(C57,P$37,Q$37)</f>
        <v>0.96326353015136823</v>
      </c>
      <c r="T57" s="12">
        <v>1984.91666666118</v>
      </c>
      <c r="V57">
        <v>-0.46192889975671841</v>
      </c>
      <c r="W57">
        <v>2015.0833333333301</v>
      </c>
    </row>
    <row r="58" spans="1:23" x14ac:dyDescent="0.3">
      <c r="A58" t="s">
        <v>0</v>
      </c>
      <c r="B58">
        <v>1985</v>
      </c>
      <c r="C58">
        <v>622</v>
      </c>
      <c r="D58" s="12">
        <v>1984.9999999945401</v>
      </c>
      <c r="F58" t="s">
        <v>0</v>
      </c>
      <c r="G58">
        <v>1985</v>
      </c>
      <c r="H58">
        <v>655</v>
      </c>
      <c r="M58" s="13">
        <f t="shared" si="2"/>
        <v>-0.7957150260592718</v>
      </c>
      <c r="S58" s="12">
        <f>STANDARDIZE(C58,P$26,Q$26)</f>
        <v>0.85335358136531592</v>
      </c>
      <c r="T58" s="12">
        <v>1984.9999999945401</v>
      </c>
      <c r="V58">
        <v>-1.2888052160722938</v>
      </c>
      <c r="W58">
        <v>2015</v>
      </c>
    </row>
    <row r="59" spans="1:23" x14ac:dyDescent="0.3">
      <c r="A59" t="s">
        <v>1</v>
      </c>
      <c r="B59">
        <v>1985</v>
      </c>
      <c r="C59">
        <v>532</v>
      </c>
      <c r="D59" s="12">
        <v>1985.0833333278999</v>
      </c>
      <c r="F59" t="s">
        <v>1</v>
      </c>
      <c r="G59">
        <v>1985</v>
      </c>
      <c r="H59">
        <v>644</v>
      </c>
      <c r="M59" s="13">
        <f t="shared" si="2"/>
        <v>-1.3328944840848465</v>
      </c>
      <c r="S59" s="12">
        <f>STANDARDIZE(C59,P$27,Q$27)</f>
        <v>0.16844319274965719</v>
      </c>
      <c r="T59" s="12">
        <v>1985.0833333278999</v>
      </c>
      <c r="V59">
        <v>-0.82065385543178471</v>
      </c>
      <c r="W59">
        <v>2014.9166666666665</v>
      </c>
    </row>
    <row r="60" spans="1:23" x14ac:dyDescent="0.3">
      <c r="A60" t="s">
        <v>2</v>
      </c>
      <c r="B60">
        <v>1985</v>
      </c>
      <c r="C60">
        <v>483</v>
      </c>
      <c r="D60" s="12">
        <v>1985.16666666126</v>
      </c>
      <c r="F60" t="s">
        <v>2</v>
      </c>
      <c r="G60">
        <v>1985</v>
      </c>
      <c r="H60">
        <v>642</v>
      </c>
      <c r="M60" s="13">
        <f t="shared" si="2"/>
        <v>-1.4305634764531328</v>
      </c>
      <c r="S60" s="12">
        <f>STANDARDIZE(C60,P$28,Q$28)</f>
        <v>-0.17731382157655226</v>
      </c>
      <c r="T60" s="12">
        <v>1985.16666666126</v>
      </c>
      <c r="V60">
        <v>-1.1484076571692867</v>
      </c>
      <c r="W60">
        <v>2014.8333333333333</v>
      </c>
    </row>
    <row r="61" spans="1:23" x14ac:dyDescent="0.3">
      <c r="A61" t="s">
        <v>3</v>
      </c>
      <c r="B61">
        <v>1985</v>
      </c>
      <c r="C61">
        <v>499</v>
      </c>
      <c r="D61" s="12">
        <v>1985.2499999946201</v>
      </c>
      <c r="F61" t="s">
        <v>3</v>
      </c>
      <c r="G61">
        <v>1985</v>
      </c>
      <c r="H61">
        <v>642</v>
      </c>
      <c r="M61" s="13">
        <f t="shared" si="2"/>
        <v>-1.4305634764531328</v>
      </c>
      <c r="S61" s="12">
        <f>STANDARDIZE(C61,P$29,Q$29)</f>
        <v>-0.12590078644390829</v>
      </c>
      <c r="T61" s="12">
        <v>1985.2499999946201</v>
      </c>
      <c r="V61">
        <v>-1.2008144577156021</v>
      </c>
      <c r="W61">
        <v>2014.75</v>
      </c>
    </row>
    <row r="62" spans="1:23" x14ac:dyDescent="0.3">
      <c r="A62" t="s">
        <v>4</v>
      </c>
      <c r="B62">
        <v>1985</v>
      </c>
      <c r="C62">
        <v>533</v>
      </c>
      <c r="D62" s="12">
        <v>1985.33333332798</v>
      </c>
      <c r="F62" t="s">
        <v>4</v>
      </c>
      <c r="G62">
        <v>1985</v>
      </c>
      <c r="H62">
        <v>648</v>
      </c>
      <c r="M62" s="13">
        <f t="shared" si="2"/>
        <v>-1.1375564993482739</v>
      </c>
      <c r="S62" s="12">
        <f>STANDARDIZE(C62,P$30,Q$30)</f>
        <v>-0.62875735393425736</v>
      </c>
      <c r="T62" s="12">
        <v>1985.33333332798</v>
      </c>
      <c r="V62">
        <v>-1.4894814845460047</v>
      </c>
      <c r="W62">
        <v>2014.6666666666665</v>
      </c>
    </row>
    <row r="63" spans="1:23" x14ac:dyDescent="0.3">
      <c r="A63" t="s">
        <v>5</v>
      </c>
      <c r="B63">
        <v>1985</v>
      </c>
      <c r="C63">
        <v>559</v>
      </c>
      <c r="D63" s="12">
        <v>1985.4166666613401</v>
      </c>
      <c r="F63" t="s">
        <v>5</v>
      </c>
      <c r="G63">
        <v>1985</v>
      </c>
      <c r="H63">
        <v>646</v>
      </c>
      <c r="M63" s="13">
        <f t="shared" si="2"/>
        <v>-1.2352254917165602</v>
      </c>
      <c r="S63" s="12">
        <f>STANDARDIZE(C63,P$31,Q$31)</f>
        <v>-0.693447500270019</v>
      </c>
      <c r="T63" s="12">
        <v>1985.4166666613401</v>
      </c>
      <c r="V63">
        <v>-1.967759781707163</v>
      </c>
      <c r="W63">
        <v>2014.5833333333333</v>
      </c>
    </row>
    <row r="64" spans="1:23" x14ac:dyDescent="0.3">
      <c r="A64" t="s">
        <v>6</v>
      </c>
      <c r="B64">
        <v>1985</v>
      </c>
      <c r="C64">
        <v>527</v>
      </c>
      <c r="D64" s="12">
        <v>1985.4999999946999</v>
      </c>
      <c r="F64" t="s">
        <v>6</v>
      </c>
      <c r="G64">
        <v>1985</v>
      </c>
      <c r="H64">
        <v>645</v>
      </c>
      <c r="M64" s="13">
        <f t="shared" si="2"/>
        <v>-1.2840599879007033</v>
      </c>
      <c r="S64" s="12">
        <f>STANDARDIZE(C64,P$32,Q$32)</f>
        <v>-1.1593249184592351</v>
      </c>
      <c r="T64" s="12">
        <v>1985.4999999946999</v>
      </c>
      <c r="V64">
        <v>-1.8766972436936789</v>
      </c>
      <c r="W64">
        <v>2014.5</v>
      </c>
    </row>
    <row r="65" spans="1:23" x14ac:dyDescent="0.3">
      <c r="A65" t="s">
        <v>7</v>
      </c>
      <c r="B65">
        <v>1985</v>
      </c>
      <c r="C65">
        <v>552</v>
      </c>
      <c r="D65" s="12">
        <v>1985.58333332806</v>
      </c>
      <c r="F65" t="s">
        <v>7</v>
      </c>
      <c r="G65">
        <v>1985</v>
      </c>
      <c r="H65">
        <v>646</v>
      </c>
      <c r="M65" s="13">
        <f t="shared" si="2"/>
        <v>-1.2352254917165602</v>
      </c>
      <c r="S65" s="12">
        <f>STANDARDIZE(C65,P$33,Q$33)</f>
        <v>-0.44193186586803895</v>
      </c>
      <c r="T65" s="12">
        <v>1985.58333332806</v>
      </c>
      <c r="V65">
        <v>-1.5668672300074109</v>
      </c>
      <c r="W65">
        <v>2014.4166666666665</v>
      </c>
    </row>
    <row r="66" spans="1:23" x14ac:dyDescent="0.3">
      <c r="A66" t="s">
        <v>8</v>
      </c>
      <c r="B66">
        <v>1985</v>
      </c>
      <c r="C66">
        <v>587</v>
      </c>
      <c r="D66" s="12">
        <v>1985.6666666614201</v>
      </c>
      <c r="F66" t="s">
        <v>8</v>
      </c>
      <c r="G66">
        <v>1985</v>
      </c>
      <c r="H66">
        <v>652</v>
      </c>
      <c r="M66" s="13">
        <f t="shared" si="2"/>
        <v>-0.94221851461170125</v>
      </c>
      <c r="S66" s="12">
        <f>STANDARDIZE(C66,P$34,Q$34)</f>
        <v>0.13969709629964613</v>
      </c>
      <c r="T66" s="12">
        <v>1985.6666666614201</v>
      </c>
      <c r="V66">
        <v>-1.0866135307561691</v>
      </c>
      <c r="W66">
        <v>2014.3333333333333</v>
      </c>
    </row>
    <row r="67" spans="1:23" x14ac:dyDescent="0.3">
      <c r="A67" t="s">
        <v>9</v>
      </c>
      <c r="B67">
        <v>1985</v>
      </c>
      <c r="C67">
        <v>612</v>
      </c>
      <c r="D67" s="12">
        <v>1985.74999999478</v>
      </c>
      <c r="F67" t="s">
        <v>9</v>
      </c>
      <c r="G67">
        <v>1985</v>
      </c>
      <c r="H67">
        <v>659</v>
      </c>
      <c r="M67" s="13">
        <f t="shared" si="2"/>
        <v>-0.6003770413226992</v>
      </c>
      <c r="S67" s="12">
        <f>STANDARDIZE(C67,P$35,Q$35)</f>
        <v>0.31403865051862778</v>
      </c>
      <c r="T67" s="12">
        <v>1985.74999999478</v>
      </c>
      <c r="V67">
        <v>-0.5781288002197601</v>
      </c>
      <c r="W67">
        <v>2014.25</v>
      </c>
    </row>
    <row r="68" spans="1:23" x14ac:dyDescent="0.3">
      <c r="A68" t="s">
        <v>10</v>
      </c>
      <c r="B68">
        <v>1985</v>
      </c>
      <c r="C68">
        <v>631</v>
      </c>
      <c r="D68" s="12">
        <v>1985.83333332814</v>
      </c>
      <c r="F68" t="s">
        <v>10</v>
      </c>
      <c r="G68">
        <v>1985</v>
      </c>
      <c r="H68">
        <v>657</v>
      </c>
      <c r="M68" s="13">
        <f t="shared" si="2"/>
        <v>-0.6980460336909855</v>
      </c>
      <c r="S68" s="12">
        <f>STANDARDIZE(C68,P$36,Q$36)</f>
        <v>0.39402394633056809</v>
      </c>
      <c r="T68" s="12">
        <v>1985.83333332814</v>
      </c>
      <c r="V68">
        <v>-0.57549222792389765</v>
      </c>
      <c r="W68">
        <v>2014.1666666666665</v>
      </c>
    </row>
    <row r="69" spans="1:23" x14ac:dyDescent="0.3">
      <c r="A69" t="s">
        <v>11</v>
      </c>
      <c r="B69">
        <v>1985</v>
      </c>
      <c r="C69">
        <v>638</v>
      </c>
      <c r="D69" s="12">
        <v>1985.9166666614999</v>
      </c>
      <c r="F69" t="s">
        <v>11</v>
      </c>
      <c r="G69">
        <v>1985</v>
      </c>
      <c r="H69">
        <v>659</v>
      </c>
      <c r="M69" s="13">
        <f t="shared" si="2"/>
        <v>-0.6003770413226992</v>
      </c>
      <c r="S69" s="12">
        <f>STANDARDIZE(C69,P$37,Q$37)</f>
        <v>0.46542612022118596</v>
      </c>
      <c r="T69" s="12">
        <v>1985.9166666614999</v>
      </c>
      <c r="V69">
        <v>-0.57483136408621849</v>
      </c>
      <c r="W69">
        <v>2014.0833333333333</v>
      </c>
    </row>
    <row r="70" spans="1:23" x14ac:dyDescent="0.3">
      <c r="A70" t="s">
        <v>0</v>
      </c>
      <c r="B70">
        <v>1986</v>
      </c>
      <c r="C70">
        <v>570</v>
      </c>
      <c r="D70" s="12">
        <v>1985.99999999486</v>
      </c>
      <c r="F70" t="s">
        <v>0</v>
      </c>
      <c r="G70">
        <v>1986</v>
      </c>
      <c r="H70">
        <v>646</v>
      </c>
      <c r="M70" s="13">
        <f t="shared" si="2"/>
        <v>-1.2352254917165602</v>
      </c>
      <c r="S70" s="12">
        <f>STANDARDIZE(C70,P$26,Q$26)</f>
        <v>-3.0711954085126149E-2</v>
      </c>
      <c r="T70" s="12">
        <v>1985.99999999486</v>
      </c>
      <c r="V70">
        <v>-0.98278253072406385</v>
      </c>
      <c r="W70">
        <v>2014</v>
      </c>
    </row>
    <row r="71" spans="1:23" x14ac:dyDescent="0.3">
      <c r="A71" t="s">
        <v>1</v>
      </c>
      <c r="B71">
        <v>1986</v>
      </c>
      <c r="C71">
        <v>508</v>
      </c>
      <c r="D71" s="12">
        <v>1986.0833333282201</v>
      </c>
      <c r="F71" t="s">
        <v>1</v>
      </c>
      <c r="G71">
        <v>1986</v>
      </c>
      <c r="H71">
        <v>634</v>
      </c>
      <c r="M71" s="13">
        <f t="shared" si="2"/>
        <v>-1.821239445926278</v>
      </c>
      <c r="S71" s="12">
        <f>STANDARDIZE(C71,P$27,Q$27)</f>
        <v>-5.7361735909343035E-2</v>
      </c>
      <c r="T71" s="12">
        <v>1986.0833333282201</v>
      </c>
      <c r="V71">
        <v>-1.111059011224391</v>
      </c>
      <c r="W71">
        <v>2013.9166666666599</v>
      </c>
    </row>
    <row r="72" spans="1:23" x14ac:dyDescent="0.3">
      <c r="A72" t="s">
        <v>2</v>
      </c>
      <c r="B72">
        <v>1986</v>
      </c>
      <c r="C72">
        <v>515</v>
      </c>
      <c r="D72" s="12">
        <v>1986.1666666615799</v>
      </c>
      <c r="F72" t="s">
        <v>2</v>
      </c>
      <c r="G72">
        <v>1986</v>
      </c>
      <c r="H72">
        <v>634</v>
      </c>
      <c r="M72" s="13">
        <f t="shared" si="2"/>
        <v>-1.821239445926278</v>
      </c>
      <c r="S72" s="12">
        <f>STANDARDIZE(C72,P$28,Q$28)</f>
        <v>0.45977162857920045</v>
      </c>
      <c r="T72" s="12">
        <v>1986.1666666615799</v>
      </c>
      <c r="V72">
        <v>-1.1728906984946812</v>
      </c>
      <c r="W72">
        <v>2013.8333333333301</v>
      </c>
    </row>
    <row r="73" spans="1:23" x14ac:dyDescent="0.3">
      <c r="A73" t="s">
        <v>3</v>
      </c>
      <c r="B73">
        <v>1986</v>
      </c>
      <c r="C73">
        <v>536</v>
      </c>
      <c r="D73" s="12">
        <v>1986.24999999494</v>
      </c>
      <c r="F73" t="s">
        <v>3</v>
      </c>
      <c r="G73">
        <v>1986</v>
      </c>
      <c r="H73">
        <v>638</v>
      </c>
      <c r="M73" s="13">
        <f t="shared" si="2"/>
        <v>-1.6259014611897054</v>
      </c>
      <c r="S73" s="12">
        <f>STANDARDIZE(C73,P$29,Q$29)</f>
        <v>0.23784783333232032</v>
      </c>
      <c r="T73" s="12">
        <v>1986.24999999494</v>
      </c>
      <c r="V73">
        <v>-0.81676719083931859</v>
      </c>
      <c r="W73">
        <v>2013.75</v>
      </c>
    </row>
    <row r="74" spans="1:23" x14ac:dyDescent="0.3">
      <c r="A74" t="s">
        <v>4</v>
      </c>
      <c r="B74">
        <v>1986</v>
      </c>
      <c r="C74">
        <v>579</v>
      </c>
      <c r="D74" s="12">
        <v>1986.3333333282999</v>
      </c>
      <c r="F74" t="s">
        <v>4</v>
      </c>
      <c r="G74">
        <v>1986</v>
      </c>
      <c r="H74">
        <v>656</v>
      </c>
      <c r="M74" s="13">
        <f t="shared" si="2"/>
        <v>-0.74688052987512865</v>
      </c>
      <c r="S74" s="12">
        <f>STANDARDIZE(C74,P$30,Q$30)</f>
        <v>0.54131954238840618</v>
      </c>
      <c r="T74" s="12">
        <v>1986.3333333282999</v>
      </c>
      <c r="V74">
        <v>-0.77423235149181657</v>
      </c>
      <c r="W74">
        <v>2013.6666666666599</v>
      </c>
    </row>
    <row r="75" spans="1:23" x14ac:dyDescent="0.3">
      <c r="A75" t="s">
        <v>5</v>
      </c>
      <c r="B75">
        <v>1986</v>
      </c>
      <c r="C75">
        <v>604</v>
      </c>
      <c r="D75" s="12">
        <v>1986.41666666166</v>
      </c>
      <c r="F75" t="s">
        <v>5</v>
      </c>
      <c r="G75">
        <v>1986</v>
      </c>
      <c r="H75">
        <v>661</v>
      </c>
      <c r="M75" s="13">
        <f t="shared" ref="M75:M138" si="4">STANDARDIZE(H75,H$7,H$8)</f>
        <v>-0.5027080489544129</v>
      </c>
      <c r="S75" s="12">
        <f>STANDARDIZE(C75,P$31,Q$31)</f>
        <v>0.53479899467318814</v>
      </c>
      <c r="T75" s="12">
        <v>1986.41666666166</v>
      </c>
      <c r="V75">
        <v>-1.3537070838694667</v>
      </c>
      <c r="W75">
        <v>2013.5833333333301</v>
      </c>
    </row>
    <row r="76" spans="1:23" x14ac:dyDescent="0.3">
      <c r="A76" t="s">
        <v>6</v>
      </c>
      <c r="B76">
        <v>1986</v>
      </c>
      <c r="C76">
        <v>605</v>
      </c>
      <c r="D76" s="12">
        <v>1986.4999999950201</v>
      </c>
      <c r="F76" t="s">
        <v>6</v>
      </c>
      <c r="G76">
        <v>1986</v>
      </c>
      <c r="H76">
        <v>661</v>
      </c>
      <c r="M76" s="13">
        <f t="shared" si="4"/>
        <v>-0.5027080489544129</v>
      </c>
      <c r="S76" s="12">
        <f>STANDARDIZE(C76,P$32,Q$32)</f>
        <v>0.43939054920609683</v>
      </c>
      <c r="T76" s="12">
        <v>1986.4999999950201</v>
      </c>
      <c r="V76">
        <v>-1.2208139749079017</v>
      </c>
      <c r="W76">
        <v>2013.5</v>
      </c>
    </row>
    <row r="77" spans="1:23" x14ac:dyDescent="0.3">
      <c r="A77" t="s">
        <v>7</v>
      </c>
      <c r="B77">
        <v>1986</v>
      </c>
      <c r="C77">
        <v>554</v>
      </c>
      <c r="D77" s="12">
        <v>1986.5833333283799</v>
      </c>
      <c r="F77" t="s">
        <v>7</v>
      </c>
      <c r="G77">
        <v>1986</v>
      </c>
      <c r="H77">
        <v>654</v>
      </c>
      <c r="M77" s="13">
        <f t="shared" si="4"/>
        <v>-0.84454952224341495</v>
      </c>
      <c r="S77" s="12">
        <f>STANDARDIZE(C77,P$33,Q$33)</f>
        <v>-0.40471655084757252</v>
      </c>
      <c r="T77" s="12">
        <v>1986.5833333283799</v>
      </c>
      <c r="V77">
        <v>-1.239334831355889</v>
      </c>
      <c r="W77">
        <v>2013.4166666666599</v>
      </c>
    </row>
    <row r="78" spans="1:23" x14ac:dyDescent="0.3">
      <c r="A78" t="s">
        <v>8</v>
      </c>
      <c r="B78">
        <v>1986</v>
      </c>
      <c r="C78">
        <v>542</v>
      </c>
      <c r="D78" s="12">
        <v>1986.66666666174</v>
      </c>
      <c r="F78" t="s">
        <v>8</v>
      </c>
      <c r="G78">
        <v>1986</v>
      </c>
      <c r="H78">
        <v>656</v>
      </c>
      <c r="M78" s="13">
        <f t="shared" si="4"/>
        <v>-0.74688052987512865</v>
      </c>
      <c r="S78" s="12">
        <f>STANDARDIZE(C78,P$34,Q$34)</f>
        <v>-0.75436432001808917</v>
      </c>
      <c r="T78" s="12">
        <v>1986.66666666174</v>
      </c>
      <c r="V78">
        <v>-1.3918509819707769</v>
      </c>
      <c r="W78">
        <v>2013.3333333333301</v>
      </c>
    </row>
    <row r="79" spans="1:23" x14ac:dyDescent="0.3">
      <c r="A79" t="s">
        <v>9</v>
      </c>
      <c r="B79">
        <v>1986</v>
      </c>
      <c r="C79">
        <v>583</v>
      </c>
      <c r="D79" s="12">
        <v>1986.7499999951001</v>
      </c>
      <c r="F79" t="s">
        <v>9</v>
      </c>
      <c r="G79">
        <v>1986</v>
      </c>
      <c r="H79">
        <v>663</v>
      </c>
      <c r="M79" s="13">
        <f t="shared" si="4"/>
        <v>-0.40503905658612654</v>
      </c>
      <c r="S79" s="12">
        <f>STANDARDIZE(C79,P$35,Q$35)</f>
        <v>-0.304704168337607</v>
      </c>
      <c r="T79" s="12">
        <v>1986.7499999951001</v>
      </c>
      <c r="V79">
        <v>-0.59779088777523193</v>
      </c>
      <c r="W79">
        <v>2013.25</v>
      </c>
    </row>
    <row r="80" spans="1:23" x14ac:dyDescent="0.3">
      <c r="A80" t="s">
        <v>10</v>
      </c>
      <c r="B80">
        <v>1986</v>
      </c>
      <c r="C80">
        <v>631</v>
      </c>
      <c r="D80" s="12">
        <v>1986.83333332846</v>
      </c>
      <c r="F80" t="s">
        <v>10</v>
      </c>
      <c r="G80">
        <v>1986</v>
      </c>
      <c r="H80">
        <v>670</v>
      </c>
      <c r="M80" s="13">
        <f t="shared" si="4"/>
        <v>-6.3197583297124479E-2</v>
      </c>
      <c r="S80" s="12">
        <f>STANDARDIZE(C80,P$36,Q$36)</f>
        <v>0.39402394633056809</v>
      </c>
      <c r="T80" s="12">
        <v>1986.83333332846</v>
      </c>
      <c r="V80">
        <v>-0.85421711236703946</v>
      </c>
      <c r="W80">
        <v>2013.1666666666599</v>
      </c>
    </row>
    <row r="81" spans="1:23" x14ac:dyDescent="0.3">
      <c r="A81" t="s">
        <v>11</v>
      </c>
      <c r="B81">
        <v>1986</v>
      </c>
      <c r="C81">
        <v>637</v>
      </c>
      <c r="D81" s="12">
        <v>1986.91666666182</v>
      </c>
      <c r="F81" t="s">
        <v>11</v>
      </c>
      <c r="G81">
        <v>1986</v>
      </c>
      <c r="H81">
        <v>665</v>
      </c>
      <c r="M81" s="13">
        <f t="shared" si="4"/>
        <v>-0.30737006421784024</v>
      </c>
      <c r="S81" s="12">
        <f>STANDARDIZE(C81,P$37,Q$37)</f>
        <v>0.4446828948074284</v>
      </c>
      <c r="T81" s="12">
        <v>1986.91666666182</v>
      </c>
      <c r="V81">
        <v>-0.71595944449809368</v>
      </c>
      <c r="W81">
        <v>2013.0833333333301</v>
      </c>
    </row>
    <row r="82" spans="1:23" x14ac:dyDescent="0.3">
      <c r="A82" t="s">
        <v>0</v>
      </c>
      <c r="B82">
        <v>1987</v>
      </c>
      <c r="C82">
        <v>545</v>
      </c>
      <c r="D82" s="12">
        <v>1986.9999999951799</v>
      </c>
      <c r="F82" t="s">
        <v>0</v>
      </c>
      <c r="G82">
        <v>1987</v>
      </c>
      <c r="H82">
        <v>653</v>
      </c>
      <c r="M82" s="13">
        <f t="shared" si="4"/>
        <v>-0.8933840184275581</v>
      </c>
      <c r="S82" s="12">
        <f>STANDARDIZE(C82,P$26,Q$26)</f>
        <v>-0.45574346151322331</v>
      </c>
      <c r="T82" s="12">
        <v>1986.9999999951799</v>
      </c>
      <c r="V82">
        <v>-2.0028581485514971</v>
      </c>
      <c r="W82">
        <v>2013</v>
      </c>
    </row>
    <row r="83" spans="1:23" x14ac:dyDescent="0.3">
      <c r="A83" t="s">
        <v>1</v>
      </c>
      <c r="B83">
        <v>1987</v>
      </c>
      <c r="C83">
        <v>483</v>
      </c>
      <c r="D83" s="12">
        <v>1987.08333332854</v>
      </c>
      <c r="F83" t="s">
        <v>1</v>
      </c>
      <c r="G83">
        <v>1987</v>
      </c>
      <c r="H83">
        <v>645</v>
      </c>
      <c r="M83" s="13">
        <f t="shared" si="4"/>
        <v>-1.2840599879007033</v>
      </c>
      <c r="S83" s="12">
        <f>STANDARDIZE(C83,P$27,Q$27)</f>
        <v>-0.29257520326246828</v>
      </c>
      <c r="T83" s="12">
        <v>1987.08333332854</v>
      </c>
      <c r="V83">
        <v>-1.6918693228096036</v>
      </c>
      <c r="W83">
        <v>2012.9166666666599</v>
      </c>
    </row>
    <row r="84" spans="1:23" x14ac:dyDescent="0.3">
      <c r="A84" t="s">
        <v>2</v>
      </c>
      <c r="B84">
        <v>1987</v>
      </c>
      <c r="C84">
        <v>469</v>
      </c>
      <c r="D84" s="12">
        <v>1987.1666666619001</v>
      </c>
      <c r="F84" t="s">
        <v>2</v>
      </c>
      <c r="G84">
        <v>1987</v>
      </c>
      <c r="H84">
        <v>639</v>
      </c>
      <c r="M84" s="13">
        <f t="shared" si="4"/>
        <v>-1.5770669650055622</v>
      </c>
      <c r="S84" s="12">
        <f>STANDARDIZE(C84,P$28,Q$28)</f>
        <v>-0.4560387060196941</v>
      </c>
      <c r="T84" s="12">
        <v>1987.1666666619001</v>
      </c>
      <c r="V84">
        <v>-1.6135854423517826</v>
      </c>
      <c r="W84">
        <v>2012.8333333333301</v>
      </c>
    </row>
    <row r="85" spans="1:23" x14ac:dyDescent="0.3">
      <c r="A85" t="s">
        <v>3</v>
      </c>
      <c r="B85">
        <v>1987</v>
      </c>
      <c r="C85">
        <v>489</v>
      </c>
      <c r="D85" s="12">
        <v>1987.2499999952599</v>
      </c>
      <c r="F85" t="s">
        <v>3</v>
      </c>
      <c r="G85">
        <v>1987</v>
      </c>
      <c r="H85">
        <v>646</v>
      </c>
      <c r="M85" s="13">
        <f t="shared" si="4"/>
        <v>-1.2352254917165602</v>
      </c>
      <c r="S85" s="12">
        <f>STANDARDIZE(C85,P$29,Q$29)</f>
        <v>-0.22421122422126738</v>
      </c>
      <c r="T85" s="12">
        <v>1987.2499999952599</v>
      </c>
      <c r="V85">
        <v>-1.5635257653209813</v>
      </c>
      <c r="W85">
        <v>2012.75</v>
      </c>
    </row>
    <row r="86" spans="1:23" x14ac:dyDescent="0.3">
      <c r="A86" t="s">
        <v>4</v>
      </c>
      <c r="B86">
        <v>1987</v>
      </c>
      <c r="C86">
        <v>544</v>
      </c>
      <c r="D86" s="12">
        <v>1987.33333332862</v>
      </c>
      <c r="F86" t="s">
        <v>4</v>
      </c>
      <c r="G86">
        <v>1987</v>
      </c>
      <c r="H86">
        <v>652</v>
      </c>
      <c r="M86" s="13">
        <f t="shared" si="4"/>
        <v>-0.94221851461170125</v>
      </c>
      <c r="S86" s="12">
        <f>STANDARDIZE(C86,P$30,Q$30)</f>
        <v>-0.34895635698753347</v>
      </c>
      <c r="T86" s="12">
        <v>1987.33333332862</v>
      </c>
      <c r="V86">
        <v>-1.1318569180189106</v>
      </c>
      <c r="W86">
        <v>2012.6666666666599</v>
      </c>
    </row>
    <row r="87" spans="1:23" x14ac:dyDescent="0.3">
      <c r="A87" t="s">
        <v>5</v>
      </c>
      <c r="B87">
        <v>1987</v>
      </c>
      <c r="C87">
        <v>572</v>
      </c>
      <c r="D87" s="12">
        <v>1987.4166666619799</v>
      </c>
      <c r="F87" t="s">
        <v>5</v>
      </c>
      <c r="G87">
        <v>1987</v>
      </c>
      <c r="H87">
        <v>655</v>
      </c>
      <c r="M87" s="13">
        <f t="shared" si="4"/>
        <v>-0.7957150260592718</v>
      </c>
      <c r="S87" s="12">
        <f>STANDARDIZE(C87,P$31,Q$31)</f>
        <v>-0.33862073506420365</v>
      </c>
      <c r="T87" s="12">
        <v>1987.4166666619799</v>
      </c>
      <c r="V87">
        <v>-1.1676305087671346</v>
      </c>
      <c r="W87">
        <v>2012.5833333333301</v>
      </c>
    </row>
    <row r="88" spans="1:23" x14ac:dyDescent="0.3">
      <c r="A88" t="s">
        <v>6</v>
      </c>
      <c r="B88">
        <v>1987</v>
      </c>
      <c r="C88">
        <v>556</v>
      </c>
      <c r="D88" s="12">
        <v>1987.49999999534</v>
      </c>
      <c r="F88" t="s">
        <v>6</v>
      </c>
      <c r="G88">
        <v>1987</v>
      </c>
      <c r="H88">
        <v>655</v>
      </c>
      <c r="M88" s="13">
        <f t="shared" si="4"/>
        <v>-0.7957150260592718</v>
      </c>
      <c r="S88" s="12">
        <f>STANDARDIZE(C88,P$32,Q$32)</f>
        <v>-0.56493070612212448</v>
      </c>
      <c r="T88" s="12">
        <v>1987.49999999534</v>
      </c>
      <c r="V88">
        <v>-1.2618066792070126</v>
      </c>
      <c r="W88">
        <v>2012.5</v>
      </c>
    </row>
    <row r="89" spans="1:23" x14ac:dyDescent="0.3">
      <c r="A89" t="s">
        <v>7</v>
      </c>
      <c r="B89">
        <v>1987</v>
      </c>
      <c r="C89">
        <v>582</v>
      </c>
      <c r="D89" s="12">
        <v>1987.5833333287001</v>
      </c>
      <c r="F89" t="s">
        <v>7</v>
      </c>
      <c r="G89">
        <v>1987</v>
      </c>
      <c r="H89">
        <v>662</v>
      </c>
      <c r="M89" s="13">
        <f t="shared" si="4"/>
        <v>-0.45387355277026969</v>
      </c>
      <c r="S89" s="12">
        <f>STANDARDIZE(C89,P$33,Q$33)</f>
        <v>0.11629785943895762</v>
      </c>
      <c r="T89" s="12">
        <v>1987.5833333287001</v>
      </c>
      <c r="V89">
        <v>-0.47509256783567111</v>
      </c>
      <c r="W89">
        <v>2012.4166666666599</v>
      </c>
    </row>
    <row r="90" spans="1:23" x14ac:dyDescent="0.3">
      <c r="A90" t="s">
        <v>8</v>
      </c>
      <c r="B90">
        <v>1987</v>
      </c>
      <c r="C90">
        <v>594</v>
      </c>
      <c r="D90" s="12">
        <v>1987.6666666620599</v>
      </c>
      <c r="F90" t="s">
        <v>8</v>
      </c>
      <c r="G90">
        <v>1987</v>
      </c>
      <c r="H90">
        <v>664</v>
      </c>
      <c r="M90" s="13">
        <f t="shared" si="4"/>
        <v>-0.35620456040198339</v>
      </c>
      <c r="S90" s="12">
        <f>STANDARDIZE(C90,P$34,Q$34)</f>
        <v>0.27877331661573829</v>
      </c>
      <c r="T90" s="12">
        <v>1987.6666666620599</v>
      </c>
      <c r="V90">
        <v>0.23608209117379828</v>
      </c>
      <c r="W90">
        <v>2012.3333333333301</v>
      </c>
    </row>
    <row r="91" spans="1:23" x14ac:dyDescent="0.3">
      <c r="A91" t="s">
        <v>9</v>
      </c>
      <c r="B91">
        <v>1987</v>
      </c>
      <c r="C91">
        <v>617</v>
      </c>
      <c r="D91" s="12">
        <v>1987.74999999543</v>
      </c>
      <c r="F91" t="s">
        <v>9</v>
      </c>
      <c r="G91">
        <v>1987</v>
      </c>
      <c r="H91">
        <v>669</v>
      </c>
      <c r="M91" s="13">
        <f t="shared" si="4"/>
        <v>-0.11203207948126763</v>
      </c>
      <c r="S91" s="12">
        <f>STANDARDIZE(C91,P$35,Q$35)</f>
        <v>0.42071844687315102</v>
      </c>
      <c r="T91" s="12">
        <v>1987.74999999543</v>
      </c>
      <c r="V91">
        <v>-7.6745567555228753E-2</v>
      </c>
      <c r="W91">
        <v>2012.24999999999</v>
      </c>
    </row>
    <row r="92" spans="1:23" x14ac:dyDescent="0.3">
      <c r="A92" t="s">
        <v>10</v>
      </c>
      <c r="B92">
        <v>1987</v>
      </c>
      <c r="C92">
        <v>644</v>
      </c>
      <c r="D92" s="12">
        <v>1987.8333333287901</v>
      </c>
      <c r="F92" t="s">
        <v>10</v>
      </c>
      <c r="G92">
        <v>1987</v>
      </c>
      <c r="H92">
        <v>671</v>
      </c>
      <c r="M92" s="13">
        <f t="shared" si="4"/>
        <v>-1.4363087112981321E-2</v>
      </c>
      <c r="S92" s="12">
        <f>STANDARDIZE(C92,P$36,Q$36)</f>
        <v>0.71230348356069684</v>
      </c>
      <c r="T92" s="12">
        <v>1987.8333333287901</v>
      </c>
      <c r="V92">
        <v>-0.37640302475022497</v>
      </c>
      <c r="W92">
        <v>2012.1666666666599</v>
      </c>
    </row>
    <row r="93" spans="1:23" x14ac:dyDescent="0.3">
      <c r="A93" t="s">
        <v>11</v>
      </c>
      <c r="B93">
        <v>1987</v>
      </c>
      <c r="C93">
        <v>660</v>
      </c>
      <c r="D93" s="12">
        <v>1987.91666666215</v>
      </c>
      <c r="F93" t="s">
        <v>11</v>
      </c>
      <c r="G93">
        <v>1987</v>
      </c>
      <c r="H93">
        <v>674</v>
      </c>
      <c r="M93" s="13">
        <f t="shared" si="4"/>
        <v>0.13214040143944814</v>
      </c>
      <c r="S93" s="12">
        <f>STANDARDIZE(C93,P$37,Q$37)</f>
        <v>0.921777079323853</v>
      </c>
      <c r="T93" s="12">
        <v>1987.91666666215</v>
      </c>
      <c r="V93">
        <v>0.38483958271453239</v>
      </c>
      <c r="W93">
        <v>2012.0833333333301</v>
      </c>
    </row>
    <row r="94" spans="1:23" x14ac:dyDescent="0.3">
      <c r="A94" t="s">
        <v>0</v>
      </c>
      <c r="B94">
        <v>1988</v>
      </c>
      <c r="C94">
        <v>596</v>
      </c>
      <c r="D94" s="12">
        <v>1987.9999999955101</v>
      </c>
      <c r="F94" t="s">
        <v>0</v>
      </c>
      <c r="G94">
        <v>1988</v>
      </c>
      <c r="H94">
        <v>658</v>
      </c>
      <c r="M94" s="13">
        <f t="shared" si="4"/>
        <v>-0.64921153750684235</v>
      </c>
      <c r="S94" s="12">
        <f>STANDARDIZE(C94,P$26,Q$26)</f>
        <v>0.41132081364009493</v>
      </c>
      <c r="T94" s="12">
        <v>1987.9999999955101</v>
      </c>
      <c r="V94">
        <v>0.71734349898832483</v>
      </c>
      <c r="W94">
        <v>2012</v>
      </c>
    </row>
    <row r="95" spans="1:23" x14ac:dyDescent="0.3">
      <c r="A95" t="s">
        <v>1</v>
      </c>
      <c r="B95">
        <v>1988</v>
      </c>
      <c r="C95">
        <v>503</v>
      </c>
      <c r="D95" s="12">
        <v>1988.0833333288699</v>
      </c>
      <c r="F95" t="s">
        <v>1</v>
      </c>
      <c r="G95">
        <v>1988</v>
      </c>
      <c r="H95">
        <v>645</v>
      </c>
      <c r="M95" s="13">
        <f t="shared" si="4"/>
        <v>-1.2840599879007033</v>
      </c>
      <c r="S95" s="12">
        <f>STANDARDIZE(C95,P$27,Q$27)</f>
        <v>-0.10440442937996808</v>
      </c>
      <c r="T95" s="12">
        <v>1988.0833333288699</v>
      </c>
      <c r="V95">
        <v>0.15427773901482209</v>
      </c>
      <c r="W95">
        <v>2011.9166666666599</v>
      </c>
    </row>
    <row r="96" spans="1:23" x14ac:dyDescent="0.3">
      <c r="A96" t="s">
        <v>2</v>
      </c>
      <c r="B96">
        <v>1988</v>
      </c>
      <c r="C96">
        <v>470</v>
      </c>
      <c r="D96" s="12">
        <v>1988.16666666223</v>
      </c>
      <c r="F96" t="s">
        <v>2</v>
      </c>
      <c r="G96">
        <v>1988</v>
      </c>
      <c r="H96">
        <v>631</v>
      </c>
      <c r="M96" s="13">
        <f t="shared" si="4"/>
        <v>-1.9677429344787074</v>
      </c>
      <c r="S96" s="12">
        <f>STANDARDIZE(C96,P$28,Q$28)</f>
        <v>-0.4361297857023268</v>
      </c>
      <c r="T96" s="12">
        <v>1988.16666666223</v>
      </c>
      <c r="V96">
        <v>-0.34046729343126753</v>
      </c>
      <c r="W96">
        <v>2011.8333333333301</v>
      </c>
    </row>
    <row r="97" spans="1:23" x14ac:dyDescent="0.3">
      <c r="A97" t="s">
        <v>3</v>
      </c>
      <c r="B97">
        <v>1988</v>
      </c>
      <c r="C97">
        <v>494</v>
      </c>
      <c r="D97" s="12">
        <v>1988.2499999955901</v>
      </c>
      <c r="F97" t="s">
        <v>3</v>
      </c>
      <c r="G97">
        <v>1988</v>
      </c>
      <c r="H97">
        <v>636</v>
      </c>
      <c r="M97" s="13">
        <f t="shared" si="4"/>
        <v>-1.7235704535579917</v>
      </c>
      <c r="S97" s="12">
        <f>STANDARDIZE(C97,P$29,Q$29)</f>
        <v>-0.17505600533258783</v>
      </c>
      <c r="T97" s="12">
        <v>1988.2499999955901</v>
      </c>
      <c r="V97">
        <v>-0.36871204615032094</v>
      </c>
      <c r="W97">
        <v>2011.74999999999</v>
      </c>
    </row>
    <row r="98" spans="1:23" x14ac:dyDescent="0.3">
      <c r="A98" t="s">
        <v>4</v>
      </c>
      <c r="B98">
        <v>1988</v>
      </c>
      <c r="C98">
        <v>542</v>
      </c>
      <c r="D98" s="12">
        <v>1988.3333333289499</v>
      </c>
      <c r="F98" t="s">
        <v>4</v>
      </c>
      <c r="G98">
        <v>1988</v>
      </c>
      <c r="H98">
        <v>646</v>
      </c>
      <c r="M98" s="13">
        <f t="shared" si="4"/>
        <v>-1.2352254917165602</v>
      </c>
      <c r="S98" s="12">
        <f>STANDARDIZE(C98,P$30,Q$30)</f>
        <v>-0.39982926552330145</v>
      </c>
      <c r="T98" s="12">
        <v>1988.3333333289499</v>
      </c>
      <c r="V98">
        <v>-0.19805943875372053</v>
      </c>
      <c r="W98">
        <v>2011.6666666666599</v>
      </c>
    </row>
    <row r="99" spans="1:23" x14ac:dyDescent="0.3">
      <c r="A99" t="s">
        <v>5</v>
      </c>
      <c r="B99">
        <v>1988</v>
      </c>
      <c r="C99">
        <v>565</v>
      </c>
      <c r="D99" s="12">
        <v>1988.41666666231</v>
      </c>
      <c r="F99" t="s">
        <v>5</v>
      </c>
      <c r="G99">
        <v>1988</v>
      </c>
      <c r="H99">
        <v>653</v>
      </c>
      <c r="M99" s="13">
        <f t="shared" si="4"/>
        <v>-0.8933840184275581</v>
      </c>
      <c r="S99" s="12">
        <f>STANDARDIZE(C99,P$31,Q$31)</f>
        <v>-0.52968130094425814</v>
      </c>
      <c r="T99" s="12">
        <v>1988.41666666231</v>
      </c>
      <c r="V99">
        <v>0.22794380450035695</v>
      </c>
      <c r="W99">
        <v>2011.5833333333301</v>
      </c>
    </row>
    <row r="100" spans="1:23" x14ac:dyDescent="0.3">
      <c r="A100" t="s">
        <v>6</v>
      </c>
      <c r="B100">
        <v>1988</v>
      </c>
      <c r="C100">
        <v>609</v>
      </c>
      <c r="D100" s="12">
        <v>1988.4999999956699</v>
      </c>
      <c r="F100" t="s">
        <v>6</v>
      </c>
      <c r="G100">
        <v>1988</v>
      </c>
      <c r="H100">
        <v>661</v>
      </c>
      <c r="M100" s="13">
        <f t="shared" si="4"/>
        <v>-0.5027080489544129</v>
      </c>
      <c r="S100" s="12">
        <f>STANDARDIZE(C100,P$32,Q$32)</f>
        <v>0.521375957804319</v>
      </c>
      <c r="T100" s="12">
        <v>1988.4999999956699</v>
      </c>
      <c r="V100">
        <v>0.45988690135565236</v>
      </c>
      <c r="W100">
        <v>2011.49999999999</v>
      </c>
    </row>
    <row r="101" spans="1:23" x14ac:dyDescent="0.3">
      <c r="A101" t="s">
        <v>7</v>
      </c>
      <c r="B101">
        <v>1988</v>
      </c>
      <c r="C101">
        <v>635</v>
      </c>
      <c r="D101" s="12">
        <v>1988.58333332903</v>
      </c>
      <c r="F101" t="s">
        <v>7</v>
      </c>
      <c r="G101">
        <v>1988</v>
      </c>
      <c r="H101">
        <v>667</v>
      </c>
      <c r="M101" s="13">
        <f t="shared" si="4"/>
        <v>-0.20970107184955394</v>
      </c>
      <c r="S101" s="12">
        <f>STANDARDIZE(C101,P$33,Q$33)</f>
        <v>1.1025037074813182</v>
      </c>
      <c r="T101" s="12">
        <v>1988.58333332903</v>
      </c>
      <c r="V101">
        <v>1.189863791976232</v>
      </c>
      <c r="W101">
        <v>2011.4166666666599</v>
      </c>
    </row>
    <row r="102" spans="1:23" x14ac:dyDescent="0.3">
      <c r="A102" t="s">
        <v>8</v>
      </c>
      <c r="B102">
        <v>1988</v>
      </c>
      <c r="C102">
        <v>657</v>
      </c>
      <c r="D102" s="12">
        <v>1988.6666666623901</v>
      </c>
      <c r="F102" t="s">
        <v>8</v>
      </c>
      <c r="G102">
        <v>1988</v>
      </c>
      <c r="H102">
        <v>670</v>
      </c>
      <c r="M102" s="13">
        <f t="shared" si="4"/>
        <v>-6.3197583297124479E-2</v>
      </c>
      <c r="S102" s="12">
        <f>STANDARDIZE(C102,P$34,Q$34)</f>
        <v>1.5304592994605677</v>
      </c>
      <c r="T102" s="12">
        <v>1988.6666666623901</v>
      </c>
      <c r="V102">
        <v>1.5587777131037657</v>
      </c>
      <c r="W102">
        <v>2011.3333333333301</v>
      </c>
    </row>
    <row r="103" spans="1:23" x14ac:dyDescent="0.3">
      <c r="A103" t="s">
        <v>9</v>
      </c>
      <c r="B103">
        <v>1988</v>
      </c>
      <c r="C103">
        <v>676</v>
      </c>
      <c r="D103" s="12">
        <v>1988.7499999957499</v>
      </c>
      <c r="F103" t="s">
        <v>9</v>
      </c>
      <c r="G103">
        <v>1988</v>
      </c>
      <c r="H103">
        <v>681</v>
      </c>
      <c r="M103" s="13">
        <f t="shared" si="4"/>
        <v>0.47398187472845021</v>
      </c>
      <c r="S103" s="12">
        <f>STANDARDIZE(C103,P$35,Q$35)</f>
        <v>1.6795400438565253</v>
      </c>
      <c r="T103" s="12">
        <v>1988.7499999957499</v>
      </c>
      <c r="V103">
        <v>0.42463766510930256</v>
      </c>
      <c r="W103">
        <v>2011.24999999999</v>
      </c>
    </row>
    <row r="104" spans="1:23" x14ac:dyDescent="0.3">
      <c r="A104" t="s">
        <v>10</v>
      </c>
      <c r="B104">
        <v>1988</v>
      </c>
      <c r="C104">
        <v>673</v>
      </c>
      <c r="D104" s="12">
        <v>1988.83333332911</v>
      </c>
      <c r="F104" t="s">
        <v>10</v>
      </c>
      <c r="G104">
        <v>1988</v>
      </c>
      <c r="H104">
        <v>676</v>
      </c>
      <c r="M104" s="13">
        <f t="shared" si="4"/>
        <v>0.22980939380773446</v>
      </c>
      <c r="S104" s="12">
        <f>STANDARDIZE(C104,P$36,Q$36)</f>
        <v>1.422311681997138</v>
      </c>
      <c r="T104" s="12">
        <v>1988.83333332911</v>
      </c>
      <c r="V104">
        <v>0.79822327397444404</v>
      </c>
      <c r="W104">
        <v>2011.1666666666599</v>
      </c>
    </row>
    <row r="105" spans="1:23" x14ac:dyDescent="0.3">
      <c r="A105" t="s">
        <v>11</v>
      </c>
      <c r="B105">
        <v>1988</v>
      </c>
      <c r="C105">
        <v>671</v>
      </c>
      <c r="D105" s="12">
        <v>1988.9166666624701</v>
      </c>
      <c r="F105" t="s">
        <v>11</v>
      </c>
      <c r="G105">
        <v>1988</v>
      </c>
      <c r="H105">
        <v>670</v>
      </c>
      <c r="M105" s="13">
        <f t="shared" si="4"/>
        <v>-6.3197583297124479E-2</v>
      </c>
      <c r="S105" s="12">
        <f>STANDARDIZE(C105,P$37,Q$37)</f>
        <v>1.1499525588751864</v>
      </c>
      <c r="T105" s="12">
        <v>1988.9166666624701</v>
      </c>
      <c r="V105">
        <v>0.51655912443228247</v>
      </c>
      <c r="W105">
        <v>2011.0833333333301</v>
      </c>
    </row>
    <row r="106" spans="1:23" x14ac:dyDescent="0.3">
      <c r="A106" t="s">
        <v>0</v>
      </c>
      <c r="B106">
        <v>1989</v>
      </c>
      <c r="C106">
        <v>650</v>
      </c>
      <c r="D106" s="12">
        <v>1988.99999999583</v>
      </c>
      <c r="F106" t="s">
        <v>0</v>
      </c>
      <c r="G106">
        <v>1989</v>
      </c>
      <c r="H106">
        <v>665</v>
      </c>
      <c r="M106" s="13">
        <f t="shared" si="4"/>
        <v>-0.30737006421784024</v>
      </c>
      <c r="S106" s="12">
        <f>STANDARDIZE(C106,P$26,Q$26)</f>
        <v>1.3293888696847849</v>
      </c>
      <c r="T106" s="12">
        <v>1988.99999999583</v>
      </c>
      <c r="V106">
        <v>1.3463901299819088</v>
      </c>
      <c r="W106">
        <v>2011</v>
      </c>
    </row>
    <row r="107" spans="1:23" x14ac:dyDescent="0.3">
      <c r="A107" t="s">
        <v>1</v>
      </c>
      <c r="B107">
        <v>1989</v>
      </c>
      <c r="C107">
        <v>594</v>
      </c>
      <c r="D107" s="12">
        <v>1989.0833333291901</v>
      </c>
      <c r="F107" t="s">
        <v>1</v>
      </c>
      <c r="G107">
        <v>1989</v>
      </c>
      <c r="H107">
        <v>657</v>
      </c>
      <c r="M107" s="13">
        <f t="shared" si="4"/>
        <v>-0.6980460336909855</v>
      </c>
      <c r="S107" s="12">
        <f>STANDARDIZE(C107,P$27,Q$27)</f>
        <v>0.75177259178540778</v>
      </c>
      <c r="T107" s="12">
        <v>1989.0833333291901</v>
      </c>
      <c r="V107">
        <v>1.2951551367714897</v>
      </c>
      <c r="W107">
        <v>2010.9166666666599</v>
      </c>
    </row>
    <row r="108" spans="1:23" x14ac:dyDescent="0.3">
      <c r="A108" t="s">
        <v>2</v>
      </c>
      <c r="B108">
        <v>1989</v>
      </c>
      <c r="C108">
        <v>552</v>
      </c>
      <c r="D108" s="12">
        <v>1989.1666666625499</v>
      </c>
      <c r="F108" t="s">
        <v>2</v>
      </c>
      <c r="G108">
        <v>1989</v>
      </c>
      <c r="H108">
        <v>649</v>
      </c>
      <c r="M108" s="13">
        <f t="shared" si="4"/>
        <v>-1.0887220031641307</v>
      </c>
      <c r="S108" s="12">
        <f>STANDARDIZE(C108,P$28,Q$28)</f>
        <v>1.1964016803217894</v>
      </c>
      <c r="T108" s="12">
        <v>1989.1666666625499</v>
      </c>
      <c r="V108">
        <v>0.78575260753688037</v>
      </c>
      <c r="W108">
        <v>2010.8333333333301</v>
      </c>
    </row>
    <row r="109" spans="1:23" x14ac:dyDescent="0.3">
      <c r="A109" t="s">
        <v>3</v>
      </c>
      <c r="B109">
        <v>1989</v>
      </c>
      <c r="C109">
        <v>538</v>
      </c>
      <c r="D109" s="12">
        <v>1989.24999999591</v>
      </c>
      <c r="F109" t="s">
        <v>3</v>
      </c>
      <c r="G109">
        <v>1989</v>
      </c>
      <c r="H109">
        <v>644</v>
      </c>
      <c r="M109" s="13">
        <f t="shared" si="4"/>
        <v>-1.3328944840848465</v>
      </c>
      <c r="S109" s="12">
        <f>STANDARDIZE(C109,P$29,Q$29)</f>
        <v>0.25750992088779212</v>
      </c>
      <c r="T109" s="12">
        <v>1989.24999999591</v>
      </c>
      <c r="V109">
        <v>0.89010955083305332</v>
      </c>
      <c r="W109">
        <v>2010.74999999999</v>
      </c>
    </row>
    <row r="110" spans="1:23" x14ac:dyDescent="0.3">
      <c r="A110" t="s">
        <v>4</v>
      </c>
      <c r="B110">
        <v>1989</v>
      </c>
      <c r="C110">
        <v>545</v>
      </c>
      <c r="D110" s="12">
        <v>1989.3333333292701</v>
      </c>
      <c r="F110" t="s">
        <v>4</v>
      </c>
      <c r="G110">
        <v>1989</v>
      </c>
      <c r="H110">
        <v>652</v>
      </c>
      <c r="M110" s="13">
        <f t="shared" si="4"/>
        <v>-0.94221851461170125</v>
      </c>
      <c r="S110" s="12">
        <f>STANDARDIZE(C110,P$30,Q$30)</f>
        <v>-0.32351990271964948</v>
      </c>
      <c r="T110" s="12">
        <v>1989.3333333292701</v>
      </c>
      <c r="V110">
        <v>0.99402244966992648</v>
      </c>
      <c r="W110">
        <v>2010.6666666666599</v>
      </c>
    </row>
    <row r="111" spans="1:23" x14ac:dyDescent="0.3">
      <c r="A111" t="s">
        <v>5</v>
      </c>
      <c r="B111">
        <v>1989</v>
      </c>
      <c r="C111">
        <v>574</v>
      </c>
      <c r="D111" s="12">
        <v>1989.41666666263</v>
      </c>
      <c r="F111" t="s">
        <v>5</v>
      </c>
      <c r="G111">
        <v>1989</v>
      </c>
      <c r="H111">
        <v>659</v>
      </c>
      <c r="M111" s="13">
        <f t="shared" si="4"/>
        <v>-0.6003770413226992</v>
      </c>
      <c r="S111" s="12">
        <f>STANDARDIZE(C111,P$31,Q$31)</f>
        <v>-0.28403200195561668</v>
      </c>
      <c r="T111" s="12">
        <v>1989.41666666263</v>
      </c>
      <c r="V111">
        <v>1.0466807349506186</v>
      </c>
      <c r="W111">
        <v>2010.5833333333301</v>
      </c>
    </row>
    <row r="112" spans="1:23" x14ac:dyDescent="0.3">
      <c r="A112" t="s">
        <v>6</v>
      </c>
      <c r="B112">
        <v>1989</v>
      </c>
      <c r="C112">
        <v>576</v>
      </c>
      <c r="D112" s="12">
        <v>1989.49999999599</v>
      </c>
      <c r="F112" t="s">
        <v>6</v>
      </c>
      <c r="G112">
        <v>1989</v>
      </c>
      <c r="H112">
        <v>660</v>
      </c>
      <c r="M112" s="13">
        <f t="shared" si="4"/>
        <v>-0.55154254513855605</v>
      </c>
      <c r="S112" s="12">
        <f>STANDARDIZE(C112,P$32,Q$32)</f>
        <v>-0.15500366313101374</v>
      </c>
      <c r="T112" s="12">
        <v>1989.49999999599</v>
      </c>
      <c r="V112">
        <v>0.68534677500076324</v>
      </c>
      <c r="W112">
        <v>2010.49999999999</v>
      </c>
    </row>
    <row r="113" spans="1:23" x14ac:dyDescent="0.3">
      <c r="A113" t="s">
        <v>7</v>
      </c>
      <c r="B113">
        <v>1989</v>
      </c>
      <c r="C113">
        <v>571</v>
      </c>
      <c r="D113" s="12">
        <v>1989.5833333293499</v>
      </c>
      <c r="F113" t="s">
        <v>7</v>
      </c>
      <c r="G113">
        <v>1989</v>
      </c>
      <c r="H113">
        <v>660</v>
      </c>
      <c r="M113" s="13">
        <f t="shared" si="4"/>
        <v>-0.55154254513855605</v>
      </c>
      <c r="S113" s="12">
        <f>STANDARDIZE(C113,P$33,Q$33)</f>
        <v>-8.8386373173607799E-2</v>
      </c>
      <c r="T113" s="12">
        <v>1989.5833333293499</v>
      </c>
      <c r="V113">
        <v>-6.5677069521268713E-2</v>
      </c>
      <c r="W113">
        <v>2010.4166666666599</v>
      </c>
    </row>
    <row r="114" spans="1:23" x14ac:dyDescent="0.3">
      <c r="A114" t="s">
        <v>8</v>
      </c>
      <c r="B114">
        <v>1989</v>
      </c>
      <c r="C114">
        <v>589</v>
      </c>
      <c r="D114" s="12">
        <v>1989.66666666271</v>
      </c>
      <c r="F114" t="s">
        <v>8</v>
      </c>
      <c r="G114">
        <v>1989</v>
      </c>
      <c r="H114">
        <v>670</v>
      </c>
      <c r="M114" s="13">
        <f t="shared" si="4"/>
        <v>-6.3197583297124479E-2</v>
      </c>
      <c r="S114" s="12">
        <f>STANDARDIZE(C114,P$34,Q$34)</f>
        <v>0.17943315924710104</v>
      </c>
      <c r="T114" s="12">
        <v>1989.66666666271</v>
      </c>
      <c r="V114">
        <v>-0.60332089966637337</v>
      </c>
      <c r="W114">
        <v>2010.3333333333201</v>
      </c>
    </row>
    <row r="115" spans="1:23" x14ac:dyDescent="0.3">
      <c r="A115" t="s">
        <v>9</v>
      </c>
      <c r="B115">
        <v>1989</v>
      </c>
      <c r="C115">
        <v>621</v>
      </c>
      <c r="D115" s="12">
        <v>1989.7499999960701</v>
      </c>
      <c r="F115" t="s">
        <v>9</v>
      </c>
      <c r="G115">
        <v>1989</v>
      </c>
      <c r="H115">
        <v>672</v>
      </c>
      <c r="M115" s="13">
        <f t="shared" si="4"/>
        <v>3.4471409071161835E-2</v>
      </c>
      <c r="S115" s="12">
        <f>STANDARDIZE(C115,P$35,Q$35)</f>
        <v>0.50606228395676967</v>
      </c>
      <c r="T115" s="12">
        <v>1989.7499999960701</v>
      </c>
      <c r="V115">
        <v>-0.43066314355372148</v>
      </c>
      <c r="W115">
        <v>2010.24999999999</v>
      </c>
    </row>
    <row r="116" spans="1:23" x14ac:dyDescent="0.3">
      <c r="A116" t="s">
        <v>10</v>
      </c>
      <c r="B116">
        <v>1989</v>
      </c>
      <c r="C116">
        <v>645</v>
      </c>
      <c r="D116" s="12">
        <v>1989.8333333294299</v>
      </c>
      <c r="F116" t="s">
        <v>10</v>
      </c>
      <c r="G116">
        <v>1989</v>
      </c>
      <c r="H116">
        <v>671</v>
      </c>
      <c r="M116" s="13">
        <f t="shared" si="4"/>
        <v>-1.4363087112981321E-2</v>
      </c>
      <c r="S116" s="12">
        <f>STANDARDIZE(C116,P$36,Q$36)</f>
        <v>0.73678652488609131</v>
      </c>
      <c r="T116" s="12">
        <v>1989.8333333294299</v>
      </c>
      <c r="V116">
        <v>-1.0533063155407123</v>
      </c>
      <c r="W116">
        <v>2010.1666666666599</v>
      </c>
    </row>
    <row r="117" spans="1:23" x14ac:dyDescent="0.3">
      <c r="A117" t="s">
        <v>11</v>
      </c>
      <c r="B117">
        <v>1989</v>
      </c>
      <c r="C117">
        <v>642</v>
      </c>
      <c r="D117" s="12">
        <v>1989.91666666279</v>
      </c>
      <c r="F117" t="s">
        <v>11</v>
      </c>
      <c r="G117">
        <v>1989</v>
      </c>
      <c r="H117">
        <v>660</v>
      </c>
      <c r="M117" s="13">
        <f t="shared" si="4"/>
        <v>-0.55154254513855605</v>
      </c>
      <c r="S117" s="12">
        <f>STANDARDIZE(C117,P$37,Q$37)</f>
        <v>0.54839902187621636</v>
      </c>
      <c r="T117" s="12">
        <v>1989.91666666279</v>
      </c>
      <c r="V117">
        <v>-0.84767898621584381</v>
      </c>
      <c r="W117">
        <v>2010.0833333333201</v>
      </c>
    </row>
    <row r="118" spans="1:23" x14ac:dyDescent="0.3">
      <c r="A118" t="s">
        <v>0</v>
      </c>
      <c r="B118">
        <v>1990</v>
      </c>
      <c r="C118">
        <v>555</v>
      </c>
      <c r="D118" s="12">
        <v>1989.9999999961501</v>
      </c>
      <c r="F118" t="s">
        <v>0</v>
      </c>
      <c r="G118">
        <v>1990</v>
      </c>
      <c r="H118">
        <v>656</v>
      </c>
      <c r="M118" s="13">
        <f t="shared" si="4"/>
        <v>-0.74688052987512865</v>
      </c>
      <c r="S118" s="12">
        <f>STANDARDIZE(C118,P$26,Q$26)</f>
        <v>-0.28573085854198443</v>
      </c>
      <c r="T118" s="12">
        <v>1989.9999999961501</v>
      </c>
      <c r="V118">
        <v>-2.0368606691457449</v>
      </c>
      <c r="W118">
        <v>2010</v>
      </c>
    </row>
    <row r="119" spans="1:23" x14ac:dyDescent="0.3">
      <c r="A119" t="s">
        <v>1</v>
      </c>
      <c r="B119">
        <v>1990</v>
      </c>
      <c r="C119">
        <v>484</v>
      </c>
      <c r="D119" s="12">
        <v>1990.08333332951</v>
      </c>
      <c r="F119" t="s">
        <v>1</v>
      </c>
      <c r="G119">
        <v>1990</v>
      </c>
      <c r="H119">
        <v>637</v>
      </c>
      <c r="M119" s="13">
        <f t="shared" si="4"/>
        <v>-1.6747359573738485</v>
      </c>
      <c r="S119" s="12">
        <f>STANDARDIZE(C119,P$27,Q$27)</f>
        <v>-0.28316666456834327</v>
      </c>
      <c r="T119" s="12">
        <v>1990.08333332951</v>
      </c>
      <c r="V119">
        <v>-1.774842224464634</v>
      </c>
      <c r="W119">
        <v>2009.9166666666599</v>
      </c>
    </row>
    <row r="120" spans="1:23" x14ac:dyDescent="0.3">
      <c r="A120" t="s">
        <v>2</v>
      </c>
      <c r="B120">
        <v>1990</v>
      </c>
      <c r="C120">
        <v>466</v>
      </c>
      <c r="D120" s="12">
        <v>1990.1666666628701</v>
      </c>
      <c r="F120" t="s">
        <v>2</v>
      </c>
      <c r="G120">
        <v>1990</v>
      </c>
      <c r="H120">
        <v>641</v>
      </c>
      <c r="M120" s="13">
        <f t="shared" si="4"/>
        <v>-1.4793979726372759</v>
      </c>
      <c r="S120" s="12">
        <f>STANDARDIZE(C120,P$28,Q$28)</f>
        <v>-0.51576546697179593</v>
      </c>
      <c r="T120" s="12">
        <v>1990.1666666628701</v>
      </c>
      <c r="V120">
        <v>-1.2463398224708648</v>
      </c>
      <c r="W120">
        <v>2009.8333333333201</v>
      </c>
    </row>
    <row r="121" spans="1:23" x14ac:dyDescent="0.3">
      <c r="A121" t="s">
        <v>3</v>
      </c>
      <c r="B121">
        <v>1990</v>
      </c>
      <c r="C121">
        <v>481</v>
      </c>
      <c r="D121" s="12">
        <v>1990.2499999962299</v>
      </c>
      <c r="F121" t="s">
        <v>3</v>
      </c>
      <c r="G121">
        <v>1990</v>
      </c>
      <c r="H121">
        <v>642</v>
      </c>
      <c r="M121" s="13">
        <f t="shared" si="4"/>
        <v>-1.4305634764531328</v>
      </c>
      <c r="S121" s="12">
        <f>STANDARDIZE(C121,P$29,Q$29)</f>
        <v>-0.30285957444315464</v>
      </c>
      <c r="T121" s="12">
        <v>1990.2499999962299</v>
      </c>
      <c r="V121">
        <v>-1.4995178875082673</v>
      </c>
      <c r="W121">
        <v>2009.74999999999</v>
      </c>
    </row>
    <row r="122" spans="1:23" x14ac:dyDescent="0.3">
      <c r="A122" t="s">
        <v>4</v>
      </c>
      <c r="B122">
        <v>1990</v>
      </c>
      <c r="C122">
        <v>543</v>
      </c>
      <c r="D122" s="12">
        <v>1990.33333332959</v>
      </c>
      <c r="F122" t="s">
        <v>4</v>
      </c>
      <c r="G122">
        <v>1990</v>
      </c>
      <c r="H122">
        <v>656</v>
      </c>
      <c r="M122" s="13">
        <f t="shared" si="4"/>
        <v>-0.74688052987512865</v>
      </c>
      <c r="S122" s="12">
        <f>STANDARDIZE(C122,P$30,Q$30)</f>
        <v>-0.37439281125541746</v>
      </c>
      <c r="T122" s="12">
        <v>1990.33333332959</v>
      </c>
      <c r="V122">
        <v>-0.67489219412317936</v>
      </c>
      <c r="W122">
        <v>2009.6666666666599</v>
      </c>
    </row>
    <row r="123" spans="1:23" x14ac:dyDescent="0.3">
      <c r="A123" t="s">
        <v>5</v>
      </c>
      <c r="B123">
        <v>1990</v>
      </c>
      <c r="C123">
        <v>559</v>
      </c>
      <c r="D123" s="12">
        <v>1990.4166666629501</v>
      </c>
      <c r="F123" t="s">
        <v>5</v>
      </c>
      <c r="G123">
        <v>1990</v>
      </c>
      <c r="H123">
        <v>660</v>
      </c>
      <c r="M123" s="13">
        <f t="shared" si="4"/>
        <v>-0.55154254513855605</v>
      </c>
      <c r="S123" s="12">
        <f>STANDARDIZE(C123,P$31,Q$31)</f>
        <v>-0.693447500270019</v>
      </c>
      <c r="T123" s="12">
        <v>1990.4166666629501</v>
      </c>
      <c r="V123">
        <v>-0.55357781092943825</v>
      </c>
      <c r="W123">
        <v>2009.5833333333201</v>
      </c>
    </row>
    <row r="124" spans="1:23" x14ac:dyDescent="0.3">
      <c r="A124" t="s">
        <v>6</v>
      </c>
      <c r="B124">
        <v>1990</v>
      </c>
      <c r="C124">
        <v>554</v>
      </c>
      <c r="D124" s="12">
        <v>1990.49999999631</v>
      </c>
      <c r="F124" t="s">
        <v>6</v>
      </c>
      <c r="G124">
        <v>1990</v>
      </c>
      <c r="H124">
        <v>659</v>
      </c>
      <c r="M124" s="13">
        <f t="shared" si="4"/>
        <v>-0.6003770413226992</v>
      </c>
      <c r="S124" s="12">
        <f>STANDARDIZE(C124,P$32,Q$32)</f>
        <v>-0.60592341042123554</v>
      </c>
      <c r="T124" s="12">
        <v>1990.49999999631</v>
      </c>
      <c r="V124">
        <v>-9.3514606682347137E-2</v>
      </c>
      <c r="W124">
        <v>2009.49999999999</v>
      </c>
    </row>
    <row r="125" spans="1:23" x14ac:dyDescent="0.3">
      <c r="A125" t="s">
        <v>7</v>
      </c>
      <c r="B125">
        <v>1990</v>
      </c>
      <c r="C125">
        <v>537</v>
      </c>
      <c r="D125" s="12">
        <v>1990.58333332967</v>
      </c>
      <c r="F125" t="s">
        <v>7</v>
      </c>
      <c r="G125">
        <v>1990</v>
      </c>
      <c r="H125">
        <v>659</v>
      </c>
      <c r="M125" s="13">
        <f t="shared" si="4"/>
        <v>-0.6003770413226992</v>
      </c>
      <c r="S125" s="12">
        <f>STANDARDIZE(C125,P$33,Q$33)</f>
        <v>-0.72104672852153728</v>
      </c>
      <c r="T125" s="12">
        <v>1990.58333332967</v>
      </c>
      <c r="V125">
        <v>-1.1088336412681732E-2</v>
      </c>
      <c r="W125">
        <v>2009.4166666666599</v>
      </c>
    </row>
    <row r="126" spans="1:23" x14ac:dyDescent="0.3">
      <c r="A126" t="s">
        <v>8</v>
      </c>
      <c r="B126">
        <v>1990</v>
      </c>
      <c r="C126">
        <v>542</v>
      </c>
      <c r="D126" s="12">
        <v>1990.6666666630299</v>
      </c>
      <c r="F126" t="s">
        <v>8</v>
      </c>
      <c r="G126">
        <v>1990</v>
      </c>
      <c r="H126">
        <v>661</v>
      </c>
      <c r="M126" s="13">
        <f t="shared" si="4"/>
        <v>-0.5027080489544129</v>
      </c>
      <c r="S126" s="12">
        <f>STANDARDIZE(C126,P$34,Q$34)</f>
        <v>-0.75436432001808917</v>
      </c>
      <c r="T126" s="12">
        <v>1990.6666666630299</v>
      </c>
      <c r="V126">
        <v>0.49044663385263815</v>
      </c>
      <c r="W126">
        <v>2009.3333333333201</v>
      </c>
    </row>
    <row r="127" spans="1:23" x14ac:dyDescent="0.3">
      <c r="A127" t="s">
        <v>9</v>
      </c>
      <c r="B127">
        <v>1990</v>
      </c>
      <c r="C127">
        <v>574</v>
      </c>
      <c r="D127" s="12">
        <v>1990.74999999639</v>
      </c>
      <c r="F127" t="s">
        <v>9</v>
      </c>
      <c r="G127">
        <v>1990</v>
      </c>
      <c r="H127">
        <v>657</v>
      </c>
      <c r="M127" s="13">
        <f t="shared" si="4"/>
        <v>-0.6980460336909855</v>
      </c>
      <c r="S127" s="12">
        <f>STANDARDIZE(C127,P$35,Q$35)</f>
        <v>-0.49672780177574882</v>
      </c>
      <c r="T127" s="12">
        <v>1990.74999999639</v>
      </c>
      <c r="V127">
        <v>0.42463766510930256</v>
      </c>
      <c r="W127">
        <v>2009.24999999999</v>
      </c>
    </row>
    <row r="128" spans="1:23" x14ac:dyDescent="0.3">
      <c r="A128" t="s">
        <v>10</v>
      </c>
      <c r="B128">
        <v>1990</v>
      </c>
      <c r="C128">
        <v>610</v>
      </c>
      <c r="D128" s="12">
        <v>1990.8333333297501</v>
      </c>
      <c r="F128" t="s">
        <v>10</v>
      </c>
      <c r="G128">
        <v>1990</v>
      </c>
      <c r="H128">
        <v>677</v>
      </c>
      <c r="M128" s="13">
        <f t="shared" si="4"/>
        <v>0.27864388999187761</v>
      </c>
      <c r="S128" s="12">
        <f>STANDARDIZE(C128,P$36,Q$36)</f>
        <v>-0.12011992150271686</v>
      </c>
      <c r="T128" s="12">
        <v>1990.8333333297501</v>
      </c>
      <c r="V128">
        <v>0.99731247714811677</v>
      </c>
      <c r="W128">
        <v>2009.1666666666599</v>
      </c>
    </row>
    <row r="129" spans="1:23" x14ac:dyDescent="0.3">
      <c r="A129" t="s">
        <v>11</v>
      </c>
      <c r="B129">
        <v>1990</v>
      </c>
      <c r="C129">
        <v>618</v>
      </c>
      <c r="D129" s="12">
        <v>1990.9166666631099</v>
      </c>
      <c r="F129" t="s">
        <v>11</v>
      </c>
      <c r="G129">
        <v>1990</v>
      </c>
      <c r="H129">
        <v>680</v>
      </c>
      <c r="M129" s="13">
        <f t="shared" si="4"/>
        <v>0.42514737854430706</v>
      </c>
      <c r="S129" s="12">
        <f>STANDARDIZE(C129,P$37,Q$37)</f>
        <v>5.0561611946034132E-2</v>
      </c>
      <c r="T129" s="12">
        <v>1990.9166666631099</v>
      </c>
      <c r="V129">
        <v>0.6670957435382826</v>
      </c>
      <c r="W129">
        <v>2009.0833333333201</v>
      </c>
    </row>
    <row r="130" spans="1:23" x14ac:dyDescent="0.3">
      <c r="A130" t="s">
        <v>0</v>
      </c>
      <c r="B130">
        <v>1991</v>
      </c>
      <c r="C130">
        <v>566</v>
      </c>
      <c r="D130" s="12">
        <v>1990.99999999647</v>
      </c>
      <c r="F130" t="s">
        <v>0</v>
      </c>
      <c r="G130">
        <v>1991</v>
      </c>
      <c r="H130">
        <v>665</v>
      </c>
      <c r="M130" s="13">
        <f t="shared" si="4"/>
        <v>-0.30737006421784024</v>
      </c>
      <c r="S130" s="12">
        <f>STANDARDIZE(C130,P$26,Q$26)</f>
        <v>-9.8716995273621697E-2</v>
      </c>
      <c r="T130" s="12">
        <v>1990.99999999647</v>
      </c>
      <c r="V130">
        <v>0.78534854017682043</v>
      </c>
      <c r="W130">
        <v>2009</v>
      </c>
    </row>
    <row r="131" spans="1:23" x14ac:dyDescent="0.3">
      <c r="A131" t="s">
        <v>1</v>
      </c>
      <c r="B131">
        <v>1991</v>
      </c>
      <c r="C131">
        <v>471</v>
      </c>
      <c r="D131" s="12">
        <v>1991.0833333298301</v>
      </c>
      <c r="F131" t="s">
        <v>1</v>
      </c>
      <c r="G131">
        <v>1991</v>
      </c>
      <c r="H131">
        <v>637</v>
      </c>
      <c r="M131" s="13">
        <f t="shared" si="4"/>
        <v>-1.6747359573738485</v>
      </c>
      <c r="S131" s="12">
        <f>STANDARDIZE(C131,P$27,Q$27)</f>
        <v>-0.40547766759196835</v>
      </c>
      <c r="T131" s="12">
        <v>1991.0833333298301</v>
      </c>
      <c r="V131">
        <v>0.48616934563494357</v>
      </c>
      <c r="W131">
        <v>2008.9166666666599</v>
      </c>
    </row>
    <row r="132" spans="1:23" x14ac:dyDescent="0.3">
      <c r="A132" t="s">
        <v>2</v>
      </c>
      <c r="B132">
        <v>1991</v>
      </c>
      <c r="C132">
        <v>471</v>
      </c>
      <c r="D132" s="12">
        <v>1991.16666666319</v>
      </c>
      <c r="F132" t="s">
        <v>2</v>
      </c>
      <c r="G132">
        <v>1991</v>
      </c>
      <c r="H132">
        <v>637</v>
      </c>
      <c r="M132" s="13">
        <f t="shared" si="4"/>
        <v>-1.6747359573738485</v>
      </c>
      <c r="S132" s="12">
        <f>STANDARDIZE(C132,P$28,Q$28)</f>
        <v>-0.4162208653849595</v>
      </c>
      <c r="T132" s="12">
        <v>1991.16666666319</v>
      </c>
      <c r="V132">
        <v>0.66333740090990778</v>
      </c>
      <c r="W132">
        <v>2008.8333333333201</v>
      </c>
    </row>
    <row r="133" spans="1:23" x14ac:dyDescent="0.3">
      <c r="A133" t="s">
        <v>3</v>
      </c>
      <c r="B133">
        <v>1991</v>
      </c>
      <c r="C133">
        <v>484</v>
      </c>
      <c r="D133" s="12">
        <v>1991.2499999965501</v>
      </c>
      <c r="F133" t="s">
        <v>3</v>
      </c>
      <c r="G133">
        <v>1991</v>
      </c>
      <c r="H133">
        <v>639</v>
      </c>
      <c r="M133" s="13">
        <f t="shared" si="4"/>
        <v>-1.5770669650055622</v>
      </c>
      <c r="S133" s="12">
        <f>STANDARDIZE(C133,P$29,Q$29)</f>
        <v>-0.2733664431099469</v>
      </c>
      <c r="T133" s="12">
        <v>1991.2499999965501</v>
      </c>
      <c r="V133">
        <v>0.80476571374943473</v>
      </c>
      <c r="W133">
        <v>2008.74999999999</v>
      </c>
    </row>
    <row r="134" spans="1:23" x14ac:dyDescent="0.3">
      <c r="A134" t="s">
        <v>4</v>
      </c>
      <c r="B134">
        <v>1991</v>
      </c>
      <c r="C134">
        <v>533</v>
      </c>
      <c r="D134" s="12">
        <v>1991.3333333299099</v>
      </c>
      <c r="F134" t="s">
        <v>4</v>
      </c>
      <c r="G134">
        <v>1991</v>
      </c>
      <c r="H134">
        <v>651</v>
      </c>
      <c r="M134" s="13">
        <f t="shared" si="4"/>
        <v>-0.9910530107958444</v>
      </c>
      <c r="S134" s="12">
        <f>STANDARDIZE(C134,P$30,Q$30)</f>
        <v>-0.62875735393425736</v>
      </c>
      <c r="T134" s="12">
        <v>1991.3333333299099</v>
      </c>
      <c r="V134">
        <v>1.0734945755648364</v>
      </c>
      <c r="W134">
        <v>2008.6666666666599</v>
      </c>
    </row>
    <row r="135" spans="1:23" x14ac:dyDescent="0.3">
      <c r="A135" t="s">
        <v>5</v>
      </c>
      <c r="B135">
        <v>1991</v>
      </c>
      <c r="C135">
        <v>559</v>
      </c>
      <c r="D135" s="12">
        <v>1991.41666666327</v>
      </c>
      <c r="F135" t="s">
        <v>5</v>
      </c>
      <c r="G135">
        <v>1991</v>
      </c>
      <c r="H135">
        <v>656</v>
      </c>
      <c r="M135" s="13">
        <f t="shared" si="4"/>
        <v>-0.74688052987512865</v>
      </c>
      <c r="S135" s="12">
        <f>STANDARDIZE(C135,P$31,Q$31)</f>
        <v>-0.693447500270019</v>
      </c>
      <c r="T135" s="12">
        <v>1991.41666666327</v>
      </c>
      <c r="V135">
        <v>1.0466807349506186</v>
      </c>
      <c r="W135">
        <v>2008.5833333333201</v>
      </c>
    </row>
    <row r="136" spans="1:23" x14ac:dyDescent="0.3">
      <c r="A136" t="s">
        <v>6</v>
      </c>
      <c r="B136">
        <v>1991</v>
      </c>
      <c r="C136">
        <v>558</v>
      </c>
      <c r="D136" s="12">
        <v>1991.4999999966301</v>
      </c>
      <c r="F136" t="s">
        <v>6</v>
      </c>
      <c r="G136">
        <v>1991</v>
      </c>
      <c r="H136">
        <v>653</v>
      </c>
      <c r="M136" s="13">
        <f t="shared" si="4"/>
        <v>-0.8933840184275581</v>
      </c>
      <c r="S136" s="12">
        <f>STANDARDIZE(C136,P$32,Q$32)</f>
        <v>-0.52393800182301342</v>
      </c>
      <c r="T136" s="12">
        <v>1991.4999999966301</v>
      </c>
      <c r="V136">
        <v>0.95179935294498519</v>
      </c>
      <c r="W136">
        <v>2008.49999999999</v>
      </c>
    </row>
    <row r="137" spans="1:23" x14ac:dyDescent="0.3">
      <c r="A137" t="s">
        <v>7</v>
      </c>
      <c r="B137">
        <v>1991</v>
      </c>
      <c r="C137">
        <v>546</v>
      </c>
      <c r="D137" s="12">
        <v>1991.58333332999</v>
      </c>
      <c r="F137" t="s">
        <v>7</v>
      </c>
      <c r="G137">
        <v>1991</v>
      </c>
      <c r="H137">
        <v>657</v>
      </c>
      <c r="M137" s="13">
        <f t="shared" si="4"/>
        <v>-0.6980460336909855</v>
      </c>
      <c r="S137" s="12">
        <f>STANDARDIZE(C137,P$33,Q$33)</f>
        <v>-0.55357781092943825</v>
      </c>
      <c r="T137" s="12">
        <v>1991.58333332999</v>
      </c>
      <c r="V137">
        <v>0.83503702677041658</v>
      </c>
      <c r="W137">
        <v>2008.4166666666499</v>
      </c>
    </row>
    <row r="138" spans="1:23" x14ac:dyDescent="0.3">
      <c r="A138" t="s">
        <v>8</v>
      </c>
      <c r="B138">
        <v>1991</v>
      </c>
      <c r="C138">
        <v>518</v>
      </c>
      <c r="D138" s="12">
        <v>1991.66666666335</v>
      </c>
      <c r="F138" t="s">
        <v>8</v>
      </c>
      <c r="G138">
        <v>1991</v>
      </c>
      <c r="H138">
        <v>658</v>
      </c>
      <c r="M138" s="13">
        <f t="shared" si="4"/>
        <v>-0.64921153750684235</v>
      </c>
      <c r="S138" s="12">
        <f>STANDARDIZE(C138,P$34,Q$34)</f>
        <v>-1.2311970753875479</v>
      </c>
      <c r="T138" s="12">
        <v>1991.66666666335</v>
      </c>
      <c r="V138">
        <v>0.66850181372782613</v>
      </c>
      <c r="W138">
        <v>2008.3333333333201</v>
      </c>
    </row>
    <row r="139" spans="1:23" x14ac:dyDescent="0.3">
      <c r="A139" t="s">
        <v>9</v>
      </c>
      <c r="B139">
        <v>1991</v>
      </c>
      <c r="C139">
        <v>573</v>
      </c>
      <c r="D139" s="12">
        <v>1991.7499999967099</v>
      </c>
      <c r="F139" t="s">
        <v>9</v>
      </c>
      <c r="G139">
        <v>1991</v>
      </c>
      <c r="H139">
        <v>668</v>
      </c>
      <c r="M139" s="13">
        <f t="shared" ref="M139:M202" si="5">STANDARDIZE(H139,H$7,H$8)</f>
        <v>-0.16086657566541079</v>
      </c>
      <c r="S139" s="12">
        <f>STANDARDIZE(C139,P$35,Q$35)</f>
        <v>-0.51806376104665353</v>
      </c>
      <c r="T139" s="12">
        <v>1991.7499999967099</v>
      </c>
      <c r="V139">
        <v>0.35582035866515122</v>
      </c>
      <c r="W139">
        <v>2008.24999999999</v>
      </c>
    </row>
    <row r="140" spans="1:23" x14ac:dyDescent="0.3">
      <c r="A140" t="s">
        <v>10</v>
      </c>
      <c r="B140">
        <v>1991</v>
      </c>
      <c r="C140">
        <v>586</v>
      </c>
      <c r="D140" s="12">
        <v>1991.83333333007</v>
      </c>
      <c r="F140" t="s">
        <v>10</v>
      </c>
      <c r="G140">
        <v>1991</v>
      </c>
      <c r="H140">
        <v>670</v>
      </c>
      <c r="M140" s="13">
        <f t="shared" si="5"/>
        <v>-6.3197583297124479E-2</v>
      </c>
      <c r="S140" s="12">
        <f>STANDARDIZE(C140,P$36,Q$36)</f>
        <v>-0.70771291331218533</v>
      </c>
      <c r="T140" s="12">
        <v>1991.83333333007</v>
      </c>
      <c r="V140">
        <v>1.1565838396870549</v>
      </c>
      <c r="W140">
        <v>2008.1666666666499</v>
      </c>
    </row>
    <row r="141" spans="1:23" x14ac:dyDescent="0.3">
      <c r="A141" t="s">
        <v>11</v>
      </c>
      <c r="B141">
        <v>1991</v>
      </c>
      <c r="C141">
        <v>586</v>
      </c>
      <c r="D141" s="12">
        <v>1991.9166666634301</v>
      </c>
      <c r="F141" t="s">
        <v>11</v>
      </c>
      <c r="G141">
        <v>1991</v>
      </c>
      <c r="H141">
        <v>664</v>
      </c>
      <c r="M141" s="13">
        <f t="shared" si="5"/>
        <v>-0.35620456040198339</v>
      </c>
      <c r="S141" s="12">
        <f>STANDARDIZE(C141,P$37,Q$37)</f>
        <v>-0.61322160129420877</v>
      </c>
      <c r="T141" s="12">
        <v>1991.9166666634301</v>
      </c>
      <c r="V141">
        <v>0.52596766312640753</v>
      </c>
      <c r="W141">
        <v>2008.0833333333201</v>
      </c>
    </row>
    <row r="142" spans="1:23" x14ac:dyDescent="0.3">
      <c r="A142" t="s">
        <v>0</v>
      </c>
      <c r="B142">
        <v>1992</v>
      </c>
      <c r="C142">
        <v>525</v>
      </c>
      <c r="D142" s="12">
        <v>1991.9999999967899</v>
      </c>
      <c r="F142" t="s">
        <v>0</v>
      </c>
      <c r="G142">
        <v>1992</v>
      </c>
      <c r="H142">
        <v>652</v>
      </c>
      <c r="M142" s="13">
        <f t="shared" si="5"/>
        <v>-0.94221851461170125</v>
      </c>
      <c r="S142" s="12">
        <f>STANDARDIZE(C142,P$26,Q$26)</f>
        <v>-0.79576866745570107</v>
      </c>
      <c r="T142" s="12">
        <v>1991.9999999967899</v>
      </c>
      <c r="V142">
        <v>0.61533593720558155</v>
      </c>
      <c r="W142">
        <v>2008</v>
      </c>
    </row>
    <row r="143" spans="1:23" x14ac:dyDescent="0.3">
      <c r="A143" t="s">
        <v>1</v>
      </c>
      <c r="B143">
        <v>1992</v>
      </c>
      <c r="C143">
        <v>463</v>
      </c>
      <c r="D143" s="12">
        <v>1992.08333333015</v>
      </c>
      <c r="F143" t="s">
        <v>1</v>
      </c>
      <c r="G143">
        <v>1992</v>
      </c>
      <c r="H143">
        <v>641</v>
      </c>
      <c r="M143" s="13">
        <f t="shared" si="5"/>
        <v>-1.4793979726372759</v>
      </c>
      <c r="S143" s="12">
        <f>STANDARDIZE(C143,P$27,Q$27)</f>
        <v>-0.48074597714496842</v>
      </c>
      <c r="T143" s="12">
        <v>1992.08333333015</v>
      </c>
      <c r="V143">
        <v>0.32022354232488282</v>
      </c>
      <c r="W143">
        <v>2007.9166666666499</v>
      </c>
    </row>
    <row r="144" spans="1:23" x14ac:dyDescent="0.3">
      <c r="A144" t="s">
        <v>2</v>
      </c>
      <c r="B144">
        <v>1992</v>
      </c>
      <c r="C144">
        <v>455</v>
      </c>
      <c r="D144" s="12">
        <v>1992.1666666635101</v>
      </c>
      <c r="F144" t="s">
        <v>2</v>
      </c>
      <c r="G144">
        <v>1992</v>
      </c>
      <c r="H144">
        <v>639</v>
      </c>
      <c r="M144" s="13">
        <f t="shared" si="5"/>
        <v>-1.5770669650055622</v>
      </c>
      <c r="S144" s="12">
        <f>STANDARDIZE(C144,P$28,Q$28)</f>
        <v>-0.7347635904628359</v>
      </c>
      <c r="T144" s="12">
        <v>1992.1666666635101</v>
      </c>
      <c r="V144">
        <v>0.36954090500517356</v>
      </c>
      <c r="W144">
        <v>2007.8333333333201</v>
      </c>
    </row>
    <row r="145" spans="1:23" x14ac:dyDescent="0.3">
      <c r="A145" t="s">
        <v>3</v>
      </c>
      <c r="B145">
        <v>1992</v>
      </c>
      <c r="C145">
        <v>456</v>
      </c>
      <c r="D145" s="12">
        <v>1992.24999999687</v>
      </c>
      <c r="F145" t="s">
        <v>3</v>
      </c>
      <c r="G145">
        <v>1992</v>
      </c>
      <c r="H145">
        <v>642</v>
      </c>
      <c r="M145" s="13">
        <f t="shared" si="5"/>
        <v>-1.4305634764531328</v>
      </c>
      <c r="S145" s="12">
        <f>STANDARDIZE(C145,P$29,Q$29)</f>
        <v>-0.54863566888655235</v>
      </c>
      <c r="T145" s="12">
        <v>1992.24999999687</v>
      </c>
      <c r="V145">
        <v>0.52739824322767426</v>
      </c>
      <c r="W145">
        <v>2007.74999999999</v>
      </c>
    </row>
    <row r="146" spans="1:23" x14ac:dyDescent="0.3">
      <c r="A146" t="s">
        <v>4</v>
      </c>
      <c r="B146">
        <v>1992</v>
      </c>
      <c r="C146">
        <v>503</v>
      </c>
      <c r="D146" s="12">
        <v>1992.3333333302301</v>
      </c>
      <c r="F146" t="s">
        <v>4</v>
      </c>
      <c r="G146">
        <v>1992</v>
      </c>
      <c r="H146">
        <v>651</v>
      </c>
      <c r="M146" s="13">
        <f t="shared" si="5"/>
        <v>-0.9910530107958444</v>
      </c>
      <c r="S146" s="12">
        <f>STANDARDIZE(C146,P$30,Q$30)</f>
        <v>-1.3918509819707769</v>
      </c>
      <c r="T146" s="12">
        <v>1992.3333333302301</v>
      </c>
      <c r="V146">
        <v>0.77547410345892454</v>
      </c>
      <c r="W146">
        <v>2007.6666666666499</v>
      </c>
    </row>
    <row r="147" spans="1:23" x14ac:dyDescent="0.3">
      <c r="A147" t="s">
        <v>5</v>
      </c>
      <c r="B147">
        <v>1992</v>
      </c>
      <c r="C147">
        <v>540</v>
      </c>
      <c r="D147" s="12">
        <v>1992.4166666635899</v>
      </c>
      <c r="F147" t="s">
        <v>5</v>
      </c>
      <c r="G147">
        <v>1992</v>
      </c>
      <c r="H147">
        <v>656</v>
      </c>
      <c r="M147" s="13">
        <f t="shared" si="5"/>
        <v>-0.74688052987512865</v>
      </c>
      <c r="S147" s="12">
        <f>STANDARDIZE(C147,P$31,Q$31)</f>
        <v>-1.2120404648015954</v>
      </c>
      <c r="T147" s="12">
        <v>1992.4166666635899</v>
      </c>
      <c r="V147">
        <v>0.6745275847459542</v>
      </c>
      <c r="W147">
        <v>2007.5833333333201</v>
      </c>
    </row>
    <row r="148" spans="1:23" x14ac:dyDescent="0.3">
      <c r="A148" t="s">
        <v>6</v>
      </c>
      <c r="B148">
        <v>1992</v>
      </c>
      <c r="C148">
        <v>519</v>
      </c>
      <c r="D148" s="12">
        <v>1992.49999999695</v>
      </c>
      <c r="F148" t="s">
        <v>6</v>
      </c>
      <c r="G148">
        <v>1992</v>
      </c>
      <c r="H148">
        <v>648</v>
      </c>
      <c r="M148" s="13">
        <f t="shared" si="5"/>
        <v>-1.1375564993482739</v>
      </c>
      <c r="S148" s="12">
        <f>STANDARDIZE(C148,P$32,Q$32)</f>
        <v>-1.3232957356556794</v>
      </c>
      <c r="T148" s="12">
        <v>1992.49999999695</v>
      </c>
      <c r="V148">
        <v>0.76733218359898536</v>
      </c>
      <c r="W148">
        <v>2007.49999999999</v>
      </c>
    </row>
    <row r="149" spans="1:23" x14ac:dyDescent="0.3">
      <c r="A149" t="s">
        <v>7</v>
      </c>
      <c r="B149">
        <v>1992</v>
      </c>
      <c r="C149">
        <v>546</v>
      </c>
      <c r="D149" s="12">
        <v>1992.5833333303101</v>
      </c>
      <c r="F149" t="s">
        <v>7</v>
      </c>
      <c r="G149">
        <v>1992</v>
      </c>
      <c r="H149">
        <v>659</v>
      </c>
      <c r="M149" s="13">
        <f t="shared" si="5"/>
        <v>-0.6003770413226992</v>
      </c>
      <c r="S149" s="12">
        <f>STANDARDIZE(C149,P$33,Q$33)</f>
        <v>-0.55357781092943825</v>
      </c>
      <c r="T149" s="12">
        <v>1992.5833333303101</v>
      </c>
      <c r="V149">
        <v>0.83503702677041658</v>
      </c>
      <c r="W149">
        <v>2007.4166666666499</v>
      </c>
    </row>
    <row r="150" spans="1:23" x14ac:dyDescent="0.3">
      <c r="A150" t="s">
        <v>8</v>
      </c>
      <c r="B150">
        <v>1992</v>
      </c>
      <c r="C150">
        <v>562</v>
      </c>
      <c r="D150" s="12">
        <v>1992.66666666367</v>
      </c>
      <c r="F150" t="s">
        <v>8</v>
      </c>
      <c r="G150">
        <v>1992</v>
      </c>
      <c r="H150">
        <v>667</v>
      </c>
      <c r="M150" s="13">
        <f t="shared" si="5"/>
        <v>-0.20970107184955394</v>
      </c>
      <c r="S150" s="12">
        <f>STANDARDIZE(C150,P$34,Q$34)</f>
        <v>-0.35700369054354014</v>
      </c>
      <c r="T150" s="12">
        <v>1992.66666666367</v>
      </c>
      <c r="V150">
        <v>0.66850181372782613</v>
      </c>
      <c r="W150">
        <v>2007.3333333333201</v>
      </c>
    </row>
    <row r="151" spans="1:23" x14ac:dyDescent="0.3">
      <c r="A151" t="s">
        <v>9</v>
      </c>
      <c r="B151">
        <v>1992</v>
      </c>
      <c r="C151">
        <v>597</v>
      </c>
      <c r="D151" s="12">
        <v>1992.74999999703</v>
      </c>
      <c r="F151" t="s">
        <v>9</v>
      </c>
      <c r="G151">
        <v>1992</v>
      </c>
      <c r="H151">
        <v>673</v>
      </c>
      <c r="M151" s="13">
        <f t="shared" si="5"/>
        <v>8.3305905255304985E-2</v>
      </c>
      <c r="S151" s="12">
        <f>STANDARDIZE(C151,P$35,Q$35)</f>
        <v>-6.0007385449419321E-3</v>
      </c>
      <c r="T151" s="12">
        <v>1992.74999999703</v>
      </c>
      <c r="V151">
        <v>0.23784783333232032</v>
      </c>
      <c r="W151">
        <v>2007.24999999999</v>
      </c>
    </row>
    <row r="152" spans="1:23" x14ac:dyDescent="0.3">
      <c r="A152" t="s">
        <v>10</v>
      </c>
      <c r="B152">
        <v>1992</v>
      </c>
      <c r="C152">
        <v>583</v>
      </c>
      <c r="D152" s="12">
        <v>1992.8333333303899</v>
      </c>
      <c r="F152" t="s">
        <v>10</v>
      </c>
      <c r="G152">
        <v>1992</v>
      </c>
      <c r="H152">
        <v>667</v>
      </c>
      <c r="M152" s="13">
        <f t="shared" si="5"/>
        <v>-0.20970107184955394</v>
      </c>
      <c r="S152" s="12">
        <f>STANDARDIZE(C152,P$36,Q$36)</f>
        <v>-0.78116203728836897</v>
      </c>
      <c r="T152" s="12">
        <v>1992.8333333303899</v>
      </c>
      <c r="V152">
        <v>-0.69494574982810131</v>
      </c>
      <c r="W152">
        <v>2007.1666666666499</v>
      </c>
    </row>
    <row r="153" spans="1:23" x14ac:dyDescent="0.3">
      <c r="A153" t="s">
        <v>11</v>
      </c>
      <c r="B153">
        <v>1992</v>
      </c>
      <c r="C153">
        <v>582</v>
      </c>
      <c r="D153" s="12">
        <v>1992.91666666375</v>
      </c>
      <c r="F153" t="s">
        <v>11</v>
      </c>
      <c r="G153">
        <v>1992</v>
      </c>
      <c r="H153">
        <v>667</v>
      </c>
      <c r="M153" s="13">
        <f t="shared" si="5"/>
        <v>-0.20970107184955394</v>
      </c>
      <c r="S153" s="12">
        <f>STANDARDIZE(C153,P$37,Q$37)</f>
        <v>-0.69619450294923924</v>
      </c>
      <c r="T153" s="12">
        <v>1992.91666666375</v>
      </c>
      <c r="W153">
        <v>2007.0833333333201</v>
      </c>
    </row>
    <row r="154" spans="1:23" x14ac:dyDescent="0.3">
      <c r="A154" t="s">
        <v>0</v>
      </c>
      <c r="B154">
        <v>1993</v>
      </c>
      <c r="C154">
        <v>534</v>
      </c>
      <c r="D154" s="12">
        <v>1992.9999999971101</v>
      </c>
      <c r="F154" t="s">
        <v>0</v>
      </c>
      <c r="G154">
        <v>1993</v>
      </c>
      <c r="H154">
        <v>659</v>
      </c>
      <c r="M154" s="13">
        <f t="shared" si="5"/>
        <v>-0.6003770413226992</v>
      </c>
      <c r="S154" s="12">
        <f>STANDARDIZE(C154,P$26,Q$26)</f>
        <v>-0.64275732478158609</v>
      </c>
      <c r="T154" s="12">
        <v>1992.9999999971101</v>
      </c>
      <c r="V154">
        <v>0.54733089601708595</v>
      </c>
      <c r="W154">
        <v>2007</v>
      </c>
    </row>
    <row r="155" spans="1:23" x14ac:dyDescent="0.3">
      <c r="A155" t="s">
        <v>1</v>
      </c>
      <c r="B155">
        <v>1993</v>
      </c>
      <c r="C155">
        <v>484</v>
      </c>
      <c r="D155" s="12">
        <v>1993.0833333304699</v>
      </c>
      <c r="F155" t="s">
        <v>1</v>
      </c>
      <c r="G155">
        <v>1993</v>
      </c>
      <c r="H155">
        <v>645</v>
      </c>
      <c r="M155" s="13">
        <f t="shared" si="5"/>
        <v>-1.2840599879007033</v>
      </c>
      <c r="S155" s="12">
        <f>STANDARDIZE(C155,P$27,Q$27)</f>
        <v>-0.28316666456834327</v>
      </c>
      <c r="T155" s="12">
        <v>1993.0833333304699</v>
      </c>
      <c r="V155">
        <v>2.9818386532276538E-2</v>
      </c>
      <c r="W155">
        <v>2006.9166666666499</v>
      </c>
    </row>
    <row r="156" spans="1:23" x14ac:dyDescent="0.3">
      <c r="A156" t="s">
        <v>2</v>
      </c>
      <c r="B156">
        <v>1993</v>
      </c>
      <c r="C156">
        <v>466</v>
      </c>
      <c r="D156" s="12">
        <v>1993.16666666383</v>
      </c>
      <c r="F156" t="s">
        <v>2</v>
      </c>
      <c r="G156">
        <v>1993</v>
      </c>
      <c r="H156">
        <v>642</v>
      </c>
      <c r="M156" s="13">
        <f t="shared" si="5"/>
        <v>-1.4305634764531328</v>
      </c>
      <c r="S156" s="12">
        <f>STANDARDIZE(C156,P$28,Q$28)</f>
        <v>-0.51576546697179593</v>
      </c>
      <c r="T156" s="12">
        <v>1993.16666666383</v>
      </c>
      <c r="V156">
        <v>-0.36495033475666205</v>
      </c>
      <c r="W156">
        <v>2006.8333333333201</v>
      </c>
    </row>
    <row r="157" spans="1:23" x14ac:dyDescent="0.3">
      <c r="A157" t="s">
        <v>3</v>
      </c>
      <c r="B157">
        <v>1993</v>
      </c>
      <c r="C157">
        <v>518</v>
      </c>
      <c r="D157" s="12">
        <v>1993.2499999971899</v>
      </c>
      <c r="F157" t="s">
        <v>3</v>
      </c>
      <c r="G157">
        <v>1993</v>
      </c>
      <c r="H157">
        <v>653</v>
      </c>
      <c r="M157" s="13">
        <f t="shared" si="5"/>
        <v>-0.8933840184275581</v>
      </c>
      <c r="S157" s="12">
        <f>STANDARDIZE(C157,P$29,Q$29)</f>
        <v>6.088904533307396E-2</v>
      </c>
      <c r="T157" s="12">
        <v>1993.2499999971899</v>
      </c>
      <c r="V157">
        <v>-0.304704168337607</v>
      </c>
      <c r="W157">
        <v>2006.74999999998</v>
      </c>
    </row>
    <row r="158" spans="1:23" x14ac:dyDescent="0.3">
      <c r="A158" t="s">
        <v>4</v>
      </c>
      <c r="B158">
        <v>1993</v>
      </c>
      <c r="C158">
        <v>578</v>
      </c>
      <c r="D158" s="12">
        <v>1993.33333333055</v>
      </c>
      <c r="F158" t="s">
        <v>4</v>
      </c>
      <c r="G158">
        <v>1993</v>
      </c>
      <c r="H158">
        <v>667</v>
      </c>
      <c r="M158" s="13">
        <f t="shared" si="5"/>
        <v>-0.20970107184955394</v>
      </c>
      <c r="S158" s="12">
        <f>STANDARDIZE(C158,P$30,Q$30)</f>
        <v>0.51588308812052219</v>
      </c>
      <c r="T158" s="12">
        <v>1993.33333333055</v>
      </c>
      <c r="V158">
        <v>8.0093001878463785E-2</v>
      </c>
      <c r="W158">
        <v>2006.6666666666499</v>
      </c>
    </row>
    <row r="159" spans="1:23" x14ac:dyDescent="0.3">
      <c r="A159" t="s">
        <v>5</v>
      </c>
      <c r="B159">
        <v>1993</v>
      </c>
      <c r="C159">
        <v>602</v>
      </c>
      <c r="D159" s="12">
        <v>1993.4166666639101</v>
      </c>
      <c r="F159" t="s">
        <v>5</v>
      </c>
      <c r="G159">
        <v>1993</v>
      </c>
      <c r="H159">
        <v>672</v>
      </c>
      <c r="M159" s="13">
        <f t="shared" si="5"/>
        <v>3.4471409071161835E-2</v>
      </c>
      <c r="S159" s="12">
        <f>STANDARDIZE(C159,P$31,Q$31)</f>
        <v>0.48021026156460112</v>
      </c>
      <c r="T159" s="12">
        <v>1993.4166666639101</v>
      </c>
      <c r="V159">
        <v>0.20933614699012373</v>
      </c>
      <c r="W159">
        <v>2006.5833333333201</v>
      </c>
    </row>
    <row r="160" spans="1:23" x14ac:dyDescent="0.3">
      <c r="A160" t="s">
        <v>6</v>
      </c>
      <c r="B160">
        <v>1993</v>
      </c>
      <c r="C160">
        <v>598</v>
      </c>
      <c r="D160" s="12">
        <v>1993.4999999972699</v>
      </c>
      <c r="F160" t="s">
        <v>6</v>
      </c>
      <c r="G160">
        <v>1993</v>
      </c>
      <c r="H160">
        <v>674</v>
      </c>
      <c r="M160" s="13">
        <f t="shared" si="5"/>
        <v>0.13214040143944814</v>
      </c>
      <c r="S160" s="12">
        <f>STANDARDIZE(C160,P$32,Q$32)</f>
        <v>0.29591608415920806</v>
      </c>
      <c r="T160" s="12">
        <v>1993.4999999972699</v>
      </c>
      <c r="V160">
        <v>0.64435407070165218</v>
      </c>
      <c r="W160">
        <v>2006.49999999998</v>
      </c>
    </row>
    <row r="161" spans="1:23" x14ac:dyDescent="0.3">
      <c r="A161" t="s">
        <v>7</v>
      </c>
      <c r="B161">
        <v>1993</v>
      </c>
      <c r="C161">
        <v>573</v>
      </c>
      <c r="D161" s="12">
        <v>1993.58333333063</v>
      </c>
      <c r="F161" t="s">
        <v>7</v>
      </c>
      <c r="G161">
        <v>1993</v>
      </c>
      <c r="H161">
        <v>670</v>
      </c>
      <c r="M161" s="13">
        <f t="shared" si="5"/>
        <v>-6.3197583297124479E-2</v>
      </c>
      <c r="S161" s="12">
        <f>STANDARDIZE(C161,P$33,Q$33)</f>
        <v>-5.1171058153141352E-2</v>
      </c>
      <c r="T161" s="12">
        <v>1993.58333333063</v>
      </c>
      <c r="V161">
        <v>0.91692012643329701</v>
      </c>
      <c r="W161">
        <v>2006.4166666666499</v>
      </c>
    </row>
    <row r="162" spans="1:23" x14ac:dyDescent="0.3">
      <c r="A162" t="s">
        <v>8</v>
      </c>
      <c r="B162">
        <v>1993</v>
      </c>
      <c r="C162">
        <v>583</v>
      </c>
      <c r="D162" s="12">
        <v>1993.6666666639901</v>
      </c>
      <c r="F162" t="s">
        <v>8</v>
      </c>
      <c r="G162">
        <v>1993</v>
      </c>
      <c r="H162">
        <v>675</v>
      </c>
      <c r="M162" s="13">
        <f t="shared" si="5"/>
        <v>0.18097489762359129</v>
      </c>
      <c r="S162" s="12">
        <f>STANDARDIZE(C162,P$34,Q$34)</f>
        <v>6.0224970404736337E-2</v>
      </c>
      <c r="T162" s="12">
        <v>1993.6666666639901</v>
      </c>
      <c r="V162">
        <v>0.94830281067454991</v>
      </c>
      <c r="W162">
        <v>2006.3333333333201</v>
      </c>
    </row>
    <row r="163" spans="1:23" x14ac:dyDescent="0.3">
      <c r="A163" t="s">
        <v>9</v>
      </c>
      <c r="B163">
        <v>1993</v>
      </c>
      <c r="C163">
        <v>606</v>
      </c>
      <c r="D163" s="12">
        <v>1993.74999999735</v>
      </c>
      <c r="F163" t="s">
        <v>9</v>
      </c>
      <c r="G163">
        <v>1993</v>
      </c>
      <c r="H163">
        <v>681</v>
      </c>
      <c r="M163" s="13">
        <f t="shared" si="5"/>
        <v>0.47398187472845021</v>
      </c>
      <c r="S163" s="12">
        <f>STANDARDIZE(C163,P$35,Q$35)</f>
        <v>0.1860228948931999</v>
      </c>
      <c r="T163" s="12">
        <v>1993.74999999735</v>
      </c>
      <c r="V163">
        <v>0.3853134899983589</v>
      </c>
      <c r="W163">
        <v>2006.24999999998</v>
      </c>
    </row>
    <row r="164" spans="1:23" x14ac:dyDescent="0.3">
      <c r="A164" t="s">
        <v>10</v>
      </c>
      <c r="B164">
        <v>1993</v>
      </c>
      <c r="C164">
        <v>615</v>
      </c>
      <c r="D164" s="12">
        <v>1993.83333333071</v>
      </c>
      <c r="F164" t="s">
        <v>10</v>
      </c>
      <c r="G164">
        <v>1993</v>
      </c>
      <c r="H164">
        <v>685</v>
      </c>
      <c r="M164" s="13">
        <f t="shared" si="5"/>
        <v>0.66931985946502282</v>
      </c>
      <c r="S164" s="12">
        <f>STANDARDIZE(C164,P$36,Q$36)</f>
        <v>2.2952851242557361E-3</v>
      </c>
      <c r="T164" s="12">
        <v>1993.83333333071</v>
      </c>
      <c r="V164">
        <v>0.26068242540552772</v>
      </c>
      <c r="W164">
        <v>2006.1666666666499</v>
      </c>
    </row>
    <row r="165" spans="1:23" x14ac:dyDescent="0.3">
      <c r="A165" t="s">
        <v>11</v>
      </c>
      <c r="B165">
        <v>1993</v>
      </c>
      <c r="C165">
        <v>624</v>
      </c>
      <c r="D165" s="12">
        <v>1993.9166666640699</v>
      </c>
      <c r="F165" t="s">
        <v>11</v>
      </c>
      <c r="G165">
        <v>1993</v>
      </c>
      <c r="H165">
        <v>679</v>
      </c>
      <c r="M165" s="13">
        <f t="shared" si="5"/>
        <v>0.37631288236016391</v>
      </c>
      <c r="S165" s="12">
        <f>STANDARDIZE(C165,P$37,Q$37)</f>
        <v>0.17502096442857967</v>
      </c>
      <c r="T165" s="12">
        <v>1993.9166666640699</v>
      </c>
      <c r="V165">
        <v>0.35661396663215733</v>
      </c>
      <c r="W165">
        <v>2006.0833333333201</v>
      </c>
    </row>
    <row r="166" spans="1:23" x14ac:dyDescent="0.3">
      <c r="A166" t="s">
        <v>0</v>
      </c>
      <c r="B166">
        <v>1994</v>
      </c>
      <c r="C166">
        <v>613</v>
      </c>
      <c r="D166" s="12">
        <v>1993.99999999743</v>
      </c>
      <c r="F166" t="s">
        <v>0</v>
      </c>
      <c r="G166">
        <v>1994</v>
      </c>
      <c r="H166">
        <v>682</v>
      </c>
      <c r="M166" s="13">
        <f t="shared" si="5"/>
        <v>0.52281637091259336</v>
      </c>
      <c r="S166" s="12">
        <f>STANDARDIZE(C166,P$26,Q$26)</f>
        <v>0.70034223869120094</v>
      </c>
      <c r="T166" s="12">
        <v>1993.99999999743</v>
      </c>
      <c r="V166">
        <v>0.37731829304584713</v>
      </c>
      <c r="W166">
        <v>2006</v>
      </c>
    </row>
    <row r="167" spans="1:23" x14ac:dyDescent="0.3">
      <c r="A167" t="s">
        <v>1</v>
      </c>
      <c r="B167">
        <v>1994</v>
      </c>
      <c r="C167">
        <v>543</v>
      </c>
      <c r="D167" s="12">
        <v>1994.0833333307901</v>
      </c>
      <c r="F167" t="s">
        <v>1</v>
      </c>
      <c r="G167">
        <v>1994</v>
      </c>
      <c r="H167">
        <v>664</v>
      </c>
      <c r="M167" s="13">
        <f t="shared" si="5"/>
        <v>-0.35620456040198339</v>
      </c>
      <c r="S167" s="12">
        <f>STANDARDIZE(C167,P$27,Q$27)</f>
        <v>0.27193711838503226</v>
      </c>
      <c r="T167" s="12">
        <v>1994.0833333307901</v>
      </c>
      <c r="V167">
        <v>-0.11538419136402661</v>
      </c>
      <c r="W167">
        <v>2005.9166666666499</v>
      </c>
    </row>
    <row r="168" spans="1:23" x14ac:dyDescent="0.3">
      <c r="A168" t="s">
        <v>2</v>
      </c>
      <c r="B168">
        <v>1994</v>
      </c>
      <c r="C168">
        <v>523</v>
      </c>
      <c r="D168" s="12">
        <v>1994.1666666641499</v>
      </c>
      <c r="F168" t="s">
        <v>2</v>
      </c>
      <c r="G168">
        <v>1994</v>
      </c>
      <c r="H168">
        <v>661</v>
      </c>
      <c r="M168" s="13">
        <f t="shared" si="5"/>
        <v>-0.5027080489544129</v>
      </c>
      <c r="S168" s="12">
        <f>STANDARDIZE(C168,P$28,Q$28)</f>
        <v>0.61904299111813865</v>
      </c>
      <c r="T168" s="12">
        <v>1994.1666666641499</v>
      </c>
      <c r="V168">
        <v>-0.41391641740745111</v>
      </c>
      <c r="W168">
        <v>2005.8333333333201</v>
      </c>
    </row>
    <row r="169" spans="1:23" x14ac:dyDescent="0.3">
      <c r="A169" t="s">
        <v>3</v>
      </c>
      <c r="B169">
        <v>1994</v>
      </c>
      <c r="C169">
        <v>560</v>
      </c>
      <c r="D169" s="12">
        <v>1994.24999999751</v>
      </c>
      <c r="F169" t="s">
        <v>3</v>
      </c>
      <c r="G169">
        <v>1994</v>
      </c>
      <c r="H169">
        <v>669</v>
      </c>
      <c r="M169" s="13">
        <f t="shared" si="5"/>
        <v>-0.11203207948126763</v>
      </c>
      <c r="S169" s="12">
        <f>STANDARDIZE(C169,P$29,Q$29)</f>
        <v>0.47379288399798208</v>
      </c>
      <c r="T169" s="12">
        <v>1994.24999999751</v>
      </c>
      <c r="V169">
        <v>-0.51806376104665353</v>
      </c>
      <c r="W169">
        <v>2005.74999999998</v>
      </c>
    </row>
    <row r="170" spans="1:23" x14ac:dyDescent="0.3">
      <c r="A170" t="s">
        <v>4</v>
      </c>
      <c r="B170">
        <v>1994</v>
      </c>
      <c r="C170">
        <v>593</v>
      </c>
      <c r="D170" s="12">
        <v>1994.3333333308699</v>
      </c>
      <c r="F170" t="s">
        <v>4</v>
      </c>
      <c r="G170">
        <v>1994</v>
      </c>
      <c r="H170">
        <v>679</v>
      </c>
      <c r="M170" s="13">
        <f t="shared" si="5"/>
        <v>0.37631288236016391</v>
      </c>
      <c r="S170" s="12">
        <f>STANDARDIZE(C170,P$30,Q$30)</f>
        <v>0.89742990213878193</v>
      </c>
      <c r="T170" s="12">
        <v>1994.3333333308699</v>
      </c>
      <c r="V170">
        <v>-0.51594794233335972</v>
      </c>
      <c r="W170">
        <v>2005.6666666666499</v>
      </c>
    </row>
    <row r="171" spans="1:23" x14ac:dyDescent="0.3">
      <c r="A171" t="s">
        <v>5</v>
      </c>
      <c r="B171">
        <v>1994</v>
      </c>
      <c r="C171">
        <v>613</v>
      </c>
      <c r="D171" s="12">
        <v>1994.41666666423</v>
      </c>
      <c r="F171" t="s">
        <v>5</v>
      </c>
      <c r="G171">
        <v>1994</v>
      </c>
      <c r="H171">
        <v>684</v>
      </c>
      <c r="M171" s="13">
        <f t="shared" si="5"/>
        <v>0.62048536328087966</v>
      </c>
      <c r="S171" s="12">
        <f>STANDARDIZE(C171,P$31,Q$31)</f>
        <v>0.78044829366182955</v>
      </c>
      <c r="T171" s="12">
        <v>1994.41666666423</v>
      </c>
      <c r="V171">
        <v>-0.34889357831687284</v>
      </c>
      <c r="W171">
        <v>2005.5833333333201</v>
      </c>
    </row>
    <row r="172" spans="1:23" x14ac:dyDescent="0.3">
      <c r="A172" t="s">
        <v>6</v>
      </c>
      <c r="B172">
        <v>1994</v>
      </c>
      <c r="C172">
        <v>614</v>
      </c>
      <c r="D172" s="12">
        <v>1994.4999999975901</v>
      </c>
      <c r="F172" t="s">
        <v>6</v>
      </c>
      <c r="G172">
        <v>1994</v>
      </c>
      <c r="H172">
        <v>682</v>
      </c>
      <c r="M172" s="13">
        <f t="shared" si="5"/>
        <v>0.52281637091259336</v>
      </c>
      <c r="S172" s="12">
        <f>STANDARDIZE(C172,P$32,Q$32)</f>
        <v>0.6238577185520966</v>
      </c>
      <c r="T172" s="12">
        <v>1994.4999999975901</v>
      </c>
      <c r="V172">
        <v>-5.2521902383236063E-2</v>
      </c>
      <c r="W172">
        <v>2005.49999999998</v>
      </c>
    </row>
    <row r="173" spans="1:23" x14ac:dyDescent="0.3">
      <c r="A173" t="s">
        <v>7</v>
      </c>
      <c r="B173">
        <v>1994</v>
      </c>
      <c r="C173">
        <v>592</v>
      </c>
      <c r="D173" s="12">
        <v>1994.5833333309499</v>
      </c>
      <c r="F173" t="s">
        <v>7</v>
      </c>
      <c r="G173">
        <v>1994</v>
      </c>
      <c r="H173">
        <v>680</v>
      </c>
      <c r="M173" s="13">
        <f t="shared" si="5"/>
        <v>0.42514737854430706</v>
      </c>
      <c r="S173" s="12">
        <f>STANDARDIZE(C173,P$33,Q$33)</f>
        <v>0.30237443454128982</v>
      </c>
      <c r="T173" s="12">
        <v>1994.5833333309499</v>
      </c>
      <c r="V173">
        <v>-0.1202658026298557</v>
      </c>
      <c r="W173">
        <v>2005.4166666666499</v>
      </c>
    </row>
    <row r="174" spans="1:23" x14ac:dyDescent="0.3">
      <c r="A174" t="s">
        <v>8</v>
      </c>
      <c r="B174">
        <v>1994</v>
      </c>
      <c r="C174">
        <v>582</v>
      </c>
      <c r="D174" s="12">
        <v>1994.66666666431</v>
      </c>
      <c r="F174" t="s">
        <v>8</v>
      </c>
      <c r="G174">
        <v>1994</v>
      </c>
      <c r="H174">
        <v>677</v>
      </c>
      <c r="M174" s="13">
        <f t="shared" si="5"/>
        <v>0.27864388999187761</v>
      </c>
      <c r="S174" s="12">
        <f>STANDARDIZE(C174,P$34,Q$34)</f>
        <v>4.0356938931008883E-2</v>
      </c>
      <c r="T174" s="12">
        <v>1994.66666666431</v>
      </c>
      <c r="V174">
        <v>-0.22177408564811352</v>
      </c>
      <c r="W174">
        <v>2005.3333333333201</v>
      </c>
    </row>
    <row r="175" spans="1:23" x14ac:dyDescent="0.3">
      <c r="A175" t="s">
        <v>9</v>
      </c>
      <c r="B175">
        <v>1994</v>
      </c>
      <c r="C175">
        <v>604</v>
      </c>
      <c r="D175" s="12">
        <v>1994.7499999976701</v>
      </c>
      <c r="F175" t="s">
        <v>9</v>
      </c>
      <c r="G175">
        <v>1994</v>
      </c>
      <c r="H175">
        <v>688</v>
      </c>
      <c r="M175" s="13">
        <f t="shared" si="5"/>
        <v>0.81582334801745227</v>
      </c>
      <c r="S175" s="12">
        <f>STANDARDIZE(C175,P$35,Q$35)</f>
        <v>0.1433509763513906</v>
      </c>
      <c r="T175" s="12">
        <v>1994.7499999976701</v>
      </c>
      <c r="V175">
        <v>-0.18488704911032375</v>
      </c>
      <c r="W175">
        <v>2005.24999999998</v>
      </c>
    </row>
    <row r="176" spans="1:23" x14ac:dyDescent="0.3">
      <c r="A176" t="s">
        <v>10</v>
      </c>
      <c r="B176">
        <v>1994</v>
      </c>
      <c r="C176">
        <v>622</v>
      </c>
      <c r="D176" s="12">
        <v>1994.83333333103</v>
      </c>
      <c r="F176" t="s">
        <v>10</v>
      </c>
      <c r="G176">
        <v>1994</v>
      </c>
      <c r="H176">
        <v>691</v>
      </c>
      <c r="M176" s="13">
        <f t="shared" si="5"/>
        <v>0.96232683656988172</v>
      </c>
      <c r="S176" s="12">
        <f>STANDARDIZE(C176,P$36,Q$36)</f>
        <v>0.17367657440201739</v>
      </c>
      <c r="T176" s="12">
        <v>1994.83333333103</v>
      </c>
      <c r="V176">
        <v>-0.33658518411549043</v>
      </c>
      <c r="W176">
        <v>2005.1666666666499</v>
      </c>
    </row>
    <row r="177" spans="1:23" x14ac:dyDescent="0.3">
      <c r="A177" t="s">
        <v>11</v>
      </c>
      <c r="B177">
        <v>1994</v>
      </c>
      <c r="C177">
        <v>625</v>
      </c>
      <c r="D177" s="12">
        <v>1994.91666666439</v>
      </c>
      <c r="F177" t="s">
        <v>11</v>
      </c>
      <c r="G177">
        <v>1994</v>
      </c>
      <c r="H177">
        <v>687</v>
      </c>
      <c r="M177" s="13">
        <f t="shared" si="5"/>
        <v>0.76698885183330912</v>
      </c>
      <c r="S177" s="12">
        <f>STANDARDIZE(C177,P$37,Q$37)</f>
        <v>0.19576418984233729</v>
      </c>
      <c r="T177" s="12">
        <v>1994.91666666439</v>
      </c>
      <c r="V177">
        <v>-1.9727581132843001E-2</v>
      </c>
      <c r="W177">
        <v>2005.0833333333201</v>
      </c>
    </row>
    <row r="178" spans="1:23" x14ac:dyDescent="0.3">
      <c r="A178" t="s">
        <v>0</v>
      </c>
      <c r="B178">
        <v>1995</v>
      </c>
      <c r="C178">
        <v>570</v>
      </c>
      <c r="D178" s="12">
        <v>1994.9999999977499</v>
      </c>
      <c r="F178" t="s">
        <v>0</v>
      </c>
      <c r="G178">
        <v>1995</v>
      </c>
      <c r="H178">
        <v>670</v>
      </c>
      <c r="M178" s="13">
        <f t="shared" si="5"/>
        <v>-6.3197583297124479E-2</v>
      </c>
      <c r="S178" s="12">
        <f>STANDARDIZE(C178,P$26,Q$26)</f>
        <v>-3.0711954085126149E-2</v>
      </c>
      <c r="T178" s="12">
        <v>1994.9999999977499</v>
      </c>
      <c r="V178">
        <v>-4.7713214382250034E-2</v>
      </c>
      <c r="W178">
        <v>2005</v>
      </c>
    </row>
    <row r="179" spans="1:23" x14ac:dyDescent="0.3">
      <c r="A179" t="s">
        <v>1</v>
      </c>
      <c r="B179">
        <v>1995</v>
      </c>
      <c r="C179">
        <v>469</v>
      </c>
      <c r="D179" s="12">
        <v>1995.08333333111</v>
      </c>
      <c r="F179" t="s">
        <v>1</v>
      </c>
      <c r="G179">
        <v>1995</v>
      </c>
      <c r="H179">
        <v>643</v>
      </c>
      <c r="M179" s="13">
        <f t="shared" si="5"/>
        <v>-1.3817289802689896</v>
      </c>
      <c r="S179" s="12">
        <f>STANDARDIZE(C179,P$27,Q$27)</f>
        <v>-0.42429474498021841</v>
      </c>
      <c r="T179" s="12">
        <v>1995.08333333111</v>
      </c>
      <c r="V179">
        <v>-0.32281644550160254</v>
      </c>
      <c r="W179">
        <v>2004.9166666666499</v>
      </c>
    </row>
    <row r="180" spans="1:23" x14ac:dyDescent="0.3">
      <c r="A180" t="s">
        <v>2</v>
      </c>
      <c r="B180">
        <v>1995</v>
      </c>
      <c r="C180">
        <v>460</v>
      </c>
      <c r="D180" s="12">
        <v>1995.1666666644701</v>
      </c>
      <c r="F180" t="s">
        <v>2</v>
      </c>
      <c r="G180">
        <v>1995</v>
      </c>
      <c r="H180">
        <v>644</v>
      </c>
      <c r="M180" s="13">
        <f t="shared" si="5"/>
        <v>-1.3328944840848465</v>
      </c>
      <c r="S180" s="12">
        <f>STANDARDIZE(C180,P$28,Q$28)</f>
        <v>-0.63521898887599948</v>
      </c>
      <c r="T180" s="12">
        <v>1995.1666666644701</v>
      </c>
      <c r="V180">
        <v>-0.267018169455084</v>
      </c>
      <c r="W180">
        <v>2004.8333333333101</v>
      </c>
    </row>
    <row r="181" spans="1:23" x14ac:dyDescent="0.3">
      <c r="A181" t="s">
        <v>3</v>
      </c>
      <c r="B181">
        <v>1995</v>
      </c>
      <c r="C181">
        <v>492</v>
      </c>
      <c r="D181" s="12">
        <v>1995.2499999978299</v>
      </c>
      <c r="F181" t="s">
        <v>3</v>
      </c>
      <c r="G181">
        <v>1995</v>
      </c>
      <c r="H181">
        <v>646</v>
      </c>
      <c r="M181" s="13">
        <f t="shared" si="5"/>
        <v>-1.2352254917165602</v>
      </c>
      <c r="S181" s="12">
        <f>STANDARDIZE(C181,P$29,Q$29)</f>
        <v>-0.19471809288805966</v>
      </c>
      <c r="T181" s="12">
        <v>1995.2499999978299</v>
      </c>
      <c r="V181">
        <v>-0.41138396469213023</v>
      </c>
      <c r="W181">
        <v>2004.74999999998</v>
      </c>
    </row>
    <row r="182" spans="1:23" x14ac:dyDescent="0.3">
      <c r="A182" t="s">
        <v>4</v>
      </c>
      <c r="B182">
        <v>1995</v>
      </c>
      <c r="C182">
        <v>554</v>
      </c>
      <c r="D182" s="12">
        <v>1995.33333333119</v>
      </c>
      <c r="F182" t="s">
        <v>4</v>
      </c>
      <c r="G182">
        <v>1995</v>
      </c>
      <c r="H182">
        <v>663</v>
      </c>
      <c r="M182" s="13">
        <f t="shared" si="5"/>
        <v>-0.40503905658612654</v>
      </c>
      <c r="S182" s="12">
        <f>STANDARDIZE(C182,P$30,Q$30)</f>
        <v>-9.4591814308693581E-2</v>
      </c>
      <c r="T182" s="12">
        <v>1995.33333333119</v>
      </c>
      <c r="V182">
        <v>-0.4364758164384499</v>
      </c>
      <c r="W182">
        <v>2004.6666666666499</v>
      </c>
    </row>
    <row r="183" spans="1:23" x14ac:dyDescent="0.3">
      <c r="A183" t="s">
        <v>5</v>
      </c>
      <c r="B183">
        <v>1995</v>
      </c>
      <c r="C183">
        <v>587</v>
      </c>
      <c r="D183" s="12">
        <v>1995.4166666645499</v>
      </c>
      <c r="F183" t="s">
        <v>5</v>
      </c>
      <c r="G183">
        <v>1995</v>
      </c>
      <c r="H183">
        <v>671</v>
      </c>
      <c r="M183" s="13">
        <f t="shared" si="5"/>
        <v>-1.4363087112981321E-2</v>
      </c>
      <c r="S183" s="12">
        <f>STANDARDIZE(C183,P$31,Q$31)</f>
        <v>7.0794763250198747E-2</v>
      </c>
      <c r="T183" s="12">
        <v>1995.4166666645499</v>
      </c>
      <c r="V183">
        <v>-0.47914718088850539</v>
      </c>
      <c r="W183">
        <v>2004.5833333333101</v>
      </c>
    </row>
    <row r="184" spans="1:23" x14ac:dyDescent="0.3">
      <c r="A184" t="s">
        <v>6</v>
      </c>
      <c r="B184">
        <v>1995</v>
      </c>
      <c r="C184">
        <v>606</v>
      </c>
      <c r="D184" s="12">
        <v>1995.49999999791</v>
      </c>
      <c r="F184" t="s">
        <v>6</v>
      </c>
      <c r="G184">
        <v>1995</v>
      </c>
      <c r="H184">
        <v>677</v>
      </c>
      <c r="M184" s="13">
        <f t="shared" si="5"/>
        <v>0.27864388999187761</v>
      </c>
      <c r="S184" s="12">
        <f>STANDARDIZE(C184,P$32,Q$32)</f>
        <v>0.45988690135565236</v>
      </c>
      <c r="T184" s="12">
        <v>1995.49999999791</v>
      </c>
      <c r="V184">
        <v>-0.68790881901945766</v>
      </c>
      <c r="W184">
        <v>2004.49999999998</v>
      </c>
    </row>
    <row r="185" spans="1:23" x14ac:dyDescent="0.3">
      <c r="A185" t="s">
        <v>7</v>
      </c>
      <c r="B185">
        <v>1995</v>
      </c>
      <c r="C185">
        <v>623</v>
      </c>
      <c r="D185" s="12">
        <v>1995.5833333312701</v>
      </c>
      <c r="F185" t="s">
        <v>7</v>
      </c>
      <c r="G185">
        <v>1995</v>
      </c>
      <c r="H185">
        <v>682</v>
      </c>
      <c r="M185" s="13">
        <f t="shared" si="5"/>
        <v>0.52281637091259336</v>
      </c>
      <c r="S185" s="12">
        <f>STANDARDIZE(C185,P$33,Q$33)</f>
        <v>0.87921181735851961</v>
      </c>
      <c r="T185" s="12">
        <v>1995.5833333312701</v>
      </c>
      <c r="V185">
        <v>-0.42050383472708414</v>
      </c>
      <c r="W185">
        <v>2004.4166666666499</v>
      </c>
    </row>
    <row r="186" spans="1:23" x14ac:dyDescent="0.3">
      <c r="A186" t="s">
        <v>8</v>
      </c>
      <c r="B186">
        <v>1995</v>
      </c>
      <c r="C186">
        <v>630</v>
      </c>
      <c r="D186" s="12">
        <v>1995.6666666646299</v>
      </c>
      <c r="F186" t="s">
        <v>8</v>
      </c>
      <c r="G186">
        <v>1995</v>
      </c>
      <c r="H186">
        <v>688</v>
      </c>
      <c r="M186" s="13">
        <f t="shared" si="5"/>
        <v>0.81582334801745227</v>
      </c>
      <c r="S186" s="12">
        <f>STANDARDIZE(C186,P$34,Q$34)</f>
        <v>0.99402244966992648</v>
      </c>
      <c r="T186" s="12">
        <v>1995.6666666646299</v>
      </c>
      <c r="V186">
        <v>-0.5270115368627214</v>
      </c>
      <c r="W186">
        <v>2004.3333333333101</v>
      </c>
    </row>
    <row r="187" spans="1:23" x14ac:dyDescent="0.3">
      <c r="A187" t="s">
        <v>9</v>
      </c>
      <c r="B187">
        <v>1995</v>
      </c>
      <c r="C187">
        <v>628</v>
      </c>
      <c r="D187" s="12">
        <v>1995.74999999799</v>
      </c>
      <c r="F187" t="s">
        <v>9</v>
      </c>
      <c r="G187">
        <v>1995</v>
      </c>
      <c r="H187">
        <v>691</v>
      </c>
      <c r="M187" s="13">
        <f t="shared" si="5"/>
        <v>0.96232683656988172</v>
      </c>
      <c r="S187" s="12">
        <f>STANDARDIZE(C187,P$35,Q$35)</f>
        <v>0.65541399885310214</v>
      </c>
      <c r="T187" s="12">
        <v>1995.74999999799</v>
      </c>
      <c r="V187">
        <v>-0.79441176332995012</v>
      </c>
      <c r="W187">
        <v>2004.24999999998</v>
      </c>
    </row>
    <row r="188" spans="1:23" x14ac:dyDescent="0.3">
      <c r="A188" t="s">
        <v>10</v>
      </c>
      <c r="B188">
        <v>1995</v>
      </c>
      <c r="C188">
        <v>629</v>
      </c>
      <c r="D188" s="12">
        <v>1995.8333333313501</v>
      </c>
      <c r="F188" t="s">
        <v>10</v>
      </c>
      <c r="G188">
        <v>1995</v>
      </c>
      <c r="H188">
        <v>694</v>
      </c>
      <c r="M188" s="13">
        <f t="shared" si="5"/>
        <v>1.1088303251223113</v>
      </c>
      <c r="S188" s="12">
        <f>STANDARDIZE(C188,P$36,Q$36)</f>
        <v>0.34505786367977903</v>
      </c>
      <c r="T188" s="12">
        <v>1995.8333333313501</v>
      </c>
      <c r="V188">
        <v>-1.6704828453790976</v>
      </c>
      <c r="W188">
        <v>2004.1666666666499</v>
      </c>
    </row>
    <row r="189" spans="1:23" x14ac:dyDescent="0.3">
      <c r="A189" t="s">
        <v>11</v>
      </c>
      <c r="B189">
        <v>1995</v>
      </c>
      <c r="C189">
        <v>625</v>
      </c>
      <c r="D189" s="12">
        <v>1995.91666666471</v>
      </c>
      <c r="F189" t="s">
        <v>11</v>
      </c>
      <c r="G189">
        <v>1995</v>
      </c>
      <c r="H189">
        <v>686</v>
      </c>
      <c r="M189" s="13">
        <f t="shared" si="5"/>
        <v>0.71815435564916597</v>
      </c>
      <c r="S189" s="12">
        <f>STANDARDIZE(C189,P$37,Q$37)</f>
        <v>0.19576418984233729</v>
      </c>
      <c r="T189" s="12">
        <v>1995.91666666471</v>
      </c>
      <c r="V189">
        <v>-0.41488620628609341</v>
      </c>
      <c r="W189">
        <v>2004.0833333333101</v>
      </c>
    </row>
    <row r="190" spans="1:23" x14ac:dyDescent="0.3">
      <c r="A190" t="s">
        <v>0</v>
      </c>
      <c r="B190">
        <v>1996</v>
      </c>
      <c r="C190">
        <v>595</v>
      </c>
      <c r="D190" s="12">
        <v>1995.9999999980701</v>
      </c>
      <c r="F190" t="s">
        <v>0</v>
      </c>
      <c r="G190">
        <v>1996</v>
      </c>
      <c r="H190">
        <v>678</v>
      </c>
      <c r="M190" s="13">
        <f t="shared" si="5"/>
        <v>0.32747838617602076</v>
      </c>
      <c r="S190" s="12">
        <f>STANDARDIZE(C190,P$26,Q$26)</f>
        <v>0.39431955334297103</v>
      </c>
      <c r="T190" s="12">
        <v>1995.9999999980701</v>
      </c>
      <c r="V190">
        <v>0.19030442977748438</v>
      </c>
      <c r="W190">
        <v>2004</v>
      </c>
    </row>
    <row r="191" spans="1:23" x14ac:dyDescent="0.3">
      <c r="A191" t="s">
        <v>1</v>
      </c>
      <c r="B191">
        <v>1996</v>
      </c>
      <c r="C191">
        <v>555</v>
      </c>
      <c r="D191" s="12">
        <v>1996.0833333314299</v>
      </c>
      <c r="F191" t="s">
        <v>1</v>
      </c>
      <c r="G191">
        <v>1996</v>
      </c>
      <c r="H191">
        <v>666</v>
      </c>
      <c r="M191" s="13">
        <f t="shared" si="5"/>
        <v>-0.25853556803369709</v>
      </c>
      <c r="S191" s="12">
        <f>STANDARDIZE(C191,P$27,Q$27)</f>
        <v>0.38483958271453239</v>
      </c>
      <c r="T191" s="12">
        <v>1996.0833333314299</v>
      </c>
      <c r="V191">
        <v>1.0877228826339138</v>
      </c>
      <c r="W191">
        <v>2003.9166666666499</v>
      </c>
    </row>
    <row r="192" spans="1:23" x14ac:dyDescent="0.3">
      <c r="A192" t="s">
        <v>2</v>
      </c>
      <c r="B192">
        <v>1996</v>
      </c>
      <c r="C192">
        <v>563</v>
      </c>
      <c r="D192" s="12">
        <v>1996.16666666479</v>
      </c>
      <c r="F192" t="s">
        <v>2</v>
      </c>
      <c r="G192">
        <v>1996</v>
      </c>
      <c r="H192">
        <v>666</v>
      </c>
      <c r="M192" s="13">
        <f t="shared" si="5"/>
        <v>-0.25853556803369709</v>
      </c>
      <c r="S192" s="12">
        <f>STANDARDIZE(C192,P$28,Q$28)</f>
        <v>1.4153998038128295</v>
      </c>
      <c r="T192" s="12">
        <v>1996.16666666479</v>
      </c>
      <c r="V192">
        <v>0.88368477283845848</v>
      </c>
      <c r="W192">
        <v>2003.8333333333101</v>
      </c>
    </row>
    <row r="193" spans="1:23" x14ac:dyDescent="0.3">
      <c r="A193" t="s">
        <v>3</v>
      </c>
      <c r="B193">
        <v>1996</v>
      </c>
      <c r="C193">
        <v>581</v>
      </c>
      <c r="D193" s="12">
        <v>1996.2499999981501</v>
      </c>
      <c r="F193" t="s">
        <v>3</v>
      </c>
      <c r="G193">
        <v>1996</v>
      </c>
      <c r="H193">
        <v>672</v>
      </c>
      <c r="M193" s="13">
        <f t="shared" si="5"/>
        <v>3.4471409071161835E-2</v>
      </c>
      <c r="S193" s="12">
        <f>STANDARDIZE(C193,P$29,Q$29)</f>
        <v>0.68024480333043613</v>
      </c>
      <c r="T193" s="12">
        <v>1996.2499999981501</v>
      </c>
      <c r="V193">
        <v>0.71942187666581614</v>
      </c>
      <c r="W193">
        <v>2003.74999999998</v>
      </c>
    </row>
    <row r="194" spans="1:23" x14ac:dyDescent="0.3">
      <c r="A194" t="s">
        <v>4</v>
      </c>
      <c r="B194">
        <v>1996</v>
      </c>
      <c r="C194">
        <v>590</v>
      </c>
      <c r="D194" s="12">
        <v>1996.3333333315099</v>
      </c>
      <c r="F194" t="s">
        <v>4</v>
      </c>
      <c r="G194">
        <v>1996</v>
      </c>
      <c r="H194">
        <v>675</v>
      </c>
      <c r="M194" s="13">
        <f t="shared" si="5"/>
        <v>0.18097489762359129</v>
      </c>
      <c r="S194" s="12">
        <f>STANDARDIZE(C194,P$30,Q$30)</f>
        <v>0.82112053933512996</v>
      </c>
      <c r="T194" s="12">
        <v>1996.3333333315099</v>
      </c>
      <c r="V194">
        <v>0.47745363135301278</v>
      </c>
      <c r="W194">
        <v>2003.6666666666499</v>
      </c>
    </row>
    <row r="195" spans="1:23" x14ac:dyDescent="0.3">
      <c r="A195" t="s">
        <v>5</v>
      </c>
      <c r="B195">
        <v>1996</v>
      </c>
      <c r="C195">
        <v>616</v>
      </c>
      <c r="D195" s="12">
        <v>1996.41666666487</v>
      </c>
      <c r="F195" t="s">
        <v>5</v>
      </c>
      <c r="G195">
        <v>1996</v>
      </c>
      <c r="H195">
        <v>684</v>
      </c>
      <c r="M195" s="13">
        <f t="shared" si="5"/>
        <v>0.62048536328087966</v>
      </c>
      <c r="S195" s="12">
        <f>STANDARDIZE(C195,P$31,Q$31)</f>
        <v>0.86233139332470998</v>
      </c>
      <c r="T195" s="12">
        <v>1996.41666666487</v>
      </c>
      <c r="V195">
        <v>0.86060415984828642</v>
      </c>
      <c r="W195">
        <v>2003.5833333333101</v>
      </c>
    </row>
    <row r="196" spans="1:23" x14ac:dyDescent="0.3">
      <c r="A196" t="s">
        <v>6</v>
      </c>
      <c r="B196">
        <v>1996</v>
      </c>
      <c r="C196">
        <v>630</v>
      </c>
      <c r="D196" s="12">
        <v>1996.4999999982299</v>
      </c>
      <c r="F196" t="s">
        <v>6</v>
      </c>
      <c r="G196">
        <v>1996</v>
      </c>
      <c r="H196">
        <v>688</v>
      </c>
      <c r="M196" s="13">
        <f t="shared" si="5"/>
        <v>0.81582334801745227</v>
      </c>
      <c r="S196" s="12">
        <f>STANDARDIZE(C196,P$32,Q$32)</f>
        <v>0.95179935294498519</v>
      </c>
      <c r="T196" s="12">
        <v>1996.4999999982299</v>
      </c>
      <c r="V196">
        <v>0.82882124004765201</v>
      </c>
      <c r="W196">
        <v>2003.49999999998</v>
      </c>
    </row>
    <row r="197" spans="1:23" x14ac:dyDescent="0.3">
      <c r="A197" t="s">
        <v>7</v>
      </c>
      <c r="B197">
        <v>1996</v>
      </c>
      <c r="C197">
        <v>636</v>
      </c>
      <c r="D197" s="12">
        <v>1996.58333333159</v>
      </c>
      <c r="F197" t="s">
        <v>7</v>
      </c>
      <c r="G197">
        <v>1996</v>
      </c>
      <c r="H197">
        <v>686</v>
      </c>
      <c r="M197" s="13">
        <f t="shared" si="5"/>
        <v>0.71815435564916597</v>
      </c>
      <c r="S197" s="12">
        <f>STANDARDIZE(C197,P$33,Q$33)</f>
        <v>1.1211113649915514</v>
      </c>
      <c r="T197" s="12">
        <v>1996.58333333159</v>
      </c>
      <c r="V197">
        <v>0.39832716190172068</v>
      </c>
      <c r="W197">
        <v>2003.4166666666499</v>
      </c>
    </row>
    <row r="198" spans="1:23" x14ac:dyDescent="0.3">
      <c r="A198" t="s">
        <v>8</v>
      </c>
      <c r="B198">
        <v>1996</v>
      </c>
      <c r="C198">
        <v>629</v>
      </c>
      <c r="D198" s="12">
        <v>1996.6666666649501</v>
      </c>
      <c r="F198" t="s">
        <v>8</v>
      </c>
      <c r="G198">
        <v>1996</v>
      </c>
      <c r="H198">
        <v>691</v>
      </c>
      <c r="M198" s="13">
        <f t="shared" si="5"/>
        <v>0.96232683656988172</v>
      </c>
      <c r="S198" s="12">
        <f>STANDARDIZE(C198,P$34,Q$34)</f>
        <v>0.97415441819619908</v>
      </c>
      <c r="T198" s="12">
        <v>1996.6666666649501</v>
      </c>
      <c r="V198">
        <v>0.23608209117379828</v>
      </c>
      <c r="W198">
        <v>2003.3333333333101</v>
      </c>
    </row>
    <row r="199" spans="1:23" x14ac:dyDescent="0.3">
      <c r="A199" t="s">
        <v>9</v>
      </c>
      <c r="B199">
        <v>1996</v>
      </c>
      <c r="C199">
        <v>626</v>
      </c>
      <c r="D199" s="12">
        <v>1996.7499999983099</v>
      </c>
      <c r="F199" t="s">
        <v>9</v>
      </c>
      <c r="G199">
        <v>1996</v>
      </c>
      <c r="H199">
        <v>699</v>
      </c>
      <c r="M199" s="13">
        <f t="shared" si="5"/>
        <v>1.353002806043027</v>
      </c>
      <c r="S199" s="12">
        <f>STANDARDIZE(C199,P$35,Q$35)</f>
        <v>0.61274208031129285</v>
      </c>
      <c r="T199" s="12">
        <v>1996.7499999983099</v>
      </c>
      <c r="W199">
        <v>2003.24999999998</v>
      </c>
    </row>
    <row r="200" spans="1:23" x14ac:dyDescent="0.3">
      <c r="A200" t="s">
        <v>10</v>
      </c>
      <c r="B200">
        <v>1996</v>
      </c>
      <c r="C200">
        <v>627</v>
      </c>
      <c r="D200" s="12">
        <v>1996.83333333167</v>
      </c>
      <c r="F200" t="s">
        <v>10</v>
      </c>
      <c r="G200">
        <v>1996</v>
      </c>
      <c r="H200">
        <v>694</v>
      </c>
      <c r="M200" s="13">
        <f t="shared" si="5"/>
        <v>1.1088303251223113</v>
      </c>
      <c r="S200" s="12">
        <f>STANDARDIZE(C200,P$36,Q$36)</f>
        <v>0.29609178102898998</v>
      </c>
      <c r="T200" s="12">
        <v>1996.83333333167</v>
      </c>
      <c r="V200">
        <v>-0.4162208653849595</v>
      </c>
      <c r="W200">
        <v>2003.1666666666499</v>
      </c>
    </row>
    <row r="201" spans="1:23" x14ac:dyDescent="0.3">
      <c r="A201" t="s">
        <v>11</v>
      </c>
      <c r="B201">
        <v>1996</v>
      </c>
      <c r="C201">
        <v>620</v>
      </c>
      <c r="D201" s="12">
        <v>1996.9166666650301</v>
      </c>
      <c r="F201" t="s">
        <v>11</v>
      </c>
      <c r="G201">
        <v>1996</v>
      </c>
      <c r="H201">
        <v>682</v>
      </c>
      <c r="M201" s="13">
        <f t="shared" si="5"/>
        <v>0.52281637091259336</v>
      </c>
      <c r="S201" s="12">
        <f>STANDARDIZE(C201,P$37,Q$37)</f>
        <v>9.2048062773549322E-2</v>
      </c>
      <c r="T201" s="12">
        <v>1996.9166666650301</v>
      </c>
      <c r="V201">
        <v>-0.37725205150959334</v>
      </c>
      <c r="W201">
        <v>2003.0833333333101</v>
      </c>
    </row>
    <row r="202" spans="1:23" x14ac:dyDescent="0.3">
      <c r="A202" t="s">
        <v>0</v>
      </c>
      <c r="B202">
        <v>1997</v>
      </c>
      <c r="C202">
        <v>549</v>
      </c>
      <c r="D202" s="12">
        <v>1996.99999999839</v>
      </c>
      <c r="F202" t="s">
        <v>0</v>
      </c>
      <c r="G202">
        <v>1997</v>
      </c>
      <c r="H202">
        <v>661</v>
      </c>
      <c r="M202" s="13">
        <f t="shared" si="5"/>
        <v>-0.5027080489544129</v>
      </c>
      <c r="S202" s="12">
        <f>STANDARDIZE(C202,P$26,Q$26)</f>
        <v>-0.38773842032472777</v>
      </c>
      <c r="T202" s="12">
        <v>1996.99999999839</v>
      </c>
      <c r="V202">
        <v>-0.91477748953556826</v>
      </c>
      <c r="W202">
        <v>2003</v>
      </c>
    </row>
    <row r="203" spans="1:23" x14ac:dyDescent="0.3">
      <c r="A203" t="s">
        <v>1</v>
      </c>
      <c r="B203">
        <v>1997</v>
      </c>
      <c r="C203">
        <v>508</v>
      </c>
      <c r="D203" s="12">
        <v>1997.0833333317501</v>
      </c>
      <c r="F203" t="s">
        <v>1</v>
      </c>
      <c r="G203">
        <v>1997</v>
      </c>
      <c r="H203">
        <v>660</v>
      </c>
      <c r="M203" s="13">
        <f t="shared" ref="M203:M266" si="6">STANDARDIZE(H203,H$7,H$8)</f>
        <v>-0.55154254513855605</v>
      </c>
      <c r="S203" s="12">
        <f>STANDARDIZE(C203,P$27,Q$27)</f>
        <v>-5.7361735909343035E-2</v>
      </c>
      <c r="T203" s="12">
        <v>1997.0833333317501</v>
      </c>
      <c r="V203">
        <v>-0.30207322008784493</v>
      </c>
      <c r="W203">
        <v>2002.9166666666399</v>
      </c>
    </row>
    <row r="204" spans="1:23" x14ac:dyDescent="0.3">
      <c r="A204" t="s">
        <v>2</v>
      </c>
      <c r="B204">
        <v>1997</v>
      </c>
      <c r="C204">
        <v>440</v>
      </c>
      <c r="D204" s="12">
        <v>1997.1666666651099</v>
      </c>
      <c r="F204" t="s">
        <v>2</v>
      </c>
      <c r="G204">
        <v>1997</v>
      </c>
      <c r="H204">
        <v>643</v>
      </c>
      <c r="M204" s="13">
        <f t="shared" si="6"/>
        <v>-1.3817289802689896</v>
      </c>
      <c r="S204" s="12">
        <f>STANDARDIZE(C204,P$28,Q$28)</f>
        <v>-1.0333973952233451</v>
      </c>
      <c r="T204" s="12">
        <v>1997.1666666651099</v>
      </c>
      <c r="V204">
        <v>0.39402394633056809</v>
      </c>
      <c r="W204">
        <v>2002.8333333333101</v>
      </c>
    </row>
    <row r="205" spans="1:23" x14ac:dyDescent="0.3">
      <c r="A205" t="s">
        <v>3</v>
      </c>
      <c r="B205">
        <v>1997</v>
      </c>
      <c r="C205">
        <v>439</v>
      </c>
      <c r="D205" s="12">
        <v>1997.24999999848</v>
      </c>
      <c r="F205" t="s">
        <v>3</v>
      </c>
      <c r="G205">
        <v>1997</v>
      </c>
      <c r="H205">
        <v>646</v>
      </c>
      <c r="M205" s="13">
        <f t="shared" si="6"/>
        <v>-1.2352254917165602</v>
      </c>
      <c r="S205" s="12">
        <f>STANDARDIZE(C205,P$29,Q$29)</f>
        <v>-0.7157634131080628</v>
      </c>
      <c r="T205" s="12">
        <v>1997.24999999848</v>
      </c>
      <c r="V205">
        <v>5.8007139267772012E-2</v>
      </c>
      <c r="W205">
        <v>2002.74999999998</v>
      </c>
    </row>
    <row r="206" spans="1:23" x14ac:dyDescent="0.3">
      <c r="A206" t="s">
        <v>4</v>
      </c>
      <c r="B206">
        <v>1997</v>
      </c>
      <c r="C206">
        <v>476</v>
      </c>
      <c r="D206" s="12">
        <v>1997.3333333318401</v>
      </c>
      <c r="F206" t="s">
        <v>4</v>
      </c>
      <c r="G206">
        <v>1997</v>
      </c>
      <c r="H206">
        <v>658</v>
      </c>
      <c r="M206" s="13">
        <f t="shared" si="6"/>
        <v>-0.64921153750684235</v>
      </c>
      <c r="S206" s="12">
        <f>STANDARDIZE(C206,P$30,Q$30)</f>
        <v>-2.0786352472036449</v>
      </c>
      <c r="T206" s="12">
        <v>1997.3333333318401</v>
      </c>
      <c r="V206">
        <v>6.2087598355398284E-4</v>
      </c>
      <c r="W206">
        <v>2002.6666666666399</v>
      </c>
    </row>
    <row r="207" spans="1:23" x14ac:dyDescent="0.3">
      <c r="A207" t="s">
        <v>5</v>
      </c>
      <c r="B207">
        <v>1997</v>
      </c>
      <c r="C207">
        <v>508</v>
      </c>
      <c r="D207" s="12">
        <v>1997.4166666652</v>
      </c>
      <c r="F207" t="s">
        <v>5</v>
      </c>
      <c r="G207">
        <v>1997</v>
      </c>
      <c r="H207">
        <v>658</v>
      </c>
      <c r="M207" s="13">
        <f t="shared" si="6"/>
        <v>-0.64921153750684235</v>
      </c>
      <c r="S207" s="12">
        <f>STANDARDIZE(C207,P$31,Q$31)</f>
        <v>-2.085460194538987</v>
      </c>
      <c r="T207" s="12">
        <v>1997.4166666652</v>
      </c>
      <c r="V207">
        <v>-3.2563400642908136E-2</v>
      </c>
      <c r="W207">
        <v>2002.5833333333101</v>
      </c>
    </row>
    <row r="208" spans="1:23" x14ac:dyDescent="0.3">
      <c r="A208" t="s">
        <v>6</v>
      </c>
      <c r="B208">
        <v>1997</v>
      </c>
      <c r="C208">
        <v>529</v>
      </c>
      <c r="D208" s="12">
        <v>1997.49999999856</v>
      </c>
      <c r="F208" t="s">
        <v>6</v>
      </c>
      <c r="G208">
        <v>1997</v>
      </c>
      <c r="H208">
        <v>660</v>
      </c>
      <c r="M208" s="13">
        <f t="shared" si="6"/>
        <v>-0.55154254513855605</v>
      </c>
      <c r="S208" s="12">
        <f>STANDARDIZE(C208,P$32,Q$32)</f>
        <v>-1.118332214160124</v>
      </c>
      <c r="T208" s="12">
        <v>1997.49999999856</v>
      </c>
      <c r="V208">
        <v>0.68534677500076324</v>
      </c>
      <c r="W208">
        <v>2002.49999999998</v>
      </c>
    </row>
    <row r="209" spans="1:23" x14ac:dyDescent="0.3">
      <c r="A209" t="s">
        <v>7</v>
      </c>
      <c r="B209">
        <v>1997</v>
      </c>
      <c r="C209">
        <v>487</v>
      </c>
      <c r="D209" s="12">
        <v>1997.5833333319199</v>
      </c>
      <c r="F209" t="s">
        <v>7</v>
      </c>
      <c r="G209">
        <v>1997</v>
      </c>
      <c r="H209">
        <v>653</v>
      </c>
      <c r="M209" s="13">
        <f t="shared" si="6"/>
        <v>-0.8933840184275581</v>
      </c>
      <c r="S209" s="12">
        <f>STANDARDIZE(C209,P$33,Q$33)</f>
        <v>-1.6514296040331982</v>
      </c>
      <c r="T209" s="12">
        <v>1997.5833333319199</v>
      </c>
      <c r="V209">
        <v>1.0533919592047645</v>
      </c>
      <c r="W209">
        <v>2002.4166666666399</v>
      </c>
    </row>
    <row r="210" spans="1:23" x14ac:dyDescent="0.3">
      <c r="A210" t="s">
        <v>8</v>
      </c>
      <c r="B210">
        <v>1997</v>
      </c>
      <c r="C210">
        <v>487</v>
      </c>
      <c r="D210" s="12">
        <v>1997.66666666528</v>
      </c>
      <c r="F210" t="s">
        <v>8</v>
      </c>
      <c r="G210">
        <v>1997</v>
      </c>
      <c r="H210">
        <v>655</v>
      </c>
      <c r="M210" s="13">
        <f t="shared" si="6"/>
        <v>-0.7957150260592718</v>
      </c>
      <c r="S210" s="12">
        <f>STANDARDIZE(C210,P$34,Q$34)</f>
        <v>-1.847106051073099</v>
      </c>
      <c r="T210" s="12">
        <v>1997.66666666528</v>
      </c>
      <c r="V210">
        <v>1.1772308990855058</v>
      </c>
      <c r="W210">
        <v>2002.3333333333101</v>
      </c>
    </row>
    <row r="211" spans="1:23" x14ac:dyDescent="0.3">
      <c r="A211" t="s">
        <v>9</v>
      </c>
      <c r="B211">
        <v>1997</v>
      </c>
      <c r="C211">
        <v>529</v>
      </c>
      <c r="D211" s="12">
        <v>1997.7499999986401</v>
      </c>
      <c r="F211" t="s">
        <v>9</v>
      </c>
      <c r="G211">
        <v>1997</v>
      </c>
      <c r="H211">
        <v>662</v>
      </c>
      <c r="M211" s="13">
        <f t="shared" si="6"/>
        <v>-0.45387355277026969</v>
      </c>
      <c r="S211" s="12">
        <f>STANDARDIZE(C211,P$35,Q$35)</f>
        <v>-1.4568459689664581</v>
      </c>
      <c r="T211" s="12">
        <v>1997.7499999986401</v>
      </c>
      <c r="V211">
        <v>0.40497557755383073</v>
      </c>
      <c r="W211">
        <v>2002.24999999998</v>
      </c>
    </row>
    <row r="212" spans="1:23" x14ac:dyDescent="0.3">
      <c r="A212" t="s">
        <v>10</v>
      </c>
      <c r="B212">
        <v>1997</v>
      </c>
      <c r="C212">
        <v>545</v>
      </c>
      <c r="D212" s="12">
        <v>1997.8333333319999</v>
      </c>
      <c r="F212" t="s">
        <v>10</v>
      </c>
      <c r="G212">
        <v>1997</v>
      </c>
      <c r="H212">
        <v>667</v>
      </c>
      <c r="M212" s="13">
        <f t="shared" si="6"/>
        <v>-0.20970107184955394</v>
      </c>
      <c r="S212" s="12">
        <f>STANDARDIZE(C212,P$36,Q$36)</f>
        <v>-1.7115176076533607</v>
      </c>
      <c r="T212" s="12">
        <v>1997.8333333319999</v>
      </c>
      <c r="V212">
        <v>2.1775381597120454E-2</v>
      </c>
      <c r="W212">
        <v>2002.1666666666399</v>
      </c>
    </row>
    <row r="213" spans="1:23" x14ac:dyDescent="0.3">
      <c r="A213" t="s">
        <v>11</v>
      </c>
      <c r="B213">
        <v>1997</v>
      </c>
      <c r="C213">
        <v>526</v>
      </c>
      <c r="D213" s="12">
        <v>1997.91666666536</v>
      </c>
      <c r="F213" t="s">
        <v>11</v>
      </c>
      <c r="G213">
        <v>1997</v>
      </c>
      <c r="H213">
        <v>664</v>
      </c>
      <c r="M213" s="13">
        <f t="shared" si="6"/>
        <v>-0.35620456040198339</v>
      </c>
      <c r="S213" s="12">
        <f>STANDARDIZE(C213,P$37,Q$37)</f>
        <v>-1.8578151261196645</v>
      </c>
      <c r="T213" s="12">
        <v>1997.91666666536</v>
      </c>
      <c r="V213">
        <v>-6.6770274603468044E-2</v>
      </c>
      <c r="W213">
        <v>2002.0833333333101</v>
      </c>
    </row>
    <row r="214" spans="1:23" x14ac:dyDescent="0.3">
      <c r="A214" t="s">
        <v>0</v>
      </c>
      <c r="B214">
        <v>1998</v>
      </c>
      <c r="C214">
        <v>450</v>
      </c>
      <c r="D214" s="12">
        <v>1997.9999999987201</v>
      </c>
      <c r="F214" t="s">
        <v>0</v>
      </c>
      <c r="G214">
        <v>1998</v>
      </c>
      <c r="H214">
        <v>645</v>
      </c>
      <c r="M214" s="13">
        <f t="shared" si="6"/>
        <v>-1.2840599879007033</v>
      </c>
      <c r="S214" s="12">
        <f>STANDARDIZE(C214,P$26,Q$26)</f>
        <v>-2.0708631897399927</v>
      </c>
      <c r="T214" s="12">
        <v>1997.9999999987201</v>
      </c>
      <c r="V214">
        <v>0.46232459453146657</v>
      </c>
      <c r="W214">
        <v>2002</v>
      </c>
    </row>
    <row r="215" spans="1:23" x14ac:dyDescent="0.3">
      <c r="A215" t="s">
        <v>1</v>
      </c>
      <c r="B215">
        <v>1998</v>
      </c>
      <c r="C215">
        <v>443</v>
      </c>
      <c r="D215" s="12">
        <v>1998.08333333208</v>
      </c>
      <c r="F215" t="s">
        <v>1</v>
      </c>
      <c r="G215">
        <v>1998</v>
      </c>
      <c r="H215">
        <v>643</v>
      </c>
      <c r="M215" s="13">
        <f t="shared" si="6"/>
        <v>-1.3817289802689896</v>
      </c>
      <c r="S215" s="12">
        <f>STANDARDIZE(C215,P$27,Q$27)</f>
        <v>-0.66891675102746861</v>
      </c>
      <c r="T215" s="12">
        <v>1998.08333333208</v>
      </c>
      <c r="V215">
        <v>2.9818386532276538E-2</v>
      </c>
      <c r="W215">
        <v>2001.9166666666399</v>
      </c>
    </row>
    <row r="216" spans="1:23" x14ac:dyDescent="0.3">
      <c r="A216" t="s">
        <v>2</v>
      </c>
      <c r="B216">
        <v>1998</v>
      </c>
      <c r="C216">
        <v>449</v>
      </c>
      <c r="D216" s="12">
        <v>1998.1666666654401</v>
      </c>
      <c r="F216" t="s">
        <v>2</v>
      </c>
      <c r="G216">
        <v>1998</v>
      </c>
      <c r="H216">
        <v>643</v>
      </c>
      <c r="M216" s="13">
        <f t="shared" si="6"/>
        <v>-1.3817289802689896</v>
      </c>
      <c r="S216" s="12">
        <f>STANDARDIZE(C216,P$28,Q$28)</f>
        <v>-0.85421711236703946</v>
      </c>
      <c r="T216" s="12">
        <v>1998.1666666654401</v>
      </c>
      <c r="V216">
        <v>-0.36495033475666205</v>
      </c>
      <c r="W216">
        <v>2001.8333333333101</v>
      </c>
    </row>
    <row r="217" spans="1:23" x14ac:dyDescent="0.3">
      <c r="A217" t="s">
        <v>3</v>
      </c>
      <c r="B217">
        <v>1998</v>
      </c>
      <c r="C217">
        <v>498</v>
      </c>
      <c r="D217" s="12">
        <v>1998.2499999987999</v>
      </c>
      <c r="F217" t="s">
        <v>3</v>
      </c>
      <c r="G217">
        <v>1998</v>
      </c>
      <c r="H217">
        <v>654</v>
      </c>
      <c r="M217" s="13">
        <f t="shared" si="6"/>
        <v>-0.84454952224341495</v>
      </c>
      <c r="S217" s="12">
        <f>STANDARDIZE(C217,P$29,Q$29)</f>
        <v>-0.1357318302216442</v>
      </c>
      <c r="T217" s="12">
        <v>1998.2499999987999</v>
      </c>
      <c r="V217">
        <v>-0.53939972031755812</v>
      </c>
      <c r="W217">
        <v>2001.74999999998</v>
      </c>
    </row>
    <row r="218" spans="1:23" x14ac:dyDescent="0.3">
      <c r="A218" t="s">
        <v>4</v>
      </c>
      <c r="B218">
        <v>1998</v>
      </c>
      <c r="C218">
        <v>566</v>
      </c>
      <c r="D218" s="12">
        <v>1998.33333333216</v>
      </c>
      <c r="F218" t="s">
        <v>4</v>
      </c>
      <c r="G218">
        <v>1998</v>
      </c>
      <c r="H218">
        <v>665</v>
      </c>
      <c r="M218" s="13">
        <f t="shared" si="6"/>
        <v>-0.30737006421784024</v>
      </c>
      <c r="S218" s="12">
        <f>STANDARDIZE(C218,P$30,Q$30)</f>
        <v>0.21064563690591429</v>
      </c>
      <c r="T218" s="12">
        <v>1998.33333333216</v>
      </c>
      <c r="V218">
        <v>-0.77423235149181657</v>
      </c>
      <c r="W218">
        <v>2001.6666666666399</v>
      </c>
    </row>
    <row r="219" spans="1:23" x14ac:dyDescent="0.3">
      <c r="A219" t="s">
        <v>5</v>
      </c>
      <c r="B219">
        <v>1998</v>
      </c>
      <c r="C219">
        <v>605</v>
      </c>
      <c r="D219" s="12">
        <v>1998.4166666655201</v>
      </c>
      <c r="F219" t="s">
        <v>5</v>
      </c>
      <c r="G219">
        <v>1998</v>
      </c>
      <c r="H219">
        <v>675</v>
      </c>
      <c r="M219" s="13">
        <f t="shared" si="6"/>
        <v>0.18097489762359129</v>
      </c>
      <c r="S219" s="12">
        <f>STANDARDIZE(C219,P$31,Q$31)</f>
        <v>0.56209336122748166</v>
      </c>
      <c r="T219" s="12">
        <v>1998.4166666655201</v>
      </c>
      <c r="V219">
        <v>-0.79547735856247015</v>
      </c>
      <c r="W219">
        <v>2001.5833333333101</v>
      </c>
    </row>
    <row r="220" spans="1:23" x14ac:dyDescent="0.3">
      <c r="A220" t="s">
        <v>6</v>
      </c>
      <c r="B220">
        <v>1998</v>
      </c>
      <c r="C220">
        <v>624</v>
      </c>
      <c r="D220" s="12">
        <v>1998.49999999888</v>
      </c>
      <c r="F220" t="s">
        <v>6</v>
      </c>
      <c r="G220">
        <v>1998</v>
      </c>
      <c r="H220">
        <v>676</v>
      </c>
      <c r="M220" s="13">
        <f t="shared" si="6"/>
        <v>0.22980939380773446</v>
      </c>
      <c r="S220" s="12">
        <f>STANDARDIZE(C220,P$32,Q$32)</f>
        <v>0.82882124004765201</v>
      </c>
      <c r="T220" s="12">
        <v>1998.49999999888</v>
      </c>
      <c r="V220">
        <v>-0.6469161147203466</v>
      </c>
      <c r="W220">
        <v>2001.49999999998</v>
      </c>
    </row>
    <row r="221" spans="1:23" x14ac:dyDescent="0.3">
      <c r="A221" t="s">
        <v>7</v>
      </c>
      <c r="B221">
        <v>1998</v>
      </c>
      <c r="C221">
        <v>631</v>
      </c>
      <c r="D221" s="12">
        <v>1998.58333333224</v>
      </c>
      <c r="F221" t="s">
        <v>7</v>
      </c>
      <c r="G221">
        <v>1998</v>
      </c>
      <c r="H221">
        <v>683</v>
      </c>
      <c r="M221" s="13">
        <f t="shared" si="6"/>
        <v>0.57165086709673651</v>
      </c>
      <c r="S221" s="12">
        <f>STANDARDIZE(C221,P$33,Q$33)</f>
        <v>1.0280730774403855</v>
      </c>
      <c r="T221" s="12">
        <v>1998.58333333224</v>
      </c>
      <c r="V221">
        <v>-0.58427003405284506</v>
      </c>
      <c r="W221">
        <v>2001.4166666666399</v>
      </c>
    </row>
    <row r="222" spans="1:23" x14ac:dyDescent="0.3">
      <c r="A222" t="s">
        <v>8</v>
      </c>
      <c r="B222">
        <v>1998</v>
      </c>
      <c r="C222">
        <v>636</v>
      </c>
      <c r="D222" s="12">
        <v>1998.6666666655999</v>
      </c>
      <c r="F222" t="s">
        <v>8</v>
      </c>
      <c r="G222">
        <v>1998</v>
      </c>
      <c r="H222">
        <v>687</v>
      </c>
      <c r="M222" s="13">
        <f t="shared" si="6"/>
        <v>0.76698885183330912</v>
      </c>
      <c r="S222" s="12">
        <f>STANDARDIZE(C222,P$34,Q$34)</f>
        <v>1.1132306385122912</v>
      </c>
      <c r="T222" s="12">
        <v>1998.6666666655999</v>
      </c>
      <c r="V222">
        <v>-1.213795802095589</v>
      </c>
      <c r="W222">
        <v>2001.3333333333101</v>
      </c>
    </row>
    <row r="223" spans="1:23" x14ac:dyDescent="0.3">
      <c r="A223" t="s">
        <v>9</v>
      </c>
      <c r="B223">
        <v>1998</v>
      </c>
      <c r="C223">
        <v>644</v>
      </c>
      <c r="D223" s="12">
        <v>1998.74999999896</v>
      </c>
      <c r="F223" t="s">
        <v>9</v>
      </c>
      <c r="G223">
        <v>1998</v>
      </c>
      <c r="H223">
        <v>690</v>
      </c>
      <c r="M223" s="13">
        <f t="shared" si="6"/>
        <v>0.91349234038573857</v>
      </c>
      <c r="S223" s="12">
        <f>STANDARDIZE(C223,P$35,Q$35)</f>
        <v>0.9967893471875765</v>
      </c>
      <c r="T223" s="12">
        <v>1998.74999999896</v>
      </c>
      <c r="V223">
        <v>-0.2733664431099469</v>
      </c>
      <c r="W223">
        <v>2001.24999999997</v>
      </c>
    </row>
    <row r="224" spans="1:23" x14ac:dyDescent="0.3">
      <c r="A224" t="s">
        <v>10</v>
      </c>
      <c r="B224">
        <v>1998</v>
      </c>
      <c r="C224">
        <v>652</v>
      </c>
      <c r="D224" s="12">
        <v>1998.8333333323201</v>
      </c>
      <c r="F224" t="s">
        <v>10</v>
      </c>
      <c r="G224">
        <v>1998</v>
      </c>
      <c r="H224">
        <v>695</v>
      </c>
      <c r="M224" s="13">
        <f t="shared" si="6"/>
        <v>1.1576648213064544</v>
      </c>
      <c r="S224" s="12">
        <f>STANDARDIZE(C224,P$36,Q$36)</f>
        <v>0.90816781416385295</v>
      </c>
      <c r="T224" s="12">
        <v>1998.8333333323201</v>
      </c>
      <c r="V224">
        <v>-0.19722274189391953</v>
      </c>
      <c r="W224">
        <v>2001.1666666666399</v>
      </c>
    </row>
    <row r="225" spans="1:23" x14ac:dyDescent="0.3">
      <c r="A225" t="s">
        <v>11</v>
      </c>
      <c r="B225">
        <v>1998</v>
      </c>
      <c r="C225">
        <v>658</v>
      </c>
      <c r="D225" s="12">
        <v>1998.9166666656799</v>
      </c>
      <c r="F225" t="s">
        <v>11</v>
      </c>
      <c r="G225">
        <v>1998</v>
      </c>
      <c r="H225">
        <v>695</v>
      </c>
      <c r="M225" s="13">
        <f t="shared" si="6"/>
        <v>1.1576648213064544</v>
      </c>
      <c r="S225" s="12">
        <f>STANDARDIZE(C225,P$37,Q$37)</f>
        <v>0.88029062849633788</v>
      </c>
      <c r="T225" s="12">
        <v>1998.9166666656799</v>
      </c>
      <c r="V225">
        <v>-0.27375812587421827</v>
      </c>
      <c r="W225">
        <v>2001.0833333333101</v>
      </c>
    </row>
    <row r="226" spans="1:23" x14ac:dyDescent="0.3">
      <c r="A226" t="s">
        <v>0</v>
      </c>
      <c r="B226">
        <v>1999</v>
      </c>
      <c r="C226">
        <v>656</v>
      </c>
      <c r="D226" s="12">
        <v>1998.99999999904</v>
      </c>
      <c r="F226" t="s">
        <v>0</v>
      </c>
      <c r="G226">
        <v>1999</v>
      </c>
      <c r="H226">
        <v>694</v>
      </c>
      <c r="M226" s="13">
        <f t="shared" si="6"/>
        <v>1.1088303251223113</v>
      </c>
      <c r="S226" s="12">
        <f>STANDARDIZE(C226,P$26,Q$26)</f>
        <v>1.431396431467528</v>
      </c>
      <c r="T226" s="12">
        <v>1998.99999999904</v>
      </c>
      <c r="V226">
        <v>0.12229938858898882</v>
      </c>
      <c r="W226">
        <v>2001</v>
      </c>
    </row>
    <row r="227" spans="1:23" x14ac:dyDescent="0.3">
      <c r="A227" t="s">
        <v>1</v>
      </c>
      <c r="B227">
        <v>1999</v>
      </c>
      <c r="C227">
        <v>631</v>
      </c>
      <c r="D227" s="12">
        <v>1999.0833333323999</v>
      </c>
      <c r="F227" t="s">
        <v>1</v>
      </c>
      <c r="G227">
        <v>1999</v>
      </c>
      <c r="H227">
        <v>684</v>
      </c>
      <c r="M227" s="13">
        <f t="shared" si="6"/>
        <v>0.62048536328087966</v>
      </c>
      <c r="S227" s="12">
        <f>STANDARDIZE(C227,P$27,Q$27)</f>
        <v>1.0998885234680331</v>
      </c>
      <c r="T227" s="12">
        <v>1999.0833333323999</v>
      </c>
      <c r="V227">
        <v>1.0462364318063986</v>
      </c>
      <c r="W227">
        <v>2000.9166666666399</v>
      </c>
    </row>
    <row r="228" spans="1:23" x14ac:dyDescent="0.3">
      <c r="A228" t="s">
        <v>2</v>
      </c>
      <c r="B228">
        <v>1999</v>
      </c>
      <c r="C228">
        <v>630</v>
      </c>
      <c r="D228" s="12">
        <v>1999.16666666576</v>
      </c>
      <c r="F228" t="s">
        <v>2</v>
      </c>
      <c r="G228">
        <v>1999</v>
      </c>
      <c r="H228">
        <v>686</v>
      </c>
      <c r="M228" s="13">
        <f t="shared" si="6"/>
        <v>0.71815435564916597</v>
      </c>
      <c r="S228" s="12">
        <f>STANDARDIZE(C228,P$28,Q$28)</f>
        <v>2.7492974650764368</v>
      </c>
      <c r="T228" s="12">
        <v>1999.16666666576</v>
      </c>
      <c r="V228">
        <v>1.5202438472987161</v>
      </c>
      <c r="W228">
        <v>2000.8333333333101</v>
      </c>
    </row>
    <row r="229" spans="1:23" x14ac:dyDescent="0.3">
      <c r="A229" t="s">
        <v>3</v>
      </c>
      <c r="B229">
        <v>1999</v>
      </c>
      <c r="C229">
        <v>633</v>
      </c>
      <c r="D229" s="12">
        <v>1999.2499999991201</v>
      </c>
      <c r="F229" t="s">
        <v>3</v>
      </c>
      <c r="G229">
        <v>1999</v>
      </c>
      <c r="H229">
        <v>684</v>
      </c>
      <c r="M229" s="13">
        <f t="shared" si="6"/>
        <v>0.62048536328087966</v>
      </c>
      <c r="S229" s="12">
        <f>STANDARDIZE(C229,P$29,Q$29)</f>
        <v>1.1914590797727034</v>
      </c>
      <c r="T229" s="12">
        <v>1999.2499999991201</v>
      </c>
      <c r="V229">
        <v>1.5515242882310973</v>
      </c>
      <c r="W229">
        <v>2000.74999999997</v>
      </c>
    </row>
    <row r="230" spans="1:23" x14ac:dyDescent="0.3">
      <c r="A230" t="s">
        <v>4</v>
      </c>
      <c r="B230">
        <v>1999</v>
      </c>
      <c r="C230">
        <v>649</v>
      </c>
      <c r="D230" s="12">
        <v>1999.3333333324799</v>
      </c>
      <c r="F230" t="s">
        <v>4</v>
      </c>
      <c r="G230">
        <v>1999</v>
      </c>
      <c r="H230">
        <v>688</v>
      </c>
      <c r="M230" s="13">
        <f t="shared" si="6"/>
        <v>0.81582334801745227</v>
      </c>
      <c r="S230" s="12">
        <f>STANDARDIZE(C230,P$30,Q$30)</f>
        <v>2.3218713411402851</v>
      </c>
      <c r="T230" s="12">
        <v>1999.3333333324799</v>
      </c>
      <c r="V230">
        <v>1.4708552050393853</v>
      </c>
      <c r="W230">
        <v>2000.6666666666399</v>
      </c>
    </row>
    <row r="231" spans="1:23" x14ac:dyDescent="0.3">
      <c r="A231" t="s">
        <v>5</v>
      </c>
      <c r="B231">
        <v>1999</v>
      </c>
      <c r="C231">
        <v>656</v>
      </c>
      <c r="D231" s="12">
        <v>1999.41666666584</v>
      </c>
      <c r="F231" t="s">
        <v>5</v>
      </c>
      <c r="G231">
        <v>1999</v>
      </c>
      <c r="H231">
        <v>694</v>
      </c>
      <c r="M231" s="13">
        <f t="shared" si="6"/>
        <v>1.1088303251223113</v>
      </c>
      <c r="S231" s="12">
        <f>STANDARDIZE(C231,P$31,Q$31)</f>
        <v>1.9541060554964498</v>
      </c>
      <c r="T231" s="12">
        <v>1999.41666666584</v>
      </c>
      <c r="V231">
        <v>1.6607334327883148</v>
      </c>
      <c r="W231">
        <v>2000.5833333333101</v>
      </c>
    </row>
    <row r="232" spans="1:23" x14ac:dyDescent="0.3">
      <c r="A232" t="s">
        <v>6</v>
      </c>
      <c r="B232">
        <v>1999</v>
      </c>
      <c r="C232">
        <v>661</v>
      </c>
      <c r="D232" s="12">
        <v>1999.4999999992001</v>
      </c>
      <c r="F232" t="s">
        <v>6</v>
      </c>
      <c r="G232">
        <v>1999</v>
      </c>
      <c r="H232">
        <v>695</v>
      </c>
      <c r="M232" s="13">
        <f t="shared" si="6"/>
        <v>1.1576648213064544</v>
      </c>
      <c r="S232" s="12">
        <f>STANDARDIZE(C232,P$32,Q$32)</f>
        <v>1.5871862695812069</v>
      </c>
      <c r="T232" s="12">
        <v>1999.4999999992001</v>
      </c>
      <c r="V232">
        <v>1.7921497910767623</v>
      </c>
      <c r="W232">
        <v>2000.49999999997</v>
      </c>
    </row>
    <row r="233" spans="1:23" x14ac:dyDescent="0.3">
      <c r="A233" t="s">
        <v>7</v>
      </c>
      <c r="B233">
        <v>1999</v>
      </c>
      <c r="C233">
        <v>661</v>
      </c>
      <c r="D233" s="12">
        <v>1999.58333333256</v>
      </c>
      <c r="F233" t="s">
        <v>7</v>
      </c>
      <c r="G233">
        <v>1999</v>
      </c>
      <c r="H233">
        <v>697</v>
      </c>
      <c r="M233" s="13">
        <f t="shared" si="6"/>
        <v>1.2553338136747407</v>
      </c>
      <c r="S233" s="12">
        <f>STANDARDIZE(C233,P$33,Q$33)</f>
        <v>1.586302802747382</v>
      </c>
      <c r="T233" s="12">
        <v>1999.58333333256</v>
      </c>
      <c r="V233">
        <v>1.7630454896163954</v>
      </c>
      <c r="W233">
        <v>2000.4166666666399</v>
      </c>
    </row>
    <row r="234" spans="1:23" x14ac:dyDescent="0.3">
      <c r="A234" t="s">
        <v>8</v>
      </c>
      <c r="B234">
        <v>1999</v>
      </c>
      <c r="C234">
        <v>663</v>
      </c>
      <c r="D234" s="12">
        <v>1999.66666666592</v>
      </c>
      <c r="F234" t="s">
        <v>8</v>
      </c>
      <c r="G234">
        <v>1999</v>
      </c>
      <c r="H234">
        <v>697</v>
      </c>
      <c r="M234" s="13">
        <f t="shared" si="6"/>
        <v>1.2553338136747407</v>
      </c>
      <c r="S234" s="12">
        <f>STANDARDIZE(C234,P$34,Q$34)</f>
        <v>1.6496674883029323</v>
      </c>
      <c r="T234" s="12">
        <v>1999.66666666592</v>
      </c>
      <c r="V234">
        <v>1.3807225332285777</v>
      </c>
      <c r="W234">
        <v>2000.3333333333101</v>
      </c>
    </row>
    <row r="235" spans="1:23" x14ac:dyDescent="0.3">
      <c r="A235" t="s">
        <v>9</v>
      </c>
      <c r="B235">
        <v>1999</v>
      </c>
      <c r="C235">
        <v>669</v>
      </c>
      <c r="D235" s="12">
        <v>1999.7499999992799</v>
      </c>
      <c r="F235" t="s">
        <v>9</v>
      </c>
      <c r="G235">
        <v>1999</v>
      </c>
      <c r="H235">
        <v>699</v>
      </c>
      <c r="M235" s="13">
        <f t="shared" si="6"/>
        <v>1.353002806043027</v>
      </c>
      <c r="S235" s="12">
        <f>STANDARDIZE(C235,P$35,Q$35)</f>
        <v>1.5301883289601927</v>
      </c>
      <c r="T235" s="12">
        <v>1999.7499999992799</v>
      </c>
      <c r="V235">
        <v>0.72940002221911571</v>
      </c>
      <c r="W235">
        <v>2000.24999999997</v>
      </c>
    </row>
    <row r="236" spans="1:23" x14ac:dyDescent="0.3">
      <c r="A236" t="s">
        <v>10</v>
      </c>
      <c r="B236">
        <v>1999</v>
      </c>
      <c r="C236">
        <v>685</v>
      </c>
      <c r="D236" s="12">
        <v>1999.83333333264</v>
      </c>
      <c r="F236" t="s">
        <v>10</v>
      </c>
      <c r="G236">
        <v>1999</v>
      </c>
      <c r="H236">
        <v>700</v>
      </c>
      <c r="M236" s="13">
        <f t="shared" si="6"/>
        <v>1.4018373022271702</v>
      </c>
      <c r="S236" s="12">
        <f>STANDARDIZE(C236,P$36,Q$36)</f>
        <v>1.7161081779018721</v>
      </c>
      <c r="T236" s="12">
        <v>1999.83333333264</v>
      </c>
      <c r="V236">
        <v>2.1719387758727859</v>
      </c>
      <c r="W236">
        <v>2000.1666666666399</v>
      </c>
    </row>
    <row r="237" spans="1:23" x14ac:dyDescent="0.3">
      <c r="A237" t="s">
        <v>11</v>
      </c>
      <c r="B237">
        <v>1999</v>
      </c>
      <c r="C237">
        <v>687</v>
      </c>
      <c r="D237" s="12">
        <v>1999.9166666660001</v>
      </c>
      <c r="F237" t="s">
        <v>11</v>
      </c>
      <c r="G237">
        <v>1999</v>
      </c>
      <c r="H237">
        <v>700</v>
      </c>
      <c r="M237" s="13">
        <f t="shared" si="6"/>
        <v>1.4018373022271702</v>
      </c>
      <c r="S237" s="12">
        <f>STANDARDIZE(C237,P$37,Q$37)</f>
        <v>1.4818441654953081</v>
      </c>
      <c r="T237" s="12">
        <v>1999.9166666660001</v>
      </c>
      <c r="V237">
        <v>1.1375226782445331</v>
      </c>
      <c r="W237">
        <v>2000.0833333333101</v>
      </c>
    </row>
    <row r="238" spans="1:23" x14ac:dyDescent="0.3">
      <c r="A238" t="s">
        <v>0</v>
      </c>
      <c r="B238">
        <v>2000</v>
      </c>
      <c r="C238">
        <v>677</v>
      </c>
      <c r="D238" s="12">
        <v>2000</v>
      </c>
      <c r="F238" t="s">
        <v>0</v>
      </c>
      <c r="G238">
        <v>2000</v>
      </c>
      <c r="H238">
        <v>695</v>
      </c>
      <c r="M238" s="13">
        <f t="shared" si="6"/>
        <v>1.1576648213064544</v>
      </c>
      <c r="S238" s="12">
        <f>STANDARDIZE(C238,P$26,Q$26)</f>
        <v>1.7884228977071297</v>
      </c>
      <c r="T238" s="12">
        <v>2000</v>
      </c>
      <c r="V238">
        <v>1.7884228977071297</v>
      </c>
      <c r="W238">
        <v>2000</v>
      </c>
    </row>
    <row r="239" spans="1:23" x14ac:dyDescent="0.3">
      <c r="A239" t="s">
        <v>1</v>
      </c>
      <c r="B239">
        <v>2000</v>
      </c>
      <c r="C239">
        <v>635</v>
      </c>
      <c r="D239" s="12">
        <v>2000.0833333333101</v>
      </c>
      <c r="F239" t="s">
        <v>1</v>
      </c>
      <c r="G239">
        <v>2000</v>
      </c>
      <c r="H239">
        <v>678</v>
      </c>
      <c r="M239" s="13">
        <f t="shared" si="6"/>
        <v>0.32747838617602076</v>
      </c>
      <c r="S239" s="12">
        <f>STANDARDIZE(C239,P$27,Q$27)</f>
        <v>1.1375226782445331</v>
      </c>
      <c r="T239" s="12">
        <v>2000.0833333333101</v>
      </c>
      <c r="V239">
        <v>1.4818441654953081</v>
      </c>
      <c r="W239">
        <v>1999.9166666660001</v>
      </c>
    </row>
    <row r="240" spans="1:23" x14ac:dyDescent="0.3">
      <c r="A240" t="s">
        <v>2</v>
      </c>
      <c r="B240">
        <v>2000</v>
      </c>
      <c r="C240">
        <v>601</v>
      </c>
      <c r="D240" s="12">
        <v>2000.1666666666399</v>
      </c>
      <c r="F240" t="s">
        <v>2</v>
      </c>
      <c r="G240">
        <v>2000</v>
      </c>
      <c r="H240">
        <v>665</v>
      </c>
      <c r="M240" s="13">
        <f t="shared" si="6"/>
        <v>-0.30737006421784024</v>
      </c>
      <c r="S240" s="12">
        <f>STANDARDIZE(C240,P$28,Q$28)</f>
        <v>2.1719387758727859</v>
      </c>
      <c r="T240" s="12">
        <v>2000.1666666666399</v>
      </c>
      <c r="V240">
        <v>1.7161081779018721</v>
      </c>
      <c r="W240">
        <v>1999.83333333264</v>
      </c>
    </row>
    <row r="241" spans="1:23" x14ac:dyDescent="0.3">
      <c r="A241" t="s">
        <v>3</v>
      </c>
      <c r="B241">
        <v>2000</v>
      </c>
      <c r="C241">
        <v>586</v>
      </c>
      <c r="D241" s="12">
        <v>2000.24999999997</v>
      </c>
      <c r="F241" t="s">
        <v>3</v>
      </c>
      <c r="G241">
        <v>2000</v>
      </c>
      <c r="M241" s="13"/>
      <c r="S241" s="12">
        <f>STANDARDIZE(C241,P$29,Q$29)</f>
        <v>0.72940002221911571</v>
      </c>
      <c r="T241" s="12">
        <v>2000.24999999997</v>
      </c>
      <c r="V241">
        <v>1.5301883289601927</v>
      </c>
      <c r="W241">
        <v>1999.7499999992799</v>
      </c>
    </row>
    <row r="242" spans="1:23" x14ac:dyDescent="0.3">
      <c r="A242" t="s">
        <v>4</v>
      </c>
      <c r="B242">
        <v>2000</v>
      </c>
      <c r="C242">
        <v>612</v>
      </c>
      <c r="D242" s="12">
        <v>2000.3333333333101</v>
      </c>
      <c r="F242" t="s">
        <v>4</v>
      </c>
      <c r="G242">
        <v>2000</v>
      </c>
      <c r="H242">
        <v>676</v>
      </c>
      <c r="M242" s="13">
        <f t="shared" si="6"/>
        <v>0.22980939380773446</v>
      </c>
      <c r="S242" s="12">
        <f>STANDARDIZE(C242,P$30,Q$30)</f>
        <v>1.3807225332285777</v>
      </c>
      <c r="T242" s="12">
        <v>2000.3333333333101</v>
      </c>
      <c r="V242">
        <v>1.6496674883029323</v>
      </c>
      <c r="W242">
        <v>1999.66666666592</v>
      </c>
    </row>
    <row r="243" spans="1:23" x14ac:dyDescent="0.3">
      <c r="A243" t="s">
        <v>5</v>
      </c>
      <c r="B243">
        <v>2000</v>
      </c>
      <c r="C243">
        <v>649</v>
      </c>
      <c r="D243" s="12">
        <v>2000.4166666666399</v>
      </c>
      <c r="F243" t="s">
        <v>5</v>
      </c>
      <c r="G243">
        <v>2000</v>
      </c>
      <c r="H243">
        <v>681</v>
      </c>
      <c r="M243" s="13">
        <f t="shared" si="6"/>
        <v>0.47398187472845021</v>
      </c>
      <c r="S243" s="12">
        <f>STANDARDIZE(C243,P$31,Q$31)</f>
        <v>1.7630454896163954</v>
      </c>
      <c r="T243" s="12">
        <v>2000.4166666666399</v>
      </c>
      <c r="V243">
        <v>1.586302802747382</v>
      </c>
      <c r="W243">
        <v>1999.58333333256</v>
      </c>
    </row>
    <row r="244" spans="1:23" x14ac:dyDescent="0.3">
      <c r="A244" t="s">
        <v>6</v>
      </c>
      <c r="B244">
        <v>2000</v>
      </c>
      <c r="C244">
        <v>671</v>
      </c>
      <c r="D244" s="12">
        <v>2000.49999999997</v>
      </c>
      <c r="F244" t="s">
        <v>6</v>
      </c>
      <c r="G244">
        <v>2000</v>
      </c>
      <c r="H244">
        <v>692</v>
      </c>
      <c r="M244" s="13">
        <f t="shared" si="6"/>
        <v>1.011161332754025</v>
      </c>
      <c r="S244" s="12">
        <f>STANDARDIZE(C244,P$32,Q$32)</f>
        <v>1.7921497910767623</v>
      </c>
      <c r="T244" s="12">
        <v>2000.49999999997</v>
      </c>
      <c r="V244">
        <v>1.5871862695812069</v>
      </c>
      <c r="W244">
        <v>1999.4999999992001</v>
      </c>
    </row>
    <row r="245" spans="1:23" x14ac:dyDescent="0.3">
      <c r="A245" t="s">
        <v>7</v>
      </c>
      <c r="B245">
        <v>2000</v>
      </c>
      <c r="C245">
        <v>665</v>
      </c>
      <c r="D245" s="12">
        <v>2000.5833333333101</v>
      </c>
      <c r="F245" t="s">
        <v>7</v>
      </c>
      <c r="G245">
        <v>2000</v>
      </c>
      <c r="H245">
        <v>693</v>
      </c>
      <c r="M245" s="13">
        <f t="shared" si="6"/>
        <v>1.0599958289381681</v>
      </c>
      <c r="S245" s="12">
        <f>STANDARDIZE(C245,P$33,Q$33)</f>
        <v>1.6607334327883148</v>
      </c>
      <c r="T245" s="12">
        <v>2000.5833333333101</v>
      </c>
      <c r="V245">
        <v>1.9541060554964498</v>
      </c>
      <c r="W245">
        <v>1999.41666666584</v>
      </c>
    </row>
    <row r="246" spans="1:23" x14ac:dyDescent="0.3">
      <c r="A246" t="s">
        <v>8</v>
      </c>
      <c r="B246">
        <v>2000</v>
      </c>
      <c r="C246">
        <v>654</v>
      </c>
      <c r="D246" s="12">
        <v>2000.6666666666399</v>
      </c>
      <c r="F246" t="s">
        <v>8</v>
      </c>
      <c r="G246">
        <v>2000</v>
      </c>
      <c r="H246">
        <v>684</v>
      </c>
      <c r="M246" s="13">
        <f t="shared" si="6"/>
        <v>0.62048536328087966</v>
      </c>
      <c r="S246" s="12">
        <f>STANDARDIZE(C246,P$34,Q$34)</f>
        <v>1.4708552050393853</v>
      </c>
      <c r="T246" s="12">
        <v>2000.6666666666399</v>
      </c>
      <c r="V246">
        <v>2.3218713411402851</v>
      </c>
      <c r="W246">
        <v>1999.3333333324799</v>
      </c>
    </row>
    <row r="247" spans="1:23" x14ac:dyDescent="0.3">
      <c r="A247" t="s">
        <v>9</v>
      </c>
      <c r="B247">
        <v>2000</v>
      </c>
      <c r="C247">
        <v>670</v>
      </c>
      <c r="D247" s="12">
        <v>2000.74999999997</v>
      </c>
      <c r="F247" t="s">
        <v>9</v>
      </c>
      <c r="G247">
        <v>2000</v>
      </c>
      <c r="H247">
        <v>682</v>
      </c>
      <c r="M247" s="13">
        <f t="shared" si="6"/>
        <v>0.52281637091259336</v>
      </c>
      <c r="S247" s="12">
        <f>STANDARDIZE(C247,P$35,Q$35)</f>
        <v>1.5515242882310973</v>
      </c>
      <c r="T247" s="12">
        <v>2000.74999999997</v>
      </c>
      <c r="V247">
        <v>1.1914590797727034</v>
      </c>
      <c r="W247">
        <v>1999.2499999991201</v>
      </c>
    </row>
    <row r="248" spans="1:23" x14ac:dyDescent="0.3">
      <c r="A248" t="s">
        <v>10</v>
      </c>
      <c r="B248">
        <v>2000</v>
      </c>
      <c r="C248">
        <v>677</v>
      </c>
      <c r="D248" s="12">
        <v>2000.8333333333101</v>
      </c>
      <c r="F248" t="s">
        <v>10</v>
      </c>
      <c r="G248">
        <v>2000</v>
      </c>
      <c r="H248">
        <v>698</v>
      </c>
      <c r="M248" s="13">
        <f t="shared" si="6"/>
        <v>1.3041683098588839</v>
      </c>
      <c r="S248" s="12">
        <f>STANDARDIZE(C248,P$36,Q$36)</f>
        <v>1.5202438472987161</v>
      </c>
      <c r="T248" s="12">
        <v>2000.8333333333101</v>
      </c>
      <c r="V248">
        <v>2.7492974650764368</v>
      </c>
      <c r="W248">
        <v>1999.16666666576</v>
      </c>
    </row>
    <row r="249" spans="1:23" x14ac:dyDescent="0.3">
      <c r="A249" t="s">
        <v>11</v>
      </c>
      <c r="B249">
        <v>2000</v>
      </c>
      <c r="C249">
        <v>666</v>
      </c>
      <c r="D249" s="12">
        <v>2000.9166666666399</v>
      </c>
      <c r="F249" t="s">
        <v>11</v>
      </c>
      <c r="G249">
        <v>2000</v>
      </c>
      <c r="H249">
        <v>708</v>
      </c>
      <c r="M249" s="13">
        <f t="shared" si="6"/>
        <v>1.7925132717003154</v>
      </c>
      <c r="S249" s="12">
        <f>STANDARDIZE(C249,P$37,Q$37)</f>
        <v>1.0462364318063986</v>
      </c>
      <c r="T249" s="12">
        <v>2000.9166666666399</v>
      </c>
      <c r="V249">
        <v>1.0998885234680331</v>
      </c>
      <c r="W249">
        <v>1999.0833333323999</v>
      </c>
    </row>
    <row r="250" spans="1:23" x14ac:dyDescent="0.3">
      <c r="A250" t="s">
        <v>0</v>
      </c>
      <c r="B250">
        <v>2001</v>
      </c>
      <c r="C250">
        <v>579</v>
      </c>
      <c r="D250" s="12">
        <v>2001</v>
      </c>
      <c r="F250" t="s">
        <v>0</v>
      </c>
      <c r="G250">
        <v>2001</v>
      </c>
      <c r="H250">
        <v>674</v>
      </c>
      <c r="M250" s="13">
        <f t="shared" si="6"/>
        <v>0.13214040143944814</v>
      </c>
      <c r="S250" s="12">
        <f>STANDARDIZE(C250,P$26,Q$26)</f>
        <v>0.12229938858898882</v>
      </c>
      <c r="T250" s="12">
        <v>2001</v>
      </c>
      <c r="V250">
        <v>1.431396431467528</v>
      </c>
      <c r="W250">
        <v>1998.99999999904</v>
      </c>
    </row>
    <row r="251" spans="1:23" x14ac:dyDescent="0.3">
      <c r="A251" t="s">
        <v>1</v>
      </c>
      <c r="B251">
        <v>2001</v>
      </c>
      <c r="C251">
        <v>485</v>
      </c>
      <c r="D251" s="12">
        <v>2001.0833333333101</v>
      </c>
      <c r="F251" t="s">
        <v>1</v>
      </c>
      <c r="G251">
        <v>2001</v>
      </c>
      <c r="H251">
        <v>648</v>
      </c>
      <c r="M251" s="13">
        <f t="shared" si="6"/>
        <v>-1.1375564993482739</v>
      </c>
      <c r="S251" s="12">
        <f>STANDARDIZE(C251,P$27,Q$27)</f>
        <v>-0.27375812587421827</v>
      </c>
      <c r="T251" s="12">
        <v>2001.0833333333101</v>
      </c>
      <c r="V251">
        <v>0.88029062849633788</v>
      </c>
      <c r="W251">
        <v>1998.9166666656799</v>
      </c>
    </row>
    <row r="252" spans="1:23" x14ac:dyDescent="0.3">
      <c r="A252" t="s">
        <v>2</v>
      </c>
      <c r="B252">
        <v>2001</v>
      </c>
      <c r="C252">
        <v>482</v>
      </c>
      <c r="D252" s="12">
        <v>2001.1666666666399</v>
      </c>
      <c r="F252" t="s">
        <v>2</v>
      </c>
      <c r="G252">
        <v>2001</v>
      </c>
      <c r="H252">
        <v>648</v>
      </c>
      <c r="M252" s="13">
        <f t="shared" si="6"/>
        <v>-1.1375564993482739</v>
      </c>
      <c r="S252" s="12">
        <f>STANDARDIZE(C252,P$28,Q$28)</f>
        <v>-0.19722274189391953</v>
      </c>
      <c r="T252" s="12">
        <v>2001.1666666666399</v>
      </c>
      <c r="V252">
        <v>0.90816781416385295</v>
      </c>
      <c r="W252">
        <v>1998.8333333323201</v>
      </c>
    </row>
    <row r="253" spans="1:23" x14ac:dyDescent="0.3">
      <c r="A253" t="s">
        <v>3</v>
      </c>
      <c r="B253">
        <v>2001</v>
      </c>
      <c r="C253">
        <v>484</v>
      </c>
      <c r="D253" s="12">
        <v>2001.24999999997</v>
      </c>
      <c r="F253" t="s">
        <v>3</v>
      </c>
      <c r="G253">
        <v>2001</v>
      </c>
      <c r="H253">
        <v>650</v>
      </c>
      <c r="M253" s="13">
        <f t="shared" si="6"/>
        <v>-1.0398875069799876</v>
      </c>
      <c r="S253" s="12">
        <f>STANDARDIZE(C253,P$29,Q$29)</f>
        <v>-0.2733664431099469</v>
      </c>
      <c r="T253" s="12">
        <v>2001.24999999997</v>
      </c>
      <c r="V253">
        <v>0.9967893471875765</v>
      </c>
      <c r="W253">
        <v>1998.74999999896</v>
      </c>
    </row>
    <row r="254" spans="1:23" x14ac:dyDescent="0.3">
      <c r="A254" t="s">
        <v>4</v>
      </c>
      <c r="B254">
        <v>2001</v>
      </c>
      <c r="C254">
        <v>510</v>
      </c>
      <c r="D254" s="12">
        <v>2001.3333333333101</v>
      </c>
      <c r="F254" t="s">
        <v>4</v>
      </c>
      <c r="G254">
        <v>2001</v>
      </c>
      <c r="H254">
        <v>657</v>
      </c>
      <c r="M254" s="13">
        <f t="shared" si="6"/>
        <v>-0.6980460336909855</v>
      </c>
      <c r="S254" s="12">
        <f>STANDARDIZE(C254,P$30,Q$30)</f>
        <v>-1.213795802095589</v>
      </c>
      <c r="T254" s="12">
        <v>2001.3333333333101</v>
      </c>
      <c r="V254">
        <v>1.1132306385122912</v>
      </c>
      <c r="W254">
        <v>1998.6666666655999</v>
      </c>
    </row>
    <row r="255" spans="1:23" x14ac:dyDescent="0.3">
      <c r="A255" t="s">
        <v>5</v>
      </c>
      <c r="B255">
        <v>2001</v>
      </c>
      <c r="C255">
        <v>563</v>
      </c>
      <c r="D255" s="12">
        <v>2001.4166666666399</v>
      </c>
      <c r="F255" t="s">
        <v>5</v>
      </c>
      <c r="G255">
        <v>2001</v>
      </c>
      <c r="H255">
        <v>664</v>
      </c>
      <c r="M255" s="13">
        <f t="shared" si="6"/>
        <v>-0.35620456040198339</v>
      </c>
      <c r="S255" s="12">
        <f>STANDARDIZE(C255,P$31,Q$31)</f>
        <v>-0.58427003405284506</v>
      </c>
      <c r="T255" s="12">
        <v>2001.4166666666399</v>
      </c>
      <c r="V255">
        <v>1.0280730774403855</v>
      </c>
      <c r="W255">
        <v>1998.58333333224</v>
      </c>
    </row>
    <row r="256" spans="1:23" x14ac:dyDescent="0.3">
      <c r="A256" t="s">
        <v>6</v>
      </c>
      <c r="B256">
        <v>2001</v>
      </c>
      <c r="C256">
        <v>552</v>
      </c>
      <c r="D256" s="12">
        <v>2001.49999999998</v>
      </c>
      <c r="F256" t="s">
        <v>6</v>
      </c>
      <c r="G256">
        <v>2001</v>
      </c>
      <c r="H256">
        <v>663</v>
      </c>
      <c r="M256" s="13">
        <f t="shared" si="6"/>
        <v>-0.40503905658612654</v>
      </c>
      <c r="S256" s="12">
        <f>STANDARDIZE(C256,P$32,Q$32)</f>
        <v>-0.6469161147203466</v>
      </c>
      <c r="T256" s="12">
        <v>2001.49999999998</v>
      </c>
      <c r="V256">
        <v>0.82882124004765201</v>
      </c>
      <c r="W256">
        <v>1998.49999999888</v>
      </c>
    </row>
    <row r="257" spans="1:23" x14ac:dyDescent="0.3">
      <c r="A257" t="s">
        <v>7</v>
      </c>
      <c r="B257">
        <v>2001</v>
      </c>
      <c r="C257">
        <v>533</v>
      </c>
      <c r="D257" s="12">
        <v>2001.5833333333101</v>
      </c>
      <c r="F257" t="s">
        <v>7</v>
      </c>
      <c r="G257">
        <v>2001</v>
      </c>
      <c r="H257">
        <v>661</v>
      </c>
      <c r="M257" s="13">
        <f t="shared" si="6"/>
        <v>-0.5027080489544129</v>
      </c>
      <c r="S257" s="12">
        <f>STANDARDIZE(C257,P$33,Q$33)</f>
        <v>-0.79547735856247015</v>
      </c>
      <c r="T257" s="12">
        <v>2001.5833333333101</v>
      </c>
      <c r="V257">
        <v>0.56209336122748166</v>
      </c>
      <c r="W257">
        <v>1998.4166666655201</v>
      </c>
    </row>
    <row r="258" spans="1:23" x14ac:dyDescent="0.3">
      <c r="A258" t="s">
        <v>8</v>
      </c>
      <c r="B258">
        <v>2001</v>
      </c>
      <c r="C258">
        <v>541</v>
      </c>
      <c r="D258" s="12">
        <v>2001.6666666666399</v>
      </c>
      <c r="F258" t="s">
        <v>8</v>
      </c>
      <c r="G258">
        <v>2001</v>
      </c>
      <c r="H258">
        <v>662</v>
      </c>
      <c r="M258" s="13">
        <f t="shared" si="6"/>
        <v>-0.45387355277026969</v>
      </c>
      <c r="S258" s="12">
        <f>STANDARDIZE(C258,P$34,Q$34)</f>
        <v>-0.77423235149181657</v>
      </c>
      <c r="T258" s="12">
        <v>2001.6666666666399</v>
      </c>
      <c r="V258">
        <v>0.21064563690591429</v>
      </c>
      <c r="W258">
        <v>1998.33333333216</v>
      </c>
    </row>
    <row r="259" spans="1:23" x14ac:dyDescent="0.3">
      <c r="A259" t="s">
        <v>9</v>
      </c>
      <c r="B259">
        <v>2001</v>
      </c>
      <c r="C259">
        <v>572</v>
      </c>
      <c r="D259" s="12">
        <v>2001.74999999998</v>
      </c>
      <c r="F259" t="s">
        <v>9</v>
      </c>
      <c r="G259">
        <v>2001</v>
      </c>
      <c r="H259">
        <v>667</v>
      </c>
      <c r="M259" s="13">
        <f t="shared" si="6"/>
        <v>-0.20970107184955394</v>
      </c>
      <c r="S259" s="12">
        <f>STANDARDIZE(C259,P$35,Q$35)</f>
        <v>-0.53939972031755812</v>
      </c>
      <c r="T259" s="12">
        <v>2001.74999999998</v>
      </c>
      <c r="V259">
        <v>-0.1357318302216442</v>
      </c>
      <c r="W259">
        <v>1998.2499999987999</v>
      </c>
    </row>
    <row r="260" spans="1:23" x14ac:dyDescent="0.3">
      <c r="A260" t="s">
        <v>10</v>
      </c>
      <c r="B260">
        <v>2001</v>
      </c>
      <c r="C260">
        <v>600</v>
      </c>
      <c r="D260" s="12">
        <v>2001.8333333333101</v>
      </c>
      <c r="F260" t="s">
        <v>10</v>
      </c>
      <c r="G260">
        <v>2001</v>
      </c>
      <c r="H260">
        <v>686</v>
      </c>
      <c r="M260" s="13">
        <f t="shared" si="6"/>
        <v>0.71815435564916597</v>
      </c>
      <c r="S260" s="12">
        <f>STANDARDIZE(C260,P$36,Q$36)</f>
        <v>-0.36495033475666205</v>
      </c>
      <c r="T260" s="12">
        <v>2001.8333333333101</v>
      </c>
      <c r="V260">
        <v>-0.85421711236703946</v>
      </c>
      <c r="W260">
        <v>1998.1666666654401</v>
      </c>
    </row>
    <row r="261" spans="1:23" x14ac:dyDescent="0.3">
      <c r="A261" t="s">
        <v>11</v>
      </c>
      <c r="B261">
        <v>2001</v>
      </c>
      <c r="C261">
        <v>617</v>
      </c>
      <c r="D261" s="12">
        <v>2001.9166666666399</v>
      </c>
      <c r="F261" t="s">
        <v>11</v>
      </c>
      <c r="G261">
        <v>2001</v>
      </c>
      <c r="H261">
        <v>687</v>
      </c>
      <c r="M261" s="13">
        <f t="shared" si="6"/>
        <v>0.76698885183330912</v>
      </c>
      <c r="S261" s="12">
        <f>STANDARDIZE(C261,P$37,Q$37)</f>
        <v>2.9818386532276538E-2</v>
      </c>
      <c r="T261" s="12">
        <v>2001.9166666666399</v>
      </c>
      <c r="V261">
        <v>-0.66891675102746861</v>
      </c>
      <c r="W261">
        <v>1998.08333333208</v>
      </c>
    </row>
    <row r="262" spans="1:23" x14ac:dyDescent="0.3">
      <c r="A262" t="s">
        <v>0</v>
      </c>
      <c r="B262">
        <v>2002</v>
      </c>
      <c r="C262">
        <v>599</v>
      </c>
      <c r="D262" s="12">
        <v>2002</v>
      </c>
      <c r="F262" t="s">
        <v>0</v>
      </c>
      <c r="G262">
        <v>2002</v>
      </c>
      <c r="H262">
        <v>684</v>
      </c>
      <c r="M262" s="13">
        <f t="shared" si="6"/>
        <v>0.62048536328087966</v>
      </c>
      <c r="S262" s="12">
        <f>STANDARDIZE(C262,P$26,Q$26)</f>
        <v>0.46232459453146657</v>
      </c>
      <c r="T262" s="12">
        <v>2002</v>
      </c>
      <c r="V262">
        <v>-2.0708631897399927</v>
      </c>
      <c r="W262">
        <v>1997.9999999987201</v>
      </c>
    </row>
    <row r="263" spans="1:23" x14ac:dyDescent="0.3">
      <c r="A263" t="s">
        <v>1</v>
      </c>
      <c r="B263">
        <v>2002</v>
      </c>
      <c r="C263">
        <v>507</v>
      </c>
      <c r="D263" s="12">
        <v>2002.0833333333101</v>
      </c>
      <c r="F263" t="s">
        <v>1</v>
      </c>
      <c r="G263">
        <v>2002</v>
      </c>
      <c r="H263">
        <v>653</v>
      </c>
      <c r="M263" s="13">
        <f t="shared" si="6"/>
        <v>-0.8933840184275581</v>
      </c>
      <c r="S263" s="12">
        <f>STANDARDIZE(C263,P$27,Q$27)</f>
        <v>-6.6770274603468044E-2</v>
      </c>
      <c r="T263" s="12">
        <v>2002.0833333333101</v>
      </c>
      <c r="V263">
        <v>-1.8578151261196645</v>
      </c>
      <c r="W263">
        <v>1997.91666666536</v>
      </c>
    </row>
    <row r="264" spans="1:23" x14ac:dyDescent="0.3">
      <c r="A264" t="s">
        <v>2</v>
      </c>
      <c r="B264">
        <v>2002</v>
      </c>
      <c r="C264">
        <v>493</v>
      </c>
      <c r="D264" s="12">
        <v>2002.1666666666399</v>
      </c>
      <c r="F264" t="s">
        <v>2</v>
      </c>
      <c r="G264">
        <v>2002</v>
      </c>
      <c r="H264">
        <v>651</v>
      </c>
      <c r="M264" s="13">
        <f t="shared" si="6"/>
        <v>-0.9910530107958444</v>
      </c>
      <c r="S264" s="12">
        <f>STANDARDIZE(C264,P$28,Q$28)</f>
        <v>2.1775381597120454E-2</v>
      </c>
      <c r="T264" s="12">
        <v>2002.1666666666399</v>
      </c>
      <c r="V264">
        <v>-1.7115176076533607</v>
      </c>
      <c r="W264">
        <v>1997.8333333319999</v>
      </c>
    </row>
    <row r="265" spans="1:23" x14ac:dyDescent="0.3">
      <c r="A265" t="s">
        <v>3</v>
      </c>
      <c r="B265">
        <v>2002</v>
      </c>
      <c r="C265">
        <v>553</v>
      </c>
      <c r="D265" s="12">
        <v>2002.24999999998</v>
      </c>
      <c r="F265" t="s">
        <v>3</v>
      </c>
      <c r="G265">
        <v>2002</v>
      </c>
      <c r="H265">
        <v>660</v>
      </c>
      <c r="M265" s="13">
        <f t="shared" si="6"/>
        <v>-0.55154254513855605</v>
      </c>
      <c r="S265" s="12">
        <f>STANDARDIZE(C265,P$29,Q$29)</f>
        <v>0.40497557755383073</v>
      </c>
      <c r="T265" s="12">
        <v>2002.24999999998</v>
      </c>
      <c r="V265">
        <v>-1.4568459689664581</v>
      </c>
      <c r="W265">
        <v>1997.7499999986401</v>
      </c>
    </row>
    <row r="266" spans="1:23" x14ac:dyDescent="0.3">
      <c r="A266" t="s">
        <v>4</v>
      </c>
      <c r="B266">
        <v>2002</v>
      </c>
      <c r="C266">
        <v>604</v>
      </c>
      <c r="D266" s="12">
        <v>2002.3333333333101</v>
      </c>
      <c r="F266" t="s">
        <v>4</v>
      </c>
      <c r="G266">
        <v>2002</v>
      </c>
      <c r="H266">
        <v>672</v>
      </c>
      <c r="M266" s="13">
        <f t="shared" si="6"/>
        <v>3.4471409071161835E-2</v>
      </c>
      <c r="S266" s="12">
        <f>STANDARDIZE(C266,P$30,Q$30)</f>
        <v>1.1772308990855058</v>
      </c>
      <c r="T266" s="12">
        <v>2002.3333333333101</v>
      </c>
      <c r="V266">
        <v>-1.847106051073099</v>
      </c>
      <c r="W266">
        <v>1997.66666666528</v>
      </c>
    </row>
    <row r="267" spans="1:23" x14ac:dyDescent="0.3">
      <c r="A267" t="s">
        <v>5</v>
      </c>
      <c r="B267">
        <v>2002</v>
      </c>
      <c r="C267">
        <v>623</v>
      </c>
      <c r="D267" s="12">
        <v>2002.4166666666399</v>
      </c>
      <c r="F267" t="s">
        <v>5</v>
      </c>
      <c r="G267">
        <v>2002</v>
      </c>
      <c r="H267">
        <v>672</v>
      </c>
      <c r="M267" s="13">
        <f t="shared" ref="M267:M330" si="7">STANDARDIZE(H267,H$7,H$8)</f>
        <v>3.4471409071161835E-2</v>
      </c>
      <c r="S267" s="12">
        <f>STANDARDIZE(C267,P$31,Q$31)</f>
        <v>1.0533919592047645</v>
      </c>
      <c r="T267" s="12">
        <v>2002.4166666666399</v>
      </c>
      <c r="V267">
        <v>-1.6514296040331982</v>
      </c>
      <c r="W267">
        <v>1997.5833333319199</v>
      </c>
    </row>
    <row r="268" spans="1:23" x14ac:dyDescent="0.3">
      <c r="A268" t="s">
        <v>6</v>
      </c>
      <c r="B268">
        <v>2002</v>
      </c>
      <c r="C268">
        <v>617</v>
      </c>
      <c r="D268" s="12">
        <v>2002.49999999998</v>
      </c>
      <c r="F268" t="s">
        <v>6</v>
      </c>
      <c r="G268">
        <v>2002</v>
      </c>
      <c r="H268">
        <v>675</v>
      </c>
      <c r="M268" s="13">
        <f t="shared" si="7"/>
        <v>0.18097489762359129</v>
      </c>
      <c r="S268" s="12">
        <f>STANDARDIZE(C268,P$32,Q$32)</f>
        <v>0.68534677500076324</v>
      </c>
      <c r="T268" s="12">
        <v>2002.49999999998</v>
      </c>
      <c r="V268">
        <v>-1.118332214160124</v>
      </c>
      <c r="W268">
        <v>1997.49999999856</v>
      </c>
    </row>
    <row r="269" spans="1:23" x14ac:dyDescent="0.3">
      <c r="A269" t="s">
        <v>7</v>
      </c>
      <c r="B269">
        <v>2002</v>
      </c>
      <c r="C269">
        <v>574</v>
      </c>
      <c r="D269" s="12">
        <v>2002.5833333333101</v>
      </c>
      <c r="F269" t="s">
        <v>7</v>
      </c>
      <c r="G269">
        <v>2002</v>
      </c>
      <c r="H269">
        <v>668</v>
      </c>
      <c r="M269" s="13">
        <f t="shared" si="7"/>
        <v>-0.16086657566541079</v>
      </c>
      <c r="S269" s="12">
        <f>STANDARDIZE(C269,P$33,Q$33)</f>
        <v>-3.2563400642908136E-2</v>
      </c>
      <c r="T269" s="12">
        <v>2002.5833333333101</v>
      </c>
      <c r="V269">
        <v>-2.085460194538987</v>
      </c>
      <c r="W269">
        <v>1997.4166666652</v>
      </c>
    </row>
    <row r="270" spans="1:23" x14ac:dyDescent="0.3">
      <c r="A270" t="s">
        <v>8</v>
      </c>
      <c r="B270">
        <v>2002</v>
      </c>
      <c r="C270">
        <v>580</v>
      </c>
      <c r="D270" s="12">
        <v>2002.6666666666399</v>
      </c>
      <c r="F270" t="s">
        <v>8</v>
      </c>
      <c r="G270">
        <v>2002</v>
      </c>
      <c r="H270">
        <v>670</v>
      </c>
      <c r="M270" s="13">
        <f t="shared" si="7"/>
        <v>-6.3197583297124479E-2</v>
      </c>
      <c r="S270" s="12">
        <f>STANDARDIZE(C270,P$34,Q$34)</f>
        <v>6.2087598355398284E-4</v>
      </c>
      <c r="T270" s="12">
        <v>2002.6666666666399</v>
      </c>
      <c r="V270">
        <v>-2.0786352472036449</v>
      </c>
      <c r="W270">
        <v>1997.3333333318401</v>
      </c>
    </row>
    <row r="271" spans="1:23" x14ac:dyDescent="0.3">
      <c r="A271" t="s">
        <v>9</v>
      </c>
      <c r="B271">
        <v>2002</v>
      </c>
      <c r="C271">
        <v>600</v>
      </c>
      <c r="D271" s="12">
        <v>2002.74999999998</v>
      </c>
      <c r="F271" t="s">
        <v>9</v>
      </c>
      <c r="G271">
        <v>2002</v>
      </c>
      <c r="H271">
        <v>674</v>
      </c>
      <c r="M271" s="13">
        <f t="shared" si="7"/>
        <v>0.13214040143944814</v>
      </c>
      <c r="S271" s="12">
        <f>STANDARDIZE(C271,P$35,Q$35)</f>
        <v>5.8007139267772012E-2</v>
      </c>
      <c r="T271" s="12">
        <v>2002.74999999998</v>
      </c>
      <c r="V271">
        <v>-0.7157634131080628</v>
      </c>
      <c r="W271">
        <v>1997.24999999848</v>
      </c>
    </row>
    <row r="272" spans="1:23" x14ac:dyDescent="0.3">
      <c r="A272" t="s">
        <v>10</v>
      </c>
      <c r="B272">
        <v>2002</v>
      </c>
      <c r="C272">
        <v>631</v>
      </c>
      <c r="D272" s="12">
        <v>2002.8333333333101</v>
      </c>
      <c r="F272" t="s">
        <v>10</v>
      </c>
      <c r="G272">
        <v>2002</v>
      </c>
      <c r="H272">
        <v>688</v>
      </c>
      <c r="M272" s="13">
        <f t="shared" si="7"/>
        <v>0.81582334801745227</v>
      </c>
      <c r="S272" s="12">
        <f>STANDARDIZE(C272,P$36,Q$36)</f>
        <v>0.39402394633056809</v>
      </c>
      <c r="T272" s="12">
        <v>2002.8333333333101</v>
      </c>
      <c r="V272">
        <v>-1.0333973952233451</v>
      </c>
      <c r="W272">
        <v>1997.1666666651099</v>
      </c>
    </row>
    <row r="273" spans="1:23" x14ac:dyDescent="0.3">
      <c r="A273" t="s">
        <v>11</v>
      </c>
      <c r="B273">
        <v>2002</v>
      </c>
      <c r="C273">
        <v>601</v>
      </c>
      <c r="D273" s="12">
        <v>2002.9166666666399</v>
      </c>
      <c r="F273" t="s">
        <v>11</v>
      </c>
      <c r="G273">
        <v>2002</v>
      </c>
      <c r="H273">
        <v>683</v>
      </c>
      <c r="M273" s="13">
        <f t="shared" si="7"/>
        <v>0.57165086709673651</v>
      </c>
      <c r="S273" s="12">
        <f>STANDARDIZE(C273,P$37,Q$37)</f>
        <v>-0.30207322008784493</v>
      </c>
      <c r="T273" s="12">
        <v>2002.9166666666399</v>
      </c>
      <c r="V273">
        <v>-5.7361735909343035E-2</v>
      </c>
      <c r="W273">
        <v>1997.0833333317501</v>
      </c>
    </row>
    <row r="274" spans="1:23" x14ac:dyDescent="0.3">
      <c r="A274" t="s">
        <v>0</v>
      </c>
      <c r="B274">
        <v>2003</v>
      </c>
      <c r="C274">
        <v>518</v>
      </c>
      <c r="D274" s="12">
        <v>2003</v>
      </c>
      <c r="F274" t="s">
        <v>0</v>
      </c>
      <c r="G274">
        <v>2003</v>
      </c>
      <c r="H274">
        <v>663</v>
      </c>
      <c r="M274" s="13">
        <f t="shared" si="7"/>
        <v>-0.40503905658612654</v>
      </c>
      <c r="S274" s="12">
        <f>STANDARDIZE(C274,P$26,Q$26)</f>
        <v>-0.91477748953556826</v>
      </c>
      <c r="T274" s="12">
        <v>2003</v>
      </c>
      <c r="V274">
        <v>-0.38773842032472777</v>
      </c>
      <c r="W274">
        <v>1996.99999999839</v>
      </c>
    </row>
    <row r="275" spans="1:23" x14ac:dyDescent="0.3">
      <c r="A275" t="s">
        <v>1</v>
      </c>
      <c r="B275">
        <v>2003</v>
      </c>
      <c r="C275">
        <v>474</v>
      </c>
      <c r="D275" s="12">
        <v>2003.0833333333101</v>
      </c>
      <c r="F275" t="s">
        <v>1</v>
      </c>
      <c r="G275">
        <v>2003</v>
      </c>
      <c r="H275">
        <v>652</v>
      </c>
      <c r="M275" s="13">
        <f t="shared" si="7"/>
        <v>-0.94221851461170125</v>
      </c>
      <c r="S275" s="12">
        <f>STANDARDIZE(C275,P$27,Q$27)</f>
        <v>-0.37725205150959334</v>
      </c>
      <c r="T275" s="12">
        <v>2003.0833333333101</v>
      </c>
      <c r="V275">
        <v>9.2048062773549322E-2</v>
      </c>
      <c r="W275">
        <v>1996.9166666650301</v>
      </c>
    </row>
    <row r="276" spans="1:23" x14ac:dyDescent="0.3">
      <c r="A276" t="s">
        <v>2</v>
      </c>
      <c r="B276">
        <v>2003</v>
      </c>
      <c r="C276">
        <v>471</v>
      </c>
      <c r="D276" s="12">
        <v>2003.1666666666499</v>
      </c>
      <c r="F276" t="s">
        <v>2</v>
      </c>
      <c r="G276">
        <v>2003</v>
      </c>
      <c r="H276">
        <v>648</v>
      </c>
      <c r="M276" s="13">
        <f t="shared" si="7"/>
        <v>-1.1375564993482739</v>
      </c>
      <c r="S276" s="12">
        <f>STANDARDIZE(C276,P$28,Q$28)</f>
        <v>-0.4162208653849595</v>
      </c>
      <c r="T276" s="12">
        <v>2003.1666666666499</v>
      </c>
      <c r="V276">
        <v>0.29609178102898998</v>
      </c>
      <c r="W276">
        <v>1996.83333333167</v>
      </c>
    </row>
    <row r="277" spans="1:23" x14ac:dyDescent="0.3">
      <c r="A277" t="s">
        <v>3</v>
      </c>
      <c r="B277">
        <v>2003</v>
      </c>
      <c r="D277" s="12">
        <v>2003.24999999998</v>
      </c>
      <c r="E277" s="1"/>
      <c r="F277" t="s">
        <v>3</v>
      </c>
      <c r="G277">
        <v>2003</v>
      </c>
      <c r="H277">
        <v>656</v>
      </c>
      <c r="M277" s="13">
        <f t="shared" si="7"/>
        <v>-0.74688052987512865</v>
      </c>
      <c r="S277" s="12"/>
      <c r="T277" s="12">
        <v>2003.24999999998</v>
      </c>
      <c r="V277">
        <v>0.61274208031129285</v>
      </c>
      <c r="W277">
        <v>1996.7499999983099</v>
      </c>
    </row>
    <row r="278" spans="1:23" x14ac:dyDescent="0.3">
      <c r="A278" t="s">
        <v>4</v>
      </c>
      <c r="B278">
        <v>2003</v>
      </c>
      <c r="C278">
        <v>567</v>
      </c>
      <c r="D278" s="12">
        <v>2003.3333333333101</v>
      </c>
      <c r="F278" t="s">
        <v>4</v>
      </c>
      <c r="G278">
        <v>2003</v>
      </c>
      <c r="H278">
        <v>671</v>
      </c>
      <c r="M278" s="13">
        <f t="shared" si="7"/>
        <v>-1.4363087112981321E-2</v>
      </c>
      <c r="S278" s="12">
        <f>STANDARDIZE(C278,P$30,Q$30)</f>
        <v>0.23608209117379828</v>
      </c>
      <c r="T278" s="12">
        <v>2003.3333333333101</v>
      </c>
      <c r="V278">
        <v>0.97415441819619908</v>
      </c>
      <c r="W278">
        <v>1996.6666666649501</v>
      </c>
    </row>
    <row r="279" spans="1:23" x14ac:dyDescent="0.3">
      <c r="A279" t="s">
        <v>5</v>
      </c>
      <c r="B279">
        <v>2003</v>
      </c>
      <c r="C279">
        <v>599</v>
      </c>
      <c r="D279" s="12">
        <v>2003.4166666666499</v>
      </c>
      <c r="F279" t="s">
        <v>5</v>
      </c>
      <c r="G279">
        <v>2003</v>
      </c>
      <c r="H279">
        <v>676</v>
      </c>
      <c r="M279" s="13">
        <f t="shared" si="7"/>
        <v>0.22980939380773446</v>
      </c>
      <c r="S279" s="12">
        <f>STANDARDIZE(C279,P$31,Q$31)</f>
        <v>0.39832716190172068</v>
      </c>
      <c r="T279" s="12">
        <v>2003.4166666666499</v>
      </c>
      <c r="V279">
        <v>1.1211113649915514</v>
      </c>
      <c r="W279">
        <v>1996.58333333159</v>
      </c>
    </row>
    <row r="280" spans="1:23" x14ac:dyDescent="0.3">
      <c r="A280" t="s">
        <v>6</v>
      </c>
      <c r="B280">
        <v>2003</v>
      </c>
      <c r="C280">
        <v>624</v>
      </c>
      <c r="D280" s="12">
        <v>2003.49999999998</v>
      </c>
      <c r="F280" t="s">
        <v>6</v>
      </c>
      <c r="G280">
        <v>2003</v>
      </c>
      <c r="H280">
        <v>684</v>
      </c>
      <c r="M280" s="13">
        <f t="shared" si="7"/>
        <v>0.62048536328087966</v>
      </c>
      <c r="S280" s="12">
        <f>STANDARDIZE(C280,P$32,Q$32)</f>
        <v>0.82882124004765201</v>
      </c>
      <c r="T280" s="12">
        <v>2003.49999999998</v>
      </c>
      <c r="V280">
        <v>0.95179935294498519</v>
      </c>
      <c r="W280">
        <v>1996.4999999982299</v>
      </c>
    </row>
    <row r="281" spans="1:23" x14ac:dyDescent="0.3">
      <c r="A281" t="s">
        <v>7</v>
      </c>
      <c r="B281">
        <v>2003</v>
      </c>
      <c r="C281">
        <v>622</v>
      </c>
      <c r="D281" s="12">
        <v>2003.5833333333101</v>
      </c>
      <c r="F281" t="s">
        <v>7</v>
      </c>
      <c r="G281">
        <v>2003</v>
      </c>
      <c r="H281">
        <v>689</v>
      </c>
      <c r="M281" s="13">
        <f t="shared" si="7"/>
        <v>0.86465784420159542</v>
      </c>
      <c r="S281" s="12">
        <f>STANDARDIZE(C281,P$33,Q$33)</f>
        <v>0.86060415984828642</v>
      </c>
      <c r="T281" s="12">
        <v>2003.5833333333101</v>
      </c>
      <c r="V281">
        <v>0.86233139332470998</v>
      </c>
      <c r="W281">
        <v>1996.41666666487</v>
      </c>
    </row>
    <row r="282" spans="1:23" x14ac:dyDescent="0.3">
      <c r="A282" t="s">
        <v>8</v>
      </c>
      <c r="B282">
        <v>2003</v>
      </c>
      <c r="C282">
        <v>604</v>
      </c>
      <c r="D282" s="12">
        <v>2003.6666666666499</v>
      </c>
      <c r="F282" t="s">
        <v>8</v>
      </c>
      <c r="G282">
        <v>2003</v>
      </c>
      <c r="H282">
        <v>688</v>
      </c>
      <c r="M282" s="13">
        <f t="shared" si="7"/>
        <v>0.81582334801745227</v>
      </c>
      <c r="S282" s="12">
        <f>STANDARDIZE(C282,P$34,Q$34)</f>
        <v>0.47745363135301278</v>
      </c>
      <c r="T282" s="12">
        <v>2003.6666666666499</v>
      </c>
      <c r="V282">
        <v>0.82112053933512996</v>
      </c>
      <c r="W282">
        <v>1996.3333333315099</v>
      </c>
    </row>
    <row r="283" spans="1:23" x14ac:dyDescent="0.3">
      <c r="A283" t="s">
        <v>9</v>
      </c>
      <c r="B283">
        <v>2003</v>
      </c>
      <c r="C283">
        <v>631</v>
      </c>
      <c r="D283" s="12">
        <v>2003.74999999998</v>
      </c>
      <c r="F283" t="s">
        <v>9</v>
      </c>
      <c r="G283">
        <v>2003</v>
      </c>
      <c r="H283">
        <v>695</v>
      </c>
      <c r="M283" s="13">
        <f t="shared" si="7"/>
        <v>1.1576648213064544</v>
      </c>
      <c r="S283" s="12">
        <f>STANDARDIZE(C283,P$35,Q$35)</f>
        <v>0.71942187666581614</v>
      </c>
      <c r="T283" s="12">
        <v>2003.74999999998</v>
      </c>
      <c r="V283">
        <v>0.68024480333043613</v>
      </c>
      <c r="W283">
        <v>1996.2499999981501</v>
      </c>
    </row>
    <row r="284" spans="1:23" x14ac:dyDescent="0.3">
      <c r="A284" t="s">
        <v>10</v>
      </c>
      <c r="B284">
        <v>2003</v>
      </c>
      <c r="C284">
        <v>651</v>
      </c>
      <c r="D284" s="12">
        <v>2003.8333333333101</v>
      </c>
      <c r="F284" t="s">
        <v>10</v>
      </c>
      <c r="G284">
        <v>2003</v>
      </c>
      <c r="H284">
        <v>701</v>
      </c>
      <c r="M284" s="13">
        <f t="shared" si="7"/>
        <v>1.4506717984113133</v>
      </c>
      <c r="S284" s="12">
        <f>STANDARDIZE(C284,P$36,Q$36)</f>
        <v>0.88368477283845848</v>
      </c>
      <c r="T284" s="12">
        <v>2003.8333333333101</v>
      </c>
      <c r="V284">
        <v>1.4153998038128295</v>
      </c>
      <c r="W284">
        <v>1996.16666666479</v>
      </c>
    </row>
    <row r="285" spans="1:23" x14ac:dyDescent="0.3">
      <c r="A285" t="s">
        <v>11</v>
      </c>
      <c r="B285">
        <v>2003</v>
      </c>
      <c r="C285">
        <v>668</v>
      </c>
      <c r="D285" s="12">
        <v>2003.9166666666499</v>
      </c>
      <c r="F285" t="s">
        <v>11</v>
      </c>
      <c r="G285">
        <v>2003</v>
      </c>
      <c r="H285">
        <v>703</v>
      </c>
      <c r="M285" s="13">
        <f t="shared" si="7"/>
        <v>1.5483407907795996</v>
      </c>
      <c r="S285" s="12">
        <f>STANDARDIZE(C285,P$37,Q$37)</f>
        <v>1.0877228826339138</v>
      </c>
      <c r="T285" s="12">
        <v>2003.9166666666499</v>
      </c>
      <c r="V285">
        <v>0.38483958271453239</v>
      </c>
      <c r="W285">
        <v>1996.0833333314299</v>
      </c>
    </row>
    <row r="286" spans="1:23" x14ac:dyDescent="0.3">
      <c r="A286" t="s">
        <v>0</v>
      </c>
      <c r="B286">
        <v>2004</v>
      </c>
      <c r="C286">
        <v>583</v>
      </c>
      <c r="D286" s="12">
        <v>2004</v>
      </c>
      <c r="F286" t="s">
        <v>0</v>
      </c>
      <c r="G286">
        <v>2004</v>
      </c>
      <c r="H286">
        <v>695</v>
      </c>
      <c r="M286" s="13">
        <f t="shared" si="7"/>
        <v>1.1576648213064544</v>
      </c>
      <c r="S286" s="12">
        <f>STANDARDIZE(C286,P$26,Q$26)</f>
        <v>0.19030442977748438</v>
      </c>
      <c r="T286" s="12">
        <v>2004</v>
      </c>
      <c r="V286">
        <v>0.39431955334297103</v>
      </c>
      <c r="W286">
        <v>1995.9999999980701</v>
      </c>
    </row>
    <row r="287" spans="1:23" x14ac:dyDescent="0.3">
      <c r="A287" t="s">
        <v>1</v>
      </c>
      <c r="B287">
        <v>2004</v>
      </c>
      <c r="C287">
        <v>470</v>
      </c>
      <c r="D287" s="12">
        <v>2004.0833333333101</v>
      </c>
      <c r="F287" t="s">
        <v>1</v>
      </c>
      <c r="G287">
        <v>2004</v>
      </c>
      <c r="H287">
        <v>666</v>
      </c>
      <c r="M287" s="13">
        <f t="shared" si="7"/>
        <v>-0.25853556803369709</v>
      </c>
      <c r="S287" s="12">
        <f>STANDARDIZE(C287,P$27,Q$27)</f>
        <v>-0.41488620628609341</v>
      </c>
      <c r="T287" s="12">
        <v>2004.0833333333101</v>
      </c>
      <c r="V287">
        <v>0.19576418984233729</v>
      </c>
      <c r="W287">
        <v>1995.91666666471</v>
      </c>
    </row>
    <row r="288" spans="1:23" x14ac:dyDescent="0.3">
      <c r="A288" t="s">
        <v>2</v>
      </c>
      <c r="B288">
        <v>2004</v>
      </c>
      <c r="C288">
        <v>408</v>
      </c>
      <c r="D288" s="12">
        <v>2004.1666666666499</v>
      </c>
      <c r="F288" t="s">
        <v>2</v>
      </c>
      <c r="G288">
        <v>2004</v>
      </c>
      <c r="H288">
        <v>650</v>
      </c>
      <c r="M288" s="13">
        <f t="shared" si="7"/>
        <v>-1.0398875069799876</v>
      </c>
      <c r="S288" s="12">
        <f>STANDARDIZE(C288,P$28,Q$28)</f>
        <v>-1.6704828453790976</v>
      </c>
      <c r="T288" s="12">
        <v>2004.1666666666499</v>
      </c>
      <c r="V288">
        <v>0.34505786367977903</v>
      </c>
      <c r="W288">
        <v>1995.8333333313501</v>
      </c>
    </row>
    <row r="289" spans="1:23" x14ac:dyDescent="0.3">
      <c r="A289" t="s">
        <v>3</v>
      </c>
      <c r="B289">
        <v>2004</v>
      </c>
      <c r="C289">
        <v>431</v>
      </c>
      <c r="D289" s="12">
        <v>2004.24999999998</v>
      </c>
      <c r="F289" t="s">
        <v>3</v>
      </c>
      <c r="G289">
        <v>2004</v>
      </c>
      <c r="H289">
        <v>649</v>
      </c>
      <c r="M289" s="13">
        <f t="shared" si="7"/>
        <v>-1.0887220031641307</v>
      </c>
      <c r="S289" s="12">
        <f>STANDARDIZE(C289,P$29,Q$29)</f>
        <v>-0.79441176332995012</v>
      </c>
      <c r="T289" s="12">
        <v>2004.24999999998</v>
      </c>
      <c r="V289">
        <v>0.65541399885310214</v>
      </c>
      <c r="W289">
        <v>1995.74999999799</v>
      </c>
    </row>
    <row r="290" spans="1:23" x14ac:dyDescent="0.3">
      <c r="A290" t="s">
        <v>4</v>
      </c>
      <c r="B290">
        <v>2004</v>
      </c>
      <c r="C290">
        <v>537</v>
      </c>
      <c r="D290" s="12">
        <v>2004.3333333333101</v>
      </c>
      <c r="F290" t="s">
        <v>4</v>
      </c>
      <c r="G290">
        <v>2004</v>
      </c>
      <c r="H290">
        <v>676</v>
      </c>
      <c r="M290" s="13">
        <f t="shared" si="7"/>
        <v>0.22980939380773446</v>
      </c>
      <c r="S290" s="12">
        <f>STANDARDIZE(C290,P$30,Q$30)</f>
        <v>-0.5270115368627214</v>
      </c>
      <c r="T290" s="12">
        <v>2004.3333333333101</v>
      </c>
      <c r="V290">
        <v>0.99402244966992648</v>
      </c>
      <c r="W290">
        <v>1995.6666666646299</v>
      </c>
    </row>
    <row r="291" spans="1:23" x14ac:dyDescent="0.3">
      <c r="A291" t="s">
        <v>5</v>
      </c>
      <c r="B291">
        <v>2004</v>
      </c>
      <c r="C291">
        <v>569</v>
      </c>
      <c r="D291" s="12">
        <v>2004.4166666666499</v>
      </c>
      <c r="F291" t="s">
        <v>5</v>
      </c>
      <c r="G291">
        <v>2004</v>
      </c>
      <c r="H291">
        <v>687</v>
      </c>
      <c r="M291" s="13">
        <f t="shared" si="7"/>
        <v>0.76698885183330912</v>
      </c>
      <c r="S291" s="12">
        <f>STANDARDIZE(C291,P$31,Q$31)</f>
        <v>-0.42050383472708414</v>
      </c>
      <c r="T291" s="12">
        <v>2004.4166666666499</v>
      </c>
      <c r="V291">
        <v>0.87921181735851961</v>
      </c>
      <c r="W291">
        <v>1995.5833333312701</v>
      </c>
    </row>
    <row r="292" spans="1:23" x14ac:dyDescent="0.3">
      <c r="A292" t="s">
        <v>6</v>
      </c>
      <c r="B292">
        <v>2004</v>
      </c>
      <c r="C292">
        <v>550</v>
      </c>
      <c r="D292" s="12">
        <v>2004.49999999998</v>
      </c>
      <c r="F292" t="s">
        <v>6</v>
      </c>
      <c r="G292">
        <v>2004</v>
      </c>
      <c r="H292">
        <v>680</v>
      </c>
      <c r="M292" s="13">
        <f t="shared" si="7"/>
        <v>0.42514737854430706</v>
      </c>
      <c r="S292" s="12">
        <f>STANDARDIZE(C292,P$32,Q$32)</f>
        <v>-0.68790881901945766</v>
      </c>
      <c r="T292" s="12">
        <v>2004.49999999998</v>
      </c>
      <c r="V292">
        <v>0.45988690135565236</v>
      </c>
      <c r="W292">
        <v>1995.49999999791</v>
      </c>
    </row>
    <row r="293" spans="1:23" x14ac:dyDescent="0.3">
      <c r="A293" t="s">
        <v>7</v>
      </c>
      <c r="B293">
        <v>2004</v>
      </c>
      <c r="C293">
        <v>550</v>
      </c>
      <c r="D293" s="12">
        <v>2004.5833333333101</v>
      </c>
      <c r="F293" t="s">
        <v>7</v>
      </c>
      <c r="G293">
        <v>2004</v>
      </c>
      <c r="H293">
        <v>684</v>
      </c>
      <c r="M293" s="13">
        <f t="shared" si="7"/>
        <v>0.62048536328087966</v>
      </c>
      <c r="S293" s="12">
        <f>STANDARDIZE(C293,P$33,Q$33)</f>
        <v>-0.47914718088850539</v>
      </c>
      <c r="T293" s="12">
        <v>2004.5833333333101</v>
      </c>
      <c r="V293">
        <v>7.0794763250198747E-2</v>
      </c>
      <c r="W293">
        <v>1995.4166666645499</v>
      </c>
    </row>
    <row r="294" spans="1:23" x14ac:dyDescent="0.3">
      <c r="A294" t="s">
        <v>8</v>
      </c>
      <c r="B294">
        <v>2004</v>
      </c>
      <c r="C294">
        <v>558</v>
      </c>
      <c r="D294" s="12">
        <v>2004.6666666666499</v>
      </c>
      <c r="F294" t="s">
        <v>8</v>
      </c>
      <c r="G294">
        <v>2004</v>
      </c>
      <c r="H294">
        <v>688</v>
      </c>
      <c r="M294" s="13">
        <f t="shared" si="7"/>
        <v>0.81582334801745227</v>
      </c>
      <c r="S294" s="12">
        <f>STANDARDIZE(C294,P$34,Q$34)</f>
        <v>-0.4364758164384499</v>
      </c>
      <c r="T294" s="12">
        <v>2004.6666666666499</v>
      </c>
      <c r="V294">
        <v>-9.4591814308693581E-2</v>
      </c>
      <c r="W294">
        <v>1995.33333333119</v>
      </c>
    </row>
    <row r="295" spans="1:23" x14ac:dyDescent="0.3">
      <c r="A295" t="s">
        <v>9</v>
      </c>
      <c r="B295">
        <v>2004</v>
      </c>
      <c r="C295">
        <v>578</v>
      </c>
      <c r="D295" s="12">
        <v>2004.74999999998</v>
      </c>
      <c r="F295" t="s">
        <v>9</v>
      </c>
      <c r="G295">
        <v>2004</v>
      </c>
      <c r="H295">
        <v>693</v>
      </c>
      <c r="M295" s="13">
        <f t="shared" si="7"/>
        <v>1.0599958289381681</v>
      </c>
      <c r="S295" s="12">
        <f>STANDARDIZE(C295,P$35,Q$35)</f>
        <v>-0.41138396469213023</v>
      </c>
      <c r="T295" s="12">
        <v>2004.74999999998</v>
      </c>
      <c r="V295">
        <v>-0.19471809288805966</v>
      </c>
      <c r="W295">
        <v>1995.2499999978299</v>
      </c>
    </row>
    <row r="296" spans="1:23" x14ac:dyDescent="0.3">
      <c r="A296" t="s">
        <v>10</v>
      </c>
      <c r="B296">
        <v>2004</v>
      </c>
      <c r="C296">
        <v>604</v>
      </c>
      <c r="D296" s="12">
        <v>2004.8333333333101</v>
      </c>
      <c r="F296" t="s">
        <v>10</v>
      </c>
      <c r="G296">
        <v>2004</v>
      </c>
      <c r="H296">
        <v>702</v>
      </c>
      <c r="M296" s="13">
        <f t="shared" si="7"/>
        <v>1.4995062945954565</v>
      </c>
      <c r="S296" s="12">
        <f>STANDARDIZE(C296,P$36,Q$36)</f>
        <v>-0.267018169455084</v>
      </c>
      <c r="T296" s="12">
        <v>2004.8333333333101</v>
      </c>
      <c r="V296">
        <v>-0.63521898887599948</v>
      </c>
      <c r="W296">
        <v>1995.1666666644701</v>
      </c>
    </row>
    <row r="297" spans="1:23" x14ac:dyDescent="0.3">
      <c r="A297" t="s">
        <v>11</v>
      </c>
      <c r="B297">
        <v>2004</v>
      </c>
      <c r="C297">
        <v>600</v>
      </c>
      <c r="D297" s="12">
        <v>2004.9166666666499</v>
      </c>
      <c r="F297" t="s">
        <v>11</v>
      </c>
      <c r="G297">
        <v>2004</v>
      </c>
      <c r="H297">
        <v>703</v>
      </c>
      <c r="M297" s="13">
        <f t="shared" si="7"/>
        <v>1.5483407907795996</v>
      </c>
      <c r="S297" s="12">
        <f>STANDARDIZE(C297,P$37,Q$37)</f>
        <v>-0.32281644550160254</v>
      </c>
      <c r="T297" s="12">
        <v>2004.9166666666499</v>
      </c>
      <c r="V297">
        <v>-0.42429474498021841</v>
      </c>
      <c r="W297">
        <v>1995.08333333111</v>
      </c>
    </row>
    <row r="298" spans="1:23" x14ac:dyDescent="0.3">
      <c r="A298" t="s">
        <v>0</v>
      </c>
      <c r="B298">
        <v>2005</v>
      </c>
      <c r="C298">
        <v>569</v>
      </c>
      <c r="D298" s="12">
        <v>2005</v>
      </c>
      <c r="F298" t="s">
        <v>0</v>
      </c>
      <c r="G298">
        <v>2005</v>
      </c>
      <c r="H298">
        <v>692</v>
      </c>
      <c r="M298" s="13">
        <f t="shared" si="7"/>
        <v>1.011161332754025</v>
      </c>
      <c r="S298" s="12">
        <f>STANDARDIZE(C298,P$26,Q$26)</f>
        <v>-4.7713214382250034E-2</v>
      </c>
      <c r="T298" s="12">
        <v>2005</v>
      </c>
      <c r="V298">
        <v>-3.0711954085126149E-2</v>
      </c>
      <c r="W298">
        <v>1994.9999999977499</v>
      </c>
    </row>
    <row r="299" spans="1:23" x14ac:dyDescent="0.3">
      <c r="A299" t="s">
        <v>1</v>
      </c>
      <c r="B299">
        <v>2005</v>
      </c>
      <c r="C299">
        <v>512</v>
      </c>
      <c r="D299" s="12">
        <v>2005.0833333333201</v>
      </c>
      <c r="F299" t="s">
        <v>1</v>
      </c>
      <c r="G299">
        <v>2005</v>
      </c>
      <c r="H299">
        <v>665</v>
      </c>
      <c r="M299" s="13">
        <f t="shared" si="7"/>
        <v>-0.30737006421784024</v>
      </c>
      <c r="S299" s="12">
        <f>STANDARDIZE(C299,P$27,Q$27)</f>
        <v>-1.9727581132843001E-2</v>
      </c>
      <c r="T299" s="12">
        <v>2005.0833333333201</v>
      </c>
      <c r="V299">
        <v>0.19576418984233729</v>
      </c>
      <c r="W299">
        <v>1994.91666666439</v>
      </c>
    </row>
    <row r="300" spans="1:23" x14ac:dyDescent="0.3">
      <c r="A300" t="s">
        <v>2</v>
      </c>
      <c r="B300">
        <v>2005</v>
      </c>
      <c r="C300">
        <v>475</v>
      </c>
      <c r="D300" s="12">
        <v>2005.1666666666499</v>
      </c>
      <c r="F300" t="s">
        <v>2</v>
      </c>
      <c r="G300">
        <v>2005</v>
      </c>
      <c r="H300">
        <v>655</v>
      </c>
      <c r="M300" s="13">
        <f t="shared" si="7"/>
        <v>-0.7957150260592718</v>
      </c>
      <c r="S300" s="12">
        <f>STANDARDIZE(C300,P$28,Q$28)</f>
        <v>-0.33658518411549043</v>
      </c>
      <c r="T300" s="12">
        <v>2005.1666666666499</v>
      </c>
      <c r="V300">
        <v>0.17367657440201739</v>
      </c>
      <c r="W300">
        <v>1994.83333333103</v>
      </c>
    </row>
    <row r="301" spans="1:23" x14ac:dyDescent="0.3">
      <c r="A301" t="s">
        <v>3</v>
      </c>
      <c r="B301">
        <v>2005</v>
      </c>
      <c r="C301">
        <v>493</v>
      </c>
      <c r="D301" s="12">
        <v>2005.24999999998</v>
      </c>
      <c r="F301" t="s">
        <v>3</v>
      </c>
      <c r="G301">
        <v>2005</v>
      </c>
      <c r="H301">
        <v>660</v>
      </c>
      <c r="M301" s="13">
        <f t="shared" si="7"/>
        <v>-0.55154254513855605</v>
      </c>
      <c r="S301" s="12">
        <f>STANDARDIZE(C301,P$29,Q$29)</f>
        <v>-0.18488704911032375</v>
      </c>
      <c r="T301" s="12">
        <v>2005.24999999998</v>
      </c>
      <c r="V301">
        <v>0.1433509763513906</v>
      </c>
      <c r="W301">
        <v>1994.7499999976701</v>
      </c>
    </row>
    <row r="302" spans="1:23" x14ac:dyDescent="0.3">
      <c r="A302" t="s">
        <v>4</v>
      </c>
      <c r="B302">
        <v>2005</v>
      </c>
      <c r="C302">
        <v>549</v>
      </c>
      <c r="D302" s="12">
        <v>2005.3333333333201</v>
      </c>
      <c r="F302" t="s">
        <v>4</v>
      </c>
      <c r="G302">
        <v>2005</v>
      </c>
      <c r="H302">
        <v>677</v>
      </c>
      <c r="M302" s="13">
        <f t="shared" si="7"/>
        <v>0.27864388999187761</v>
      </c>
      <c r="S302" s="12">
        <f>STANDARDIZE(C302,P$30,Q$30)</f>
        <v>-0.22177408564811352</v>
      </c>
      <c r="T302" s="12">
        <v>2005.3333333333201</v>
      </c>
      <c r="V302">
        <v>4.0356938931008883E-2</v>
      </c>
      <c r="W302">
        <v>1994.66666666431</v>
      </c>
    </row>
    <row r="303" spans="1:23" x14ac:dyDescent="0.3">
      <c r="A303" t="s">
        <v>5</v>
      </c>
      <c r="B303">
        <v>2005</v>
      </c>
      <c r="C303">
        <v>580</v>
      </c>
      <c r="D303" s="12">
        <v>2005.4166666666499</v>
      </c>
      <c r="F303" t="s">
        <v>5</v>
      </c>
      <c r="G303">
        <v>2005</v>
      </c>
      <c r="H303">
        <v>691</v>
      </c>
      <c r="M303" s="13">
        <f t="shared" si="7"/>
        <v>0.96232683656988172</v>
      </c>
      <c r="S303" s="12">
        <f>STANDARDIZE(C303,P$31,Q$31)</f>
        <v>-0.1202658026298557</v>
      </c>
      <c r="T303" s="12">
        <v>2005.4166666666499</v>
      </c>
      <c r="V303">
        <v>0.30237443454128982</v>
      </c>
      <c r="W303">
        <v>1994.5833333309499</v>
      </c>
    </row>
    <row r="304" spans="1:23" x14ac:dyDescent="0.3">
      <c r="A304" t="s">
        <v>6</v>
      </c>
      <c r="B304">
        <v>2005</v>
      </c>
      <c r="C304">
        <v>581</v>
      </c>
      <c r="D304" s="12">
        <v>2005.49999999998</v>
      </c>
      <c r="F304" t="s">
        <v>6</v>
      </c>
      <c r="G304">
        <v>2005</v>
      </c>
      <c r="H304">
        <v>690</v>
      </c>
      <c r="M304" s="13">
        <f t="shared" si="7"/>
        <v>0.91349234038573857</v>
      </c>
      <c r="S304" s="12">
        <f>STANDARDIZE(C304,P$32,Q$32)</f>
        <v>-5.2521902383236063E-2</v>
      </c>
      <c r="T304" s="12">
        <v>2005.49999999998</v>
      </c>
      <c r="V304">
        <v>0.6238577185520966</v>
      </c>
      <c r="W304">
        <v>1994.4999999975901</v>
      </c>
    </row>
    <row r="305" spans="1:23" x14ac:dyDescent="0.3">
      <c r="A305" t="s">
        <v>7</v>
      </c>
      <c r="B305">
        <v>2005</v>
      </c>
      <c r="C305">
        <v>557</v>
      </c>
      <c r="D305" s="12">
        <v>2005.5833333333201</v>
      </c>
      <c r="F305" t="s">
        <v>7</v>
      </c>
      <c r="G305">
        <v>2005</v>
      </c>
      <c r="H305">
        <v>687</v>
      </c>
      <c r="M305" s="13">
        <f t="shared" si="7"/>
        <v>0.76698885183330912</v>
      </c>
      <c r="S305" s="12">
        <f>STANDARDIZE(C305,P$33,Q$33)</f>
        <v>-0.34889357831687284</v>
      </c>
      <c r="T305" s="12">
        <v>2005.5833333333201</v>
      </c>
      <c r="V305">
        <v>0.78044829366182955</v>
      </c>
      <c r="W305">
        <v>1994.41666666423</v>
      </c>
    </row>
    <row r="306" spans="1:23" x14ac:dyDescent="0.3">
      <c r="A306" t="s">
        <v>8</v>
      </c>
      <c r="B306">
        <v>2005</v>
      </c>
      <c r="C306">
        <v>554</v>
      </c>
      <c r="D306" s="12">
        <v>2005.6666666666499</v>
      </c>
      <c r="F306" t="s">
        <v>8</v>
      </c>
      <c r="G306">
        <v>2005</v>
      </c>
      <c r="H306">
        <v>689</v>
      </c>
      <c r="M306" s="13">
        <f t="shared" si="7"/>
        <v>0.86465784420159542</v>
      </c>
      <c r="S306" s="12">
        <f>STANDARDIZE(C306,P$34,Q$34)</f>
        <v>-0.51594794233335972</v>
      </c>
      <c r="T306" s="12">
        <v>2005.6666666666499</v>
      </c>
      <c r="V306">
        <v>0.89742990213878193</v>
      </c>
      <c r="W306">
        <v>1994.3333333308699</v>
      </c>
    </row>
    <row r="307" spans="1:23" x14ac:dyDescent="0.3">
      <c r="A307" t="s">
        <v>9</v>
      </c>
      <c r="B307">
        <v>2005</v>
      </c>
      <c r="C307">
        <v>573</v>
      </c>
      <c r="D307" s="12">
        <v>2005.74999999998</v>
      </c>
      <c r="F307" t="s">
        <v>9</v>
      </c>
      <c r="G307">
        <v>2005</v>
      </c>
      <c r="H307">
        <v>694</v>
      </c>
      <c r="M307" s="13">
        <f t="shared" si="7"/>
        <v>1.1088303251223113</v>
      </c>
      <c r="S307" s="12">
        <f>STANDARDIZE(C307,P$35,Q$35)</f>
        <v>-0.51806376104665353</v>
      </c>
      <c r="T307" s="12">
        <v>2005.74999999998</v>
      </c>
      <c r="V307">
        <v>0.47379288399798208</v>
      </c>
      <c r="W307">
        <v>1994.24999999751</v>
      </c>
    </row>
    <row r="308" spans="1:23" x14ac:dyDescent="0.3">
      <c r="A308" t="s">
        <v>10</v>
      </c>
      <c r="B308">
        <v>2005</v>
      </c>
      <c r="C308">
        <v>598</v>
      </c>
      <c r="D308" s="12">
        <v>2005.8333333333201</v>
      </c>
      <c r="F308" t="s">
        <v>10</v>
      </c>
      <c r="G308">
        <v>2005</v>
      </c>
      <c r="H308">
        <v>704</v>
      </c>
      <c r="M308" s="13">
        <f t="shared" si="7"/>
        <v>1.5971752869637428</v>
      </c>
      <c r="S308" s="12">
        <f>STANDARDIZE(C308,P$36,Q$36)</f>
        <v>-0.41391641740745111</v>
      </c>
      <c r="T308" s="12">
        <v>2005.8333333333201</v>
      </c>
      <c r="V308">
        <v>0.61904299111813865</v>
      </c>
      <c r="W308">
        <v>1994.1666666641499</v>
      </c>
    </row>
    <row r="309" spans="1:23" x14ac:dyDescent="0.3">
      <c r="A309" t="s">
        <v>11</v>
      </c>
      <c r="B309">
        <v>2005</v>
      </c>
      <c r="C309">
        <v>610</v>
      </c>
      <c r="D309" s="12">
        <v>2005.9166666666499</v>
      </c>
      <c r="F309" t="s">
        <v>11</v>
      </c>
      <c r="G309">
        <v>2005</v>
      </c>
      <c r="H309">
        <v>706</v>
      </c>
      <c r="M309" s="13">
        <f t="shared" si="7"/>
        <v>1.6948442793320291</v>
      </c>
      <c r="S309" s="12">
        <f>STANDARDIZE(C309,P$37,Q$37)</f>
        <v>-0.11538419136402661</v>
      </c>
      <c r="T309" s="12">
        <v>2005.9166666666499</v>
      </c>
      <c r="V309">
        <v>0.27193711838503226</v>
      </c>
      <c r="W309">
        <v>1994.0833333307901</v>
      </c>
    </row>
    <row r="310" spans="1:23" x14ac:dyDescent="0.3">
      <c r="A310" t="s">
        <v>0</v>
      </c>
      <c r="B310">
        <v>2006</v>
      </c>
      <c r="C310">
        <v>594</v>
      </c>
      <c r="D310" s="12">
        <v>2006</v>
      </c>
      <c r="F310" t="s">
        <v>0</v>
      </c>
      <c r="G310">
        <v>2006</v>
      </c>
      <c r="H310">
        <v>698</v>
      </c>
      <c r="M310" s="13">
        <f t="shared" si="7"/>
        <v>1.3041683098588839</v>
      </c>
      <c r="S310" s="12">
        <f>STANDARDIZE(C310,P$26,Q$26)</f>
        <v>0.37731829304584713</v>
      </c>
      <c r="T310" s="12">
        <v>2006</v>
      </c>
      <c r="V310">
        <v>0.70034223869120094</v>
      </c>
      <c r="W310">
        <v>1993.99999999743</v>
      </c>
    </row>
    <row r="311" spans="1:23" x14ac:dyDescent="0.3">
      <c r="A311" t="s">
        <v>1</v>
      </c>
      <c r="B311">
        <v>2006</v>
      </c>
      <c r="C311">
        <v>552</v>
      </c>
      <c r="D311" s="12">
        <v>2006.0833333333201</v>
      </c>
      <c r="F311" t="s">
        <v>1</v>
      </c>
      <c r="G311">
        <v>2006</v>
      </c>
      <c r="H311">
        <v>671</v>
      </c>
      <c r="M311" s="13">
        <f t="shared" si="7"/>
        <v>-1.4363087112981321E-2</v>
      </c>
      <c r="S311" s="12">
        <f>STANDARDIZE(C311,P$27,Q$27)</f>
        <v>0.35661396663215733</v>
      </c>
      <c r="T311" s="12">
        <v>2006.0833333333201</v>
      </c>
      <c r="V311">
        <v>0.17502096442857967</v>
      </c>
      <c r="W311">
        <v>1993.9166666640699</v>
      </c>
    </row>
    <row r="312" spans="1:23" x14ac:dyDescent="0.3">
      <c r="A312" t="s">
        <v>2</v>
      </c>
      <c r="B312">
        <v>2006</v>
      </c>
      <c r="C312">
        <v>505</v>
      </c>
      <c r="D312" s="12">
        <v>2006.1666666666499</v>
      </c>
      <c r="F312" t="s">
        <v>2</v>
      </c>
      <c r="G312">
        <v>2006</v>
      </c>
      <c r="H312">
        <v>653</v>
      </c>
      <c r="M312" s="13">
        <f t="shared" si="7"/>
        <v>-0.8933840184275581</v>
      </c>
      <c r="S312" s="12">
        <f>STANDARDIZE(C312,P$28,Q$28)</f>
        <v>0.26068242540552772</v>
      </c>
      <c r="T312" s="12">
        <v>2006.1666666666499</v>
      </c>
      <c r="V312">
        <v>2.2952851242557361E-3</v>
      </c>
      <c r="W312">
        <v>1993.83333333071</v>
      </c>
    </row>
    <row r="313" spans="1:23" x14ac:dyDescent="0.3">
      <c r="A313" t="s">
        <v>3</v>
      </c>
      <c r="B313">
        <v>2006</v>
      </c>
      <c r="C313">
        <v>551</v>
      </c>
      <c r="D313" s="12">
        <v>2006.24999999998</v>
      </c>
      <c r="F313" t="s">
        <v>3</v>
      </c>
      <c r="G313">
        <v>2006</v>
      </c>
      <c r="H313">
        <v>675</v>
      </c>
      <c r="M313" s="13">
        <f t="shared" si="7"/>
        <v>0.18097489762359129</v>
      </c>
      <c r="S313" s="12">
        <f>STANDARDIZE(C313,P$29,Q$29)</f>
        <v>0.3853134899983589</v>
      </c>
      <c r="T313" s="12">
        <v>2006.24999999998</v>
      </c>
      <c r="V313">
        <v>0.1860228948931999</v>
      </c>
      <c r="W313">
        <v>1993.74999999735</v>
      </c>
    </row>
    <row r="314" spans="1:23" x14ac:dyDescent="0.3">
      <c r="A314" t="s">
        <v>4</v>
      </c>
      <c r="B314">
        <v>2006</v>
      </c>
      <c r="C314">
        <v>595</v>
      </c>
      <c r="D314" s="12">
        <v>2006.3333333333201</v>
      </c>
      <c r="F314" t="s">
        <v>4</v>
      </c>
      <c r="G314">
        <v>2006</v>
      </c>
      <c r="H314">
        <v>687</v>
      </c>
      <c r="M314" s="13">
        <f t="shared" si="7"/>
        <v>0.76698885183330912</v>
      </c>
      <c r="S314" s="12">
        <f>STANDARDIZE(C314,P$30,Q$30)</f>
        <v>0.94830281067454991</v>
      </c>
      <c r="T314" s="12">
        <v>2006.3333333333201</v>
      </c>
      <c r="V314">
        <v>6.0224970404736337E-2</v>
      </c>
      <c r="W314">
        <v>1993.6666666639901</v>
      </c>
    </row>
    <row r="315" spans="1:23" x14ac:dyDescent="0.3">
      <c r="A315" t="s">
        <v>5</v>
      </c>
      <c r="B315">
        <v>2006</v>
      </c>
      <c r="C315">
        <v>618</v>
      </c>
      <c r="D315" s="12">
        <v>2006.4166666666499</v>
      </c>
      <c r="F315" t="s">
        <v>5</v>
      </c>
      <c r="G315">
        <v>2006</v>
      </c>
      <c r="H315">
        <v>698</v>
      </c>
      <c r="M315" s="13">
        <f t="shared" si="7"/>
        <v>1.3041683098588839</v>
      </c>
      <c r="S315" s="12">
        <f>STANDARDIZE(C315,P$31,Q$31)</f>
        <v>0.91692012643329701</v>
      </c>
      <c r="T315" s="12">
        <v>2006.4166666666499</v>
      </c>
      <c r="V315">
        <v>-5.1171058153141352E-2</v>
      </c>
      <c r="W315">
        <v>1993.58333333063</v>
      </c>
    </row>
    <row r="316" spans="1:23" x14ac:dyDescent="0.3">
      <c r="A316" t="s">
        <v>6</v>
      </c>
      <c r="B316">
        <v>2006</v>
      </c>
      <c r="C316">
        <v>615</v>
      </c>
      <c r="D316" s="12">
        <v>2006.49999999998</v>
      </c>
      <c r="F316" t="s">
        <v>6</v>
      </c>
      <c r="G316">
        <v>2006</v>
      </c>
      <c r="H316">
        <v>699</v>
      </c>
      <c r="M316" s="13">
        <f t="shared" si="7"/>
        <v>1.353002806043027</v>
      </c>
      <c r="S316" s="12">
        <f>STANDARDIZE(C316,P$32,Q$32)</f>
        <v>0.64435407070165218</v>
      </c>
      <c r="T316" s="12">
        <v>2006.49999999998</v>
      </c>
      <c r="V316">
        <v>0.29591608415920806</v>
      </c>
      <c r="W316">
        <v>1993.4999999972699</v>
      </c>
    </row>
    <row r="317" spans="1:23" x14ac:dyDescent="0.3">
      <c r="A317" t="s">
        <v>7</v>
      </c>
      <c r="B317">
        <v>2006</v>
      </c>
      <c r="C317">
        <v>587</v>
      </c>
      <c r="D317" s="12">
        <v>2006.5833333333201</v>
      </c>
      <c r="F317" t="s">
        <v>7</v>
      </c>
      <c r="G317">
        <v>2006</v>
      </c>
      <c r="H317">
        <v>691</v>
      </c>
      <c r="M317" s="13">
        <f t="shared" si="7"/>
        <v>0.96232683656988172</v>
      </c>
      <c r="S317" s="12">
        <f>STANDARDIZE(C317,P$33,Q$33)</f>
        <v>0.20933614699012373</v>
      </c>
      <c r="T317" s="12">
        <v>2006.5833333333201</v>
      </c>
      <c r="V317">
        <v>0.48021026156460112</v>
      </c>
      <c r="W317">
        <v>1993.4166666639101</v>
      </c>
    </row>
    <row r="318" spans="1:23" x14ac:dyDescent="0.3">
      <c r="A318" t="s">
        <v>8</v>
      </c>
      <c r="B318">
        <v>2006</v>
      </c>
      <c r="C318">
        <v>584</v>
      </c>
      <c r="D318" s="12">
        <v>2006.6666666666499</v>
      </c>
      <c r="F318" t="s">
        <v>8</v>
      </c>
      <c r="G318">
        <v>2006</v>
      </c>
      <c r="H318">
        <v>695</v>
      </c>
      <c r="M318" s="13">
        <f t="shared" si="7"/>
        <v>1.1576648213064544</v>
      </c>
      <c r="S318" s="12">
        <f>STANDARDIZE(C318,P$34,Q$34)</f>
        <v>8.0093001878463785E-2</v>
      </c>
      <c r="T318" s="12">
        <v>2006.6666666666499</v>
      </c>
      <c r="V318">
        <v>0.51588308812052219</v>
      </c>
      <c r="W318">
        <v>1993.33333333055</v>
      </c>
    </row>
    <row r="319" spans="1:23" x14ac:dyDescent="0.3">
      <c r="A319" t="s">
        <v>9</v>
      </c>
      <c r="B319">
        <v>2006</v>
      </c>
      <c r="C319">
        <v>583</v>
      </c>
      <c r="D319" s="12">
        <v>2006.74999999998</v>
      </c>
      <c r="F319" t="s">
        <v>9</v>
      </c>
      <c r="G319">
        <v>2006</v>
      </c>
      <c r="H319">
        <v>700</v>
      </c>
      <c r="M319" s="13">
        <f t="shared" si="7"/>
        <v>1.4018373022271702</v>
      </c>
      <c r="S319" s="12">
        <f>STANDARDIZE(C319,P$35,Q$35)</f>
        <v>-0.304704168337607</v>
      </c>
      <c r="T319" s="12">
        <v>2006.74999999998</v>
      </c>
      <c r="V319">
        <v>6.088904533307396E-2</v>
      </c>
      <c r="W319">
        <v>1993.2499999971899</v>
      </c>
    </row>
    <row r="320" spans="1:23" x14ac:dyDescent="0.3">
      <c r="A320" t="s">
        <v>10</v>
      </c>
      <c r="B320">
        <v>2006</v>
      </c>
      <c r="C320">
        <v>600</v>
      </c>
      <c r="D320" s="12">
        <v>2006.8333333333201</v>
      </c>
      <c r="F320" t="s">
        <v>10</v>
      </c>
      <c r="G320">
        <v>2006</v>
      </c>
      <c r="H320">
        <v>702</v>
      </c>
      <c r="M320" s="13">
        <f t="shared" si="7"/>
        <v>1.4995062945954565</v>
      </c>
      <c r="S320" s="12">
        <f>STANDARDIZE(C320,P$36,Q$36)</f>
        <v>-0.36495033475666205</v>
      </c>
      <c r="T320" s="12">
        <v>2006.8333333333201</v>
      </c>
      <c r="V320">
        <v>-0.51576546697179593</v>
      </c>
      <c r="W320">
        <v>1993.16666666383</v>
      </c>
    </row>
    <row r="321" spans="1:23" x14ac:dyDescent="0.3">
      <c r="A321" t="s">
        <v>11</v>
      </c>
      <c r="B321">
        <v>2006</v>
      </c>
      <c r="C321">
        <v>617</v>
      </c>
      <c r="D321" s="12">
        <v>2006.9166666666499</v>
      </c>
      <c r="F321" t="s">
        <v>11</v>
      </c>
      <c r="G321">
        <v>2006</v>
      </c>
      <c r="H321">
        <v>708</v>
      </c>
      <c r="M321" s="13">
        <f t="shared" si="7"/>
        <v>1.7925132717003154</v>
      </c>
      <c r="S321" s="12">
        <f>STANDARDIZE(C321,P$37,Q$37)</f>
        <v>2.9818386532276538E-2</v>
      </c>
      <c r="T321" s="12">
        <v>2006.9166666666499</v>
      </c>
      <c r="V321">
        <v>-0.28316666456834327</v>
      </c>
      <c r="W321">
        <v>1993.0833333304699</v>
      </c>
    </row>
    <row r="322" spans="1:23" x14ac:dyDescent="0.3">
      <c r="A322" t="s">
        <v>0</v>
      </c>
      <c r="B322">
        <v>2007</v>
      </c>
      <c r="C322">
        <v>604</v>
      </c>
      <c r="D322" s="12">
        <v>2007</v>
      </c>
      <c r="F322" t="s">
        <v>0</v>
      </c>
      <c r="G322">
        <v>2007</v>
      </c>
      <c r="H322">
        <v>688</v>
      </c>
      <c r="M322" s="13">
        <f t="shared" si="7"/>
        <v>0.81582334801745227</v>
      </c>
      <c r="S322" s="12">
        <f>STANDARDIZE(C322,P$26,Q$26)</f>
        <v>0.54733089601708595</v>
      </c>
      <c r="T322" s="12">
        <v>2007</v>
      </c>
      <c r="V322">
        <v>-0.64275732478158609</v>
      </c>
      <c r="W322">
        <v>1992.9999999971101</v>
      </c>
    </row>
    <row r="323" spans="1:23" x14ac:dyDescent="0.3">
      <c r="A323" t="s">
        <v>1</v>
      </c>
      <c r="B323">
        <v>2007</v>
      </c>
      <c r="D323" s="12">
        <v>2007.0833333333201</v>
      </c>
      <c r="E323" s="1"/>
      <c r="F323" t="s">
        <v>1</v>
      </c>
      <c r="G323">
        <v>2007</v>
      </c>
      <c r="H323">
        <v>655</v>
      </c>
      <c r="M323" s="13">
        <f t="shared" si="7"/>
        <v>-0.7957150260592718</v>
      </c>
      <c r="S323" s="12"/>
      <c r="T323" s="12">
        <v>2007.0833333333201</v>
      </c>
      <c r="V323">
        <v>-0.69619450294923924</v>
      </c>
      <c r="W323">
        <v>1992.91666666375</v>
      </c>
    </row>
    <row r="324" spans="1:23" x14ac:dyDescent="0.3">
      <c r="A324" t="s">
        <v>2</v>
      </c>
      <c r="B324">
        <v>2007</v>
      </c>
      <c r="C324">
        <v>457</v>
      </c>
      <c r="D324" s="12">
        <v>2007.1666666666499</v>
      </c>
      <c r="F324" t="s">
        <v>2</v>
      </c>
      <c r="G324">
        <v>2007</v>
      </c>
      <c r="H324">
        <v>653</v>
      </c>
      <c r="M324" s="13">
        <f t="shared" si="7"/>
        <v>-0.8933840184275581</v>
      </c>
      <c r="S324" s="12">
        <f>STANDARDIZE(C324,P$28,Q$28)</f>
        <v>-0.69494574982810131</v>
      </c>
      <c r="T324" s="12">
        <v>2007.1666666666499</v>
      </c>
      <c r="V324">
        <v>-0.78116203728836897</v>
      </c>
      <c r="W324">
        <v>1992.8333333303899</v>
      </c>
    </row>
    <row r="325" spans="1:23" x14ac:dyDescent="0.3">
      <c r="A325" t="s">
        <v>3</v>
      </c>
      <c r="B325">
        <v>2007</v>
      </c>
      <c r="C325">
        <v>536</v>
      </c>
      <c r="D325" s="12">
        <v>2007.24999999999</v>
      </c>
      <c r="F325" t="s">
        <v>3</v>
      </c>
      <c r="G325">
        <v>2007</v>
      </c>
      <c r="H325">
        <v>668</v>
      </c>
      <c r="M325" s="13">
        <f t="shared" si="7"/>
        <v>-0.16086657566541079</v>
      </c>
      <c r="S325" s="12">
        <f>STANDARDIZE(C325,P$29,Q$29)</f>
        <v>0.23784783333232032</v>
      </c>
      <c r="T325" s="12">
        <v>2007.24999999999</v>
      </c>
      <c r="V325">
        <v>-6.0007385449419321E-3</v>
      </c>
      <c r="W325">
        <v>1992.74999999703</v>
      </c>
    </row>
    <row r="326" spans="1:23" x14ac:dyDescent="0.3">
      <c r="A326" t="s">
        <v>4</v>
      </c>
      <c r="B326">
        <v>2007</v>
      </c>
      <c r="C326">
        <v>584</v>
      </c>
      <c r="D326" s="12">
        <v>2007.3333333333201</v>
      </c>
      <c r="F326" t="s">
        <v>4</v>
      </c>
      <c r="G326">
        <v>2007</v>
      </c>
      <c r="H326">
        <v>693</v>
      </c>
      <c r="M326" s="13">
        <f t="shared" si="7"/>
        <v>1.0599958289381681</v>
      </c>
      <c r="S326" s="12">
        <f>STANDARDIZE(C326,P$30,Q$30)</f>
        <v>0.66850181372782613</v>
      </c>
      <c r="T326" s="12">
        <v>2007.3333333333201</v>
      </c>
      <c r="V326">
        <v>-0.35700369054354014</v>
      </c>
      <c r="W326">
        <v>1992.66666666367</v>
      </c>
    </row>
    <row r="327" spans="1:23" x14ac:dyDescent="0.3">
      <c r="A327" t="s">
        <v>5</v>
      </c>
      <c r="B327">
        <v>2007</v>
      </c>
      <c r="C327">
        <v>615</v>
      </c>
      <c r="D327" s="12">
        <v>2007.4166666666499</v>
      </c>
      <c r="F327" t="s">
        <v>5</v>
      </c>
      <c r="G327">
        <v>2007</v>
      </c>
      <c r="H327">
        <v>701</v>
      </c>
      <c r="M327" s="13">
        <f t="shared" si="7"/>
        <v>1.4506717984113133</v>
      </c>
      <c r="S327" s="12">
        <f>STANDARDIZE(C327,P$31,Q$31)</f>
        <v>0.83503702677041658</v>
      </c>
      <c r="T327" s="12">
        <v>2007.4166666666499</v>
      </c>
      <c r="V327">
        <v>-0.55357781092943825</v>
      </c>
      <c r="W327">
        <v>1992.5833333303101</v>
      </c>
    </row>
    <row r="328" spans="1:23" x14ac:dyDescent="0.3">
      <c r="A328" t="s">
        <v>6</v>
      </c>
      <c r="B328">
        <v>2007</v>
      </c>
      <c r="C328">
        <v>621</v>
      </c>
      <c r="D328" s="12">
        <v>2007.49999999999</v>
      </c>
      <c r="F328" t="s">
        <v>6</v>
      </c>
      <c r="G328">
        <v>2007</v>
      </c>
      <c r="H328">
        <v>703</v>
      </c>
      <c r="M328" s="13">
        <f t="shared" si="7"/>
        <v>1.5483407907795996</v>
      </c>
      <c r="S328" s="12">
        <f>STANDARDIZE(C328,P$32,Q$32)</f>
        <v>0.76733218359898536</v>
      </c>
      <c r="T328" s="12">
        <v>2007.49999999999</v>
      </c>
      <c r="V328">
        <v>-1.3232957356556794</v>
      </c>
      <c r="W328">
        <v>1992.49999999695</v>
      </c>
    </row>
    <row r="329" spans="1:23" x14ac:dyDescent="0.3">
      <c r="A329" t="s">
        <v>7</v>
      </c>
      <c r="B329">
        <v>2007</v>
      </c>
      <c r="C329">
        <v>612</v>
      </c>
      <c r="D329" s="12">
        <v>2007.5833333333201</v>
      </c>
      <c r="F329" t="s">
        <v>7</v>
      </c>
      <c r="G329">
        <v>2007</v>
      </c>
      <c r="H329">
        <v>704</v>
      </c>
      <c r="M329" s="13">
        <f t="shared" si="7"/>
        <v>1.5971752869637428</v>
      </c>
      <c r="S329" s="12">
        <f>STANDARDIZE(C329,P$33,Q$33)</f>
        <v>0.6745275847459542</v>
      </c>
      <c r="T329" s="12">
        <v>2007.5833333333201</v>
      </c>
      <c r="V329">
        <v>-1.2120404648015954</v>
      </c>
      <c r="W329">
        <v>1992.4166666635899</v>
      </c>
    </row>
    <row r="330" spans="1:23" x14ac:dyDescent="0.3">
      <c r="A330" t="s">
        <v>8</v>
      </c>
      <c r="B330">
        <v>2007</v>
      </c>
      <c r="C330">
        <v>619</v>
      </c>
      <c r="D330" s="12">
        <v>2007.6666666666499</v>
      </c>
      <c r="F330" t="s">
        <v>8</v>
      </c>
      <c r="G330">
        <v>2007</v>
      </c>
      <c r="H330">
        <v>708</v>
      </c>
      <c r="M330" s="13">
        <f t="shared" si="7"/>
        <v>1.7925132717003154</v>
      </c>
      <c r="S330" s="12">
        <f>STANDARDIZE(C330,P$34,Q$34)</f>
        <v>0.77547410345892454</v>
      </c>
      <c r="T330" s="12">
        <v>2007.6666666666499</v>
      </c>
      <c r="V330">
        <v>-1.3918509819707769</v>
      </c>
      <c r="W330">
        <v>1992.3333333302301</v>
      </c>
    </row>
    <row r="331" spans="1:23" x14ac:dyDescent="0.3">
      <c r="A331" t="s">
        <v>9</v>
      </c>
      <c r="B331">
        <v>2007</v>
      </c>
      <c r="C331">
        <v>622</v>
      </c>
      <c r="D331" s="12">
        <v>2007.74999999999</v>
      </c>
      <c r="F331" t="s">
        <v>9</v>
      </c>
      <c r="G331">
        <v>2007</v>
      </c>
      <c r="H331">
        <v>712</v>
      </c>
      <c r="M331" s="13">
        <f t="shared" ref="M331:M394" si="8">STANDARDIZE(H331,H$7,H$8)</f>
        <v>1.987851256436888</v>
      </c>
      <c r="S331" s="12">
        <f>STANDARDIZE(C331,P$35,Q$35)</f>
        <v>0.52739824322767426</v>
      </c>
      <c r="T331" s="12">
        <v>2007.74999999999</v>
      </c>
      <c r="V331">
        <v>-0.54863566888655235</v>
      </c>
      <c r="W331">
        <v>1992.24999999687</v>
      </c>
    </row>
    <row r="332" spans="1:23" x14ac:dyDescent="0.3">
      <c r="A332" t="s">
        <v>10</v>
      </c>
      <c r="B332">
        <v>2007</v>
      </c>
      <c r="C332">
        <v>630</v>
      </c>
      <c r="D332" s="12">
        <v>2007.8333333333201</v>
      </c>
      <c r="F332" t="s">
        <v>10</v>
      </c>
      <c r="G332">
        <v>2007</v>
      </c>
      <c r="H332">
        <v>717</v>
      </c>
      <c r="M332" s="13">
        <f t="shared" si="8"/>
        <v>2.2320237373576037</v>
      </c>
      <c r="S332" s="12">
        <f>STANDARDIZE(C332,P$36,Q$36)</f>
        <v>0.36954090500517356</v>
      </c>
      <c r="T332" s="12">
        <v>2007.8333333333201</v>
      </c>
      <c r="V332">
        <v>-0.7347635904628359</v>
      </c>
      <c r="W332">
        <v>1992.1666666635101</v>
      </c>
    </row>
    <row r="333" spans="1:23" x14ac:dyDescent="0.3">
      <c r="A333" t="s">
        <v>11</v>
      </c>
      <c r="B333">
        <v>2007</v>
      </c>
      <c r="C333">
        <v>631</v>
      </c>
      <c r="D333" s="12">
        <v>2007.9166666666499</v>
      </c>
      <c r="F333" t="s">
        <v>11</v>
      </c>
      <c r="G333">
        <v>2007</v>
      </c>
      <c r="H333">
        <v>710</v>
      </c>
      <c r="M333" s="13">
        <f t="shared" si="8"/>
        <v>1.8901822640686017</v>
      </c>
      <c r="S333" s="12">
        <f>STANDARDIZE(C333,P$37,Q$37)</f>
        <v>0.32022354232488282</v>
      </c>
      <c r="T333" s="12">
        <v>2007.9166666666499</v>
      </c>
      <c r="V333">
        <v>-0.48074597714496842</v>
      </c>
      <c r="W333">
        <v>1992.08333333015</v>
      </c>
    </row>
    <row r="334" spans="1:23" x14ac:dyDescent="0.3">
      <c r="A334" t="s">
        <v>0</v>
      </c>
      <c r="B334">
        <v>2008</v>
      </c>
      <c r="C334">
        <v>608</v>
      </c>
      <c r="D334" s="12">
        <v>2008</v>
      </c>
      <c r="F334" t="s">
        <v>0</v>
      </c>
      <c r="G334">
        <v>2008</v>
      </c>
      <c r="H334">
        <v>700</v>
      </c>
      <c r="M334" s="13">
        <f t="shared" si="8"/>
        <v>1.4018373022271702</v>
      </c>
      <c r="S334" s="12">
        <f>STANDARDIZE(C334,P$26,Q$26)</f>
        <v>0.61533593720558155</v>
      </c>
      <c r="T334" s="12">
        <v>2008</v>
      </c>
      <c r="V334">
        <v>-0.79576866745570107</v>
      </c>
      <c r="W334">
        <v>1991.9999999967899</v>
      </c>
    </row>
    <row r="335" spans="1:23" x14ac:dyDescent="0.3">
      <c r="A335" t="s">
        <v>1</v>
      </c>
      <c r="B335">
        <v>2008</v>
      </c>
      <c r="C335">
        <v>570</v>
      </c>
      <c r="D335" s="12">
        <v>2008.0833333333201</v>
      </c>
      <c r="F335" t="s">
        <v>1</v>
      </c>
      <c r="G335">
        <v>2008</v>
      </c>
      <c r="H335">
        <v>675</v>
      </c>
      <c r="M335" s="13">
        <f t="shared" si="8"/>
        <v>0.18097489762359129</v>
      </c>
      <c r="S335" s="12">
        <f>STANDARDIZE(C335,P$27,Q$27)</f>
        <v>0.52596766312640753</v>
      </c>
      <c r="T335" s="12">
        <v>2008.0833333333201</v>
      </c>
      <c r="V335">
        <v>-0.61322160129420877</v>
      </c>
      <c r="W335">
        <v>1991.9166666634301</v>
      </c>
    </row>
    <row r="336" spans="1:23" x14ac:dyDescent="0.3">
      <c r="A336" t="s">
        <v>2</v>
      </c>
      <c r="B336">
        <v>2008</v>
      </c>
      <c r="C336">
        <v>550</v>
      </c>
      <c r="D336" s="12">
        <v>2008.1666666666499</v>
      </c>
      <c r="F336" t="s">
        <v>2</v>
      </c>
      <c r="G336">
        <v>2008</v>
      </c>
      <c r="H336">
        <v>672</v>
      </c>
      <c r="M336" s="13">
        <f t="shared" si="8"/>
        <v>3.4471409071161835E-2</v>
      </c>
      <c r="S336" s="12">
        <f>STANDARDIZE(C336,P$28,Q$28)</f>
        <v>1.1565838396870549</v>
      </c>
      <c r="T336" s="12">
        <v>2008.1666666666499</v>
      </c>
      <c r="V336">
        <v>-0.70771291331218533</v>
      </c>
      <c r="W336">
        <v>1991.83333333007</v>
      </c>
    </row>
    <row r="337" spans="1:23" x14ac:dyDescent="0.3">
      <c r="A337" t="s">
        <v>3</v>
      </c>
      <c r="B337">
        <v>2008</v>
      </c>
      <c r="C337">
        <v>548</v>
      </c>
      <c r="D337" s="12">
        <v>2008.24999999999</v>
      </c>
      <c r="F337" t="s">
        <v>3</v>
      </c>
      <c r="G337">
        <v>2008</v>
      </c>
      <c r="H337">
        <v>672</v>
      </c>
      <c r="M337" s="13">
        <f t="shared" si="8"/>
        <v>3.4471409071161835E-2</v>
      </c>
      <c r="S337" s="12">
        <f>STANDARDIZE(C337,P$29,Q$29)</f>
        <v>0.35582035866515122</v>
      </c>
      <c r="T337" s="12">
        <v>2008.24999999999</v>
      </c>
      <c r="V337">
        <v>-0.51806376104665353</v>
      </c>
      <c r="W337">
        <v>1991.7499999967099</v>
      </c>
    </row>
    <row r="338" spans="1:23" x14ac:dyDescent="0.3">
      <c r="A338" t="s">
        <v>4</v>
      </c>
      <c r="B338">
        <v>2008</v>
      </c>
      <c r="C338">
        <v>584</v>
      </c>
      <c r="D338" s="12">
        <v>2008.3333333333201</v>
      </c>
      <c r="F338" t="s">
        <v>4</v>
      </c>
      <c r="G338">
        <v>2008</v>
      </c>
      <c r="H338">
        <v>683</v>
      </c>
      <c r="M338" s="13">
        <f t="shared" si="8"/>
        <v>0.57165086709673651</v>
      </c>
      <c r="S338" s="12">
        <f>STANDARDIZE(C338,P$30,Q$30)</f>
        <v>0.66850181372782613</v>
      </c>
      <c r="T338" s="12">
        <v>2008.3333333333201</v>
      </c>
      <c r="V338">
        <v>-1.2311970753875479</v>
      </c>
      <c r="W338">
        <v>1991.66666666335</v>
      </c>
    </row>
    <row r="339" spans="1:23" x14ac:dyDescent="0.3">
      <c r="A339" t="s">
        <v>5</v>
      </c>
      <c r="B339">
        <v>2008</v>
      </c>
      <c r="C339">
        <v>615</v>
      </c>
      <c r="D339" s="12">
        <v>2008.4166666666499</v>
      </c>
      <c r="F339" t="s">
        <v>5</v>
      </c>
      <c r="G339">
        <v>2008</v>
      </c>
      <c r="H339">
        <v>694</v>
      </c>
      <c r="M339" s="13">
        <f t="shared" si="8"/>
        <v>1.1088303251223113</v>
      </c>
      <c r="S339" s="12">
        <f>STANDARDIZE(C339,P$31,Q$31)</f>
        <v>0.83503702677041658</v>
      </c>
      <c r="T339" s="12">
        <v>2008.4166666666499</v>
      </c>
      <c r="V339">
        <v>-0.55357781092943825</v>
      </c>
      <c r="W339">
        <v>1991.58333332999</v>
      </c>
    </row>
    <row r="340" spans="1:23" x14ac:dyDescent="0.3">
      <c r="A340" t="s">
        <v>6</v>
      </c>
      <c r="B340">
        <v>2008</v>
      </c>
      <c r="C340">
        <v>630</v>
      </c>
      <c r="D340" s="12">
        <v>2008.49999999999</v>
      </c>
      <c r="F340" t="s">
        <v>6</v>
      </c>
      <c r="G340">
        <v>2008</v>
      </c>
      <c r="H340">
        <v>702</v>
      </c>
      <c r="M340" s="13">
        <f t="shared" si="8"/>
        <v>1.4995062945954565</v>
      </c>
      <c r="S340" s="12">
        <f>STANDARDIZE(C340,P$32,Q$32)</f>
        <v>0.95179935294498519</v>
      </c>
      <c r="T340" s="12">
        <v>2008.49999999999</v>
      </c>
      <c r="V340">
        <v>-0.52393800182301342</v>
      </c>
      <c r="W340">
        <v>1991.4999999966301</v>
      </c>
    </row>
    <row r="341" spans="1:23" x14ac:dyDescent="0.3">
      <c r="A341" t="s">
        <v>7</v>
      </c>
      <c r="B341">
        <v>2008</v>
      </c>
      <c r="C341">
        <v>632</v>
      </c>
      <c r="D341" s="12">
        <v>2008.5833333333201</v>
      </c>
      <c r="F341" t="s">
        <v>7</v>
      </c>
      <c r="G341">
        <v>2008</v>
      </c>
      <c r="H341">
        <v>710</v>
      </c>
      <c r="M341" s="13">
        <f t="shared" si="8"/>
        <v>1.8901822640686017</v>
      </c>
      <c r="S341" s="12">
        <f>STANDARDIZE(C341,P$33,Q$33)</f>
        <v>1.0466807349506186</v>
      </c>
      <c r="T341" s="12">
        <v>2008.5833333333201</v>
      </c>
      <c r="V341">
        <v>-0.693447500270019</v>
      </c>
      <c r="W341">
        <v>1991.41666666327</v>
      </c>
    </row>
    <row r="342" spans="1:23" x14ac:dyDescent="0.3">
      <c r="A342" t="s">
        <v>8</v>
      </c>
      <c r="B342">
        <v>2008</v>
      </c>
      <c r="C342">
        <v>634</v>
      </c>
      <c r="D342" s="12">
        <v>2008.6666666666599</v>
      </c>
      <c r="F342" t="s">
        <v>8</v>
      </c>
      <c r="G342">
        <v>2008</v>
      </c>
      <c r="H342">
        <v>715</v>
      </c>
      <c r="M342" s="13">
        <f t="shared" si="8"/>
        <v>2.1343547449893174</v>
      </c>
      <c r="S342" s="12">
        <f>STANDARDIZE(C342,P$34,Q$34)</f>
        <v>1.0734945755648364</v>
      </c>
      <c r="T342" s="12">
        <v>2008.6666666666599</v>
      </c>
      <c r="V342">
        <v>-0.62875735393425736</v>
      </c>
      <c r="W342">
        <v>1991.3333333299099</v>
      </c>
    </row>
    <row r="343" spans="1:23" x14ac:dyDescent="0.3">
      <c r="A343" t="s">
        <v>9</v>
      </c>
      <c r="B343">
        <v>2008</v>
      </c>
      <c r="C343">
        <v>635</v>
      </c>
      <c r="D343" s="12">
        <v>2008.74999999999</v>
      </c>
      <c r="F343" t="s">
        <v>9</v>
      </c>
      <c r="G343">
        <v>2008</v>
      </c>
      <c r="H343">
        <v>714</v>
      </c>
      <c r="M343" s="13">
        <f t="shared" si="8"/>
        <v>2.0855202488051745</v>
      </c>
      <c r="S343" s="12">
        <f>STANDARDIZE(C343,P$35,Q$35)</f>
        <v>0.80476571374943473</v>
      </c>
      <c r="T343" s="12">
        <v>2008.74999999999</v>
      </c>
      <c r="V343">
        <v>-0.2733664431099469</v>
      </c>
      <c r="W343">
        <v>1991.2499999965501</v>
      </c>
    </row>
    <row r="344" spans="1:23" x14ac:dyDescent="0.3">
      <c r="A344" t="s">
        <v>10</v>
      </c>
      <c r="B344">
        <v>2008</v>
      </c>
      <c r="C344">
        <v>642</v>
      </c>
      <c r="D344" s="12">
        <v>2008.8333333333201</v>
      </c>
      <c r="F344" t="s">
        <v>10</v>
      </c>
      <c r="G344">
        <v>2008</v>
      </c>
      <c r="H344">
        <v>719</v>
      </c>
      <c r="M344" s="13">
        <f t="shared" si="8"/>
        <v>2.32969272972589</v>
      </c>
      <c r="S344" s="12">
        <f>STANDARDIZE(C344,P$36,Q$36)</f>
        <v>0.66333740090990778</v>
      </c>
      <c r="T344" s="12">
        <v>2008.8333333333201</v>
      </c>
      <c r="V344">
        <v>-0.4162208653849595</v>
      </c>
      <c r="W344">
        <v>1991.16666666319</v>
      </c>
    </row>
    <row r="345" spans="1:23" x14ac:dyDescent="0.3">
      <c r="A345" t="s">
        <v>11</v>
      </c>
      <c r="B345">
        <v>2008</v>
      </c>
      <c r="C345">
        <v>639</v>
      </c>
      <c r="D345" s="12">
        <v>2008.9166666666599</v>
      </c>
      <c r="F345" t="s">
        <v>11</v>
      </c>
      <c r="G345">
        <v>2008</v>
      </c>
      <c r="H345">
        <v>715</v>
      </c>
      <c r="M345" s="13">
        <f t="shared" si="8"/>
        <v>2.1343547449893174</v>
      </c>
      <c r="S345" s="12">
        <f>STANDARDIZE(C345,P$37,Q$37)</f>
        <v>0.48616934563494357</v>
      </c>
      <c r="T345" s="12">
        <v>2008.9166666666599</v>
      </c>
      <c r="V345">
        <v>-0.40547766759196835</v>
      </c>
      <c r="W345">
        <v>1991.0833333298301</v>
      </c>
    </row>
    <row r="346" spans="1:23" x14ac:dyDescent="0.3">
      <c r="A346" t="s">
        <v>0</v>
      </c>
      <c r="B346">
        <v>2009</v>
      </c>
      <c r="C346">
        <v>618</v>
      </c>
      <c r="D346" s="12">
        <v>2009</v>
      </c>
      <c r="F346" t="s">
        <v>0</v>
      </c>
      <c r="G346">
        <v>2009</v>
      </c>
      <c r="H346">
        <v>702</v>
      </c>
      <c r="M346" s="13">
        <f t="shared" si="8"/>
        <v>1.4995062945954565</v>
      </c>
      <c r="S346" s="12">
        <f>STANDARDIZE(C346,P$26,Q$26)</f>
        <v>0.78534854017682043</v>
      </c>
      <c r="T346" s="12">
        <v>2009</v>
      </c>
      <c r="V346">
        <v>-9.8716995273621697E-2</v>
      </c>
      <c r="W346">
        <v>1990.99999999647</v>
      </c>
    </row>
    <row r="347" spans="1:23" x14ac:dyDescent="0.3">
      <c r="A347" t="s">
        <v>1</v>
      </c>
      <c r="B347">
        <v>2009</v>
      </c>
      <c r="C347">
        <v>585</v>
      </c>
      <c r="D347" s="12">
        <v>2009.0833333333201</v>
      </c>
      <c r="F347" t="s">
        <v>1</v>
      </c>
      <c r="G347">
        <v>2009</v>
      </c>
      <c r="H347">
        <v>689</v>
      </c>
      <c r="M347" s="13">
        <f t="shared" si="8"/>
        <v>0.86465784420159542</v>
      </c>
      <c r="S347" s="12">
        <f>STANDARDIZE(C347,P$27,Q$27)</f>
        <v>0.6670957435382826</v>
      </c>
      <c r="T347" s="12">
        <v>2009.0833333333201</v>
      </c>
      <c r="V347">
        <v>5.0561611946034132E-2</v>
      </c>
      <c r="W347">
        <v>1990.9166666631099</v>
      </c>
    </row>
    <row r="348" spans="1:23" x14ac:dyDescent="0.3">
      <c r="A348" t="s">
        <v>2</v>
      </c>
      <c r="B348">
        <v>2009</v>
      </c>
      <c r="C348">
        <v>542</v>
      </c>
      <c r="D348" s="12">
        <v>2009.1666666666599</v>
      </c>
      <c r="F348" t="s">
        <v>2</v>
      </c>
      <c r="G348">
        <v>2009</v>
      </c>
      <c r="H348">
        <v>674</v>
      </c>
      <c r="M348" s="13">
        <f t="shared" si="8"/>
        <v>0.13214040143944814</v>
      </c>
      <c r="S348" s="12">
        <f>STANDARDIZE(C348,P$28,Q$28)</f>
        <v>0.99731247714811677</v>
      </c>
      <c r="T348" s="12">
        <v>2009.1666666666599</v>
      </c>
      <c r="V348">
        <v>-0.12011992150271686</v>
      </c>
      <c r="W348">
        <v>1990.8333333297501</v>
      </c>
    </row>
    <row r="349" spans="1:23" x14ac:dyDescent="0.3">
      <c r="A349" t="s">
        <v>3</v>
      </c>
      <c r="B349">
        <v>2009</v>
      </c>
      <c r="C349">
        <v>555</v>
      </c>
      <c r="D349" s="12">
        <v>2009.24999999999</v>
      </c>
      <c r="F349" t="s">
        <v>3</v>
      </c>
      <c r="G349">
        <v>2009</v>
      </c>
      <c r="H349">
        <v>680</v>
      </c>
      <c r="M349" s="13">
        <f t="shared" si="8"/>
        <v>0.42514737854430706</v>
      </c>
      <c r="S349" s="12">
        <f>STANDARDIZE(C349,P$29,Q$29)</f>
        <v>0.42463766510930256</v>
      </c>
      <c r="T349" s="12">
        <v>2009.24999999999</v>
      </c>
      <c r="V349">
        <v>-0.49672780177574882</v>
      </c>
      <c r="W349">
        <v>1990.74999999639</v>
      </c>
    </row>
    <row r="350" spans="1:23" x14ac:dyDescent="0.3">
      <c r="A350" t="s">
        <v>4</v>
      </c>
      <c r="B350">
        <v>2009</v>
      </c>
      <c r="C350">
        <v>577</v>
      </c>
      <c r="D350" s="12">
        <v>2009.3333333333201</v>
      </c>
      <c r="F350" t="s">
        <v>4</v>
      </c>
      <c r="G350">
        <v>2009</v>
      </c>
      <c r="H350">
        <v>690</v>
      </c>
      <c r="M350" s="13">
        <f t="shared" si="8"/>
        <v>0.91349234038573857</v>
      </c>
      <c r="S350" s="12">
        <f>STANDARDIZE(C350,P$30,Q$30)</f>
        <v>0.49044663385263815</v>
      </c>
      <c r="T350" s="12">
        <v>2009.3333333333201</v>
      </c>
      <c r="V350">
        <v>-0.75436432001808917</v>
      </c>
      <c r="W350">
        <v>1990.6666666630299</v>
      </c>
    </row>
    <row r="351" spans="1:23" x14ac:dyDescent="0.3">
      <c r="A351" t="s">
        <v>5</v>
      </c>
      <c r="B351">
        <v>2009</v>
      </c>
      <c r="C351">
        <v>584</v>
      </c>
      <c r="D351" s="12">
        <v>2009.4166666666599</v>
      </c>
      <c r="F351" t="s">
        <v>5</v>
      </c>
      <c r="G351">
        <v>2009</v>
      </c>
      <c r="H351">
        <v>692</v>
      </c>
      <c r="M351" s="13">
        <f t="shared" si="8"/>
        <v>1.011161332754025</v>
      </c>
      <c r="S351" s="12">
        <f>STANDARDIZE(C351,P$31,Q$31)</f>
        <v>-1.1088336412681732E-2</v>
      </c>
      <c r="T351" s="12">
        <v>2009.4166666666599</v>
      </c>
      <c r="V351">
        <v>-0.72104672852153728</v>
      </c>
      <c r="W351">
        <v>1990.58333332967</v>
      </c>
    </row>
    <row r="352" spans="1:23" x14ac:dyDescent="0.3">
      <c r="A352" t="s">
        <v>6</v>
      </c>
      <c r="B352">
        <v>2009</v>
      </c>
      <c r="C352">
        <v>579</v>
      </c>
      <c r="D352" s="12">
        <v>2009.49999999999</v>
      </c>
      <c r="F352" t="s">
        <v>6</v>
      </c>
      <c r="G352">
        <v>2009</v>
      </c>
      <c r="H352">
        <v>693</v>
      </c>
      <c r="M352" s="13">
        <f t="shared" si="8"/>
        <v>1.0599958289381681</v>
      </c>
      <c r="S352" s="12">
        <f>STANDARDIZE(C352,P$32,Q$32)</f>
        <v>-9.3514606682347137E-2</v>
      </c>
      <c r="T352" s="12">
        <v>2009.49999999999</v>
      </c>
      <c r="V352">
        <v>-0.60592341042123554</v>
      </c>
      <c r="W352">
        <v>1990.49999999631</v>
      </c>
    </row>
    <row r="353" spans="1:23" x14ac:dyDescent="0.3">
      <c r="A353" t="s">
        <v>7</v>
      </c>
      <c r="B353">
        <v>2009</v>
      </c>
      <c r="C353">
        <v>546</v>
      </c>
      <c r="D353" s="12">
        <v>2009.5833333333201</v>
      </c>
      <c r="F353" t="s">
        <v>7</v>
      </c>
      <c r="G353">
        <v>2009</v>
      </c>
      <c r="H353">
        <v>688</v>
      </c>
      <c r="M353" s="13">
        <f t="shared" si="8"/>
        <v>0.81582334801745227</v>
      </c>
      <c r="S353" s="12">
        <f>STANDARDIZE(C353,P$33,Q$33)</f>
        <v>-0.55357781092943825</v>
      </c>
      <c r="T353" s="12">
        <v>2009.5833333333201</v>
      </c>
      <c r="V353">
        <v>-0.693447500270019</v>
      </c>
      <c r="W353">
        <v>1990.4166666629501</v>
      </c>
    </row>
    <row r="354" spans="1:23" x14ac:dyDescent="0.3">
      <c r="A354" t="s">
        <v>8</v>
      </c>
      <c r="B354">
        <v>2009</v>
      </c>
      <c r="C354">
        <v>546</v>
      </c>
      <c r="D354" s="12">
        <v>2009.6666666666599</v>
      </c>
      <c r="F354" t="s">
        <v>8</v>
      </c>
      <c r="G354">
        <v>2009</v>
      </c>
      <c r="H354">
        <v>688</v>
      </c>
      <c r="M354" s="13">
        <f t="shared" si="8"/>
        <v>0.81582334801745227</v>
      </c>
      <c r="S354" s="12">
        <f>STANDARDIZE(C354,P$34,Q$34)</f>
        <v>-0.67489219412317936</v>
      </c>
      <c r="T354" s="12">
        <v>2009.6666666666599</v>
      </c>
      <c r="V354">
        <v>-0.37439281125541746</v>
      </c>
      <c r="W354">
        <v>1990.33333332959</v>
      </c>
    </row>
    <row r="355" spans="1:23" x14ac:dyDescent="0.3">
      <c r="A355" t="s">
        <v>9</v>
      </c>
      <c r="B355">
        <v>2009</v>
      </c>
      <c r="C355">
        <v>527</v>
      </c>
      <c r="D355" s="12">
        <v>2009.74999999999</v>
      </c>
      <c r="F355" t="s">
        <v>9</v>
      </c>
      <c r="G355">
        <v>2009</v>
      </c>
      <c r="H355">
        <v>687</v>
      </c>
      <c r="M355" s="13">
        <f t="shared" si="8"/>
        <v>0.76698885183330912</v>
      </c>
      <c r="S355" s="12">
        <f>STANDARDIZE(C355,P$35,Q$35)</f>
        <v>-1.4995178875082673</v>
      </c>
      <c r="T355" s="12">
        <v>2009.74999999999</v>
      </c>
      <c r="V355">
        <v>-0.30285957444315464</v>
      </c>
      <c r="W355">
        <v>1990.2499999962299</v>
      </c>
    </row>
    <row r="356" spans="1:23" x14ac:dyDescent="0.3">
      <c r="A356" t="s">
        <v>10</v>
      </c>
      <c r="B356">
        <v>2009</v>
      </c>
      <c r="C356">
        <v>564</v>
      </c>
      <c r="D356" s="12">
        <v>2009.8333333333201</v>
      </c>
      <c r="F356" t="s">
        <v>10</v>
      </c>
      <c r="G356">
        <v>2009</v>
      </c>
      <c r="H356">
        <v>700</v>
      </c>
      <c r="M356" s="13">
        <f t="shared" si="8"/>
        <v>1.4018373022271702</v>
      </c>
      <c r="S356" s="12">
        <f>STANDARDIZE(C356,P$36,Q$36)</f>
        <v>-1.2463398224708648</v>
      </c>
      <c r="T356" s="12">
        <v>2009.8333333333201</v>
      </c>
      <c r="V356">
        <v>-0.51576546697179593</v>
      </c>
      <c r="W356">
        <v>1990.1666666628701</v>
      </c>
    </row>
    <row r="357" spans="1:23" x14ac:dyDescent="0.3">
      <c r="A357" t="s">
        <v>11</v>
      </c>
      <c r="B357">
        <v>2009</v>
      </c>
      <c r="C357">
        <v>530</v>
      </c>
      <c r="D357" s="12">
        <v>2009.9166666666599</v>
      </c>
      <c r="F357" t="s">
        <v>11</v>
      </c>
      <c r="G357">
        <v>2009</v>
      </c>
      <c r="H357">
        <v>669</v>
      </c>
      <c r="M357" s="13">
        <f t="shared" si="8"/>
        <v>-0.11203207948126763</v>
      </c>
      <c r="S357" s="12">
        <f>STANDARDIZE(C357,P$37,Q$37)</f>
        <v>-1.774842224464634</v>
      </c>
      <c r="T357" s="12">
        <v>2009.9166666666599</v>
      </c>
      <c r="V357">
        <v>-0.28316666456834327</v>
      </c>
      <c r="W357">
        <v>1990.08333332951</v>
      </c>
    </row>
    <row r="358" spans="1:23" x14ac:dyDescent="0.3">
      <c r="A358" t="s">
        <v>0</v>
      </c>
      <c r="B358">
        <v>2010</v>
      </c>
      <c r="C358">
        <v>452</v>
      </c>
      <c r="D358" s="12">
        <v>2010</v>
      </c>
      <c r="F358" t="s">
        <v>0</v>
      </c>
      <c r="G358">
        <v>2010</v>
      </c>
      <c r="H358">
        <v>658</v>
      </c>
      <c r="M358" s="13">
        <f t="shared" si="8"/>
        <v>-0.64921153750684235</v>
      </c>
      <c r="S358" s="12">
        <f>STANDARDIZE(C358,P$26,Q$26)</f>
        <v>-2.0368606691457449</v>
      </c>
      <c r="T358" s="12">
        <v>2010</v>
      </c>
      <c r="V358">
        <v>-0.28573085854198443</v>
      </c>
      <c r="W358">
        <v>1989.9999999961501</v>
      </c>
    </row>
    <row r="359" spans="1:23" x14ac:dyDescent="0.3">
      <c r="A359" t="s">
        <v>1</v>
      </c>
      <c r="B359">
        <v>2010</v>
      </c>
      <c r="C359">
        <v>424</v>
      </c>
      <c r="D359" s="12">
        <v>2010.0833333333201</v>
      </c>
      <c r="F359" t="s">
        <v>1</v>
      </c>
      <c r="G359">
        <v>2010</v>
      </c>
      <c r="H359">
        <v>652</v>
      </c>
      <c r="M359" s="13">
        <f t="shared" si="8"/>
        <v>-0.94221851461170125</v>
      </c>
      <c r="S359" s="12">
        <f>STANDARDIZE(C359,P$27,Q$27)</f>
        <v>-0.84767898621584381</v>
      </c>
      <c r="T359" s="12">
        <v>2010.0833333333201</v>
      </c>
      <c r="V359">
        <v>0.54839902187621636</v>
      </c>
      <c r="W359">
        <v>1989.91666666279</v>
      </c>
    </row>
    <row r="360" spans="1:23" x14ac:dyDescent="0.3">
      <c r="A360" t="s">
        <v>2</v>
      </c>
      <c r="B360">
        <v>2010</v>
      </c>
      <c r="C360">
        <v>439</v>
      </c>
      <c r="D360" s="12">
        <v>2010.1666666666599</v>
      </c>
      <c r="F360" t="s">
        <v>2</v>
      </c>
      <c r="G360">
        <v>2010</v>
      </c>
      <c r="H360">
        <v>656</v>
      </c>
      <c r="M360" s="13">
        <f t="shared" si="8"/>
        <v>-0.74688052987512865</v>
      </c>
      <c r="S360" s="12">
        <f>STANDARDIZE(C360,P$28,Q$28)</f>
        <v>-1.0533063155407123</v>
      </c>
      <c r="T360" s="12">
        <v>2010.1666666666599</v>
      </c>
      <c r="V360">
        <v>0.73678652488609131</v>
      </c>
      <c r="W360">
        <v>1989.8333333294299</v>
      </c>
    </row>
    <row r="361" spans="1:23" x14ac:dyDescent="0.3">
      <c r="A361" t="s">
        <v>3</v>
      </c>
      <c r="B361">
        <v>2010</v>
      </c>
      <c r="C361">
        <v>468</v>
      </c>
      <c r="D361" s="12">
        <v>2010.24999999999</v>
      </c>
      <c r="F361" t="s">
        <v>3</v>
      </c>
      <c r="G361">
        <v>2010</v>
      </c>
      <c r="H361">
        <v>659</v>
      </c>
      <c r="M361" s="13">
        <f t="shared" si="8"/>
        <v>-0.6003770413226992</v>
      </c>
      <c r="S361" s="12">
        <f>STANDARDIZE(C361,P$29,Q$29)</f>
        <v>-0.43066314355372148</v>
      </c>
      <c r="T361" s="12">
        <v>2010.24999999999</v>
      </c>
      <c r="V361">
        <v>0.50606228395676967</v>
      </c>
      <c r="W361">
        <v>1989.7499999960701</v>
      </c>
    </row>
    <row r="362" spans="1:23" x14ac:dyDescent="0.3">
      <c r="A362" t="s">
        <v>4</v>
      </c>
      <c r="B362">
        <v>2010</v>
      </c>
      <c r="C362">
        <v>534</v>
      </c>
      <c r="D362" s="12">
        <v>2010.3333333333201</v>
      </c>
      <c r="F362" t="s">
        <v>4</v>
      </c>
      <c r="G362">
        <v>2010</v>
      </c>
      <c r="H362">
        <v>675</v>
      </c>
      <c r="M362" s="13">
        <f t="shared" si="8"/>
        <v>0.18097489762359129</v>
      </c>
      <c r="S362" s="12">
        <f>STANDARDIZE(C362,P$30,Q$30)</f>
        <v>-0.60332089966637337</v>
      </c>
      <c r="T362" s="12">
        <v>2010.3333333333201</v>
      </c>
      <c r="V362">
        <v>0.17943315924710104</v>
      </c>
      <c r="W362">
        <v>1989.66666666271</v>
      </c>
    </row>
    <row r="363" spans="1:23" x14ac:dyDescent="0.3">
      <c r="A363" t="s">
        <v>5</v>
      </c>
      <c r="B363">
        <v>2010</v>
      </c>
      <c r="C363">
        <v>582</v>
      </c>
      <c r="D363" s="12">
        <v>2010.4166666666599</v>
      </c>
      <c r="F363" t="s">
        <v>5</v>
      </c>
      <c r="G363">
        <v>2010</v>
      </c>
      <c r="H363">
        <v>693</v>
      </c>
      <c r="M363" s="13">
        <f t="shared" si="8"/>
        <v>1.0599958289381681</v>
      </c>
      <c r="S363" s="12">
        <f>STANDARDIZE(C363,P$31,Q$31)</f>
        <v>-6.5677069521268713E-2</v>
      </c>
      <c r="T363" s="12">
        <v>2010.4166666666599</v>
      </c>
      <c r="V363">
        <v>-8.8386373173607799E-2</v>
      </c>
      <c r="W363">
        <v>1989.5833333293499</v>
      </c>
    </row>
    <row r="364" spans="1:23" x14ac:dyDescent="0.3">
      <c r="A364" t="s">
        <v>6</v>
      </c>
      <c r="B364">
        <v>2010</v>
      </c>
      <c r="C364">
        <v>617</v>
      </c>
      <c r="D364" s="12">
        <v>2010.49999999999</v>
      </c>
      <c r="F364" t="s">
        <v>6</v>
      </c>
      <c r="G364">
        <v>2010</v>
      </c>
      <c r="H364">
        <v>704</v>
      </c>
      <c r="M364" s="13">
        <f t="shared" si="8"/>
        <v>1.5971752869637428</v>
      </c>
      <c r="S364" s="12">
        <f>STANDARDIZE(C364,P$32,Q$32)</f>
        <v>0.68534677500076324</v>
      </c>
      <c r="T364" s="12">
        <v>2010.49999999999</v>
      </c>
      <c r="V364">
        <v>-0.15500366313101374</v>
      </c>
      <c r="W364">
        <v>1989.49999999599</v>
      </c>
    </row>
    <row r="365" spans="1:23" x14ac:dyDescent="0.3">
      <c r="A365" t="s">
        <v>7</v>
      </c>
      <c r="B365">
        <v>2010</v>
      </c>
      <c r="C365">
        <v>632</v>
      </c>
      <c r="D365" s="12">
        <v>2010.5833333333301</v>
      </c>
      <c r="F365" t="s">
        <v>7</v>
      </c>
      <c r="G365">
        <v>2010</v>
      </c>
      <c r="H365">
        <v>714</v>
      </c>
      <c r="M365" s="13">
        <f t="shared" si="8"/>
        <v>2.0855202488051745</v>
      </c>
      <c r="S365" s="12">
        <f>STANDARDIZE(C365,P$33,Q$33)</f>
        <v>1.0466807349506186</v>
      </c>
      <c r="T365" s="12">
        <v>2010.5833333333301</v>
      </c>
      <c r="V365">
        <v>-0.28403200195561668</v>
      </c>
      <c r="W365">
        <v>1989.41666666263</v>
      </c>
    </row>
    <row r="366" spans="1:23" x14ac:dyDescent="0.3">
      <c r="A366" t="s">
        <v>8</v>
      </c>
      <c r="B366">
        <v>2010</v>
      </c>
      <c r="C366">
        <v>630</v>
      </c>
      <c r="D366" s="12">
        <v>2010.6666666666599</v>
      </c>
      <c r="F366" t="s">
        <v>8</v>
      </c>
      <c r="G366">
        <v>2010</v>
      </c>
      <c r="H366">
        <v>715</v>
      </c>
      <c r="M366" s="13">
        <f t="shared" si="8"/>
        <v>2.1343547449893174</v>
      </c>
      <c r="S366" s="12">
        <f>STANDARDIZE(C366,P$34,Q$34)</f>
        <v>0.99402244966992648</v>
      </c>
      <c r="T366" s="12">
        <v>2010.6666666666599</v>
      </c>
      <c r="V366">
        <v>-0.32351990271964948</v>
      </c>
      <c r="W366">
        <v>1989.3333333292701</v>
      </c>
    </row>
    <row r="367" spans="1:23" x14ac:dyDescent="0.3">
      <c r="A367" t="s">
        <v>9</v>
      </c>
      <c r="B367">
        <v>2010</v>
      </c>
      <c r="C367">
        <v>639</v>
      </c>
      <c r="D367" s="12">
        <v>2010.74999999999</v>
      </c>
      <c r="F367" t="s">
        <v>9</v>
      </c>
      <c r="G367">
        <v>2010</v>
      </c>
      <c r="H367">
        <v>722</v>
      </c>
      <c r="M367" s="13">
        <f t="shared" si="8"/>
        <v>2.4761962182783197</v>
      </c>
      <c r="S367" s="12">
        <f>STANDARDIZE(C367,P$35,Q$35)</f>
        <v>0.89010955083305332</v>
      </c>
      <c r="T367" s="12">
        <v>2010.74999999999</v>
      </c>
      <c r="V367">
        <v>0.25750992088779212</v>
      </c>
      <c r="W367">
        <v>1989.24999999591</v>
      </c>
    </row>
    <row r="368" spans="1:23" x14ac:dyDescent="0.3">
      <c r="A368" t="s">
        <v>10</v>
      </c>
      <c r="B368">
        <v>2010</v>
      </c>
      <c r="C368">
        <v>647</v>
      </c>
      <c r="D368" s="12">
        <v>2010.8333333333301</v>
      </c>
      <c r="F368" t="s">
        <v>10</v>
      </c>
      <c r="G368">
        <v>2010</v>
      </c>
      <c r="H368">
        <v>723</v>
      </c>
      <c r="M368" s="13">
        <f t="shared" si="8"/>
        <v>2.5250307144624626</v>
      </c>
      <c r="S368" s="12">
        <f>STANDARDIZE(C368,P$36,Q$36)</f>
        <v>0.78575260753688037</v>
      </c>
      <c r="T368" s="12">
        <v>2010.8333333333301</v>
      </c>
      <c r="V368">
        <v>1.1964016803217894</v>
      </c>
      <c r="W368">
        <v>1989.1666666625499</v>
      </c>
    </row>
    <row r="369" spans="1:23" x14ac:dyDescent="0.3">
      <c r="A369" t="s">
        <v>11</v>
      </c>
      <c r="B369">
        <v>2010</v>
      </c>
      <c r="C369">
        <v>678</v>
      </c>
      <c r="D369" s="12">
        <v>2010.9166666666599</v>
      </c>
      <c r="F369" t="s">
        <v>11</v>
      </c>
      <c r="G369">
        <v>2010</v>
      </c>
      <c r="H369">
        <v>728</v>
      </c>
      <c r="M369" s="13">
        <f t="shared" si="8"/>
        <v>2.7692031953831786</v>
      </c>
      <c r="S369" s="12">
        <f>STANDARDIZE(C369,P$37,Q$37)</f>
        <v>1.2951551367714897</v>
      </c>
      <c r="T369" s="12">
        <v>2010.9166666666599</v>
      </c>
      <c r="V369">
        <v>0.75177259178540778</v>
      </c>
      <c r="W369">
        <v>1989.0833333291901</v>
      </c>
    </row>
    <row r="370" spans="1:23" x14ac:dyDescent="0.3">
      <c r="A370" t="s">
        <v>0</v>
      </c>
      <c r="B370">
        <v>2011</v>
      </c>
      <c r="C370">
        <v>651</v>
      </c>
      <c r="D370" s="12">
        <v>2011</v>
      </c>
      <c r="F370" t="s">
        <v>0</v>
      </c>
      <c r="G370">
        <v>2011</v>
      </c>
      <c r="M370" s="13"/>
      <c r="S370" s="12">
        <f>STANDARDIZE(C370,P$26,Q$26)</f>
        <v>1.3463901299819088</v>
      </c>
      <c r="T370" s="12">
        <v>2011</v>
      </c>
      <c r="V370">
        <v>1.3293888696847849</v>
      </c>
      <c r="W370">
        <v>1988.99999999583</v>
      </c>
    </row>
    <row r="371" spans="1:23" x14ac:dyDescent="0.3">
      <c r="A371" t="s">
        <v>1</v>
      </c>
      <c r="B371">
        <v>2011</v>
      </c>
      <c r="C371">
        <v>569</v>
      </c>
      <c r="D371" s="12">
        <v>2011.0833333333301</v>
      </c>
      <c r="F371" t="s">
        <v>1</v>
      </c>
      <c r="G371">
        <v>2011</v>
      </c>
      <c r="M371" s="13"/>
      <c r="S371" s="12">
        <f>STANDARDIZE(C371,P$27,Q$27)</f>
        <v>0.51655912443228247</v>
      </c>
      <c r="T371" s="12">
        <v>2011.0833333333301</v>
      </c>
      <c r="V371">
        <v>1.1499525588751864</v>
      </c>
      <c r="W371">
        <v>1988.9166666624701</v>
      </c>
    </row>
    <row r="372" spans="1:23" x14ac:dyDescent="0.3">
      <c r="A372" t="s">
        <v>2</v>
      </c>
      <c r="B372">
        <v>2011</v>
      </c>
      <c r="C372">
        <v>532</v>
      </c>
      <c r="D372" s="12">
        <v>2011.1666666666599</v>
      </c>
      <c r="F372" t="s">
        <v>2</v>
      </c>
      <c r="G372">
        <v>2011</v>
      </c>
      <c r="M372" s="13"/>
      <c r="S372" s="12">
        <f>STANDARDIZE(C372,P$28,Q$28)</f>
        <v>0.79822327397444404</v>
      </c>
      <c r="T372" s="12">
        <v>2011.1666666666599</v>
      </c>
      <c r="V372">
        <v>1.422311681997138</v>
      </c>
      <c r="W372">
        <v>1988.83333332911</v>
      </c>
    </row>
    <row r="373" spans="1:23" x14ac:dyDescent="0.3">
      <c r="A373" t="s">
        <v>3</v>
      </c>
      <c r="B373">
        <v>2011</v>
      </c>
      <c r="C373">
        <v>555</v>
      </c>
      <c r="D373" s="12">
        <v>2011.24999999999</v>
      </c>
      <c r="F373" t="s">
        <v>3</v>
      </c>
      <c r="G373">
        <v>2011</v>
      </c>
      <c r="M373" s="13"/>
      <c r="S373" s="12">
        <f>STANDARDIZE(C373,P$29,Q$29)</f>
        <v>0.42463766510930256</v>
      </c>
      <c r="T373" s="12">
        <v>2011.24999999999</v>
      </c>
      <c r="V373">
        <v>1.6795400438565253</v>
      </c>
      <c r="W373">
        <v>1988.7499999957499</v>
      </c>
    </row>
    <row r="374" spans="1:23" x14ac:dyDescent="0.3">
      <c r="A374" t="s">
        <v>4</v>
      </c>
      <c r="B374">
        <v>2011</v>
      </c>
      <c r="C374">
        <v>619</v>
      </c>
      <c r="D374" s="12">
        <v>2011.3333333333301</v>
      </c>
      <c r="F374" t="s">
        <v>4</v>
      </c>
      <c r="G374">
        <v>2011</v>
      </c>
      <c r="M374" s="13"/>
      <c r="S374" s="12">
        <f>STANDARDIZE(C374,P$30,Q$30)</f>
        <v>1.5587777131037657</v>
      </c>
      <c r="T374" s="12">
        <v>2011.3333333333301</v>
      </c>
      <c r="V374">
        <v>1.5304592994605677</v>
      </c>
      <c r="W374">
        <v>1988.6666666623901</v>
      </c>
    </row>
    <row r="375" spans="1:23" x14ac:dyDescent="0.3">
      <c r="A375" t="s">
        <v>5</v>
      </c>
      <c r="B375">
        <v>2011</v>
      </c>
      <c r="C375">
        <v>628</v>
      </c>
      <c r="D375" s="12">
        <v>2011.4166666666599</v>
      </c>
      <c r="F375" t="s">
        <v>5</v>
      </c>
      <c r="G375">
        <v>2011</v>
      </c>
      <c r="M375" s="13"/>
      <c r="S375" s="12">
        <f>STANDARDIZE(C375,P$31,Q$31)</f>
        <v>1.189863791976232</v>
      </c>
      <c r="T375" s="12">
        <v>2011.4166666666599</v>
      </c>
      <c r="V375">
        <v>1.1025037074813182</v>
      </c>
      <c r="W375">
        <v>1988.58333332903</v>
      </c>
    </row>
    <row r="376" spans="1:23" x14ac:dyDescent="0.3">
      <c r="A376" t="s">
        <v>6</v>
      </c>
      <c r="B376">
        <v>2011</v>
      </c>
      <c r="C376">
        <v>606</v>
      </c>
      <c r="D376" s="12">
        <v>2011.49999999999</v>
      </c>
      <c r="F376" t="s">
        <v>6</v>
      </c>
      <c r="G376">
        <v>2011</v>
      </c>
      <c r="M376" s="13"/>
      <c r="S376" s="12">
        <f>STANDARDIZE(C376,P$32,Q$32)</f>
        <v>0.45988690135565236</v>
      </c>
      <c r="T376" s="12">
        <v>2011.49999999999</v>
      </c>
      <c r="V376">
        <v>0.521375957804319</v>
      </c>
      <c r="W376">
        <v>1988.4999999956699</v>
      </c>
    </row>
    <row r="377" spans="1:23" x14ac:dyDescent="0.3">
      <c r="A377" t="s">
        <v>7</v>
      </c>
      <c r="B377">
        <v>2011</v>
      </c>
      <c r="C377">
        <v>588</v>
      </c>
      <c r="D377" s="12">
        <v>2011.5833333333301</v>
      </c>
      <c r="F377" t="s">
        <v>7</v>
      </c>
      <c r="G377">
        <v>2011</v>
      </c>
      <c r="M377" s="13"/>
      <c r="S377" s="12">
        <f>STANDARDIZE(C377,P$33,Q$33)</f>
        <v>0.22794380450035695</v>
      </c>
      <c r="T377" s="12">
        <v>2011.5833333333301</v>
      </c>
      <c r="V377">
        <v>-0.52968130094425814</v>
      </c>
      <c r="W377">
        <v>1988.41666666231</v>
      </c>
    </row>
    <row r="378" spans="1:23" x14ac:dyDescent="0.3">
      <c r="A378" t="s">
        <v>8</v>
      </c>
      <c r="B378">
        <v>2011</v>
      </c>
      <c r="C378">
        <v>570</v>
      </c>
      <c r="D378" s="12">
        <v>2011.6666666666599</v>
      </c>
      <c r="F378" t="s">
        <v>8</v>
      </c>
      <c r="G378">
        <v>2011</v>
      </c>
      <c r="M378" s="13"/>
      <c r="S378" s="12">
        <f>STANDARDIZE(C378,P$34,Q$34)</f>
        <v>-0.19805943875372053</v>
      </c>
      <c r="T378" s="12">
        <v>2011.6666666666599</v>
      </c>
      <c r="V378">
        <v>-0.39982926552330145</v>
      </c>
      <c r="W378">
        <v>1988.3333333289499</v>
      </c>
    </row>
    <row r="379" spans="1:23" x14ac:dyDescent="0.3">
      <c r="A379" t="s">
        <v>9</v>
      </c>
      <c r="B379">
        <v>2011</v>
      </c>
      <c r="C379">
        <v>580</v>
      </c>
      <c r="D379" s="12">
        <v>2011.74999999999</v>
      </c>
      <c r="F379" t="s">
        <v>9</v>
      </c>
      <c r="G379">
        <v>2011</v>
      </c>
      <c r="M379" s="13"/>
      <c r="S379" s="12">
        <f>STANDARDIZE(C379,P$35,Q$35)</f>
        <v>-0.36871204615032094</v>
      </c>
      <c r="T379" s="12">
        <v>2011.74999999999</v>
      </c>
      <c r="V379">
        <v>-0.17505600533258783</v>
      </c>
      <c r="W379">
        <v>1988.2499999955901</v>
      </c>
    </row>
    <row r="380" spans="1:23" x14ac:dyDescent="0.3">
      <c r="A380" t="s">
        <v>10</v>
      </c>
      <c r="B380">
        <v>2011</v>
      </c>
      <c r="C380">
        <v>601</v>
      </c>
      <c r="D380" s="12">
        <v>2011.8333333333301</v>
      </c>
      <c r="F380" t="s">
        <v>10</v>
      </c>
      <c r="G380">
        <v>2011</v>
      </c>
      <c r="M380" s="13"/>
      <c r="S380" s="12">
        <f>STANDARDIZE(C380,P$36,Q$36)</f>
        <v>-0.34046729343126753</v>
      </c>
      <c r="T380" s="12">
        <v>2011.8333333333301</v>
      </c>
      <c r="V380">
        <v>-0.4361297857023268</v>
      </c>
      <c r="W380">
        <v>1988.16666666223</v>
      </c>
    </row>
    <row r="381" spans="1:23" x14ac:dyDescent="0.3">
      <c r="A381" t="s">
        <v>11</v>
      </c>
      <c r="B381">
        <v>2011</v>
      </c>
      <c r="C381">
        <v>623</v>
      </c>
      <c r="D381" s="12">
        <v>2011.9166666666599</v>
      </c>
      <c r="F381" t="s">
        <v>11</v>
      </c>
      <c r="G381">
        <v>2011</v>
      </c>
      <c r="M381" s="13"/>
      <c r="S381" s="12">
        <f>STANDARDIZE(C381,P$37,Q$37)</f>
        <v>0.15427773901482209</v>
      </c>
      <c r="T381" s="12">
        <v>2011.9166666666599</v>
      </c>
      <c r="V381">
        <v>-0.10440442937996808</v>
      </c>
      <c r="W381">
        <v>1988.0833333288699</v>
      </c>
    </row>
    <row r="382" spans="1:23" x14ac:dyDescent="0.3">
      <c r="A382" t="s">
        <v>0</v>
      </c>
      <c r="B382">
        <v>2012</v>
      </c>
      <c r="C382">
        <v>614</v>
      </c>
      <c r="D382" s="12">
        <v>2012</v>
      </c>
      <c r="F382" t="s">
        <v>0</v>
      </c>
      <c r="G382">
        <v>2012</v>
      </c>
      <c r="H382">
        <v>706</v>
      </c>
      <c r="M382" s="13">
        <f t="shared" si="8"/>
        <v>1.6948442793320291</v>
      </c>
      <c r="S382" s="12">
        <f>STANDARDIZE(C382,P$26,Q$26)</f>
        <v>0.71734349898832483</v>
      </c>
      <c r="T382" s="12">
        <v>2012</v>
      </c>
      <c r="V382">
        <v>0.41132081364009493</v>
      </c>
      <c r="W382">
        <v>1987.9999999955101</v>
      </c>
    </row>
    <row r="383" spans="1:23" x14ac:dyDescent="0.3">
      <c r="A383" t="s">
        <v>1</v>
      </c>
      <c r="B383">
        <v>2012</v>
      </c>
      <c r="C383">
        <v>555</v>
      </c>
      <c r="D383" s="12">
        <v>2012.0833333333301</v>
      </c>
      <c r="F383" t="s">
        <v>1</v>
      </c>
      <c r="G383">
        <v>2012</v>
      </c>
      <c r="H383">
        <v>682</v>
      </c>
      <c r="M383" s="13">
        <f t="shared" si="8"/>
        <v>0.52281637091259336</v>
      </c>
      <c r="S383" s="12">
        <f>STANDARDIZE(C383,P$27,Q$27)</f>
        <v>0.38483958271453239</v>
      </c>
      <c r="T383" s="12">
        <v>2012.0833333333301</v>
      </c>
      <c r="V383">
        <v>0.921777079323853</v>
      </c>
      <c r="W383">
        <v>1987.91666666215</v>
      </c>
    </row>
    <row r="384" spans="1:23" x14ac:dyDescent="0.3">
      <c r="A384" t="s">
        <v>2</v>
      </c>
      <c r="B384">
        <v>2012</v>
      </c>
      <c r="C384">
        <v>473</v>
      </c>
      <c r="D384" s="12">
        <v>2012.1666666666599</v>
      </c>
      <c r="F384" t="s">
        <v>2</v>
      </c>
      <c r="G384">
        <v>2012</v>
      </c>
      <c r="H384">
        <v>665</v>
      </c>
      <c r="M384" s="13">
        <f t="shared" si="8"/>
        <v>-0.30737006421784024</v>
      </c>
      <c r="S384" s="12">
        <f>STANDARDIZE(C384,P$28,Q$28)</f>
        <v>-0.37640302475022497</v>
      </c>
      <c r="T384" s="12">
        <v>2012.1666666666599</v>
      </c>
      <c r="V384">
        <v>0.71230348356069684</v>
      </c>
      <c r="W384">
        <v>1987.8333333287901</v>
      </c>
    </row>
    <row r="385" spans="1:23" x14ac:dyDescent="0.3">
      <c r="A385" t="s">
        <v>3</v>
      </c>
      <c r="B385">
        <v>2012</v>
      </c>
      <c r="C385">
        <v>504</v>
      </c>
      <c r="D385" s="12">
        <v>2012.24999999999</v>
      </c>
      <c r="F385" t="s">
        <v>3</v>
      </c>
      <c r="G385">
        <v>2012</v>
      </c>
      <c r="H385">
        <v>675</v>
      </c>
      <c r="M385" s="13">
        <f t="shared" si="8"/>
        <v>0.18097489762359129</v>
      </c>
      <c r="S385" s="12">
        <f>STANDARDIZE(C385,P$29,Q$29)</f>
        <v>-7.6745567555228753E-2</v>
      </c>
      <c r="T385" s="12">
        <v>2012.24999999999</v>
      </c>
      <c r="V385">
        <v>0.42071844687315102</v>
      </c>
      <c r="W385">
        <v>1987.74999999543</v>
      </c>
    </row>
    <row r="386" spans="1:23" x14ac:dyDescent="0.3">
      <c r="A386" t="s">
        <v>4</v>
      </c>
      <c r="B386">
        <v>2012</v>
      </c>
      <c r="C386">
        <v>567</v>
      </c>
      <c r="D386" s="12">
        <v>2012.3333333333301</v>
      </c>
      <c r="F386" t="s">
        <v>4</v>
      </c>
      <c r="G386">
        <v>2012</v>
      </c>
      <c r="H386">
        <v>691</v>
      </c>
      <c r="M386" s="13">
        <f t="shared" si="8"/>
        <v>0.96232683656988172</v>
      </c>
      <c r="S386" s="12">
        <f>STANDARDIZE(C386,P$30,Q$30)</f>
        <v>0.23608209117379828</v>
      </c>
      <c r="T386" s="12">
        <v>2012.3333333333301</v>
      </c>
      <c r="V386">
        <v>0.27877331661573829</v>
      </c>
      <c r="W386">
        <v>1987.6666666620599</v>
      </c>
    </row>
    <row r="387" spans="1:23" x14ac:dyDescent="0.3">
      <c r="A387" t="s">
        <v>5</v>
      </c>
      <c r="B387">
        <v>2012</v>
      </c>
      <c r="C387">
        <v>567</v>
      </c>
      <c r="D387" s="12">
        <v>2012.4166666666599</v>
      </c>
      <c r="F387" t="s">
        <v>5</v>
      </c>
      <c r="G387">
        <v>2012</v>
      </c>
      <c r="H387">
        <v>695</v>
      </c>
      <c r="M387" s="13">
        <f t="shared" si="8"/>
        <v>1.1576648213064544</v>
      </c>
      <c r="S387" s="12">
        <f>STANDARDIZE(C387,P$31,Q$31)</f>
        <v>-0.47509256783567111</v>
      </c>
      <c r="T387" s="12">
        <v>2012.4166666666599</v>
      </c>
      <c r="V387">
        <v>0.11629785943895762</v>
      </c>
      <c r="W387">
        <v>1987.5833333287001</v>
      </c>
    </row>
    <row r="388" spans="1:23" x14ac:dyDescent="0.3">
      <c r="A388" t="s">
        <v>6</v>
      </c>
      <c r="B388">
        <v>2012</v>
      </c>
      <c r="C388">
        <v>522</v>
      </c>
      <c r="D388" s="12">
        <v>2012.5</v>
      </c>
      <c r="F388" t="s">
        <v>6</v>
      </c>
      <c r="G388">
        <v>2012</v>
      </c>
      <c r="H388">
        <v>682</v>
      </c>
      <c r="M388" s="13">
        <f t="shared" si="8"/>
        <v>0.52281637091259336</v>
      </c>
      <c r="S388" s="12">
        <f>STANDARDIZE(C388,P$32,Q$32)</f>
        <v>-1.2618066792070126</v>
      </c>
      <c r="T388" s="12">
        <v>2012.5</v>
      </c>
      <c r="V388">
        <v>-0.56493070612212448</v>
      </c>
      <c r="W388">
        <v>1987.49999999534</v>
      </c>
    </row>
    <row r="389" spans="1:23" x14ac:dyDescent="0.3">
      <c r="A389" t="s">
        <v>7</v>
      </c>
      <c r="B389">
        <v>2012</v>
      </c>
      <c r="C389">
        <v>513</v>
      </c>
      <c r="D389" s="12">
        <v>2012.5833333333301</v>
      </c>
      <c r="F389" t="s">
        <v>7</v>
      </c>
      <c r="G389">
        <v>2012</v>
      </c>
      <c r="H389">
        <v>683</v>
      </c>
      <c r="M389" s="13">
        <f t="shared" si="8"/>
        <v>0.57165086709673651</v>
      </c>
      <c r="S389" s="12">
        <f>STANDARDIZE(C389,P$33,Q$33)</f>
        <v>-1.1676305087671346</v>
      </c>
      <c r="T389" s="12">
        <v>2012.5833333333301</v>
      </c>
      <c r="V389">
        <v>-0.33862073506420365</v>
      </c>
      <c r="W389">
        <v>1987.4166666619799</v>
      </c>
    </row>
    <row r="390" spans="1:23" x14ac:dyDescent="0.3">
      <c r="A390" t="s">
        <v>8</v>
      </c>
      <c r="B390">
        <v>2012</v>
      </c>
      <c r="C390">
        <v>523</v>
      </c>
      <c r="D390" s="12">
        <v>2012.6666666666599</v>
      </c>
      <c r="F390" t="s">
        <v>8</v>
      </c>
      <c r="G390">
        <v>2012</v>
      </c>
      <c r="H390">
        <v>690</v>
      </c>
      <c r="M390" s="13">
        <f t="shared" si="8"/>
        <v>0.91349234038573857</v>
      </c>
      <c r="S390" s="12">
        <f>STANDARDIZE(C390,P$34,Q$34)</f>
        <v>-1.1318569180189106</v>
      </c>
      <c r="T390" s="12">
        <v>2012.6666666666599</v>
      </c>
      <c r="V390">
        <v>-0.34895635698753347</v>
      </c>
      <c r="W390">
        <v>1987.33333332862</v>
      </c>
    </row>
    <row r="391" spans="1:23" x14ac:dyDescent="0.3">
      <c r="A391" t="s">
        <v>9</v>
      </c>
      <c r="B391">
        <v>2012</v>
      </c>
      <c r="C391">
        <v>524</v>
      </c>
      <c r="D391" s="12">
        <v>2012.75</v>
      </c>
      <c r="F391" t="s">
        <v>9</v>
      </c>
      <c r="G391">
        <v>2012</v>
      </c>
      <c r="H391">
        <v>690</v>
      </c>
      <c r="M391" s="13">
        <f t="shared" si="8"/>
        <v>0.91349234038573857</v>
      </c>
      <c r="S391" s="12">
        <f>STANDARDIZE(C391,P$35,Q$35)</f>
        <v>-1.5635257653209813</v>
      </c>
      <c r="T391" s="12">
        <v>2012.75</v>
      </c>
      <c r="V391">
        <v>-0.22421122422126738</v>
      </c>
      <c r="W391">
        <v>1987.2499999952599</v>
      </c>
    </row>
    <row r="392" spans="1:23" x14ac:dyDescent="0.3">
      <c r="A392" t="s">
        <v>10</v>
      </c>
      <c r="B392">
        <v>2012</v>
      </c>
      <c r="C392">
        <v>549</v>
      </c>
      <c r="D392" s="12">
        <v>2012.8333333333301</v>
      </c>
      <c r="F392" t="s">
        <v>10</v>
      </c>
      <c r="G392">
        <v>2012</v>
      </c>
      <c r="H392">
        <v>694</v>
      </c>
      <c r="M392" s="13">
        <f t="shared" si="8"/>
        <v>1.1088303251223113</v>
      </c>
      <c r="S392" s="12">
        <f>STANDARDIZE(C392,P$36,Q$36)</f>
        <v>-1.6135854423517826</v>
      </c>
      <c r="T392" s="12">
        <v>2012.8333333333301</v>
      </c>
      <c r="V392">
        <v>-0.4560387060196941</v>
      </c>
      <c r="W392">
        <v>1987.1666666619001</v>
      </c>
    </row>
    <row r="393" spans="1:23" x14ac:dyDescent="0.3">
      <c r="A393" t="s">
        <v>11</v>
      </c>
      <c r="B393">
        <v>2012</v>
      </c>
      <c r="C393">
        <v>534</v>
      </c>
      <c r="D393" s="12">
        <v>2012.9166666666599</v>
      </c>
      <c r="F393" t="s">
        <v>11</v>
      </c>
      <c r="G393">
        <v>2012</v>
      </c>
      <c r="H393">
        <v>688</v>
      </c>
      <c r="M393" s="13">
        <f t="shared" si="8"/>
        <v>0.81582334801745227</v>
      </c>
      <c r="S393" s="12">
        <f>STANDARDIZE(C393,P$37,Q$37)</f>
        <v>-1.6918693228096036</v>
      </c>
      <c r="T393" s="12">
        <v>2012.9166666666599</v>
      </c>
      <c r="V393">
        <v>-0.29257520326246828</v>
      </c>
      <c r="W393">
        <v>1987.08333332854</v>
      </c>
    </row>
    <row r="394" spans="1:23" x14ac:dyDescent="0.3">
      <c r="A394" t="s">
        <v>0</v>
      </c>
      <c r="B394">
        <v>2013</v>
      </c>
      <c r="C394">
        <v>454</v>
      </c>
      <c r="D394" s="12">
        <v>2013</v>
      </c>
      <c r="F394" t="s">
        <v>0</v>
      </c>
      <c r="G394">
        <v>2013</v>
      </c>
      <c r="H394">
        <v>659</v>
      </c>
      <c r="M394" s="13">
        <f t="shared" si="8"/>
        <v>-0.6003770413226992</v>
      </c>
      <c r="S394" s="12">
        <f>STANDARDIZE(C394,P$26,Q$26)</f>
        <v>-2.0028581485514971</v>
      </c>
      <c r="T394" s="12">
        <v>2013</v>
      </c>
      <c r="V394">
        <v>-0.45574346151322331</v>
      </c>
      <c r="W394">
        <v>1986.9999999951799</v>
      </c>
    </row>
    <row r="395" spans="1:23" x14ac:dyDescent="0.3">
      <c r="A395" t="s">
        <v>1</v>
      </c>
      <c r="B395">
        <v>2013</v>
      </c>
      <c r="C395">
        <v>438</v>
      </c>
      <c r="D395" s="12">
        <v>2013.0833333333301</v>
      </c>
      <c r="F395" t="s">
        <v>1</v>
      </c>
      <c r="G395">
        <v>2013</v>
      </c>
      <c r="H395">
        <v>661</v>
      </c>
      <c r="M395" s="13">
        <f t="shared" ref="M395:M417" si="9">STANDARDIZE(H395,H$7,H$8)</f>
        <v>-0.5027080489544129</v>
      </c>
      <c r="S395" s="12">
        <f>STANDARDIZE(C395,P$27,Q$27)</f>
        <v>-0.71595944449809368</v>
      </c>
      <c r="T395" s="12">
        <v>2013.0833333333301</v>
      </c>
      <c r="V395">
        <v>0.4446828948074284</v>
      </c>
      <c r="W395">
        <v>1986.91666666182</v>
      </c>
    </row>
    <row r="396" spans="1:23" x14ac:dyDescent="0.3">
      <c r="A396" t="s">
        <v>2</v>
      </c>
      <c r="B396">
        <v>2013</v>
      </c>
      <c r="C396">
        <v>449</v>
      </c>
      <c r="D396" s="12">
        <v>2013.1666666666599</v>
      </c>
      <c r="F396" t="s">
        <v>2</v>
      </c>
      <c r="G396">
        <v>2013</v>
      </c>
      <c r="H396">
        <v>664</v>
      </c>
      <c r="M396" s="13">
        <f t="shared" si="9"/>
        <v>-0.35620456040198339</v>
      </c>
      <c r="S396" s="12">
        <f>STANDARDIZE(C396,P$28,Q$28)</f>
        <v>-0.85421711236703946</v>
      </c>
      <c r="T396" s="12">
        <v>2013.1666666666599</v>
      </c>
      <c r="V396">
        <v>0.39402394633056809</v>
      </c>
      <c r="W396">
        <v>1986.83333332846</v>
      </c>
    </row>
    <row r="397" spans="1:23" x14ac:dyDescent="0.3">
      <c r="A397" t="s">
        <v>3</v>
      </c>
      <c r="B397">
        <v>2013</v>
      </c>
      <c r="C397">
        <v>451</v>
      </c>
      <c r="D397" s="12">
        <v>2013.25</v>
      </c>
      <c r="F397" t="s">
        <v>3</v>
      </c>
      <c r="G397">
        <v>2013</v>
      </c>
      <c r="H397">
        <v>663</v>
      </c>
      <c r="M397" s="13">
        <f t="shared" si="9"/>
        <v>-0.40503905658612654</v>
      </c>
      <c r="S397" s="12">
        <f>STANDARDIZE(C397,P$29,Q$29)</f>
        <v>-0.59779088777523193</v>
      </c>
      <c r="T397" s="12">
        <v>2013.25</v>
      </c>
      <c r="V397">
        <v>-0.304704168337607</v>
      </c>
      <c r="W397">
        <v>1986.7499999951001</v>
      </c>
    </row>
    <row r="398" spans="1:23" x14ac:dyDescent="0.3">
      <c r="A398" t="s">
        <v>4</v>
      </c>
      <c r="B398">
        <v>2013</v>
      </c>
      <c r="C398">
        <v>503</v>
      </c>
      <c r="D398" s="12">
        <v>2013.3333333333301</v>
      </c>
      <c r="F398" t="s">
        <v>4</v>
      </c>
      <c r="G398">
        <v>2013</v>
      </c>
      <c r="H398">
        <v>681</v>
      </c>
      <c r="M398" s="13">
        <f t="shared" si="9"/>
        <v>0.47398187472845021</v>
      </c>
      <c r="S398" s="12">
        <f>STANDARDIZE(C398,P$30,Q$30)</f>
        <v>-1.3918509819707769</v>
      </c>
      <c r="T398" s="12">
        <v>2013.3333333333301</v>
      </c>
      <c r="V398">
        <v>-0.75436432001808917</v>
      </c>
      <c r="W398">
        <v>1986.66666666174</v>
      </c>
    </row>
    <row r="399" spans="1:23" x14ac:dyDescent="0.3">
      <c r="A399" t="s">
        <v>5</v>
      </c>
      <c r="B399">
        <v>2013</v>
      </c>
      <c r="C399">
        <v>539</v>
      </c>
      <c r="D399" s="12">
        <v>2013.4166666666599</v>
      </c>
      <c r="F399" t="s">
        <v>5</v>
      </c>
      <c r="G399">
        <v>2013</v>
      </c>
      <c r="H399">
        <v>687</v>
      </c>
      <c r="M399" s="13">
        <f t="shared" si="9"/>
        <v>0.76698885183330912</v>
      </c>
      <c r="S399" s="12">
        <f>STANDARDIZE(C399,P$31,Q$31)</f>
        <v>-1.239334831355889</v>
      </c>
      <c r="T399" s="12">
        <v>2013.4166666666599</v>
      </c>
      <c r="V399">
        <v>-0.40471655084757252</v>
      </c>
      <c r="W399">
        <v>1986.5833333283799</v>
      </c>
    </row>
    <row r="400" spans="1:23" x14ac:dyDescent="0.3">
      <c r="A400" t="s">
        <v>6</v>
      </c>
      <c r="B400">
        <v>2013</v>
      </c>
      <c r="C400">
        <v>524</v>
      </c>
      <c r="D400" s="12">
        <v>2013.5</v>
      </c>
      <c r="F400" t="s">
        <v>6</v>
      </c>
      <c r="G400">
        <v>2013</v>
      </c>
      <c r="H400">
        <v>688</v>
      </c>
      <c r="M400" s="13">
        <f t="shared" si="9"/>
        <v>0.81582334801745227</v>
      </c>
      <c r="S400" s="12">
        <f>STANDARDIZE(C400,P$32,Q$32)</f>
        <v>-1.2208139749079017</v>
      </c>
      <c r="T400" s="12">
        <v>2013.5</v>
      </c>
      <c r="V400">
        <v>0.43939054920609683</v>
      </c>
      <c r="W400">
        <v>1986.4999999950201</v>
      </c>
    </row>
    <row r="401" spans="1:23" x14ac:dyDescent="0.3">
      <c r="A401" t="s">
        <v>7</v>
      </c>
      <c r="B401">
        <v>2013</v>
      </c>
      <c r="C401">
        <v>503</v>
      </c>
      <c r="D401" s="12">
        <v>2013.5833333333301</v>
      </c>
      <c r="F401" t="s">
        <v>7</v>
      </c>
      <c r="G401">
        <v>2013</v>
      </c>
      <c r="H401">
        <v>682</v>
      </c>
      <c r="M401" s="13">
        <f t="shared" si="9"/>
        <v>0.52281637091259336</v>
      </c>
      <c r="S401" s="12">
        <f>STANDARDIZE(C401,P$33,Q$33)</f>
        <v>-1.3537070838694667</v>
      </c>
      <c r="T401" s="12">
        <v>2013.5833333333301</v>
      </c>
      <c r="V401">
        <v>0.53479899467318814</v>
      </c>
      <c r="W401">
        <v>1986.41666666166</v>
      </c>
    </row>
    <row r="402" spans="1:23" x14ac:dyDescent="0.3">
      <c r="A402" t="s">
        <v>8</v>
      </c>
      <c r="B402">
        <v>2013</v>
      </c>
      <c r="C402">
        <v>541</v>
      </c>
      <c r="D402" s="12">
        <v>2013.6666666666599</v>
      </c>
      <c r="F402" t="s">
        <v>8</v>
      </c>
      <c r="G402">
        <v>2013</v>
      </c>
      <c r="H402">
        <v>689</v>
      </c>
      <c r="M402" s="13">
        <f t="shared" si="9"/>
        <v>0.86465784420159542</v>
      </c>
      <c r="S402" s="12">
        <f>STANDARDIZE(C402,P$34,Q$34)</f>
        <v>-0.77423235149181657</v>
      </c>
      <c r="T402" s="12">
        <v>2013.6666666666599</v>
      </c>
      <c r="V402">
        <v>0.54131954238840618</v>
      </c>
      <c r="W402">
        <v>1986.3333333282999</v>
      </c>
    </row>
    <row r="403" spans="1:23" x14ac:dyDescent="0.3">
      <c r="A403" t="s">
        <v>9</v>
      </c>
      <c r="B403">
        <v>2013</v>
      </c>
      <c r="C403">
        <v>559</v>
      </c>
      <c r="D403" s="12">
        <v>2013.75</v>
      </c>
      <c r="F403" t="s">
        <v>9</v>
      </c>
      <c r="G403">
        <v>2013</v>
      </c>
      <c r="H403">
        <v>701</v>
      </c>
      <c r="M403" s="13">
        <f t="shared" si="9"/>
        <v>1.4506717984113133</v>
      </c>
      <c r="S403" s="12">
        <f>STANDARDIZE(C403,P$35,Q$35)</f>
        <v>-0.81676719083931859</v>
      </c>
      <c r="T403" s="12">
        <v>2013.75</v>
      </c>
      <c r="V403">
        <v>0.23784783333232032</v>
      </c>
      <c r="W403">
        <v>1986.24999999494</v>
      </c>
    </row>
    <row r="404" spans="1:23" x14ac:dyDescent="0.3">
      <c r="A404" t="s">
        <v>10</v>
      </c>
      <c r="B404">
        <v>2013</v>
      </c>
      <c r="C404">
        <v>567</v>
      </c>
      <c r="D404" s="12">
        <v>2013.8333333333301</v>
      </c>
      <c r="F404" t="s">
        <v>10</v>
      </c>
      <c r="G404">
        <v>2013</v>
      </c>
      <c r="H404">
        <v>701</v>
      </c>
      <c r="M404" s="13">
        <f t="shared" si="9"/>
        <v>1.4506717984113133</v>
      </c>
      <c r="S404" s="12">
        <f>STANDARDIZE(C404,P$36,Q$36)</f>
        <v>-1.1728906984946812</v>
      </c>
      <c r="T404" s="12">
        <v>2013.8333333333301</v>
      </c>
      <c r="V404">
        <v>0.45977162857920045</v>
      </c>
      <c r="W404">
        <v>1986.1666666615799</v>
      </c>
    </row>
    <row r="405" spans="1:23" x14ac:dyDescent="0.3">
      <c r="A405" t="s">
        <v>11</v>
      </c>
      <c r="B405">
        <v>2013</v>
      </c>
      <c r="C405">
        <v>562</v>
      </c>
      <c r="D405" s="12">
        <v>2013.9166666666599</v>
      </c>
      <c r="F405" t="s">
        <v>11</v>
      </c>
      <c r="G405">
        <v>2013</v>
      </c>
      <c r="H405">
        <v>698</v>
      </c>
      <c r="M405" s="13">
        <f t="shared" si="9"/>
        <v>1.3041683098588839</v>
      </c>
      <c r="S405" s="12">
        <f>STANDARDIZE(C405,P$37,Q$37)</f>
        <v>-1.111059011224391</v>
      </c>
      <c r="T405" s="12">
        <v>2013.9166666666599</v>
      </c>
      <c r="V405">
        <v>-5.7361735909343035E-2</v>
      </c>
      <c r="W405">
        <v>1986.0833333282201</v>
      </c>
    </row>
    <row r="406" spans="1:23" x14ac:dyDescent="0.3">
      <c r="A406" t="s">
        <v>0</v>
      </c>
      <c r="B406">
        <v>2014</v>
      </c>
      <c r="C406">
        <v>514</v>
      </c>
      <c r="D406" s="12">
        <v>2014</v>
      </c>
      <c r="F406" t="s">
        <v>0</v>
      </c>
      <c r="G406">
        <v>2014</v>
      </c>
      <c r="H406">
        <v>681</v>
      </c>
      <c r="M406" s="13">
        <f t="shared" si="9"/>
        <v>0.47398187472845021</v>
      </c>
      <c r="S406" s="12">
        <f>STANDARDIZE(C406,P$26,Q$26)</f>
        <v>-0.98278253072406385</v>
      </c>
      <c r="T406" s="12">
        <v>2014</v>
      </c>
      <c r="V406">
        <v>-3.0711954085126149E-2</v>
      </c>
      <c r="W406">
        <v>1985.99999999486</v>
      </c>
    </row>
    <row r="407" spans="1:23" x14ac:dyDescent="0.3">
      <c r="A407" t="s">
        <v>1</v>
      </c>
      <c r="B407">
        <v>2014</v>
      </c>
      <c r="C407">
        <v>453</v>
      </c>
      <c r="D407" s="12">
        <v>2014.0833333333333</v>
      </c>
      <c r="F407" t="s">
        <v>1</v>
      </c>
      <c r="G407">
        <v>2014</v>
      </c>
      <c r="H407">
        <v>660</v>
      </c>
      <c r="M407" s="13">
        <f t="shared" si="9"/>
        <v>-0.55154254513855605</v>
      </c>
      <c r="S407" s="12">
        <f>STANDARDIZE(C407,P$27,Q$27)</f>
        <v>-0.57483136408621849</v>
      </c>
      <c r="T407" s="12">
        <v>2014.0833333333333</v>
      </c>
      <c r="V407">
        <v>0.46542612022118596</v>
      </c>
      <c r="W407">
        <v>1985.9166666614999</v>
      </c>
    </row>
    <row r="408" spans="1:23" x14ac:dyDescent="0.3">
      <c r="A408" t="s">
        <v>2</v>
      </c>
      <c r="B408">
        <v>2014</v>
      </c>
      <c r="C408">
        <v>463</v>
      </c>
      <c r="D408" s="12">
        <v>2014.1666666666665</v>
      </c>
      <c r="F408" t="s">
        <v>2</v>
      </c>
      <c r="G408">
        <v>2014</v>
      </c>
      <c r="H408">
        <v>666</v>
      </c>
      <c r="M408" s="13">
        <f t="shared" si="9"/>
        <v>-0.25853556803369709</v>
      </c>
      <c r="S408" s="12">
        <f>STANDARDIZE(C408,P$28,Q$28)</f>
        <v>-0.57549222792389765</v>
      </c>
      <c r="T408" s="12">
        <v>2014.1666666666665</v>
      </c>
      <c r="V408">
        <v>0.39402394633056809</v>
      </c>
      <c r="W408">
        <v>1985.83333332814</v>
      </c>
    </row>
    <row r="409" spans="1:23" x14ac:dyDescent="0.3">
      <c r="A409" t="s">
        <v>3</v>
      </c>
      <c r="B409">
        <v>2014</v>
      </c>
      <c r="C409">
        <v>453</v>
      </c>
      <c r="D409" s="12">
        <v>2014.25</v>
      </c>
      <c r="F409" t="s">
        <v>3</v>
      </c>
      <c r="G409">
        <v>2014</v>
      </c>
      <c r="H409">
        <v>662</v>
      </c>
      <c r="M409" s="13">
        <f t="shared" si="9"/>
        <v>-0.45387355277026969</v>
      </c>
      <c r="S409" s="12">
        <f>STANDARDIZE(C409,P$29,Q$29)</f>
        <v>-0.5781288002197601</v>
      </c>
      <c r="T409" s="12">
        <v>2014.25</v>
      </c>
      <c r="V409">
        <v>0.31403865051862778</v>
      </c>
      <c r="W409">
        <v>1985.74999999478</v>
      </c>
    </row>
    <row r="410" spans="1:23" x14ac:dyDescent="0.3">
      <c r="A410" t="s">
        <v>4</v>
      </c>
      <c r="B410">
        <v>2014</v>
      </c>
      <c r="C410">
        <v>515</v>
      </c>
      <c r="D410" s="12">
        <v>2014.3333333333333</v>
      </c>
      <c r="F410" t="s">
        <v>4</v>
      </c>
      <c r="G410">
        <v>2014</v>
      </c>
      <c r="H410">
        <v>682</v>
      </c>
      <c r="M410" s="13">
        <f t="shared" si="9"/>
        <v>0.52281637091259336</v>
      </c>
      <c r="S410" s="12">
        <f>STANDARDIZE(C410,P$30,Q$30)</f>
        <v>-1.0866135307561691</v>
      </c>
      <c r="T410" s="12">
        <v>2014.3333333333333</v>
      </c>
      <c r="V410">
        <v>0.13969709629964613</v>
      </c>
      <c r="W410">
        <v>1985.6666666614201</v>
      </c>
    </row>
    <row r="411" spans="1:23" x14ac:dyDescent="0.3">
      <c r="A411" t="s">
        <v>5</v>
      </c>
      <c r="B411">
        <v>2014</v>
      </c>
      <c r="C411">
        <v>527</v>
      </c>
      <c r="D411" s="12">
        <v>2014.4166666666665</v>
      </c>
      <c r="F411" t="s">
        <v>5</v>
      </c>
      <c r="G411">
        <v>2014</v>
      </c>
      <c r="H411">
        <v>689</v>
      </c>
      <c r="M411" s="13">
        <f t="shared" si="9"/>
        <v>0.86465784420159542</v>
      </c>
      <c r="S411" s="12">
        <f>STANDARDIZE(C411,P$31,Q$31)</f>
        <v>-1.5668672300074109</v>
      </c>
      <c r="T411" s="12">
        <v>2014.4166666666665</v>
      </c>
      <c r="V411">
        <v>-0.44193186586803895</v>
      </c>
      <c r="W411">
        <v>1985.58333332806</v>
      </c>
    </row>
    <row r="412" spans="1:23" x14ac:dyDescent="0.3">
      <c r="A412" t="s">
        <v>6</v>
      </c>
      <c r="B412">
        <v>2014</v>
      </c>
      <c r="C412">
        <v>492</v>
      </c>
      <c r="D412" s="12">
        <v>2014.5</v>
      </c>
      <c r="F412" t="s">
        <v>6</v>
      </c>
      <c r="G412">
        <v>2014</v>
      </c>
      <c r="H412">
        <v>676</v>
      </c>
      <c r="M412" s="13">
        <f t="shared" si="9"/>
        <v>0.22980939380773446</v>
      </c>
      <c r="S412" s="12">
        <f>STANDARDIZE(C412,P$32,Q$32)</f>
        <v>-1.8766972436936789</v>
      </c>
      <c r="T412" s="12">
        <v>2014.5</v>
      </c>
      <c r="V412">
        <v>-1.1593249184592351</v>
      </c>
      <c r="W412">
        <v>1985.4999999946999</v>
      </c>
    </row>
    <row r="413" spans="1:23" x14ac:dyDescent="0.3">
      <c r="A413" t="s">
        <v>7</v>
      </c>
      <c r="B413">
        <v>2014</v>
      </c>
      <c r="C413">
        <v>470</v>
      </c>
      <c r="D413" s="12">
        <v>2014.5833333333333</v>
      </c>
      <c r="F413" t="s">
        <v>7</v>
      </c>
      <c r="G413">
        <v>2014</v>
      </c>
      <c r="H413">
        <v>666</v>
      </c>
      <c r="M413" s="13">
        <f t="shared" si="9"/>
        <v>-0.25853556803369709</v>
      </c>
      <c r="S413" s="12">
        <f>STANDARDIZE(C413,P$33,Q$33)</f>
        <v>-1.967759781707163</v>
      </c>
      <c r="T413" s="12">
        <v>2014.5833333333333</v>
      </c>
      <c r="V413">
        <v>-0.693447500270019</v>
      </c>
      <c r="W413">
        <v>1985.4166666613401</v>
      </c>
    </row>
    <row r="414" spans="1:23" x14ac:dyDescent="0.3">
      <c r="A414" t="s">
        <v>8</v>
      </c>
      <c r="B414">
        <v>2014</v>
      </c>
      <c r="C414">
        <v>505</v>
      </c>
      <c r="D414" s="12">
        <v>2014.6666666666665</v>
      </c>
      <c r="F414" t="s">
        <v>8</v>
      </c>
      <c r="G414">
        <v>2014</v>
      </c>
      <c r="H414">
        <v>685</v>
      </c>
      <c r="M414" s="13">
        <f t="shared" si="9"/>
        <v>0.66931985946502282</v>
      </c>
      <c r="S414" s="12">
        <f>STANDARDIZE(C414,P$34,Q$34)</f>
        <v>-1.4894814845460047</v>
      </c>
      <c r="T414" s="12">
        <v>2014.6666666666665</v>
      </c>
      <c r="V414">
        <v>-0.62875735393425736</v>
      </c>
      <c r="W414">
        <v>1985.33333332798</v>
      </c>
    </row>
    <row r="415" spans="1:23" x14ac:dyDescent="0.3">
      <c r="A415" t="s">
        <v>9</v>
      </c>
      <c r="B415">
        <v>2014</v>
      </c>
      <c r="C415">
        <v>541</v>
      </c>
      <c r="D415" s="12">
        <v>2014.75</v>
      </c>
      <c r="F415" t="s">
        <v>9</v>
      </c>
      <c r="G415">
        <v>2014</v>
      </c>
      <c r="H415">
        <v>697</v>
      </c>
      <c r="M415" s="13">
        <f t="shared" si="9"/>
        <v>1.2553338136747407</v>
      </c>
      <c r="S415" s="12">
        <f>STANDARDIZE(C415,P$35,Q$35)</f>
        <v>-1.2008144577156021</v>
      </c>
      <c r="T415" s="12">
        <v>2014.75</v>
      </c>
      <c r="V415">
        <v>-0.12590078644390829</v>
      </c>
      <c r="W415">
        <v>1985.2499999946201</v>
      </c>
    </row>
    <row r="416" spans="1:23" x14ac:dyDescent="0.3">
      <c r="A416" t="s">
        <v>10</v>
      </c>
      <c r="B416">
        <v>2014</v>
      </c>
      <c r="C416">
        <v>568</v>
      </c>
      <c r="D416" s="12">
        <v>2014.8333333333333</v>
      </c>
      <c r="F416" t="s">
        <v>10</v>
      </c>
      <c r="G416">
        <v>2014</v>
      </c>
      <c r="H416">
        <v>705</v>
      </c>
      <c r="M416" s="13">
        <f t="shared" si="9"/>
        <v>1.6460097831478859</v>
      </c>
      <c r="S416" s="12">
        <f>STANDARDIZE(C416,P$36,Q$36)</f>
        <v>-1.1484076571692867</v>
      </c>
      <c r="T416" s="12">
        <v>2014.8333333333333</v>
      </c>
      <c r="V416">
        <v>-0.17731382157655226</v>
      </c>
      <c r="W416">
        <v>1985.16666666126</v>
      </c>
    </row>
    <row r="417" spans="1:23" x14ac:dyDescent="0.3">
      <c r="A417" t="s">
        <v>11</v>
      </c>
      <c r="B417">
        <v>2014</v>
      </c>
      <c r="C417">
        <v>576</v>
      </c>
      <c r="D417" s="12">
        <v>2014.9166666666665</v>
      </c>
      <c r="F417" t="s">
        <v>11</v>
      </c>
      <c r="G417">
        <v>2014</v>
      </c>
      <c r="H417">
        <v>706</v>
      </c>
      <c r="M417" s="13">
        <f t="shared" si="9"/>
        <v>1.6948442793320291</v>
      </c>
      <c r="S417" s="12">
        <f>STANDARDIZE(C417,P$37,Q$37)</f>
        <v>-0.82065385543178471</v>
      </c>
      <c r="T417" s="12">
        <v>2014.9166666666665</v>
      </c>
      <c r="V417">
        <v>0.16844319274965719</v>
      </c>
      <c r="W417">
        <v>1985.0833333278999</v>
      </c>
    </row>
    <row r="418" spans="1:23" x14ac:dyDescent="0.3">
      <c r="A418" t="s">
        <v>0</v>
      </c>
      <c r="B418">
        <v>2015</v>
      </c>
      <c r="C418">
        <v>496</v>
      </c>
      <c r="D418" s="12">
        <v>2015</v>
      </c>
      <c r="F418" t="s">
        <v>0</v>
      </c>
      <c r="S418" s="12">
        <f>STANDARDIZE(C418,P$26,Q$26)</f>
        <v>-1.2888052160722938</v>
      </c>
      <c r="T418" s="12">
        <v>2015</v>
      </c>
      <c r="V418">
        <v>0.85335358136531592</v>
      </c>
      <c r="W418">
        <v>1984.9999999945401</v>
      </c>
    </row>
    <row r="419" spans="1:23" x14ac:dyDescent="0.3">
      <c r="A419" t="s">
        <v>1</v>
      </c>
      <c r="B419">
        <v>2015</v>
      </c>
      <c r="C419">
        <v>465</v>
      </c>
      <c r="D419" s="12">
        <v>2015.0833333333333</v>
      </c>
      <c r="F419" t="s">
        <v>1</v>
      </c>
      <c r="S419" s="12">
        <f>STANDARDIZE(C419,P$27,Q$27)</f>
        <v>-0.46192889975671841</v>
      </c>
      <c r="T419" s="12">
        <v>2015.0833333333301</v>
      </c>
      <c r="V419">
        <v>0.96326353015136823</v>
      </c>
      <c r="W419">
        <v>1984.91666666118</v>
      </c>
    </row>
    <row r="420" spans="1:23" x14ac:dyDescent="0.3">
      <c r="A420" t="s">
        <v>2</v>
      </c>
      <c r="B420">
        <v>2015</v>
      </c>
      <c r="C420">
        <v>446</v>
      </c>
      <c r="D420" s="12">
        <v>2015.1666666666665</v>
      </c>
      <c r="F420" t="s">
        <v>2</v>
      </c>
      <c r="S420" s="12">
        <f>STANDARDIZE(C420,P$28,Q$28)</f>
        <v>-0.91394387331914129</v>
      </c>
      <c r="T420" s="12">
        <v>2015.1666666666699</v>
      </c>
      <c r="V420">
        <v>1.0795491034416147</v>
      </c>
      <c r="W420">
        <v>1984.8333333278199</v>
      </c>
    </row>
    <row r="421" spans="1:23" x14ac:dyDescent="0.3">
      <c r="A421" t="s">
        <v>3</v>
      </c>
      <c r="B421">
        <v>2015</v>
      </c>
      <c r="C421">
        <v>481</v>
      </c>
      <c r="D421" s="12">
        <v>2015.25</v>
      </c>
      <c r="F421" t="s">
        <v>3</v>
      </c>
      <c r="S421" s="12">
        <f>STANDARDIZE(C421,P$29,Q$29)</f>
        <v>-0.30285957444315464</v>
      </c>
      <c r="T421" s="12">
        <v>2015.25</v>
      </c>
      <c r="V421">
        <v>1.0821331842711952</v>
      </c>
      <c r="W421">
        <v>1984.74999999446</v>
      </c>
    </row>
    <row r="422" spans="1:23" x14ac:dyDescent="0.3">
      <c r="A422" t="s">
        <v>4</v>
      </c>
      <c r="B422">
        <v>2015</v>
      </c>
      <c r="C422">
        <v>493</v>
      </c>
      <c r="D422" s="12">
        <v>2015.3333333333333</v>
      </c>
      <c r="F422" t="s">
        <v>4</v>
      </c>
      <c r="S422" s="12">
        <f>STANDARDIZE(C422,P$30,Q$30)</f>
        <v>-1.6462155246496168</v>
      </c>
      <c r="T422" s="12">
        <v>2015.3333333333301</v>
      </c>
      <c r="V422">
        <v>1.1728347329334736</v>
      </c>
      <c r="W422">
        <v>1984.6666666611</v>
      </c>
    </row>
    <row r="423" spans="1:23" x14ac:dyDescent="0.3">
      <c r="A423" t="s">
        <v>5</v>
      </c>
      <c r="B423">
        <v>2015</v>
      </c>
      <c r="C423">
        <v>512</v>
      </c>
      <c r="D423" s="12">
        <v>2015.4166666666665</v>
      </c>
      <c r="F423" t="s">
        <v>5</v>
      </c>
      <c r="S423" s="12">
        <f>STANDARDIZE(C423,P$31,Q$31)</f>
        <v>-1.9762827283218132</v>
      </c>
      <c r="T423" s="12">
        <v>2015.4166666666699</v>
      </c>
      <c r="V423">
        <v>1.2327573100529507</v>
      </c>
      <c r="W423">
        <v>1984.5833333277401</v>
      </c>
    </row>
    <row r="424" spans="1:23" x14ac:dyDescent="0.3">
      <c r="A424" t="s">
        <v>6</v>
      </c>
      <c r="B424">
        <v>2015</v>
      </c>
      <c r="C424">
        <v>475</v>
      </c>
      <c r="D424" s="12">
        <v>2015.5</v>
      </c>
      <c r="F424" t="s">
        <v>6</v>
      </c>
      <c r="S424" s="12">
        <f>STANDARDIZE(C424,P$32,Q$32)</f>
        <v>-2.2251352302361229</v>
      </c>
      <c r="T424" s="12">
        <v>2015.5</v>
      </c>
      <c r="V424">
        <v>0.99279205724409625</v>
      </c>
      <c r="W424">
        <v>1984.49999999438</v>
      </c>
    </row>
    <row r="425" spans="1:23" x14ac:dyDescent="0.3">
      <c r="A425" t="s">
        <v>7</v>
      </c>
      <c r="B425">
        <v>2015</v>
      </c>
      <c r="C425">
        <v>472</v>
      </c>
      <c r="D425" s="12">
        <v>2015.5833333333333</v>
      </c>
      <c r="F425" t="s">
        <v>7</v>
      </c>
      <c r="S425" s="12">
        <f>STANDARDIZE(C425,P$33,Q$33)</f>
        <v>-1.9305444666866967</v>
      </c>
      <c r="T425" s="12">
        <v>2015.5833333333301</v>
      </c>
      <c r="V425">
        <v>0.75315392710753604</v>
      </c>
      <c r="W425">
        <v>1984.4166666610199</v>
      </c>
    </row>
    <row r="426" spans="1:23" x14ac:dyDescent="0.3">
      <c r="A426" t="s">
        <v>8</v>
      </c>
      <c r="B426">
        <v>2015</v>
      </c>
      <c r="C426">
        <v>476</v>
      </c>
      <c r="D426" s="12">
        <v>2015.6666666666665</v>
      </c>
      <c r="F426" t="s">
        <v>8</v>
      </c>
      <c r="S426" s="12">
        <f>STANDARDIZE(C426,P$34,Q$34)</f>
        <v>-2.0656543972841011</v>
      </c>
      <c r="T426" s="12">
        <v>2015.6666666666699</v>
      </c>
      <c r="V426">
        <v>0.28695499970956623</v>
      </c>
      <c r="W426">
        <v>1984.3333333276601</v>
      </c>
    </row>
    <row r="427" spans="1:23" x14ac:dyDescent="0.3">
      <c r="A427" t="s">
        <v>9</v>
      </c>
      <c r="B427">
        <v>2015</v>
      </c>
      <c r="C427">
        <v>472</v>
      </c>
      <c r="D427" s="12">
        <v>2015.75</v>
      </c>
      <c r="F427" t="s">
        <v>9</v>
      </c>
      <c r="S427" s="12">
        <f>STANDARDIZE(C427,P$35,Q$35)</f>
        <v>-2.672995647408023</v>
      </c>
      <c r="T427" s="12">
        <v>2015.75</v>
      </c>
      <c r="V427">
        <v>7.0720089110809861E-2</v>
      </c>
      <c r="W427">
        <v>1984.2499999943</v>
      </c>
    </row>
    <row r="428" spans="1:23" x14ac:dyDescent="0.3">
      <c r="A428" t="s">
        <v>10</v>
      </c>
      <c r="B428">
        <v>2015</v>
      </c>
      <c r="C428">
        <v>511</v>
      </c>
      <c r="D428" s="12">
        <v>2015.8333333333333</v>
      </c>
      <c r="F428" t="s">
        <v>10</v>
      </c>
      <c r="S428" s="12">
        <f>STANDARDIZE(C428,P$36,Q$36)</f>
        <v>-2.5439410127167745</v>
      </c>
      <c r="T428" s="12">
        <v>2015.8333333333301</v>
      </c>
      <c r="V428">
        <v>1.017221397465484</v>
      </c>
      <c r="W428">
        <v>1984.1666666609401</v>
      </c>
    </row>
    <row r="429" spans="1:23" x14ac:dyDescent="0.3">
      <c r="A429" t="s">
        <v>11</v>
      </c>
      <c r="B429">
        <v>2015</v>
      </c>
      <c r="C429">
        <v>485</v>
      </c>
      <c r="D429" s="12">
        <v>2015.9166666666665</v>
      </c>
      <c r="F429" t="s">
        <v>11</v>
      </c>
      <c r="S429" s="12">
        <f>STANDARDIZE(C429,P$37,Q$37)</f>
        <v>-2.7082873680837256</v>
      </c>
      <c r="T429" s="12">
        <v>2015.9166666666599</v>
      </c>
      <c r="V429">
        <v>0.54478474051465753</v>
      </c>
      <c r="W429">
        <v>1984.08333332758</v>
      </c>
    </row>
  </sheetData>
  <autoFilter ref="A9:D9" xr:uid="{00000000-0009-0000-0000-000009000000}">
    <sortState xmlns:xlrd2="http://schemas.microsoft.com/office/spreadsheetml/2017/richdata2" ref="A10:D430">
      <sortCondition ref="D9"/>
    </sortState>
  </autoFilter>
  <mergeCells count="6">
    <mergeCell ref="O25:P25"/>
    <mergeCell ref="F2:H2"/>
    <mergeCell ref="F3:H3"/>
    <mergeCell ref="F4:H4"/>
    <mergeCell ref="F5:H5"/>
    <mergeCell ref="O9:P9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2"/>
  <dimension ref="A1:N741"/>
  <sheetViews>
    <sheetView zoomScale="85" zoomScaleNormal="85" workbookViewId="0">
      <selection activeCell="G29" sqref="G29"/>
    </sheetView>
  </sheetViews>
  <sheetFormatPr baseColWidth="10" defaultColWidth="11.44140625" defaultRowHeight="14.4" x14ac:dyDescent="0.3"/>
  <cols>
    <col min="3" max="3" width="7.5546875" customWidth="1"/>
    <col min="6" max="6" width="6" customWidth="1"/>
    <col min="7" max="7" width="8" customWidth="1"/>
    <col min="8" max="8" width="7.6640625" customWidth="1"/>
    <col min="9" max="9" width="5.88671875" customWidth="1"/>
    <col min="10" max="10" width="12.109375" customWidth="1"/>
    <col min="11" max="11" width="8" customWidth="1"/>
    <col min="12" max="12" width="6.44140625" customWidth="1"/>
    <col min="13" max="13" width="5.88671875" customWidth="1"/>
    <col min="14" max="14" width="8.33203125" customWidth="1"/>
    <col min="15" max="15" width="5.109375" customWidth="1"/>
  </cols>
  <sheetData>
    <row r="1" spans="1:14" x14ac:dyDescent="0.3">
      <c r="A1" s="4" t="s">
        <v>40</v>
      </c>
      <c r="B1" s="3"/>
      <c r="C1" s="3"/>
      <c r="D1" s="3"/>
      <c r="E1" s="3"/>
    </row>
    <row r="2" spans="1:14" x14ac:dyDescent="0.3">
      <c r="A2" t="s">
        <v>15</v>
      </c>
    </row>
    <row r="3" spans="1:14" x14ac:dyDescent="0.3">
      <c r="A3" t="s">
        <v>17</v>
      </c>
    </row>
    <row r="4" spans="1:14" x14ac:dyDescent="0.3">
      <c r="A4" s="2" t="s">
        <v>18</v>
      </c>
    </row>
    <row r="5" spans="1:14" x14ac:dyDescent="0.3">
      <c r="A5" t="s">
        <v>23</v>
      </c>
      <c r="D5" t="s">
        <v>20</v>
      </c>
    </row>
    <row r="6" spans="1:14" x14ac:dyDescent="0.3">
      <c r="A6" t="s">
        <v>24</v>
      </c>
      <c r="D6" t="s">
        <v>21</v>
      </c>
    </row>
    <row r="7" spans="1:14" x14ac:dyDescent="0.3">
      <c r="A7" t="s">
        <v>41</v>
      </c>
      <c r="D7" t="s">
        <v>22</v>
      </c>
    </row>
    <row r="9" spans="1:14" x14ac:dyDescent="0.3">
      <c r="A9" s="2" t="s">
        <v>38</v>
      </c>
      <c r="B9" s="2" t="s">
        <v>39</v>
      </c>
      <c r="C9" s="2" t="s">
        <v>46</v>
      </c>
      <c r="D9" s="2" t="s">
        <v>42</v>
      </c>
      <c r="F9" s="2" t="s">
        <v>59</v>
      </c>
      <c r="G9" t="s">
        <v>51</v>
      </c>
      <c r="J9" s="21" t="s">
        <v>55</v>
      </c>
      <c r="K9" s="21"/>
      <c r="L9" s="14" t="s">
        <v>54</v>
      </c>
      <c r="N9" s="2" t="s">
        <v>58</v>
      </c>
    </row>
    <row r="10" spans="1:14" x14ac:dyDescent="0.3">
      <c r="A10" t="s">
        <v>11</v>
      </c>
      <c r="B10">
        <v>2014</v>
      </c>
      <c r="C10" s="12">
        <v>2014.9166666667199</v>
      </c>
      <c r="D10">
        <v>741</v>
      </c>
      <c r="E10" s="9">
        <v>41974</v>
      </c>
      <c r="F10">
        <v>523.29999999999995</v>
      </c>
      <c r="G10">
        <v>2014</v>
      </c>
      <c r="H10">
        <f>AVERAGEIF(B$10:B$381,G10,D$10:D$381)</f>
        <v>424.97499999999991</v>
      </c>
      <c r="J10" t="s">
        <v>0</v>
      </c>
      <c r="K10" s="13">
        <f>AVERAGEIF(A$10:A$381,J10,D$10:D$381)</f>
        <v>523.72222222222217</v>
      </c>
      <c r="L10" s="13">
        <f t="array" ref="L10">_xlfn.STDEV.S(IF(A$10:A$381=J10,D$10:D$381))</f>
        <v>272.53735993279861</v>
      </c>
      <c r="N10" s="12">
        <f>STANDARDIZE(D10,K$21,L$21)</f>
        <v>0.15729033749073176</v>
      </c>
    </row>
    <row r="11" spans="1:14" x14ac:dyDescent="0.3">
      <c r="A11" t="s">
        <v>10</v>
      </c>
      <c r="B11">
        <v>2014</v>
      </c>
      <c r="C11" s="12">
        <v>2014.8333333333901</v>
      </c>
      <c r="D11">
        <v>675</v>
      </c>
      <c r="E11" s="8">
        <v>41944</v>
      </c>
      <c r="F11">
        <v>496.8</v>
      </c>
      <c r="G11">
        <v>2013</v>
      </c>
      <c r="J11" t="s">
        <v>1</v>
      </c>
      <c r="K11" s="13">
        <f t="shared" ref="K11:K21" si="0">AVERAGEIF(A$10:A$381,J11,D$10:D$381)</f>
        <v>293.87037037037032</v>
      </c>
      <c r="L11" s="13">
        <f t="array" ref="L11">_xlfn.STDEV.S(IF(A$10:A$381=J11,D$10:D$381))</f>
        <v>173.71609188743906</v>
      </c>
      <c r="N11" s="12">
        <f>STANDARDIZE(D11,K$20,L$20)</f>
        <v>0.14316167900594495</v>
      </c>
    </row>
    <row r="12" spans="1:14" x14ac:dyDescent="0.3">
      <c r="A12" t="s">
        <v>9</v>
      </c>
      <c r="B12">
        <v>2014</v>
      </c>
      <c r="C12" s="12">
        <v>2014.75000000006</v>
      </c>
      <c r="D12">
        <v>560.70000000000005</v>
      </c>
      <c r="E12" s="9">
        <v>41913</v>
      </c>
      <c r="F12">
        <v>411.8</v>
      </c>
      <c r="G12">
        <v>2012</v>
      </c>
      <c r="H12">
        <f>AVERAGEIF(B$10:B$381,G12,D$10:D$381)</f>
        <v>468.91666666666674</v>
      </c>
      <c r="J12" t="s">
        <v>2</v>
      </c>
      <c r="K12" s="13">
        <f>AVERAGEIF(A$10:A$381,J12,D$10:D$381)</f>
        <v>263.93703703703699</v>
      </c>
      <c r="L12" s="13">
        <f t="array" ref="L12">_xlfn.STDEV.S(IF(A$10:A$381=J12,D$10:D$381))</f>
        <v>142.32254546008011</v>
      </c>
      <c r="N12" s="12">
        <f>STANDARDIZE(D12,K$19,L$19)</f>
        <v>-5.2756206827962615E-2</v>
      </c>
    </row>
    <row r="13" spans="1:14" x14ac:dyDescent="0.3">
      <c r="A13" t="s">
        <v>8</v>
      </c>
      <c r="B13">
        <v>2014</v>
      </c>
      <c r="C13" s="12">
        <v>2014.6666666667199</v>
      </c>
      <c r="D13">
        <v>394.5</v>
      </c>
      <c r="E13" s="8">
        <v>41883</v>
      </c>
      <c r="F13">
        <v>313.2</v>
      </c>
      <c r="G13">
        <v>2011</v>
      </c>
      <c r="H13">
        <f t="shared" ref="H13:H40" si="1">AVERAGEIF(B$10:B$381,G13,D$10:D$381)</f>
        <v>699.16666666666663</v>
      </c>
      <c r="J13" t="s">
        <v>3</v>
      </c>
      <c r="K13" s="13">
        <f t="shared" si="0"/>
        <v>300.91481481481475</v>
      </c>
      <c r="L13" s="13">
        <f t="array" ref="L13">_xlfn.STDEV.S(IF(A$10:A$381=J13,D$10:D$381))</f>
        <v>156.82989030992687</v>
      </c>
      <c r="N13" s="12">
        <f>STANDARDIZE(D13,K$18,L$18)</f>
        <v>-0.54009005824636525</v>
      </c>
    </row>
    <row r="14" spans="1:14" x14ac:dyDescent="0.3">
      <c r="A14" t="s">
        <v>7</v>
      </c>
      <c r="B14">
        <v>2014</v>
      </c>
      <c r="C14" s="12">
        <v>2014.5833333333901</v>
      </c>
      <c r="D14">
        <v>285</v>
      </c>
      <c r="E14" s="9">
        <v>41852</v>
      </c>
      <c r="F14">
        <v>230.4</v>
      </c>
      <c r="G14">
        <v>2010</v>
      </c>
      <c r="H14">
        <f t="shared" si="1"/>
        <v>654.52499999999998</v>
      </c>
      <c r="J14" t="s">
        <v>4</v>
      </c>
      <c r="K14" s="13">
        <f t="shared" si="0"/>
        <v>449.00714285714275</v>
      </c>
      <c r="L14" s="13">
        <f t="array" ref="L14">_xlfn.STDEV.S(IF(A$10:A$381=J14,D$10:D$381))</f>
        <v>203.37554562714732</v>
      </c>
      <c r="N14" s="12">
        <f>STANDARDIZE(D14,K$17,L$17)</f>
        <v>-0.96841161559013844</v>
      </c>
    </row>
    <row r="15" spans="1:14" x14ac:dyDescent="0.3">
      <c r="A15" t="s">
        <v>6</v>
      </c>
      <c r="B15">
        <v>2014</v>
      </c>
      <c r="C15" s="12">
        <v>2014.50000000006</v>
      </c>
      <c r="D15">
        <v>359</v>
      </c>
      <c r="E15" s="8">
        <v>41821</v>
      </c>
      <c r="F15">
        <v>280.5</v>
      </c>
      <c r="G15">
        <v>2009</v>
      </c>
      <c r="H15">
        <f t="shared" si="1"/>
        <v>562.6583333333333</v>
      </c>
      <c r="J15" t="s">
        <v>5</v>
      </c>
      <c r="K15" s="13">
        <f>AVERAGEIF(A$10:A$381,J15,D$10:D$381)</f>
        <v>527.84285714285704</v>
      </c>
      <c r="L15" s="13">
        <f t="array" ref="L15">_xlfn.STDEV.S(IF(A$10:A$381=J15,D$10:D$381))</f>
        <v>225.39098277943535</v>
      </c>
      <c r="N15" s="12">
        <f>STANDARDIZE(D15,K$16,L$16)</f>
        <v>-0.78499452159676086</v>
      </c>
    </row>
    <row r="16" spans="1:14" x14ac:dyDescent="0.3">
      <c r="A16" t="s">
        <v>5</v>
      </c>
      <c r="B16">
        <v>2014</v>
      </c>
      <c r="C16" s="12">
        <v>2014.4166666667199</v>
      </c>
      <c r="D16">
        <v>477.6</v>
      </c>
      <c r="E16" s="9">
        <v>41791</v>
      </c>
      <c r="F16">
        <v>369.3</v>
      </c>
      <c r="G16">
        <v>2008</v>
      </c>
      <c r="H16">
        <f t="shared" si="1"/>
        <v>749.42727272727279</v>
      </c>
      <c r="J16" t="s">
        <v>6</v>
      </c>
      <c r="K16" s="13">
        <f t="shared" si="0"/>
        <v>556.69642857142867</v>
      </c>
      <c r="L16" s="13">
        <f t="array" ref="L16">_xlfn.STDEV.S(IF(A$10:A$381=J16,D$10:D$381))</f>
        <v>251.84434175323094</v>
      </c>
      <c r="N16" s="12">
        <f>STANDARDIZE(D16,K$15,L$15)</f>
        <v>-0.22291422896906227</v>
      </c>
    </row>
    <row r="17" spans="1:14" x14ac:dyDescent="0.3">
      <c r="A17" t="s">
        <v>4</v>
      </c>
      <c r="B17">
        <v>2014</v>
      </c>
      <c r="C17" s="12">
        <v>2014.3333333333901</v>
      </c>
      <c r="D17">
        <v>448</v>
      </c>
      <c r="E17" s="8">
        <v>41760</v>
      </c>
      <c r="F17">
        <v>339.4</v>
      </c>
      <c r="G17">
        <v>2007</v>
      </c>
      <c r="H17">
        <f t="shared" si="1"/>
        <v>720.88181818181806</v>
      </c>
      <c r="J17" t="s">
        <v>7</v>
      </c>
      <c r="K17" s="13">
        <f t="shared" si="0"/>
        <v>533.40000000000009</v>
      </c>
      <c r="L17" s="13">
        <f t="array" ref="L17">_xlfn.STDEV.S(IF(A$10:A$381=J17,D$10:D$381))</f>
        <v>256.50249955813274</v>
      </c>
      <c r="N17" s="12">
        <f>STANDARDIZE(D17,K$14,L$14)</f>
        <v>-4.9521335224303195E-3</v>
      </c>
    </row>
    <row r="18" spans="1:14" x14ac:dyDescent="0.3">
      <c r="A18" t="s">
        <v>3</v>
      </c>
      <c r="B18">
        <v>2014</v>
      </c>
      <c r="C18" s="12">
        <v>2014.25000000006</v>
      </c>
      <c r="D18">
        <v>230</v>
      </c>
      <c r="E18" s="9">
        <v>41730</v>
      </c>
      <c r="F18">
        <v>197.2</v>
      </c>
      <c r="G18">
        <v>2006</v>
      </c>
      <c r="H18">
        <f t="shared" si="1"/>
        <v>664.84166666666658</v>
      </c>
      <c r="J18" t="s">
        <v>8</v>
      </c>
      <c r="K18" s="13">
        <f t="shared" si="0"/>
        <v>527.9</v>
      </c>
      <c r="L18" s="13">
        <f t="array" ref="L18">_xlfn.STDEV.S(IF(A$10:A$381=J18,D$10:D$381))</f>
        <v>246.99584442109614</v>
      </c>
      <c r="N18" s="12">
        <f>STANDARDIZE(D18,K$13,L$13)</f>
        <v>-0.45217665251613104</v>
      </c>
    </row>
    <row r="19" spans="1:14" x14ac:dyDescent="0.3">
      <c r="A19" t="s">
        <v>2</v>
      </c>
      <c r="B19">
        <v>2014</v>
      </c>
      <c r="C19" s="12">
        <v>2014.1666666667199</v>
      </c>
      <c r="D19">
        <v>264.89999999999998</v>
      </c>
      <c r="E19" s="8">
        <v>41699</v>
      </c>
      <c r="F19">
        <v>216.6</v>
      </c>
      <c r="G19">
        <v>2005</v>
      </c>
      <c r="H19">
        <f t="shared" si="1"/>
        <v>357.63</v>
      </c>
      <c r="J19" t="s">
        <v>9</v>
      </c>
      <c r="K19" s="13">
        <f t="shared" si="0"/>
        <v>573.22500000000002</v>
      </c>
      <c r="L19" s="13">
        <f t="array" ref="L19">_xlfn.STDEV.S(IF(A$10:A$381=J19,D$10:D$381))</f>
        <v>237.41282311755009</v>
      </c>
      <c r="N19" s="12">
        <f>STANDARDIZE(D19,K$12,L$12)</f>
        <v>6.7660605693220313E-3</v>
      </c>
    </row>
    <row r="20" spans="1:14" x14ac:dyDescent="0.3">
      <c r="A20" t="s">
        <v>1</v>
      </c>
      <c r="B20">
        <v>2014</v>
      </c>
      <c r="C20" s="12">
        <v>2014.0833333333901</v>
      </c>
      <c r="D20">
        <v>216.2</v>
      </c>
      <c r="E20" s="9">
        <v>41671</v>
      </c>
      <c r="F20">
        <v>198.5</v>
      </c>
      <c r="G20">
        <v>2004</v>
      </c>
      <c r="H20">
        <f t="shared" si="1"/>
        <v>378.25454545454545</v>
      </c>
      <c r="J20" t="s">
        <v>10</v>
      </c>
      <c r="K20" s="13">
        <f t="shared" si="0"/>
        <v>635.11923076923074</v>
      </c>
      <c r="L20" s="13">
        <f t="array" ref="L20">_xlfn.STDEV.S(IF(A$10:A$381=J20,D$10:D$381))</f>
        <v>278.57153889004866</v>
      </c>
      <c r="N20" s="12">
        <f>STANDARDIZE(D20,K$11,L$11)</f>
        <v>-0.44711097012646106</v>
      </c>
    </row>
    <row r="21" spans="1:14" x14ac:dyDescent="0.3">
      <c r="A21" t="s">
        <v>0</v>
      </c>
      <c r="B21">
        <v>2014</v>
      </c>
      <c r="C21" s="12">
        <v>2014.00000000005</v>
      </c>
      <c r="D21">
        <v>447.8</v>
      </c>
      <c r="E21" s="8">
        <v>41640</v>
      </c>
      <c r="F21">
        <v>338.7</v>
      </c>
      <c r="G21">
        <v>2003</v>
      </c>
      <c r="H21">
        <f t="shared" si="1"/>
        <v>503.37272727272722</v>
      </c>
      <c r="J21" t="s">
        <v>11</v>
      </c>
      <c r="K21" s="13">
        <f t="shared" si="0"/>
        <v>692.59259259259261</v>
      </c>
      <c r="L21" s="13">
        <f t="array" ref="L21">_xlfn.STDEV.S(IF(A$10:A$381=J21,D$10:D$381))</f>
        <v>307.75830340029478</v>
      </c>
      <c r="N21" s="12">
        <f>STANDARDIZE(D21,K$10,L$10)</f>
        <v>-0.27857546664773891</v>
      </c>
    </row>
    <row r="22" spans="1:14" x14ac:dyDescent="0.3">
      <c r="A22" t="s">
        <v>11</v>
      </c>
      <c r="B22">
        <v>2013</v>
      </c>
      <c r="C22" s="12">
        <v>2013.9166666667199</v>
      </c>
      <c r="E22" s="9">
        <v>41609</v>
      </c>
      <c r="F22">
        <v>411.1</v>
      </c>
      <c r="G22">
        <v>2002</v>
      </c>
      <c r="H22">
        <f t="shared" si="1"/>
        <v>472.7</v>
      </c>
      <c r="J22" s="12"/>
      <c r="K22" s="15"/>
      <c r="N22" s="12"/>
    </row>
    <row r="23" spans="1:14" x14ac:dyDescent="0.3">
      <c r="A23" t="s">
        <v>10</v>
      </c>
      <c r="B23">
        <v>2013</v>
      </c>
      <c r="C23" s="12">
        <v>2013.8333333333901</v>
      </c>
      <c r="E23" s="8">
        <v>41579</v>
      </c>
      <c r="F23">
        <v>427.3</v>
      </c>
      <c r="G23">
        <v>2001</v>
      </c>
      <c r="H23">
        <f t="shared" si="1"/>
        <v>361.8416666666667</v>
      </c>
      <c r="J23" s="12"/>
      <c r="K23" s="15"/>
      <c r="N23" s="12"/>
    </row>
    <row r="24" spans="1:14" x14ac:dyDescent="0.3">
      <c r="A24" t="s">
        <v>9</v>
      </c>
      <c r="B24">
        <v>2013</v>
      </c>
      <c r="C24" s="12">
        <v>2013.75000000005</v>
      </c>
      <c r="E24" s="9">
        <v>41548</v>
      </c>
      <c r="F24">
        <v>404.5</v>
      </c>
      <c r="G24">
        <v>2000</v>
      </c>
      <c r="H24">
        <f t="shared" si="1"/>
        <v>712.54166666666663</v>
      </c>
      <c r="J24" s="12"/>
      <c r="K24" s="15"/>
      <c r="N24" s="12"/>
    </row>
    <row r="25" spans="1:14" x14ac:dyDescent="0.3">
      <c r="A25" t="s">
        <v>8</v>
      </c>
      <c r="B25">
        <v>2013</v>
      </c>
      <c r="C25" s="12">
        <v>2013.6666666667199</v>
      </c>
      <c r="E25" s="8">
        <v>41518</v>
      </c>
      <c r="F25">
        <v>358</v>
      </c>
      <c r="G25">
        <v>1999</v>
      </c>
      <c r="J25" s="12"/>
      <c r="K25" s="15"/>
      <c r="N25" s="12"/>
    </row>
    <row r="26" spans="1:14" x14ac:dyDescent="0.3">
      <c r="A26" t="s">
        <v>7</v>
      </c>
      <c r="B26">
        <v>2013</v>
      </c>
      <c r="C26" s="12">
        <v>2013.5833333333901</v>
      </c>
      <c r="E26" s="9">
        <v>41487</v>
      </c>
      <c r="F26">
        <v>272.5</v>
      </c>
      <c r="G26">
        <v>1998</v>
      </c>
      <c r="H26">
        <f t="shared" si="1"/>
        <v>471.0916666666667</v>
      </c>
      <c r="J26" s="12"/>
      <c r="K26" s="15"/>
      <c r="N26" s="12"/>
    </row>
    <row r="27" spans="1:14" x14ac:dyDescent="0.3">
      <c r="A27" t="s">
        <v>6</v>
      </c>
      <c r="B27">
        <v>2013</v>
      </c>
      <c r="C27" s="12">
        <v>2013.50000000005</v>
      </c>
      <c r="E27" s="8">
        <v>41456</v>
      </c>
      <c r="F27">
        <v>317.39999999999998</v>
      </c>
      <c r="G27">
        <v>1997</v>
      </c>
      <c r="H27">
        <f t="shared" si="1"/>
        <v>243.73333333333332</v>
      </c>
      <c r="J27" s="12"/>
      <c r="K27" s="15"/>
      <c r="N27" s="12"/>
    </row>
    <row r="28" spans="1:14" x14ac:dyDescent="0.3">
      <c r="A28" t="s">
        <v>5</v>
      </c>
      <c r="B28">
        <v>2013</v>
      </c>
      <c r="C28" s="12">
        <v>2013.4166666667199</v>
      </c>
      <c r="E28" s="9">
        <v>41426</v>
      </c>
      <c r="F28">
        <v>351.5</v>
      </c>
      <c r="G28">
        <v>1996</v>
      </c>
      <c r="H28">
        <f t="shared" si="1"/>
        <v>584.44166666666661</v>
      </c>
      <c r="J28" s="12"/>
      <c r="K28" s="15"/>
      <c r="N28" s="12"/>
    </row>
    <row r="29" spans="1:14" x14ac:dyDescent="0.3">
      <c r="A29" t="s">
        <v>4</v>
      </c>
      <c r="B29">
        <v>2013</v>
      </c>
      <c r="C29" s="12">
        <v>2013.3333333333901</v>
      </c>
      <c r="E29" s="8">
        <v>41395</v>
      </c>
      <c r="F29">
        <v>274</v>
      </c>
      <c r="G29">
        <v>1995</v>
      </c>
      <c r="H29">
        <f t="shared" si="1"/>
        <v>578.24166666666667</v>
      </c>
      <c r="J29" s="12"/>
      <c r="K29" s="15"/>
      <c r="N29" s="12"/>
    </row>
    <row r="30" spans="1:14" x14ac:dyDescent="0.3">
      <c r="A30" t="s">
        <v>3</v>
      </c>
      <c r="B30">
        <v>2013</v>
      </c>
      <c r="C30" s="12">
        <v>2013.25000000005</v>
      </c>
      <c r="E30" s="9">
        <v>41365</v>
      </c>
      <c r="F30">
        <v>182</v>
      </c>
      <c r="G30">
        <v>1994</v>
      </c>
      <c r="H30">
        <f t="shared" si="1"/>
        <v>545.75833333333333</v>
      </c>
      <c r="J30" s="12"/>
      <c r="K30" s="15"/>
      <c r="N30" s="12"/>
    </row>
    <row r="31" spans="1:14" x14ac:dyDescent="0.3">
      <c r="A31" t="s">
        <v>2</v>
      </c>
      <c r="B31">
        <v>2013</v>
      </c>
      <c r="C31" s="12">
        <v>2013.1666666667199</v>
      </c>
      <c r="E31" s="8">
        <v>41334</v>
      </c>
      <c r="F31">
        <v>178</v>
      </c>
      <c r="G31">
        <v>1993</v>
      </c>
      <c r="H31">
        <f t="shared" si="1"/>
        <v>367.17500000000001</v>
      </c>
      <c r="J31" s="12"/>
      <c r="K31" s="15"/>
      <c r="N31" s="12"/>
    </row>
    <row r="32" spans="1:14" x14ac:dyDescent="0.3">
      <c r="A32" t="s">
        <v>1</v>
      </c>
      <c r="B32">
        <v>2013</v>
      </c>
      <c r="C32" s="12">
        <v>2013.0833333333901</v>
      </c>
      <c r="E32" s="9">
        <v>41306</v>
      </c>
      <c r="F32">
        <v>163.4</v>
      </c>
      <c r="G32">
        <v>1992</v>
      </c>
      <c r="H32">
        <f t="shared" si="1"/>
        <v>297.34166666666664</v>
      </c>
      <c r="J32" s="12"/>
      <c r="K32" s="15"/>
      <c r="N32" s="12"/>
    </row>
    <row r="33" spans="1:14" x14ac:dyDescent="0.3">
      <c r="A33" t="s">
        <v>0</v>
      </c>
      <c r="B33">
        <v>2013</v>
      </c>
      <c r="C33" s="12">
        <v>2013.00000000005</v>
      </c>
      <c r="E33" s="8">
        <v>41275</v>
      </c>
      <c r="F33">
        <v>188.9</v>
      </c>
      <c r="G33">
        <v>1991</v>
      </c>
      <c r="J33" s="12"/>
      <c r="K33" s="15"/>
      <c r="N33" s="12"/>
    </row>
    <row r="34" spans="1:14" x14ac:dyDescent="0.3">
      <c r="A34" t="s">
        <v>11</v>
      </c>
      <c r="B34">
        <v>2012</v>
      </c>
      <c r="C34" s="12">
        <v>2012.9166666667199</v>
      </c>
      <c r="D34">
        <v>451.4</v>
      </c>
      <c r="E34" s="9">
        <v>41244</v>
      </c>
      <c r="F34">
        <v>341.8</v>
      </c>
      <c r="G34">
        <v>1990</v>
      </c>
      <c r="H34">
        <f t="shared" si="1"/>
        <v>386.8416666666667</v>
      </c>
      <c r="J34" s="12"/>
      <c r="K34" s="15"/>
      <c r="N34" s="12">
        <f>STANDARDIZE(D34,K$21,L$21)</f>
        <v>-0.78370783152803669</v>
      </c>
    </row>
    <row r="35" spans="1:14" x14ac:dyDescent="0.3">
      <c r="A35" t="s">
        <v>10</v>
      </c>
      <c r="B35">
        <v>2012</v>
      </c>
      <c r="C35" s="12">
        <v>2012.8333333333901</v>
      </c>
      <c r="D35">
        <v>490.5</v>
      </c>
      <c r="E35" s="8">
        <v>41214</v>
      </c>
      <c r="F35">
        <v>377.8</v>
      </c>
      <c r="G35">
        <v>1989</v>
      </c>
      <c r="H35">
        <f t="shared" si="1"/>
        <v>442.34166666666664</v>
      </c>
      <c r="J35" s="12"/>
      <c r="K35" s="15"/>
      <c r="N35" s="12">
        <f>STANDARDIZE(D35,K$20,L$20)</f>
        <v>-0.5191457510177</v>
      </c>
    </row>
    <row r="36" spans="1:14" x14ac:dyDescent="0.3">
      <c r="A36" t="s">
        <v>9</v>
      </c>
      <c r="B36">
        <v>2012</v>
      </c>
      <c r="C36" s="12">
        <v>2012.75000000005</v>
      </c>
      <c r="D36">
        <v>415</v>
      </c>
      <c r="E36" s="9">
        <v>41183</v>
      </c>
      <c r="F36">
        <v>318.2</v>
      </c>
      <c r="G36">
        <v>1988</v>
      </c>
      <c r="H36">
        <f t="shared" si="1"/>
        <v>511.55833333333334</v>
      </c>
      <c r="J36" s="12"/>
      <c r="K36" s="15"/>
      <c r="N36" s="12">
        <f>STANDARDIZE(D36,K$19,L$19)</f>
        <v>-0.66645515571691827</v>
      </c>
    </row>
    <row r="37" spans="1:14" x14ac:dyDescent="0.3">
      <c r="A37" t="s">
        <v>8</v>
      </c>
      <c r="B37">
        <v>2012</v>
      </c>
      <c r="C37" s="12">
        <v>2012.6666666667199</v>
      </c>
      <c r="D37">
        <v>396.1</v>
      </c>
      <c r="E37" s="8">
        <v>41153</v>
      </c>
      <c r="F37">
        <v>314.5</v>
      </c>
      <c r="G37">
        <v>1987</v>
      </c>
      <c r="H37">
        <f t="shared" si="1"/>
        <v>379.24166666666662</v>
      </c>
      <c r="J37" s="12"/>
      <c r="K37" s="15"/>
      <c r="N37" s="12">
        <f>STANDARDIZE(D37,K$18,L$18)</f>
        <v>-0.53361221646829782</v>
      </c>
    </row>
    <row r="38" spans="1:14" x14ac:dyDescent="0.3">
      <c r="A38" t="s">
        <v>7</v>
      </c>
      <c r="B38">
        <v>2012</v>
      </c>
      <c r="C38" s="12">
        <v>2012.5833333333901</v>
      </c>
      <c r="D38">
        <v>376.8</v>
      </c>
      <c r="E38" s="9">
        <v>41122</v>
      </c>
      <c r="F38">
        <v>292.89999999999998</v>
      </c>
      <c r="G38">
        <v>1986</v>
      </c>
      <c r="H38">
        <f t="shared" si="1"/>
        <v>387.92500000000001</v>
      </c>
      <c r="J38" s="12"/>
      <c r="K38" s="15"/>
      <c r="N38" s="12">
        <f>STANDARDIZE(D38,K$17,L$17)</f>
        <v>-0.61052036635030471</v>
      </c>
    </row>
    <row r="39" spans="1:14" x14ac:dyDescent="0.3">
      <c r="A39" t="s">
        <v>6</v>
      </c>
      <c r="B39">
        <v>2012</v>
      </c>
      <c r="C39" s="12">
        <v>2012.50000000005</v>
      </c>
      <c r="D39">
        <v>408.2</v>
      </c>
      <c r="E39" s="8">
        <v>41091</v>
      </c>
      <c r="F39">
        <v>313.60000000000002</v>
      </c>
      <c r="G39">
        <v>1985</v>
      </c>
      <c r="H39">
        <f t="shared" si="1"/>
        <v>372.25</v>
      </c>
      <c r="J39" s="12"/>
      <c r="K39" s="15"/>
      <c r="N39" s="12">
        <f>STANDARDIZE(D39,K$16,L$16)</f>
        <v>-0.58963575491774411</v>
      </c>
    </row>
    <row r="40" spans="1:14" x14ac:dyDescent="0.3">
      <c r="A40" t="s">
        <v>5</v>
      </c>
      <c r="B40">
        <v>2012</v>
      </c>
      <c r="C40" s="12">
        <v>2012.4166666667199</v>
      </c>
      <c r="D40">
        <v>566.5</v>
      </c>
      <c r="E40" s="9">
        <v>41061</v>
      </c>
      <c r="F40">
        <v>427.4</v>
      </c>
      <c r="G40">
        <v>1984</v>
      </c>
      <c r="H40">
        <f t="shared" si="1"/>
        <v>428.74545454545455</v>
      </c>
      <c r="J40" s="12"/>
      <c r="K40" s="15"/>
      <c r="N40" s="12">
        <f>STANDARDIZE(D40,K$15,L$15)</f>
        <v>0.17151148808367517</v>
      </c>
    </row>
    <row r="41" spans="1:14" x14ac:dyDescent="0.3">
      <c r="A41" t="s">
        <v>4</v>
      </c>
      <c r="B41">
        <v>2012</v>
      </c>
      <c r="C41" s="12">
        <v>2012.3333333333801</v>
      </c>
      <c r="D41">
        <v>586.20000000000005</v>
      </c>
      <c r="E41" s="8">
        <v>41030</v>
      </c>
      <c r="F41">
        <v>427.5</v>
      </c>
      <c r="J41" s="12"/>
      <c r="K41" s="15"/>
      <c r="N41" s="12">
        <f>STANDARDIZE(D41,K$14,L$14)</f>
        <v>0.67457892599524161</v>
      </c>
    </row>
    <row r="42" spans="1:14" x14ac:dyDescent="0.3">
      <c r="A42" t="s">
        <v>3</v>
      </c>
      <c r="B42">
        <v>2012</v>
      </c>
      <c r="C42" s="12">
        <v>2012.25000000005</v>
      </c>
      <c r="D42">
        <v>339.4</v>
      </c>
      <c r="E42" s="9">
        <v>41000</v>
      </c>
      <c r="F42">
        <v>275.10000000000002</v>
      </c>
      <c r="J42" s="12"/>
      <c r="K42" s="15"/>
      <c r="N42" s="12">
        <f>STANDARDIZE(D42,K$13,L$13)</f>
        <v>0.24539445324568485</v>
      </c>
    </row>
    <row r="43" spans="1:14" x14ac:dyDescent="0.3">
      <c r="A43" t="s">
        <v>2</v>
      </c>
      <c r="B43">
        <v>2012</v>
      </c>
      <c r="C43" s="12">
        <v>2012.1666666667199</v>
      </c>
      <c r="D43">
        <v>265.7</v>
      </c>
      <c r="E43" s="8">
        <v>40969</v>
      </c>
      <c r="F43">
        <v>216.9</v>
      </c>
      <c r="J43" s="12"/>
      <c r="K43" s="15"/>
      <c r="N43" s="12">
        <f>STANDARDIZE(D43,K$12,L$12)</f>
        <v>1.2387095503835639E-2</v>
      </c>
    </row>
    <row r="44" spans="1:14" x14ac:dyDescent="0.3">
      <c r="A44" t="s">
        <v>1</v>
      </c>
      <c r="B44">
        <v>2012</v>
      </c>
      <c r="C44" s="12">
        <v>2012.0833333333801</v>
      </c>
      <c r="D44">
        <v>501.6</v>
      </c>
      <c r="E44" s="9">
        <v>40940</v>
      </c>
      <c r="F44">
        <v>395.8</v>
      </c>
      <c r="J44" s="12"/>
      <c r="K44" s="15"/>
      <c r="N44" s="12">
        <f>STANDARDIZE(D44,K$11,L$11)</f>
        <v>1.1957995794899072</v>
      </c>
    </row>
    <row r="45" spans="1:14" x14ac:dyDescent="0.3">
      <c r="A45" t="s">
        <v>0</v>
      </c>
      <c r="B45">
        <v>2012</v>
      </c>
      <c r="C45" s="12">
        <v>2012.00000000005</v>
      </c>
      <c r="D45">
        <v>829.6</v>
      </c>
      <c r="E45" s="8">
        <v>40909</v>
      </c>
      <c r="F45">
        <v>576.20000000000005</v>
      </c>
      <c r="J45" s="12"/>
      <c r="K45" s="15"/>
      <c r="N45" s="12">
        <f>STANDARDIZE(D45,K$10,L$10)</f>
        <v>1.1223333852401014</v>
      </c>
    </row>
    <row r="46" spans="1:14" x14ac:dyDescent="0.3">
      <c r="A46" t="s">
        <v>11</v>
      </c>
      <c r="B46">
        <v>2011</v>
      </c>
      <c r="C46" s="12">
        <v>2011.9166666667199</v>
      </c>
      <c r="D46">
        <v>887.5</v>
      </c>
      <c r="E46" s="9">
        <v>40878</v>
      </c>
      <c r="F46">
        <v>610.79999999999995</v>
      </c>
      <c r="J46" s="12"/>
      <c r="K46" s="15"/>
      <c r="N46" s="12">
        <f>STANDARDIZE(D46,K$21,L$21)</f>
        <v>0.6333132372188035</v>
      </c>
    </row>
    <row r="47" spans="1:14" x14ac:dyDescent="0.3">
      <c r="A47" t="s">
        <v>10</v>
      </c>
      <c r="B47">
        <v>2011</v>
      </c>
      <c r="C47" s="12">
        <v>2011.8333333333801</v>
      </c>
      <c r="D47">
        <v>730.7</v>
      </c>
      <c r="E47" s="8">
        <v>40848</v>
      </c>
      <c r="F47">
        <v>531.79999999999995</v>
      </c>
      <c r="J47" s="12"/>
      <c r="K47" s="15"/>
      <c r="N47" s="12">
        <f>STANDARDIZE(D47,K$20,L$20)</f>
        <v>0.34311031777189105</v>
      </c>
    </row>
    <row r="48" spans="1:14" x14ac:dyDescent="0.3">
      <c r="A48" t="s">
        <v>9</v>
      </c>
      <c r="B48">
        <v>2011</v>
      </c>
      <c r="C48" s="12">
        <v>2011.75000000005</v>
      </c>
      <c r="D48">
        <v>439.3</v>
      </c>
      <c r="E48" s="9">
        <v>40817</v>
      </c>
      <c r="F48">
        <v>466.5</v>
      </c>
      <c r="J48" s="12"/>
      <c r="K48" s="15"/>
      <c r="N48" s="12">
        <f>STANDARDIZE(D48,K$19,L$19)</f>
        <v>-0.56410179636206847</v>
      </c>
    </row>
    <row r="49" spans="1:14" x14ac:dyDescent="0.3">
      <c r="A49" t="s">
        <v>8</v>
      </c>
      <c r="B49">
        <v>2011</v>
      </c>
      <c r="C49" s="12">
        <v>2011.6666666667199</v>
      </c>
      <c r="D49">
        <v>578.4</v>
      </c>
      <c r="E49" s="8">
        <v>40787</v>
      </c>
      <c r="F49">
        <v>435.2</v>
      </c>
      <c r="J49" s="12"/>
      <c r="K49" s="15"/>
      <c r="N49" s="12">
        <f>STANDARDIZE(D49,K$18,L$18)</f>
        <v>0.20445688112025073</v>
      </c>
    </row>
    <row r="50" spans="1:14" x14ac:dyDescent="0.3">
      <c r="A50" t="s">
        <v>7</v>
      </c>
      <c r="B50">
        <v>2011</v>
      </c>
      <c r="C50" s="12">
        <v>2011.5833333333801</v>
      </c>
      <c r="D50">
        <v>683.8</v>
      </c>
      <c r="E50" s="9">
        <v>40756</v>
      </c>
      <c r="F50">
        <v>488.5</v>
      </c>
      <c r="J50" s="12"/>
      <c r="K50" s="15"/>
      <c r="N50" s="12">
        <f>STANDARDIZE(D50,K$17,L$17)</f>
        <v>0.58634906193541314</v>
      </c>
    </row>
    <row r="51" spans="1:14" x14ac:dyDescent="0.3">
      <c r="A51" t="s">
        <v>6</v>
      </c>
      <c r="B51">
        <v>2011</v>
      </c>
      <c r="C51" s="12">
        <v>2011.50000000005</v>
      </c>
      <c r="D51">
        <v>780.9</v>
      </c>
      <c r="E51" s="8">
        <v>40725</v>
      </c>
      <c r="F51">
        <v>547.29999999999995</v>
      </c>
      <c r="J51" s="12"/>
      <c r="K51" s="15"/>
      <c r="N51" s="12">
        <f>STANDARDIZE(D51,K$16,L$16)</f>
        <v>0.89024660974220593</v>
      </c>
    </row>
    <row r="52" spans="1:14" x14ac:dyDescent="0.3">
      <c r="A52" t="s">
        <v>5</v>
      </c>
      <c r="B52">
        <v>2011</v>
      </c>
      <c r="C52" s="12">
        <v>2011.4166666667199</v>
      </c>
      <c r="D52">
        <v>885.5</v>
      </c>
      <c r="E52" s="9">
        <v>40695</v>
      </c>
      <c r="F52">
        <v>627.1</v>
      </c>
      <c r="J52" s="12"/>
      <c r="K52" s="15"/>
      <c r="N52" s="12">
        <f>STANDARDIZE(D52,K$15,L$15)</f>
        <v>1.5868298653595274</v>
      </c>
    </row>
    <row r="53" spans="1:14" x14ac:dyDescent="0.3">
      <c r="A53" t="s">
        <v>4</v>
      </c>
      <c r="B53">
        <v>2011</v>
      </c>
      <c r="C53" s="12">
        <v>2011.3333333333801</v>
      </c>
      <c r="D53">
        <v>861</v>
      </c>
      <c r="E53" s="8">
        <v>40664</v>
      </c>
      <c r="F53">
        <v>595</v>
      </c>
      <c r="J53" s="12"/>
      <c r="K53" s="15"/>
      <c r="N53" s="12">
        <f>STANDARDIZE(D53,K$14,L$14)</f>
        <v>2.025773825817645</v>
      </c>
    </row>
    <row r="54" spans="1:14" x14ac:dyDescent="0.3">
      <c r="A54" t="s">
        <v>3</v>
      </c>
      <c r="B54">
        <v>2011</v>
      </c>
      <c r="C54" s="12">
        <v>2011.25000000005</v>
      </c>
      <c r="D54">
        <v>518.1</v>
      </c>
      <c r="E54" s="9">
        <v>40634</v>
      </c>
      <c r="F54">
        <v>395.5</v>
      </c>
      <c r="J54" s="12"/>
      <c r="K54" s="15"/>
      <c r="N54" s="12">
        <f>STANDARDIZE(D54,K$13,L$13)</f>
        <v>1.3848456104635694</v>
      </c>
    </row>
    <row r="55" spans="1:14" x14ac:dyDescent="0.3">
      <c r="A55" t="s">
        <v>2</v>
      </c>
      <c r="B55">
        <v>2011</v>
      </c>
      <c r="C55" s="12">
        <v>2011.1666666667199</v>
      </c>
      <c r="D55">
        <v>443</v>
      </c>
      <c r="E55" s="8">
        <v>40603</v>
      </c>
      <c r="F55">
        <v>336.6</v>
      </c>
      <c r="J55" s="12"/>
      <c r="K55" s="15"/>
      <c r="N55" s="12">
        <f>STANDARDIZE(D55,K$12,L$12)</f>
        <v>1.2581489628653963</v>
      </c>
    </row>
    <row r="56" spans="1:14" x14ac:dyDescent="0.3">
      <c r="A56" t="s">
        <v>1</v>
      </c>
      <c r="B56">
        <v>2011</v>
      </c>
      <c r="C56" s="12">
        <v>2011.0833333333801</v>
      </c>
      <c r="D56">
        <v>502.8</v>
      </c>
      <c r="E56" s="9">
        <v>40575</v>
      </c>
      <c r="F56">
        <v>435.5</v>
      </c>
      <c r="J56" s="12"/>
      <c r="K56" s="15"/>
      <c r="N56" s="12">
        <f>STANDARDIZE(D56,K$11,L$11)</f>
        <v>1.2027074024035007</v>
      </c>
    </row>
    <row r="57" spans="1:14" x14ac:dyDescent="0.3">
      <c r="A57" t="s">
        <v>0</v>
      </c>
      <c r="B57">
        <v>2011</v>
      </c>
      <c r="C57" s="12">
        <v>2011.00000000005</v>
      </c>
      <c r="D57">
        <v>1079</v>
      </c>
      <c r="E57" s="8">
        <v>40544</v>
      </c>
      <c r="F57">
        <v>720.9</v>
      </c>
      <c r="J57" s="12"/>
      <c r="K57" s="15"/>
      <c r="N57" s="12">
        <f>STANDARDIZE(D57,K$10,L$10)</f>
        <v>2.037437281680194</v>
      </c>
    </row>
    <row r="58" spans="1:14" x14ac:dyDescent="0.3">
      <c r="A58" t="s">
        <v>11</v>
      </c>
      <c r="B58">
        <v>2010</v>
      </c>
      <c r="C58" s="12">
        <v>2010.9166666667199</v>
      </c>
      <c r="D58">
        <v>1280</v>
      </c>
      <c r="E58" s="9">
        <v>40513</v>
      </c>
      <c r="F58">
        <v>835.1</v>
      </c>
      <c r="J58" s="12"/>
      <c r="K58" s="15"/>
      <c r="N58" s="12">
        <f>STANDARDIZE(D58,K$21,L$21)</f>
        <v>1.9086646921216579</v>
      </c>
    </row>
    <row r="59" spans="1:14" x14ac:dyDescent="0.3">
      <c r="A59" t="s">
        <v>10</v>
      </c>
      <c r="B59">
        <v>2010</v>
      </c>
      <c r="C59" s="12">
        <v>2010.8333333333801</v>
      </c>
      <c r="D59">
        <v>1005</v>
      </c>
      <c r="E59" s="8">
        <v>40483</v>
      </c>
      <c r="F59">
        <v>699.3</v>
      </c>
      <c r="J59" s="12"/>
      <c r="K59" s="15"/>
      <c r="N59" s="12">
        <f>STANDARDIZE(D59,K$20,L$20)</f>
        <v>1.3277765944953912</v>
      </c>
    </row>
    <row r="60" spans="1:14" x14ac:dyDescent="0.3">
      <c r="A60" t="s">
        <v>9</v>
      </c>
      <c r="B60">
        <v>2010</v>
      </c>
      <c r="C60" s="12">
        <v>2010.75000000005</v>
      </c>
      <c r="D60">
        <v>985.7</v>
      </c>
      <c r="E60" s="9">
        <v>40452</v>
      </c>
      <c r="F60">
        <v>668.4</v>
      </c>
      <c r="J60" s="12"/>
      <c r="K60" s="15"/>
      <c r="N60" s="12">
        <f>STANDARDIZE(D60,K$19,L$19)</f>
        <v>1.7373745637815505</v>
      </c>
    </row>
    <row r="61" spans="1:14" x14ac:dyDescent="0.3">
      <c r="A61" t="s">
        <v>8</v>
      </c>
      <c r="B61">
        <v>2010</v>
      </c>
      <c r="C61" s="12">
        <v>2010.6666666667199</v>
      </c>
      <c r="D61">
        <v>896</v>
      </c>
      <c r="E61" s="8">
        <v>40422</v>
      </c>
      <c r="F61">
        <v>633.5</v>
      </c>
      <c r="J61" s="12"/>
      <c r="K61" s="15"/>
      <c r="N61" s="12">
        <f>STANDARDIZE(D61,K$18,L$18)</f>
        <v>1.4903084740666199</v>
      </c>
    </row>
    <row r="62" spans="1:14" x14ac:dyDescent="0.3">
      <c r="A62" t="s">
        <v>7</v>
      </c>
      <c r="B62">
        <v>2010</v>
      </c>
      <c r="C62" s="12">
        <v>2010.5833333333801</v>
      </c>
      <c r="D62">
        <v>939</v>
      </c>
      <c r="E62" s="9">
        <v>40391</v>
      </c>
      <c r="F62">
        <v>641.20000000000005</v>
      </c>
      <c r="J62" s="12"/>
      <c r="K62" s="15"/>
      <c r="N62" s="12">
        <f>STANDARDIZE(D62,K$17,L$17)</f>
        <v>1.5812711404322057</v>
      </c>
    </row>
    <row r="63" spans="1:14" x14ac:dyDescent="0.3">
      <c r="A63" t="s">
        <v>6</v>
      </c>
      <c r="B63">
        <v>2010</v>
      </c>
      <c r="C63" s="12">
        <v>2010.50000000005</v>
      </c>
      <c r="D63">
        <v>848.4</v>
      </c>
      <c r="E63" s="8">
        <v>40360</v>
      </c>
      <c r="F63">
        <v>587.70000000000005</v>
      </c>
      <c r="J63" s="12"/>
      <c r="K63" s="15"/>
      <c r="N63" s="12">
        <f>STANDARDIZE(D63,K$16,L$16)</f>
        <v>1.1582693079298814</v>
      </c>
    </row>
    <row r="64" spans="1:14" x14ac:dyDescent="0.3">
      <c r="A64" t="s">
        <v>5</v>
      </c>
      <c r="B64">
        <v>2010</v>
      </c>
      <c r="C64" s="12">
        <v>2010.4166666667099</v>
      </c>
      <c r="D64">
        <v>633.9</v>
      </c>
      <c r="E64" s="9">
        <v>40330</v>
      </c>
      <c r="F64">
        <v>470.4</v>
      </c>
      <c r="J64" s="12"/>
      <c r="K64" s="15"/>
      <c r="N64" s="12">
        <f>STANDARDIZE(D64,K$15,L$15)</f>
        <v>0.47054740854885513</v>
      </c>
    </row>
    <row r="65" spans="1:14" x14ac:dyDescent="0.3">
      <c r="A65" t="s">
        <v>4</v>
      </c>
      <c r="B65">
        <v>2010</v>
      </c>
      <c r="C65" s="12">
        <v>2010.3333333333801</v>
      </c>
      <c r="D65">
        <v>451.5</v>
      </c>
      <c r="E65" s="8">
        <v>40299</v>
      </c>
      <c r="F65">
        <v>341.9</v>
      </c>
      <c r="J65" s="12"/>
      <c r="K65" s="15"/>
      <c r="N65" s="12">
        <f>STANDARDIZE(D65,K$14,L$14)</f>
        <v>1.2257408505875403E-2</v>
      </c>
    </row>
    <row r="66" spans="1:14" x14ac:dyDescent="0.3">
      <c r="A66" t="s">
        <v>3</v>
      </c>
      <c r="B66">
        <v>2010</v>
      </c>
      <c r="C66" s="12">
        <v>2010.25000000005</v>
      </c>
      <c r="D66">
        <v>250.3</v>
      </c>
      <c r="E66" s="9">
        <v>40269</v>
      </c>
      <c r="F66">
        <v>211.5</v>
      </c>
      <c r="J66" s="12"/>
      <c r="K66" s="15"/>
      <c r="N66" s="12">
        <f>STANDARDIZE(D66,K$13,L$13)</f>
        <v>-0.32273704148354537</v>
      </c>
    </row>
    <row r="67" spans="1:14" x14ac:dyDescent="0.3">
      <c r="A67" t="s">
        <v>2</v>
      </c>
      <c r="B67">
        <v>2010</v>
      </c>
      <c r="C67" s="12">
        <v>2010.1666666667099</v>
      </c>
      <c r="D67">
        <v>191.4</v>
      </c>
      <c r="E67" s="8">
        <v>40238</v>
      </c>
      <c r="F67">
        <v>163.9</v>
      </c>
      <c r="J67" s="12"/>
      <c r="K67" s="15"/>
      <c r="N67" s="12">
        <f>STANDARDIZE(D67,K$12,L$12)</f>
        <v>-0.50966652403910817</v>
      </c>
    </row>
    <row r="68" spans="1:14" x14ac:dyDescent="0.3">
      <c r="A68" t="s">
        <v>1</v>
      </c>
      <c r="B68">
        <v>2010</v>
      </c>
      <c r="C68" s="12">
        <v>2010.0833333333801</v>
      </c>
      <c r="D68">
        <v>149.5</v>
      </c>
      <c r="E68" s="9">
        <v>40210</v>
      </c>
      <c r="F68">
        <v>144.69999999999999</v>
      </c>
      <c r="J68" s="12"/>
      <c r="K68" s="15"/>
      <c r="N68" s="12">
        <f>STANDARDIZE(D68,K$11,L$11)</f>
        <v>-0.8310707937403774</v>
      </c>
    </row>
    <row r="69" spans="1:14" x14ac:dyDescent="0.3">
      <c r="A69" t="s">
        <v>0</v>
      </c>
      <c r="B69">
        <v>2010</v>
      </c>
      <c r="C69" s="12">
        <v>2010.00000000005</v>
      </c>
      <c r="D69">
        <v>223.6</v>
      </c>
      <c r="E69" s="8">
        <v>40179</v>
      </c>
      <c r="F69">
        <v>186.5</v>
      </c>
      <c r="J69" s="12"/>
      <c r="K69" s="15"/>
      <c r="N69" s="12">
        <f>STANDARDIZE(D69,K$10,L$10)</f>
        <v>-1.1012149757971725</v>
      </c>
    </row>
    <row r="70" spans="1:14" x14ac:dyDescent="0.3">
      <c r="A70" t="s">
        <v>11</v>
      </c>
      <c r="B70">
        <v>2009</v>
      </c>
      <c r="C70" s="12">
        <v>2009.9166666667099</v>
      </c>
      <c r="D70">
        <v>442.3</v>
      </c>
      <c r="E70" s="9">
        <v>40148</v>
      </c>
      <c r="F70">
        <v>335.2</v>
      </c>
      <c r="J70" s="12"/>
      <c r="K70" s="15"/>
      <c r="N70" s="12">
        <f>STANDARDIZE(D70,K$21,L$21)</f>
        <v>-0.81327648946336395</v>
      </c>
    </row>
    <row r="71" spans="1:14" x14ac:dyDescent="0.3">
      <c r="A71" t="s">
        <v>10</v>
      </c>
      <c r="B71">
        <v>2009</v>
      </c>
      <c r="C71" s="12">
        <v>2009.8333333333801</v>
      </c>
      <c r="D71">
        <v>552.20000000000005</v>
      </c>
      <c r="E71" s="8">
        <v>40118</v>
      </c>
      <c r="F71">
        <v>418.1</v>
      </c>
      <c r="J71" s="12"/>
      <c r="K71" s="15"/>
      <c r="N71" s="12">
        <f>STANDARDIZE(D71,K$20,L$20)</f>
        <v>-0.29765865924285489</v>
      </c>
    </row>
    <row r="72" spans="1:14" x14ac:dyDescent="0.3">
      <c r="A72" t="s">
        <v>9</v>
      </c>
      <c r="B72">
        <v>2009</v>
      </c>
      <c r="C72" s="12">
        <v>2009.75000000005</v>
      </c>
      <c r="D72">
        <v>423.3</v>
      </c>
      <c r="E72" s="9">
        <v>40087</v>
      </c>
      <c r="F72">
        <v>323.7</v>
      </c>
      <c r="J72" s="12"/>
      <c r="K72" s="15"/>
      <c r="N72" s="12">
        <f>STANDARDIZE(D72,K$19,L$19)</f>
        <v>-0.63149495478501483</v>
      </c>
    </row>
    <row r="73" spans="1:14" x14ac:dyDescent="0.3">
      <c r="A73" t="s">
        <v>8</v>
      </c>
      <c r="B73">
        <v>2009</v>
      </c>
      <c r="C73" s="12">
        <v>2009.6666666667099</v>
      </c>
      <c r="D73">
        <v>477.5</v>
      </c>
      <c r="E73" s="8">
        <v>40057</v>
      </c>
      <c r="F73">
        <v>369.2</v>
      </c>
      <c r="J73" s="12"/>
      <c r="K73" s="15"/>
      <c r="N73" s="12">
        <f>STANDARDIZE(D73,K$18,L$18)</f>
        <v>-0.20405201600912143</v>
      </c>
    </row>
    <row r="74" spans="1:14" x14ac:dyDescent="0.3">
      <c r="A74" t="s">
        <v>7</v>
      </c>
      <c r="B74">
        <v>2009</v>
      </c>
      <c r="C74" s="12">
        <v>2009.5833333333801</v>
      </c>
      <c r="D74">
        <v>493.5</v>
      </c>
      <c r="E74" s="9">
        <v>40026</v>
      </c>
      <c r="F74">
        <v>369.3</v>
      </c>
      <c r="J74" s="12"/>
      <c r="K74" s="15"/>
      <c r="N74" s="12">
        <f>STANDARDIZE(D74,K$17,L$17)</f>
        <v>-0.15555403970228099</v>
      </c>
    </row>
    <row r="75" spans="1:14" x14ac:dyDescent="0.3">
      <c r="A75" t="s">
        <v>6</v>
      </c>
      <c r="B75">
        <v>2009</v>
      </c>
      <c r="C75" s="12">
        <v>2009.50000000005</v>
      </c>
      <c r="D75">
        <v>639.20000000000005</v>
      </c>
      <c r="E75" s="8">
        <v>39995</v>
      </c>
      <c r="F75">
        <v>460.8</v>
      </c>
      <c r="J75" s="12"/>
      <c r="K75" s="15"/>
      <c r="N75" s="12">
        <f>STANDARDIZE(D75,K$16,L$16)</f>
        <v>0.32759747888007862</v>
      </c>
    </row>
    <row r="76" spans="1:14" x14ac:dyDescent="0.3">
      <c r="A76" t="s">
        <v>5</v>
      </c>
      <c r="B76">
        <v>2009</v>
      </c>
      <c r="C76" s="12">
        <v>2009.4166666667099</v>
      </c>
      <c r="D76">
        <v>643.6</v>
      </c>
      <c r="E76" s="9">
        <v>39965</v>
      </c>
      <c r="F76">
        <v>476.9</v>
      </c>
      <c r="J76" s="12"/>
      <c r="K76" s="15"/>
      <c r="N76" s="12">
        <f>STANDARDIZE(D76,K$15,L$15)</f>
        <v>0.51358373538138125</v>
      </c>
    </row>
    <row r="77" spans="1:14" x14ac:dyDescent="0.3">
      <c r="A77" t="s">
        <v>4</v>
      </c>
      <c r="B77">
        <v>2009</v>
      </c>
      <c r="C77" s="12">
        <v>2009.3333333333801</v>
      </c>
      <c r="D77">
        <v>628.9</v>
      </c>
      <c r="E77" s="8">
        <v>39934</v>
      </c>
      <c r="F77">
        <v>454.6</v>
      </c>
      <c r="J77" s="12"/>
      <c r="K77" s="15"/>
      <c r="N77" s="12">
        <f>STANDARDIZE(D77,K$14,L$14)</f>
        <v>0.88453533874057111</v>
      </c>
    </row>
    <row r="78" spans="1:14" x14ac:dyDescent="0.3">
      <c r="A78" t="s">
        <v>3</v>
      </c>
      <c r="B78">
        <v>2009</v>
      </c>
      <c r="C78" s="12">
        <v>2009.25000000005</v>
      </c>
      <c r="D78">
        <v>515.9</v>
      </c>
      <c r="E78" s="9">
        <v>39904</v>
      </c>
      <c r="F78">
        <v>394.5</v>
      </c>
      <c r="J78" s="12"/>
      <c r="K78" s="15"/>
      <c r="N78" s="12">
        <f>STANDARDIZE(D78,K$13,L$13)</f>
        <v>1.3708176723221064</v>
      </c>
    </row>
    <row r="79" spans="1:14" x14ac:dyDescent="0.3">
      <c r="A79" t="s">
        <v>2</v>
      </c>
      <c r="B79">
        <v>2009</v>
      </c>
      <c r="C79" s="12">
        <v>2009.1666666667099</v>
      </c>
      <c r="D79">
        <v>478.7</v>
      </c>
      <c r="E79" s="8">
        <v>39873</v>
      </c>
      <c r="F79">
        <v>359.6</v>
      </c>
      <c r="J79" s="12"/>
      <c r="K79" s="15"/>
      <c r="N79" s="12">
        <f>STANDARDIZE(D79,K$12,L$12)</f>
        <v>1.5089876468180625</v>
      </c>
    </row>
    <row r="80" spans="1:14" x14ac:dyDescent="0.3">
      <c r="A80" t="s">
        <v>1</v>
      </c>
      <c r="B80">
        <v>2009</v>
      </c>
      <c r="C80" s="12">
        <v>2009.0833333333801</v>
      </c>
      <c r="D80">
        <v>605.20000000000005</v>
      </c>
      <c r="E80" s="9">
        <v>39845</v>
      </c>
      <c r="F80">
        <v>479.6</v>
      </c>
      <c r="J80" s="12"/>
      <c r="K80" s="15"/>
      <c r="N80" s="12">
        <f>STANDARDIZE(D80,K$11,L$11)</f>
        <v>1.79217495769683</v>
      </c>
    </row>
    <row r="81" spans="1:14" x14ac:dyDescent="0.3">
      <c r="A81" t="s">
        <v>0</v>
      </c>
      <c r="B81">
        <v>2009</v>
      </c>
      <c r="C81" s="12">
        <v>2009.00000000005</v>
      </c>
      <c r="D81">
        <v>851.6</v>
      </c>
      <c r="E81" s="8">
        <v>39814</v>
      </c>
      <c r="F81">
        <v>589.6</v>
      </c>
      <c r="J81" s="12"/>
      <c r="K81" s="15"/>
      <c r="N81" s="12">
        <f>STANDARDIZE(D81,K$10,L$10)</f>
        <v>1.2030562630335337</v>
      </c>
    </row>
    <row r="82" spans="1:14" x14ac:dyDescent="0.3">
      <c r="A82" t="s">
        <v>11</v>
      </c>
      <c r="B82">
        <v>2008</v>
      </c>
      <c r="C82" s="12">
        <v>2008.9166666667099</v>
      </c>
      <c r="D82">
        <v>985.1</v>
      </c>
      <c r="E82" s="9">
        <v>39783</v>
      </c>
      <c r="F82">
        <v>668.1</v>
      </c>
      <c r="J82" s="12"/>
      <c r="K82" s="15"/>
      <c r="N82" s="12">
        <f>STANDARDIZE(D82,K$21,L$21)</f>
        <v>0.95044521683286365</v>
      </c>
    </row>
    <row r="83" spans="1:14" x14ac:dyDescent="0.3">
      <c r="A83" t="s">
        <v>10</v>
      </c>
      <c r="B83">
        <v>2008</v>
      </c>
      <c r="C83" s="12">
        <v>2008.8333333333801</v>
      </c>
      <c r="D83" s="1"/>
      <c r="E83" s="8">
        <v>39753</v>
      </c>
      <c r="F83">
        <v>679.9</v>
      </c>
      <c r="J83" s="12"/>
      <c r="K83" s="15"/>
      <c r="N83" s="12"/>
    </row>
    <row r="84" spans="1:14" x14ac:dyDescent="0.3">
      <c r="A84" t="s">
        <v>9</v>
      </c>
      <c r="B84">
        <v>2008</v>
      </c>
      <c r="C84" s="12">
        <v>2008.75000000005</v>
      </c>
      <c r="D84">
        <v>650.20000000000005</v>
      </c>
      <c r="E84" s="9">
        <v>39722</v>
      </c>
      <c r="F84">
        <v>653.4</v>
      </c>
      <c r="J84" s="12"/>
      <c r="K84" s="15"/>
      <c r="N84" s="12">
        <f>STANDARDIZE(D84,K$19,L$19)</f>
        <v>0.3242242731003937</v>
      </c>
    </row>
    <row r="85" spans="1:14" x14ac:dyDescent="0.3">
      <c r="A85" t="s">
        <v>8</v>
      </c>
      <c r="B85">
        <v>2008</v>
      </c>
      <c r="C85" s="12">
        <v>2008.6666666667099</v>
      </c>
      <c r="D85">
        <v>923</v>
      </c>
      <c r="E85" s="8">
        <v>39692</v>
      </c>
      <c r="F85">
        <v>649.79999999999995</v>
      </c>
      <c r="J85" s="12"/>
      <c r="K85" s="15"/>
      <c r="N85" s="12">
        <f>STANDARDIZE(D85,K$18,L$18)</f>
        <v>1.5996220540715065</v>
      </c>
    </row>
    <row r="86" spans="1:14" x14ac:dyDescent="0.3">
      <c r="A86" t="s">
        <v>7</v>
      </c>
      <c r="B86">
        <v>2008</v>
      </c>
      <c r="C86" s="12">
        <v>2008.5833333333801</v>
      </c>
      <c r="D86">
        <v>938.6</v>
      </c>
      <c r="E86" s="9">
        <v>39661</v>
      </c>
      <c r="F86">
        <v>641</v>
      </c>
      <c r="J86" s="12"/>
      <c r="K86" s="15"/>
      <c r="N86" s="12">
        <f>STANDARDIZE(D86,K$17,L$17)</f>
        <v>1.5797117014376967</v>
      </c>
    </row>
    <row r="87" spans="1:14" x14ac:dyDescent="0.3">
      <c r="A87" t="s">
        <v>6</v>
      </c>
      <c r="B87">
        <v>2008</v>
      </c>
      <c r="C87" s="12">
        <v>2008.50000000004</v>
      </c>
      <c r="D87">
        <v>926.2</v>
      </c>
      <c r="E87" s="8">
        <v>39630</v>
      </c>
      <c r="F87">
        <v>633.70000000000005</v>
      </c>
      <c r="J87" s="12"/>
      <c r="K87" s="15"/>
      <c r="N87" s="12">
        <f>STANDARDIZE(D87,K$16,L$16)</f>
        <v>1.4671902845076763</v>
      </c>
    </row>
    <row r="88" spans="1:14" x14ac:dyDescent="0.3">
      <c r="A88" t="s">
        <v>5</v>
      </c>
      <c r="B88">
        <v>2008</v>
      </c>
      <c r="C88" s="12">
        <v>2008.4166666667099</v>
      </c>
      <c r="D88">
        <v>806.4</v>
      </c>
      <c r="E88" s="9">
        <v>39600</v>
      </c>
      <c r="F88">
        <v>578.70000000000005</v>
      </c>
      <c r="J88" s="12"/>
      <c r="K88" s="15"/>
      <c r="N88" s="12">
        <f>STANDARDIZE(D88,K$15,L$15)</f>
        <v>1.2358841486118159</v>
      </c>
    </row>
    <row r="89" spans="1:14" x14ac:dyDescent="0.3">
      <c r="A89" t="s">
        <v>4</v>
      </c>
      <c r="B89">
        <v>2008</v>
      </c>
      <c r="C89" s="12">
        <v>2008.3333333333801</v>
      </c>
      <c r="D89">
        <v>662.8</v>
      </c>
      <c r="E89" s="8">
        <v>39569</v>
      </c>
      <c r="F89">
        <v>475.4</v>
      </c>
      <c r="J89" s="12"/>
      <c r="K89" s="15"/>
      <c r="N89" s="12">
        <f>STANDARDIZE(D89,K$14,L$14)</f>
        <v>1.0512220458147321</v>
      </c>
    </row>
    <row r="90" spans="1:14" x14ac:dyDescent="0.3">
      <c r="A90" t="s">
        <v>3</v>
      </c>
      <c r="B90">
        <v>2008</v>
      </c>
      <c r="C90" s="12">
        <v>2008.25000000004</v>
      </c>
      <c r="D90">
        <v>485.5</v>
      </c>
      <c r="E90" s="9">
        <v>39539</v>
      </c>
      <c r="F90">
        <v>374.5</v>
      </c>
      <c r="J90" s="12"/>
      <c r="K90" s="15"/>
      <c r="N90" s="12">
        <f>STANDARDIZE(D90,K$13,L$13)</f>
        <v>1.1769770725491706</v>
      </c>
    </row>
    <row r="91" spans="1:14" x14ac:dyDescent="0.3">
      <c r="A91" t="s">
        <v>2</v>
      </c>
      <c r="B91">
        <v>2008</v>
      </c>
      <c r="C91" s="12">
        <v>2008.1666666667099</v>
      </c>
      <c r="D91">
        <v>511.3</v>
      </c>
      <c r="E91" s="8">
        <v>39508</v>
      </c>
      <c r="F91">
        <v>380.6</v>
      </c>
      <c r="J91" s="12"/>
      <c r="K91" s="15"/>
      <c r="N91" s="12">
        <f>STANDARDIZE(D91,K$12,L$12)</f>
        <v>1.7380448203994889</v>
      </c>
    </row>
    <row r="92" spans="1:14" x14ac:dyDescent="0.3">
      <c r="A92" t="s">
        <v>1</v>
      </c>
      <c r="B92">
        <v>2008</v>
      </c>
      <c r="C92" s="12">
        <v>2008.0833333333801</v>
      </c>
      <c r="D92">
        <v>558.1</v>
      </c>
      <c r="E92" s="9">
        <v>39479</v>
      </c>
      <c r="F92">
        <v>434.3</v>
      </c>
      <c r="J92" s="12"/>
      <c r="K92" s="15"/>
      <c r="N92" s="12">
        <f>STANDARDIZE(D92,K$11,L$11)</f>
        <v>1.521042908338277</v>
      </c>
    </row>
    <row r="93" spans="1:14" x14ac:dyDescent="0.3">
      <c r="A93" t="s">
        <v>0</v>
      </c>
      <c r="B93">
        <v>2008</v>
      </c>
      <c r="C93" s="12">
        <v>2008.00000000004</v>
      </c>
      <c r="D93">
        <v>796.5</v>
      </c>
      <c r="E93" s="8">
        <v>39448</v>
      </c>
      <c r="F93">
        <v>556.6</v>
      </c>
      <c r="J93" s="12"/>
      <c r="K93" s="15"/>
      <c r="N93" s="12">
        <f>STANDARDIZE(D93,K$10,L$10)</f>
        <v>1.0008821463781645</v>
      </c>
    </row>
    <row r="94" spans="1:14" x14ac:dyDescent="0.3">
      <c r="A94" t="s">
        <v>11</v>
      </c>
      <c r="B94">
        <v>2007</v>
      </c>
      <c r="C94" s="12">
        <v>2007.9166666667099</v>
      </c>
      <c r="D94">
        <v>933.4</v>
      </c>
      <c r="E94" s="9">
        <v>39417</v>
      </c>
      <c r="F94">
        <v>637.9</v>
      </c>
      <c r="J94" s="12"/>
      <c r="K94" s="15"/>
      <c r="N94" s="12">
        <f>STANDARDIZE(D94,K$21,L$21)</f>
        <v>0.78245624812336656</v>
      </c>
    </row>
    <row r="95" spans="1:14" x14ac:dyDescent="0.3">
      <c r="A95" t="s">
        <v>10</v>
      </c>
      <c r="B95">
        <v>2007</v>
      </c>
      <c r="C95" s="12">
        <v>2007.8333333333801</v>
      </c>
      <c r="D95">
        <v>899.9</v>
      </c>
      <c r="E95" s="8">
        <v>39387</v>
      </c>
      <c r="F95">
        <v>635.79999999999995</v>
      </c>
      <c r="J95" s="12"/>
      <c r="K95" s="15"/>
      <c r="N95" s="12">
        <f>STANDARDIZE(D95,K$20,L$20)</f>
        <v>0.95049469262284325</v>
      </c>
    </row>
    <row r="96" spans="1:14" x14ac:dyDescent="0.3">
      <c r="A96" t="s">
        <v>9</v>
      </c>
      <c r="B96">
        <v>2007</v>
      </c>
      <c r="C96" s="12">
        <v>2007.75000000004</v>
      </c>
      <c r="D96">
        <v>876.4</v>
      </c>
      <c r="E96" s="9">
        <v>39356</v>
      </c>
      <c r="F96">
        <v>604.4</v>
      </c>
      <c r="J96" s="12"/>
      <c r="K96" s="15"/>
      <c r="N96" s="12">
        <f>STANDARDIZE(D96,K$19,L$19)</f>
        <v>1.2769950503047978</v>
      </c>
    </row>
    <row r="97" spans="1:14" x14ac:dyDescent="0.3">
      <c r="A97" t="s">
        <v>8</v>
      </c>
      <c r="B97">
        <v>2007</v>
      </c>
      <c r="C97" s="12">
        <v>2007.6666666667099</v>
      </c>
      <c r="D97">
        <v>833.8</v>
      </c>
      <c r="E97" s="8">
        <v>39326</v>
      </c>
      <c r="F97">
        <v>595.6</v>
      </c>
      <c r="J97" s="12"/>
      <c r="K97" s="15"/>
      <c r="N97" s="12">
        <f>STANDARDIZE(D97,K$18,L$18)</f>
        <v>1.2384823749442515</v>
      </c>
    </row>
    <row r="98" spans="1:14" x14ac:dyDescent="0.3">
      <c r="A98" t="s">
        <v>7</v>
      </c>
      <c r="B98">
        <v>2007</v>
      </c>
      <c r="C98" s="12">
        <v>2007.5833333333801</v>
      </c>
      <c r="D98">
        <v>818.3</v>
      </c>
      <c r="E98" s="9">
        <v>39295</v>
      </c>
      <c r="F98">
        <v>569.9</v>
      </c>
      <c r="J98" s="12"/>
      <c r="K98" s="15"/>
      <c r="N98" s="12">
        <f>STANDARDIZE(D98,K$17,L$17)</f>
        <v>1.110710423839091</v>
      </c>
    </row>
    <row r="99" spans="1:14" x14ac:dyDescent="0.3">
      <c r="A99" t="s">
        <v>6</v>
      </c>
      <c r="B99">
        <v>2007</v>
      </c>
      <c r="C99" s="12">
        <v>2007.50000000004</v>
      </c>
      <c r="D99">
        <v>870.9</v>
      </c>
      <c r="E99" s="8">
        <v>39264</v>
      </c>
      <c r="F99">
        <v>601.1</v>
      </c>
      <c r="J99" s="12"/>
      <c r="K99" s="15"/>
      <c r="N99" s="12">
        <f>STANDARDIZE(D99,K$16,L$16)</f>
        <v>1.2476102073257731</v>
      </c>
    </row>
    <row r="100" spans="1:14" x14ac:dyDescent="0.3">
      <c r="A100" t="s">
        <v>5</v>
      </c>
      <c r="B100">
        <v>2007</v>
      </c>
      <c r="C100" s="12">
        <v>2007.4166666667099</v>
      </c>
      <c r="D100">
        <v>811.4</v>
      </c>
      <c r="E100" s="9">
        <v>39234</v>
      </c>
      <c r="F100">
        <v>581.79999999999995</v>
      </c>
      <c r="J100" s="12"/>
      <c r="K100" s="15"/>
      <c r="N100" s="12">
        <f>STANDARDIZE(D100,K$15,L$15)</f>
        <v>1.2580678222368293</v>
      </c>
    </row>
    <row r="101" spans="1:14" x14ac:dyDescent="0.3">
      <c r="A101" t="s">
        <v>4</v>
      </c>
      <c r="B101">
        <v>2007</v>
      </c>
      <c r="C101" s="12">
        <v>2007.3333333333801</v>
      </c>
      <c r="D101">
        <v>667.3</v>
      </c>
      <c r="E101" s="8">
        <v>39203</v>
      </c>
      <c r="F101">
        <v>478.1</v>
      </c>
      <c r="J101" s="12"/>
      <c r="K101" s="15"/>
      <c r="N101" s="12">
        <f>STANDARDIZE(D101,K$14,L$14)</f>
        <v>1.0733485998511252</v>
      </c>
    </row>
    <row r="102" spans="1:14" x14ac:dyDescent="0.3">
      <c r="A102" t="s">
        <v>3</v>
      </c>
      <c r="B102">
        <v>2007</v>
      </c>
      <c r="C102" s="12">
        <v>2007.25000000004</v>
      </c>
      <c r="D102">
        <v>444.7</v>
      </c>
      <c r="E102" s="9">
        <v>39173</v>
      </c>
      <c r="F102">
        <v>346.9</v>
      </c>
      <c r="J102" s="12"/>
      <c r="K102" s="15"/>
      <c r="N102" s="12">
        <f>STANDARDIZE(D102,K$13,L$13)</f>
        <v>0.91682258338022993</v>
      </c>
    </row>
    <row r="103" spans="1:14" x14ac:dyDescent="0.3">
      <c r="A103" t="s">
        <v>2</v>
      </c>
      <c r="B103">
        <v>2007</v>
      </c>
      <c r="C103" s="12">
        <v>2007.1666666667099</v>
      </c>
      <c r="D103">
        <v>227.7</v>
      </c>
      <c r="E103" s="8">
        <v>39142</v>
      </c>
      <c r="F103">
        <v>190.1</v>
      </c>
      <c r="J103" s="12"/>
      <c r="K103" s="15"/>
      <c r="N103" s="12">
        <f>STANDARDIZE(D103,K$12,L$12)</f>
        <v>-0.25461206388555696</v>
      </c>
    </row>
    <row r="104" spans="1:14" x14ac:dyDescent="0.3">
      <c r="A104" t="s">
        <v>1</v>
      </c>
      <c r="B104">
        <v>2007</v>
      </c>
      <c r="C104" s="12">
        <v>2007.0833333333801</v>
      </c>
      <c r="D104" s="1"/>
      <c r="E104" s="9">
        <v>39114</v>
      </c>
      <c r="F104" s="1"/>
      <c r="J104" s="12"/>
      <c r="K104" s="15"/>
      <c r="N104" s="12"/>
    </row>
    <row r="105" spans="1:14" x14ac:dyDescent="0.3">
      <c r="A105" t="s">
        <v>0</v>
      </c>
      <c r="B105">
        <v>2007</v>
      </c>
      <c r="C105" s="12">
        <v>2007.00000000004</v>
      </c>
      <c r="D105">
        <v>545.9</v>
      </c>
      <c r="E105" s="8">
        <v>39083</v>
      </c>
      <c r="F105">
        <v>540.29999999999995</v>
      </c>
      <c r="J105" s="12"/>
      <c r="K105" s="15"/>
      <c r="N105" s="12">
        <f>STANDARDIZE(D105,K$10,L$10)</f>
        <v>8.1375183876611745E-2</v>
      </c>
    </row>
    <row r="106" spans="1:14" x14ac:dyDescent="0.3">
      <c r="A106" t="s">
        <v>11</v>
      </c>
      <c r="B106">
        <v>2006</v>
      </c>
      <c r="C106" s="12">
        <v>2006.9166666667099</v>
      </c>
      <c r="D106">
        <v>850</v>
      </c>
      <c r="E106" s="9">
        <v>39052</v>
      </c>
      <c r="F106">
        <v>588.6</v>
      </c>
      <c r="J106" s="12"/>
      <c r="K106" s="15"/>
      <c r="N106" s="12">
        <f>STANDARDIZE(D106,K$21,L$21)</f>
        <v>0.5114643721006964</v>
      </c>
    </row>
    <row r="107" spans="1:14" x14ac:dyDescent="0.3">
      <c r="A107" t="s">
        <v>10</v>
      </c>
      <c r="B107">
        <v>2006</v>
      </c>
      <c r="C107" s="12">
        <v>2006.8333333333701</v>
      </c>
      <c r="D107">
        <v>723.9</v>
      </c>
      <c r="E107" s="8">
        <v>39022</v>
      </c>
      <c r="F107">
        <v>527.4</v>
      </c>
      <c r="J107" s="12"/>
      <c r="K107" s="15"/>
      <c r="N107" s="12">
        <f>STANDARDIZE(D107,K$20,L$20)</f>
        <v>0.31870007102847192</v>
      </c>
    </row>
    <row r="108" spans="1:14" x14ac:dyDescent="0.3">
      <c r="A108" t="s">
        <v>9</v>
      </c>
      <c r="B108">
        <v>2006</v>
      </c>
      <c r="C108" s="12">
        <v>2006.75000000004</v>
      </c>
      <c r="D108">
        <v>658.4</v>
      </c>
      <c r="E108" s="9">
        <v>38991</v>
      </c>
      <c r="F108">
        <v>472.9</v>
      </c>
      <c r="J108" s="12"/>
      <c r="K108" s="15"/>
      <c r="N108" s="12">
        <f>STANDARDIZE(D108,K$19,L$19)</f>
        <v>0.35876326679215342</v>
      </c>
    </row>
    <row r="109" spans="1:14" x14ac:dyDescent="0.3">
      <c r="A109" t="s">
        <v>8</v>
      </c>
      <c r="B109">
        <v>2006</v>
      </c>
      <c r="C109" s="12">
        <v>2006.6666666667099</v>
      </c>
      <c r="D109">
        <v>640.1</v>
      </c>
      <c r="E109" s="8">
        <v>38961</v>
      </c>
      <c r="F109">
        <v>474.7</v>
      </c>
      <c r="J109" s="12"/>
      <c r="K109" s="15"/>
      <c r="N109" s="12">
        <f>STANDARDIZE(D109,K$18,L$18)</f>
        <v>0.45425865468697313</v>
      </c>
    </row>
    <row r="110" spans="1:14" x14ac:dyDescent="0.3">
      <c r="A110" t="s">
        <v>7</v>
      </c>
      <c r="B110">
        <v>2006</v>
      </c>
      <c r="C110" s="12">
        <v>2006.5833333333701</v>
      </c>
      <c r="D110">
        <v>677.6</v>
      </c>
      <c r="E110" s="9">
        <v>38930</v>
      </c>
      <c r="F110">
        <v>484.6</v>
      </c>
      <c r="J110" s="12"/>
      <c r="K110" s="15"/>
      <c r="N110" s="12">
        <f>STANDARDIZE(D110,K$17,L$17)</f>
        <v>0.56217775752052268</v>
      </c>
    </row>
    <row r="111" spans="1:14" x14ac:dyDescent="0.3">
      <c r="A111" t="s">
        <v>6</v>
      </c>
      <c r="B111">
        <v>2006</v>
      </c>
      <c r="C111" s="12">
        <v>2006.50000000004</v>
      </c>
      <c r="D111">
        <v>835.3</v>
      </c>
      <c r="E111" s="8">
        <v>38899</v>
      </c>
      <c r="F111">
        <v>579.9</v>
      </c>
      <c r="J111" s="12"/>
      <c r="K111" s="15"/>
      <c r="N111" s="12">
        <f>STANDARDIZE(D111,K$16,L$16)</f>
        <v>1.1062530509482731</v>
      </c>
    </row>
    <row r="112" spans="1:14" x14ac:dyDescent="0.3">
      <c r="A112" t="s">
        <v>5</v>
      </c>
      <c r="B112">
        <v>2006</v>
      </c>
      <c r="C112" s="12">
        <v>2006.4166666667099</v>
      </c>
      <c r="D112">
        <v>829.4</v>
      </c>
      <c r="E112" s="9">
        <v>38869</v>
      </c>
      <c r="F112">
        <v>592.9</v>
      </c>
      <c r="J112" s="12"/>
      <c r="K112" s="15"/>
      <c r="N112" s="12">
        <f>STANDARDIZE(D112,K$15,L$15)</f>
        <v>1.3379290472868774</v>
      </c>
    </row>
    <row r="113" spans="1:14" x14ac:dyDescent="0.3">
      <c r="A113" t="s">
        <v>4</v>
      </c>
      <c r="B113">
        <v>2006</v>
      </c>
      <c r="C113" s="12">
        <v>2006.3333333333701</v>
      </c>
      <c r="D113">
        <v>719.9</v>
      </c>
      <c r="E113" s="8">
        <v>38838</v>
      </c>
      <c r="F113">
        <v>510.2</v>
      </c>
      <c r="J113" s="12"/>
      <c r="K113" s="15"/>
      <c r="N113" s="12">
        <f>STANDARDIZE(D113,K$14,L$14)</f>
        <v>1.33198343147652</v>
      </c>
    </row>
    <row r="114" spans="1:14" x14ac:dyDescent="0.3">
      <c r="A114" t="s">
        <v>3</v>
      </c>
      <c r="B114">
        <v>2006</v>
      </c>
      <c r="C114" s="12">
        <v>2006.25000000004</v>
      </c>
      <c r="D114">
        <v>499.1</v>
      </c>
      <c r="E114" s="9">
        <v>38808</v>
      </c>
      <c r="F114">
        <v>383.4</v>
      </c>
      <c r="J114" s="12"/>
      <c r="K114" s="15"/>
      <c r="N114" s="12">
        <f>STANDARDIZE(D114,K$13,L$13)</f>
        <v>1.2636952356054842</v>
      </c>
    </row>
    <row r="115" spans="1:14" x14ac:dyDescent="0.3">
      <c r="A115" t="s">
        <v>2</v>
      </c>
      <c r="B115">
        <v>2006</v>
      </c>
      <c r="C115" s="12">
        <v>2006.1666666667099</v>
      </c>
      <c r="D115">
        <v>354.3</v>
      </c>
      <c r="E115" s="8">
        <v>38777</v>
      </c>
      <c r="F115">
        <v>277.7</v>
      </c>
      <c r="J115" s="12"/>
      <c r="K115" s="15"/>
      <c r="N115" s="12">
        <f>STANDARDIZE(D115,K$12,L$12)</f>
        <v>0.63491671450120901</v>
      </c>
    </row>
    <row r="116" spans="1:14" x14ac:dyDescent="0.3">
      <c r="A116" t="s">
        <v>1</v>
      </c>
      <c r="B116">
        <v>2006</v>
      </c>
      <c r="C116" s="12">
        <v>2006.0833333333701</v>
      </c>
      <c r="D116">
        <v>473.2</v>
      </c>
      <c r="E116" s="9">
        <v>38749</v>
      </c>
      <c r="F116">
        <v>388.1</v>
      </c>
      <c r="J116" s="12"/>
      <c r="K116" s="15"/>
      <c r="N116" s="12">
        <f>STANDARDIZE(D116,K$11,L$11)</f>
        <v>1.0323144372015227</v>
      </c>
    </row>
    <row r="117" spans="1:14" x14ac:dyDescent="0.3">
      <c r="A117" t="s">
        <v>0</v>
      </c>
      <c r="B117">
        <v>2006</v>
      </c>
      <c r="C117" s="12">
        <v>2006.00000000004</v>
      </c>
      <c r="D117">
        <v>716.9</v>
      </c>
      <c r="E117" s="8">
        <v>38718</v>
      </c>
      <c r="F117">
        <v>508.5</v>
      </c>
      <c r="J117" s="12"/>
      <c r="K117" s="15"/>
      <c r="N117" s="12">
        <f>STANDARDIZE(D117,K$10,L$10)</f>
        <v>0.70881209763465447</v>
      </c>
    </row>
    <row r="118" spans="1:14" x14ac:dyDescent="0.3">
      <c r="A118" t="s">
        <v>11</v>
      </c>
      <c r="B118">
        <v>2005</v>
      </c>
      <c r="C118" s="12">
        <v>2005.9166666667099</v>
      </c>
      <c r="E118" s="9">
        <v>38687</v>
      </c>
      <c r="F118">
        <v>562.79999999999995</v>
      </c>
      <c r="J118" s="12"/>
      <c r="K118" s="15"/>
      <c r="N118" s="12"/>
    </row>
    <row r="119" spans="1:14" x14ac:dyDescent="0.3">
      <c r="A119" t="s">
        <v>10</v>
      </c>
      <c r="B119">
        <v>2005</v>
      </c>
      <c r="C119" s="12">
        <v>2005.8333333333701</v>
      </c>
      <c r="E119" s="8">
        <v>38657</v>
      </c>
      <c r="F119">
        <v>519.70000000000005</v>
      </c>
      <c r="J119" s="12"/>
      <c r="K119" s="15"/>
      <c r="N119" s="12"/>
    </row>
    <row r="120" spans="1:14" x14ac:dyDescent="0.3">
      <c r="A120" t="s">
        <v>9</v>
      </c>
      <c r="B120">
        <v>2005</v>
      </c>
      <c r="C120" s="12">
        <v>2005.75000000004</v>
      </c>
      <c r="D120">
        <v>434.8</v>
      </c>
      <c r="E120" s="9">
        <v>38626</v>
      </c>
      <c r="F120">
        <v>442.1</v>
      </c>
      <c r="J120" s="12"/>
      <c r="K120" s="15"/>
      <c r="N120" s="12">
        <f>STANDARDIZE(D120,K$19,L$19)</f>
        <v>-0.5830561221685221</v>
      </c>
    </row>
    <row r="121" spans="1:14" x14ac:dyDescent="0.3">
      <c r="A121" t="s">
        <v>8</v>
      </c>
      <c r="B121">
        <v>2005</v>
      </c>
      <c r="C121" s="12">
        <v>2005.6666666667099</v>
      </c>
      <c r="D121">
        <v>368.3</v>
      </c>
      <c r="E121" s="8">
        <v>38596</v>
      </c>
      <c r="F121">
        <v>389.9</v>
      </c>
      <c r="J121" s="12"/>
      <c r="K121" s="15"/>
      <c r="N121" s="12">
        <f>STANDARDIZE(D121,K$18,L$18)</f>
        <v>-0.64616471736221803</v>
      </c>
    </row>
    <row r="122" spans="1:14" x14ac:dyDescent="0.3">
      <c r="A122" t="s">
        <v>7</v>
      </c>
      <c r="B122">
        <v>2005</v>
      </c>
      <c r="C122" s="12">
        <v>2005.5833333333701</v>
      </c>
      <c r="D122">
        <v>388.5</v>
      </c>
      <c r="E122" s="9">
        <v>38565</v>
      </c>
      <c r="F122">
        <v>397.4</v>
      </c>
      <c r="J122" s="12"/>
      <c r="K122" s="15"/>
      <c r="N122" s="12">
        <f>STANDARDIZE(D122,K$17,L$17)</f>
        <v>-0.56490677576091419</v>
      </c>
    </row>
    <row r="123" spans="1:14" x14ac:dyDescent="0.3">
      <c r="A123" t="s">
        <v>6</v>
      </c>
      <c r="B123">
        <v>2005</v>
      </c>
      <c r="C123" s="12">
        <v>2005.50000000004</v>
      </c>
      <c r="D123">
        <v>462</v>
      </c>
      <c r="E123" s="8">
        <v>38534</v>
      </c>
      <c r="F123">
        <v>466.4</v>
      </c>
      <c r="J123" s="12"/>
      <c r="K123" s="15"/>
      <c r="N123" s="12">
        <f>STANDARDIZE(D123,K$16,L$16)</f>
        <v>-0.37601173769556728</v>
      </c>
    </row>
    <row r="124" spans="1:14" x14ac:dyDescent="0.3">
      <c r="A124" t="s">
        <v>5</v>
      </c>
      <c r="B124">
        <v>2005</v>
      </c>
      <c r="C124" s="12">
        <v>2005.4166666667099</v>
      </c>
      <c r="D124">
        <v>444</v>
      </c>
      <c r="E124" s="9">
        <v>38504</v>
      </c>
      <c r="F124">
        <v>463.6</v>
      </c>
      <c r="J124" s="12"/>
      <c r="K124" s="15"/>
      <c r="N124" s="12">
        <f>STANDARDIZE(D124,K$15,L$15)</f>
        <v>-0.37198851572915215</v>
      </c>
    </row>
    <row r="125" spans="1:14" x14ac:dyDescent="0.3">
      <c r="A125" t="s">
        <v>4</v>
      </c>
      <c r="B125">
        <v>2005</v>
      </c>
      <c r="C125" s="12">
        <v>2005.3333333333701</v>
      </c>
      <c r="D125">
        <v>368.9</v>
      </c>
      <c r="E125" s="8">
        <v>38473</v>
      </c>
      <c r="F125">
        <v>380.2</v>
      </c>
      <c r="J125" s="12"/>
      <c r="K125" s="15"/>
      <c r="N125" s="12">
        <f>STANDARDIZE(D125,K$14,L$14)</f>
        <v>-0.39388778336213975</v>
      </c>
    </row>
    <row r="126" spans="1:14" x14ac:dyDescent="0.3">
      <c r="A126" t="s">
        <v>3</v>
      </c>
      <c r="B126">
        <v>2005</v>
      </c>
      <c r="C126" s="12">
        <v>2005.25000000004</v>
      </c>
      <c r="D126">
        <v>231.9</v>
      </c>
      <c r="E126" s="9">
        <v>38443</v>
      </c>
      <c r="F126">
        <v>255.8</v>
      </c>
      <c r="J126" s="12"/>
      <c r="K126" s="15"/>
      <c r="N126" s="12">
        <f>STANDARDIZE(D126,K$13,L$13)</f>
        <v>-0.44006161503032248</v>
      </c>
    </row>
    <row r="127" spans="1:14" x14ac:dyDescent="0.3">
      <c r="A127" t="s">
        <v>2</v>
      </c>
      <c r="B127">
        <v>2005</v>
      </c>
      <c r="C127" s="12">
        <v>2005.1666666667099</v>
      </c>
      <c r="D127">
        <v>202.8</v>
      </c>
      <c r="E127" s="8">
        <v>38412</v>
      </c>
      <c r="F127">
        <v>219.8</v>
      </c>
      <c r="J127" s="12"/>
      <c r="K127" s="15"/>
      <c r="N127" s="12">
        <f>STANDARDIZE(D127,K$12,L$12)</f>
        <v>-0.42956677622229034</v>
      </c>
    </row>
    <row r="128" spans="1:14" x14ac:dyDescent="0.3">
      <c r="A128" t="s">
        <v>1</v>
      </c>
      <c r="B128">
        <v>2005</v>
      </c>
      <c r="C128" s="12">
        <v>2005.0833333333701</v>
      </c>
      <c r="D128">
        <v>249.2</v>
      </c>
      <c r="E128" s="9">
        <v>38384</v>
      </c>
      <c r="F128">
        <v>291.2</v>
      </c>
      <c r="J128" s="12"/>
      <c r="K128" s="15"/>
      <c r="N128" s="12">
        <f>STANDARDIZE(D128,K$11,L$11)</f>
        <v>-0.25714584000263435</v>
      </c>
    </row>
    <row r="129" spans="1:14" x14ac:dyDescent="0.3">
      <c r="A129" t="s">
        <v>0</v>
      </c>
      <c r="B129">
        <v>2005</v>
      </c>
      <c r="C129" s="12">
        <v>2005.00000000004</v>
      </c>
      <c r="D129">
        <v>425.9</v>
      </c>
      <c r="E129" s="8">
        <v>38353</v>
      </c>
      <c r="F129">
        <v>432.7</v>
      </c>
      <c r="J129" s="12"/>
      <c r="K129" s="15"/>
      <c r="N129" s="12">
        <f>STANDARDIZE(D129,K$10,L$10)</f>
        <v>-0.35893142226938313</v>
      </c>
    </row>
    <row r="130" spans="1:14" x14ac:dyDescent="0.3">
      <c r="A130" t="s">
        <v>11</v>
      </c>
      <c r="B130">
        <v>2004</v>
      </c>
      <c r="C130" s="12">
        <v>2004.9166666666999</v>
      </c>
      <c r="D130">
        <v>528</v>
      </c>
      <c r="E130" s="9">
        <v>38322</v>
      </c>
      <c r="F130">
        <v>527.70000000000005</v>
      </c>
      <c r="J130" s="12"/>
      <c r="K130" s="15"/>
      <c r="N130" s="12">
        <f>STANDARDIZE(D130,K$21,L$21)</f>
        <v>-0.53481121638011653</v>
      </c>
    </row>
    <row r="131" spans="1:14" x14ac:dyDescent="0.3">
      <c r="A131" t="s">
        <v>10</v>
      </c>
      <c r="B131">
        <v>2004</v>
      </c>
      <c r="C131" s="12">
        <v>2004.8333333333701</v>
      </c>
      <c r="D131">
        <v>524.1</v>
      </c>
      <c r="E131" s="8">
        <v>38292</v>
      </c>
      <c r="F131">
        <v>540.70000000000005</v>
      </c>
      <c r="J131" s="12"/>
      <c r="K131" s="15"/>
      <c r="N131" s="12">
        <f>STANDARDIZE(D131,K$20,L$20)</f>
        <v>-0.39853041416786539</v>
      </c>
    </row>
    <row r="132" spans="1:14" x14ac:dyDescent="0.3">
      <c r="A132" t="s">
        <v>9</v>
      </c>
      <c r="B132">
        <v>2004</v>
      </c>
      <c r="C132" s="12">
        <v>2004.75000000004</v>
      </c>
      <c r="D132">
        <v>453</v>
      </c>
      <c r="E132" s="9">
        <v>38261</v>
      </c>
      <c r="F132">
        <v>458.3</v>
      </c>
      <c r="J132" s="12"/>
      <c r="K132" s="15"/>
      <c r="N132" s="12">
        <f>STANDARDIZE(D132,K$19,L$19)</f>
        <v>-0.50639640446242062</v>
      </c>
    </row>
    <row r="133" spans="1:14" x14ac:dyDescent="0.3">
      <c r="A133" t="s">
        <v>8</v>
      </c>
      <c r="B133">
        <v>2004</v>
      </c>
      <c r="C133" s="12">
        <v>2004.6666666666999</v>
      </c>
      <c r="D133">
        <v>379.3</v>
      </c>
      <c r="E133" s="8">
        <v>38231</v>
      </c>
      <c r="F133">
        <v>401</v>
      </c>
      <c r="J133" s="12"/>
      <c r="K133" s="15"/>
      <c r="N133" s="12">
        <f>STANDARDIZE(D133,K$18,L$18)</f>
        <v>-0.60162955513800498</v>
      </c>
    </row>
    <row r="134" spans="1:14" x14ac:dyDescent="0.3">
      <c r="A134" t="s">
        <v>7</v>
      </c>
      <c r="B134">
        <v>2004</v>
      </c>
      <c r="C134" s="12">
        <v>2004.5833333333701</v>
      </c>
      <c r="D134">
        <v>371.1</v>
      </c>
      <c r="E134" s="9">
        <v>38200</v>
      </c>
      <c r="F134">
        <v>381.1</v>
      </c>
      <c r="J134" s="12"/>
      <c r="K134" s="15"/>
      <c r="N134" s="12">
        <f>STANDARDIZE(D134,K$17,L$17)</f>
        <v>-0.63274237202205907</v>
      </c>
    </row>
    <row r="135" spans="1:14" x14ac:dyDescent="0.3">
      <c r="A135" t="s">
        <v>6</v>
      </c>
      <c r="B135">
        <v>2004</v>
      </c>
      <c r="C135" s="12">
        <v>2004.50000000004</v>
      </c>
      <c r="D135">
        <v>370.4</v>
      </c>
      <c r="E135" s="8">
        <v>38169</v>
      </c>
      <c r="F135">
        <v>380</v>
      </c>
      <c r="J135" s="12"/>
      <c r="K135" s="15"/>
      <c r="N135" s="12">
        <f>STANDARDIZE(D135,K$16,L$16)</f>
        <v>-0.73972846590284247</v>
      </c>
    </row>
    <row r="136" spans="1:14" x14ac:dyDescent="0.3">
      <c r="A136" t="s">
        <v>5</v>
      </c>
      <c r="B136">
        <v>2004</v>
      </c>
      <c r="C136" s="12">
        <v>2004.4166666666999</v>
      </c>
      <c r="D136">
        <v>410.1</v>
      </c>
      <c r="E136" s="9">
        <v>38139</v>
      </c>
      <c r="F136">
        <v>431.1</v>
      </c>
      <c r="J136" s="12"/>
      <c r="K136" s="15"/>
      <c r="N136" s="12">
        <f>STANDARDIZE(D136,K$15,L$15)</f>
        <v>-0.52239382290674263</v>
      </c>
    </row>
    <row r="137" spans="1:14" x14ac:dyDescent="0.3">
      <c r="A137" t="s">
        <v>4</v>
      </c>
      <c r="B137">
        <v>2004</v>
      </c>
      <c r="C137" s="12">
        <v>2004.3333333333701</v>
      </c>
      <c r="D137">
        <v>337.1</v>
      </c>
      <c r="E137" s="8">
        <v>38108</v>
      </c>
      <c r="F137">
        <v>349.9</v>
      </c>
      <c r="J137" s="12"/>
      <c r="K137" s="15"/>
      <c r="N137" s="12">
        <f>STANDARDIZE(D137,K$14,L$14)</f>
        <v>-0.55024876521931732</v>
      </c>
    </row>
    <row r="138" spans="1:14" x14ac:dyDescent="0.3">
      <c r="A138" t="s">
        <v>3</v>
      </c>
      <c r="B138">
        <v>2004</v>
      </c>
      <c r="C138" s="12">
        <v>2004.25000000004</v>
      </c>
      <c r="D138">
        <v>125.7</v>
      </c>
      <c r="E138" s="9">
        <v>38078</v>
      </c>
      <c r="F138">
        <v>159.30000000000001</v>
      </c>
      <c r="J138" s="12"/>
      <c r="K138" s="15"/>
      <c r="N138" s="12">
        <f>STANDARDIZE(D138,K$13,L$13)</f>
        <v>-1.1172284471318297</v>
      </c>
    </row>
    <row r="139" spans="1:14" x14ac:dyDescent="0.3">
      <c r="A139" t="s">
        <v>2</v>
      </c>
      <c r="B139">
        <v>2004</v>
      </c>
      <c r="C139" s="12">
        <v>2004.1666666666999</v>
      </c>
      <c r="D139" s="1"/>
      <c r="E139" s="8">
        <v>38047</v>
      </c>
      <c r="F139">
        <v>125.6</v>
      </c>
      <c r="J139" s="12"/>
      <c r="K139" s="15"/>
      <c r="N139" s="12"/>
    </row>
    <row r="140" spans="1:14" x14ac:dyDescent="0.3">
      <c r="A140" t="s">
        <v>1</v>
      </c>
      <c r="B140">
        <v>2004</v>
      </c>
      <c r="C140" s="12">
        <v>2004.0833333333701</v>
      </c>
      <c r="D140">
        <v>191.3</v>
      </c>
      <c r="E140" s="9">
        <v>38018</v>
      </c>
      <c r="F140">
        <v>220.1</v>
      </c>
      <c r="J140" s="12"/>
      <c r="K140" s="15"/>
      <c r="N140" s="12">
        <f>STANDARDIZE(D140,K$11,L$11)</f>
        <v>-0.59044829558353018</v>
      </c>
    </row>
    <row r="141" spans="1:14" x14ac:dyDescent="0.3">
      <c r="A141" t="s">
        <v>0</v>
      </c>
      <c r="B141">
        <v>2004</v>
      </c>
      <c r="C141" s="12">
        <v>2004.00000000004</v>
      </c>
      <c r="D141">
        <v>470.7</v>
      </c>
      <c r="E141" s="8">
        <v>37987</v>
      </c>
      <c r="F141">
        <v>474.6</v>
      </c>
      <c r="J141" s="12"/>
      <c r="K141" s="15"/>
      <c r="N141" s="12">
        <f>STANDARDIZE(D141,K$10,L$10)</f>
        <v>-0.19455028930821167</v>
      </c>
    </row>
    <row r="142" spans="1:14" x14ac:dyDescent="0.3">
      <c r="A142" t="s">
        <v>11</v>
      </c>
      <c r="B142">
        <v>2003</v>
      </c>
      <c r="C142" s="12">
        <v>2003.9166666666999</v>
      </c>
      <c r="D142">
        <v>817.7</v>
      </c>
      <c r="E142" s="9">
        <v>37956</v>
      </c>
      <c r="F142">
        <v>566.4</v>
      </c>
      <c r="J142" s="12"/>
      <c r="K142" s="15"/>
      <c r="N142" s="12">
        <f>STANDARDIZE(D142,K$21,L$21)</f>
        <v>0.40651188294563362</v>
      </c>
    </row>
    <row r="143" spans="1:14" x14ac:dyDescent="0.3">
      <c r="A143" t="s">
        <v>10</v>
      </c>
      <c r="B143">
        <v>2003</v>
      </c>
      <c r="C143" s="12">
        <v>2003.8333333333701</v>
      </c>
      <c r="D143">
        <v>710.9</v>
      </c>
      <c r="E143" s="8">
        <v>37926</v>
      </c>
      <c r="F143">
        <v>518</v>
      </c>
      <c r="J143" s="12"/>
      <c r="K143" s="15"/>
      <c r="N143" s="12">
        <f>STANDARDIZE(D143,K$20,L$20)</f>
        <v>0.27203342284252402</v>
      </c>
    </row>
    <row r="144" spans="1:14" x14ac:dyDescent="0.3">
      <c r="A144" t="s">
        <v>9</v>
      </c>
      <c r="B144">
        <v>2003</v>
      </c>
      <c r="C144" s="12">
        <v>2003.75000000004</v>
      </c>
      <c r="D144">
        <v>650.20000000000005</v>
      </c>
      <c r="E144" s="9">
        <v>37895</v>
      </c>
      <c r="F144">
        <v>467.7</v>
      </c>
      <c r="J144" s="12"/>
      <c r="K144" s="15"/>
      <c r="N144" s="12">
        <f>STANDARDIZE(D144,K$19,L$19)</f>
        <v>0.3242242731003937</v>
      </c>
    </row>
    <row r="145" spans="1:14" x14ac:dyDescent="0.3">
      <c r="A145" t="s">
        <v>8</v>
      </c>
      <c r="B145">
        <v>2003</v>
      </c>
      <c r="C145" s="12">
        <v>2003.6666666666999</v>
      </c>
      <c r="D145">
        <v>522.6</v>
      </c>
      <c r="E145" s="8">
        <v>37865</v>
      </c>
      <c r="F145">
        <v>400.8</v>
      </c>
      <c r="J145" s="12"/>
      <c r="K145" s="15"/>
      <c r="N145" s="12">
        <f>STANDARDIZE(D145,K$18,L$18)</f>
        <v>-2.1457850889847915E-2</v>
      </c>
    </row>
    <row r="146" spans="1:14" x14ac:dyDescent="0.3">
      <c r="A146" t="s">
        <v>7</v>
      </c>
      <c r="B146">
        <v>2003</v>
      </c>
      <c r="C146" s="12">
        <v>2003.5833333333701</v>
      </c>
      <c r="D146">
        <v>609.70000000000005</v>
      </c>
      <c r="E146" s="9">
        <v>37834</v>
      </c>
      <c r="F146">
        <v>443.4</v>
      </c>
      <c r="J146" s="12"/>
      <c r="K146" s="15"/>
      <c r="N146" s="12">
        <f>STANDARDIZE(D146,K$17,L$17)</f>
        <v>0.29746298820260664</v>
      </c>
    </row>
    <row r="147" spans="1:14" x14ac:dyDescent="0.3">
      <c r="A147" t="s">
        <v>6</v>
      </c>
      <c r="B147">
        <v>2003</v>
      </c>
      <c r="C147" s="12">
        <v>2003.50000000004</v>
      </c>
      <c r="D147">
        <v>619.5</v>
      </c>
      <c r="E147" s="8">
        <v>37803</v>
      </c>
      <c r="F147">
        <v>449.4</v>
      </c>
      <c r="J147" s="12"/>
      <c r="K147" s="15"/>
      <c r="N147" s="12">
        <f>STANDARDIZE(D147,K$16,L$16)</f>
        <v>0.24937455807567541</v>
      </c>
    </row>
    <row r="148" spans="1:14" x14ac:dyDescent="0.3">
      <c r="A148" t="s">
        <v>5</v>
      </c>
      <c r="B148">
        <v>2003</v>
      </c>
      <c r="C148" s="12">
        <v>2003.4166666666999</v>
      </c>
      <c r="D148">
        <v>509.9</v>
      </c>
      <c r="E148" s="9">
        <v>37773</v>
      </c>
      <c r="F148">
        <v>392.4</v>
      </c>
      <c r="J148" s="12"/>
      <c r="K148" s="15"/>
      <c r="N148" s="12">
        <f>STANDARDIZE(D148,K$15,L$15)</f>
        <v>-7.9607697351476159E-2</v>
      </c>
    </row>
    <row r="149" spans="1:14" x14ac:dyDescent="0.3">
      <c r="A149" t="s">
        <v>4</v>
      </c>
      <c r="B149">
        <v>2003</v>
      </c>
      <c r="C149" s="12">
        <v>2003.3333333333701</v>
      </c>
      <c r="D149">
        <v>419.2</v>
      </c>
      <c r="E149" s="8">
        <v>37742</v>
      </c>
      <c r="F149">
        <v>324.39999999999998</v>
      </c>
      <c r="J149" s="12"/>
      <c r="K149" s="15"/>
      <c r="N149" s="12">
        <f>STANDARDIZE(D149,K$14,L$14)</f>
        <v>-0.14656207935534604</v>
      </c>
    </row>
    <row r="150" spans="1:14" x14ac:dyDescent="0.3">
      <c r="A150" t="s">
        <v>3</v>
      </c>
      <c r="B150">
        <v>2003</v>
      </c>
      <c r="C150" s="12">
        <v>2003.25000000004</v>
      </c>
      <c r="E150" s="9">
        <v>37712</v>
      </c>
      <c r="F150" s="1"/>
      <c r="J150" s="12"/>
      <c r="K150" s="15"/>
      <c r="N150" s="12"/>
    </row>
    <row r="151" spans="1:14" x14ac:dyDescent="0.3">
      <c r="A151" t="s">
        <v>2</v>
      </c>
      <c r="B151">
        <v>2003</v>
      </c>
      <c r="C151" s="12">
        <v>2003.1666666666999</v>
      </c>
      <c r="D151">
        <v>196.7</v>
      </c>
      <c r="E151" s="8">
        <v>37681</v>
      </c>
      <c r="F151">
        <v>173</v>
      </c>
      <c r="J151" s="12"/>
      <c r="K151" s="15"/>
      <c r="N151" s="12">
        <f>STANDARDIZE(D151,K$12,L$12)</f>
        <v>-0.47242716759795617</v>
      </c>
    </row>
    <row r="152" spans="1:14" x14ac:dyDescent="0.3">
      <c r="A152" t="s">
        <v>1</v>
      </c>
      <c r="B152">
        <v>2003</v>
      </c>
      <c r="C152" s="12">
        <v>2003.0833333333701</v>
      </c>
      <c r="D152">
        <v>181.2</v>
      </c>
      <c r="E152" s="9">
        <v>37653</v>
      </c>
      <c r="F152">
        <v>175.8</v>
      </c>
      <c r="J152" s="12"/>
      <c r="K152" s="15"/>
      <c r="N152" s="12">
        <f>STANDARDIZE(D152,K$11,L$11)</f>
        <v>-0.64858913843961064</v>
      </c>
    </row>
    <row r="153" spans="1:14" x14ac:dyDescent="0.3">
      <c r="A153" t="s">
        <v>0</v>
      </c>
      <c r="B153">
        <v>2003</v>
      </c>
      <c r="C153" s="12">
        <v>2003.00000000003</v>
      </c>
      <c r="D153">
        <v>299.5</v>
      </c>
      <c r="E153" s="8">
        <v>37622</v>
      </c>
      <c r="F153">
        <v>243.8</v>
      </c>
      <c r="J153" s="12"/>
      <c r="K153" s="15"/>
      <c r="N153" s="12">
        <f>STANDARDIZE(D153,K$10,L$10)</f>
        <v>-0.82272104740983099</v>
      </c>
    </row>
    <row r="154" spans="1:14" x14ac:dyDescent="0.3">
      <c r="A154" t="s">
        <v>11</v>
      </c>
      <c r="B154">
        <v>2002</v>
      </c>
      <c r="C154" s="12">
        <v>2002.9166666666999</v>
      </c>
      <c r="D154">
        <v>530.5</v>
      </c>
      <c r="E154" s="9">
        <v>37591</v>
      </c>
      <c r="F154">
        <v>394.7</v>
      </c>
      <c r="J154" s="12"/>
      <c r="K154" s="15"/>
      <c r="N154" s="12">
        <f>STANDARDIZE(D154,K$21,L$21)</f>
        <v>-0.52668795870557605</v>
      </c>
    </row>
    <row r="155" spans="1:14" x14ac:dyDescent="0.3">
      <c r="A155" t="s">
        <v>10</v>
      </c>
      <c r="B155">
        <v>2002</v>
      </c>
      <c r="C155" s="12">
        <v>2002.8333333333701</v>
      </c>
      <c r="D155">
        <v>625.6</v>
      </c>
      <c r="E155" s="8">
        <v>37561</v>
      </c>
      <c r="F155">
        <v>465.5</v>
      </c>
      <c r="J155" s="12"/>
      <c r="K155" s="15"/>
      <c r="N155" s="12">
        <f>STANDARDIZE(D155,K$20,L$20)</f>
        <v>-3.4171584100656918E-2</v>
      </c>
    </row>
    <row r="156" spans="1:14" x14ac:dyDescent="0.3">
      <c r="A156" t="s">
        <v>9</v>
      </c>
      <c r="B156">
        <v>2002</v>
      </c>
      <c r="C156" s="12">
        <v>2002.75000000003</v>
      </c>
      <c r="D156">
        <v>528.29999999999995</v>
      </c>
      <c r="E156" s="9">
        <v>37530</v>
      </c>
      <c r="F156">
        <v>393.5</v>
      </c>
      <c r="J156" s="12"/>
      <c r="K156" s="15"/>
      <c r="N156" s="12">
        <f>STANDARDIZE(D156,K$19,L$19)</f>
        <v>-0.18922735263442941</v>
      </c>
    </row>
    <row r="157" spans="1:14" x14ac:dyDescent="0.3">
      <c r="A157" t="s">
        <v>8</v>
      </c>
      <c r="B157">
        <v>2002</v>
      </c>
      <c r="C157" s="12">
        <v>2002.6666666666999</v>
      </c>
      <c r="D157">
        <v>442.7</v>
      </c>
      <c r="E157" s="8">
        <v>37500</v>
      </c>
      <c r="F157">
        <v>349</v>
      </c>
      <c r="J157" s="12"/>
      <c r="K157" s="15"/>
      <c r="N157" s="12">
        <f>STANDARDIZE(D157,K$18,L$18)</f>
        <v>-0.34494507468208635</v>
      </c>
    </row>
    <row r="158" spans="1:14" x14ac:dyDescent="0.3">
      <c r="A158" t="s">
        <v>7</v>
      </c>
      <c r="B158">
        <v>2002</v>
      </c>
      <c r="C158" s="12">
        <v>2002.5833333333701</v>
      </c>
      <c r="D158">
        <v>442.9</v>
      </c>
      <c r="E158" s="9">
        <v>37469</v>
      </c>
      <c r="F158">
        <v>339.4</v>
      </c>
      <c r="J158" s="12"/>
      <c r="K158" s="15"/>
      <c r="N158" s="12">
        <f>STANDARDIZE(D158,K$17,L$17)</f>
        <v>-0.35282307250767958</v>
      </c>
    </row>
    <row r="159" spans="1:14" x14ac:dyDescent="0.3">
      <c r="A159" t="s">
        <v>6</v>
      </c>
      <c r="B159">
        <v>2002</v>
      </c>
      <c r="C159" s="12">
        <v>2002.50000000003</v>
      </c>
      <c r="D159">
        <v>592</v>
      </c>
      <c r="E159" s="8">
        <v>37438</v>
      </c>
      <c r="F159">
        <v>432.6</v>
      </c>
      <c r="J159" s="12"/>
      <c r="K159" s="15"/>
      <c r="N159" s="12">
        <f>STANDARDIZE(D159,K$16,L$16)</f>
        <v>0.14018012548069653</v>
      </c>
    </row>
    <row r="160" spans="1:14" x14ac:dyDescent="0.3">
      <c r="A160" t="s">
        <v>5</v>
      </c>
      <c r="B160">
        <v>2002</v>
      </c>
      <c r="C160" s="12">
        <v>2002.4166666666999</v>
      </c>
      <c r="D160">
        <v>592.6</v>
      </c>
      <c r="E160" s="9">
        <v>37408</v>
      </c>
      <c r="F160">
        <v>445</v>
      </c>
      <c r="J160" s="12"/>
      <c r="K160" s="15"/>
      <c r="N160" s="12">
        <f>STANDARDIZE(D160,K$15,L$15)</f>
        <v>0.28731026440624496</v>
      </c>
    </row>
    <row r="161" spans="1:14" x14ac:dyDescent="0.3">
      <c r="A161" t="s">
        <v>4</v>
      </c>
      <c r="B161">
        <v>2002</v>
      </c>
      <c r="C161" s="12">
        <v>2002.3333333333701</v>
      </c>
      <c r="D161">
        <v>540.20000000000005</v>
      </c>
      <c r="E161" s="8">
        <v>37377</v>
      </c>
      <c r="F161">
        <v>400.9</v>
      </c>
      <c r="J161" s="12"/>
      <c r="K161" s="15"/>
      <c r="N161" s="12">
        <f>STANDARDIZE(D161,K$14,L$14)</f>
        <v>0.44839637362322354</v>
      </c>
    </row>
    <row r="162" spans="1:14" x14ac:dyDescent="0.3">
      <c r="A162" t="s">
        <v>3</v>
      </c>
      <c r="B162">
        <v>2002</v>
      </c>
      <c r="C162" s="12">
        <v>2002.25000000003</v>
      </c>
      <c r="D162">
        <v>370.2</v>
      </c>
      <c r="E162" s="9">
        <v>37347</v>
      </c>
      <c r="F162">
        <v>300.2</v>
      </c>
      <c r="J162" s="12"/>
      <c r="K162" s="15"/>
      <c r="N162" s="12">
        <f>STANDARDIZE(D162,K$13,L$13)</f>
        <v>0.44178558722615963</v>
      </c>
    </row>
    <row r="163" spans="1:14" x14ac:dyDescent="0.3">
      <c r="A163" t="s">
        <v>2</v>
      </c>
      <c r="B163">
        <v>2002</v>
      </c>
      <c r="C163" s="12">
        <v>2002.1666666666999</v>
      </c>
      <c r="D163">
        <v>237.8</v>
      </c>
      <c r="E163" s="8">
        <v>37316</v>
      </c>
      <c r="F163">
        <v>202.3</v>
      </c>
      <c r="J163" s="12"/>
      <c r="K163" s="15"/>
      <c r="N163" s="12">
        <f>STANDARDIZE(D163,K$12,L$12)</f>
        <v>-0.18364649783732348</v>
      </c>
    </row>
    <row r="164" spans="1:14" x14ac:dyDescent="0.3">
      <c r="A164" t="s">
        <v>1</v>
      </c>
      <c r="B164">
        <v>2002</v>
      </c>
      <c r="C164" s="12">
        <v>2002.0833333333701</v>
      </c>
      <c r="D164">
        <v>240.9</v>
      </c>
      <c r="E164" s="9">
        <v>37288</v>
      </c>
      <c r="F164">
        <v>222.4</v>
      </c>
      <c r="J164" s="12"/>
      <c r="K164" s="15"/>
      <c r="N164" s="12">
        <f>STANDARDIZE(D164,K$11,L$11)</f>
        <v>-0.30492494848832402</v>
      </c>
    </row>
    <row r="165" spans="1:14" x14ac:dyDescent="0.3">
      <c r="A165" t="s">
        <v>0</v>
      </c>
      <c r="B165">
        <v>2002</v>
      </c>
      <c r="C165" s="12">
        <v>2002.00000000003</v>
      </c>
      <c r="D165">
        <v>528.70000000000005</v>
      </c>
      <c r="E165" s="8">
        <v>37257</v>
      </c>
      <c r="F165">
        <v>393.2</v>
      </c>
      <c r="J165" s="12"/>
      <c r="K165" s="15"/>
      <c r="N165" s="12">
        <f>STANDARDIZE(D165,K$10,L$10)</f>
        <v>1.8264570329019399E-2</v>
      </c>
    </row>
    <row r="166" spans="1:14" x14ac:dyDescent="0.3">
      <c r="A166" t="s">
        <v>11</v>
      </c>
      <c r="B166">
        <v>2001</v>
      </c>
      <c r="C166" s="12">
        <v>2001.9166666666999</v>
      </c>
      <c r="D166">
        <v>592.4</v>
      </c>
      <c r="E166" s="9">
        <v>37226</v>
      </c>
      <c r="F166">
        <v>432</v>
      </c>
      <c r="J166" s="12"/>
      <c r="K166" s="15"/>
      <c r="N166" s="12">
        <f>STANDARDIZE(D166,K$21,L$21)</f>
        <v>-0.32555609868395402</v>
      </c>
    </row>
    <row r="167" spans="1:14" x14ac:dyDescent="0.3">
      <c r="A167" t="s">
        <v>10</v>
      </c>
      <c r="B167">
        <v>2001</v>
      </c>
      <c r="C167" s="12">
        <v>2001.8333333333701</v>
      </c>
      <c r="D167">
        <v>509.5</v>
      </c>
      <c r="E167" s="8">
        <v>37196</v>
      </c>
      <c r="F167">
        <v>390.3</v>
      </c>
      <c r="J167" s="12"/>
      <c r="K167" s="15"/>
      <c r="N167" s="12">
        <f>STANDARDIZE(D167,K$20,L$20)</f>
        <v>-0.45094064982285309</v>
      </c>
    </row>
    <row r="168" spans="1:14" x14ac:dyDescent="0.3">
      <c r="A168" t="s">
        <v>9</v>
      </c>
      <c r="B168">
        <v>2001</v>
      </c>
      <c r="C168" s="12">
        <v>2001.75000000003</v>
      </c>
      <c r="D168">
        <v>433.7</v>
      </c>
      <c r="E168" s="9">
        <v>37165</v>
      </c>
      <c r="F168">
        <v>330.4</v>
      </c>
      <c r="J168" s="12"/>
      <c r="K168" s="15"/>
      <c r="N168" s="12">
        <f>STANDARDIZE(D168,K$19,L$19)</f>
        <v>-0.58768940181009977</v>
      </c>
    </row>
    <row r="169" spans="1:14" x14ac:dyDescent="0.3">
      <c r="A169" t="s">
        <v>8</v>
      </c>
      <c r="B169">
        <v>2001</v>
      </c>
      <c r="C169" s="12">
        <v>2001.6666666666999</v>
      </c>
      <c r="D169">
        <v>337.7</v>
      </c>
      <c r="E169" s="8">
        <v>37135</v>
      </c>
      <c r="F169">
        <v>274.10000000000002</v>
      </c>
      <c r="J169" s="12"/>
      <c r="K169" s="15"/>
      <c r="N169" s="12">
        <f>STANDARDIZE(D169,K$18,L$18)</f>
        <v>-0.77005344136775622</v>
      </c>
    </row>
    <row r="170" spans="1:14" x14ac:dyDescent="0.3">
      <c r="A170" t="s">
        <v>7</v>
      </c>
      <c r="B170">
        <v>2001</v>
      </c>
      <c r="C170" s="12">
        <v>2001.5833333333701</v>
      </c>
      <c r="D170">
        <v>328.9</v>
      </c>
      <c r="E170" s="9">
        <v>37104</v>
      </c>
      <c r="F170">
        <v>260.3</v>
      </c>
      <c r="J170" s="12"/>
      <c r="K170" s="15"/>
      <c r="N170" s="12">
        <f>STANDARDIZE(D170,K$17,L$17)</f>
        <v>-0.79726318594276713</v>
      </c>
    </row>
    <row r="171" spans="1:14" x14ac:dyDescent="0.3">
      <c r="A171" t="s">
        <v>6</v>
      </c>
      <c r="B171">
        <v>2001</v>
      </c>
      <c r="C171" s="12">
        <v>2001.50000000003</v>
      </c>
      <c r="D171">
        <v>374</v>
      </c>
      <c r="E171" s="8">
        <v>37073</v>
      </c>
      <c r="F171">
        <v>291.10000000000002</v>
      </c>
      <c r="J171" s="12"/>
      <c r="K171" s="15"/>
      <c r="N171" s="12">
        <f>STANDARDIZE(D171,K$16,L$16)</f>
        <v>-0.72543392199949963</v>
      </c>
    </row>
    <row r="172" spans="1:14" x14ac:dyDescent="0.3">
      <c r="A172" t="s">
        <v>5</v>
      </c>
      <c r="B172">
        <v>2001</v>
      </c>
      <c r="C172" s="12">
        <v>2001.4166666666999</v>
      </c>
      <c r="D172">
        <v>392.4</v>
      </c>
      <c r="E172" s="9">
        <v>37043</v>
      </c>
      <c r="F172">
        <v>312</v>
      </c>
      <c r="J172" s="12"/>
      <c r="K172" s="15"/>
      <c r="N172" s="12">
        <f>STANDARDIZE(D172,K$15,L$15)</f>
        <v>-0.60092402753929008</v>
      </c>
    </row>
    <row r="173" spans="1:14" x14ac:dyDescent="0.3">
      <c r="A173" t="s">
        <v>4</v>
      </c>
      <c r="B173">
        <v>2001</v>
      </c>
      <c r="C173" s="12">
        <v>2001.3333333333601</v>
      </c>
      <c r="D173">
        <v>274.89999999999998</v>
      </c>
      <c r="E173" s="8">
        <v>37012</v>
      </c>
      <c r="F173">
        <v>223</v>
      </c>
      <c r="J173" s="12"/>
      <c r="K173" s="15"/>
      <c r="N173" s="12">
        <f>STANDARDIZE(D173,K$14,L$14)</f>
        <v>-0.85608691212235066</v>
      </c>
    </row>
    <row r="174" spans="1:14" x14ac:dyDescent="0.3">
      <c r="A174" t="s">
        <v>3</v>
      </c>
      <c r="B174">
        <v>2001</v>
      </c>
      <c r="C174" s="12">
        <v>2001.25000000003</v>
      </c>
      <c r="D174">
        <v>211.9</v>
      </c>
      <c r="E174" s="9">
        <v>36982</v>
      </c>
      <c r="F174">
        <v>183.9</v>
      </c>
      <c r="J174" s="12"/>
      <c r="K174" s="15"/>
      <c r="N174" s="12">
        <f>STANDARDIZE(D174,K$13,L$13)</f>
        <v>-0.56758832540725412</v>
      </c>
    </row>
    <row r="175" spans="1:14" x14ac:dyDescent="0.3">
      <c r="A175" t="s">
        <v>2</v>
      </c>
      <c r="B175">
        <v>2001</v>
      </c>
      <c r="C175" s="12">
        <v>2001.1666666666999</v>
      </c>
      <c r="D175">
        <v>217.4</v>
      </c>
      <c r="E175" s="8">
        <v>36951</v>
      </c>
      <c r="F175">
        <v>182.7</v>
      </c>
      <c r="J175" s="12"/>
      <c r="K175" s="15"/>
      <c r="N175" s="12">
        <f>STANDARDIZE(D175,K$12,L$12)</f>
        <v>-0.32698288866741848</v>
      </c>
    </row>
    <row r="176" spans="1:14" x14ac:dyDescent="0.3">
      <c r="A176" t="s">
        <v>1</v>
      </c>
      <c r="B176">
        <v>2001</v>
      </c>
      <c r="C176" s="12">
        <v>2001.0833333333601</v>
      </c>
      <c r="D176">
        <v>202.6</v>
      </c>
      <c r="E176" s="9">
        <v>36923</v>
      </c>
      <c r="F176">
        <v>187.5</v>
      </c>
      <c r="J176" s="12"/>
      <c r="K176" s="15"/>
      <c r="N176" s="12">
        <f>STANDARDIZE(D176,K$11,L$11)</f>
        <v>-0.52539962981385635</v>
      </c>
    </row>
    <row r="177" spans="1:14" x14ac:dyDescent="0.3">
      <c r="A177" t="s">
        <v>0</v>
      </c>
      <c r="B177">
        <v>2001</v>
      </c>
      <c r="C177" s="12">
        <v>2001.00000000003</v>
      </c>
      <c r="D177">
        <v>466.7</v>
      </c>
      <c r="E177" s="8">
        <v>36892</v>
      </c>
      <c r="F177">
        <v>350.9</v>
      </c>
      <c r="J177" s="12"/>
      <c r="K177" s="15"/>
      <c r="N177" s="12">
        <f>STANDARDIZE(D177,K$10,L$10)</f>
        <v>-0.20922717617974482</v>
      </c>
    </row>
    <row r="178" spans="1:14" x14ac:dyDescent="0.3">
      <c r="A178" t="s">
        <v>11</v>
      </c>
      <c r="B178">
        <v>2000</v>
      </c>
      <c r="C178" s="12">
        <v>2000.9166666666999</v>
      </c>
      <c r="D178">
        <v>802</v>
      </c>
      <c r="E178" s="9">
        <v>36861</v>
      </c>
      <c r="F178">
        <v>559.9</v>
      </c>
      <c r="J178" s="12"/>
      <c r="K178" s="15"/>
      <c r="N178" s="12">
        <f>STANDARDIZE(D178,K$21,L$21)</f>
        <v>0.3554978247495193</v>
      </c>
    </row>
    <row r="179" spans="1:14" x14ac:dyDescent="0.3">
      <c r="A179" t="s">
        <v>10</v>
      </c>
      <c r="B179">
        <v>2000</v>
      </c>
      <c r="C179" s="12">
        <v>2000.8333333333601</v>
      </c>
      <c r="D179">
        <v>827.2</v>
      </c>
      <c r="E179" s="8">
        <v>36831</v>
      </c>
      <c r="F179">
        <v>591.5</v>
      </c>
      <c r="J179" s="12"/>
      <c r="K179" s="15"/>
      <c r="N179" s="12">
        <f>STANDARDIZE(D179,K$20,L$20)</f>
        <v>0.68952043699835042</v>
      </c>
    </row>
    <row r="180" spans="1:14" x14ac:dyDescent="0.3">
      <c r="A180" t="s">
        <v>9</v>
      </c>
      <c r="B180">
        <v>2000</v>
      </c>
      <c r="C180" s="12">
        <v>2000.75000000003</v>
      </c>
      <c r="D180">
        <v>821.9</v>
      </c>
      <c r="E180" s="9">
        <v>36800</v>
      </c>
      <c r="F180">
        <v>571.9</v>
      </c>
      <c r="J180" s="12"/>
      <c r="K180" s="15"/>
      <c r="N180" s="12">
        <f>STANDARDIZE(D180,K$19,L$19)</f>
        <v>1.0474371044266368</v>
      </c>
    </row>
    <row r="181" spans="1:14" x14ac:dyDescent="0.3">
      <c r="A181" t="s">
        <v>8</v>
      </c>
      <c r="B181">
        <v>2000</v>
      </c>
      <c r="C181" s="12">
        <v>2000.6666666666999</v>
      </c>
      <c r="D181">
        <v>721.2</v>
      </c>
      <c r="E181" s="8">
        <v>36770</v>
      </c>
      <c r="F181">
        <v>525.9</v>
      </c>
      <c r="J181" s="12"/>
      <c r="K181" s="15"/>
      <c r="N181" s="12">
        <f>STANDARDIZE(D181,K$18,L$18)</f>
        <v>0.78260425981276205</v>
      </c>
    </row>
    <row r="182" spans="1:14" x14ac:dyDescent="0.3">
      <c r="A182" t="s">
        <v>7</v>
      </c>
      <c r="B182">
        <v>2000</v>
      </c>
      <c r="C182" s="12">
        <v>2000.5833333333601</v>
      </c>
      <c r="D182">
        <v>798.9</v>
      </c>
      <c r="E182" s="9">
        <v>36739</v>
      </c>
      <c r="F182">
        <v>558.29999999999995</v>
      </c>
      <c r="J182" s="12"/>
      <c r="K182" s="15"/>
      <c r="N182" s="12">
        <f>STANDARDIZE(D182,K$17,L$17)</f>
        <v>1.0350776326054008</v>
      </c>
    </row>
    <row r="183" spans="1:14" x14ac:dyDescent="0.3">
      <c r="A183" t="s">
        <v>6</v>
      </c>
      <c r="B183">
        <v>2000</v>
      </c>
      <c r="C183" s="12">
        <v>2000.50000000003</v>
      </c>
      <c r="D183">
        <v>823.9</v>
      </c>
      <c r="E183" s="8">
        <v>36708</v>
      </c>
      <c r="F183">
        <v>573.20000000000005</v>
      </c>
      <c r="J183" s="12"/>
      <c r="K183" s="15"/>
      <c r="N183" s="12">
        <f>STANDARDIZE(D183,K$16,L$16)</f>
        <v>1.0609869952543547</v>
      </c>
    </row>
    <row r="184" spans="1:14" x14ac:dyDescent="0.3">
      <c r="A184" t="s">
        <v>5</v>
      </c>
      <c r="B184">
        <v>2000</v>
      </c>
      <c r="C184" s="12">
        <v>2000.4166666666999</v>
      </c>
      <c r="D184">
        <v>701.2</v>
      </c>
      <c r="E184" s="9">
        <v>36678</v>
      </c>
      <c r="F184">
        <v>513.29999999999995</v>
      </c>
      <c r="J184" s="12"/>
      <c r="K184" s="15"/>
      <c r="N184" s="12">
        <f>STANDARDIZE(D184,K$15,L$15)</f>
        <v>0.76913965554153518</v>
      </c>
    </row>
    <row r="185" spans="1:14" x14ac:dyDescent="0.3">
      <c r="A185" t="s">
        <v>4</v>
      </c>
      <c r="B185">
        <v>2000</v>
      </c>
      <c r="C185" s="12">
        <v>2000.3333333333601</v>
      </c>
      <c r="D185">
        <v>575.1</v>
      </c>
      <c r="E185" s="8">
        <v>36647</v>
      </c>
      <c r="F185">
        <v>421</v>
      </c>
      <c r="J185" s="12"/>
      <c r="K185" s="15"/>
      <c r="N185" s="12">
        <f>STANDARDIZE(D185,K$14,L$14)</f>
        <v>0.62000009270547196</v>
      </c>
    </row>
    <row r="186" spans="1:14" x14ac:dyDescent="0.3">
      <c r="A186" t="s">
        <v>3</v>
      </c>
      <c r="B186">
        <v>2000</v>
      </c>
      <c r="C186" s="12">
        <v>2000.25000000003</v>
      </c>
      <c r="D186">
        <v>466.2</v>
      </c>
      <c r="E186" s="9">
        <v>36617</v>
      </c>
      <c r="F186">
        <v>361.7</v>
      </c>
      <c r="J186" s="12"/>
      <c r="K186" s="15"/>
      <c r="N186" s="12">
        <f>STANDARDIZE(D186,K$13,L$13)</f>
        <v>1.0539137970354315</v>
      </c>
    </row>
    <row r="187" spans="1:14" x14ac:dyDescent="0.3">
      <c r="A187" t="s">
        <v>2</v>
      </c>
      <c r="B187">
        <v>2000</v>
      </c>
      <c r="C187" s="12">
        <v>2000.1666666666999</v>
      </c>
      <c r="D187">
        <v>534.79999999999995</v>
      </c>
      <c r="E187" s="8">
        <v>36586</v>
      </c>
      <c r="F187">
        <v>395.6</v>
      </c>
      <c r="J187" s="12"/>
      <c r="K187" s="15"/>
      <c r="N187" s="12">
        <f>STANDARDIZE(D187,K$12,L$12)</f>
        <v>1.9031627216008233</v>
      </c>
    </row>
    <row r="188" spans="1:14" x14ac:dyDescent="0.3">
      <c r="A188" t="s">
        <v>1</v>
      </c>
      <c r="B188">
        <v>2000</v>
      </c>
      <c r="C188" s="12">
        <v>2000.0833333333601</v>
      </c>
      <c r="D188">
        <v>622.6</v>
      </c>
      <c r="E188" s="9">
        <v>36557</v>
      </c>
      <c r="F188">
        <v>477</v>
      </c>
      <c r="J188" s="12"/>
      <c r="K188" s="15"/>
      <c r="N188" s="12">
        <f>STANDARDIZE(D188,K$11,L$11)</f>
        <v>1.8923383899439383</v>
      </c>
    </row>
    <row r="189" spans="1:14" x14ac:dyDescent="0.3">
      <c r="A189" t="s">
        <v>0</v>
      </c>
      <c r="B189">
        <v>2000</v>
      </c>
      <c r="C189" s="12">
        <v>2000.00000000003</v>
      </c>
      <c r="D189">
        <v>855.5</v>
      </c>
      <c r="E189" s="8">
        <v>36526</v>
      </c>
      <c r="F189">
        <v>592</v>
      </c>
      <c r="J189" s="12"/>
      <c r="K189" s="15"/>
      <c r="N189" s="12">
        <f>STANDARDIZE(D189,K$10,L$10)</f>
        <v>1.2173662277332786</v>
      </c>
    </row>
    <row r="190" spans="1:14" x14ac:dyDescent="0.3">
      <c r="A190" t="s">
        <v>11</v>
      </c>
      <c r="B190">
        <v>1999</v>
      </c>
      <c r="C190" s="12">
        <v>1999.9166666666999</v>
      </c>
      <c r="E190" s="9">
        <v>36495</v>
      </c>
      <c r="F190">
        <v>628.70000000000005</v>
      </c>
      <c r="J190" s="12"/>
      <c r="K190" s="15"/>
      <c r="N190" s="12"/>
    </row>
    <row r="191" spans="1:14" x14ac:dyDescent="0.3">
      <c r="A191" t="s">
        <v>10</v>
      </c>
      <c r="B191">
        <v>1999</v>
      </c>
      <c r="C191" s="12">
        <v>1999.8333333333601</v>
      </c>
      <c r="E191" s="8">
        <v>36465</v>
      </c>
      <c r="F191">
        <v>620.9</v>
      </c>
      <c r="J191" s="12"/>
      <c r="K191" s="15"/>
      <c r="N191" s="12"/>
    </row>
    <row r="192" spans="1:14" x14ac:dyDescent="0.3">
      <c r="A192" t="s">
        <v>9</v>
      </c>
      <c r="B192">
        <v>1999</v>
      </c>
      <c r="C192" s="12">
        <v>1999.75000000003</v>
      </c>
      <c r="E192" s="9">
        <v>36434</v>
      </c>
      <c r="F192">
        <v>572.79999999999995</v>
      </c>
      <c r="J192" s="12"/>
      <c r="K192" s="15"/>
      <c r="N192" s="12"/>
    </row>
    <row r="193" spans="1:14" x14ac:dyDescent="0.3">
      <c r="A193" t="s">
        <v>8</v>
      </c>
      <c r="B193">
        <v>1999</v>
      </c>
      <c r="C193" s="12">
        <v>1999.6666666666999</v>
      </c>
      <c r="E193" s="8">
        <v>36404</v>
      </c>
      <c r="F193">
        <v>552.9</v>
      </c>
      <c r="J193" s="12"/>
      <c r="K193" s="15"/>
      <c r="N193" s="12"/>
    </row>
    <row r="194" spans="1:14" x14ac:dyDescent="0.3">
      <c r="A194" t="s">
        <v>7</v>
      </c>
      <c r="B194">
        <v>1999</v>
      </c>
      <c r="C194" s="12">
        <v>1999.5833333333601</v>
      </c>
      <c r="E194" s="9">
        <v>36373</v>
      </c>
      <c r="F194">
        <v>548.9</v>
      </c>
      <c r="J194" s="12"/>
      <c r="K194" s="15"/>
      <c r="N194" s="12"/>
    </row>
    <row r="195" spans="1:14" x14ac:dyDescent="0.3">
      <c r="A195" t="s">
        <v>6</v>
      </c>
      <c r="B195">
        <v>1999</v>
      </c>
      <c r="C195" s="12">
        <v>1999.50000000003</v>
      </c>
      <c r="E195" s="8">
        <v>36342</v>
      </c>
      <c r="F195">
        <v>548.6</v>
      </c>
      <c r="J195" s="12"/>
      <c r="K195" s="15"/>
      <c r="N195" s="12"/>
    </row>
    <row r="196" spans="1:14" x14ac:dyDescent="0.3">
      <c r="A196" t="s">
        <v>5</v>
      </c>
      <c r="B196">
        <v>1999</v>
      </c>
      <c r="C196" s="12">
        <v>1999.4166666666899</v>
      </c>
      <c r="E196" s="9">
        <v>36312</v>
      </c>
      <c r="F196">
        <v>533.29999999999995</v>
      </c>
      <c r="J196" s="12"/>
      <c r="K196" s="15"/>
      <c r="N196" s="12"/>
    </row>
    <row r="197" spans="1:14" x14ac:dyDescent="0.3">
      <c r="A197" t="s">
        <v>4</v>
      </c>
      <c r="B197">
        <v>1999</v>
      </c>
      <c r="C197" s="12">
        <v>1999.3333333333601</v>
      </c>
      <c r="E197" s="8">
        <v>36281</v>
      </c>
      <c r="F197">
        <v>513.1</v>
      </c>
      <c r="J197" s="12"/>
      <c r="K197" s="15"/>
      <c r="N197" s="12"/>
    </row>
    <row r="198" spans="1:14" x14ac:dyDescent="0.3">
      <c r="A198" t="s">
        <v>3</v>
      </c>
      <c r="B198">
        <v>1999</v>
      </c>
      <c r="C198" s="12">
        <v>1999.25000000003</v>
      </c>
      <c r="E198" s="9">
        <v>36251</v>
      </c>
      <c r="F198">
        <v>471.8</v>
      </c>
      <c r="J198" s="12"/>
      <c r="K198" s="15"/>
      <c r="N198" s="12"/>
    </row>
    <row r="199" spans="1:14" x14ac:dyDescent="0.3">
      <c r="A199" t="s">
        <v>2</v>
      </c>
      <c r="B199">
        <v>1999</v>
      </c>
      <c r="C199" s="12">
        <v>1999.1666666666899</v>
      </c>
      <c r="E199" s="8">
        <v>36220</v>
      </c>
      <c r="F199">
        <v>463.5</v>
      </c>
      <c r="J199" s="12"/>
      <c r="K199" s="15"/>
      <c r="N199" s="12"/>
    </row>
    <row r="200" spans="1:14" x14ac:dyDescent="0.3">
      <c r="A200" t="s">
        <v>1</v>
      </c>
      <c r="B200">
        <v>1999</v>
      </c>
      <c r="C200" s="12">
        <v>1999.0833333333601</v>
      </c>
      <c r="E200" s="9">
        <v>36192</v>
      </c>
      <c r="F200">
        <v>465.3</v>
      </c>
      <c r="J200" s="12"/>
      <c r="K200" s="15"/>
      <c r="N200" s="12"/>
    </row>
    <row r="201" spans="1:14" x14ac:dyDescent="0.3">
      <c r="A201" t="s">
        <v>0</v>
      </c>
      <c r="B201">
        <v>1999</v>
      </c>
      <c r="C201" s="12">
        <v>1999.00000000003</v>
      </c>
      <c r="E201" s="8">
        <v>36161</v>
      </c>
      <c r="F201">
        <v>534.20000000000005</v>
      </c>
      <c r="J201" s="12"/>
      <c r="K201" s="15"/>
      <c r="N201" s="12"/>
    </row>
    <row r="202" spans="1:14" x14ac:dyDescent="0.3">
      <c r="A202" t="s">
        <v>11</v>
      </c>
      <c r="B202">
        <v>1998</v>
      </c>
      <c r="C202" s="12">
        <v>1998.9166666666899</v>
      </c>
      <c r="D202">
        <v>868.9</v>
      </c>
      <c r="E202" s="9">
        <v>36130</v>
      </c>
      <c r="F202">
        <v>539.79999999999995</v>
      </c>
      <c r="J202" s="12"/>
      <c r="K202" s="15"/>
      <c r="N202" s="12">
        <f>STANDARDIZE(D202,K$21,L$21)</f>
        <v>0.57287620012022233</v>
      </c>
    </row>
    <row r="203" spans="1:14" x14ac:dyDescent="0.3">
      <c r="A203" t="s">
        <v>10</v>
      </c>
      <c r="B203">
        <v>1998</v>
      </c>
      <c r="C203" s="12">
        <v>1998.8333333333601</v>
      </c>
      <c r="D203">
        <v>560.9</v>
      </c>
      <c r="E203" s="8">
        <v>36100</v>
      </c>
      <c r="F203">
        <v>521.29999999999995</v>
      </c>
      <c r="J203" s="12"/>
      <c r="K203" s="15"/>
      <c r="N203" s="12">
        <f>STANDARDIZE(D203,K$20,L$20)</f>
        <v>-0.26642790237995156</v>
      </c>
    </row>
    <row r="204" spans="1:14" x14ac:dyDescent="0.3">
      <c r="A204" t="s">
        <v>9</v>
      </c>
      <c r="B204">
        <v>1998</v>
      </c>
      <c r="C204" s="12">
        <v>1998.75000000003</v>
      </c>
      <c r="D204">
        <v>528.9</v>
      </c>
      <c r="E204" s="9">
        <v>36069</v>
      </c>
      <c r="F204">
        <v>499.5</v>
      </c>
      <c r="J204" s="12"/>
      <c r="K204" s="15"/>
      <c r="N204" s="12">
        <f>STANDARDIZE(D204,K$19,L$19)</f>
        <v>-0.18670010919356883</v>
      </c>
    </row>
    <row r="205" spans="1:14" x14ac:dyDescent="0.3">
      <c r="A205" t="s">
        <v>8</v>
      </c>
      <c r="B205">
        <v>1998</v>
      </c>
      <c r="C205" s="12">
        <v>1998.6666666666899</v>
      </c>
      <c r="D205">
        <v>710.6</v>
      </c>
      <c r="E205" s="8">
        <v>36039</v>
      </c>
      <c r="F205">
        <v>477.7</v>
      </c>
      <c r="J205" s="12"/>
      <c r="K205" s="15"/>
      <c r="N205" s="12">
        <f>STANDARDIZE(D205,K$18,L$18)</f>
        <v>0.73968855803306577</v>
      </c>
    </row>
    <row r="206" spans="1:14" x14ac:dyDescent="0.3">
      <c r="A206" t="s">
        <v>7</v>
      </c>
      <c r="B206">
        <v>1998</v>
      </c>
      <c r="C206" s="12">
        <v>1998.5833333333601</v>
      </c>
      <c r="D206">
        <v>707.5</v>
      </c>
      <c r="E206" s="9">
        <v>36008</v>
      </c>
      <c r="F206">
        <v>465</v>
      </c>
      <c r="J206" s="12"/>
      <c r="K206" s="15"/>
      <c r="N206" s="12">
        <f>STANDARDIZE(D206,K$17,L$17)</f>
        <v>0.6787458223600763</v>
      </c>
    </row>
    <row r="207" spans="1:14" x14ac:dyDescent="0.3">
      <c r="A207" t="s">
        <v>6</v>
      </c>
      <c r="B207">
        <v>1998</v>
      </c>
      <c r="C207" s="12">
        <v>1998.50000000003</v>
      </c>
      <c r="D207">
        <v>674.7</v>
      </c>
      <c r="E207" s="8">
        <v>35977</v>
      </c>
      <c r="F207">
        <v>449.2</v>
      </c>
      <c r="J207" s="12"/>
      <c r="K207" s="15"/>
      <c r="N207" s="12">
        <f>STANDARDIZE(D207,K$16,L$16)</f>
        <v>0.46855756459359682</v>
      </c>
    </row>
    <row r="208" spans="1:14" x14ac:dyDescent="0.3">
      <c r="A208" t="s">
        <v>5</v>
      </c>
      <c r="B208">
        <v>1998</v>
      </c>
      <c r="C208" s="12">
        <v>1998.4166666666899</v>
      </c>
      <c r="D208">
        <v>561.9</v>
      </c>
      <c r="E208" s="9">
        <v>35947</v>
      </c>
      <c r="F208">
        <v>402.8</v>
      </c>
      <c r="J208" s="12"/>
      <c r="K208" s="15"/>
      <c r="N208" s="12">
        <f>STANDARDIZE(D208,K$15,L$15)</f>
        <v>0.15110250834866276</v>
      </c>
    </row>
    <row r="209" spans="1:14" x14ac:dyDescent="0.3">
      <c r="A209" t="s">
        <v>4</v>
      </c>
      <c r="B209">
        <v>1998</v>
      </c>
      <c r="C209" s="12">
        <v>1998.3333333333601</v>
      </c>
      <c r="D209">
        <v>422.1</v>
      </c>
      <c r="E209" s="8">
        <v>35916</v>
      </c>
      <c r="F209">
        <v>319</v>
      </c>
      <c r="J209" s="12"/>
      <c r="K209" s="15"/>
      <c r="N209" s="12">
        <f>STANDARDIZE(D209,K$14,L$14)</f>
        <v>-0.13230274453189256</v>
      </c>
    </row>
    <row r="210" spans="1:14" x14ac:dyDescent="0.3">
      <c r="A210" t="s">
        <v>3</v>
      </c>
      <c r="B210">
        <v>1998</v>
      </c>
      <c r="C210" s="12">
        <v>1998.25000000003</v>
      </c>
      <c r="D210">
        <v>222.1</v>
      </c>
      <c r="E210" s="9">
        <v>35886</v>
      </c>
      <c r="F210">
        <v>204.5</v>
      </c>
      <c r="J210" s="12"/>
      <c r="K210" s="15"/>
      <c r="N210" s="12">
        <f>STANDARDIZE(D210,K$13,L$13)</f>
        <v>-0.50254970311501912</v>
      </c>
    </row>
    <row r="211" spans="1:14" x14ac:dyDescent="0.3">
      <c r="A211" t="s">
        <v>2</v>
      </c>
      <c r="B211">
        <v>1998</v>
      </c>
      <c r="C211" s="12">
        <v>1998.1666666666899</v>
      </c>
      <c r="D211">
        <v>138.19999999999999</v>
      </c>
      <c r="E211" s="8">
        <v>35855</v>
      </c>
      <c r="F211">
        <v>142.1</v>
      </c>
      <c r="J211" s="12"/>
      <c r="K211" s="15"/>
      <c r="N211" s="12">
        <f>STANDARDIZE(D211,K$12,L$12)</f>
        <v>-0.88346534718425784</v>
      </c>
    </row>
    <row r="212" spans="1:14" x14ac:dyDescent="0.3">
      <c r="A212" t="s">
        <v>1</v>
      </c>
      <c r="B212">
        <v>1998</v>
      </c>
      <c r="C212" s="12">
        <v>1998.0833333333601</v>
      </c>
      <c r="D212">
        <v>117.2</v>
      </c>
      <c r="E212" s="9">
        <v>35827</v>
      </c>
      <c r="F212">
        <v>135.80000000000001</v>
      </c>
      <c r="J212" s="12"/>
      <c r="K212" s="15"/>
      <c r="N212" s="12">
        <f>STANDARDIZE(D212,K$11,L$11)</f>
        <v>-1.0170063604979411</v>
      </c>
    </row>
    <row r="213" spans="1:14" x14ac:dyDescent="0.3">
      <c r="A213" t="s">
        <v>0</v>
      </c>
      <c r="B213">
        <v>1998</v>
      </c>
      <c r="C213" s="12">
        <v>1998.00000000003</v>
      </c>
      <c r="D213">
        <v>140.1</v>
      </c>
      <c r="E213" s="8">
        <v>35796</v>
      </c>
      <c r="F213">
        <v>143.4</v>
      </c>
      <c r="J213" s="12"/>
      <c r="K213" s="15"/>
      <c r="N213" s="12">
        <f>STANDARDIZE(D213,K$10,L$10)</f>
        <v>-1.4075949892404274</v>
      </c>
    </row>
    <row r="214" spans="1:14" x14ac:dyDescent="0.3">
      <c r="A214" t="s">
        <v>11</v>
      </c>
      <c r="B214">
        <v>1997</v>
      </c>
      <c r="C214" s="12">
        <v>1997.9166666666899</v>
      </c>
      <c r="D214">
        <v>305.8</v>
      </c>
      <c r="E214" s="9">
        <v>35765</v>
      </c>
      <c r="F214">
        <v>251</v>
      </c>
      <c r="J214" s="12"/>
      <c r="K214" s="15"/>
      <c r="N214" s="12">
        <f>STANDARDIZE(D214,K$21,L$21)</f>
        <v>-1.2568063584932738</v>
      </c>
    </row>
    <row r="215" spans="1:14" x14ac:dyDescent="0.3">
      <c r="A215" t="s">
        <v>10</v>
      </c>
      <c r="B215">
        <v>1997</v>
      </c>
      <c r="C215" s="12">
        <v>1997.8333333333601</v>
      </c>
      <c r="D215">
        <v>341.7</v>
      </c>
      <c r="E215" s="8">
        <v>35735</v>
      </c>
      <c r="F215">
        <v>280.3</v>
      </c>
      <c r="J215" s="12"/>
      <c r="K215" s="15"/>
      <c r="N215" s="12">
        <f>STANDARDIZE(D215,K$20,L$20)</f>
        <v>-1.0532993856383959</v>
      </c>
    </row>
    <row r="216" spans="1:14" x14ac:dyDescent="0.3">
      <c r="A216" t="s">
        <v>9</v>
      </c>
      <c r="B216">
        <v>1997</v>
      </c>
      <c r="C216" s="12">
        <v>1997.75000000003</v>
      </c>
      <c r="D216">
        <v>302.5</v>
      </c>
      <c r="E216" s="9">
        <v>35704</v>
      </c>
      <c r="F216">
        <v>251</v>
      </c>
      <c r="J216" s="12"/>
      <c r="K216" s="15"/>
      <c r="N216" s="12">
        <f>STANDARDIZE(D216,K$19,L$19)</f>
        <v>-1.14031330087826</v>
      </c>
    </row>
    <row r="217" spans="1:14" x14ac:dyDescent="0.3">
      <c r="A217" t="s">
        <v>8</v>
      </c>
      <c r="B217">
        <v>1997</v>
      </c>
      <c r="C217" s="12">
        <v>1997.6666666666899</v>
      </c>
      <c r="D217">
        <v>198</v>
      </c>
      <c r="E217" s="8">
        <v>35674</v>
      </c>
      <c r="F217">
        <v>188.8</v>
      </c>
      <c r="J217" s="12"/>
      <c r="K217" s="15"/>
      <c r="N217" s="12">
        <f>STANDARDIZE(D217,K$18,L$18)</f>
        <v>-1.3356500016152617</v>
      </c>
    </row>
    <row r="218" spans="1:14" x14ac:dyDescent="0.3">
      <c r="A218" t="s">
        <v>7</v>
      </c>
      <c r="B218">
        <v>1997</v>
      </c>
      <c r="C218" s="12">
        <v>1997.5833333333601</v>
      </c>
      <c r="D218">
        <v>204.4</v>
      </c>
      <c r="E218" s="9">
        <v>35643</v>
      </c>
      <c r="F218">
        <v>188.8</v>
      </c>
      <c r="J218" s="12"/>
      <c r="K218" s="15"/>
      <c r="N218" s="12">
        <f>STANDARDIZE(D218,K$17,L$17)</f>
        <v>-1.282638572983718</v>
      </c>
    </row>
    <row r="219" spans="1:14" x14ac:dyDescent="0.3">
      <c r="A219" t="s">
        <v>6</v>
      </c>
      <c r="B219">
        <v>1997</v>
      </c>
      <c r="C219" s="12">
        <v>1997.50000000002</v>
      </c>
      <c r="D219">
        <v>303.5</v>
      </c>
      <c r="E219" s="8">
        <v>35612</v>
      </c>
      <c r="F219">
        <v>251.2</v>
      </c>
      <c r="J219" s="12"/>
      <c r="K219" s="15"/>
      <c r="N219" s="12">
        <f>STANDARDIZE(D219,K$16,L$16)</f>
        <v>-1.0053687401066274</v>
      </c>
    </row>
    <row r="220" spans="1:14" x14ac:dyDescent="0.3">
      <c r="A220" t="s">
        <v>5</v>
      </c>
      <c r="B220">
        <v>1997</v>
      </c>
      <c r="C220" s="12">
        <v>1997.4166666666899</v>
      </c>
      <c r="D220">
        <v>244.6</v>
      </c>
      <c r="E220" s="9">
        <v>35582</v>
      </c>
      <c r="F220">
        <v>219.6</v>
      </c>
      <c r="J220" s="12"/>
      <c r="K220" s="15"/>
      <c r="N220" s="12">
        <f>STANDARDIZE(D220,K$15,L$15)</f>
        <v>-1.2566734198946847</v>
      </c>
    </row>
    <row r="221" spans="1:14" x14ac:dyDescent="0.3">
      <c r="A221" t="s">
        <v>4</v>
      </c>
      <c r="B221">
        <v>1997</v>
      </c>
      <c r="C221" s="12">
        <v>1997.3333333333601</v>
      </c>
      <c r="D221">
        <v>181.8</v>
      </c>
      <c r="E221" s="8">
        <v>35551</v>
      </c>
      <c r="F221">
        <v>173.5</v>
      </c>
      <c r="J221" s="12"/>
      <c r="K221" s="15"/>
      <c r="N221" s="12">
        <f>STANDARDIZE(D221,K$14,L$14)</f>
        <v>-1.3138607300752827</v>
      </c>
    </row>
    <row r="222" spans="1:14" x14ac:dyDescent="0.3">
      <c r="A222" t="s">
        <v>3</v>
      </c>
      <c r="B222">
        <v>1997</v>
      </c>
      <c r="C222" s="12">
        <v>1997.25000000002</v>
      </c>
      <c r="D222">
        <v>121.2</v>
      </c>
      <c r="E222" s="9">
        <v>35521</v>
      </c>
      <c r="F222">
        <v>131.80000000000001</v>
      </c>
      <c r="J222" s="12"/>
      <c r="K222" s="15"/>
      <c r="N222" s="12">
        <f>STANDARDIZE(D222,K$13,L$13)</f>
        <v>-1.1459219569666392</v>
      </c>
    </row>
    <row r="223" spans="1:14" x14ac:dyDescent="0.3">
      <c r="A223" t="s">
        <v>2</v>
      </c>
      <c r="B223">
        <v>1997</v>
      </c>
      <c r="C223" s="12">
        <v>1997.1666666666899</v>
      </c>
      <c r="D223">
        <v>126.5</v>
      </c>
      <c r="E223" s="8">
        <v>35490</v>
      </c>
      <c r="F223">
        <v>132.69999999999999</v>
      </c>
      <c r="J223" s="12"/>
      <c r="K223" s="15"/>
      <c r="N223" s="12">
        <f>STANDARDIZE(D223,K$12,L$12)</f>
        <v>-0.96567298310151817</v>
      </c>
    </row>
    <row r="224" spans="1:14" x14ac:dyDescent="0.3">
      <c r="A224" t="s">
        <v>1</v>
      </c>
      <c r="B224">
        <v>1997</v>
      </c>
      <c r="C224" s="12">
        <v>1997.0833333333601</v>
      </c>
      <c r="D224">
        <v>225.2</v>
      </c>
      <c r="E224" s="9">
        <v>35462</v>
      </c>
      <c r="F224">
        <v>218.1</v>
      </c>
      <c r="J224" s="12"/>
      <c r="K224" s="15"/>
      <c r="N224" s="12">
        <f>STANDARDIZE(D224,K$11,L$11)</f>
        <v>-0.39530229827450836</v>
      </c>
    </row>
    <row r="225" spans="1:14" x14ac:dyDescent="0.3">
      <c r="A225" t="s">
        <v>0</v>
      </c>
      <c r="B225">
        <v>1997</v>
      </c>
      <c r="C225" s="12">
        <v>1997.00000000002</v>
      </c>
      <c r="D225">
        <v>369.6</v>
      </c>
      <c r="E225" s="8">
        <v>35431</v>
      </c>
      <c r="F225">
        <v>288.60000000000002</v>
      </c>
      <c r="J225" s="12"/>
      <c r="K225" s="15"/>
      <c r="N225" s="12">
        <f>STANDARDIZE(D225,K$10,L$10)</f>
        <v>-0.56550860498621225</v>
      </c>
    </row>
    <row r="226" spans="1:14" x14ac:dyDescent="0.3">
      <c r="A226" t="s">
        <v>11</v>
      </c>
      <c r="B226">
        <v>1996</v>
      </c>
      <c r="C226" s="12">
        <v>1996.9166666666899</v>
      </c>
      <c r="D226">
        <v>653</v>
      </c>
      <c r="E226" s="9">
        <v>35400</v>
      </c>
      <c r="F226">
        <v>438.6</v>
      </c>
      <c r="J226" s="12"/>
      <c r="K226" s="15"/>
      <c r="N226" s="12">
        <f>STANDARDIZE(D226,K$21,L$21)</f>
        <v>-0.12864833265309289</v>
      </c>
    </row>
    <row r="227" spans="1:14" x14ac:dyDescent="0.3">
      <c r="A227" t="s">
        <v>10</v>
      </c>
      <c r="B227">
        <v>1996</v>
      </c>
      <c r="C227" s="12">
        <v>1996.8333333333601</v>
      </c>
      <c r="D227">
        <v>667.2</v>
      </c>
      <c r="E227" s="8">
        <v>35370</v>
      </c>
      <c r="F227">
        <v>456.4</v>
      </c>
      <c r="J227" s="12"/>
      <c r="K227" s="15"/>
      <c r="N227" s="12">
        <f>STANDARDIZE(D227,K$20,L$20)</f>
        <v>0.11516169009437639</v>
      </c>
    </row>
    <row r="228" spans="1:14" x14ac:dyDescent="0.3">
      <c r="A228" t="s">
        <v>9</v>
      </c>
      <c r="B228">
        <v>1996</v>
      </c>
      <c r="C228" s="12">
        <v>1996.75000000002</v>
      </c>
      <c r="D228">
        <v>682.2</v>
      </c>
      <c r="E228" s="9">
        <v>35339</v>
      </c>
      <c r="F228">
        <v>452.9</v>
      </c>
      <c r="J228" s="12"/>
      <c r="K228" s="15"/>
      <c r="N228" s="12">
        <f>STANDARDIZE(D228,K$19,L$19)</f>
        <v>0.45901058994628646</v>
      </c>
    </row>
    <row r="229" spans="1:14" x14ac:dyDescent="0.3">
      <c r="A229" t="s">
        <v>8</v>
      </c>
      <c r="B229">
        <v>1996</v>
      </c>
      <c r="C229" s="12">
        <v>1996.6666666666899</v>
      </c>
      <c r="D229">
        <v>675.1</v>
      </c>
      <c r="E229" s="8">
        <v>35309</v>
      </c>
      <c r="F229">
        <v>460.3</v>
      </c>
      <c r="J229" s="12"/>
      <c r="K229" s="15"/>
      <c r="N229" s="12">
        <f>STANDARDIZE(D229,K$18,L$18)</f>
        <v>0.59596144358219638</v>
      </c>
    </row>
    <row r="230" spans="1:14" x14ac:dyDescent="0.3">
      <c r="A230" t="s">
        <v>7</v>
      </c>
      <c r="B230">
        <v>1996</v>
      </c>
      <c r="C230" s="12">
        <v>1996.5833333333601</v>
      </c>
      <c r="D230">
        <v>735.8</v>
      </c>
      <c r="E230" s="9">
        <v>35278</v>
      </c>
      <c r="F230">
        <v>478.5</v>
      </c>
      <c r="J230" s="12"/>
      <c r="K230" s="15"/>
      <c r="N230" s="12">
        <f>STANDARDIZE(D230,K$17,L$17)</f>
        <v>0.78907613122159348</v>
      </c>
    </row>
    <row r="231" spans="1:14" x14ac:dyDescent="0.3">
      <c r="A231" t="s">
        <v>6</v>
      </c>
      <c r="B231">
        <v>1996</v>
      </c>
      <c r="C231" s="12">
        <v>1996.50000000002</v>
      </c>
      <c r="D231">
        <v>705.5</v>
      </c>
      <c r="E231" s="8">
        <v>35247</v>
      </c>
      <c r="F231">
        <v>464.1</v>
      </c>
      <c r="J231" s="12"/>
      <c r="K231" s="15"/>
      <c r="N231" s="12">
        <f>STANDARDIZE(D231,K$16,L$16)</f>
        <v>0.59085532909997296</v>
      </c>
    </row>
    <row r="232" spans="1:14" x14ac:dyDescent="0.3">
      <c r="A232" t="s">
        <v>5</v>
      </c>
      <c r="B232">
        <v>1996</v>
      </c>
      <c r="C232" s="12">
        <v>1996.4166666666899</v>
      </c>
      <c r="D232">
        <v>611.4</v>
      </c>
      <c r="E232" s="9">
        <v>35217</v>
      </c>
      <c r="F232">
        <v>428.3</v>
      </c>
      <c r="J232" s="12"/>
      <c r="K232" s="15"/>
      <c r="N232" s="12">
        <f>STANDARDIZE(D232,K$15,L$15)</f>
        <v>0.37072087723629499</v>
      </c>
    </row>
    <row r="233" spans="1:14" x14ac:dyDescent="0.3">
      <c r="A233" t="s">
        <v>4</v>
      </c>
      <c r="B233">
        <v>1996</v>
      </c>
      <c r="C233" s="12">
        <v>1996.3333333333601</v>
      </c>
      <c r="D233">
        <v>513.9</v>
      </c>
      <c r="E233" s="8">
        <v>35186</v>
      </c>
      <c r="F233">
        <v>368.6</v>
      </c>
      <c r="J233" s="12"/>
      <c r="K233" s="15"/>
      <c r="N233" s="12">
        <f>STANDARDIZE(D233,K$14,L$14)</f>
        <v>0.31907895781052592</v>
      </c>
    </row>
    <row r="234" spans="1:14" x14ac:dyDescent="0.3">
      <c r="A234" t="s">
        <v>3</v>
      </c>
      <c r="B234">
        <v>1996</v>
      </c>
      <c r="C234" s="12">
        <v>1996.25000000002</v>
      </c>
      <c r="D234">
        <v>461.3</v>
      </c>
      <c r="E234" s="9">
        <v>35156</v>
      </c>
      <c r="F234">
        <v>349.2</v>
      </c>
      <c r="J234" s="12"/>
      <c r="K234" s="15"/>
      <c r="N234" s="12">
        <f>STANDARDIZE(D234,K$13,L$13)</f>
        <v>1.0226697529930833</v>
      </c>
    </row>
    <row r="235" spans="1:14" x14ac:dyDescent="0.3">
      <c r="A235" t="s">
        <v>2</v>
      </c>
      <c r="B235">
        <v>1996</v>
      </c>
      <c r="C235" s="12">
        <v>1996.1666666666899</v>
      </c>
      <c r="D235">
        <v>411.4</v>
      </c>
      <c r="E235" s="8">
        <v>35125</v>
      </c>
      <c r="F235">
        <v>313.39999999999998</v>
      </c>
      <c r="J235" s="12"/>
      <c r="K235" s="15"/>
      <c r="N235" s="12">
        <f>STANDARDIZE(D235,K$12,L$12)</f>
        <v>1.0361180829521119</v>
      </c>
    </row>
    <row r="236" spans="1:14" x14ac:dyDescent="0.3">
      <c r="A236" t="s">
        <v>1</v>
      </c>
      <c r="B236">
        <v>1996</v>
      </c>
      <c r="C236" s="12">
        <v>1996.0833333333601</v>
      </c>
      <c r="D236">
        <v>358.9</v>
      </c>
      <c r="E236" s="9">
        <v>35096</v>
      </c>
      <c r="F236">
        <v>298.2</v>
      </c>
      <c r="J236" s="12"/>
      <c r="K236" s="15"/>
      <c r="N236" s="12">
        <f>STANDARDIZE(D236,K$11,L$11)</f>
        <v>0.37434430468172286</v>
      </c>
    </row>
    <row r="237" spans="1:14" x14ac:dyDescent="0.3">
      <c r="A237" t="s">
        <v>0</v>
      </c>
      <c r="B237">
        <v>1996</v>
      </c>
      <c r="C237" s="12">
        <v>1996.00000000002</v>
      </c>
      <c r="D237">
        <v>537.6</v>
      </c>
      <c r="E237" s="8">
        <v>35065</v>
      </c>
      <c r="F237">
        <v>380.6</v>
      </c>
      <c r="J237" s="12"/>
      <c r="K237" s="15"/>
      <c r="N237" s="12">
        <f>STANDARDIZE(D237,K$10,L$10)</f>
        <v>5.0920643618180599E-2</v>
      </c>
    </row>
    <row r="238" spans="1:14" x14ac:dyDescent="0.3">
      <c r="A238" t="s">
        <v>11</v>
      </c>
      <c r="B238">
        <v>1995</v>
      </c>
      <c r="C238" s="12">
        <v>1995.9166666666899</v>
      </c>
      <c r="D238">
        <v>878.7</v>
      </c>
      <c r="E238" s="9">
        <v>35034</v>
      </c>
      <c r="F238">
        <v>543.9</v>
      </c>
      <c r="J238" s="12"/>
      <c r="K238" s="15"/>
      <c r="N238" s="12">
        <f>STANDARDIZE(D238,K$21,L$21)</f>
        <v>0.60471937020442124</v>
      </c>
    </row>
    <row r="239" spans="1:14" x14ac:dyDescent="0.3">
      <c r="A239" t="s">
        <v>10</v>
      </c>
      <c r="B239">
        <v>1995</v>
      </c>
      <c r="C239" s="12">
        <v>1995.8333333333501</v>
      </c>
      <c r="D239">
        <v>909.5</v>
      </c>
      <c r="E239" s="8">
        <v>35004</v>
      </c>
      <c r="F239">
        <v>571.5</v>
      </c>
      <c r="J239" s="12"/>
      <c r="K239" s="15"/>
      <c r="N239" s="12">
        <f>STANDARDIZE(D239,K$20,L$20)</f>
        <v>0.98495621743708184</v>
      </c>
    </row>
    <row r="240" spans="1:14" x14ac:dyDescent="0.3">
      <c r="A240" t="s">
        <v>9</v>
      </c>
      <c r="B240">
        <v>1995</v>
      </c>
      <c r="C240" s="12">
        <v>1995.75000000002</v>
      </c>
      <c r="D240">
        <v>925.6</v>
      </c>
      <c r="E240" s="9">
        <v>34973</v>
      </c>
      <c r="F240">
        <v>565.20000000000005</v>
      </c>
      <c r="J240" s="12"/>
      <c r="K240" s="15"/>
      <c r="N240" s="12">
        <f>STANDARDIZE(D240,K$19,L$19)</f>
        <v>1.4842290124553581</v>
      </c>
    </row>
    <row r="241" spans="1:14" x14ac:dyDescent="0.3">
      <c r="A241" t="s">
        <v>8</v>
      </c>
      <c r="B241">
        <v>1995</v>
      </c>
      <c r="C241" s="12">
        <v>1995.6666666666899</v>
      </c>
      <c r="D241">
        <v>923.4</v>
      </c>
      <c r="E241" s="8">
        <v>34943</v>
      </c>
      <c r="F241">
        <v>577.79999999999995</v>
      </c>
      <c r="J241" s="12"/>
      <c r="K241" s="15"/>
      <c r="N241" s="12">
        <f>STANDARDIZE(D241,K$18,L$18)</f>
        <v>1.601241514516023</v>
      </c>
    </row>
    <row r="242" spans="1:14" x14ac:dyDescent="0.3">
      <c r="A242" t="s">
        <v>7</v>
      </c>
      <c r="B242">
        <v>1995</v>
      </c>
      <c r="C242" s="12">
        <v>1995.5833333333501</v>
      </c>
      <c r="D242">
        <v>845.7</v>
      </c>
      <c r="E242" s="9">
        <v>34912</v>
      </c>
      <c r="F242">
        <v>528.79999999999995</v>
      </c>
      <c r="J242" s="12"/>
      <c r="K242" s="15"/>
      <c r="N242" s="12">
        <f>STANDARDIZE(D242,K$17,L$17)</f>
        <v>1.2175319949629633</v>
      </c>
    </row>
    <row r="243" spans="1:14" x14ac:dyDescent="0.3">
      <c r="A243" t="s">
        <v>6</v>
      </c>
      <c r="B243">
        <v>1995</v>
      </c>
      <c r="C243" s="12">
        <v>1995.50000000002</v>
      </c>
      <c r="D243">
        <v>656.3</v>
      </c>
      <c r="E243" s="8">
        <v>34881</v>
      </c>
      <c r="F243">
        <v>439.9</v>
      </c>
      <c r="J243" s="12"/>
      <c r="K243" s="15"/>
      <c r="N243" s="12">
        <f>STANDARDIZE(D243,K$16,L$16)</f>
        <v>0.39549656242095604</v>
      </c>
    </row>
    <row r="244" spans="1:14" x14ac:dyDescent="0.3">
      <c r="A244" t="s">
        <v>5</v>
      </c>
      <c r="B244">
        <v>1995</v>
      </c>
      <c r="C244" s="12">
        <v>1995.4166666666899</v>
      </c>
      <c r="D244">
        <v>501.2</v>
      </c>
      <c r="E244" s="9">
        <v>34851</v>
      </c>
      <c r="F244">
        <v>370.4</v>
      </c>
      <c r="J244" s="12"/>
      <c r="K244" s="15"/>
      <c r="N244" s="12">
        <f>STANDARDIZE(D244,K$15,L$15)</f>
        <v>-0.11820728945899936</v>
      </c>
    </row>
    <row r="245" spans="1:14" x14ac:dyDescent="0.3">
      <c r="A245" t="s">
        <v>4</v>
      </c>
      <c r="B245">
        <v>1995</v>
      </c>
      <c r="C245" s="12">
        <v>1995.3333333333501</v>
      </c>
      <c r="D245">
        <v>369.3</v>
      </c>
      <c r="E245" s="8">
        <v>34820</v>
      </c>
      <c r="F245">
        <v>289.89999999999998</v>
      </c>
      <c r="J245" s="12"/>
      <c r="K245" s="15"/>
      <c r="N245" s="12">
        <f>STANDARDIZE(D245,K$14,L$14)</f>
        <v>-0.39192097855890468</v>
      </c>
    </row>
    <row r="246" spans="1:14" x14ac:dyDescent="0.3">
      <c r="A246" t="s">
        <v>3</v>
      </c>
      <c r="B246">
        <v>1995</v>
      </c>
      <c r="C246" s="12">
        <v>1995.25000000002</v>
      </c>
      <c r="D246">
        <v>189.2</v>
      </c>
      <c r="E246" s="9">
        <v>34790</v>
      </c>
      <c r="F246">
        <v>182.4</v>
      </c>
      <c r="J246" s="12"/>
      <c r="K246" s="15"/>
      <c r="N246" s="12">
        <f>STANDARDIZE(D246,K$13,L$13)</f>
        <v>-0.71233114168507161</v>
      </c>
    </row>
    <row r="247" spans="1:14" x14ac:dyDescent="0.3">
      <c r="A247" t="s">
        <v>2</v>
      </c>
      <c r="B247">
        <v>1995</v>
      </c>
      <c r="C247" s="12">
        <v>1995.1666666666899</v>
      </c>
      <c r="D247">
        <v>129</v>
      </c>
      <c r="E247" s="8">
        <v>34759</v>
      </c>
      <c r="F247">
        <v>135.19999999999999</v>
      </c>
      <c r="J247" s="12"/>
      <c r="K247" s="15"/>
      <c r="N247" s="12">
        <f>STANDARDIZE(D247,K$12,L$12)</f>
        <v>-0.94810724893116338</v>
      </c>
    </row>
    <row r="248" spans="1:14" x14ac:dyDescent="0.3">
      <c r="A248" t="s">
        <v>1</v>
      </c>
      <c r="B248">
        <v>1995</v>
      </c>
      <c r="C248" s="12">
        <v>1995.0833333333501</v>
      </c>
      <c r="D248">
        <v>133.4</v>
      </c>
      <c r="E248" s="9">
        <v>34731</v>
      </c>
      <c r="F248">
        <v>148.6</v>
      </c>
      <c r="J248" s="12"/>
      <c r="K248" s="15"/>
      <c r="N248" s="12">
        <f>STANDARDIZE(D248,K$11,L$11)</f>
        <v>-0.92375075116442618</v>
      </c>
    </row>
    <row r="249" spans="1:14" x14ac:dyDescent="0.3">
      <c r="A249" t="s">
        <v>0</v>
      </c>
      <c r="B249">
        <v>1995</v>
      </c>
      <c r="C249" s="12">
        <v>1995.00000000002</v>
      </c>
      <c r="D249">
        <v>477.6</v>
      </c>
      <c r="E249" s="8">
        <v>34700</v>
      </c>
      <c r="F249">
        <v>344.7</v>
      </c>
      <c r="J249" s="12"/>
      <c r="K249" s="15"/>
      <c r="N249" s="12">
        <f>STANDARDIZE(D249,K$10,L$10)</f>
        <v>-0.16923265945481683</v>
      </c>
    </row>
    <row r="250" spans="1:14" x14ac:dyDescent="0.3">
      <c r="A250" t="s">
        <v>11</v>
      </c>
      <c r="B250">
        <v>1994</v>
      </c>
      <c r="C250" s="12">
        <v>1994.9166666666899</v>
      </c>
      <c r="D250">
        <v>753.6</v>
      </c>
      <c r="E250" s="9">
        <v>34669</v>
      </c>
      <c r="F250">
        <v>485.2</v>
      </c>
      <c r="J250" s="12"/>
      <c r="K250" s="15"/>
      <c r="N250" s="12">
        <f>STANDARDIZE(D250,K$21,L$21)</f>
        <v>0.19823155617041582</v>
      </c>
    </row>
    <row r="251" spans="1:14" x14ac:dyDescent="0.3">
      <c r="A251" t="s">
        <v>10</v>
      </c>
      <c r="B251">
        <v>1994</v>
      </c>
      <c r="C251" s="12">
        <v>1994.8333333333501</v>
      </c>
      <c r="D251">
        <v>705.2</v>
      </c>
      <c r="E251" s="8">
        <v>34639</v>
      </c>
      <c r="F251">
        <v>473.5</v>
      </c>
      <c r="J251" s="12"/>
      <c r="K251" s="15"/>
      <c r="N251" s="12">
        <f>STANDARDIZE(D251,K$20,L$20)</f>
        <v>0.25157189248407019</v>
      </c>
    </row>
    <row r="252" spans="1:14" x14ac:dyDescent="0.3">
      <c r="A252" t="s">
        <v>9</v>
      </c>
      <c r="B252">
        <v>1994</v>
      </c>
      <c r="C252" s="12">
        <v>1994.75000000002</v>
      </c>
      <c r="D252">
        <v>604.1</v>
      </c>
      <c r="E252" s="9">
        <v>34608</v>
      </c>
      <c r="F252">
        <v>413</v>
      </c>
      <c r="J252" s="12"/>
      <c r="K252" s="15"/>
      <c r="N252" s="12">
        <f>STANDARDIZE(D252,K$19,L$19)</f>
        <v>0.13004773539427936</v>
      </c>
    </row>
    <row r="253" spans="1:14" x14ac:dyDescent="0.3">
      <c r="A253" t="s">
        <v>8</v>
      </c>
      <c r="B253">
        <v>1994</v>
      </c>
      <c r="C253" s="12">
        <v>1994.6666666666899</v>
      </c>
      <c r="D253">
        <v>465.6</v>
      </c>
      <c r="E253" s="8">
        <v>34578</v>
      </c>
      <c r="F253">
        <v>350.3</v>
      </c>
      <c r="J253" s="12"/>
      <c r="K253" s="15"/>
      <c r="N253" s="12">
        <f>STANDARDIZE(D253,K$18,L$18)</f>
        <v>-0.25223096423349728</v>
      </c>
    </row>
    <row r="254" spans="1:14" x14ac:dyDescent="0.3">
      <c r="A254" t="s">
        <v>7</v>
      </c>
      <c r="B254">
        <v>1994</v>
      </c>
      <c r="C254" s="12">
        <v>1994.5833333333501</v>
      </c>
      <c r="D254">
        <v>532.70000000000005</v>
      </c>
      <c r="E254" s="9">
        <v>34547</v>
      </c>
      <c r="F254">
        <v>377.2</v>
      </c>
      <c r="J254" s="12"/>
      <c r="K254" s="15"/>
      <c r="N254" s="12">
        <f>STANDARDIZE(D254,K$17,L$17)</f>
        <v>-2.7290182403910657E-3</v>
      </c>
    </row>
    <row r="255" spans="1:14" x14ac:dyDescent="0.3">
      <c r="A255" t="s">
        <v>6</v>
      </c>
      <c r="B255">
        <v>1994</v>
      </c>
      <c r="C255" s="12">
        <v>1994.50000000002</v>
      </c>
      <c r="D255">
        <v>671.7</v>
      </c>
      <c r="E255" s="8">
        <v>34516</v>
      </c>
      <c r="F255">
        <v>446.2</v>
      </c>
      <c r="J255" s="12"/>
      <c r="K255" s="15"/>
      <c r="N255" s="12">
        <f>STANDARDIZE(D255,K$16,L$16)</f>
        <v>0.45664544467414458</v>
      </c>
    </row>
    <row r="256" spans="1:14" x14ac:dyDescent="0.3">
      <c r="A256" t="s">
        <v>5</v>
      </c>
      <c r="B256">
        <v>1994</v>
      </c>
      <c r="C256" s="12">
        <v>1994.4166666666899</v>
      </c>
      <c r="D256">
        <v>646.20000000000005</v>
      </c>
      <c r="E256" s="9">
        <v>34486</v>
      </c>
      <c r="F256">
        <v>444.4</v>
      </c>
      <c r="J256" s="12"/>
      <c r="K256" s="15"/>
      <c r="N256" s="12">
        <f>STANDARDIZE(D256,K$15,L$15)</f>
        <v>0.52511924566638835</v>
      </c>
    </row>
    <row r="257" spans="1:14" x14ac:dyDescent="0.3">
      <c r="A257" t="s">
        <v>4</v>
      </c>
      <c r="B257">
        <v>1994</v>
      </c>
      <c r="C257" s="12">
        <v>1994.3333333333501</v>
      </c>
      <c r="D257">
        <v>537.9</v>
      </c>
      <c r="E257" s="8">
        <v>34455</v>
      </c>
      <c r="F257">
        <v>379.7</v>
      </c>
      <c r="J257" s="12"/>
      <c r="K257" s="15"/>
      <c r="N257" s="12">
        <f>STANDARDIZE(D257,K$14,L$14)</f>
        <v>0.43708724600462229</v>
      </c>
    </row>
    <row r="258" spans="1:14" x14ac:dyDescent="0.3">
      <c r="A258" t="s">
        <v>3</v>
      </c>
      <c r="B258">
        <v>1994</v>
      </c>
      <c r="C258" s="12">
        <v>1994.25000000002</v>
      </c>
      <c r="D258">
        <v>385.3</v>
      </c>
      <c r="E258" s="9">
        <v>34425</v>
      </c>
      <c r="F258">
        <v>304.2</v>
      </c>
      <c r="J258" s="12"/>
      <c r="K258" s="15"/>
      <c r="N258" s="12">
        <f>STANDARDIZE(D258,K$13,L$13)</f>
        <v>0.53806825356074317</v>
      </c>
    </row>
    <row r="259" spans="1:14" x14ac:dyDescent="0.3">
      <c r="A259" t="s">
        <v>2</v>
      </c>
      <c r="B259">
        <v>1994</v>
      </c>
      <c r="C259" s="12">
        <v>1994.1666666666899</v>
      </c>
      <c r="D259">
        <v>273.2</v>
      </c>
      <c r="E259" s="8">
        <v>34394</v>
      </c>
      <c r="F259">
        <v>232.3</v>
      </c>
      <c r="J259" s="12"/>
      <c r="K259" s="15"/>
      <c r="N259" s="12">
        <f>STANDARDIZE(D259,K$12,L$12)</f>
        <v>6.5084298014899969E-2</v>
      </c>
    </row>
    <row r="260" spans="1:14" x14ac:dyDescent="0.3">
      <c r="A260" t="s">
        <v>1</v>
      </c>
      <c r="B260">
        <v>1994</v>
      </c>
      <c r="C260" s="12">
        <v>1994.0833333333501</v>
      </c>
      <c r="D260">
        <v>305.5</v>
      </c>
      <c r="E260" s="9">
        <v>34366</v>
      </c>
      <c r="F260">
        <v>270.10000000000002</v>
      </c>
      <c r="J260" s="12"/>
      <c r="K260" s="15"/>
      <c r="N260" s="12">
        <f>STANDARDIZE(D260,K$11,L$11)</f>
        <v>6.6946185026803398E-2</v>
      </c>
    </row>
    <row r="261" spans="1:14" x14ac:dyDescent="0.3">
      <c r="A261" t="s">
        <v>0</v>
      </c>
      <c r="B261">
        <v>1994</v>
      </c>
      <c r="C261" s="12">
        <v>1994.00000000002</v>
      </c>
      <c r="D261">
        <v>668.1</v>
      </c>
      <c r="E261" s="8">
        <v>34335</v>
      </c>
      <c r="F261">
        <v>443.9</v>
      </c>
      <c r="J261" s="12"/>
      <c r="K261" s="15"/>
      <c r="N261" s="12">
        <f>STANDARDIZE(D261,K$10,L$10)</f>
        <v>0.52975407780195005</v>
      </c>
    </row>
    <row r="262" spans="1:14" x14ac:dyDescent="0.3">
      <c r="A262" t="s">
        <v>11</v>
      </c>
      <c r="B262">
        <v>1993</v>
      </c>
      <c r="C262" s="12">
        <v>1993.9166666666799</v>
      </c>
      <c r="D262">
        <v>494.9</v>
      </c>
      <c r="E262" s="9">
        <v>34304</v>
      </c>
      <c r="F262">
        <v>456.5</v>
      </c>
      <c r="J262" s="12"/>
      <c r="K262" s="15"/>
      <c r="N262" s="12">
        <f>STANDARDIZE(D262,K$21,L$21)</f>
        <v>-0.64236314799103245</v>
      </c>
    </row>
    <row r="263" spans="1:14" x14ac:dyDescent="0.3">
      <c r="A263" t="s">
        <v>10</v>
      </c>
      <c r="B263">
        <v>1993</v>
      </c>
      <c r="C263" s="12">
        <v>1993.8333333333501</v>
      </c>
      <c r="D263">
        <v>458.4</v>
      </c>
      <c r="E263" s="8">
        <v>34274</v>
      </c>
      <c r="F263">
        <v>432.1</v>
      </c>
      <c r="J263" s="12"/>
      <c r="K263" s="15"/>
      <c r="N263" s="12">
        <f>STANDARDIZE(D263,K$20,L$20)</f>
        <v>-0.63437647461530988</v>
      </c>
    </row>
    <row r="264" spans="1:14" x14ac:dyDescent="0.3">
      <c r="A264" t="s">
        <v>9</v>
      </c>
      <c r="B264">
        <v>1993</v>
      </c>
      <c r="C264" s="12">
        <v>1993.75000000002</v>
      </c>
      <c r="D264">
        <v>452</v>
      </c>
      <c r="E264" s="9">
        <v>34243</v>
      </c>
      <c r="F264">
        <v>407.6</v>
      </c>
      <c r="J264" s="12"/>
      <c r="K264" s="15"/>
      <c r="N264" s="12">
        <f>STANDARDIZE(D264,K$19,L$19)</f>
        <v>-0.5106084768638548</v>
      </c>
    </row>
    <row r="265" spans="1:14" x14ac:dyDescent="0.3">
      <c r="A265" t="s">
        <v>8</v>
      </c>
      <c r="B265">
        <v>1993</v>
      </c>
      <c r="C265" s="12">
        <v>1993.6666666666799</v>
      </c>
      <c r="D265">
        <v>388.8</v>
      </c>
      <c r="E265" s="8">
        <v>34213</v>
      </c>
      <c r="F265">
        <v>351.7</v>
      </c>
      <c r="J265" s="12"/>
      <c r="K265" s="15"/>
      <c r="N265" s="12">
        <f>STANDARDIZE(D265,K$18,L$18)</f>
        <v>-0.5631673695807301</v>
      </c>
    </row>
    <row r="266" spans="1:14" x14ac:dyDescent="0.3">
      <c r="A266" t="s">
        <v>7</v>
      </c>
      <c r="B266">
        <v>1993</v>
      </c>
      <c r="C266" s="12">
        <v>1993.5833333333501</v>
      </c>
      <c r="D266">
        <v>380.7</v>
      </c>
      <c r="E266" s="9">
        <v>34182</v>
      </c>
      <c r="F266">
        <v>328.7</v>
      </c>
      <c r="J266" s="12"/>
      <c r="K266" s="15"/>
      <c r="N266" s="12">
        <f>STANDARDIZE(D266,K$17,L$17)</f>
        <v>-0.59531583615384132</v>
      </c>
    </row>
    <row r="267" spans="1:14" x14ac:dyDescent="0.3">
      <c r="A267" t="s">
        <v>6</v>
      </c>
      <c r="B267">
        <v>1993</v>
      </c>
      <c r="C267" s="12">
        <v>1993.50000000002</v>
      </c>
      <c r="D267">
        <v>432.7</v>
      </c>
      <c r="E267" s="8">
        <v>34151</v>
      </c>
      <c r="F267">
        <v>385.8</v>
      </c>
      <c r="J267" s="12"/>
      <c r="K267" s="15"/>
      <c r="N267" s="12">
        <f>STANDARDIZE(D267,K$16,L$16)</f>
        <v>-0.49235344224221755</v>
      </c>
    </row>
    <row r="268" spans="1:14" x14ac:dyDescent="0.3">
      <c r="A268" t="s">
        <v>5</v>
      </c>
      <c r="B268">
        <v>1993</v>
      </c>
      <c r="C268" s="12">
        <v>1993.4166666666799</v>
      </c>
      <c r="D268">
        <v>428.8</v>
      </c>
      <c r="E268" s="9">
        <v>34121</v>
      </c>
      <c r="F268">
        <v>397.4</v>
      </c>
      <c r="J268" s="12"/>
      <c r="K268" s="15"/>
      <c r="N268" s="12">
        <f>STANDARDIZE(D268,K$15,L$15)</f>
        <v>-0.43942688354919268</v>
      </c>
    </row>
    <row r="269" spans="1:14" x14ac:dyDescent="0.3">
      <c r="A269" t="s">
        <v>4</v>
      </c>
      <c r="B269">
        <v>1993</v>
      </c>
      <c r="C269" s="12">
        <v>1993.3333333333501</v>
      </c>
      <c r="D269">
        <v>391.3</v>
      </c>
      <c r="E269" s="8">
        <v>34090</v>
      </c>
      <c r="F269">
        <v>340.4</v>
      </c>
      <c r="J269" s="12"/>
      <c r="K269" s="15"/>
      <c r="N269" s="12">
        <f>STANDARDIZE(D269,K$14,L$14)</f>
        <v>-0.28374671438098298</v>
      </c>
    </row>
    <row r="270" spans="1:14" x14ac:dyDescent="0.3">
      <c r="A270" t="s">
        <v>3</v>
      </c>
      <c r="B270">
        <v>1993</v>
      </c>
      <c r="C270" s="12">
        <v>1993.25000000002</v>
      </c>
      <c r="D270">
        <v>270.89999999999998</v>
      </c>
      <c r="E270" s="9">
        <v>34060</v>
      </c>
      <c r="F270">
        <v>223.8</v>
      </c>
      <c r="J270" s="12"/>
      <c r="K270" s="15"/>
      <c r="N270" s="12">
        <f>STANDARDIZE(D270,K$13,L$13)</f>
        <v>-0.19138452979530599</v>
      </c>
    </row>
    <row r="271" spans="1:14" x14ac:dyDescent="0.3">
      <c r="A271" t="s">
        <v>2</v>
      </c>
      <c r="B271">
        <v>1993</v>
      </c>
      <c r="C271" s="12">
        <v>1993.1666666666799</v>
      </c>
      <c r="D271">
        <v>196.8</v>
      </c>
      <c r="E271" s="8">
        <v>34029</v>
      </c>
      <c r="F271">
        <v>143.9</v>
      </c>
      <c r="J271" s="12"/>
      <c r="K271" s="15"/>
      <c r="N271" s="12">
        <f>STANDARDIZE(D271,K$12,L$12)</f>
        <v>-0.4717245382311418</v>
      </c>
    </row>
    <row r="272" spans="1:14" x14ac:dyDescent="0.3">
      <c r="A272" t="s">
        <v>1</v>
      </c>
      <c r="B272">
        <v>1993</v>
      </c>
      <c r="C272" s="12">
        <v>1993.0833333333501</v>
      </c>
      <c r="D272">
        <v>202.6</v>
      </c>
      <c r="E272" s="9">
        <v>34001</v>
      </c>
      <c r="F272">
        <v>169.5</v>
      </c>
      <c r="J272" s="12"/>
      <c r="K272" s="15"/>
      <c r="N272" s="12">
        <f>STANDARDIZE(D272,K$11,L$11)</f>
        <v>-0.52539962981385635</v>
      </c>
    </row>
    <row r="273" spans="1:14" x14ac:dyDescent="0.3">
      <c r="A273" t="s">
        <v>0</v>
      </c>
      <c r="B273">
        <v>1993</v>
      </c>
      <c r="C273" s="12">
        <v>1993.00000000002</v>
      </c>
      <c r="D273">
        <v>308.2</v>
      </c>
      <c r="E273" s="8">
        <v>33970</v>
      </c>
      <c r="F273">
        <v>252.6</v>
      </c>
      <c r="J273" s="12"/>
      <c r="K273" s="15"/>
      <c r="N273" s="12">
        <f>STANDARDIZE(D273,K$10,L$10)</f>
        <v>-0.79079881846424638</v>
      </c>
    </row>
    <row r="274" spans="1:14" x14ac:dyDescent="0.3">
      <c r="A274" t="s">
        <v>11</v>
      </c>
      <c r="B274">
        <v>1992</v>
      </c>
      <c r="C274" s="12">
        <v>1992.9166666666799</v>
      </c>
      <c r="D274">
        <v>398.6</v>
      </c>
      <c r="E274" s="9">
        <v>33939</v>
      </c>
      <c r="F274">
        <v>348.1</v>
      </c>
      <c r="J274" s="12"/>
      <c r="K274" s="15"/>
      <c r="N274" s="12">
        <f>STANDARDIZE(D274,K$21,L$21)</f>
        <v>-0.95527103361433141</v>
      </c>
    </row>
    <row r="275" spans="1:14" x14ac:dyDescent="0.3">
      <c r="A275" t="s">
        <v>10</v>
      </c>
      <c r="B275">
        <v>1992</v>
      </c>
      <c r="C275" s="12">
        <v>1992.8333333333501</v>
      </c>
      <c r="D275">
        <v>388</v>
      </c>
      <c r="E275" s="8">
        <v>33909</v>
      </c>
      <c r="F275">
        <v>350.6</v>
      </c>
      <c r="J275" s="12"/>
      <c r="K275" s="15"/>
      <c r="N275" s="12">
        <f>STANDARDIZE(D275,K$20,L$20)</f>
        <v>-0.88709432325305837</v>
      </c>
    </row>
    <row r="276" spans="1:14" x14ac:dyDescent="0.3">
      <c r="A276" t="s">
        <v>9</v>
      </c>
      <c r="B276">
        <v>1992</v>
      </c>
      <c r="C276" s="12">
        <v>1992.75000000002</v>
      </c>
      <c r="D276">
        <v>432</v>
      </c>
      <c r="E276" s="9">
        <v>33878</v>
      </c>
      <c r="F276">
        <v>385</v>
      </c>
      <c r="J276" s="12"/>
      <c r="K276" s="15"/>
      <c r="N276" s="12">
        <f>STANDARDIZE(D276,K$19,L$19)</f>
        <v>-0.59484992489253774</v>
      </c>
    </row>
    <row r="277" spans="1:14" x14ac:dyDescent="0.3">
      <c r="A277" t="s">
        <v>8</v>
      </c>
      <c r="B277">
        <v>1992</v>
      </c>
      <c r="C277" s="12">
        <v>1992.6666666666799</v>
      </c>
      <c r="D277">
        <v>346.8</v>
      </c>
      <c r="E277" s="8">
        <v>33848</v>
      </c>
      <c r="F277">
        <v>304.7</v>
      </c>
      <c r="J277" s="12"/>
      <c r="K277" s="15"/>
      <c r="N277" s="12">
        <f>STANDARDIZE(D277,K$18,L$18)</f>
        <v>-0.73321071625499801</v>
      </c>
    </row>
    <row r="278" spans="1:14" x14ac:dyDescent="0.3">
      <c r="A278" t="s">
        <v>7</v>
      </c>
      <c r="B278">
        <v>1992</v>
      </c>
      <c r="C278" s="12">
        <v>1992.5833333333501</v>
      </c>
      <c r="D278">
        <v>328.2</v>
      </c>
      <c r="E278" s="9">
        <v>33817</v>
      </c>
      <c r="F278">
        <v>272.89999999999998</v>
      </c>
      <c r="J278" s="12"/>
      <c r="K278" s="15"/>
      <c r="N278" s="12">
        <f>STANDARDIZE(D278,K$17,L$17)</f>
        <v>-0.79999220418315797</v>
      </c>
    </row>
    <row r="279" spans="1:14" x14ac:dyDescent="0.3">
      <c r="A279" t="s">
        <v>6</v>
      </c>
      <c r="B279">
        <v>1992</v>
      </c>
      <c r="C279" s="12">
        <v>1992.50000000002</v>
      </c>
      <c r="D279">
        <v>281.2</v>
      </c>
      <c r="E279" s="8">
        <v>33786</v>
      </c>
      <c r="F279">
        <v>224.9</v>
      </c>
      <c r="J279" s="12"/>
      <c r="K279" s="15"/>
      <c r="N279" s="12">
        <f>STANDARDIZE(D279,K$16,L$16)</f>
        <v>-1.0939154981745558</v>
      </c>
    </row>
    <row r="280" spans="1:14" x14ac:dyDescent="0.3">
      <c r="A280" t="s">
        <v>5</v>
      </c>
      <c r="B280">
        <v>1992</v>
      </c>
      <c r="C280" s="12">
        <v>1992.4166666666799</v>
      </c>
      <c r="D280">
        <v>308.39999999999998</v>
      </c>
      <c r="E280" s="9">
        <v>33756</v>
      </c>
      <c r="F280">
        <v>263.10000000000002</v>
      </c>
      <c r="J280" s="12"/>
      <c r="K280" s="15"/>
      <c r="N280" s="12">
        <f>STANDARDIZE(D280,K$15,L$15)</f>
        <v>-0.97360974443951454</v>
      </c>
    </row>
    <row r="281" spans="1:14" x14ac:dyDescent="0.3">
      <c r="A281" t="s">
        <v>4</v>
      </c>
      <c r="B281">
        <v>1992</v>
      </c>
      <c r="C281" s="12">
        <v>1992.3333333333501</v>
      </c>
      <c r="D281">
        <v>255.1</v>
      </c>
      <c r="E281" s="8">
        <v>33725</v>
      </c>
      <c r="F281">
        <v>199.3</v>
      </c>
      <c r="J281" s="12"/>
      <c r="K281" s="15"/>
      <c r="N281" s="12">
        <f>STANDARDIZE(D281,K$14,L$14)</f>
        <v>-0.95344374988248004</v>
      </c>
    </row>
    <row r="282" spans="1:14" x14ac:dyDescent="0.3">
      <c r="A282" t="s">
        <v>3</v>
      </c>
      <c r="B282">
        <v>1992</v>
      </c>
      <c r="C282" s="12">
        <v>1992.25000000002</v>
      </c>
      <c r="D282">
        <v>176</v>
      </c>
      <c r="E282" s="9">
        <v>33695</v>
      </c>
      <c r="F282">
        <v>130.30000000000001</v>
      </c>
      <c r="J282" s="12"/>
      <c r="K282" s="15"/>
      <c r="N282" s="12">
        <f>STANDARDIZE(D282,K$13,L$13)</f>
        <v>-0.79649877053384643</v>
      </c>
    </row>
    <row r="283" spans="1:14" x14ac:dyDescent="0.3">
      <c r="A283" t="s">
        <v>2</v>
      </c>
      <c r="B283">
        <v>1992</v>
      </c>
      <c r="C283" s="12">
        <v>1992.1666666666799</v>
      </c>
      <c r="D283">
        <v>180.4</v>
      </c>
      <c r="E283" s="8">
        <v>33664</v>
      </c>
      <c r="F283">
        <v>128.9</v>
      </c>
      <c r="J283" s="12"/>
      <c r="K283" s="15"/>
      <c r="N283" s="12">
        <f>STANDARDIZE(D283,K$12,L$12)</f>
        <v>-0.5869557543886692</v>
      </c>
    </row>
    <row r="284" spans="1:14" x14ac:dyDescent="0.3">
      <c r="A284" t="s">
        <v>1</v>
      </c>
      <c r="B284">
        <v>1992</v>
      </c>
      <c r="C284" s="12">
        <v>1992.0833333333501</v>
      </c>
      <c r="D284">
        <v>180.3</v>
      </c>
      <c r="E284" s="9">
        <v>33635</v>
      </c>
      <c r="F284">
        <v>140.1</v>
      </c>
      <c r="J284" s="12"/>
      <c r="K284" s="15"/>
      <c r="N284" s="12">
        <f>STANDARDIZE(D284,K$11,L$11)</f>
        <v>-0.65377000562480581</v>
      </c>
    </row>
    <row r="285" spans="1:14" x14ac:dyDescent="0.3">
      <c r="A285" t="s">
        <v>0</v>
      </c>
      <c r="B285">
        <v>1992</v>
      </c>
      <c r="C285" s="12">
        <v>1992.00000000001</v>
      </c>
      <c r="D285">
        <v>293.10000000000002</v>
      </c>
      <c r="E285" s="8">
        <v>33604</v>
      </c>
      <c r="F285">
        <v>238.2</v>
      </c>
      <c r="J285" s="12"/>
      <c r="K285" s="15"/>
      <c r="N285" s="12">
        <f>STANDARDIZE(D285,K$10,L$10)</f>
        <v>-0.84620406640428392</v>
      </c>
    </row>
    <row r="286" spans="1:14" x14ac:dyDescent="0.3">
      <c r="A286" t="s">
        <v>11</v>
      </c>
      <c r="B286">
        <v>1991</v>
      </c>
      <c r="C286" s="12">
        <v>1991.9166666666799</v>
      </c>
      <c r="E286" s="9">
        <v>33573</v>
      </c>
      <c r="F286">
        <v>311.2</v>
      </c>
      <c r="J286" s="12"/>
      <c r="K286" s="15"/>
      <c r="N286" s="12"/>
    </row>
    <row r="287" spans="1:14" x14ac:dyDescent="0.3">
      <c r="A287" t="s">
        <v>10</v>
      </c>
      <c r="B287">
        <v>1991</v>
      </c>
      <c r="C287" s="12">
        <v>1991.8333333333501</v>
      </c>
      <c r="E287" s="8">
        <v>33543</v>
      </c>
      <c r="F287">
        <v>311.39999999999998</v>
      </c>
      <c r="J287" s="12"/>
      <c r="K287" s="15"/>
      <c r="N287" s="12"/>
    </row>
    <row r="288" spans="1:14" x14ac:dyDescent="0.3">
      <c r="A288" t="s">
        <v>9</v>
      </c>
      <c r="B288">
        <v>1991</v>
      </c>
      <c r="C288" s="12">
        <v>1991.75000000001</v>
      </c>
      <c r="E288" s="9">
        <v>33512</v>
      </c>
      <c r="F288">
        <v>290.89999999999998</v>
      </c>
      <c r="J288" s="12"/>
      <c r="K288" s="15"/>
      <c r="N288" s="12"/>
    </row>
    <row r="289" spans="1:14" x14ac:dyDescent="0.3">
      <c r="A289" t="s">
        <v>8</v>
      </c>
      <c r="B289">
        <v>1991</v>
      </c>
      <c r="C289" s="12">
        <v>1991.6666666666799</v>
      </c>
      <c r="E289" s="8">
        <v>33482</v>
      </c>
      <c r="F289">
        <v>212.1</v>
      </c>
      <c r="J289" s="12"/>
      <c r="K289" s="15"/>
      <c r="N289" s="12"/>
    </row>
    <row r="290" spans="1:14" x14ac:dyDescent="0.3">
      <c r="A290" t="s">
        <v>7</v>
      </c>
      <c r="B290">
        <v>1991</v>
      </c>
      <c r="C290" s="12">
        <v>1991.5833333333501</v>
      </c>
      <c r="E290" s="9">
        <v>33451</v>
      </c>
      <c r="F290">
        <v>250.5</v>
      </c>
      <c r="J290" s="12"/>
      <c r="K290" s="15"/>
      <c r="N290" s="12"/>
    </row>
    <row r="291" spans="1:14" x14ac:dyDescent="0.3">
      <c r="A291" t="s">
        <v>6</v>
      </c>
      <c r="B291">
        <v>1991</v>
      </c>
      <c r="C291" s="12">
        <v>1991.50000000001</v>
      </c>
      <c r="E291" s="8">
        <v>33420</v>
      </c>
      <c r="F291">
        <v>267.10000000000002</v>
      </c>
      <c r="J291" s="12"/>
      <c r="K291" s="15"/>
      <c r="N291" s="12"/>
    </row>
    <row r="292" spans="1:14" x14ac:dyDescent="0.3">
      <c r="A292" t="s">
        <v>5</v>
      </c>
      <c r="B292">
        <v>1991</v>
      </c>
      <c r="C292" s="12">
        <v>1991.4166666666799</v>
      </c>
      <c r="E292" s="9">
        <v>33390</v>
      </c>
      <c r="F292">
        <v>268.8</v>
      </c>
      <c r="J292" s="12"/>
      <c r="K292" s="15"/>
      <c r="N292" s="12"/>
    </row>
    <row r="293" spans="1:14" x14ac:dyDescent="0.3">
      <c r="A293" t="s">
        <v>4</v>
      </c>
      <c r="B293">
        <v>1991</v>
      </c>
      <c r="C293" s="12">
        <v>1991.3333333333501</v>
      </c>
      <c r="E293" s="8">
        <v>33359</v>
      </c>
      <c r="F293">
        <v>232.1</v>
      </c>
      <c r="J293" s="12"/>
      <c r="K293" s="15"/>
      <c r="N293" s="12"/>
    </row>
    <row r="294" spans="1:14" x14ac:dyDescent="0.3">
      <c r="A294" t="s">
        <v>3</v>
      </c>
      <c r="B294">
        <v>1991</v>
      </c>
      <c r="C294" s="12">
        <v>1991.25000000001</v>
      </c>
      <c r="E294" s="9">
        <v>33329</v>
      </c>
      <c r="F294">
        <v>171.9</v>
      </c>
      <c r="J294" s="12"/>
      <c r="K294" s="15"/>
      <c r="N294" s="12"/>
    </row>
    <row r="295" spans="1:14" x14ac:dyDescent="0.3">
      <c r="A295" t="s">
        <v>2</v>
      </c>
      <c r="B295">
        <v>1991</v>
      </c>
      <c r="C295" s="12">
        <v>1991.1666666666799</v>
      </c>
      <c r="E295" s="8">
        <v>33298</v>
      </c>
      <c r="F295">
        <v>157.69999999999999</v>
      </c>
      <c r="J295" s="12"/>
      <c r="K295" s="15"/>
      <c r="N295" s="12"/>
    </row>
    <row r="296" spans="1:14" x14ac:dyDescent="0.3">
      <c r="A296" t="s">
        <v>1</v>
      </c>
      <c r="B296">
        <v>1991</v>
      </c>
      <c r="C296" s="12">
        <v>1991.0833333333501</v>
      </c>
      <c r="E296" s="9">
        <v>33270</v>
      </c>
      <c r="F296">
        <v>157.6</v>
      </c>
      <c r="J296" s="12"/>
      <c r="K296" s="15"/>
      <c r="N296" s="12"/>
    </row>
    <row r="297" spans="1:14" x14ac:dyDescent="0.3">
      <c r="A297" t="s">
        <v>0</v>
      </c>
      <c r="B297">
        <v>1991</v>
      </c>
      <c r="C297" s="12">
        <v>1991.00000000001</v>
      </c>
      <c r="E297" s="8">
        <v>33239</v>
      </c>
      <c r="F297">
        <v>282.3</v>
      </c>
      <c r="J297" s="12"/>
      <c r="K297" s="15"/>
      <c r="N297" s="12"/>
    </row>
    <row r="298" spans="1:14" x14ac:dyDescent="0.3">
      <c r="A298" t="s">
        <v>11</v>
      </c>
      <c r="B298">
        <v>1990</v>
      </c>
      <c r="C298" s="12">
        <v>1990.9166666666799</v>
      </c>
      <c r="D298">
        <v>569.6</v>
      </c>
      <c r="E298" s="9">
        <v>33208</v>
      </c>
      <c r="F298">
        <v>479.1</v>
      </c>
      <c r="J298" s="12"/>
      <c r="K298" s="15"/>
      <c r="N298" s="12">
        <f>STANDARDIZE(D298,K$21,L$21)</f>
        <v>-0.399640208675763</v>
      </c>
    </row>
    <row r="299" spans="1:14" x14ac:dyDescent="0.3">
      <c r="A299" t="s">
        <v>10</v>
      </c>
      <c r="B299">
        <v>1990</v>
      </c>
      <c r="C299" s="12">
        <v>1990.8333333333501</v>
      </c>
      <c r="D299">
        <v>526.79999999999995</v>
      </c>
      <c r="E299" s="8">
        <v>33178</v>
      </c>
      <c r="F299">
        <v>455.1</v>
      </c>
      <c r="J299" s="12"/>
      <c r="K299" s="15"/>
      <c r="N299" s="12">
        <f>STANDARDIZE(D299,K$20,L$20)</f>
        <v>-0.38883811031386112</v>
      </c>
    </row>
    <row r="300" spans="1:14" x14ac:dyDescent="0.3">
      <c r="A300" t="s">
        <v>9</v>
      </c>
      <c r="B300">
        <v>1990</v>
      </c>
      <c r="C300" s="12">
        <v>1990.75000000001</v>
      </c>
      <c r="D300">
        <v>448.8</v>
      </c>
      <c r="E300" s="9">
        <v>33147</v>
      </c>
      <c r="F300">
        <v>365.6</v>
      </c>
      <c r="J300" s="12"/>
      <c r="K300" s="15"/>
      <c r="N300" s="12">
        <f>STANDARDIZE(D300,K$19,L$19)</f>
        <v>-0.52408710854844398</v>
      </c>
    </row>
    <row r="301" spans="1:14" x14ac:dyDescent="0.3">
      <c r="A301" t="s">
        <v>8</v>
      </c>
      <c r="B301">
        <v>1990</v>
      </c>
      <c r="C301" s="12">
        <v>1990.6666666666799</v>
      </c>
      <c r="D301">
        <v>369.5</v>
      </c>
      <c r="E301" s="8">
        <v>33117</v>
      </c>
      <c r="F301">
        <v>304.10000000000002</v>
      </c>
      <c r="J301" s="12"/>
      <c r="K301" s="15"/>
      <c r="N301" s="12">
        <f>STANDARDIZE(D301,K$18,L$18)</f>
        <v>-0.6413063360286676</v>
      </c>
    </row>
    <row r="302" spans="1:14" x14ac:dyDescent="0.3">
      <c r="A302" t="s">
        <v>7</v>
      </c>
      <c r="B302">
        <v>1990</v>
      </c>
      <c r="C302" s="12">
        <v>1990.5833333333501</v>
      </c>
      <c r="D302">
        <v>371.6</v>
      </c>
      <c r="E302" s="9">
        <v>33086</v>
      </c>
      <c r="F302">
        <v>294.8</v>
      </c>
      <c r="J302" s="12"/>
      <c r="K302" s="15"/>
      <c r="N302" s="12">
        <f>STANDARDIZE(D302,K$17,L$17)</f>
        <v>-0.63079307327892276</v>
      </c>
    </row>
    <row r="303" spans="1:14" x14ac:dyDescent="0.3">
      <c r="A303" t="s">
        <v>6</v>
      </c>
      <c r="B303">
        <v>1990</v>
      </c>
      <c r="C303" s="12">
        <v>1990.50000000001</v>
      </c>
      <c r="D303">
        <v>404.9</v>
      </c>
      <c r="E303" s="8">
        <v>33055</v>
      </c>
      <c r="F303">
        <v>325.10000000000002</v>
      </c>
      <c r="J303" s="12"/>
      <c r="K303" s="15"/>
      <c r="N303" s="12">
        <f>STANDARDIZE(D303,K$16,L$16)</f>
        <v>-0.60273908682914168</v>
      </c>
    </row>
    <row r="304" spans="1:14" x14ac:dyDescent="0.3">
      <c r="A304" t="s">
        <v>5</v>
      </c>
      <c r="B304">
        <v>1990</v>
      </c>
      <c r="C304" s="12">
        <v>1990.4166666666799</v>
      </c>
      <c r="D304">
        <v>402.5</v>
      </c>
      <c r="E304" s="9">
        <v>33025</v>
      </c>
      <c r="F304">
        <v>335.2</v>
      </c>
      <c r="J304" s="12"/>
      <c r="K304" s="15"/>
      <c r="N304" s="12">
        <f>STANDARDIZE(D304,K$15,L$15)</f>
        <v>-0.55611300681676301</v>
      </c>
    </row>
    <row r="305" spans="1:14" x14ac:dyDescent="0.3">
      <c r="A305" t="s">
        <v>4</v>
      </c>
      <c r="B305">
        <v>1990</v>
      </c>
      <c r="C305" s="12">
        <v>1990.3333333333401</v>
      </c>
      <c r="D305">
        <v>384.8</v>
      </c>
      <c r="E305" s="8">
        <v>32994</v>
      </c>
      <c r="F305">
        <v>306.89999999999998</v>
      </c>
      <c r="J305" s="12"/>
      <c r="K305" s="15"/>
      <c r="N305" s="12">
        <f>STANDARDIZE(D305,K$14,L$14)</f>
        <v>-0.31570729243355072</v>
      </c>
    </row>
    <row r="306" spans="1:14" x14ac:dyDescent="0.3">
      <c r="A306" t="s">
        <v>3</v>
      </c>
      <c r="B306">
        <v>1990</v>
      </c>
      <c r="C306" s="12">
        <v>1990.25000000001</v>
      </c>
      <c r="D306">
        <v>260.39999999999998</v>
      </c>
      <c r="E306" s="9">
        <v>32964</v>
      </c>
      <c r="F306">
        <v>204.3</v>
      </c>
      <c r="J306" s="12"/>
      <c r="K306" s="15"/>
      <c r="N306" s="12">
        <f>STANDARDIZE(D306,K$13,L$13)</f>
        <v>-0.2583360527431951</v>
      </c>
    </row>
    <row r="307" spans="1:14" x14ac:dyDescent="0.3">
      <c r="A307" t="s">
        <v>2</v>
      </c>
      <c r="B307">
        <v>1990</v>
      </c>
      <c r="C307" s="12">
        <v>1990.1666666666799</v>
      </c>
      <c r="D307">
        <v>245.5</v>
      </c>
      <c r="E307" s="8">
        <v>32933</v>
      </c>
      <c r="F307">
        <v>184.1</v>
      </c>
      <c r="J307" s="12"/>
      <c r="K307" s="15"/>
      <c r="N307" s="12">
        <f>STANDARDIZE(D307,K$12,L$12)</f>
        <v>-0.12954403659263086</v>
      </c>
    </row>
    <row r="308" spans="1:14" x14ac:dyDescent="0.3">
      <c r="A308" t="s">
        <v>1</v>
      </c>
      <c r="B308">
        <v>1990</v>
      </c>
      <c r="C308" s="12">
        <v>1990.0833333333401</v>
      </c>
      <c r="D308">
        <v>247.8</v>
      </c>
      <c r="E308" s="9">
        <v>32905</v>
      </c>
      <c r="F308">
        <v>208.9</v>
      </c>
      <c r="J308" s="12"/>
      <c r="K308" s="15"/>
      <c r="N308" s="12">
        <f>STANDARDIZE(D308,K$11,L$11)</f>
        <v>-0.2652049667351602</v>
      </c>
    </row>
    <row r="309" spans="1:14" x14ac:dyDescent="0.3">
      <c r="A309" t="s">
        <v>0</v>
      </c>
      <c r="B309">
        <v>1990</v>
      </c>
      <c r="C309" s="12">
        <v>1990.00000000001</v>
      </c>
      <c r="D309">
        <v>409.9</v>
      </c>
      <c r="E309" s="8">
        <v>32874</v>
      </c>
      <c r="F309">
        <v>330.1</v>
      </c>
      <c r="J309" s="12"/>
      <c r="K309" s="15"/>
      <c r="N309" s="12">
        <f>STANDARDIZE(D309,K$10,L$10)</f>
        <v>-0.41763896975551579</v>
      </c>
    </row>
    <row r="310" spans="1:14" x14ac:dyDescent="0.3">
      <c r="A310" t="s">
        <v>11</v>
      </c>
      <c r="B310">
        <v>1989</v>
      </c>
      <c r="C310" s="12">
        <v>1989.9166666666799</v>
      </c>
      <c r="D310">
        <v>614.6</v>
      </c>
      <c r="E310" s="9">
        <v>32843</v>
      </c>
      <c r="F310">
        <v>522.4</v>
      </c>
      <c r="J310" s="12"/>
      <c r="K310" s="15"/>
      <c r="N310" s="12">
        <f>STANDARDIZE(D310,K$21,L$21)</f>
        <v>-0.25342157053403447</v>
      </c>
    </row>
    <row r="311" spans="1:14" x14ac:dyDescent="0.3">
      <c r="A311" t="s">
        <v>10</v>
      </c>
      <c r="B311">
        <v>1989</v>
      </c>
      <c r="C311" s="12">
        <v>1989.8333333333401</v>
      </c>
      <c r="D311">
        <v>601.9</v>
      </c>
      <c r="E311" s="8">
        <v>32813</v>
      </c>
      <c r="F311">
        <v>529.4</v>
      </c>
      <c r="J311" s="12"/>
      <c r="K311" s="15"/>
      <c r="N311" s="12">
        <f>STANDARDIZE(D311,K$20,L$20)</f>
        <v>-0.11924847348580822</v>
      </c>
    </row>
    <row r="312" spans="1:14" x14ac:dyDescent="0.3">
      <c r="A312" t="s">
        <v>9</v>
      </c>
      <c r="B312">
        <v>1989</v>
      </c>
      <c r="C312" s="12">
        <v>1989.75000000001</v>
      </c>
      <c r="D312">
        <v>542.9</v>
      </c>
      <c r="E312" s="9">
        <v>32782</v>
      </c>
      <c r="F312">
        <v>453.6</v>
      </c>
      <c r="J312" s="12"/>
      <c r="K312" s="15"/>
      <c r="N312" s="12">
        <f>STANDARDIZE(D312,K$19,L$19)</f>
        <v>-0.12773109557349074</v>
      </c>
    </row>
    <row r="313" spans="1:14" x14ac:dyDescent="0.3">
      <c r="A313" t="s">
        <v>8</v>
      </c>
      <c r="B313">
        <v>1989</v>
      </c>
      <c r="C313" s="12">
        <v>1989.6666666666799</v>
      </c>
      <c r="D313">
        <v>425</v>
      </c>
      <c r="E313" s="8">
        <v>32752</v>
      </c>
      <c r="F313">
        <v>356.6</v>
      </c>
      <c r="J313" s="12"/>
      <c r="K313" s="15"/>
      <c r="N313" s="12">
        <f>STANDARDIZE(D313,K$18,L$18)</f>
        <v>-0.41660619935195636</v>
      </c>
    </row>
    <row r="314" spans="1:14" x14ac:dyDescent="0.3">
      <c r="A314" t="s">
        <v>7</v>
      </c>
      <c r="B314">
        <v>1989</v>
      </c>
      <c r="C314" s="12">
        <v>1989.5833333333401</v>
      </c>
      <c r="D314">
        <v>383.6</v>
      </c>
      <c r="E314" s="9">
        <v>32721</v>
      </c>
      <c r="F314">
        <v>305.7</v>
      </c>
      <c r="J314" s="12"/>
      <c r="K314" s="15"/>
      <c r="N314" s="12">
        <f>STANDARDIZE(D314,K$17,L$17)</f>
        <v>-0.58400990344365034</v>
      </c>
    </row>
    <row r="315" spans="1:14" x14ac:dyDescent="0.3">
      <c r="A315" t="s">
        <v>6</v>
      </c>
      <c r="B315">
        <v>1989</v>
      </c>
      <c r="C315" s="12">
        <v>1989.50000000001</v>
      </c>
      <c r="D315">
        <v>397.4</v>
      </c>
      <c r="E315" s="8">
        <v>32690</v>
      </c>
      <c r="F315">
        <v>318.2</v>
      </c>
      <c r="J315" s="12"/>
      <c r="K315" s="15"/>
      <c r="N315" s="12">
        <f>STANDARDIZE(D315,K$16,L$16)</f>
        <v>-0.6325193866277723</v>
      </c>
    </row>
    <row r="316" spans="1:14" x14ac:dyDescent="0.3">
      <c r="A316" t="s">
        <v>5</v>
      </c>
      <c r="B316">
        <v>1989</v>
      </c>
      <c r="C316" s="12">
        <v>1989.4166666666799</v>
      </c>
      <c r="D316">
        <v>379</v>
      </c>
      <c r="E316" s="9">
        <v>32660</v>
      </c>
      <c r="F316">
        <v>313</v>
      </c>
      <c r="J316" s="12"/>
      <c r="K316" s="15"/>
      <c r="N316" s="12">
        <f>STANDARDIZE(D316,K$15,L$15)</f>
        <v>-0.66037627285432576</v>
      </c>
    </row>
    <row r="317" spans="1:14" x14ac:dyDescent="0.3">
      <c r="A317" t="s">
        <v>4</v>
      </c>
      <c r="B317">
        <v>1989</v>
      </c>
      <c r="C317" s="12">
        <v>1989.3333333333401</v>
      </c>
      <c r="D317">
        <v>306.5</v>
      </c>
      <c r="E317" s="8">
        <v>32629</v>
      </c>
      <c r="F317">
        <v>237.3</v>
      </c>
      <c r="J317" s="12"/>
      <c r="K317" s="15"/>
      <c r="N317" s="12">
        <f>STANDARDIZE(D317,K$14,L$14)</f>
        <v>-0.70070933266679025</v>
      </c>
    </row>
    <row r="318" spans="1:14" x14ac:dyDescent="0.3">
      <c r="A318" t="s">
        <v>3</v>
      </c>
      <c r="B318">
        <v>1989</v>
      </c>
      <c r="C318" s="12">
        <v>1989.25000000001</v>
      </c>
      <c r="D318">
        <v>277.2</v>
      </c>
      <c r="E318" s="9">
        <v>32599</v>
      </c>
      <c r="F318">
        <v>219.7</v>
      </c>
      <c r="J318" s="12"/>
      <c r="K318" s="15"/>
      <c r="N318" s="12">
        <f>STANDARDIZE(D318,K$13,L$13)</f>
        <v>-0.15121361602657246</v>
      </c>
    </row>
    <row r="319" spans="1:14" x14ac:dyDescent="0.3">
      <c r="A319" t="s">
        <v>2</v>
      </c>
      <c r="B319">
        <v>1989</v>
      </c>
      <c r="C319" s="12">
        <v>1989.1666666666799</v>
      </c>
      <c r="D319">
        <v>326.89999999999998</v>
      </c>
      <c r="E319" s="8">
        <v>32568</v>
      </c>
      <c r="F319">
        <v>254.9</v>
      </c>
      <c r="J319" s="12"/>
      <c r="K319" s="15"/>
      <c r="N319" s="12">
        <f>STANDARDIZE(D319,K$12,L$12)</f>
        <v>0.44239626799412046</v>
      </c>
    </row>
    <row r="320" spans="1:14" x14ac:dyDescent="0.3">
      <c r="A320" t="s">
        <v>1</v>
      </c>
      <c r="B320">
        <v>1989</v>
      </c>
      <c r="C320" s="12">
        <v>1989.0833333333401</v>
      </c>
      <c r="D320">
        <v>413.2</v>
      </c>
      <c r="E320" s="9">
        <v>32540</v>
      </c>
      <c r="F320">
        <v>374</v>
      </c>
      <c r="J320" s="12"/>
      <c r="K320" s="15"/>
      <c r="N320" s="12">
        <f>STANDARDIZE(D320,K$11,L$11)</f>
        <v>0.68692329152183784</v>
      </c>
    </row>
    <row r="321" spans="1:14" x14ac:dyDescent="0.3">
      <c r="A321" t="s">
        <v>0</v>
      </c>
      <c r="B321">
        <v>1989</v>
      </c>
      <c r="C321" s="12">
        <v>1989.00000000001</v>
      </c>
      <c r="D321">
        <v>639.9</v>
      </c>
      <c r="E321" s="8">
        <v>32509</v>
      </c>
      <c r="F321">
        <v>546.9</v>
      </c>
      <c r="J321" s="12"/>
      <c r="K321" s="15"/>
      <c r="N321" s="12">
        <f>STANDARDIZE(D321,K$10,L$10)</f>
        <v>0.42628202535764104</v>
      </c>
    </row>
    <row r="322" spans="1:14" x14ac:dyDescent="0.3">
      <c r="A322" t="s">
        <v>11</v>
      </c>
      <c r="B322">
        <v>1988</v>
      </c>
      <c r="C322" s="12">
        <v>1988.9166666666799</v>
      </c>
      <c r="D322">
        <v>765.2</v>
      </c>
      <c r="E322" s="9">
        <v>32478</v>
      </c>
      <c r="F322">
        <v>670</v>
      </c>
      <c r="J322" s="12"/>
      <c r="K322" s="15"/>
      <c r="N322" s="12">
        <f>STANDARDIZE(D322,K$21,L$21)</f>
        <v>0.23592347178028369</v>
      </c>
    </row>
    <row r="323" spans="1:14" x14ac:dyDescent="0.3">
      <c r="A323" t="s">
        <v>10</v>
      </c>
      <c r="B323">
        <v>1988</v>
      </c>
      <c r="C323" s="12">
        <v>1988.8333333333401</v>
      </c>
      <c r="D323">
        <v>747.4</v>
      </c>
      <c r="E323" s="8">
        <v>32448</v>
      </c>
      <c r="F323">
        <v>677.1</v>
      </c>
      <c r="J323" s="12"/>
      <c r="K323" s="15"/>
      <c r="N323" s="12">
        <f>STANDARDIZE(D323,K$20,L$20)</f>
        <v>0.40305901197999311</v>
      </c>
    </row>
    <row r="324" spans="1:14" x14ac:dyDescent="0.3">
      <c r="A324" t="s">
        <v>9</v>
      </c>
      <c r="B324">
        <v>1988</v>
      </c>
      <c r="C324" s="12">
        <v>1988.75000000001</v>
      </c>
      <c r="D324">
        <v>778.8</v>
      </c>
      <c r="E324" s="9">
        <v>32417</v>
      </c>
      <c r="F324">
        <v>683.7</v>
      </c>
      <c r="J324" s="12"/>
      <c r="K324" s="15"/>
      <c r="N324" s="12">
        <f>STANDARDIZE(D324,K$19,L$19)</f>
        <v>0.86589678392482483</v>
      </c>
    </row>
    <row r="325" spans="1:14" x14ac:dyDescent="0.3">
      <c r="A325" t="s">
        <v>8</v>
      </c>
      <c r="B325">
        <v>1988</v>
      </c>
      <c r="C325" s="12">
        <v>1988.6666666666799</v>
      </c>
      <c r="D325">
        <v>695.4</v>
      </c>
      <c r="E325" s="8">
        <v>32387</v>
      </c>
      <c r="F325">
        <v>623.9</v>
      </c>
      <c r="J325" s="12"/>
      <c r="K325" s="15"/>
      <c r="N325" s="12">
        <f>STANDARDIZE(D325,K$18,L$18)</f>
        <v>0.6781490611414257</v>
      </c>
    </row>
    <row r="326" spans="1:14" x14ac:dyDescent="0.3">
      <c r="A326" t="s">
        <v>7</v>
      </c>
      <c r="B326">
        <v>1988</v>
      </c>
      <c r="C326" s="12">
        <v>1988.5833333333401</v>
      </c>
      <c r="D326">
        <v>648.6</v>
      </c>
      <c r="E326" s="9">
        <v>32356</v>
      </c>
      <c r="F326">
        <v>555.29999999999995</v>
      </c>
      <c r="J326" s="12"/>
      <c r="K326" s="15"/>
      <c r="N326" s="12">
        <f>STANDARDIZE(D326,K$17,L$17)</f>
        <v>0.44911843041861449</v>
      </c>
    </row>
    <row r="327" spans="1:14" x14ac:dyDescent="0.3">
      <c r="A327" t="s">
        <v>6</v>
      </c>
      <c r="B327">
        <v>1988</v>
      </c>
      <c r="C327" s="12">
        <v>1988.50000000001</v>
      </c>
      <c r="D327">
        <v>563.79999999999995</v>
      </c>
      <c r="E327" s="8">
        <v>32325</v>
      </c>
      <c r="F327">
        <v>473.6</v>
      </c>
      <c r="J327" s="12"/>
      <c r="K327" s="15"/>
      <c r="N327" s="12">
        <f>STANDARDIZE(D327,K$16,L$16)</f>
        <v>2.8206198237845276E-2</v>
      </c>
    </row>
    <row r="328" spans="1:14" x14ac:dyDescent="0.3">
      <c r="A328" t="s">
        <v>5</v>
      </c>
      <c r="B328">
        <v>1988</v>
      </c>
      <c r="C328" s="12">
        <v>1988.4166666666699</v>
      </c>
      <c r="D328">
        <v>414.8</v>
      </c>
      <c r="E328" s="9">
        <v>32295</v>
      </c>
      <c r="F328">
        <v>347</v>
      </c>
      <c r="J328" s="12"/>
      <c r="K328" s="15"/>
      <c r="N328" s="12">
        <f>STANDARDIZE(D328,K$15,L$15)</f>
        <v>-0.50154116969923013</v>
      </c>
    </row>
    <row r="329" spans="1:14" x14ac:dyDescent="0.3">
      <c r="A329" t="s">
        <v>4</v>
      </c>
      <c r="B329">
        <v>1988</v>
      </c>
      <c r="C329" s="12">
        <v>1988.3333333333401</v>
      </c>
      <c r="D329">
        <v>361.9</v>
      </c>
      <c r="E329" s="8">
        <v>32264</v>
      </c>
      <c r="F329">
        <v>286.3</v>
      </c>
      <c r="J329" s="12"/>
      <c r="K329" s="15"/>
      <c r="N329" s="12">
        <f>STANDARDIZE(D329,K$14,L$14)</f>
        <v>-0.42830686741875124</v>
      </c>
    </row>
    <row r="330" spans="1:14" x14ac:dyDescent="0.3">
      <c r="A330" t="s">
        <v>3</v>
      </c>
      <c r="B330">
        <v>1988</v>
      </c>
      <c r="C330" s="12">
        <v>1988.25000000001</v>
      </c>
      <c r="D330">
        <v>226.1</v>
      </c>
      <c r="E330" s="9">
        <v>32234</v>
      </c>
      <c r="F330">
        <v>175</v>
      </c>
      <c r="J330" s="12"/>
      <c r="K330" s="15"/>
      <c r="N330" s="12">
        <f>STANDARDIZE(D330,K$13,L$13)</f>
        <v>-0.47704436103963271</v>
      </c>
    </row>
    <row r="331" spans="1:14" x14ac:dyDescent="0.3">
      <c r="A331" t="s">
        <v>2</v>
      </c>
      <c r="B331">
        <v>1988</v>
      </c>
      <c r="C331" s="12">
        <v>1988.1666666666699</v>
      </c>
      <c r="D331">
        <v>172.6</v>
      </c>
      <c r="E331" s="8">
        <v>32203</v>
      </c>
      <c r="F331">
        <v>123.6</v>
      </c>
      <c r="J331" s="12"/>
      <c r="K331" s="15"/>
      <c r="N331" s="12">
        <f>STANDARDIZE(D331,K$12,L$12)</f>
        <v>-0.64176084500017616</v>
      </c>
    </row>
    <row r="332" spans="1:14" x14ac:dyDescent="0.3">
      <c r="A332" t="s">
        <v>1</v>
      </c>
      <c r="B332">
        <v>1988</v>
      </c>
      <c r="C332" s="12">
        <v>1988.0833333333401</v>
      </c>
      <c r="D332">
        <v>238.2</v>
      </c>
      <c r="E332" s="9">
        <v>32174</v>
      </c>
      <c r="F332">
        <v>192.3</v>
      </c>
      <c r="J332" s="12"/>
      <c r="K332" s="15"/>
      <c r="N332" s="12">
        <f>STANDARDIZE(D332,K$11,L$11)</f>
        <v>-0.32046755004390992</v>
      </c>
    </row>
    <row r="333" spans="1:14" x14ac:dyDescent="0.3">
      <c r="A333" t="s">
        <v>0</v>
      </c>
      <c r="B333">
        <v>1988</v>
      </c>
      <c r="C333" s="12">
        <v>1988.00000000001</v>
      </c>
      <c r="D333">
        <v>525.9</v>
      </c>
      <c r="E333" s="8">
        <v>32143</v>
      </c>
      <c r="F333">
        <v>438.4</v>
      </c>
      <c r="J333" s="12"/>
      <c r="K333" s="15"/>
      <c r="N333" s="12">
        <f>STANDARDIZE(D333,K$10,L$10)</f>
        <v>7.990749518945935E-3</v>
      </c>
    </row>
    <row r="334" spans="1:14" x14ac:dyDescent="0.3">
      <c r="A334" t="s">
        <v>11</v>
      </c>
      <c r="B334">
        <v>1987</v>
      </c>
      <c r="C334" s="12">
        <v>1987.9166666666699</v>
      </c>
      <c r="D334">
        <v>697.7</v>
      </c>
      <c r="E334" s="9">
        <v>32112</v>
      </c>
      <c r="F334">
        <v>603.29999999999995</v>
      </c>
      <c r="J334" s="12"/>
      <c r="K334" s="15"/>
      <c r="N334" s="12">
        <f>STANDARDIZE(D334,K$21,L$21)</f>
        <v>1.6595514567690928E-2</v>
      </c>
    </row>
    <row r="335" spans="1:14" x14ac:dyDescent="0.3">
      <c r="A335" t="s">
        <v>10</v>
      </c>
      <c r="B335">
        <v>1987</v>
      </c>
      <c r="C335" s="12">
        <v>1987.8333333333401</v>
      </c>
      <c r="D335">
        <v>619.70000000000005</v>
      </c>
      <c r="E335" s="8">
        <v>32082</v>
      </c>
      <c r="F335">
        <v>547.29999999999995</v>
      </c>
      <c r="J335" s="12"/>
      <c r="K335" s="15"/>
      <c r="N335" s="12">
        <f>STANDARDIZE(D335,K$20,L$20)</f>
        <v>-5.5351062892740874E-2</v>
      </c>
    </row>
    <row r="336" spans="1:14" x14ac:dyDescent="0.3">
      <c r="A336" t="s">
        <v>9</v>
      </c>
      <c r="B336">
        <v>1987</v>
      </c>
      <c r="C336" s="12">
        <v>1987.75000000001</v>
      </c>
      <c r="D336">
        <v>546.20000000000005</v>
      </c>
      <c r="E336" s="9">
        <v>32051</v>
      </c>
      <c r="F336">
        <v>456.9</v>
      </c>
      <c r="J336" s="12"/>
      <c r="K336" s="15"/>
      <c r="N336" s="12">
        <f>STANDARDIZE(D336,K$19,L$19)</f>
        <v>-0.11383125664875778</v>
      </c>
    </row>
    <row r="337" spans="1:14" x14ac:dyDescent="0.3">
      <c r="A337" t="s">
        <v>8</v>
      </c>
      <c r="B337">
        <v>1987</v>
      </c>
      <c r="C337" s="12">
        <v>1987.6666666666699</v>
      </c>
      <c r="D337">
        <v>455.2</v>
      </c>
      <c r="E337" s="8">
        <v>32021</v>
      </c>
      <c r="F337">
        <v>385.4</v>
      </c>
      <c r="J337" s="12"/>
      <c r="K337" s="15"/>
      <c r="N337" s="12">
        <f>STANDARDIZE(D337,K$18,L$18)</f>
        <v>-0.29433693579093517</v>
      </c>
    </row>
    <row r="338" spans="1:14" x14ac:dyDescent="0.3">
      <c r="A338" t="s">
        <v>7</v>
      </c>
      <c r="B338">
        <v>1987</v>
      </c>
      <c r="C338" s="12">
        <v>1987.5833333333401</v>
      </c>
      <c r="D338">
        <v>433</v>
      </c>
      <c r="E338" s="9">
        <v>31990</v>
      </c>
      <c r="F338">
        <v>350.9</v>
      </c>
      <c r="J338" s="12"/>
      <c r="K338" s="15"/>
      <c r="N338" s="12">
        <f>STANDARDIZE(D338,K$17,L$17)</f>
        <v>-0.39141918762177919</v>
      </c>
    </row>
    <row r="339" spans="1:14" x14ac:dyDescent="0.3">
      <c r="A339" t="s">
        <v>6</v>
      </c>
      <c r="B339">
        <v>1987</v>
      </c>
      <c r="C339" s="12">
        <v>1987.50000000001</v>
      </c>
      <c r="D339">
        <v>354.7</v>
      </c>
      <c r="E339" s="8">
        <v>31959</v>
      </c>
      <c r="F339">
        <v>279.7</v>
      </c>
      <c r="J339" s="12"/>
      <c r="K339" s="15"/>
      <c r="N339" s="12">
        <f>STANDARDIZE(D339,K$16,L$16)</f>
        <v>-0.80206856014797578</v>
      </c>
    </row>
    <row r="340" spans="1:14" x14ac:dyDescent="0.3">
      <c r="A340" t="s">
        <v>5</v>
      </c>
      <c r="B340">
        <v>1987</v>
      </c>
      <c r="C340" s="12">
        <v>1987.4166666666699</v>
      </c>
      <c r="D340">
        <v>387.9</v>
      </c>
      <c r="E340" s="9">
        <v>31929</v>
      </c>
      <c r="F340">
        <v>321.3</v>
      </c>
      <c r="J340" s="12"/>
      <c r="K340" s="15"/>
      <c r="N340" s="12">
        <f>STANDARDIZE(D340,K$15,L$15)</f>
        <v>-0.62088933380180211</v>
      </c>
    </row>
    <row r="341" spans="1:14" x14ac:dyDescent="0.3">
      <c r="A341" t="s">
        <v>4</v>
      </c>
      <c r="B341">
        <v>1987</v>
      </c>
      <c r="C341" s="12">
        <v>1987.3333333333401</v>
      </c>
      <c r="D341">
        <v>318.5</v>
      </c>
      <c r="E341" s="8">
        <v>31898</v>
      </c>
      <c r="F341">
        <v>247.8</v>
      </c>
      <c r="J341" s="12"/>
      <c r="K341" s="15"/>
      <c r="N341" s="12">
        <f>STANDARDIZE(D341,K$14,L$14)</f>
        <v>-0.64170518856974212</v>
      </c>
    </row>
    <row r="342" spans="1:14" x14ac:dyDescent="0.3">
      <c r="A342" t="s">
        <v>3</v>
      </c>
      <c r="B342">
        <v>1987</v>
      </c>
      <c r="C342" s="12">
        <v>1987.25000000001</v>
      </c>
      <c r="D342">
        <v>161.19999999999999</v>
      </c>
      <c r="E342" s="9">
        <v>31868</v>
      </c>
      <c r="F342">
        <v>118.8</v>
      </c>
      <c r="J342" s="12"/>
      <c r="K342" s="15"/>
      <c r="N342" s="12">
        <f>STANDARDIZE(D342,K$13,L$13)</f>
        <v>-0.89086853621277595</v>
      </c>
    </row>
    <row r="343" spans="1:14" x14ac:dyDescent="0.3">
      <c r="A343" t="s">
        <v>2</v>
      </c>
      <c r="B343">
        <v>1987</v>
      </c>
      <c r="C343" s="12">
        <v>1987.1666666666699</v>
      </c>
      <c r="D343">
        <v>116.5</v>
      </c>
      <c r="E343" s="8">
        <v>31837</v>
      </c>
      <c r="F343">
        <v>79</v>
      </c>
      <c r="J343" s="12"/>
      <c r="K343" s="15"/>
      <c r="N343" s="12">
        <f>STANDARDIZE(D343,K$12,L$12)</f>
        <v>-1.0359359197829372</v>
      </c>
    </row>
    <row r="344" spans="1:14" x14ac:dyDescent="0.3">
      <c r="A344" t="s">
        <v>1</v>
      </c>
      <c r="B344">
        <v>1987</v>
      </c>
      <c r="C344" s="12">
        <v>1987.0833333333401</v>
      </c>
      <c r="D344">
        <v>135.9</v>
      </c>
      <c r="E344" s="9">
        <v>31809</v>
      </c>
      <c r="F344">
        <v>105.7</v>
      </c>
      <c r="J344" s="12"/>
      <c r="K344" s="15"/>
      <c r="N344" s="12">
        <f>STANDARDIZE(D344,K$11,L$11)</f>
        <v>-0.90935945342777269</v>
      </c>
    </row>
    <row r="345" spans="1:14" x14ac:dyDescent="0.3">
      <c r="A345" t="s">
        <v>0</v>
      </c>
      <c r="B345">
        <v>1987</v>
      </c>
      <c r="C345" s="12">
        <v>1987.00000000001</v>
      </c>
      <c r="D345">
        <v>324.39999999999998</v>
      </c>
      <c r="E345" s="8">
        <v>31778</v>
      </c>
      <c r="F345">
        <v>254.4</v>
      </c>
      <c r="J345" s="12"/>
      <c r="K345" s="15"/>
      <c r="N345" s="12">
        <f>STANDARDIZE(D345,K$10,L$10)</f>
        <v>-0.73135742663453707</v>
      </c>
    </row>
    <row r="346" spans="1:14" x14ac:dyDescent="0.3">
      <c r="A346" t="s">
        <v>11</v>
      </c>
      <c r="B346">
        <v>1986</v>
      </c>
      <c r="C346" s="12">
        <v>1986.9166666666699</v>
      </c>
      <c r="D346">
        <v>566.6</v>
      </c>
      <c r="E346" s="9">
        <v>31747</v>
      </c>
      <c r="F346">
        <v>476.3</v>
      </c>
      <c r="J346" s="12"/>
      <c r="K346" s="15"/>
      <c r="N346" s="12">
        <f>STANDARDIZE(D346,K$21,L$21)</f>
        <v>-0.40938811788521157</v>
      </c>
    </row>
    <row r="347" spans="1:14" x14ac:dyDescent="0.3">
      <c r="A347" t="s">
        <v>10</v>
      </c>
      <c r="B347">
        <v>1986</v>
      </c>
      <c r="C347" s="12">
        <v>1986.8333333333401</v>
      </c>
      <c r="D347">
        <v>532.29999999999995</v>
      </c>
      <c r="E347" s="8">
        <v>31717</v>
      </c>
      <c r="F347">
        <v>460.5</v>
      </c>
      <c r="J347" s="12"/>
      <c r="K347" s="15"/>
      <c r="N347" s="12">
        <f>STANDARDIZE(D347,K$20,L$20)</f>
        <v>-0.369094528389037</v>
      </c>
    </row>
    <row r="348" spans="1:14" x14ac:dyDescent="0.3">
      <c r="A348" t="s">
        <v>9</v>
      </c>
      <c r="B348">
        <v>1986</v>
      </c>
      <c r="C348" s="12">
        <v>1986.75000000001</v>
      </c>
      <c r="D348">
        <v>418.2</v>
      </c>
      <c r="E348" s="9">
        <v>31686</v>
      </c>
      <c r="F348">
        <v>337.8</v>
      </c>
      <c r="J348" s="12"/>
      <c r="K348" s="15"/>
      <c r="N348" s="12">
        <f>STANDARDIZE(D348,K$19,L$19)</f>
        <v>-0.65297652403232909</v>
      </c>
    </row>
    <row r="349" spans="1:14" x14ac:dyDescent="0.3">
      <c r="A349" t="s">
        <v>8</v>
      </c>
      <c r="B349">
        <v>1986</v>
      </c>
      <c r="C349" s="12">
        <v>1986.6666666666699</v>
      </c>
      <c r="D349">
        <v>306</v>
      </c>
      <c r="E349" s="8">
        <v>31656</v>
      </c>
      <c r="F349">
        <v>245.5</v>
      </c>
      <c r="J349" s="12"/>
      <c r="K349" s="15"/>
      <c r="N349" s="12">
        <f>STANDARDIZE(D349,K$18,L$18)</f>
        <v>-0.89839568159571559</v>
      </c>
    </row>
    <row r="350" spans="1:14" x14ac:dyDescent="0.3">
      <c r="A350" t="s">
        <v>7</v>
      </c>
      <c r="B350">
        <v>1986</v>
      </c>
      <c r="C350" s="12">
        <v>1986.5833333333401</v>
      </c>
      <c r="D350">
        <v>344.1</v>
      </c>
      <c r="E350" s="9">
        <v>31625</v>
      </c>
      <c r="F350">
        <v>270.3</v>
      </c>
      <c r="J350" s="12"/>
      <c r="K350" s="15"/>
      <c r="N350" s="12">
        <f>STANDARDIZE(D350,K$17,L$17)</f>
        <v>-0.73800450415142194</v>
      </c>
    </row>
    <row r="351" spans="1:14" x14ac:dyDescent="0.3">
      <c r="A351" t="s">
        <v>6</v>
      </c>
      <c r="B351">
        <v>1986</v>
      </c>
      <c r="C351" s="12">
        <v>1986.5</v>
      </c>
      <c r="D351">
        <v>474.5</v>
      </c>
      <c r="E351" s="8">
        <v>31594</v>
      </c>
      <c r="F351">
        <v>389.3</v>
      </c>
      <c r="J351" s="12"/>
      <c r="K351" s="15"/>
      <c r="N351" s="12">
        <f>STANDARDIZE(D351,K$16,L$16)</f>
        <v>-0.32637790469784961</v>
      </c>
    </row>
    <row r="352" spans="1:14" x14ac:dyDescent="0.3">
      <c r="A352" t="s">
        <v>5</v>
      </c>
      <c r="B352">
        <v>1986</v>
      </c>
      <c r="C352" s="12">
        <v>1986.4166666666699</v>
      </c>
      <c r="D352">
        <v>456.3</v>
      </c>
      <c r="E352" s="9">
        <v>31564</v>
      </c>
      <c r="F352">
        <v>386.4</v>
      </c>
      <c r="J352" s="12"/>
      <c r="K352" s="15"/>
      <c r="N352" s="12">
        <f>STANDARDIZE(D352,K$15,L$15)</f>
        <v>-0.31741667861161921</v>
      </c>
    </row>
    <row r="353" spans="1:14" x14ac:dyDescent="0.3">
      <c r="A353" t="s">
        <v>4</v>
      </c>
      <c r="B353">
        <v>1986</v>
      </c>
      <c r="C353" s="12">
        <v>1986.3333333333401</v>
      </c>
      <c r="D353">
        <v>406.7</v>
      </c>
      <c r="E353" s="8">
        <v>31533</v>
      </c>
      <c r="F353">
        <v>326.8</v>
      </c>
      <c r="J353" s="12"/>
      <c r="K353" s="15"/>
      <c r="N353" s="12">
        <f>STANDARDIZE(D353,K$14,L$14)</f>
        <v>-0.20802472945643791</v>
      </c>
    </row>
    <row r="354" spans="1:14" x14ac:dyDescent="0.3">
      <c r="A354" t="s">
        <v>3</v>
      </c>
      <c r="B354">
        <v>1986</v>
      </c>
      <c r="C354" s="12">
        <v>1986.25</v>
      </c>
      <c r="D354">
        <v>292.2</v>
      </c>
      <c r="E354" s="9">
        <v>31503</v>
      </c>
      <c r="F354">
        <v>233.3</v>
      </c>
      <c r="J354" s="12"/>
      <c r="K354" s="15"/>
      <c r="N354" s="12">
        <f>STANDARDIZE(D354,K$13,L$13)</f>
        <v>-5.5568583243873738E-2</v>
      </c>
    </row>
    <row r="355" spans="1:14" x14ac:dyDescent="0.3">
      <c r="A355" t="s">
        <v>2</v>
      </c>
      <c r="B355">
        <v>1986</v>
      </c>
      <c r="C355" s="12">
        <v>1986.1666666666699</v>
      </c>
      <c r="D355">
        <v>255.2</v>
      </c>
      <c r="E355" s="8">
        <v>31472</v>
      </c>
      <c r="F355">
        <v>192.4</v>
      </c>
      <c r="J355" s="12"/>
      <c r="K355" s="15"/>
      <c r="N355" s="12">
        <f>STANDARDIZE(D355,K$12,L$12)</f>
        <v>-6.1388988011654419E-2</v>
      </c>
    </row>
    <row r="356" spans="1:14" x14ac:dyDescent="0.3">
      <c r="A356" t="s">
        <v>1</v>
      </c>
      <c r="B356">
        <v>1986</v>
      </c>
      <c r="C356" s="12">
        <v>1986.0833333333401</v>
      </c>
      <c r="D356">
        <v>218.4</v>
      </c>
      <c r="E356" s="9">
        <v>31444</v>
      </c>
      <c r="F356">
        <v>181.2</v>
      </c>
      <c r="J356" s="12"/>
      <c r="K356" s="15"/>
      <c r="N356" s="12">
        <f>STANDARDIZE(D356,K$11,L$11)</f>
        <v>-0.43444662811820589</v>
      </c>
    </row>
    <row r="357" spans="1:14" x14ac:dyDescent="0.3">
      <c r="A357" t="s">
        <v>0</v>
      </c>
      <c r="B357">
        <v>1986</v>
      </c>
      <c r="C357" s="12">
        <v>1986</v>
      </c>
      <c r="D357">
        <v>384.6</v>
      </c>
      <c r="E357" s="8">
        <v>31413</v>
      </c>
      <c r="F357">
        <v>307.5</v>
      </c>
      <c r="J357" s="12"/>
      <c r="K357" s="15"/>
      <c r="N357" s="12">
        <f>STANDARDIZE(D357,K$10,L$10)</f>
        <v>-0.51047027921796284</v>
      </c>
    </row>
    <row r="358" spans="1:14" x14ac:dyDescent="0.3">
      <c r="A358" t="s">
        <v>11</v>
      </c>
      <c r="B358">
        <v>1985</v>
      </c>
      <c r="C358" s="12">
        <v>1985.9166666666699</v>
      </c>
      <c r="D358">
        <v>568.79999999999995</v>
      </c>
      <c r="E358" s="9">
        <v>31382</v>
      </c>
      <c r="F358">
        <v>478.3</v>
      </c>
      <c r="J358" s="12"/>
      <c r="K358" s="15"/>
      <c r="N358" s="12">
        <f>STANDARDIZE(D358,K$21,L$21)</f>
        <v>-0.40223965113161619</v>
      </c>
    </row>
    <row r="359" spans="1:14" x14ac:dyDescent="0.3">
      <c r="A359" t="s">
        <v>10</v>
      </c>
      <c r="B359">
        <v>1985</v>
      </c>
      <c r="C359" s="12">
        <v>1985.8333333333401</v>
      </c>
      <c r="D359">
        <v>531.29999999999995</v>
      </c>
      <c r="E359" s="8">
        <v>31352</v>
      </c>
      <c r="F359">
        <v>459.5</v>
      </c>
      <c r="J359" s="12"/>
      <c r="K359" s="15"/>
      <c r="N359" s="12">
        <f>STANDARDIZE(D359,K$20,L$20)</f>
        <v>-0.37268427055718684</v>
      </c>
    </row>
    <row r="360" spans="1:14" x14ac:dyDescent="0.3">
      <c r="A360" t="s">
        <v>9</v>
      </c>
      <c r="B360">
        <v>1985</v>
      </c>
      <c r="C360" s="12">
        <v>1985.75</v>
      </c>
      <c r="D360">
        <v>492.7</v>
      </c>
      <c r="E360" s="9">
        <v>31321</v>
      </c>
      <c r="F360">
        <v>406.3</v>
      </c>
      <c r="J360" s="12"/>
      <c r="K360" s="15"/>
      <c r="N360" s="12">
        <f>STANDARDIZE(D360,K$19,L$19)</f>
        <v>-0.33917713012548495</v>
      </c>
    </row>
    <row r="361" spans="1:14" x14ac:dyDescent="0.3">
      <c r="A361" t="s">
        <v>8</v>
      </c>
      <c r="B361">
        <v>1985</v>
      </c>
      <c r="C361" s="12">
        <v>1985.6666666666699</v>
      </c>
      <c r="D361">
        <v>413.2</v>
      </c>
      <c r="E361" s="8">
        <v>31291</v>
      </c>
      <c r="F361">
        <v>345.3</v>
      </c>
      <c r="J361" s="12"/>
      <c r="K361" s="15"/>
      <c r="N361" s="12">
        <f>STANDARDIZE(D361,K$18,L$18)</f>
        <v>-0.46438028246520313</v>
      </c>
    </row>
    <row r="362" spans="1:14" x14ac:dyDescent="0.3">
      <c r="A362" t="s">
        <v>7</v>
      </c>
      <c r="B362">
        <v>1985</v>
      </c>
      <c r="C362" s="12">
        <v>1985.5833333333401</v>
      </c>
      <c r="D362">
        <v>339</v>
      </c>
      <c r="E362" s="9">
        <v>31260</v>
      </c>
      <c r="F362">
        <v>265.8</v>
      </c>
      <c r="J362" s="12"/>
      <c r="K362" s="15"/>
      <c r="N362" s="12">
        <f>STANDARDIZE(D362,K$17,L$17)</f>
        <v>-0.75788735133141272</v>
      </c>
    </row>
    <row r="363" spans="1:14" x14ac:dyDescent="0.3">
      <c r="A363" t="s">
        <v>6</v>
      </c>
      <c r="B363">
        <v>1985</v>
      </c>
      <c r="C363" s="12">
        <v>1985.5</v>
      </c>
      <c r="D363">
        <v>281</v>
      </c>
      <c r="E363" s="8">
        <v>31229</v>
      </c>
      <c r="F363">
        <v>214.8</v>
      </c>
      <c r="J363" s="12"/>
      <c r="K363" s="15"/>
      <c r="N363" s="12">
        <f>STANDARDIZE(D363,K$16,L$16)</f>
        <v>-1.0947096395025191</v>
      </c>
    </row>
    <row r="364" spans="1:14" x14ac:dyDescent="0.3">
      <c r="A364" t="s">
        <v>5</v>
      </c>
      <c r="B364">
        <v>1985</v>
      </c>
      <c r="C364" s="12">
        <v>1985.4166666666699</v>
      </c>
      <c r="D364">
        <v>343.8</v>
      </c>
      <c r="E364" s="9">
        <v>31199</v>
      </c>
      <c r="F364">
        <v>280.2</v>
      </c>
      <c r="J364" s="12"/>
      <c r="K364" s="15"/>
      <c r="N364" s="12">
        <f>STANDARDIZE(D364,K$15,L$15)</f>
        <v>-0.81654933517441974</v>
      </c>
    </row>
    <row r="365" spans="1:14" x14ac:dyDescent="0.3">
      <c r="A365" t="s">
        <v>4</v>
      </c>
      <c r="B365">
        <v>1985</v>
      </c>
      <c r="C365" s="12">
        <v>1985.3333333333401</v>
      </c>
      <c r="D365">
        <v>295.5</v>
      </c>
      <c r="E365" s="8">
        <v>31168</v>
      </c>
      <c r="F365">
        <v>227.4</v>
      </c>
      <c r="J365" s="12"/>
      <c r="K365" s="15"/>
      <c r="N365" s="12">
        <f>STANDARDIZE(D365,K$14,L$14)</f>
        <v>-0.75479646475575113</v>
      </c>
    </row>
    <row r="366" spans="1:14" x14ac:dyDescent="0.3">
      <c r="A366" t="s">
        <v>3</v>
      </c>
      <c r="B366">
        <v>1985</v>
      </c>
      <c r="C366" s="12">
        <v>1985.25</v>
      </c>
      <c r="D366">
        <v>216.5</v>
      </c>
      <c r="E366" s="9">
        <v>31138</v>
      </c>
      <c r="F366">
        <v>165.8</v>
      </c>
      <c r="J366" s="12"/>
      <c r="K366" s="15"/>
      <c r="N366" s="12">
        <f>STANDARDIZE(D366,K$13,L$13)</f>
        <v>-0.53825718202055983</v>
      </c>
    </row>
    <row r="367" spans="1:14" x14ac:dyDescent="0.3">
      <c r="A367" t="s">
        <v>2</v>
      </c>
      <c r="B367">
        <v>1985</v>
      </c>
      <c r="C367" s="12">
        <v>1985.1666666666699</v>
      </c>
      <c r="D367">
        <v>195.5</v>
      </c>
      <c r="E367" s="8">
        <v>31107</v>
      </c>
      <c r="F367">
        <v>142.1</v>
      </c>
      <c r="J367" s="12"/>
      <c r="K367" s="15"/>
      <c r="N367" s="12">
        <f>STANDARDIZE(D367,K$12,L$12)</f>
        <v>-0.48085871999972635</v>
      </c>
    </row>
    <row r="368" spans="1:14" x14ac:dyDescent="0.3">
      <c r="A368" t="s">
        <v>1</v>
      </c>
      <c r="B368">
        <v>1985</v>
      </c>
      <c r="C368" s="12">
        <v>1985.0833333333401</v>
      </c>
      <c r="D368">
        <v>266.10000000000002</v>
      </c>
      <c r="E368" s="9">
        <v>31079</v>
      </c>
      <c r="F368">
        <v>227.1</v>
      </c>
      <c r="J368" s="12"/>
      <c r="K368" s="15"/>
      <c r="N368" s="12">
        <f>STANDARDIZE(D368,K$11,L$11)</f>
        <v>-0.15986066730285625</v>
      </c>
    </row>
    <row r="369" spans="1:14" x14ac:dyDescent="0.3">
      <c r="A369" t="s">
        <v>0</v>
      </c>
      <c r="B369">
        <v>1985</v>
      </c>
      <c r="C369" s="12">
        <v>1985</v>
      </c>
      <c r="D369">
        <v>523.6</v>
      </c>
      <c r="E369" s="8">
        <v>31048</v>
      </c>
      <c r="F369">
        <v>435.8</v>
      </c>
      <c r="J369" s="12"/>
      <c r="K369" s="15"/>
      <c r="N369" s="12">
        <f>STANDARDIZE(D369,K$10,L$10)</f>
        <v>-4.4846043218546669E-4</v>
      </c>
    </row>
    <row r="370" spans="1:14" x14ac:dyDescent="0.3">
      <c r="A370" t="s">
        <v>11</v>
      </c>
      <c r="B370">
        <v>1984</v>
      </c>
      <c r="C370" s="12">
        <v>1984.9166666666667</v>
      </c>
      <c r="D370">
        <v>722.7</v>
      </c>
      <c r="E370" s="9">
        <v>31017</v>
      </c>
      <c r="F370">
        <v>629</v>
      </c>
      <c r="J370" s="12"/>
      <c r="K370" s="15"/>
      <c r="N370" s="12">
        <f>STANDARDIZE(D370,K$21,L$21)</f>
        <v>9.7828091313095666E-2</v>
      </c>
    </row>
    <row r="371" spans="1:14" x14ac:dyDescent="0.3">
      <c r="A371" t="s">
        <v>10</v>
      </c>
      <c r="B371">
        <v>1984</v>
      </c>
      <c r="C371" s="12">
        <v>1984.8333333333335</v>
      </c>
      <c r="D371">
        <v>648.29999999999995</v>
      </c>
      <c r="E371" s="8">
        <v>30987</v>
      </c>
      <c r="F371">
        <v>576</v>
      </c>
      <c r="J371" s="12"/>
      <c r="K371" s="15"/>
      <c r="N371" s="12">
        <f>STANDARDIZE(D371,K$20,L$20)</f>
        <v>4.7315563116344148E-2</v>
      </c>
    </row>
    <row r="372" spans="1:14" x14ac:dyDescent="0.3">
      <c r="A372" t="s">
        <v>9</v>
      </c>
      <c r="B372">
        <v>1984</v>
      </c>
      <c r="C372" s="12">
        <v>1984.75</v>
      </c>
      <c r="D372">
        <v>564.5</v>
      </c>
      <c r="E372" s="9">
        <v>30956</v>
      </c>
      <c r="F372">
        <v>474.2</v>
      </c>
      <c r="J372" s="12"/>
      <c r="K372" s="15"/>
      <c r="N372" s="12">
        <f>STANDARDIZE(D372,K$19,L$19)</f>
        <v>-3.6750331702513045E-2</v>
      </c>
    </row>
    <row r="373" spans="1:14" x14ac:dyDescent="0.3">
      <c r="A373" t="s">
        <v>8</v>
      </c>
      <c r="B373">
        <v>1984</v>
      </c>
      <c r="C373" s="12">
        <v>1984.6666666666667</v>
      </c>
      <c r="D373">
        <v>497.4</v>
      </c>
      <c r="E373" s="8">
        <v>30926</v>
      </c>
      <c r="F373">
        <v>426.4</v>
      </c>
      <c r="J373" s="12"/>
      <c r="K373" s="15"/>
      <c r="N373" s="12">
        <f>STANDARDIZE(D373,K$18,L$18)</f>
        <v>-0.12348385889440887</v>
      </c>
    </row>
    <row r="374" spans="1:14" x14ac:dyDescent="0.3">
      <c r="A374" t="s">
        <v>7</v>
      </c>
      <c r="B374">
        <v>1984</v>
      </c>
      <c r="C374" s="12">
        <v>1984.5833333333335</v>
      </c>
      <c r="D374">
        <v>527.70000000000005</v>
      </c>
      <c r="E374" s="9">
        <v>30895</v>
      </c>
      <c r="F374">
        <v>438.9</v>
      </c>
      <c r="J374" s="12"/>
      <c r="K374" s="15"/>
      <c r="N374" s="12">
        <f>STANDARDIZE(D374,K$17,L$17)</f>
        <v>-2.2222005671754554E-2</v>
      </c>
    </row>
    <row r="375" spans="1:14" x14ac:dyDescent="0.3">
      <c r="A375" t="s">
        <v>6</v>
      </c>
      <c r="B375">
        <v>1984</v>
      </c>
      <c r="C375" s="12">
        <v>1984.5</v>
      </c>
      <c r="D375">
        <v>475.7</v>
      </c>
      <c r="E375" s="8">
        <v>30864</v>
      </c>
      <c r="F375">
        <v>390.4</v>
      </c>
      <c r="J375" s="12"/>
      <c r="K375" s="15"/>
      <c r="N375" s="12">
        <f>STANDARDIZE(D375,K$16,L$16)</f>
        <v>-0.32161305673006874</v>
      </c>
    </row>
    <row r="376" spans="1:14" x14ac:dyDescent="0.3">
      <c r="A376" t="s">
        <v>5</v>
      </c>
      <c r="B376">
        <v>1984</v>
      </c>
      <c r="C376" s="12">
        <v>1984.4166666666667</v>
      </c>
      <c r="D376">
        <v>388.3</v>
      </c>
      <c r="E376" s="9">
        <v>30834</v>
      </c>
      <c r="F376">
        <v>321.7</v>
      </c>
      <c r="J376" s="12"/>
      <c r="K376" s="15"/>
      <c r="N376" s="12">
        <f>STANDARDIZE(D376,K$15,L$15)</f>
        <v>-0.61911463991180093</v>
      </c>
    </row>
    <row r="377" spans="1:14" x14ac:dyDescent="0.3">
      <c r="A377" t="s">
        <v>4</v>
      </c>
      <c r="B377">
        <v>1984</v>
      </c>
      <c r="C377" s="12">
        <v>1984.3333333333335</v>
      </c>
      <c r="D377">
        <v>285.89999999999998</v>
      </c>
      <c r="E377" s="8">
        <v>30803</v>
      </c>
      <c r="F377">
        <v>219.3</v>
      </c>
      <c r="J377" s="12"/>
      <c r="K377" s="15"/>
      <c r="N377" s="12">
        <f>STANDARDIZE(D377,K$14,L$14)</f>
        <v>-0.80199978003338979</v>
      </c>
    </row>
    <row r="378" spans="1:14" x14ac:dyDescent="0.3">
      <c r="A378" t="s">
        <v>3</v>
      </c>
      <c r="B378">
        <v>1984</v>
      </c>
      <c r="C378" s="12">
        <v>1984.25</v>
      </c>
      <c r="D378">
        <v>176.2</v>
      </c>
      <c r="E378" s="9">
        <v>30773</v>
      </c>
      <c r="F378">
        <v>131.1</v>
      </c>
      <c r="J378" s="12"/>
      <c r="K378" s="15"/>
      <c r="N378" s="12">
        <f>STANDARDIZE(D378,K$13,L$13)</f>
        <v>-0.79522350343007719</v>
      </c>
    </row>
    <row r="379" spans="1:14" x14ac:dyDescent="0.3">
      <c r="A379" t="s">
        <v>2</v>
      </c>
      <c r="B379">
        <v>1984</v>
      </c>
      <c r="C379" s="12">
        <v>1984.1666666666667</v>
      </c>
      <c r="D379">
        <v>232.1</v>
      </c>
      <c r="E379" s="8">
        <v>30742</v>
      </c>
      <c r="F379">
        <v>173.2</v>
      </c>
      <c r="J379" s="12"/>
      <c r="K379" s="15"/>
      <c r="N379" s="12">
        <f>STANDARDIZE(D379,K$12,L$12)</f>
        <v>-0.22369637174573251</v>
      </c>
    </row>
    <row r="380" spans="1:14" x14ac:dyDescent="0.3">
      <c r="A380" t="s">
        <v>1</v>
      </c>
      <c r="B380">
        <v>1984</v>
      </c>
      <c r="C380" s="12">
        <v>1984.0833333333335</v>
      </c>
      <c r="D380">
        <v>197.4</v>
      </c>
      <c r="E380" s="9">
        <v>30713</v>
      </c>
      <c r="F380">
        <v>223.7</v>
      </c>
      <c r="J380" s="12"/>
      <c r="K380" s="15"/>
      <c r="N380" s="12">
        <f>STANDARDIZE(D380,K$11,L$11)</f>
        <v>-0.55533352910609557</v>
      </c>
    </row>
    <row r="381" spans="1:14" x14ac:dyDescent="0.3">
      <c r="A381" t="s">
        <v>0</v>
      </c>
      <c r="B381">
        <v>1984</v>
      </c>
      <c r="C381" s="12">
        <v>1984</v>
      </c>
      <c r="E381" s="8">
        <v>30682</v>
      </c>
      <c r="F381">
        <v>347.1</v>
      </c>
      <c r="J381" s="12"/>
      <c r="K381" s="15"/>
      <c r="N381" s="12"/>
    </row>
    <row r="382" spans="1:14" x14ac:dyDescent="0.3">
      <c r="F382">
        <v>310.5</v>
      </c>
      <c r="J382" s="12"/>
      <c r="K382" s="15"/>
      <c r="N382" s="12"/>
    </row>
    <row r="383" spans="1:14" x14ac:dyDescent="0.3">
      <c r="F383">
        <v>313.10000000000002</v>
      </c>
      <c r="J383" s="12"/>
      <c r="K383" s="15"/>
      <c r="N383" s="12"/>
    </row>
    <row r="384" spans="1:14" x14ac:dyDescent="0.3">
      <c r="F384">
        <v>272.2</v>
      </c>
      <c r="J384" s="12"/>
      <c r="K384" s="15"/>
      <c r="N384" s="12"/>
    </row>
    <row r="385" spans="6:14" x14ac:dyDescent="0.3">
      <c r="F385">
        <v>224.2</v>
      </c>
      <c r="J385" s="12"/>
      <c r="K385" s="15"/>
      <c r="N385" s="12"/>
    </row>
    <row r="386" spans="6:14" x14ac:dyDescent="0.3">
      <c r="F386">
        <v>209.2</v>
      </c>
      <c r="J386" s="12"/>
      <c r="K386" s="15"/>
      <c r="N386" s="12"/>
    </row>
    <row r="387" spans="6:14" x14ac:dyDescent="0.3">
      <c r="F387">
        <v>141.80000000000001</v>
      </c>
      <c r="J387" s="12"/>
      <c r="K387" s="15"/>
      <c r="N387" s="12"/>
    </row>
    <row r="388" spans="6:14" x14ac:dyDescent="0.3">
      <c r="F388">
        <v>104.4</v>
      </c>
      <c r="J388" s="12"/>
      <c r="K388" s="15"/>
      <c r="N388" s="12"/>
    </row>
    <row r="389" spans="6:14" x14ac:dyDescent="0.3">
      <c r="F389">
        <v>81.27</v>
      </c>
      <c r="J389" s="12"/>
      <c r="K389" s="15"/>
      <c r="N389" s="12"/>
    </row>
    <row r="390" spans="6:14" x14ac:dyDescent="0.3">
      <c r="F390">
        <v>62.67</v>
      </c>
      <c r="J390" s="12"/>
      <c r="K390" s="15"/>
      <c r="N390" s="12"/>
    </row>
    <row r="391" spans="6:14" x14ac:dyDescent="0.3">
      <c r="F391">
        <v>39.31</v>
      </c>
      <c r="J391" s="12"/>
      <c r="K391" s="15"/>
      <c r="N391" s="12"/>
    </row>
    <row r="392" spans="6:14" x14ac:dyDescent="0.3">
      <c r="F392">
        <v>40.630000000000003</v>
      </c>
      <c r="J392" s="12"/>
      <c r="K392" s="15"/>
      <c r="N392" s="12"/>
    </row>
    <row r="393" spans="6:14" x14ac:dyDescent="0.3">
      <c r="F393">
        <v>84.92</v>
      </c>
      <c r="J393" s="12"/>
      <c r="K393" s="15"/>
      <c r="N393" s="12"/>
    </row>
    <row r="394" spans="6:14" x14ac:dyDescent="0.3">
      <c r="F394">
        <v>264.39999999999998</v>
      </c>
      <c r="J394" s="12"/>
      <c r="K394" s="15"/>
      <c r="N394" s="12"/>
    </row>
    <row r="395" spans="6:14" x14ac:dyDescent="0.3">
      <c r="F395">
        <v>299.5</v>
      </c>
      <c r="J395" s="12"/>
      <c r="K395" s="15"/>
      <c r="N395" s="12"/>
    </row>
    <row r="396" spans="6:14" x14ac:dyDescent="0.3">
      <c r="F396">
        <v>221</v>
      </c>
      <c r="J396" s="12"/>
      <c r="K396" s="15"/>
      <c r="N396" s="12"/>
    </row>
    <row r="397" spans="6:14" x14ac:dyDescent="0.3">
      <c r="F397">
        <v>170.1</v>
      </c>
      <c r="J397" s="12"/>
      <c r="K397" s="15"/>
      <c r="N397" s="12"/>
    </row>
    <row r="398" spans="6:14" x14ac:dyDescent="0.3">
      <c r="F398">
        <v>220.8</v>
      </c>
      <c r="J398" s="12"/>
      <c r="K398" s="15"/>
      <c r="N398" s="12"/>
    </row>
    <row r="399" spans="6:14" x14ac:dyDescent="0.3">
      <c r="F399">
        <v>348.8</v>
      </c>
      <c r="J399" s="12"/>
      <c r="K399" s="15"/>
      <c r="N399" s="12"/>
    </row>
    <row r="400" spans="6:14" x14ac:dyDescent="0.3">
      <c r="F400">
        <v>352.6</v>
      </c>
      <c r="J400" s="12"/>
      <c r="K400" s="15"/>
      <c r="N400" s="12"/>
    </row>
    <row r="401" spans="6:14" x14ac:dyDescent="0.3">
      <c r="F401">
        <v>242.5</v>
      </c>
      <c r="J401" s="12"/>
      <c r="K401" s="15"/>
      <c r="N401" s="12"/>
    </row>
    <row r="402" spans="6:14" x14ac:dyDescent="0.3">
      <c r="F402">
        <v>149.6</v>
      </c>
      <c r="J402" s="12"/>
      <c r="K402" s="15"/>
      <c r="N402" s="12"/>
    </row>
    <row r="403" spans="6:14" x14ac:dyDescent="0.3">
      <c r="F403">
        <v>120.9</v>
      </c>
      <c r="J403" s="12"/>
      <c r="K403" s="15"/>
      <c r="N403" s="12"/>
    </row>
    <row r="404" spans="6:14" x14ac:dyDescent="0.3">
      <c r="F404">
        <v>188.5</v>
      </c>
      <c r="J404" s="12"/>
      <c r="K404" s="15"/>
      <c r="N404" s="12"/>
    </row>
    <row r="405" spans="6:14" x14ac:dyDescent="0.3">
      <c r="F405">
        <v>297.8</v>
      </c>
      <c r="J405" s="12"/>
      <c r="K405" s="15"/>
      <c r="N405" s="12"/>
    </row>
    <row r="406" spans="6:14" x14ac:dyDescent="0.3">
      <c r="F406">
        <v>341.9</v>
      </c>
      <c r="J406" s="12"/>
      <c r="K406" s="15"/>
      <c r="N406" s="12"/>
    </row>
    <row r="407" spans="6:14" x14ac:dyDescent="0.3">
      <c r="F407">
        <v>320.60000000000002</v>
      </c>
      <c r="J407" s="12"/>
      <c r="K407" s="15"/>
      <c r="N407" s="12"/>
    </row>
    <row r="408" spans="6:14" x14ac:dyDescent="0.3">
      <c r="F408">
        <v>303.7</v>
      </c>
      <c r="J408" s="12"/>
      <c r="K408" s="15"/>
      <c r="N408" s="12"/>
    </row>
    <row r="409" spans="6:14" x14ac:dyDescent="0.3">
      <c r="F409">
        <v>310</v>
      </c>
      <c r="J409" s="12"/>
      <c r="K409" s="15"/>
      <c r="N409" s="12"/>
    </row>
    <row r="410" spans="6:14" x14ac:dyDescent="0.3">
      <c r="F410">
        <v>346.6</v>
      </c>
      <c r="J410" s="12"/>
      <c r="K410" s="15"/>
      <c r="N410" s="12"/>
    </row>
    <row r="411" spans="6:14" x14ac:dyDescent="0.3">
      <c r="F411">
        <v>385.8</v>
      </c>
      <c r="J411" s="12"/>
      <c r="K411" s="15"/>
      <c r="N411" s="12"/>
    </row>
    <row r="412" spans="6:14" x14ac:dyDescent="0.3">
      <c r="F412">
        <v>351.2</v>
      </c>
      <c r="J412" s="12"/>
      <c r="K412" s="15"/>
      <c r="N412" s="12"/>
    </row>
    <row r="413" spans="6:14" x14ac:dyDescent="0.3">
      <c r="F413">
        <v>219.4</v>
      </c>
      <c r="J413" s="12"/>
      <c r="K413" s="15"/>
      <c r="N413" s="12"/>
    </row>
    <row r="414" spans="6:14" x14ac:dyDescent="0.3">
      <c r="F414">
        <v>106</v>
      </c>
      <c r="J414" s="12"/>
      <c r="K414" s="15"/>
      <c r="N414" s="12"/>
    </row>
    <row r="415" spans="6:14" x14ac:dyDescent="0.3">
      <c r="F415">
        <v>97.09</v>
      </c>
      <c r="J415" s="12"/>
      <c r="K415" s="15"/>
      <c r="N415" s="12"/>
    </row>
    <row r="416" spans="6:14" x14ac:dyDescent="0.3">
      <c r="F416">
        <v>88.46</v>
      </c>
      <c r="J416" s="12"/>
      <c r="K416" s="15"/>
      <c r="N416" s="12"/>
    </row>
    <row r="417" spans="6:14" x14ac:dyDescent="0.3">
      <c r="F417">
        <v>204.2</v>
      </c>
      <c r="J417" s="12"/>
      <c r="K417" s="15"/>
      <c r="N417" s="12"/>
    </row>
    <row r="418" spans="6:14" x14ac:dyDescent="0.3">
      <c r="J418" s="12"/>
      <c r="K418" s="15"/>
      <c r="N418" s="12"/>
    </row>
    <row r="419" spans="6:14" x14ac:dyDescent="0.3">
      <c r="J419" s="12"/>
      <c r="K419" s="15"/>
      <c r="N419" s="12"/>
    </row>
    <row r="420" spans="6:14" x14ac:dyDescent="0.3">
      <c r="J420" s="12"/>
      <c r="K420" s="15"/>
      <c r="N420" s="12"/>
    </row>
    <row r="421" spans="6:14" x14ac:dyDescent="0.3">
      <c r="J421" s="12"/>
      <c r="K421" s="15"/>
      <c r="N421" s="12"/>
    </row>
    <row r="422" spans="6:14" x14ac:dyDescent="0.3">
      <c r="J422" s="12"/>
      <c r="K422" s="15"/>
      <c r="N422" s="12"/>
    </row>
    <row r="423" spans="6:14" x14ac:dyDescent="0.3">
      <c r="J423" s="12"/>
      <c r="K423" s="15"/>
      <c r="N423" s="12"/>
    </row>
    <row r="424" spans="6:14" x14ac:dyDescent="0.3">
      <c r="J424" s="12"/>
      <c r="K424" s="15"/>
      <c r="N424" s="12"/>
    </row>
    <row r="425" spans="6:14" x14ac:dyDescent="0.3">
      <c r="J425" s="12"/>
      <c r="K425" s="15"/>
      <c r="N425" s="12"/>
    </row>
    <row r="426" spans="6:14" x14ac:dyDescent="0.3">
      <c r="J426" s="12"/>
      <c r="K426" s="15"/>
      <c r="N426" s="12"/>
    </row>
    <row r="427" spans="6:14" x14ac:dyDescent="0.3">
      <c r="J427" s="12"/>
      <c r="K427" s="15"/>
      <c r="N427" s="12"/>
    </row>
    <row r="428" spans="6:14" x14ac:dyDescent="0.3">
      <c r="J428" s="12"/>
      <c r="K428" s="15"/>
      <c r="N428" s="12"/>
    </row>
    <row r="429" spans="6:14" x14ac:dyDescent="0.3">
      <c r="J429" s="12"/>
      <c r="K429" s="15"/>
      <c r="N429" s="12"/>
    </row>
    <row r="430" spans="6:14" x14ac:dyDescent="0.3">
      <c r="J430" s="12"/>
      <c r="K430" s="15"/>
    </row>
    <row r="431" spans="6:14" x14ac:dyDescent="0.3">
      <c r="J431" s="12"/>
      <c r="K431" s="15"/>
    </row>
    <row r="432" spans="6:14" x14ac:dyDescent="0.3">
      <c r="J432" s="12"/>
      <c r="K432" s="15"/>
    </row>
    <row r="433" spans="10:11" x14ac:dyDescent="0.3">
      <c r="J433" s="12"/>
      <c r="K433" s="15"/>
    </row>
    <row r="434" spans="10:11" x14ac:dyDescent="0.3">
      <c r="J434" s="12"/>
      <c r="K434" s="15"/>
    </row>
    <row r="435" spans="10:11" x14ac:dyDescent="0.3">
      <c r="J435" s="12"/>
      <c r="K435" s="15"/>
    </row>
    <row r="436" spans="10:11" x14ac:dyDescent="0.3">
      <c r="J436" s="12"/>
      <c r="K436" s="15"/>
    </row>
    <row r="437" spans="10:11" x14ac:dyDescent="0.3">
      <c r="J437" s="12"/>
      <c r="K437" s="15"/>
    </row>
    <row r="438" spans="10:11" x14ac:dyDescent="0.3">
      <c r="J438" s="12"/>
      <c r="K438" s="15"/>
    </row>
    <row r="439" spans="10:11" x14ac:dyDescent="0.3">
      <c r="J439" s="12"/>
      <c r="K439" s="15"/>
    </row>
    <row r="440" spans="10:11" x14ac:dyDescent="0.3">
      <c r="J440" s="12"/>
      <c r="K440" s="15"/>
    </row>
    <row r="441" spans="10:11" x14ac:dyDescent="0.3">
      <c r="J441" s="12"/>
      <c r="K441" s="15"/>
    </row>
    <row r="442" spans="10:11" x14ac:dyDescent="0.3">
      <c r="J442" s="12"/>
      <c r="K442" s="15"/>
    </row>
    <row r="443" spans="10:11" x14ac:dyDescent="0.3">
      <c r="J443" s="12"/>
      <c r="K443" s="15"/>
    </row>
    <row r="444" spans="10:11" x14ac:dyDescent="0.3">
      <c r="J444" s="12"/>
      <c r="K444" s="15"/>
    </row>
    <row r="445" spans="10:11" x14ac:dyDescent="0.3">
      <c r="J445" s="12"/>
      <c r="K445" s="15"/>
    </row>
    <row r="446" spans="10:11" x14ac:dyDescent="0.3">
      <c r="J446" s="12"/>
      <c r="K446" s="15"/>
    </row>
    <row r="447" spans="10:11" x14ac:dyDescent="0.3">
      <c r="J447" s="12"/>
      <c r="K447" s="15"/>
    </row>
    <row r="448" spans="10:11" x14ac:dyDescent="0.3">
      <c r="J448" s="12"/>
      <c r="K448" s="15"/>
    </row>
    <row r="449" spans="10:11" x14ac:dyDescent="0.3">
      <c r="J449" s="12"/>
      <c r="K449" s="15"/>
    </row>
    <row r="450" spans="10:11" x14ac:dyDescent="0.3">
      <c r="J450" s="12"/>
      <c r="K450" s="15"/>
    </row>
    <row r="451" spans="10:11" x14ac:dyDescent="0.3">
      <c r="J451" s="12"/>
      <c r="K451" s="15"/>
    </row>
    <row r="452" spans="10:11" x14ac:dyDescent="0.3">
      <c r="J452" s="12"/>
      <c r="K452" s="15"/>
    </row>
    <row r="453" spans="10:11" x14ac:dyDescent="0.3">
      <c r="J453" s="12"/>
      <c r="K453" s="15"/>
    </row>
    <row r="454" spans="10:11" x14ac:dyDescent="0.3">
      <c r="J454" s="12"/>
      <c r="K454" s="15"/>
    </row>
    <row r="455" spans="10:11" x14ac:dyDescent="0.3">
      <c r="J455" s="12"/>
      <c r="K455" s="15"/>
    </row>
    <row r="456" spans="10:11" x14ac:dyDescent="0.3">
      <c r="J456" s="12"/>
      <c r="K456" s="15"/>
    </row>
    <row r="457" spans="10:11" x14ac:dyDescent="0.3">
      <c r="J457" s="12"/>
      <c r="K457" s="15"/>
    </row>
    <row r="458" spans="10:11" x14ac:dyDescent="0.3">
      <c r="J458" s="12"/>
      <c r="K458" s="15"/>
    </row>
    <row r="459" spans="10:11" x14ac:dyDescent="0.3">
      <c r="J459" s="12"/>
      <c r="K459" s="15"/>
    </row>
    <row r="460" spans="10:11" x14ac:dyDescent="0.3">
      <c r="J460" s="12"/>
      <c r="K460" s="15"/>
    </row>
    <row r="461" spans="10:11" x14ac:dyDescent="0.3">
      <c r="J461" s="12"/>
      <c r="K461" s="15"/>
    </row>
    <row r="462" spans="10:11" x14ac:dyDescent="0.3">
      <c r="J462" s="12"/>
      <c r="K462" s="15"/>
    </row>
    <row r="463" spans="10:11" x14ac:dyDescent="0.3">
      <c r="J463" s="12"/>
      <c r="K463" s="15"/>
    </row>
    <row r="464" spans="10:11" x14ac:dyDescent="0.3">
      <c r="J464" s="12"/>
      <c r="K464" s="15"/>
    </row>
    <row r="465" spans="10:11" x14ac:dyDescent="0.3">
      <c r="J465" s="12"/>
      <c r="K465" s="15"/>
    </row>
    <row r="466" spans="10:11" x14ac:dyDescent="0.3">
      <c r="J466" s="12"/>
      <c r="K466" s="15"/>
    </row>
    <row r="467" spans="10:11" x14ac:dyDescent="0.3">
      <c r="J467" s="12"/>
      <c r="K467" s="15"/>
    </row>
    <row r="468" spans="10:11" x14ac:dyDescent="0.3">
      <c r="J468" s="12"/>
      <c r="K468" s="15"/>
    </row>
    <row r="469" spans="10:11" x14ac:dyDescent="0.3">
      <c r="J469" s="12"/>
      <c r="K469" s="15"/>
    </row>
    <row r="470" spans="10:11" x14ac:dyDescent="0.3">
      <c r="J470" s="12"/>
      <c r="K470" s="15"/>
    </row>
    <row r="471" spans="10:11" x14ac:dyDescent="0.3">
      <c r="J471" s="12"/>
      <c r="K471" s="15"/>
    </row>
    <row r="472" spans="10:11" x14ac:dyDescent="0.3">
      <c r="J472" s="12"/>
      <c r="K472" s="15"/>
    </row>
    <row r="473" spans="10:11" x14ac:dyDescent="0.3">
      <c r="J473" s="12"/>
      <c r="K473" s="15"/>
    </row>
    <row r="474" spans="10:11" x14ac:dyDescent="0.3">
      <c r="J474" s="12"/>
      <c r="K474" s="15"/>
    </row>
    <row r="475" spans="10:11" x14ac:dyDescent="0.3">
      <c r="J475" s="12"/>
      <c r="K475" s="15"/>
    </row>
    <row r="476" spans="10:11" x14ac:dyDescent="0.3">
      <c r="J476" s="12"/>
      <c r="K476" s="15"/>
    </row>
    <row r="477" spans="10:11" x14ac:dyDescent="0.3">
      <c r="J477" s="12"/>
      <c r="K477" s="15"/>
    </row>
    <row r="478" spans="10:11" x14ac:dyDescent="0.3">
      <c r="J478" s="12"/>
      <c r="K478" s="15"/>
    </row>
    <row r="479" spans="10:11" x14ac:dyDescent="0.3">
      <c r="J479" s="12"/>
      <c r="K479" s="15"/>
    </row>
    <row r="480" spans="10:11" x14ac:dyDescent="0.3">
      <c r="J480" s="12"/>
      <c r="K480" s="15"/>
    </row>
    <row r="481" spans="10:11" x14ac:dyDescent="0.3">
      <c r="J481" s="12"/>
      <c r="K481" s="15"/>
    </row>
    <row r="482" spans="10:11" x14ac:dyDescent="0.3">
      <c r="J482" s="12"/>
      <c r="K482" s="15"/>
    </row>
    <row r="483" spans="10:11" x14ac:dyDescent="0.3">
      <c r="J483" s="12"/>
      <c r="K483" s="15"/>
    </row>
    <row r="484" spans="10:11" x14ac:dyDescent="0.3">
      <c r="J484" s="12"/>
      <c r="K484" s="15"/>
    </row>
    <row r="485" spans="10:11" x14ac:dyDescent="0.3">
      <c r="J485" s="12"/>
      <c r="K485" s="15"/>
    </row>
    <row r="486" spans="10:11" x14ac:dyDescent="0.3">
      <c r="J486" s="12"/>
      <c r="K486" s="15"/>
    </row>
    <row r="487" spans="10:11" x14ac:dyDescent="0.3">
      <c r="J487" s="12"/>
      <c r="K487" s="15"/>
    </row>
    <row r="488" spans="10:11" x14ac:dyDescent="0.3">
      <c r="J488" s="12"/>
      <c r="K488" s="15"/>
    </row>
    <row r="489" spans="10:11" x14ac:dyDescent="0.3">
      <c r="J489" s="12"/>
      <c r="K489" s="15"/>
    </row>
    <row r="490" spans="10:11" x14ac:dyDescent="0.3">
      <c r="J490" s="12"/>
      <c r="K490" s="15"/>
    </row>
    <row r="491" spans="10:11" x14ac:dyDescent="0.3">
      <c r="J491" s="12"/>
      <c r="K491" s="15"/>
    </row>
    <row r="492" spans="10:11" x14ac:dyDescent="0.3">
      <c r="J492" s="12"/>
      <c r="K492" s="15"/>
    </row>
    <row r="493" spans="10:11" x14ac:dyDescent="0.3">
      <c r="J493" s="12"/>
      <c r="K493" s="15"/>
    </row>
    <row r="494" spans="10:11" x14ac:dyDescent="0.3">
      <c r="J494" s="12"/>
      <c r="K494" s="15"/>
    </row>
    <row r="495" spans="10:11" x14ac:dyDescent="0.3">
      <c r="J495" s="12"/>
      <c r="K495" s="15"/>
    </row>
    <row r="496" spans="10:11" x14ac:dyDescent="0.3">
      <c r="J496" s="12"/>
      <c r="K496" s="15"/>
    </row>
    <row r="497" spans="10:11" x14ac:dyDescent="0.3">
      <c r="J497" s="12"/>
      <c r="K497" s="15"/>
    </row>
    <row r="498" spans="10:11" x14ac:dyDescent="0.3">
      <c r="J498" s="12"/>
      <c r="K498" s="15"/>
    </row>
    <row r="499" spans="10:11" x14ac:dyDescent="0.3">
      <c r="J499" s="12"/>
      <c r="K499" s="15"/>
    </row>
    <row r="500" spans="10:11" x14ac:dyDescent="0.3">
      <c r="J500" s="12"/>
      <c r="K500" s="15"/>
    </row>
    <row r="501" spans="10:11" x14ac:dyDescent="0.3">
      <c r="J501" s="12"/>
      <c r="K501" s="15"/>
    </row>
    <row r="502" spans="10:11" x14ac:dyDescent="0.3">
      <c r="J502" s="12"/>
      <c r="K502" s="15"/>
    </row>
    <row r="503" spans="10:11" x14ac:dyDescent="0.3">
      <c r="J503" s="12"/>
      <c r="K503" s="15"/>
    </row>
    <row r="504" spans="10:11" x14ac:dyDescent="0.3">
      <c r="J504" s="12"/>
      <c r="K504" s="15"/>
    </row>
    <row r="505" spans="10:11" x14ac:dyDescent="0.3">
      <c r="J505" s="12"/>
      <c r="K505" s="15"/>
    </row>
    <row r="506" spans="10:11" x14ac:dyDescent="0.3">
      <c r="J506" s="12"/>
      <c r="K506" s="15"/>
    </row>
    <row r="507" spans="10:11" x14ac:dyDescent="0.3">
      <c r="J507" s="12"/>
      <c r="K507" s="15"/>
    </row>
    <row r="508" spans="10:11" x14ac:dyDescent="0.3">
      <c r="J508" s="12"/>
      <c r="K508" s="15"/>
    </row>
    <row r="509" spans="10:11" x14ac:dyDescent="0.3">
      <c r="J509" s="12"/>
      <c r="K509" s="15"/>
    </row>
    <row r="510" spans="10:11" x14ac:dyDescent="0.3">
      <c r="J510" s="12"/>
      <c r="K510" s="15"/>
    </row>
    <row r="511" spans="10:11" x14ac:dyDescent="0.3">
      <c r="J511" s="12"/>
      <c r="K511" s="15"/>
    </row>
    <row r="512" spans="10:11" x14ac:dyDescent="0.3">
      <c r="J512" s="12"/>
      <c r="K512" s="15"/>
    </row>
    <row r="513" spans="10:11" x14ac:dyDescent="0.3">
      <c r="J513" s="12"/>
      <c r="K513" s="15"/>
    </row>
    <row r="514" spans="10:11" x14ac:dyDescent="0.3">
      <c r="J514" s="12"/>
      <c r="K514" s="15"/>
    </row>
    <row r="515" spans="10:11" x14ac:dyDescent="0.3">
      <c r="J515" s="12"/>
      <c r="K515" s="15"/>
    </row>
    <row r="516" spans="10:11" x14ac:dyDescent="0.3">
      <c r="J516" s="12"/>
      <c r="K516" s="15"/>
    </row>
    <row r="517" spans="10:11" x14ac:dyDescent="0.3">
      <c r="J517" s="12"/>
      <c r="K517" s="15"/>
    </row>
    <row r="518" spans="10:11" x14ac:dyDescent="0.3">
      <c r="J518" s="12"/>
      <c r="K518" s="15"/>
    </row>
    <row r="519" spans="10:11" x14ac:dyDescent="0.3">
      <c r="J519" s="12"/>
      <c r="K519" s="15"/>
    </row>
    <row r="520" spans="10:11" x14ac:dyDescent="0.3">
      <c r="J520" s="12"/>
      <c r="K520" s="15"/>
    </row>
    <row r="521" spans="10:11" x14ac:dyDescent="0.3">
      <c r="J521" s="12"/>
      <c r="K521" s="15"/>
    </row>
    <row r="522" spans="10:11" x14ac:dyDescent="0.3">
      <c r="J522" s="12"/>
      <c r="K522" s="15"/>
    </row>
    <row r="523" spans="10:11" x14ac:dyDescent="0.3">
      <c r="J523" s="12"/>
      <c r="K523" s="15"/>
    </row>
    <row r="524" spans="10:11" x14ac:dyDescent="0.3">
      <c r="J524" s="12"/>
      <c r="K524" s="15"/>
    </row>
    <row r="525" spans="10:11" x14ac:dyDescent="0.3">
      <c r="J525" s="12"/>
      <c r="K525" s="15"/>
    </row>
    <row r="526" spans="10:11" x14ac:dyDescent="0.3">
      <c r="J526" s="12"/>
      <c r="K526" s="15"/>
    </row>
    <row r="527" spans="10:11" x14ac:dyDescent="0.3">
      <c r="J527" s="12"/>
      <c r="K527" s="15"/>
    </row>
    <row r="528" spans="10:11" x14ac:dyDescent="0.3">
      <c r="J528" s="12"/>
      <c r="K528" s="15"/>
    </row>
    <row r="529" spans="10:11" x14ac:dyDescent="0.3">
      <c r="J529" s="12"/>
      <c r="K529" s="15"/>
    </row>
    <row r="530" spans="10:11" x14ac:dyDescent="0.3">
      <c r="J530" s="12"/>
      <c r="K530" s="15"/>
    </row>
    <row r="531" spans="10:11" x14ac:dyDescent="0.3">
      <c r="J531" s="12"/>
      <c r="K531" s="15"/>
    </row>
    <row r="532" spans="10:11" x14ac:dyDescent="0.3">
      <c r="J532" s="12"/>
      <c r="K532" s="15"/>
    </row>
    <row r="533" spans="10:11" x14ac:dyDescent="0.3">
      <c r="J533" s="12"/>
      <c r="K533" s="15"/>
    </row>
    <row r="534" spans="10:11" x14ac:dyDescent="0.3">
      <c r="J534" s="12"/>
      <c r="K534" s="15"/>
    </row>
    <row r="535" spans="10:11" x14ac:dyDescent="0.3">
      <c r="J535" s="12"/>
      <c r="K535" s="15"/>
    </row>
    <row r="536" spans="10:11" x14ac:dyDescent="0.3">
      <c r="J536" s="12"/>
      <c r="K536" s="15"/>
    </row>
    <row r="537" spans="10:11" x14ac:dyDescent="0.3">
      <c r="J537" s="12"/>
      <c r="K537" s="15"/>
    </row>
    <row r="538" spans="10:11" x14ac:dyDescent="0.3">
      <c r="J538" s="12"/>
      <c r="K538" s="15"/>
    </row>
    <row r="539" spans="10:11" x14ac:dyDescent="0.3">
      <c r="J539" s="12"/>
      <c r="K539" s="15"/>
    </row>
    <row r="540" spans="10:11" x14ac:dyDescent="0.3">
      <c r="J540" s="12"/>
      <c r="K540" s="15"/>
    </row>
    <row r="541" spans="10:11" x14ac:dyDescent="0.3">
      <c r="J541" s="12"/>
      <c r="K541" s="15"/>
    </row>
    <row r="542" spans="10:11" x14ac:dyDescent="0.3">
      <c r="J542" s="12"/>
      <c r="K542" s="15"/>
    </row>
    <row r="543" spans="10:11" x14ac:dyDescent="0.3">
      <c r="J543" s="12"/>
      <c r="K543" s="15"/>
    </row>
    <row r="544" spans="10:11" x14ac:dyDescent="0.3">
      <c r="J544" s="12"/>
      <c r="K544" s="15"/>
    </row>
    <row r="545" spans="10:11" x14ac:dyDescent="0.3">
      <c r="J545" s="12"/>
      <c r="K545" s="15"/>
    </row>
    <row r="546" spans="10:11" x14ac:dyDescent="0.3">
      <c r="J546" s="12"/>
      <c r="K546" s="15"/>
    </row>
    <row r="547" spans="10:11" x14ac:dyDescent="0.3">
      <c r="J547" s="12"/>
      <c r="K547" s="15"/>
    </row>
    <row r="548" spans="10:11" x14ac:dyDescent="0.3">
      <c r="J548" s="12"/>
      <c r="K548" s="15"/>
    </row>
    <row r="549" spans="10:11" x14ac:dyDescent="0.3">
      <c r="J549" s="12"/>
      <c r="K549" s="15"/>
    </row>
    <row r="550" spans="10:11" x14ac:dyDescent="0.3">
      <c r="J550" s="12"/>
      <c r="K550" s="15"/>
    </row>
    <row r="551" spans="10:11" x14ac:dyDescent="0.3">
      <c r="J551" s="12"/>
      <c r="K551" s="15"/>
    </row>
    <row r="552" spans="10:11" x14ac:dyDescent="0.3">
      <c r="J552" s="12"/>
      <c r="K552" s="15"/>
    </row>
    <row r="553" spans="10:11" x14ac:dyDescent="0.3">
      <c r="J553" s="12"/>
      <c r="K553" s="15"/>
    </row>
    <row r="554" spans="10:11" x14ac:dyDescent="0.3">
      <c r="J554" s="12"/>
      <c r="K554" s="15"/>
    </row>
    <row r="555" spans="10:11" x14ac:dyDescent="0.3">
      <c r="J555" s="12"/>
      <c r="K555" s="15"/>
    </row>
    <row r="556" spans="10:11" x14ac:dyDescent="0.3">
      <c r="J556" s="12"/>
      <c r="K556" s="15"/>
    </row>
    <row r="557" spans="10:11" x14ac:dyDescent="0.3">
      <c r="J557" s="12"/>
      <c r="K557" s="15"/>
    </row>
    <row r="558" spans="10:11" x14ac:dyDescent="0.3">
      <c r="J558" s="12"/>
      <c r="K558" s="15"/>
    </row>
    <row r="559" spans="10:11" x14ac:dyDescent="0.3">
      <c r="J559" s="12"/>
      <c r="K559" s="15"/>
    </row>
    <row r="560" spans="10:11" x14ac:dyDescent="0.3">
      <c r="J560" s="12"/>
      <c r="K560" s="15"/>
    </row>
    <row r="561" spans="10:11" x14ac:dyDescent="0.3">
      <c r="J561" s="12"/>
      <c r="K561" s="15"/>
    </row>
    <row r="562" spans="10:11" x14ac:dyDescent="0.3">
      <c r="J562" s="12"/>
      <c r="K562" s="15"/>
    </row>
    <row r="563" spans="10:11" x14ac:dyDescent="0.3">
      <c r="J563" s="12"/>
      <c r="K563" s="15"/>
    </row>
    <row r="564" spans="10:11" x14ac:dyDescent="0.3">
      <c r="J564" s="12"/>
      <c r="K564" s="15"/>
    </row>
    <row r="565" spans="10:11" x14ac:dyDescent="0.3">
      <c r="J565" s="12"/>
      <c r="K565" s="15"/>
    </row>
    <row r="566" spans="10:11" x14ac:dyDescent="0.3">
      <c r="J566" s="12"/>
      <c r="K566" s="15"/>
    </row>
    <row r="567" spans="10:11" x14ac:dyDescent="0.3">
      <c r="J567" s="12"/>
      <c r="K567" s="15"/>
    </row>
    <row r="568" spans="10:11" x14ac:dyDescent="0.3">
      <c r="J568" s="12"/>
      <c r="K568" s="15"/>
    </row>
    <row r="569" spans="10:11" x14ac:dyDescent="0.3">
      <c r="J569" s="12"/>
      <c r="K569" s="15"/>
    </row>
    <row r="570" spans="10:11" x14ac:dyDescent="0.3">
      <c r="J570" s="12"/>
      <c r="K570" s="15"/>
    </row>
    <row r="571" spans="10:11" x14ac:dyDescent="0.3">
      <c r="J571" s="12"/>
      <c r="K571" s="15"/>
    </row>
    <row r="572" spans="10:11" x14ac:dyDescent="0.3">
      <c r="J572" s="12"/>
      <c r="K572" s="15"/>
    </row>
    <row r="573" spans="10:11" x14ac:dyDescent="0.3">
      <c r="J573" s="12"/>
      <c r="K573" s="15"/>
    </row>
    <row r="574" spans="10:11" x14ac:dyDescent="0.3">
      <c r="J574" s="12"/>
      <c r="K574" s="15"/>
    </row>
    <row r="575" spans="10:11" x14ac:dyDescent="0.3">
      <c r="J575" s="12"/>
      <c r="K575" s="15"/>
    </row>
    <row r="576" spans="10:11" x14ac:dyDescent="0.3">
      <c r="J576" s="12"/>
      <c r="K576" s="15"/>
    </row>
    <row r="577" spans="10:11" x14ac:dyDescent="0.3">
      <c r="J577" s="12"/>
      <c r="K577" s="15"/>
    </row>
    <row r="578" spans="10:11" x14ac:dyDescent="0.3">
      <c r="J578" s="12"/>
      <c r="K578" s="15"/>
    </row>
    <row r="579" spans="10:11" x14ac:dyDescent="0.3">
      <c r="J579" s="12"/>
      <c r="K579" s="15"/>
    </row>
    <row r="580" spans="10:11" x14ac:dyDescent="0.3">
      <c r="J580" s="12"/>
      <c r="K580" s="15"/>
    </row>
    <row r="581" spans="10:11" x14ac:dyDescent="0.3">
      <c r="J581" s="12"/>
      <c r="K581" s="15"/>
    </row>
    <row r="582" spans="10:11" x14ac:dyDescent="0.3">
      <c r="J582" s="12"/>
      <c r="K582" s="15"/>
    </row>
    <row r="583" spans="10:11" x14ac:dyDescent="0.3">
      <c r="J583" s="12"/>
      <c r="K583" s="15"/>
    </row>
    <row r="584" spans="10:11" x14ac:dyDescent="0.3">
      <c r="J584" s="12"/>
      <c r="K584" s="15"/>
    </row>
    <row r="585" spans="10:11" x14ac:dyDescent="0.3">
      <c r="J585" s="12"/>
      <c r="K585" s="15"/>
    </row>
    <row r="586" spans="10:11" x14ac:dyDescent="0.3">
      <c r="J586" s="12"/>
      <c r="K586" s="15"/>
    </row>
    <row r="587" spans="10:11" x14ac:dyDescent="0.3">
      <c r="J587" s="12"/>
      <c r="K587" s="15"/>
    </row>
    <row r="588" spans="10:11" x14ac:dyDescent="0.3">
      <c r="J588" s="12"/>
      <c r="K588" s="15"/>
    </row>
    <row r="589" spans="10:11" x14ac:dyDescent="0.3">
      <c r="J589" s="12"/>
      <c r="K589" s="15"/>
    </row>
    <row r="590" spans="10:11" x14ac:dyDescent="0.3">
      <c r="J590" s="12"/>
      <c r="K590" s="15"/>
    </row>
    <row r="591" spans="10:11" x14ac:dyDescent="0.3">
      <c r="J591" s="12"/>
      <c r="K591" s="15"/>
    </row>
    <row r="592" spans="10:11" x14ac:dyDescent="0.3">
      <c r="J592" s="12"/>
      <c r="K592" s="15"/>
    </row>
    <row r="593" spans="10:11" x14ac:dyDescent="0.3">
      <c r="J593" s="12"/>
      <c r="K593" s="15"/>
    </row>
    <row r="594" spans="10:11" x14ac:dyDescent="0.3">
      <c r="J594" s="12"/>
      <c r="K594" s="15"/>
    </row>
    <row r="595" spans="10:11" x14ac:dyDescent="0.3">
      <c r="J595" s="12"/>
      <c r="K595" s="15"/>
    </row>
    <row r="596" spans="10:11" x14ac:dyDescent="0.3">
      <c r="J596" s="12"/>
      <c r="K596" s="15"/>
    </row>
    <row r="597" spans="10:11" x14ac:dyDescent="0.3">
      <c r="J597" s="12"/>
      <c r="K597" s="15"/>
    </row>
    <row r="598" spans="10:11" x14ac:dyDescent="0.3">
      <c r="J598" s="12"/>
      <c r="K598" s="15"/>
    </row>
    <row r="599" spans="10:11" x14ac:dyDescent="0.3">
      <c r="J599" s="12"/>
      <c r="K599" s="15"/>
    </row>
    <row r="600" spans="10:11" x14ac:dyDescent="0.3">
      <c r="J600" s="12"/>
      <c r="K600" s="15"/>
    </row>
    <row r="601" spans="10:11" x14ac:dyDescent="0.3">
      <c r="J601" s="12"/>
      <c r="K601" s="15"/>
    </row>
    <row r="602" spans="10:11" x14ac:dyDescent="0.3">
      <c r="J602" s="12"/>
      <c r="K602" s="15"/>
    </row>
    <row r="603" spans="10:11" x14ac:dyDescent="0.3">
      <c r="J603" s="12"/>
      <c r="K603" s="15"/>
    </row>
    <row r="604" spans="10:11" x14ac:dyDescent="0.3">
      <c r="J604" s="12"/>
      <c r="K604" s="15"/>
    </row>
    <row r="605" spans="10:11" x14ac:dyDescent="0.3">
      <c r="J605" s="12"/>
      <c r="K605" s="15"/>
    </row>
    <row r="606" spans="10:11" x14ac:dyDescent="0.3">
      <c r="J606" s="12"/>
      <c r="K606" s="15"/>
    </row>
    <row r="607" spans="10:11" x14ac:dyDescent="0.3">
      <c r="J607" s="12"/>
      <c r="K607" s="15"/>
    </row>
    <row r="608" spans="10:11" x14ac:dyDescent="0.3">
      <c r="J608" s="12"/>
      <c r="K608" s="15"/>
    </row>
    <row r="609" spans="10:11" x14ac:dyDescent="0.3">
      <c r="J609" s="12"/>
      <c r="K609" s="15"/>
    </row>
    <row r="610" spans="10:11" x14ac:dyDescent="0.3">
      <c r="J610" s="12"/>
      <c r="K610" s="15"/>
    </row>
    <row r="611" spans="10:11" x14ac:dyDescent="0.3">
      <c r="J611" s="12"/>
      <c r="K611" s="15"/>
    </row>
    <row r="612" spans="10:11" x14ac:dyDescent="0.3">
      <c r="J612" s="12"/>
      <c r="K612" s="15"/>
    </row>
    <row r="613" spans="10:11" x14ac:dyDescent="0.3">
      <c r="J613" s="12"/>
      <c r="K613" s="15"/>
    </row>
    <row r="614" spans="10:11" x14ac:dyDescent="0.3">
      <c r="J614" s="12"/>
      <c r="K614" s="15"/>
    </row>
    <row r="615" spans="10:11" x14ac:dyDescent="0.3">
      <c r="J615" s="12"/>
      <c r="K615" s="15"/>
    </row>
    <row r="616" spans="10:11" x14ac:dyDescent="0.3">
      <c r="J616" s="12"/>
      <c r="K616" s="15"/>
    </row>
    <row r="617" spans="10:11" x14ac:dyDescent="0.3">
      <c r="J617" s="12"/>
      <c r="K617" s="15"/>
    </row>
    <row r="618" spans="10:11" x14ac:dyDescent="0.3">
      <c r="J618" s="12"/>
      <c r="K618" s="15"/>
    </row>
    <row r="619" spans="10:11" x14ac:dyDescent="0.3">
      <c r="J619" s="12"/>
      <c r="K619" s="15"/>
    </row>
    <row r="620" spans="10:11" x14ac:dyDescent="0.3">
      <c r="J620" s="12"/>
      <c r="K620" s="15"/>
    </row>
    <row r="621" spans="10:11" x14ac:dyDescent="0.3">
      <c r="J621" s="12"/>
      <c r="K621" s="15"/>
    </row>
    <row r="622" spans="10:11" x14ac:dyDescent="0.3">
      <c r="J622" s="12"/>
      <c r="K622" s="15"/>
    </row>
    <row r="623" spans="10:11" x14ac:dyDescent="0.3">
      <c r="J623" s="12"/>
      <c r="K623" s="15"/>
    </row>
    <row r="624" spans="10:11" x14ac:dyDescent="0.3">
      <c r="J624" s="12"/>
      <c r="K624" s="15"/>
    </row>
    <row r="625" spans="10:11" x14ac:dyDescent="0.3">
      <c r="J625" s="12"/>
      <c r="K625" s="15"/>
    </row>
    <row r="626" spans="10:11" x14ac:dyDescent="0.3">
      <c r="J626" s="12"/>
      <c r="K626" s="15"/>
    </row>
    <row r="627" spans="10:11" x14ac:dyDescent="0.3">
      <c r="J627" s="12"/>
      <c r="K627" s="15"/>
    </row>
    <row r="628" spans="10:11" x14ac:dyDescent="0.3">
      <c r="J628" s="12"/>
      <c r="K628" s="15"/>
    </row>
    <row r="629" spans="10:11" x14ac:dyDescent="0.3">
      <c r="J629" s="12"/>
      <c r="K629" s="15"/>
    </row>
    <row r="630" spans="10:11" x14ac:dyDescent="0.3">
      <c r="J630" s="12"/>
      <c r="K630" s="15"/>
    </row>
    <row r="631" spans="10:11" x14ac:dyDescent="0.3">
      <c r="J631" s="12"/>
      <c r="K631" s="15"/>
    </row>
    <row r="632" spans="10:11" x14ac:dyDescent="0.3">
      <c r="J632" s="12"/>
      <c r="K632" s="15"/>
    </row>
    <row r="633" spans="10:11" x14ac:dyDescent="0.3">
      <c r="J633" s="12"/>
      <c r="K633" s="15"/>
    </row>
    <row r="634" spans="10:11" x14ac:dyDescent="0.3">
      <c r="J634" s="12"/>
      <c r="K634" s="15"/>
    </row>
    <row r="635" spans="10:11" x14ac:dyDescent="0.3">
      <c r="J635" s="12"/>
      <c r="K635" s="15"/>
    </row>
    <row r="636" spans="10:11" x14ac:dyDescent="0.3">
      <c r="J636" s="12"/>
      <c r="K636" s="15"/>
    </row>
    <row r="637" spans="10:11" x14ac:dyDescent="0.3">
      <c r="J637" s="12"/>
      <c r="K637" s="15"/>
    </row>
    <row r="638" spans="10:11" x14ac:dyDescent="0.3">
      <c r="J638" s="12"/>
      <c r="K638" s="15"/>
    </row>
    <row r="639" spans="10:11" x14ac:dyDescent="0.3">
      <c r="J639" s="12"/>
      <c r="K639" s="15"/>
    </row>
    <row r="640" spans="10:11" x14ac:dyDescent="0.3">
      <c r="J640" s="12"/>
      <c r="K640" s="15"/>
    </row>
    <row r="641" spans="10:11" x14ac:dyDescent="0.3">
      <c r="J641" s="12"/>
      <c r="K641" s="15"/>
    </row>
    <row r="642" spans="10:11" x14ac:dyDescent="0.3">
      <c r="J642" s="12"/>
      <c r="K642" s="15"/>
    </row>
    <row r="643" spans="10:11" x14ac:dyDescent="0.3">
      <c r="J643" s="12"/>
      <c r="K643" s="15"/>
    </row>
    <row r="644" spans="10:11" x14ac:dyDescent="0.3">
      <c r="J644" s="12"/>
      <c r="K644" s="15"/>
    </row>
    <row r="645" spans="10:11" x14ac:dyDescent="0.3">
      <c r="J645" s="12"/>
      <c r="K645" s="15"/>
    </row>
    <row r="646" spans="10:11" x14ac:dyDescent="0.3">
      <c r="J646" s="12"/>
      <c r="K646" s="15"/>
    </row>
    <row r="647" spans="10:11" x14ac:dyDescent="0.3">
      <c r="J647" s="12"/>
      <c r="K647" s="15"/>
    </row>
    <row r="648" spans="10:11" x14ac:dyDescent="0.3">
      <c r="J648" s="12"/>
      <c r="K648" s="15"/>
    </row>
    <row r="649" spans="10:11" x14ac:dyDescent="0.3">
      <c r="J649" s="12"/>
      <c r="K649" s="15"/>
    </row>
    <row r="650" spans="10:11" x14ac:dyDescent="0.3">
      <c r="J650" s="12"/>
      <c r="K650" s="15"/>
    </row>
    <row r="651" spans="10:11" x14ac:dyDescent="0.3">
      <c r="J651" s="12"/>
      <c r="K651" s="15"/>
    </row>
    <row r="652" spans="10:11" x14ac:dyDescent="0.3">
      <c r="J652" s="12"/>
      <c r="K652" s="15"/>
    </row>
    <row r="653" spans="10:11" x14ac:dyDescent="0.3">
      <c r="J653" s="12"/>
      <c r="K653" s="15"/>
    </row>
    <row r="654" spans="10:11" x14ac:dyDescent="0.3">
      <c r="J654" s="12"/>
      <c r="K654" s="15"/>
    </row>
    <row r="655" spans="10:11" x14ac:dyDescent="0.3">
      <c r="J655" s="12"/>
      <c r="K655" s="15"/>
    </row>
    <row r="656" spans="10:11" x14ac:dyDescent="0.3">
      <c r="J656" s="12"/>
      <c r="K656" s="15"/>
    </row>
    <row r="657" spans="10:11" x14ac:dyDescent="0.3">
      <c r="J657" s="12"/>
      <c r="K657" s="15"/>
    </row>
    <row r="658" spans="10:11" x14ac:dyDescent="0.3">
      <c r="J658" s="12"/>
      <c r="K658" s="15"/>
    </row>
    <row r="659" spans="10:11" x14ac:dyDescent="0.3">
      <c r="J659" s="12"/>
      <c r="K659" s="15"/>
    </row>
    <row r="660" spans="10:11" x14ac:dyDescent="0.3">
      <c r="J660" s="12"/>
      <c r="K660" s="15"/>
    </row>
    <row r="661" spans="10:11" x14ac:dyDescent="0.3">
      <c r="J661" s="12"/>
      <c r="K661" s="15"/>
    </row>
    <row r="662" spans="10:11" x14ac:dyDescent="0.3">
      <c r="J662" s="12"/>
      <c r="K662" s="15"/>
    </row>
    <row r="663" spans="10:11" x14ac:dyDescent="0.3">
      <c r="J663" s="12"/>
      <c r="K663" s="15"/>
    </row>
    <row r="664" spans="10:11" x14ac:dyDescent="0.3">
      <c r="J664" s="12"/>
      <c r="K664" s="15"/>
    </row>
    <row r="665" spans="10:11" x14ac:dyDescent="0.3">
      <c r="J665" s="12"/>
      <c r="K665" s="15"/>
    </row>
    <row r="666" spans="10:11" x14ac:dyDescent="0.3">
      <c r="J666" s="12"/>
      <c r="K666" s="15"/>
    </row>
    <row r="667" spans="10:11" x14ac:dyDescent="0.3">
      <c r="J667" s="12"/>
      <c r="K667" s="15"/>
    </row>
    <row r="668" spans="10:11" x14ac:dyDescent="0.3">
      <c r="J668" s="12"/>
      <c r="K668" s="15"/>
    </row>
    <row r="669" spans="10:11" x14ac:dyDescent="0.3">
      <c r="J669" s="12"/>
      <c r="K669" s="15"/>
    </row>
    <row r="670" spans="10:11" x14ac:dyDescent="0.3">
      <c r="J670" s="12"/>
      <c r="K670" s="15"/>
    </row>
    <row r="671" spans="10:11" x14ac:dyDescent="0.3">
      <c r="J671" s="12"/>
      <c r="K671" s="15"/>
    </row>
    <row r="672" spans="10:11" x14ac:dyDescent="0.3">
      <c r="J672" s="12"/>
      <c r="K672" s="15"/>
    </row>
    <row r="673" spans="10:11" x14ac:dyDescent="0.3">
      <c r="J673" s="12"/>
      <c r="K673" s="15"/>
    </row>
    <row r="674" spans="10:11" x14ac:dyDescent="0.3">
      <c r="J674" s="12"/>
      <c r="K674" s="15"/>
    </row>
    <row r="675" spans="10:11" x14ac:dyDescent="0.3">
      <c r="J675" s="12"/>
      <c r="K675" s="15"/>
    </row>
    <row r="676" spans="10:11" x14ac:dyDescent="0.3">
      <c r="J676" s="12"/>
      <c r="K676" s="15"/>
    </row>
    <row r="677" spans="10:11" x14ac:dyDescent="0.3">
      <c r="J677" s="12"/>
      <c r="K677" s="15"/>
    </row>
    <row r="678" spans="10:11" x14ac:dyDescent="0.3">
      <c r="J678" s="12"/>
      <c r="K678" s="15"/>
    </row>
    <row r="679" spans="10:11" x14ac:dyDescent="0.3">
      <c r="J679" s="12"/>
      <c r="K679" s="15"/>
    </row>
    <row r="680" spans="10:11" x14ac:dyDescent="0.3">
      <c r="J680" s="12"/>
      <c r="K680" s="15"/>
    </row>
    <row r="681" spans="10:11" x14ac:dyDescent="0.3">
      <c r="J681" s="12"/>
      <c r="K681" s="15"/>
    </row>
    <row r="682" spans="10:11" x14ac:dyDescent="0.3">
      <c r="J682" s="12"/>
      <c r="K682" s="15"/>
    </row>
    <row r="683" spans="10:11" x14ac:dyDescent="0.3">
      <c r="J683" s="12"/>
      <c r="K683" s="15"/>
    </row>
    <row r="684" spans="10:11" x14ac:dyDescent="0.3">
      <c r="J684" s="12"/>
      <c r="K684" s="15"/>
    </row>
    <row r="685" spans="10:11" x14ac:dyDescent="0.3">
      <c r="J685" s="12"/>
      <c r="K685" s="15"/>
    </row>
    <row r="686" spans="10:11" x14ac:dyDescent="0.3">
      <c r="J686" s="12"/>
      <c r="K686" s="15"/>
    </row>
    <row r="687" spans="10:11" x14ac:dyDescent="0.3">
      <c r="J687" s="12"/>
      <c r="K687" s="15"/>
    </row>
    <row r="688" spans="10:11" x14ac:dyDescent="0.3">
      <c r="J688" s="12"/>
      <c r="K688" s="15"/>
    </row>
    <row r="689" spans="10:11" x14ac:dyDescent="0.3">
      <c r="J689" s="12"/>
      <c r="K689" s="15"/>
    </row>
    <row r="690" spans="10:11" x14ac:dyDescent="0.3">
      <c r="J690" s="12"/>
      <c r="K690" s="15"/>
    </row>
    <row r="691" spans="10:11" x14ac:dyDescent="0.3">
      <c r="J691" s="12"/>
      <c r="K691" s="15"/>
    </row>
    <row r="692" spans="10:11" x14ac:dyDescent="0.3">
      <c r="J692" s="12"/>
      <c r="K692" s="15"/>
    </row>
    <row r="693" spans="10:11" x14ac:dyDescent="0.3">
      <c r="J693" s="12"/>
      <c r="K693" s="15"/>
    </row>
    <row r="694" spans="10:11" x14ac:dyDescent="0.3">
      <c r="J694" s="12"/>
      <c r="K694" s="15"/>
    </row>
    <row r="695" spans="10:11" x14ac:dyDescent="0.3">
      <c r="J695" s="12"/>
      <c r="K695" s="15"/>
    </row>
    <row r="696" spans="10:11" x14ac:dyDescent="0.3">
      <c r="J696" s="12"/>
      <c r="K696" s="15"/>
    </row>
    <row r="697" spans="10:11" x14ac:dyDescent="0.3">
      <c r="J697" s="12"/>
      <c r="K697" s="15"/>
    </row>
    <row r="698" spans="10:11" x14ac:dyDescent="0.3">
      <c r="J698" s="12"/>
      <c r="K698" s="15"/>
    </row>
    <row r="699" spans="10:11" x14ac:dyDescent="0.3">
      <c r="J699" s="12"/>
      <c r="K699" s="15"/>
    </row>
    <row r="700" spans="10:11" x14ac:dyDescent="0.3">
      <c r="J700" s="12"/>
      <c r="K700" s="15"/>
    </row>
    <row r="701" spans="10:11" x14ac:dyDescent="0.3">
      <c r="J701" s="12"/>
      <c r="K701" s="15"/>
    </row>
    <row r="702" spans="10:11" x14ac:dyDescent="0.3">
      <c r="J702" s="12"/>
      <c r="K702" s="15"/>
    </row>
    <row r="703" spans="10:11" x14ac:dyDescent="0.3">
      <c r="J703" s="12"/>
      <c r="K703" s="15"/>
    </row>
    <row r="704" spans="10:11" x14ac:dyDescent="0.3">
      <c r="J704" s="12"/>
      <c r="K704" s="15"/>
    </row>
    <row r="705" spans="10:11" x14ac:dyDescent="0.3">
      <c r="J705" s="12"/>
      <c r="K705" s="15"/>
    </row>
    <row r="706" spans="10:11" x14ac:dyDescent="0.3">
      <c r="J706" s="12"/>
      <c r="K706" s="15"/>
    </row>
    <row r="707" spans="10:11" x14ac:dyDescent="0.3">
      <c r="J707" s="12"/>
      <c r="K707" s="15"/>
    </row>
    <row r="708" spans="10:11" x14ac:dyDescent="0.3">
      <c r="J708" s="12"/>
      <c r="K708" s="15"/>
    </row>
    <row r="709" spans="10:11" x14ac:dyDescent="0.3">
      <c r="J709" s="12"/>
      <c r="K709" s="15"/>
    </row>
    <row r="710" spans="10:11" x14ac:dyDescent="0.3">
      <c r="J710" s="12"/>
      <c r="K710" s="15"/>
    </row>
    <row r="711" spans="10:11" x14ac:dyDescent="0.3">
      <c r="J711" s="12"/>
      <c r="K711" s="15"/>
    </row>
    <row r="712" spans="10:11" x14ac:dyDescent="0.3">
      <c r="J712" s="12"/>
      <c r="K712" s="15"/>
    </row>
    <row r="713" spans="10:11" x14ac:dyDescent="0.3">
      <c r="J713" s="12"/>
      <c r="K713" s="15"/>
    </row>
    <row r="714" spans="10:11" x14ac:dyDescent="0.3">
      <c r="J714" s="12"/>
      <c r="K714" s="15"/>
    </row>
    <row r="715" spans="10:11" x14ac:dyDescent="0.3">
      <c r="J715" s="12"/>
      <c r="K715" s="15"/>
    </row>
    <row r="716" spans="10:11" x14ac:dyDescent="0.3">
      <c r="J716" s="12"/>
      <c r="K716" s="15"/>
    </row>
    <row r="717" spans="10:11" x14ac:dyDescent="0.3">
      <c r="J717" s="12"/>
      <c r="K717" s="15"/>
    </row>
    <row r="718" spans="10:11" x14ac:dyDescent="0.3">
      <c r="J718" s="12"/>
      <c r="K718" s="15"/>
    </row>
    <row r="719" spans="10:11" x14ac:dyDescent="0.3">
      <c r="J719" s="12"/>
      <c r="K719" s="15"/>
    </row>
    <row r="720" spans="10:11" x14ac:dyDescent="0.3">
      <c r="J720" s="12"/>
      <c r="K720" s="15"/>
    </row>
    <row r="721" spans="10:11" x14ac:dyDescent="0.3">
      <c r="J721" s="12"/>
      <c r="K721" s="15"/>
    </row>
    <row r="722" spans="10:11" x14ac:dyDescent="0.3">
      <c r="J722" s="12"/>
      <c r="K722" s="15"/>
    </row>
    <row r="723" spans="10:11" x14ac:dyDescent="0.3">
      <c r="J723" s="12"/>
      <c r="K723" s="15"/>
    </row>
    <row r="724" spans="10:11" x14ac:dyDescent="0.3">
      <c r="J724" s="12"/>
      <c r="K724" s="15"/>
    </row>
    <row r="725" spans="10:11" x14ac:dyDescent="0.3">
      <c r="J725" s="12"/>
      <c r="K725" s="15"/>
    </row>
    <row r="726" spans="10:11" x14ac:dyDescent="0.3">
      <c r="J726" s="12"/>
      <c r="K726" s="15"/>
    </row>
    <row r="727" spans="10:11" x14ac:dyDescent="0.3">
      <c r="J727" s="12"/>
      <c r="K727" s="15"/>
    </row>
    <row r="728" spans="10:11" x14ac:dyDescent="0.3">
      <c r="J728" s="12"/>
      <c r="K728" s="15"/>
    </row>
    <row r="729" spans="10:11" x14ac:dyDescent="0.3">
      <c r="J729" s="12"/>
      <c r="K729" s="15"/>
    </row>
    <row r="730" spans="10:11" x14ac:dyDescent="0.3">
      <c r="J730" s="12"/>
      <c r="K730" s="15"/>
    </row>
    <row r="731" spans="10:11" x14ac:dyDescent="0.3">
      <c r="J731" s="12"/>
      <c r="K731" s="15"/>
    </row>
    <row r="732" spans="10:11" x14ac:dyDescent="0.3">
      <c r="J732" s="12"/>
      <c r="K732" s="15"/>
    </row>
    <row r="733" spans="10:11" x14ac:dyDescent="0.3">
      <c r="J733" s="12"/>
      <c r="K733" s="15"/>
    </row>
    <row r="734" spans="10:11" x14ac:dyDescent="0.3">
      <c r="J734" s="12"/>
      <c r="K734" s="15"/>
    </row>
    <row r="735" spans="10:11" x14ac:dyDescent="0.3">
      <c r="J735" s="12"/>
      <c r="K735" s="15"/>
    </row>
    <row r="736" spans="10:11" x14ac:dyDescent="0.3">
      <c r="J736" s="12"/>
      <c r="K736" s="15"/>
    </row>
    <row r="737" spans="10:11" x14ac:dyDescent="0.3">
      <c r="J737" s="12"/>
      <c r="K737" s="15"/>
    </row>
    <row r="738" spans="10:11" x14ac:dyDescent="0.3">
      <c r="J738" s="12"/>
      <c r="K738" s="15"/>
    </row>
    <row r="739" spans="10:11" x14ac:dyDescent="0.3">
      <c r="J739" s="12"/>
      <c r="K739" s="15"/>
    </row>
    <row r="740" spans="10:11" x14ac:dyDescent="0.3">
      <c r="J740" s="12"/>
      <c r="K740" s="15"/>
    </row>
    <row r="741" spans="10:11" x14ac:dyDescent="0.3">
      <c r="J741" s="12"/>
      <c r="K741" s="15"/>
    </row>
  </sheetData>
  <autoFilter ref="A9:E9" xr:uid="{00000000-0009-0000-0000-00000A000000}">
    <sortState xmlns:xlrd2="http://schemas.microsoft.com/office/spreadsheetml/2017/richdata2" ref="A10:E381">
      <sortCondition descending="1" ref="C9"/>
    </sortState>
  </autoFilter>
  <mergeCells count="1">
    <mergeCell ref="J9:K9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3"/>
  <dimension ref="A1:B372"/>
  <sheetViews>
    <sheetView workbookViewId="0"/>
  </sheetViews>
  <sheetFormatPr baseColWidth="10" defaultColWidth="11.44140625" defaultRowHeight="14.4" x14ac:dyDescent="0.3"/>
  <sheetData>
    <row r="1" spans="1:2" x14ac:dyDescent="0.3">
      <c r="A1" s="9" t="s">
        <v>44</v>
      </c>
      <c r="B1" s="10" t="s">
        <v>43</v>
      </c>
    </row>
    <row r="2" spans="1:2" x14ac:dyDescent="0.3">
      <c r="A2" s="9">
        <v>30713</v>
      </c>
      <c r="B2" s="11">
        <v>197.4</v>
      </c>
    </row>
    <row r="3" spans="1:2" x14ac:dyDescent="0.3">
      <c r="A3" s="9">
        <v>30742</v>
      </c>
      <c r="B3" s="11">
        <v>232.1</v>
      </c>
    </row>
    <row r="4" spans="1:2" x14ac:dyDescent="0.3">
      <c r="A4" s="9">
        <v>30773</v>
      </c>
      <c r="B4" s="11">
        <v>176.2</v>
      </c>
    </row>
    <row r="5" spans="1:2" x14ac:dyDescent="0.3">
      <c r="A5" s="9">
        <v>30803</v>
      </c>
      <c r="B5" s="11">
        <v>285.89999999999998</v>
      </c>
    </row>
    <row r="6" spans="1:2" x14ac:dyDescent="0.3">
      <c r="A6" s="9">
        <v>30834</v>
      </c>
      <c r="B6" s="11">
        <v>388.3</v>
      </c>
    </row>
    <row r="7" spans="1:2" x14ac:dyDescent="0.3">
      <c r="A7" s="9">
        <v>30864</v>
      </c>
      <c r="B7" s="11">
        <v>475.7</v>
      </c>
    </row>
    <row r="8" spans="1:2" x14ac:dyDescent="0.3">
      <c r="A8" s="9">
        <v>30895</v>
      </c>
      <c r="B8" s="11">
        <v>527.70000000000005</v>
      </c>
    </row>
    <row r="9" spans="1:2" x14ac:dyDescent="0.3">
      <c r="A9" s="9">
        <v>30926</v>
      </c>
      <c r="B9" s="11">
        <v>497.4</v>
      </c>
    </row>
    <row r="10" spans="1:2" x14ac:dyDescent="0.3">
      <c r="A10" s="9">
        <v>30956</v>
      </c>
      <c r="B10" s="11">
        <v>564.5</v>
      </c>
    </row>
    <row r="11" spans="1:2" x14ac:dyDescent="0.3">
      <c r="A11" s="9">
        <v>30987</v>
      </c>
      <c r="B11" s="11">
        <v>648.29999999999995</v>
      </c>
    </row>
    <row r="12" spans="1:2" x14ac:dyDescent="0.3">
      <c r="A12" s="9">
        <v>31017</v>
      </c>
      <c r="B12" s="11">
        <v>722.7</v>
      </c>
    </row>
    <row r="13" spans="1:2" x14ac:dyDescent="0.3">
      <c r="A13" s="9">
        <v>31048</v>
      </c>
      <c r="B13" s="11">
        <v>523.6</v>
      </c>
    </row>
    <row r="14" spans="1:2" x14ac:dyDescent="0.3">
      <c r="A14" s="9">
        <v>31079</v>
      </c>
      <c r="B14" s="11">
        <v>266.10000000000002</v>
      </c>
    </row>
    <row r="15" spans="1:2" x14ac:dyDescent="0.3">
      <c r="A15" s="9">
        <v>31107</v>
      </c>
      <c r="B15" s="11">
        <v>195.5</v>
      </c>
    </row>
    <row r="16" spans="1:2" x14ac:dyDescent="0.3">
      <c r="A16" s="9">
        <v>31138</v>
      </c>
      <c r="B16" s="11">
        <v>216.5</v>
      </c>
    </row>
    <row r="17" spans="1:2" x14ac:dyDescent="0.3">
      <c r="A17" s="9">
        <v>31168</v>
      </c>
      <c r="B17" s="11">
        <v>295.5</v>
      </c>
    </row>
    <row r="18" spans="1:2" x14ac:dyDescent="0.3">
      <c r="A18" s="9">
        <v>31199</v>
      </c>
      <c r="B18" s="11">
        <v>343.8</v>
      </c>
    </row>
    <row r="19" spans="1:2" x14ac:dyDescent="0.3">
      <c r="A19" s="9">
        <v>31229</v>
      </c>
      <c r="B19" s="11">
        <v>281</v>
      </c>
    </row>
    <row r="20" spans="1:2" x14ac:dyDescent="0.3">
      <c r="A20" s="9">
        <v>31260</v>
      </c>
      <c r="B20" s="11">
        <v>339</v>
      </c>
    </row>
    <row r="21" spans="1:2" x14ac:dyDescent="0.3">
      <c r="A21" s="9">
        <v>31291</v>
      </c>
      <c r="B21" s="11">
        <v>413.2</v>
      </c>
    </row>
    <row r="22" spans="1:2" x14ac:dyDescent="0.3">
      <c r="A22" s="9">
        <v>31321</v>
      </c>
      <c r="B22" s="11">
        <v>492.7</v>
      </c>
    </row>
    <row r="23" spans="1:2" x14ac:dyDescent="0.3">
      <c r="A23" s="9">
        <v>31352</v>
      </c>
      <c r="B23" s="11">
        <v>531.29999999999995</v>
      </c>
    </row>
    <row r="24" spans="1:2" x14ac:dyDescent="0.3">
      <c r="A24" s="9">
        <v>31382</v>
      </c>
      <c r="B24" s="11">
        <v>568.79999999999995</v>
      </c>
    </row>
    <row r="25" spans="1:2" x14ac:dyDescent="0.3">
      <c r="A25" s="9">
        <v>31413</v>
      </c>
      <c r="B25" s="11">
        <v>384.6</v>
      </c>
    </row>
    <row r="26" spans="1:2" x14ac:dyDescent="0.3">
      <c r="A26" s="9">
        <v>31444</v>
      </c>
      <c r="B26" s="11">
        <v>218.4</v>
      </c>
    </row>
    <row r="27" spans="1:2" x14ac:dyDescent="0.3">
      <c r="A27" s="9">
        <v>31472</v>
      </c>
      <c r="B27" s="11">
        <v>255.2</v>
      </c>
    </row>
    <row r="28" spans="1:2" x14ac:dyDescent="0.3">
      <c r="A28" s="9">
        <v>31503</v>
      </c>
      <c r="B28" s="11">
        <v>292.2</v>
      </c>
    </row>
    <row r="29" spans="1:2" x14ac:dyDescent="0.3">
      <c r="A29" s="9">
        <v>31533</v>
      </c>
      <c r="B29" s="11">
        <v>406.7</v>
      </c>
    </row>
    <row r="30" spans="1:2" x14ac:dyDescent="0.3">
      <c r="A30" s="9">
        <v>31564</v>
      </c>
      <c r="B30" s="11">
        <v>456.3</v>
      </c>
    </row>
    <row r="31" spans="1:2" x14ac:dyDescent="0.3">
      <c r="A31" s="9">
        <v>31594</v>
      </c>
      <c r="B31" s="11">
        <v>474.5</v>
      </c>
    </row>
    <row r="32" spans="1:2" x14ac:dyDescent="0.3">
      <c r="A32" s="9">
        <v>31625</v>
      </c>
      <c r="B32" s="11">
        <v>344.1</v>
      </c>
    </row>
    <row r="33" spans="1:2" x14ac:dyDescent="0.3">
      <c r="A33" s="9">
        <v>31656</v>
      </c>
      <c r="B33" s="11">
        <v>306</v>
      </c>
    </row>
    <row r="34" spans="1:2" x14ac:dyDescent="0.3">
      <c r="A34" s="9">
        <v>31686</v>
      </c>
      <c r="B34" s="11">
        <v>418.2</v>
      </c>
    </row>
    <row r="35" spans="1:2" x14ac:dyDescent="0.3">
      <c r="A35" s="9">
        <v>31717</v>
      </c>
      <c r="B35" s="11">
        <v>532.29999999999995</v>
      </c>
    </row>
    <row r="36" spans="1:2" x14ac:dyDescent="0.3">
      <c r="A36" s="9">
        <v>31747</v>
      </c>
      <c r="B36" s="11">
        <v>566.6</v>
      </c>
    </row>
    <row r="37" spans="1:2" x14ac:dyDescent="0.3">
      <c r="A37" s="9">
        <v>31778</v>
      </c>
      <c r="B37" s="11">
        <v>324.39999999999998</v>
      </c>
    </row>
    <row r="38" spans="1:2" x14ac:dyDescent="0.3">
      <c r="A38" s="9">
        <v>31809</v>
      </c>
      <c r="B38" s="11">
        <v>135.9</v>
      </c>
    </row>
    <row r="39" spans="1:2" x14ac:dyDescent="0.3">
      <c r="A39" s="9">
        <v>31837</v>
      </c>
      <c r="B39" s="11">
        <v>116.5</v>
      </c>
    </row>
    <row r="40" spans="1:2" x14ac:dyDescent="0.3">
      <c r="A40" s="9">
        <v>31868</v>
      </c>
      <c r="B40" s="11">
        <v>161.19999999999999</v>
      </c>
    </row>
    <row r="41" spans="1:2" x14ac:dyDescent="0.3">
      <c r="A41" s="9">
        <v>31898</v>
      </c>
      <c r="B41" s="11">
        <v>318.5</v>
      </c>
    </row>
    <row r="42" spans="1:2" x14ac:dyDescent="0.3">
      <c r="A42" s="9">
        <v>31929</v>
      </c>
      <c r="B42" s="11">
        <v>387.9</v>
      </c>
    </row>
    <row r="43" spans="1:2" x14ac:dyDescent="0.3">
      <c r="A43" s="9">
        <v>31959</v>
      </c>
      <c r="B43" s="11">
        <v>354.7</v>
      </c>
    </row>
    <row r="44" spans="1:2" x14ac:dyDescent="0.3">
      <c r="A44" s="9">
        <v>31990</v>
      </c>
      <c r="B44" s="11">
        <v>433</v>
      </c>
    </row>
    <row r="45" spans="1:2" x14ac:dyDescent="0.3">
      <c r="A45" s="9">
        <v>32021</v>
      </c>
      <c r="B45" s="11">
        <v>455.2</v>
      </c>
    </row>
    <row r="46" spans="1:2" x14ac:dyDescent="0.3">
      <c r="A46" s="9">
        <v>32051</v>
      </c>
      <c r="B46" s="11">
        <v>546.20000000000005</v>
      </c>
    </row>
    <row r="47" spans="1:2" x14ac:dyDescent="0.3">
      <c r="A47" s="9">
        <v>32082</v>
      </c>
      <c r="B47" s="11">
        <v>619.70000000000005</v>
      </c>
    </row>
    <row r="48" spans="1:2" x14ac:dyDescent="0.3">
      <c r="A48" s="9">
        <v>32112</v>
      </c>
      <c r="B48" s="11">
        <v>697.7</v>
      </c>
    </row>
    <row r="49" spans="1:2" x14ac:dyDescent="0.3">
      <c r="A49" s="9">
        <v>32143</v>
      </c>
      <c r="B49" s="11">
        <v>525.9</v>
      </c>
    </row>
    <row r="50" spans="1:2" x14ac:dyDescent="0.3">
      <c r="A50" s="9">
        <v>32174</v>
      </c>
      <c r="B50" s="11">
        <v>238.2</v>
      </c>
    </row>
    <row r="51" spans="1:2" x14ac:dyDescent="0.3">
      <c r="A51" s="9">
        <v>32203</v>
      </c>
      <c r="B51" s="11">
        <v>172.6</v>
      </c>
    </row>
    <row r="52" spans="1:2" x14ac:dyDescent="0.3">
      <c r="A52" s="9">
        <v>32234</v>
      </c>
      <c r="B52" s="11">
        <v>226.1</v>
      </c>
    </row>
    <row r="53" spans="1:2" x14ac:dyDescent="0.3">
      <c r="A53" s="9">
        <v>32264</v>
      </c>
      <c r="B53" s="11">
        <v>361.9</v>
      </c>
    </row>
    <row r="54" spans="1:2" x14ac:dyDescent="0.3">
      <c r="A54" s="9">
        <v>32295</v>
      </c>
      <c r="B54" s="11">
        <v>414.8</v>
      </c>
    </row>
    <row r="55" spans="1:2" x14ac:dyDescent="0.3">
      <c r="A55" s="9">
        <v>32325</v>
      </c>
      <c r="B55" s="11">
        <v>563.79999999999995</v>
      </c>
    </row>
    <row r="56" spans="1:2" x14ac:dyDescent="0.3">
      <c r="A56" s="9">
        <v>32356</v>
      </c>
      <c r="B56" s="11">
        <v>648.6</v>
      </c>
    </row>
    <row r="57" spans="1:2" x14ac:dyDescent="0.3">
      <c r="A57" s="9">
        <v>32387</v>
      </c>
      <c r="B57" s="11">
        <v>695.4</v>
      </c>
    </row>
    <row r="58" spans="1:2" x14ac:dyDescent="0.3">
      <c r="A58" s="9">
        <v>32417</v>
      </c>
      <c r="B58" s="11">
        <v>778.8</v>
      </c>
    </row>
    <row r="59" spans="1:2" x14ac:dyDescent="0.3">
      <c r="A59" s="9">
        <v>32448</v>
      </c>
      <c r="B59" s="11">
        <v>747.4</v>
      </c>
    </row>
    <row r="60" spans="1:2" x14ac:dyDescent="0.3">
      <c r="A60" s="9">
        <v>32478</v>
      </c>
      <c r="B60" s="11">
        <v>765.2</v>
      </c>
    </row>
    <row r="61" spans="1:2" x14ac:dyDescent="0.3">
      <c r="A61" s="9">
        <v>32509</v>
      </c>
      <c r="B61" s="11">
        <v>639.9</v>
      </c>
    </row>
    <row r="62" spans="1:2" x14ac:dyDescent="0.3">
      <c r="A62" s="9">
        <v>32540</v>
      </c>
      <c r="B62" s="11">
        <v>413.2</v>
      </c>
    </row>
    <row r="63" spans="1:2" x14ac:dyDescent="0.3">
      <c r="A63" s="9">
        <v>32568</v>
      </c>
      <c r="B63" s="11">
        <v>326.89999999999998</v>
      </c>
    </row>
    <row r="64" spans="1:2" x14ac:dyDescent="0.3">
      <c r="A64" s="9">
        <v>32599</v>
      </c>
      <c r="B64" s="11">
        <v>277.2</v>
      </c>
    </row>
    <row r="65" spans="1:2" x14ac:dyDescent="0.3">
      <c r="A65" s="9">
        <v>32629</v>
      </c>
      <c r="B65" s="11">
        <v>306.5</v>
      </c>
    </row>
    <row r="66" spans="1:2" x14ac:dyDescent="0.3">
      <c r="A66" s="9">
        <v>32660</v>
      </c>
      <c r="B66" s="11">
        <v>379</v>
      </c>
    </row>
    <row r="67" spans="1:2" x14ac:dyDescent="0.3">
      <c r="A67" s="9">
        <v>32690</v>
      </c>
      <c r="B67" s="11">
        <v>397.4</v>
      </c>
    </row>
    <row r="68" spans="1:2" x14ac:dyDescent="0.3">
      <c r="A68" s="9">
        <v>32721</v>
      </c>
      <c r="B68" s="11">
        <v>383.6</v>
      </c>
    </row>
    <row r="69" spans="1:2" x14ac:dyDescent="0.3">
      <c r="A69" s="9">
        <v>32752</v>
      </c>
      <c r="B69" s="11">
        <v>425</v>
      </c>
    </row>
    <row r="70" spans="1:2" x14ac:dyDescent="0.3">
      <c r="A70" s="9">
        <v>32782</v>
      </c>
      <c r="B70" s="11">
        <v>542.9</v>
      </c>
    </row>
    <row r="71" spans="1:2" x14ac:dyDescent="0.3">
      <c r="A71" s="9">
        <v>32813</v>
      </c>
      <c r="B71" s="11">
        <v>601.9</v>
      </c>
    </row>
    <row r="72" spans="1:2" x14ac:dyDescent="0.3">
      <c r="A72" s="9">
        <v>32843</v>
      </c>
      <c r="B72" s="11">
        <v>614.6</v>
      </c>
    </row>
    <row r="73" spans="1:2" x14ac:dyDescent="0.3">
      <c r="A73" s="9">
        <v>32874</v>
      </c>
      <c r="B73" s="11">
        <v>409.9</v>
      </c>
    </row>
    <row r="74" spans="1:2" x14ac:dyDescent="0.3">
      <c r="A74" s="9">
        <v>32905</v>
      </c>
      <c r="B74" s="11">
        <v>247.8</v>
      </c>
    </row>
    <row r="75" spans="1:2" x14ac:dyDescent="0.3">
      <c r="A75" s="9">
        <v>32933</v>
      </c>
      <c r="B75" s="11">
        <v>245.5</v>
      </c>
    </row>
    <row r="76" spans="1:2" x14ac:dyDescent="0.3">
      <c r="A76" s="9">
        <v>32964</v>
      </c>
      <c r="B76" s="11">
        <v>260.39999999999998</v>
      </c>
    </row>
    <row r="77" spans="1:2" x14ac:dyDescent="0.3">
      <c r="A77" s="9">
        <v>32994</v>
      </c>
      <c r="B77" s="11">
        <v>384.8</v>
      </c>
    </row>
    <row r="78" spans="1:2" x14ac:dyDescent="0.3">
      <c r="A78" s="9">
        <v>33025</v>
      </c>
      <c r="B78" s="11">
        <v>402.5</v>
      </c>
    </row>
    <row r="79" spans="1:2" x14ac:dyDescent="0.3">
      <c r="A79" s="9">
        <v>33055</v>
      </c>
      <c r="B79" s="11">
        <v>404.9</v>
      </c>
    </row>
    <row r="80" spans="1:2" x14ac:dyDescent="0.3">
      <c r="A80" s="9">
        <v>33086</v>
      </c>
      <c r="B80" s="11">
        <v>371.6</v>
      </c>
    </row>
    <row r="81" spans="1:2" x14ac:dyDescent="0.3">
      <c r="A81" s="9">
        <v>33117</v>
      </c>
      <c r="B81" s="11">
        <v>369.5</v>
      </c>
    </row>
    <row r="82" spans="1:2" x14ac:dyDescent="0.3">
      <c r="A82" s="9">
        <v>33147</v>
      </c>
      <c r="B82" s="11">
        <v>448.8</v>
      </c>
    </row>
    <row r="83" spans="1:2" x14ac:dyDescent="0.3">
      <c r="A83" s="9">
        <v>33178</v>
      </c>
      <c r="B83" s="11">
        <v>526.79999999999995</v>
      </c>
    </row>
    <row r="84" spans="1:2" x14ac:dyDescent="0.3">
      <c r="A84" s="9">
        <v>33208</v>
      </c>
      <c r="B84" s="11">
        <v>569.6</v>
      </c>
    </row>
    <row r="85" spans="1:2" x14ac:dyDescent="0.3">
      <c r="A85" s="9">
        <v>33239</v>
      </c>
      <c r="B85" s="11">
        <v>431.35</v>
      </c>
    </row>
    <row r="86" spans="1:2" x14ac:dyDescent="0.3">
      <c r="A86" s="9">
        <v>33270</v>
      </c>
      <c r="B86" s="11">
        <v>362.22500000000002</v>
      </c>
    </row>
    <row r="87" spans="1:2" x14ac:dyDescent="0.3">
      <c r="A87" s="9">
        <v>33298</v>
      </c>
      <c r="B87" s="11">
        <v>327.66250000000002</v>
      </c>
    </row>
    <row r="88" spans="1:2" x14ac:dyDescent="0.3">
      <c r="A88" s="9">
        <v>33329</v>
      </c>
      <c r="B88" s="11">
        <v>310.38125000000002</v>
      </c>
    </row>
    <row r="89" spans="1:2" x14ac:dyDescent="0.3">
      <c r="A89" s="9">
        <v>33359</v>
      </c>
      <c r="B89" s="11">
        <v>301.74062500000002</v>
      </c>
    </row>
    <row r="90" spans="1:2" x14ac:dyDescent="0.3">
      <c r="A90" s="9">
        <v>33390</v>
      </c>
      <c r="B90" s="11">
        <v>297.42031250000002</v>
      </c>
    </row>
    <row r="91" spans="1:2" x14ac:dyDescent="0.3">
      <c r="A91" s="9">
        <v>33420</v>
      </c>
      <c r="B91" s="11">
        <v>295.26015625000002</v>
      </c>
    </row>
    <row r="92" spans="1:2" x14ac:dyDescent="0.3">
      <c r="A92" s="9">
        <v>33451</v>
      </c>
      <c r="B92" s="11">
        <v>294.18007812500002</v>
      </c>
    </row>
    <row r="93" spans="1:2" x14ac:dyDescent="0.3">
      <c r="A93" s="9">
        <v>33482</v>
      </c>
      <c r="B93" s="11">
        <v>293.64003906250002</v>
      </c>
    </row>
    <row r="94" spans="1:2" x14ac:dyDescent="0.3">
      <c r="A94" s="9">
        <v>33512</v>
      </c>
      <c r="B94" s="11">
        <v>293.37001953125002</v>
      </c>
    </row>
    <row r="95" spans="1:2" x14ac:dyDescent="0.3">
      <c r="A95" s="9">
        <v>33543</v>
      </c>
      <c r="B95" s="11">
        <v>293.23500976562502</v>
      </c>
    </row>
    <row r="96" spans="1:2" x14ac:dyDescent="0.3">
      <c r="A96" s="9">
        <v>33573</v>
      </c>
      <c r="B96" s="11">
        <v>293.16750488281252</v>
      </c>
    </row>
    <row r="97" spans="1:2" x14ac:dyDescent="0.3">
      <c r="A97" s="9">
        <v>33604</v>
      </c>
      <c r="B97" s="11">
        <v>293.10000000000002</v>
      </c>
    </row>
    <row r="98" spans="1:2" x14ac:dyDescent="0.3">
      <c r="A98" s="9">
        <v>33635</v>
      </c>
      <c r="B98" s="11">
        <v>180.3</v>
      </c>
    </row>
    <row r="99" spans="1:2" x14ac:dyDescent="0.3">
      <c r="A99" s="9">
        <v>33664</v>
      </c>
      <c r="B99" s="11">
        <v>180.4</v>
      </c>
    </row>
    <row r="100" spans="1:2" x14ac:dyDescent="0.3">
      <c r="A100" s="9">
        <v>33695</v>
      </c>
      <c r="B100" s="11">
        <v>176</v>
      </c>
    </row>
    <row r="101" spans="1:2" x14ac:dyDescent="0.3">
      <c r="A101" s="9">
        <v>33725</v>
      </c>
      <c r="B101" s="11">
        <v>255.1</v>
      </c>
    </row>
    <row r="102" spans="1:2" x14ac:dyDescent="0.3">
      <c r="A102" s="9">
        <v>33756</v>
      </c>
      <c r="B102" s="11">
        <v>308.39999999999998</v>
      </c>
    </row>
    <row r="103" spans="1:2" x14ac:dyDescent="0.3">
      <c r="A103" s="9">
        <v>33786</v>
      </c>
      <c r="B103" s="11">
        <v>281.2</v>
      </c>
    </row>
    <row r="104" spans="1:2" x14ac:dyDescent="0.3">
      <c r="A104" s="9">
        <v>33817</v>
      </c>
      <c r="B104" s="11">
        <v>328.2</v>
      </c>
    </row>
    <row r="105" spans="1:2" x14ac:dyDescent="0.3">
      <c r="A105" s="9">
        <v>33848</v>
      </c>
      <c r="B105" s="11">
        <v>346.8</v>
      </c>
    </row>
    <row r="106" spans="1:2" x14ac:dyDescent="0.3">
      <c r="A106" s="9">
        <v>33878</v>
      </c>
      <c r="B106" s="11">
        <v>432</v>
      </c>
    </row>
    <row r="107" spans="1:2" x14ac:dyDescent="0.3">
      <c r="A107" s="9">
        <v>33909</v>
      </c>
      <c r="B107" s="11">
        <v>388</v>
      </c>
    </row>
    <row r="108" spans="1:2" x14ac:dyDescent="0.3">
      <c r="A108" s="9">
        <v>33939</v>
      </c>
      <c r="B108" s="11">
        <v>398.6</v>
      </c>
    </row>
    <row r="109" spans="1:2" x14ac:dyDescent="0.3">
      <c r="A109" s="9">
        <v>33970</v>
      </c>
      <c r="B109" s="11">
        <v>308.2</v>
      </c>
    </row>
    <row r="110" spans="1:2" x14ac:dyDescent="0.3">
      <c r="A110" s="9">
        <v>34001</v>
      </c>
      <c r="B110" s="11">
        <v>202.6</v>
      </c>
    </row>
    <row r="111" spans="1:2" x14ac:dyDescent="0.3">
      <c r="A111" s="9">
        <v>34029</v>
      </c>
      <c r="B111" s="11">
        <v>196.8</v>
      </c>
    </row>
    <row r="112" spans="1:2" x14ac:dyDescent="0.3">
      <c r="A112" s="9">
        <v>34060</v>
      </c>
      <c r="B112" s="11">
        <v>270.89999999999998</v>
      </c>
    </row>
    <row r="113" spans="1:2" x14ac:dyDescent="0.3">
      <c r="A113" s="9">
        <v>34090</v>
      </c>
      <c r="B113" s="11">
        <v>391.3</v>
      </c>
    </row>
    <row r="114" spans="1:2" x14ac:dyDescent="0.3">
      <c r="A114" s="9">
        <v>34121</v>
      </c>
      <c r="B114" s="11">
        <v>428.8</v>
      </c>
    </row>
    <row r="115" spans="1:2" x14ac:dyDescent="0.3">
      <c r="A115" s="9">
        <v>34151</v>
      </c>
      <c r="B115" s="11">
        <v>432.7</v>
      </c>
    </row>
    <row r="116" spans="1:2" x14ac:dyDescent="0.3">
      <c r="A116" s="9">
        <v>34182</v>
      </c>
      <c r="B116" s="11">
        <v>380.7</v>
      </c>
    </row>
    <row r="117" spans="1:2" x14ac:dyDescent="0.3">
      <c r="A117" s="9">
        <v>34213</v>
      </c>
      <c r="B117" s="11">
        <v>388.8</v>
      </c>
    </row>
    <row r="118" spans="1:2" x14ac:dyDescent="0.3">
      <c r="A118" s="9">
        <v>34243</v>
      </c>
      <c r="B118" s="11">
        <v>452</v>
      </c>
    </row>
    <row r="119" spans="1:2" x14ac:dyDescent="0.3">
      <c r="A119" s="9">
        <v>34274</v>
      </c>
      <c r="B119" s="11">
        <v>458.4</v>
      </c>
    </row>
    <row r="120" spans="1:2" x14ac:dyDescent="0.3">
      <c r="A120" s="9">
        <v>34304</v>
      </c>
      <c r="B120" s="11">
        <v>494.9</v>
      </c>
    </row>
    <row r="121" spans="1:2" x14ac:dyDescent="0.3">
      <c r="A121" s="9">
        <v>34335</v>
      </c>
      <c r="B121" s="11">
        <v>668.1</v>
      </c>
    </row>
    <row r="122" spans="1:2" x14ac:dyDescent="0.3">
      <c r="A122" s="9">
        <v>34366</v>
      </c>
      <c r="B122" s="11">
        <v>305.5</v>
      </c>
    </row>
    <row r="123" spans="1:2" x14ac:dyDescent="0.3">
      <c r="A123" s="9">
        <v>34394</v>
      </c>
      <c r="B123" s="11">
        <v>273.2</v>
      </c>
    </row>
    <row r="124" spans="1:2" x14ac:dyDescent="0.3">
      <c r="A124" s="9">
        <v>34425</v>
      </c>
      <c r="B124" s="11">
        <v>385.3</v>
      </c>
    </row>
    <row r="125" spans="1:2" x14ac:dyDescent="0.3">
      <c r="A125" s="9">
        <v>34455</v>
      </c>
      <c r="B125" s="11">
        <v>537.9</v>
      </c>
    </row>
    <row r="126" spans="1:2" x14ac:dyDescent="0.3">
      <c r="A126" s="9">
        <v>34486</v>
      </c>
      <c r="B126" s="11">
        <v>646.20000000000005</v>
      </c>
    </row>
    <row r="127" spans="1:2" x14ac:dyDescent="0.3">
      <c r="A127" s="9">
        <v>34516</v>
      </c>
      <c r="B127" s="11">
        <v>671.7</v>
      </c>
    </row>
    <row r="128" spans="1:2" x14ac:dyDescent="0.3">
      <c r="A128" s="9">
        <v>34547</v>
      </c>
      <c r="B128" s="11">
        <v>532.70000000000005</v>
      </c>
    </row>
    <row r="129" spans="1:2" x14ac:dyDescent="0.3">
      <c r="A129" s="9">
        <v>34578</v>
      </c>
      <c r="B129" s="11">
        <v>465.6</v>
      </c>
    </row>
    <row r="130" spans="1:2" x14ac:dyDescent="0.3">
      <c r="A130" s="9">
        <v>34608</v>
      </c>
      <c r="B130" s="11">
        <v>604.1</v>
      </c>
    </row>
    <row r="131" spans="1:2" x14ac:dyDescent="0.3">
      <c r="A131" s="9">
        <v>34639</v>
      </c>
      <c r="B131" s="11">
        <v>705.2</v>
      </c>
    </row>
    <row r="132" spans="1:2" x14ac:dyDescent="0.3">
      <c r="A132" s="9">
        <v>34669</v>
      </c>
      <c r="B132" s="11">
        <v>753.6</v>
      </c>
    </row>
    <row r="133" spans="1:2" x14ac:dyDescent="0.3">
      <c r="A133" s="9">
        <v>34700</v>
      </c>
      <c r="B133" s="11">
        <v>477.6</v>
      </c>
    </row>
    <row r="134" spans="1:2" x14ac:dyDescent="0.3">
      <c r="A134" s="9">
        <v>34731</v>
      </c>
      <c r="B134" s="11">
        <v>133.4</v>
      </c>
    </row>
    <row r="135" spans="1:2" x14ac:dyDescent="0.3">
      <c r="A135" s="9">
        <v>34759</v>
      </c>
      <c r="B135" s="11">
        <v>129</v>
      </c>
    </row>
    <row r="136" spans="1:2" x14ac:dyDescent="0.3">
      <c r="A136" s="9">
        <v>34790</v>
      </c>
      <c r="B136" s="11">
        <v>189.2</v>
      </c>
    </row>
    <row r="137" spans="1:2" x14ac:dyDescent="0.3">
      <c r="A137" s="9">
        <v>34820</v>
      </c>
      <c r="B137" s="11">
        <v>369.3</v>
      </c>
    </row>
    <row r="138" spans="1:2" x14ac:dyDescent="0.3">
      <c r="A138" s="9">
        <v>34851</v>
      </c>
      <c r="B138" s="11">
        <v>501.2</v>
      </c>
    </row>
    <row r="139" spans="1:2" x14ac:dyDescent="0.3">
      <c r="A139" s="9">
        <v>34881</v>
      </c>
      <c r="B139" s="11">
        <v>656.3</v>
      </c>
    </row>
    <row r="140" spans="1:2" x14ac:dyDescent="0.3">
      <c r="A140" s="9">
        <v>34912</v>
      </c>
      <c r="B140" s="11">
        <v>845.7</v>
      </c>
    </row>
    <row r="141" spans="1:2" x14ac:dyDescent="0.3">
      <c r="A141" s="9">
        <v>34943</v>
      </c>
      <c r="B141" s="11">
        <v>923.4</v>
      </c>
    </row>
    <row r="142" spans="1:2" x14ac:dyDescent="0.3">
      <c r="A142" s="9">
        <v>34973</v>
      </c>
      <c r="B142" s="11">
        <v>925.6</v>
      </c>
    </row>
    <row r="143" spans="1:2" x14ac:dyDescent="0.3">
      <c r="A143" s="9">
        <v>35004</v>
      </c>
      <c r="B143" s="11">
        <v>909.5</v>
      </c>
    </row>
    <row r="144" spans="1:2" x14ac:dyDescent="0.3">
      <c r="A144" s="9">
        <v>35034</v>
      </c>
      <c r="B144" s="11">
        <v>878.7</v>
      </c>
    </row>
    <row r="145" spans="1:2" x14ac:dyDescent="0.3">
      <c r="A145" s="9">
        <v>35065</v>
      </c>
      <c r="B145" s="11">
        <v>537.6</v>
      </c>
    </row>
    <row r="146" spans="1:2" x14ac:dyDescent="0.3">
      <c r="A146" s="9">
        <v>35096</v>
      </c>
      <c r="B146" s="11">
        <v>358.9</v>
      </c>
    </row>
    <row r="147" spans="1:2" x14ac:dyDescent="0.3">
      <c r="A147" s="9">
        <v>35125</v>
      </c>
      <c r="B147" s="11">
        <v>411.4</v>
      </c>
    </row>
    <row r="148" spans="1:2" x14ac:dyDescent="0.3">
      <c r="A148" s="9">
        <v>35156</v>
      </c>
      <c r="B148" s="11">
        <v>461.3</v>
      </c>
    </row>
    <row r="149" spans="1:2" x14ac:dyDescent="0.3">
      <c r="A149" s="9">
        <v>35186</v>
      </c>
      <c r="B149" s="11">
        <v>513.9</v>
      </c>
    </row>
    <row r="150" spans="1:2" x14ac:dyDescent="0.3">
      <c r="A150" s="9">
        <v>35217</v>
      </c>
      <c r="B150" s="11">
        <v>611.4</v>
      </c>
    </row>
    <row r="151" spans="1:2" x14ac:dyDescent="0.3">
      <c r="A151" s="9">
        <v>35247</v>
      </c>
      <c r="B151" s="11">
        <v>705.5</v>
      </c>
    </row>
    <row r="152" spans="1:2" x14ac:dyDescent="0.3">
      <c r="A152" s="9">
        <v>35278</v>
      </c>
      <c r="B152" s="11">
        <v>735.8</v>
      </c>
    </row>
    <row r="153" spans="1:2" x14ac:dyDescent="0.3">
      <c r="A153" s="9">
        <v>35309</v>
      </c>
      <c r="B153" s="11">
        <v>675.1</v>
      </c>
    </row>
    <row r="154" spans="1:2" x14ac:dyDescent="0.3">
      <c r="A154" s="9">
        <v>35339</v>
      </c>
      <c r="B154" s="11">
        <v>682.2</v>
      </c>
    </row>
    <row r="155" spans="1:2" x14ac:dyDescent="0.3">
      <c r="A155" s="9">
        <v>35370</v>
      </c>
      <c r="B155" s="11">
        <v>667.2</v>
      </c>
    </row>
    <row r="156" spans="1:2" x14ac:dyDescent="0.3">
      <c r="A156" s="9">
        <v>35400</v>
      </c>
      <c r="B156" s="11">
        <v>653</v>
      </c>
    </row>
    <row r="157" spans="1:2" x14ac:dyDescent="0.3">
      <c r="A157" s="9">
        <v>35431</v>
      </c>
      <c r="B157" s="11">
        <v>369.6</v>
      </c>
    </row>
    <row r="158" spans="1:2" x14ac:dyDescent="0.3">
      <c r="A158" s="9">
        <v>35462</v>
      </c>
      <c r="B158" s="11">
        <v>225.2</v>
      </c>
    </row>
    <row r="159" spans="1:2" x14ac:dyDescent="0.3">
      <c r="A159" s="9">
        <v>35490</v>
      </c>
      <c r="B159" s="11">
        <v>126.5</v>
      </c>
    </row>
    <row r="160" spans="1:2" x14ac:dyDescent="0.3">
      <c r="A160" s="9">
        <v>35521</v>
      </c>
      <c r="B160" s="11">
        <v>121.2</v>
      </c>
    </row>
    <row r="161" spans="1:2" x14ac:dyDescent="0.3">
      <c r="A161" s="9">
        <v>35551</v>
      </c>
      <c r="B161" s="11">
        <v>181.8</v>
      </c>
    </row>
    <row r="162" spans="1:2" x14ac:dyDescent="0.3">
      <c r="A162" s="9">
        <v>35582</v>
      </c>
      <c r="B162" s="11">
        <v>244.6</v>
      </c>
    </row>
    <row r="163" spans="1:2" x14ac:dyDescent="0.3">
      <c r="A163" s="9">
        <v>35612</v>
      </c>
      <c r="B163" s="11">
        <v>303.5</v>
      </c>
    </row>
    <row r="164" spans="1:2" x14ac:dyDescent="0.3">
      <c r="A164" s="9">
        <v>35643</v>
      </c>
      <c r="B164" s="11">
        <v>204.4</v>
      </c>
    </row>
    <row r="165" spans="1:2" x14ac:dyDescent="0.3">
      <c r="A165" s="9">
        <v>35674</v>
      </c>
      <c r="B165" s="11">
        <v>198</v>
      </c>
    </row>
    <row r="166" spans="1:2" x14ac:dyDescent="0.3">
      <c r="A166" s="9">
        <v>35704</v>
      </c>
      <c r="B166" s="11">
        <v>302.5</v>
      </c>
    </row>
    <row r="167" spans="1:2" x14ac:dyDescent="0.3">
      <c r="A167" s="9">
        <v>35735</v>
      </c>
      <c r="B167" s="11">
        <v>341.7</v>
      </c>
    </row>
    <row r="168" spans="1:2" x14ac:dyDescent="0.3">
      <c r="A168" s="9">
        <v>35765</v>
      </c>
      <c r="B168" s="11">
        <v>305.8</v>
      </c>
    </row>
    <row r="169" spans="1:2" x14ac:dyDescent="0.3">
      <c r="A169" s="9">
        <v>35796</v>
      </c>
      <c r="B169" s="11">
        <v>140.1</v>
      </c>
    </row>
    <row r="170" spans="1:2" x14ac:dyDescent="0.3">
      <c r="A170" s="9">
        <v>35827</v>
      </c>
      <c r="B170" s="11">
        <v>117.2</v>
      </c>
    </row>
    <row r="171" spans="1:2" x14ac:dyDescent="0.3">
      <c r="A171" s="9">
        <v>35855</v>
      </c>
      <c r="B171" s="11">
        <v>138.19999999999999</v>
      </c>
    </row>
    <row r="172" spans="1:2" x14ac:dyDescent="0.3">
      <c r="A172" s="9">
        <v>35886</v>
      </c>
      <c r="B172" s="11">
        <v>222.1</v>
      </c>
    </row>
    <row r="173" spans="1:2" x14ac:dyDescent="0.3">
      <c r="A173" s="9">
        <v>35916</v>
      </c>
      <c r="B173" s="11">
        <v>422.1</v>
      </c>
    </row>
    <row r="174" spans="1:2" x14ac:dyDescent="0.3">
      <c r="A174" s="9">
        <v>35947</v>
      </c>
      <c r="B174" s="11">
        <v>561.9</v>
      </c>
    </row>
    <row r="175" spans="1:2" x14ac:dyDescent="0.3">
      <c r="A175" s="9">
        <v>35977</v>
      </c>
      <c r="B175" s="11">
        <v>674.7</v>
      </c>
    </row>
    <row r="176" spans="1:2" x14ac:dyDescent="0.3">
      <c r="A176" s="9">
        <v>36008</v>
      </c>
      <c r="B176" s="11">
        <v>707.5</v>
      </c>
    </row>
    <row r="177" spans="1:2" x14ac:dyDescent="0.3">
      <c r="A177" s="9">
        <v>36039</v>
      </c>
      <c r="B177" s="11">
        <v>710.6</v>
      </c>
    </row>
    <row r="178" spans="1:2" x14ac:dyDescent="0.3">
      <c r="A178" s="9">
        <v>36069</v>
      </c>
      <c r="B178" s="11">
        <v>528.9</v>
      </c>
    </row>
    <row r="179" spans="1:2" x14ac:dyDescent="0.3">
      <c r="A179" s="9">
        <v>36100</v>
      </c>
      <c r="B179" s="11">
        <v>560.9</v>
      </c>
    </row>
    <row r="180" spans="1:2" x14ac:dyDescent="0.3">
      <c r="A180" s="9">
        <v>36130</v>
      </c>
      <c r="B180" s="11">
        <v>868.9</v>
      </c>
    </row>
    <row r="181" spans="1:2" x14ac:dyDescent="0.3">
      <c r="A181" s="9">
        <v>36161</v>
      </c>
      <c r="B181" s="11">
        <v>862.2</v>
      </c>
    </row>
    <row r="182" spans="1:2" x14ac:dyDescent="0.3">
      <c r="A182" s="9">
        <v>36192</v>
      </c>
      <c r="B182" s="11">
        <v>858.85</v>
      </c>
    </row>
    <row r="183" spans="1:2" x14ac:dyDescent="0.3">
      <c r="A183" s="9">
        <v>36220</v>
      </c>
      <c r="B183" s="11">
        <v>857.17499999999995</v>
      </c>
    </row>
    <row r="184" spans="1:2" x14ac:dyDescent="0.3">
      <c r="A184" s="9">
        <v>36251</v>
      </c>
      <c r="B184" s="11">
        <v>856.33749999999998</v>
      </c>
    </row>
    <row r="185" spans="1:2" x14ac:dyDescent="0.3">
      <c r="A185" s="9">
        <v>36281</v>
      </c>
      <c r="B185" s="11">
        <v>855.91875000000005</v>
      </c>
    </row>
    <row r="186" spans="1:2" x14ac:dyDescent="0.3">
      <c r="A186" s="9">
        <v>36312</v>
      </c>
      <c r="B186" s="11">
        <v>855.70937500000002</v>
      </c>
    </row>
    <row r="187" spans="1:2" x14ac:dyDescent="0.3">
      <c r="A187" s="9">
        <v>36342</v>
      </c>
      <c r="B187" s="11">
        <v>855.60468749999995</v>
      </c>
    </row>
    <row r="188" spans="1:2" x14ac:dyDescent="0.3">
      <c r="A188" s="9">
        <v>36373</v>
      </c>
      <c r="B188" s="11">
        <v>855.55234374999998</v>
      </c>
    </row>
    <row r="189" spans="1:2" x14ac:dyDescent="0.3">
      <c r="A189" s="9">
        <v>36404</v>
      </c>
      <c r="B189" s="11">
        <v>855.52617187500005</v>
      </c>
    </row>
    <row r="190" spans="1:2" x14ac:dyDescent="0.3">
      <c r="A190" s="9">
        <v>36434</v>
      </c>
      <c r="B190" s="11">
        <v>855.51308593750002</v>
      </c>
    </row>
    <row r="191" spans="1:2" x14ac:dyDescent="0.3">
      <c r="A191" s="9">
        <v>36465</v>
      </c>
      <c r="B191" s="11">
        <v>855.50654296874995</v>
      </c>
    </row>
    <row r="192" spans="1:2" x14ac:dyDescent="0.3">
      <c r="A192" s="9">
        <v>36495</v>
      </c>
      <c r="B192" s="11">
        <v>855.50327148437498</v>
      </c>
    </row>
    <row r="193" spans="1:2" x14ac:dyDescent="0.3">
      <c r="A193" s="9">
        <v>36526</v>
      </c>
      <c r="B193" s="11">
        <v>855.5</v>
      </c>
    </row>
    <row r="194" spans="1:2" x14ac:dyDescent="0.3">
      <c r="A194" s="9">
        <v>36557</v>
      </c>
      <c r="B194" s="11">
        <v>622.6</v>
      </c>
    </row>
    <row r="195" spans="1:2" x14ac:dyDescent="0.3">
      <c r="A195" s="9">
        <v>36586</v>
      </c>
      <c r="B195" s="11">
        <v>534.79999999999995</v>
      </c>
    </row>
    <row r="196" spans="1:2" x14ac:dyDescent="0.3">
      <c r="A196" s="9">
        <v>36617</v>
      </c>
      <c r="B196" s="11">
        <v>466.2</v>
      </c>
    </row>
    <row r="197" spans="1:2" x14ac:dyDescent="0.3">
      <c r="A197" s="9">
        <v>36647</v>
      </c>
      <c r="B197" s="11">
        <v>575.1</v>
      </c>
    </row>
    <row r="198" spans="1:2" x14ac:dyDescent="0.3">
      <c r="A198" s="9">
        <v>36678</v>
      </c>
      <c r="B198" s="11">
        <v>701.2</v>
      </c>
    </row>
    <row r="199" spans="1:2" x14ac:dyDescent="0.3">
      <c r="A199" s="9">
        <v>36708</v>
      </c>
      <c r="B199" s="11">
        <v>823.9</v>
      </c>
    </row>
    <row r="200" spans="1:2" x14ac:dyDescent="0.3">
      <c r="A200" s="9">
        <v>36739</v>
      </c>
      <c r="B200" s="11">
        <v>798.9</v>
      </c>
    </row>
    <row r="201" spans="1:2" x14ac:dyDescent="0.3">
      <c r="A201" s="9">
        <v>36770</v>
      </c>
      <c r="B201" s="11">
        <v>721.2</v>
      </c>
    </row>
    <row r="202" spans="1:2" x14ac:dyDescent="0.3">
      <c r="A202" s="9">
        <v>36800</v>
      </c>
      <c r="B202" s="11">
        <v>821.9</v>
      </c>
    </row>
    <row r="203" spans="1:2" x14ac:dyDescent="0.3">
      <c r="A203" s="9">
        <v>36831</v>
      </c>
      <c r="B203" s="11">
        <v>827.2</v>
      </c>
    </row>
    <row r="204" spans="1:2" x14ac:dyDescent="0.3">
      <c r="A204" s="9">
        <v>36861</v>
      </c>
      <c r="B204" s="11">
        <v>802</v>
      </c>
    </row>
    <row r="205" spans="1:2" x14ac:dyDescent="0.3">
      <c r="A205" s="9">
        <v>36892</v>
      </c>
      <c r="B205" s="11">
        <v>466.7</v>
      </c>
    </row>
    <row r="206" spans="1:2" x14ac:dyDescent="0.3">
      <c r="A206" s="9">
        <v>36923</v>
      </c>
      <c r="B206" s="11">
        <v>202.6</v>
      </c>
    </row>
    <row r="207" spans="1:2" x14ac:dyDescent="0.3">
      <c r="A207" s="9">
        <v>36951</v>
      </c>
      <c r="B207" s="11">
        <v>217.4</v>
      </c>
    </row>
    <row r="208" spans="1:2" x14ac:dyDescent="0.3">
      <c r="A208" s="9">
        <v>36982</v>
      </c>
      <c r="B208" s="11">
        <v>211.9</v>
      </c>
    </row>
    <row r="209" spans="1:2" x14ac:dyDescent="0.3">
      <c r="A209" s="9">
        <v>37012</v>
      </c>
      <c r="B209" s="11">
        <v>274.89999999999998</v>
      </c>
    </row>
    <row r="210" spans="1:2" x14ac:dyDescent="0.3">
      <c r="A210" s="9">
        <v>37043</v>
      </c>
      <c r="B210" s="11">
        <v>392.4</v>
      </c>
    </row>
    <row r="211" spans="1:2" x14ac:dyDescent="0.3">
      <c r="A211" s="9">
        <v>37073</v>
      </c>
      <c r="B211" s="11">
        <v>374</v>
      </c>
    </row>
    <row r="212" spans="1:2" x14ac:dyDescent="0.3">
      <c r="A212" s="9">
        <v>37104</v>
      </c>
      <c r="B212" s="11">
        <v>328.9</v>
      </c>
    </row>
    <row r="213" spans="1:2" x14ac:dyDescent="0.3">
      <c r="A213" s="9">
        <v>37135</v>
      </c>
      <c r="B213" s="11">
        <v>337.7</v>
      </c>
    </row>
    <row r="214" spans="1:2" x14ac:dyDescent="0.3">
      <c r="A214" s="9">
        <v>37165</v>
      </c>
      <c r="B214" s="11">
        <v>433.7</v>
      </c>
    </row>
    <row r="215" spans="1:2" x14ac:dyDescent="0.3">
      <c r="A215" s="9">
        <v>37196</v>
      </c>
      <c r="B215" s="11">
        <v>509.5</v>
      </c>
    </row>
    <row r="216" spans="1:2" x14ac:dyDescent="0.3">
      <c r="A216" s="9">
        <v>37226</v>
      </c>
      <c r="B216" s="11">
        <v>592.4</v>
      </c>
    </row>
    <row r="217" spans="1:2" x14ac:dyDescent="0.3">
      <c r="A217" s="9">
        <v>37257</v>
      </c>
      <c r="B217" s="11">
        <v>528.70000000000005</v>
      </c>
    </row>
    <row r="218" spans="1:2" x14ac:dyDescent="0.3">
      <c r="A218" s="9">
        <v>37288</v>
      </c>
      <c r="B218" s="11">
        <v>240.9</v>
      </c>
    </row>
    <row r="219" spans="1:2" x14ac:dyDescent="0.3">
      <c r="A219" s="9">
        <v>37316</v>
      </c>
      <c r="B219" s="11">
        <v>237.8</v>
      </c>
    </row>
    <row r="220" spans="1:2" x14ac:dyDescent="0.3">
      <c r="A220" s="9">
        <v>37347</v>
      </c>
      <c r="B220" s="11">
        <v>370.2</v>
      </c>
    </row>
    <row r="221" spans="1:2" x14ac:dyDescent="0.3">
      <c r="A221" s="9">
        <v>37377</v>
      </c>
      <c r="B221" s="11">
        <v>540.20000000000005</v>
      </c>
    </row>
    <row r="222" spans="1:2" x14ac:dyDescent="0.3">
      <c r="A222" s="9">
        <v>37408</v>
      </c>
      <c r="B222" s="11">
        <v>592.6</v>
      </c>
    </row>
    <row r="223" spans="1:2" x14ac:dyDescent="0.3">
      <c r="A223" s="9">
        <v>37438</v>
      </c>
      <c r="B223" s="11">
        <v>592</v>
      </c>
    </row>
    <row r="224" spans="1:2" x14ac:dyDescent="0.3">
      <c r="A224" s="9">
        <v>37469</v>
      </c>
      <c r="B224" s="11">
        <v>442.9</v>
      </c>
    </row>
    <row r="225" spans="1:2" x14ac:dyDescent="0.3">
      <c r="A225" s="9">
        <v>37500</v>
      </c>
      <c r="B225" s="11">
        <v>442.7</v>
      </c>
    </row>
    <row r="226" spans="1:2" x14ac:dyDescent="0.3">
      <c r="A226" s="9">
        <v>37530</v>
      </c>
      <c r="B226" s="11">
        <v>528.29999999999995</v>
      </c>
    </row>
    <row r="227" spans="1:2" x14ac:dyDescent="0.3">
      <c r="A227" s="9">
        <v>37561</v>
      </c>
      <c r="B227" s="11">
        <v>625.6</v>
      </c>
    </row>
    <row r="228" spans="1:2" x14ac:dyDescent="0.3">
      <c r="A228" s="9">
        <v>37591</v>
      </c>
      <c r="B228" s="11">
        <v>530.5</v>
      </c>
    </row>
    <row r="229" spans="1:2" x14ac:dyDescent="0.3">
      <c r="A229" s="9">
        <v>37622</v>
      </c>
      <c r="B229" s="11">
        <v>299.5</v>
      </c>
    </row>
    <row r="230" spans="1:2" x14ac:dyDescent="0.3">
      <c r="A230" s="9">
        <v>37653</v>
      </c>
      <c r="B230" s="11">
        <v>181.2</v>
      </c>
    </row>
    <row r="231" spans="1:2" x14ac:dyDescent="0.3">
      <c r="A231" s="9">
        <v>37681</v>
      </c>
      <c r="B231" s="11">
        <v>196.7</v>
      </c>
    </row>
    <row r="232" spans="1:2" x14ac:dyDescent="0.3">
      <c r="A232" s="9">
        <v>37712</v>
      </c>
      <c r="B232" s="11">
        <v>307.95</v>
      </c>
    </row>
    <row r="233" spans="1:2" x14ac:dyDescent="0.3">
      <c r="A233" s="9">
        <v>37742</v>
      </c>
      <c r="B233" s="11">
        <v>419.2</v>
      </c>
    </row>
    <row r="234" spans="1:2" x14ac:dyDescent="0.3">
      <c r="A234" s="9">
        <v>37773</v>
      </c>
      <c r="B234" s="11">
        <v>509.9</v>
      </c>
    </row>
    <row r="235" spans="1:2" x14ac:dyDescent="0.3">
      <c r="A235" s="9">
        <v>37803</v>
      </c>
      <c r="B235" s="11">
        <v>619.5</v>
      </c>
    </row>
    <row r="236" spans="1:2" x14ac:dyDescent="0.3">
      <c r="A236" s="9">
        <v>37834</v>
      </c>
      <c r="B236" s="11">
        <v>609.70000000000005</v>
      </c>
    </row>
    <row r="237" spans="1:2" x14ac:dyDescent="0.3">
      <c r="A237" s="9">
        <v>37865</v>
      </c>
      <c r="B237" s="11">
        <v>522.6</v>
      </c>
    </row>
    <row r="238" spans="1:2" x14ac:dyDescent="0.3">
      <c r="A238" s="9">
        <v>37895</v>
      </c>
      <c r="B238" s="11">
        <v>650.20000000000005</v>
      </c>
    </row>
    <row r="239" spans="1:2" x14ac:dyDescent="0.3">
      <c r="A239" s="9">
        <v>37926</v>
      </c>
      <c r="B239" s="11">
        <v>710.9</v>
      </c>
    </row>
    <row r="240" spans="1:2" x14ac:dyDescent="0.3">
      <c r="A240" s="9">
        <v>37956</v>
      </c>
      <c r="B240" s="11">
        <v>817.7</v>
      </c>
    </row>
    <row r="241" spans="1:2" x14ac:dyDescent="0.3">
      <c r="A241" s="9">
        <v>37987</v>
      </c>
      <c r="B241" s="11">
        <v>470.7</v>
      </c>
    </row>
    <row r="242" spans="1:2" x14ac:dyDescent="0.3">
      <c r="A242" s="9">
        <v>38018</v>
      </c>
      <c r="B242" s="11">
        <v>191.3</v>
      </c>
    </row>
    <row r="243" spans="1:2" x14ac:dyDescent="0.3">
      <c r="A243" s="9">
        <v>38047</v>
      </c>
      <c r="B243" s="11">
        <v>158.5</v>
      </c>
    </row>
    <row r="244" spans="1:2" x14ac:dyDescent="0.3">
      <c r="A244" s="9">
        <v>38078</v>
      </c>
      <c r="B244" s="11">
        <v>125.7</v>
      </c>
    </row>
    <row r="245" spans="1:2" x14ac:dyDescent="0.3">
      <c r="A245" s="9">
        <v>38108</v>
      </c>
      <c r="B245" s="11">
        <v>337.1</v>
      </c>
    </row>
    <row r="246" spans="1:2" x14ac:dyDescent="0.3">
      <c r="A246" s="9">
        <v>38139</v>
      </c>
      <c r="B246" s="11">
        <v>410.1</v>
      </c>
    </row>
    <row r="247" spans="1:2" x14ac:dyDescent="0.3">
      <c r="A247" s="9">
        <v>38169</v>
      </c>
      <c r="B247" s="11">
        <v>370.4</v>
      </c>
    </row>
    <row r="248" spans="1:2" x14ac:dyDescent="0.3">
      <c r="A248" s="9">
        <v>38200</v>
      </c>
      <c r="B248" s="11">
        <v>371.1</v>
      </c>
    </row>
    <row r="249" spans="1:2" x14ac:dyDescent="0.3">
      <c r="A249" s="9">
        <v>38231</v>
      </c>
      <c r="B249" s="11">
        <v>379.3</v>
      </c>
    </row>
    <row r="250" spans="1:2" x14ac:dyDescent="0.3">
      <c r="A250" s="9">
        <v>38261</v>
      </c>
      <c r="B250" s="11">
        <v>453</v>
      </c>
    </row>
    <row r="251" spans="1:2" x14ac:dyDescent="0.3">
      <c r="A251" s="9">
        <v>38292</v>
      </c>
      <c r="B251" s="11">
        <v>524.1</v>
      </c>
    </row>
    <row r="252" spans="1:2" x14ac:dyDescent="0.3">
      <c r="A252" s="9">
        <v>38322</v>
      </c>
      <c r="B252" s="11">
        <v>528</v>
      </c>
    </row>
    <row r="253" spans="1:2" x14ac:dyDescent="0.3">
      <c r="A253" s="9">
        <v>38353</v>
      </c>
      <c r="B253" s="11">
        <v>425.9</v>
      </c>
    </row>
    <row r="254" spans="1:2" x14ac:dyDescent="0.3">
      <c r="A254" s="9">
        <v>38384</v>
      </c>
      <c r="B254" s="11">
        <v>249.2</v>
      </c>
    </row>
    <row r="255" spans="1:2" x14ac:dyDescent="0.3">
      <c r="A255" s="9">
        <v>38412</v>
      </c>
      <c r="B255" s="11">
        <v>202.8</v>
      </c>
    </row>
    <row r="256" spans="1:2" x14ac:dyDescent="0.3">
      <c r="A256" s="9">
        <v>38443</v>
      </c>
      <c r="B256" s="11">
        <v>231.9</v>
      </c>
    </row>
    <row r="257" spans="1:2" x14ac:dyDescent="0.3">
      <c r="A257" s="9">
        <v>38473</v>
      </c>
      <c r="B257" s="11">
        <v>368.9</v>
      </c>
    </row>
    <row r="258" spans="1:2" x14ac:dyDescent="0.3">
      <c r="A258" s="9">
        <v>38504</v>
      </c>
      <c r="B258" s="11">
        <v>444</v>
      </c>
    </row>
    <row r="259" spans="1:2" x14ac:dyDescent="0.3">
      <c r="A259" s="9">
        <v>38534</v>
      </c>
      <c r="B259" s="11">
        <v>462</v>
      </c>
    </row>
    <row r="260" spans="1:2" x14ac:dyDescent="0.3">
      <c r="A260" s="9">
        <v>38565</v>
      </c>
      <c r="B260" s="11">
        <v>388.5</v>
      </c>
    </row>
    <row r="261" spans="1:2" x14ac:dyDescent="0.3">
      <c r="A261" s="9">
        <v>38596</v>
      </c>
      <c r="B261" s="11">
        <v>368.3</v>
      </c>
    </row>
    <row r="262" spans="1:2" x14ac:dyDescent="0.3">
      <c r="A262" s="9">
        <v>38626</v>
      </c>
      <c r="B262" s="11">
        <v>434.8</v>
      </c>
    </row>
    <row r="263" spans="1:2" x14ac:dyDescent="0.3">
      <c r="A263" s="9">
        <v>38657</v>
      </c>
      <c r="B263" s="11">
        <v>575.85</v>
      </c>
    </row>
    <row r="264" spans="1:2" x14ac:dyDescent="0.3">
      <c r="A264" s="9">
        <v>38687</v>
      </c>
      <c r="B264" s="11">
        <v>646.375</v>
      </c>
    </row>
    <row r="265" spans="1:2" x14ac:dyDescent="0.3">
      <c r="A265" s="9">
        <v>38718</v>
      </c>
      <c r="B265" s="11">
        <v>716.9</v>
      </c>
    </row>
    <row r="266" spans="1:2" x14ac:dyDescent="0.3">
      <c r="A266" s="9">
        <v>38749</v>
      </c>
      <c r="B266" s="11">
        <v>473.2</v>
      </c>
    </row>
    <row r="267" spans="1:2" x14ac:dyDescent="0.3">
      <c r="A267" s="9">
        <v>38777</v>
      </c>
      <c r="B267" s="11">
        <v>354.3</v>
      </c>
    </row>
    <row r="268" spans="1:2" x14ac:dyDescent="0.3">
      <c r="A268" s="9">
        <v>38808</v>
      </c>
      <c r="B268" s="11">
        <v>499.1</v>
      </c>
    </row>
    <row r="269" spans="1:2" x14ac:dyDescent="0.3">
      <c r="A269" s="9">
        <v>38838</v>
      </c>
      <c r="B269" s="11">
        <v>719.9</v>
      </c>
    </row>
    <row r="270" spans="1:2" x14ac:dyDescent="0.3">
      <c r="A270" s="9">
        <v>38869</v>
      </c>
      <c r="B270" s="11">
        <v>829.4</v>
      </c>
    </row>
    <row r="271" spans="1:2" x14ac:dyDescent="0.3">
      <c r="A271" s="9">
        <v>38899</v>
      </c>
      <c r="B271" s="11">
        <v>835.3</v>
      </c>
    </row>
    <row r="272" spans="1:2" x14ac:dyDescent="0.3">
      <c r="A272" s="9">
        <v>38930</v>
      </c>
      <c r="B272" s="11">
        <v>677.6</v>
      </c>
    </row>
    <row r="273" spans="1:2" x14ac:dyDescent="0.3">
      <c r="A273" s="9">
        <v>38961</v>
      </c>
      <c r="B273" s="11">
        <v>640.1</v>
      </c>
    </row>
    <row r="274" spans="1:2" x14ac:dyDescent="0.3">
      <c r="A274" s="9">
        <v>38991</v>
      </c>
      <c r="B274" s="11">
        <v>658.4</v>
      </c>
    </row>
    <row r="275" spans="1:2" x14ac:dyDescent="0.3">
      <c r="A275" s="9">
        <v>39022</v>
      </c>
      <c r="B275" s="11">
        <v>723.9</v>
      </c>
    </row>
    <row r="276" spans="1:2" x14ac:dyDescent="0.3">
      <c r="A276" s="9">
        <v>39052</v>
      </c>
      <c r="B276" s="11">
        <v>850</v>
      </c>
    </row>
    <row r="277" spans="1:2" x14ac:dyDescent="0.3">
      <c r="A277" s="9">
        <v>39083</v>
      </c>
      <c r="B277" s="11">
        <v>545.9</v>
      </c>
    </row>
    <row r="278" spans="1:2" x14ac:dyDescent="0.3">
      <c r="A278" s="9">
        <v>39114</v>
      </c>
      <c r="B278" s="11">
        <v>386.79999999999995</v>
      </c>
    </row>
    <row r="279" spans="1:2" x14ac:dyDescent="0.3">
      <c r="A279" s="9">
        <v>39142</v>
      </c>
      <c r="B279" s="11">
        <v>227.7</v>
      </c>
    </row>
    <row r="280" spans="1:2" x14ac:dyDescent="0.3">
      <c r="A280" s="9">
        <v>39173</v>
      </c>
      <c r="B280" s="11">
        <v>444.7</v>
      </c>
    </row>
    <row r="281" spans="1:2" x14ac:dyDescent="0.3">
      <c r="A281" s="9">
        <v>39203</v>
      </c>
      <c r="B281" s="11">
        <v>667.3</v>
      </c>
    </row>
    <row r="282" spans="1:2" x14ac:dyDescent="0.3">
      <c r="A282" s="9">
        <v>39234</v>
      </c>
      <c r="B282" s="11">
        <v>811.4</v>
      </c>
    </row>
    <row r="283" spans="1:2" x14ac:dyDescent="0.3">
      <c r="A283" s="9">
        <v>39264</v>
      </c>
      <c r="B283" s="11">
        <v>870.9</v>
      </c>
    </row>
    <row r="284" spans="1:2" x14ac:dyDescent="0.3">
      <c r="A284" s="9">
        <v>39295</v>
      </c>
      <c r="B284" s="11">
        <v>818.3</v>
      </c>
    </row>
    <row r="285" spans="1:2" x14ac:dyDescent="0.3">
      <c r="A285" s="9">
        <v>39326</v>
      </c>
      <c r="B285" s="11">
        <v>833.8</v>
      </c>
    </row>
    <row r="286" spans="1:2" x14ac:dyDescent="0.3">
      <c r="A286" s="9">
        <v>39356</v>
      </c>
      <c r="B286" s="11">
        <v>876.4</v>
      </c>
    </row>
    <row r="287" spans="1:2" x14ac:dyDescent="0.3">
      <c r="A287" s="9">
        <v>39387</v>
      </c>
      <c r="B287" s="11">
        <v>899.9</v>
      </c>
    </row>
    <row r="288" spans="1:2" x14ac:dyDescent="0.3">
      <c r="A288" s="9">
        <v>39417</v>
      </c>
      <c r="B288" s="11">
        <v>933.4</v>
      </c>
    </row>
    <row r="289" spans="1:2" x14ac:dyDescent="0.3">
      <c r="A289" s="9">
        <v>39448</v>
      </c>
      <c r="B289" s="11">
        <v>796.5</v>
      </c>
    </row>
    <row r="290" spans="1:2" x14ac:dyDescent="0.3">
      <c r="A290" s="9">
        <v>39479</v>
      </c>
      <c r="B290" s="11">
        <v>558.1</v>
      </c>
    </row>
    <row r="291" spans="1:2" x14ac:dyDescent="0.3">
      <c r="A291" s="9">
        <v>39508</v>
      </c>
      <c r="B291" s="11">
        <v>511.3</v>
      </c>
    </row>
    <row r="292" spans="1:2" x14ac:dyDescent="0.3">
      <c r="A292" s="9">
        <v>39539</v>
      </c>
      <c r="B292" s="11">
        <v>485.5</v>
      </c>
    </row>
    <row r="293" spans="1:2" x14ac:dyDescent="0.3">
      <c r="A293" s="9">
        <v>39569</v>
      </c>
      <c r="B293" s="11">
        <v>662.8</v>
      </c>
    </row>
    <row r="294" spans="1:2" x14ac:dyDescent="0.3">
      <c r="A294" s="9">
        <v>39600</v>
      </c>
      <c r="B294" s="11">
        <v>806.4</v>
      </c>
    </row>
    <row r="295" spans="1:2" x14ac:dyDescent="0.3">
      <c r="A295" s="9">
        <v>39630</v>
      </c>
      <c r="B295" s="11">
        <v>926.2</v>
      </c>
    </row>
    <row r="296" spans="1:2" x14ac:dyDescent="0.3">
      <c r="A296" s="9">
        <v>39661</v>
      </c>
      <c r="B296" s="11">
        <v>938.6</v>
      </c>
    </row>
    <row r="297" spans="1:2" x14ac:dyDescent="0.3">
      <c r="A297" s="9">
        <v>39692</v>
      </c>
      <c r="B297" s="11">
        <v>923</v>
      </c>
    </row>
    <row r="298" spans="1:2" x14ac:dyDescent="0.3">
      <c r="A298" s="9">
        <v>39722</v>
      </c>
      <c r="B298" s="11">
        <v>650.20000000000005</v>
      </c>
    </row>
    <row r="299" spans="1:2" x14ac:dyDescent="0.3">
      <c r="A299" s="9">
        <v>39753</v>
      </c>
      <c r="B299" s="11">
        <v>817.65000000000009</v>
      </c>
    </row>
    <row r="300" spans="1:2" x14ac:dyDescent="0.3">
      <c r="A300" s="9">
        <v>39783</v>
      </c>
      <c r="B300" s="11">
        <v>985.1</v>
      </c>
    </row>
    <row r="301" spans="1:2" x14ac:dyDescent="0.3">
      <c r="A301" s="9">
        <v>39814</v>
      </c>
      <c r="B301" s="11">
        <v>851.6</v>
      </c>
    </row>
    <row r="302" spans="1:2" x14ac:dyDescent="0.3">
      <c r="A302" s="9">
        <v>39845</v>
      </c>
      <c r="B302" s="11">
        <v>605.20000000000005</v>
      </c>
    </row>
    <row r="303" spans="1:2" x14ac:dyDescent="0.3">
      <c r="A303" s="9">
        <v>39873</v>
      </c>
      <c r="B303" s="11">
        <v>478.7</v>
      </c>
    </row>
    <row r="304" spans="1:2" x14ac:dyDescent="0.3">
      <c r="A304" s="9">
        <v>39904</v>
      </c>
      <c r="B304" s="11">
        <v>515.9</v>
      </c>
    </row>
    <row r="305" spans="1:2" x14ac:dyDescent="0.3">
      <c r="A305" s="9">
        <v>39934</v>
      </c>
      <c r="B305" s="11">
        <v>628.9</v>
      </c>
    </row>
    <row r="306" spans="1:2" x14ac:dyDescent="0.3">
      <c r="A306" s="9">
        <v>39965</v>
      </c>
      <c r="B306" s="11">
        <v>643.6</v>
      </c>
    </row>
    <row r="307" spans="1:2" x14ac:dyDescent="0.3">
      <c r="A307" s="9">
        <v>39995</v>
      </c>
      <c r="B307" s="11">
        <v>639.20000000000005</v>
      </c>
    </row>
    <row r="308" spans="1:2" x14ac:dyDescent="0.3">
      <c r="A308" s="9">
        <v>40026</v>
      </c>
      <c r="B308" s="11">
        <v>493.5</v>
      </c>
    </row>
    <row r="309" spans="1:2" x14ac:dyDescent="0.3">
      <c r="A309" s="9">
        <v>40057</v>
      </c>
      <c r="B309" s="11">
        <v>477.5</v>
      </c>
    </row>
    <row r="310" spans="1:2" x14ac:dyDescent="0.3">
      <c r="A310" s="9">
        <v>40087</v>
      </c>
      <c r="B310" s="11">
        <v>423.3</v>
      </c>
    </row>
    <row r="311" spans="1:2" x14ac:dyDescent="0.3">
      <c r="A311" s="9">
        <v>40118</v>
      </c>
      <c r="B311" s="11">
        <v>552.20000000000005</v>
      </c>
    </row>
    <row r="312" spans="1:2" x14ac:dyDescent="0.3">
      <c r="A312" s="9">
        <v>40148</v>
      </c>
      <c r="B312" s="11">
        <v>442.3</v>
      </c>
    </row>
    <row r="313" spans="1:2" x14ac:dyDescent="0.3">
      <c r="A313" s="9">
        <v>40179</v>
      </c>
      <c r="B313" s="11">
        <v>223.6</v>
      </c>
    </row>
    <row r="314" spans="1:2" x14ac:dyDescent="0.3">
      <c r="A314" s="9">
        <v>40210</v>
      </c>
      <c r="B314" s="11">
        <v>149.5</v>
      </c>
    </row>
    <row r="315" spans="1:2" x14ac:dyDescent="0.3">
      <c r="A315" s="9">
        <v>40238</v>
      </c>
      <c r="B315" s="11">
        <v>191.4</v>
      </c>
    </row>
    <row r="316" spans="1:2" x14ac:dyDescent="0.3">
      <c r="A316" s="9">
        <v>40269</v>
      </c>
      <c r="B316" s="11">
        <v>250.3</v>
      </c>
    </row>
    <row r="317" spans="1:2" x14ac:dyDescent="0.3">
      <c r="A317" s="9">
        <v>40299</v>
      </c>
      <c r="B317" s="11">
        <v>451.5</v>
      </c>
    </row>
    <row r="318" spans="1:2" x14ac:dyDescent="0.3">
      <c r="A318" s="9">
        <v>40330</v>
      </c>
      <c r="B318" s="11">
        <v>633.9</v>
      </c>
    </row>
    <row r="319" spans="1:2" x14ac:dyDescent="0.3">
      <c r="A319" s="9">
        <v>40360</v>
      </c>
      <c r="B319" s="11">
        <v>848.4</v>
      </c>
    </row>
    <row r="320" spans="1:2" x14ac:dyDescent="0.3">
      <c r="A320" s="9">
        <v>40391</v>
      </c>
      <c r="B320" s="11">
        <v>939</v>
      </c>
    </row>
    <row r="321" spans="1:2" x14ac:dyDescent="0.3">
      <c r="A321" s="9">
        <v>40422</v>
      </c>
      <c r="B321" s="11">
        <v>896</v>
      </c>
    </row>
    <row r="322" spans="1:2" x14ac:dyDescent="0.3">
      <c r="A322" s="9">
        <v>40452</v>
      </c>
      <c r="B322" s="11">
        <v>985.7</v>
      </c>
    </row>
    <row r="323" spans="1:2" x14ac:dyDescent="0.3">
      <c r="A323" s="9">
        <v>40483</v>
      </c>
      <c r="B323" s="11">
        <v>1005</v>
      </c>
    </row>
    <row r="324" spans="1:2" x14ac:dyDescent="0.3">
      <c r="A324" s="9">
        <v>40513</v>
      </c>
      <c r="B324" s="11">
        <v>1280</v>
      </c>
    </row>
    <row r="325" spans="1:2" x14ac:dyDescent="0.3">
      <c r="A325" s="9">
        <v>40544</v>
      </c>
      <c r="B325" s="11">
        <v>1079</v>
      </c>
    </row>
    <row r="326" spans="1:2" x14ac:dyDescent="0.3">
      <c r="A326" s="9">
        <v>40575</v>
      </c>
      <c r="B326" s="11">
        <v>502.8</v>
      </c>
    </row>
    <row r="327" spans="1:2" x14ac:dyDescent="0.3">
      <c r="A327" s="9">
        <v>40603</v>
      </c>
      <c r="B327" s="11">
        <v>443</v>
      </c>
    </row>
    <row r="328" spans="1:2" x14ac:dyDescent="0.3">
      <c r="A328" s="9">
        <v>40634</v>
      </c>
      <c r="B328" s="11">
        <v>518.1</v>
      </c>
    </row>
    <row r="329" spans="1:2" x14ac:dyDescent="0.3">
      <c r="A329" s="9">
        <v>40664</v>
      </c>
      <c r="B329" s="11">
        <v>861</v>
      </c>
    </row>
    <row r="330" spans="1:2" x14ac:dyDescent="0.3">
      <c r="A330" s="9">
        <v>40695</v>
      </c>
      <c r="B330" s="11">
        <v>885.5</v>
      </c>
    </row>
    <row r="331" spans="1:2" x14ac:dyDescent="0.3">
      <c r="A331" s="9">
        <v>40725</v>
      </c>
      <c r="B331" s="11">
        <v>780.9</v>
      </c>
    </row>
    <row r="332" spans="1:2" x14ac:dyDescent="0.3">
      <c r="A332" s="9">
        <v>40756</v>
      </c>
      <c r="B332" s="11">
        <v>683.8</v>
      </c>
    </row>
    <row r="333" spans="1:2" x14ac:dyDescent="0.3">
      <c r="A333" s="9">
        <v>40787</v>
      </c>
      <c r="B333" s="11">
        <v>578.4</v>
      </c>
    </row>
    <row r="334" spans="1:2" x14ac:dyDescent="0.3">
      <c r="A334" s="9">
        <v>40817</v>
      </c>
      <c r="B334" s="11">
        <v>439.3</v>
      </c>
    </row>
    <row r="335" spans="1:2" x14ac:dyDescent="0.3">
      <c r="A335" s="9">
        <v>40848</v>
      </c>
      <c r="B335" s="11">
        <v>730.7</v>
      </c>
    </row>
    <row r="336" spans="1:2" x14ac:dyDescent="0.3">
      <c r="A336" s="9">
        <v>40878</v>
      </c>
      <c r="B336" s="11">
        <v>887.5</v>
      </c>
    </row>
    <row r="337" spans="1:2" x14ac:dyDescent="0.3">
      <c r="A337" s="9">
        <v>40909</v>
      </c>
      <c r="B337" s="11">
        <v>829.6</v>
      </c>
    </row>
    <row r="338" spans="1:2" x14ac:dyDescent="0.3">
      <c r="A338" s="9">
        <v>40940</v>
      </c>
      <c r="B338" s="11">
        <v>501.6</v>
      </c>
    </row>
    <row r="339" spans="1:2" x14ac:dyDescent="0.3">
      <c r="A339" s="9">
        <v>40969</v>
      </c>
      <c r="B339" s="11">
        <v>265.7</v>
      </c>
    </row>
    <row r="340" spans="1:2" x14ac:dyDescent="0.3">
      <c r="A340" s="9">
        <v>41000</v>
      </c>
      <c r="B340" s="11">
        <v>339.4</v>
      </c>
    </row>
    <row r="341" spans="1:2" x14ac:dyDescent="0.3">
      <c r="A341" s="9">
        <v>41030</v>
      </c>
      <c r="B341" s="11">
        <v>586.20000000000005</v>
      </c>
    </row>
    <row r="342" spans="1:2" x14ac:dyDescent="0.3">
      <c r="A342" s="9">
        <v>41061</v>
      </c>
      <c r="B342" s="11">
        <v>566.5</v>
      </c>
    </row>
    <row r="343" spans="1:2" x14ac:dyDescent="0.3">
      <c r="A343" s="9">
        <v>41091</v>
      </c>
      <c r="B343" s="11">
        <v>408.2</v>
      </c>
    </row>
    <row r="344" spans="1:2" x14ac:dyDescent="0.3">
      <c r="A344" s="9">
        <v>41122</v>
      </c>
      <c r="B344" s="11">
        <v>376.8</v>
      </c>
    </row>
    <row r="345" spans="1:2" x14ac:dyDescent="0.3">
      <c r="A345" s="9">
        <v>41153</v>
      </c>
      <c r="B345" s="11">
        <v>396.1</v>
      </c>
    </row>
    <row r="346" spans="1:2" x14ac:dyDescent="0.3">
      <c r="A346" s="9">
        <v>41183</v>
      </c>
      <c r="B346" s="11">
        <v>415</v>
      </c>
    </row>
    <row r="347" spans="1:2" x14ac:dyDescent="0.3">
      <c r="A347" s="9">
        <v>41214</v>
      </c>
      <c r="B347" s="11">
        <v>490.5</v>
      </c>
    </row>
    <row r="348" spans="1:2" x14ac:dyDescent="0.3">
      <c r="A348" s="9">
        <v>41244</v>
      </c>
      <c r="B348" s="11">
        <v>451.4</v>
      </c>
    </row>
    <row r="349" spans="1:2" x14ac:dyDescent="0.3">
      <c r="A349" s="9">
        <v>41275</v>
      </c>
      <c r="B349" s="11">
        <v>449.6</v>
      </c>
    </row>
    <row r="350" spans="1:2" x14ac:dyDescent="0.3">
      <c r="A350" s="9">
        <v>41306</v>
      </c>
      <c r="B350" s="11">
        <v>448.70000000000005</v>
      </c>
    </row>
    <row r="351" spans="1:2" x14ac:dyDescent="0.3">
      <c r="A351" s="9">
        <v>41334</v>
      </c>
      <c r="B351" s="11">
        <v>448.25</v>
      </c>
    </row>
    <row r="352" spans="1:2" x14ac:dyDescent="0.3">
      <c r="A352" s="9">
        <v>41365</v>
      </c>
      <c r="B352" s="11">
        <v>448.02499999999998</v>
      </c>
    </row>
    <row r="353" spans="1:2" x14ac:dyDescent="0.3">
      <c r="A353" s="9">
        <v>41395</v>
      </c>
      <c r="B353" s="11">
        <v>447.91250000000002</v>
      </c>
    </row>
    <row r="354" spans="1:2" x14ac:dyDescent="0.3">
      <c r="A354" s="9">
        <v>41426</v>
      </c>
      <c r="B354" s="11">
        <v>447.85625000000005</v>
      </c>
    </row>
    <row r="355" spans="1:2" x14ac:dyDescent="0.3">
      <c r="A355" s="9">
        <v>41456</v>
      </c>
      <c r="B355" s="11">
        <v>447.828125</v>
      </c>
    </row>
    <row r="356" spans="1:2" x14ac:dyDescent="0.3">
      <c r="A356" s="9">
        <v>41487</v>
      </c>
      <c r="B356" s="11">
        <v>447.81406249999998</v>
      </c>
    </row>
    <row r="357" spans="1:2" x14ac:dyDescent="0.3">
      <c r="A357" s="9">
        <v>41518</v>
      </c>
      <c r="B357" s="11">
        <v>447.80703125000002</v>
      </c>
    </row>
    <row r="358" spans="1:2" x14ac:dyDescent="0.3">
      <c r="A358" s="9">
        <v>41548</v>
      </c>
      <c r="B358" s="11">
        <v>447.80351562500005</v>
      </c>
    </row>
    <row r="359" spans="1:2" x14ac:dyDescent="0.3">
      <c r="A359" s="9">
        <v>41579</v>
      </c>
      <c r="B359" s="11">
        <v>447.8017578125</v>
      </c>
    </row>
    <row r="360" spans="1:2" x14ac:dyDescent="0.3">
      <c r="A360" s="9">
        <v>41609</v>
      </c>
      <c r="B360" s="11">
        <v>447.80087890624998</v>
      </c>
    </row>
    <row r="361" spans="1:2" x14ac:dyDescent="0.3">
      <c r="A361" s="9">
        <v>41640</v>
      </c>
      <c r="B361" s="11">
        <v>447.8</v>
      </c>
    </row>
    <row r="362" spans="1:2" x14ac:dyDescent="0.3">
      <c r="A362" s="9">
        <v>41671</v>
      </c>
      <c r="B362" s="11">
        <v>216.2</v>
      </c>
    </row>
    <row r="363" spans="1:2" x14ac:dyDescent="0.3">
      <c r="A363" s="9">
        <v>41699</v>
      </c>
      <c r="B363" s="11">
        <v>264.89999999999998</v>
      </c>
    </row>
    <row r="364" spans="1:2" x14ac:dyDescent="0.3">
      <c r="A364" s="9">
        <v>41730</v>
      </c>
      <c r="B364" s="11">
        <v>230</v>
      </c>
    </row>
    <row r="365" spans="1:2" x14ac:dyDescent="0.3">
      <c r="A365" s="9">
        <v>41760</v>
      </c>
      <c r="B365" s="11">
        <v>448</v>
      </c>
    </row>
    <row r="366" spans="1:2" x14ac:dyDescent="0.3">
      <c r="A366" s="9">
        <v>41791</v>
      </c>
      <c r="B366" s="11">
        <v>477.6</v>
      </c>
    </row>
    <row r="367" spans="1:2" x14ac:dyDescent="0.3">
      <c r="A367" s="9">
        <v>41821</v>
      </c>
      <c r="B367" s="11">
        <v>359</v>
      </c>
    </row>
    <row r="368" spans="1:2" x14ac:dyDescent="0.3">
      <c r="A368" s="9">
        <v>41852</v>
      </c>
      <c r="B368" s="11">
        <v>285</v>
      </c>
    </row>
    <row r="369" spans="1:2" x14ac:dyDescent="0.3">
      <c r="A369" s="9">
        <v>41883</v>
      </c>
      <c r="B369" s="11">
        <v>394.5</v>
      </c>
    </row>
    <row r="370" spans="1:2" x14ac:dyDescent="0.3">
      <c r="A370" s="9">
        <v>41913</v>
      </c>
      <c r="B370" s="11">
        <v>560.70000000000005</v>
      </c>
    </row>
    <row r="371" spans="1:2" x14ac:dyDescent="0.3">
      <c r="A371" s="9">
        <v>41944</v>
      </c>
      <c r="B371" s="11">
        <v>675</v>
      </c>
    </row>
    <row r="372" spans="1:2" x14ac:dyDescent="0.3">
      <c r="A372" s="9">
        <v>41974</v>
      </c>
      <c r="B372" s="11">
        <v>741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836"/>
  <sheetViews>
    <sheetView topLeftCell="B1" zoomScale="85" zoomScaleNormal="85" workbookViewId="0">
      <selection activeCell="K20" sqref="K20"/>
    </sheetView>
  </sheetViews>
  <sheetFormatPr baseColWidth="10" defaultColWidth="11.44140625" defaultRowHeight="14.4" x14ac:dyDescent="0.3"/>
  <cols>
    <col min="2" max="2" width="8.33203125" customWidth="1"/>
    <col min="3" max="3" width="9.6640625" customWidth="1"/>
    <col min="4" max="5" width="13.5546875" customWidth="1"/>
    <col min="6" max="6" width="10" customWidth="1"/>
    <col min="7" max="7" width="5.6640625" customWidth="1"/>
    <col min="9" max="9" width="8.5546875" customWidth="1"/>
    <col min="10" max="10" width="8" customWidth="1"/>
    <col min="11" max="11" width="6.33203125" customWidth="1"/>
    <col min="12" max="12" width="8.33203125" customWidth="1"/>
    <col min="13" max="13" width="9.33203125" customWidth="1"/>
    <col min="14" max="14" width="8.33203125" customWidth="1"/>
  </cols>
  <sheetData>
    <row r="1" spans="1:14" x14ac:dyDescent="0.3">
      <c r="A1" s="4" t="s">
        <v>61</v>
      </c>
      <c r="B1" s="4"/>
      <c r="C1" s="4"/>
      <c r="D1" s="4"/>
      <c r="E1" s="4"/>
      <c r="F1" s="4"/>
    </row>
    <row r="2" spans="1:14" x14ac:dyDescent="0.3">
      <c r="A2" s="22" t="s">
        <v>25</v>
      </c>
      <c r="B2" s="22"/>
      <c r="C2" s="22"/>
      <c r="D2" s="22"/>
      <c r="E2" s="19"/>
      <c r="F2" s="19"/>
    </row>
    <row r="3" spans="1:14" x14ac:dyDescent="0.3">
      <c r="A3" s="21" t="s">
        <v>26</v>
      </c>
      <c r="B3" s="21"/>
      <c r="C3" s="21"/>
      <c r="D3" s="21"/>
      <c r="E3" s="5"/>
      <c r="F3" s="5"/>
    </row>
    <row r="4" spans="1:14" x14ac:dyDescent="0.3">
      <c r="A4" s="21" t="s">
        <v>30</v>
      </c>
      <c r="B4" s="21"/>
      <c r="C4" s="21"/>
      <c r="D4" s="21"/>
      <c r="E4" s="5" t="s">
        <v>62</v>
      </c>
      <c r="F4" s="20">
        <f>AVERAGE(D8:D775)</f>
        <v>71.678424015009398</v>
      </c>
    </row>
    <row r="5" spans="1:14" x14ac:dyDescent="0.3">
      <c r="A5" s="23" t="s">
        <v>27</v>
      </c>
      <c r="B5" s="23"/>
      <c r="C5" s="23"/>
      <c r="D5" s="23"/>
      <c r="E5" s="14" t="s">
        <v>54</v>
      </c>
      <c r="F5" s="20">
        <f>_xlfn.STDEV.S(D8:D775)</f>
        <v>84.660237822653784</v>
      </c>
      <c r="L5" s="5" t="s">
        <v>62</v>
      </c>
      <c r="M5" s="12">
        <f>AVERAGE(M8:M76)</f>
        <v>746.50535714285718</v>
      </c>
    </row>
    <row r="6" spans="1:14" x14ac:dyDescent="0.3">
      <c r="A6" s="1" t="s">
        <v>28</v>
      </c>
      <c r="D6" s="1" t="s">
        <v>29</v>
      </c>
      <c r="E6" s="1"/>
      <c r="F6" s="1"/>
      <c r="H6" s="24" t="s">
        <v>63</v>
      </c>
      <c r="I6" s="24"/>
      <c r="J6" s="24"/>
      <c r="L6" s="14" t="s">
        <v>54</v>
      </c>
      <c r="M6" s="12">
        <f>_xlfn.STDEV.S(M8:M76)</f>
        <v>436.82362590935622</v>
      </c>
    </row>
    <row r="7" spans="1:14" ht="30.75" customHeight="1" x14ac:dyDescent="0.3">
      <c r="A7" s="2" t="s">
        <v>12</v>
      </c>
      <c r="B7" s="5" t="s">
        <v>13</v>
      </c>
      <c r="C7" s="5" t="s">
        <v>64</v>
      </c>
      <c r="D7" s="6" t="s">
        <v>65</v>
      </c>
      <c r="E7" s="6" t="s">
        <v>66</v>
      </c>
      <c r="F7" s="6" t="s">
        <v>67</v>
      </c>
      <c r="H7" s="2" t="s">
        <v>38</v>
      </c>
      <c r="I7" s="2" t="s">
        <v>68</v>
      </c>
      <c r="J7" s="2" t="s">
        <v>54</v>
      </c>
      <c r="L7" s="2" t="s">
        <v>39</v>
      </c>
      <c r="M7" s="2" t="s">
        <v>69</v>
      </c>
    </row>
    <row r="8" spans="1:14" x14ac:dyDescent="0.3">
      <c r="A8" t="s">
        <v>0</v>
      </c>
      <c r="B8">
        <v>1947</v>
      </c>
      <c r="C8" s="12">
        <v>1946.9999999823399</v>
      </c>
      <c r="E8" s="15"/>
      <c r="F8" s="13"/>
      <c r="H8" t="s">
        <v>0</v>
      </c>
      <c r="I8" s="13">
        <f>AVERAGEIFS(D$8:D$775,A$8:A$775,H8)</f>
        <v>3.2227272727272722</v>
      </c>
      <c r="J8" s="13">
        <f t="array" ref="J8">_xlfn.STDEV.S(IF(A$8:A$775=H8,D$8:D$775))</f>
        <v>11.45579798790475</v>
      </c>
      <c r="L8">
        <v>2013</v>
      </c>
      <c r="M8" s="12">
        <f>SUMIF(B$8:B$811,L8,D$8:D$811)</f>
        <v>749.4</v>
      </c>
      <c r="N8" s="13">
        <f>STANDARDIZE(M8,M$5,M$6)</f>
        <v>6.6265711959074668E-3</v>
      </c>
    </row>
    <row r="9" spans="1:14" x14ac:dyDescent="0.3">
      <c r="A9" t="s">
        <v>1</v>
      </c>
      <c r="B9">
        <v>1947</v>
      </c>
      <c r="C9" s="12">
        <v>1947.0833333157</v>
      </c>
      <c r="E9" s="15"/>
      <c r="F9" s="13"/>
      <c r="H9" t="s">
        <v>1</v>
      </c>
      <c r="I9" s="13">
        <f>AVERAGEIFS(D$8:D$775,A$8:A$775,H9)</f>
        <v>0.24782608695652175</v>
      </c>
      <c r="J9" s="13">
        <f t="array" ref="J9">_xlfn.STDEV.S(IF(A$8:A$775=H9,D$8:D$775))</f>
        <v>1.1785744348206006</v>
      </c>
      <c r="L9">
        <v>2012</v>
      </c>
      <c r="M9" s="12">
        <f t="shared" ref="M9:M30" si="0">SUMIF(B$8:B$811,L9,D$8:D$811)</f>
        <v>1002.5</v>
      </c>
      <c r="N9" s="13">
        <f t="shared" ref="N9:N68" si="1">STANDARDIZE(M9,M$5,M$6)</f>
        <v>0.5860366236469623</v>
      </c>
    </row>
    <row r="10" spans="1:14" x14ac:dyDescent="0.3">
      <c r="A10" t="s">
        <v>2</v>
      </c>
      <c r="B10">
        <v>1947</v>
      </c>
      <c r="C10" s="12">
        <v>1947.1666666490601</v>
      </c>
      <c r="D10">
        <v>5.5</v>
      </c>
      <c r="E10" s="15">
        <f>STANDARDIZE(D10,F$4,F$5)</f>
        <v>-0.78169428431845323</v>
      </c>
      <c r="F10" s="13">
        <f>STANDARDIZE(D10,I$10,J$10)</f>
        <v>0.82187909149679528</v>
      </c>
      <c r="H10" t="s">
        <v>2</v>
      </c>
      <c r="I10" s="13">
        <f t="shared" ref="I10:I18" si="2">AVERAGEIFS(D$8:D$775,A$8:A$775,H10)</f>
        <v>2.1022222222222222</v>
      </c>
      <c r="J10" s="13">
        <f t="array" ref="J10">_xlfn.STDEV.S(IF(A$8:A$775=H10,D$8:D$775))</f>
        <v>4.134157703890228</v>
      </c>
      <c r="L10">
        <v>2011</v>
      </c>
      <c r="M10" s="12">
        <f t="shared" si="0"/>
        <v>1847.8</v>
      </c>
      <c r="N10" s="13">
        <f t="shared" si="1"/>
        <v>2.5211425791462765</v>
      </c>
    </row>
    <row r="11" spans="1:14" x14ac:dyDescent="0.3">
      <c r="A11" t="s">
        <v>3</v>
      </c>
      <c r="B11">
        <v>1947</v>
      </c>
      <c r="C11" s="12">
        <v>1947.2499999824199</v>
      </c>
      <c r="D11">
        <v>1</v>
      </c>
      <c r="E11" s="15">
        <f>STANDARDIZE(D11,F$4,F$5)</f>
        <v>-0.83484792663902641</v>
      </c>
      <c r="F11" s="13">
        <f>STANDARDIZE(D11,I$11,J$11)</f>
        <v>-1.0165430210430741</v>
      </c>
      <c r="H11" t="s">
        <v>3</v>
      </c>
      <c r="I11" s="13">
        <f t="shared" si="2"/>
        <v>22.583720930232559</v>
      </c>
      <c r="J11" s="13">
        <f t="array" ref="J11">_xlfn.STDEV.S(IF(A$8:A$775=H11,D$8:D$775))</f>
        <v>21.232471704036211</v>
      </c>
      <c r="L11">
        <v>2010</v>
      </c>
      <c r="M11" s="12">
        <f t="shared" si="0"/>
        <v>2443.9999999999995</v>
      </c>
      <c r="N11" s="13">
        <f t="shared" si="1"/>
        <v>3.8859954960617991</v>
      </c>
    </row>
    <row r="12" spans="1:14" x14ac:dyDescent="0.3">
      <c r="A12" t="s">
        <v>4</v>
      </c>
      <c r="B12">
        <v>1947</v>
      </c>
      <c r="C12" s="12">
        <v>1947.33333331578</v>
      </c>
      <c r="D12">
        <v>0.3</v>
      </c>
      <c r="E12" s="15">
        <f>STANDARDIZE(D12,F$4,F$5)</f>
        <v>-0.84311627100000452</v>
      </c>
      <c r="F12" s="13">
        <f>STANDARDIZE(D12,I$12,J$12)</f>
        <v>-1.2846860845807795</v>
      </c>
      <c r="H12" t="s">
        <v>4</v>
      </c>
      <c r="I12" s="13">
        <f t="shared" si="2"/>
        <v>85.934090909090898</v>
      </c>
      <c r="J12" s="13">
        <f t="array" ref="J12">_xlfn.STDEV.S(IF(A$8:A$775=H12,D$8:D$775))</f>
        <v>66.657599811268398</v>
      </c>
      <c r="L12">
        <v>2009</v>
      </c>
      <c r="M12" s="12">
        <f t="shared" si="0"/>
        <v>609.69999999999993</v>
      </c>
      <c r="N12" s="13">
        <f t="shared" si="1"/>
        <v>-0.31318213811824652</v>
      </c>
    </row>
    <row r="13" spans="1:14" x14ac:dyDescent="0.3">
      <c r="A13" t="s">
        <v>5</v>
      </c>
      <c r="B13">
        <v>1947</v>
      </c>
      <c r="C13" s="12">
        <v>1947.4166666491401</v>
      </c>
      <c r="D13">
        <v>97.9</v>
      </c>
      <c r="E13" s="15">
        <f>STANDARDIZE(D13,F$4,F$5)</f>
        <v>0.30972717133064936</v>
      </c>
      <c r="F13" s="13">
        <f>STANDARDIZE(D13,I$13,J$13)</f>
        <v>9.4717382487922469E-2</v>
      </c>
      <c r="H13" t="s">
        <v>5</v>
      </c>
      <c r="I13" s="13">
        <f t="shared" si="2"/>
        <v>91.843478260869574</v>
      </c>
      <c r="J13" s="13">
        <f t="array" ref="J13">_xlfn.STDEV.S(IF(A$8:A$775=H13,D$8:D$775))</f>
        <v>63.943086052897485</v>
      </c>
      <c r="L13">
        <v>2008</v>
      </c>
      <c r="M13" s="12">
        <f t="shared" si="0"/>
        <v>992.59999999999991</v>
      </c>
      <c r="N13" s="13">
        <f t="shared" si="1"/>
        <v>0.56337301432548659</v>
      </c>
    </row>
    <row r="14" spans="1:14" x14ac:dyDescent="0.3">
      <c r="A14" t="s">
        <v>6</v>
      </c>
      <c r="B14">
        <v>1947</v>
      </c>
      <c r="C14" s="12">
        <v>1947.4999999825</v>
      </c>
      <c r="D14">
        <v>30.5</v>
      </c>
      <c r="E14" s="15">
        <f>STANDARDIZE(D14,F$4,F$5)</f>
        <v>-0.48639627142638009</v>
      </c>
      <c r="F14" s="13">
        <f>STANDARDIZE(D14,I$14,J$14)</f>
        <v>-0.76606104570982192</v>
      </c>
      <c r="H14" t="s">
        <v>6</v>
      </c>
      <c r="I14" s="13">
        <f t="shared" si="2"/>
        <v>92.351111111111109</v>
      </c>
      <c r="J14" s="13">
        <f t="array" ref="J14">_xlfn.STDEV.S(IF(A$8:A$775=H14,D$8:D$775))</f>
        <v>80.73914142677846</v>
      </c>
      <c r="L14">
        <v>2007</v>
      </c>
      <c r="M14" s="12">
        <f t="shared" si="0"/>
        <v>1133.4000000000001</v>
      </c>
      <c r="N14" s="13">
        <f t="shared" si="1"/>
        <v>0.88569990245313812</v>
      </c>
    </row>
    <row r="15" spans="1:14" x14ac:dyDescent="0.3">
      <c r="A15" t="s">
        <v>7</v>
      </c>
      <c r="B15">
        <v>1947</v>
      </c>
      <c r="C15" s="12">
        <v>1947.58333331586</v>
      </c>
      <c r="E15" s="15"/>
      <c r="F15" s="13"/>
      <c r="H15" t="s">
        <v>7</v>
      </c>
      <c r="I15" s="13">
        <f t="shared" si="2"/>
        <v>100.10212765957451</v>
      </c>
      <c r="J15" s="13">
        <f t="array" ref="J15">_xlfn.STDEV.S(IF(A$8:A$775=H15,D$8:D$775))</f>
        <v>79.011734109460761</v>
      </c>
      <c r="L15">
        <v>2006</v>
      </c>
      <c r="M15" s="12">
        <f t="shared" si="0"/>
        <v>841.4</v>
      </c>
      <c r="N15" s="13">
        <f t="shared" si="1"/>
        <v>0.21723789014295225</v>
      </c>
    </row>
    <row r="16" spans="1:14" x14ac:dyDescent="0.3">
      <c r="A16" t="s">
        <v>8</v>
      </c>
      <c r="B16">
        <v>1947</v>
      </c>
      <c r="C16" s="12">
        <v>1947.6666666492199</v>
      </c>
      <c r="D16">
        <v>41.2</v>
      </c>
      <c r="E16" s="15">
        <f>STANDARDIZE(D16,F$4,F$5)</f>
        <v>-0.36000872190857269</v>
      </c>
      <c r="F16" s="13">
        <f>STANDARDIZE(D16,I$16,J$16)</f>
        <v>-1.0410682192125809</v>
      </c>
      <c r="H16" t="s">
        <v>8</v>
      </c>
      <c r="I16" s="13">
        <f t="shared" si="2"/>
        <v>115.95531914893617</v>
      </c>
      <c r="J16" s="13">
        <f t="array" ref="J16">_xlfn.STDEV.S(IF(A$8:A$775=H16,D$8:D$775))</f>
        <v>71.806359822872963</v>
      </c>
      <c r="L16">
        <v>2005</v>
      </c>
      <c r="M16" s="12">
        <f t="shared" si="0"/>
        <v>743.3</v>
      </c>
      <c r="N16" s="13">
        <f t="shared" si="1"/>
        <v>-7.3378749516683807E-3</v>
      </c>
    </row>
    <row r="17" spans="1:14" x14ac:dyDescent="0.3">
      <c r="A17" t="s">
        <v>9</v>
      </c>
      <c r="B17">
        <v>1947</v>
      </c>
      <c r="C17" s="12">
        <v>1947.74999998258</v>
      </c>
      <c r="D17">
        <v>91.8</v>
      </c>
      <c r="E17" s="15">
        <f>STANDARDIZE(D17,F$4,F$5)</f>
        <v>0.23767445618498337</v>
      </c>
      <c r="F17" s="13">
        <f>STANDARDIZE(D17,I$17,J$17)</f>
        <v>-0.74918173424906498</v>
      </c>
      <c r="H17" t="s">
        <v>9</v>
      </c>
      <c r="I17" s="13">
        <f t="shared" si="2"/>
        <v>176.95555555555558</v>
      </c>
      <c r="J17" s="13">
        <f t="array" ref="J17">_xlfn.STDEV.S(IF(A$8:A$775=H17,D$8:D$775))</f>
        <v>113.66475137158866</v>
      </c>
      <c r="L17">
        <v>2004</v>
      </c>
      <c r="M17" s="12">
        <f t="shared" si="0"/>
        <v>1307.0999999999999</v>
      </c>
      <c r="N17" s="13">
        <f t="shared" si="1"/>
        <v>1.2833432296390255</v>
      </c>
    </row>
    <row r="18" spans="1:14" x14ac:dyDescent="0.3">
      <c r="A18" t="s">
        <v>10</v>
      </c>
      <c r="B18">
        <v>1947</v>
      </c>
      <c r="C18" s="12">
        <v>1947.8333333159401</v>
      </c>
      <c r="E18" s="15"/>
      <c r="F18" s="13"/>
      <c r="H18" t="s">
        <v>10</v>
      </c>
      <c r="I18" s="13">
        <f t="shared" si="2"/>
        <v>123.97499999999997</v>
      </c>
      <c r="J18" s="13">
        <f t="array" ref="J18">_xlfn.STDEV.S(IF(A$8:A$775=H18,D$8:D$775))</f>
        <v>112.1119367711015</v>
      </c>
      <c r="L18">
        <v>2003</v>
      </c>
      <c r="M18" s="12">
        <f t="shared" si="0"/>
        <v>1004.9</v>
      </c>
      <c r="N18" s="13">
        <f t="shared" si="1"/>
        <v>0.59153083196731993</v>
      </c>
    </row>
    <row r="19" spans="1:14" x14ac:dyDescent="0.3">
      <c r="A19" t="s">
        <v>11</v>
      </c>
      <c r="B19">
        <v>1947</v>
      </c>
      <c r="C19" s="12">
        <v>1947.9166666492999</v>
      </c>
      <c r="E19" s="15"/>
      <c r="F19" s="13"/>
      <c r="H19" t="s">
        <v>11</v>
      </c>
      <c r="I19" s="13">
        <f>AVERAGEIFS(D$8:D$775,A$8:A$775,H19)</f>
        <v>33.82162162162161</v>
      </c>
      <c r="J19" s="13">
        <f t="array" ref="J19">_xlfn.STDEV.S(IF(A$8:A$775=H19,D$8:D$775))</f>
        <v>51.032802923280137</v>
      </c>
      <c r="L19">
        <v>2002</v>
      </c>
      <c r="M19" s="12">
        <f t="shared" si="0"/>
        <v>663.59999999999991</v>
      </c>
      <c r="N19" s="13">
        <f t="shared" si="1"/>
        <v>-0.18979137625688011</v>
      </c>
    </row>
    <row r="20" spans="1:14" x14ac:dyDescent="0.3">
      <c r="A20" t="s">
        <v>0</v>
      </c>
      <c r="B20">
        <v>1948</v>
      </c>
      <c r="C20" s="12">
        <v>1947.99999998266</v>
      </c>
      <c r="E20" s="15"/>
      <c r="F20" s="13"/>
      <c r="L20">
        <v>2001</v>
      </c>
      <c r="M20" s="12">
        <f t="shared" si="0"/>
        <v>682.3</v>
      </c>
      <c r="N20" s="13">
        <f t="shared" si="1"/>
        <v>-0.14698233642742634</v>
      </c>
    </row>
    <row r="21" spans="1:14" x14ac:dyDescent="0.3">
      <c r="A21" t="s">
        <v>1</v>
      </c>
      <c r="B21">
        <v>1948</v>
      </c>
      <c r="C21" s="12">
        <v>1948.0833333160199</v>
      </c>
      <c r="D21">
        <v>0</v>
      </c>
      <c r="E21" s="15">
        <f>STANDARDIZE(D21,F$4,F$5)</f>
        <v>-0.84665984715470932</v>
      </c>
      <c r="F21" s="13">
        <f>STANDARDIZE(D21,I$9,J$9)</f>
        <v>-0.21027614347857898</v>
      </c>
      <c r="L21">
        <v>2000</v>
      </c>
      <c r="M21" s="12">
        <f t="shared" si="0"/>
        <v>787.8</v>
      </c>
      <c r="N21" s="13">
        <f t="shared" si="1"/>
        <v>9.453390432163046E-2</v>
      </c>
    </row>
    <row r="22" spans="1:14" x14ac:dyDescent="0.3">
      <c r="A22" t="s">
        <v>2</v>
      </c>
      <c r="B22">
        <v>1948</v>
      </c>
      <c r="C22" s="12">
        <v>1948.16666664938</v>
      </c>
      <c r="D22">
        <v>0</v>
      </c>
      <c r="E22" s="15">
        <f>STANDARDIZE(D22,F$4,F$5)</f>
        <v>-0.84665984715470932</v>
      </c>
      <c r="F22" s="13">
        <f>STANDARDIZE(D22,I$10,J$10)</f>
        <v>-0.50850073286852082</v>
      </c>
      <c r="L22">
        <v>1999</v>
      </c>
      <c r="M22" s="12">
        <f t="shared" si="0"/>
        <v>1485.3</v>
      </c>
      <c r="N22" s="13">
        <f t="shared" si="1"/>
        <v>1.6912881974255842</v>
      </c>
    </row>
    <row r="23" spans="1:14" x14ac:dyDescent="0.3">
      <c r="A23" t="s">
        <v>3</v>
      </c>
      <c r="B23">
        <v>1948</v>
      </c>
      <c r="C23" s="12">
        <v>1948.2499999827401</v>
      </c>
      <c r="D23" s="1"/>
      <c r="E23" s="15"/>
      <c r="F23" s="13"/>
      <c r="L23">
        <v>1998</v>
      </c>
      <c r="M23" s="12">
        <f t="shared" si="0"/>
        <v>863.90000000000009</v>
      </c>
      <c r="N23" s="13">
        <f t="shared" si="1"/>
        <v>0.26874609314630588</v>
      </c>
    </row>
    <row r="24" spans="1:14" x14ac:dyDescent="0.3">
      <c r="A24" t="s">
        <v>4</v>
      </c>
      <c r="B24">
        <v>1948</v>
      </c>
      <c r="C24" s="12">
        <v>1948.3333333160999</v>
      </c>
      <c r="D24">
        <v>9.3000000000000007</v>
      </c>
      <c r="E24" s="15">
        <f>STANDARDIZE(D24,F$4,F$5)</f>
        <v>-0.73680898635885816</v>
      </c>
      <c r="F24" s="13">
        <f>STANDARDIZE(D24,I$12,J$12)</f>
        <v>-1.1496677217011944</v>
      </c>
      <c r="L24">
        <v>1997</v>
      </c>
      <c r="M24" s="12">
        <f t="shared" si="0"/>
        <v>969.7</v>
      </c>
      <c r="N24" s="13">
        <f t="shared" si="1"/>
        <v>0.51094910993540721</v>
      </c>
    </row>
    <row r="25" spans="1:14" x14ac:dyDescent="0.3">
      <c r="A25" t="s">
        <v>5</v>
      </c>
      <c r="B25">
        <v>1948</v>
      </c>
      <c r="C25" s="12">
        <v>1948.41666664946</v>
      </c>
      <c r="D25">
        <v>18.899999999999999</v>
      </c>
      <c r="E25" s="15">
        <f>STANDARDIZE(D25,F$4,F$5)</f>
        <v>-0.6234145494083021</v>
      </c>
      <c r="F25" s="13">
        <f>STANDARDIZE(D25,I$13,J$13)</f>
        <v>-1.1407563000716987</v>
      </c>
      <c r="L25">
        <v>1996</v>
      </c>
      <c r="M25" s="12">
        <f t="shared" si="0"/>
        <v>904</v>
      </c>
      <c r="N25" s="13">
        <f t="shared" si="1"/>
        <v>0.36054515716561536</v>
      </c>
    </row>
    <row r="26" spans="1:14" x14ac:dyDescent="0.3">
      <c r="A26" t="s">
        <v>6</v>
      </c>
      <c r="B26">
        <v>1948</v>
      </c>
      <c r="C26" s="12">
        <v>1948.4999999828201</v>
      </c>
      <c r="D26">
        <v>13</v>
      </c>
      <c r="E26" s="15">
        <f>STANDARDIZE(D26,F$4,F$5)</f>
        <v>-0.6931048804508313</v>
      </c>
      <c r="F26" s="13">
        <f>STANDARDIZE(D26,I$14,J$14)</f>
        <v>-0.98280845831230268</v>
      </c>
      <c r="L26">
        <v>1995</v>
      </c>
      <c r="M26" s="12">
        <f t="shared" si="0"/>
        <v>1275.0999999999999</v>
      </c>
      <c r="N26" s="13">
        <f t="shared" si="1"/>
        <v>1.210087118700923</v>
      </c>
    </row>
    <row r="27" spans="1:14" x14ac:dyDescent="0.3">
      <c r="A27" t="s">
        <v>7</v>
      </c>
      <c r="B27">
        <v>1948</v>
      </c>
      <c r="C27" s="12">
        <v>1948.58333331618</v>
      </c>
      <c r="D27">
        <v>0.7</v>
      </c>
      <c r="E27" s="15">
        <f>STANDARDIZE(D27,F$4,F$5)</f>
        <v>-0.83839150279373131</v>
      </c>
      <c r="F27" s="13">
        <f>STANDARDIZE(D27,I$15,J$15)</f>
        <v>-1.2580679158600092</v>
      </c>
      <c r="L27">
        <v>1994</v>
      </c>
      <c r="M27" s="12">
        <f t="shared" si="0"/>
        <v>814.19999999999993</v>
      </c>
      <c r="N27" s="13">
        <f t="shared" si="1"/>
        <v>0.15497019584556498</v>
      </c>
    </row>
    <row r="28" spans="1:14" x14ac:dyDescent="0.3">
      <c r="A28" t="s">
        <v>8</v>
      </c>
      <c r="B28">
        <v>1948</v>
      </c>
      <c r="C28" s="12">
        <v>1948.66666664954</v>
      </c>
      <c r="D28">
        <v>58.2</v>
      </c>
      <c r="E28" s="15">
        <f>STANDARDIZE(D28,F$4,F$5)</f>
        <v>-0.15920607314196294</v>
      </c>
      <c r="F28" s="13">
        <f>STANDARDIZE(D28,I$16,J$16)</f>
        <v>-0.80432038737798506</v>
      </c>
      <c r="L28">
        <v>1993</v>
      </c>
      <c r="M28" s="12">
        <f t="shared" si="0"/>
        <v>750.8</v>
      </c>
      <c r="N28" s="13">
        <f t="shared" si="1"/>
        <v>9.8315260494494013E-3</v>
      </c>
    </row>
    <row r="29" spans="1:14" x14ac:dyDescent="0.3">
      <c r="A29" t="s">
        <v>9</v>
      </c>
      <c r="B29">
        <v>1948</v>
      </c>
      <c r="C29" s="12">
        <v>1948.7499999828999</v>
      </c>
      <c r="E29" s="15"/>
      <c r="F29" s="13"/>
      <c r="L29">
        <v>1992</v>
      </c>
      <c r="M29" s="12">
        <f t="shared" si="0"/>
        <v>245.5</v>
      </c>
      <c r="N29" s="13">
        <f t="shared" si="1"/>
        <v>-1.1469282507325258</v>
      </c>
    </row>
    <row r="30" spans="1:14" x14ac:dyDescent="0.3">
      <c r="A30" t="s">
        <v>10</v>
      </c>
      <c r="B30">
        <v>1948</v>
      </c>
      <c r="C30" s="12">
        <v>1948.83333331626</v>
      </c>
      <c r="E30" s="15"/>
      <c r="F30" s="13"/>
      <c r="L30">
        <v>1991</v>
      </c>
      <c r="M30" s="12">
        <f t="shared" si="0"/>
        <v>359.4</v>
      </c>
      <c r="N30" s="13">
        <f t="shared" si="1"/>
        <v>-0.88618228086221718</v>
      </c>
    </row>
    <row r="31" spans="1:14" x14ac:dyDescent="0.3">
      <c r="A31" t="s">
        <v>11</v>
      </c>
      <c r="B31">
        <v>1948</v>
      </c>
      <c r="C31" s="12">
        <v>1948.9166666496201</v>
      </c>
      <c r="E31" s="15"/>
      <c r="F31" s="13"/>
      <c r="L31">
        <v>1990</v>
      </c>
      <c r="M31" s="12"/>
      <c r="N31" s="13"/>
    </row>
    <row r="32" spans="1:14" x14ac:dyDescent="0.3">
      <c r="A32" t="s">
        <v>0</v>
      </c>
      <c r="B32">
        <v>1949</v>
      </c>
      <c r="C32" s="12">
        <v>1948.9999999829804</v>
      </c>
      <c r="E32" s="15"/>
      <c r="F32" s="13"/>
      <c r="L32">
        <v>1989</v>
      </c>
      <c r="M32" s="12"/>
      <c r="N32" s="13"/>
    </row>
    <row r="33" spans="1:14" x14ac:dyDescent="0.3">
      <c r="A33" t="s">
        <v>1</v>
      </c>
      <c r="B33">
        <v>1949</v>
      </c>
      <c r="C33" s="12">
        <v>1949.0833333163407</v>
      </c>
      <c r="E33" s="15"/>
      <c r="F33" s="13"/>
      <c r="L33">
        <v>1988</v>
      </c>
      <c r="M33" s="12"/>
      <c r="N33" s="13"/>
    </row>
    <row r="34" spans="1:14" x14ac:dyDescent="0.3">
      <c r="A34" t="s">
        <v>2</v>
      </c>
      <c r="B34">
        <v>1949</v>
      </c>
      <c r="C34" s="12">
        <v>1949.1666666497008</v>
      </c>
      <c r="E34" s="15"/>
      <c r="F34" s="13"/>
      <c r="L34">
        <v>1987</v>
      </c>
      <c r="M34" s="12">
        <f t="shared" ref="M34:M40" si="3">SUMIF(B$8:B$811,L34,D$8:D$811)</f>
        <v>336.1</v>
      </c>
      <c r="N34" s="13">
        <f t="shared" si="1"/>
        <v>-0.93952188663902292</v>
      </c>
    </row>
    <row r="35" spans="1:14" x14ac:dyDescent="0.3">
      <c r="A35" t="s">
        <v>3</v>
      </c>
      <c r="B35">
        <v>1949</v>
      </c>
      <c r="C35" s="12">
        <v>1949.2499999830611</v>
      </c>
      <c r="E35" s="15"/>
      <c r="F35" s="13"/>
      <c r="L35">
        <v>1986</v>
      </c>
      <c r="M35" s="12">
        <f t="shared" si="3"/>
        <v>411.50000000000006</v>
      </c>
      <c r="N35" s="13">
        <f t="shared" si="1"/>
        <v>-0.76691217524111877</v>
      </c>
    </row>
    <row r="36" spans="1:14" x14ac:dyDescent="0.3">
      <c r="A36" t="s">
        <v>4</v>
      </c>
      <c r="B36">
        <v>1949</v>
      </c>
      <c r="C36" s="12">
        <v>1949.3333333164212</v>
      </c>
      <c r="E36" s="15"/>
      <c r="F36" s="13"/>
      <c r="L36">
        <v>1985</v>
      </c>
      <c r="M36" s="12">
        <f t="shared" si="3"/>
        <v>871.69999999999993</v>
      </c>
      <c r="N36" s="13">
        <f t="shared" si="1"/>
        <v>0.28660227018746798</v>
      </c>
    </row>
    <row r="37" spans="1:14" x14ac:dyDescent="0.3">
      <c r="A37" t="s">
        <v>5</v>
      </c>
      <c r="B37">
        <v>1949</v>
      </c>
      <c r="C37" s="12">
        <v>1949.4166666497815</v>
      </c>
      <c r="E37" s="15"/>
      <c r="F37" s="13"/>
      <c r="L37">
        <v>1984</v>
      </c>
      <c r="M37" s="12">
        <f t="shared" si="3"/>
        <v>772.1</v>
      </c>
      <c r="N37" s="13">
        <f t="shared" si="1"/>
        <v>5.8592624892624054E-2</v>
      </c>
    </row>
    <row r="38" spans="1:14" x14ac:dyDescent="0.3">
      <c r="A38" t="s">
        <v>6</v>
      </c>
      <c r="B38">
        <v>1949</v>
      </c>
      <c r="C38" s="12">
        <v>1949.4999999831416</v>
      </c>
      <c r="E38" s="15"/>
      <c r="F38" s="13"/>
      <c r="L38">
        <v>1983</v>
      </c>
      <c r="M38" s="12">
        <f t="shared" si="3"/>
        <v>333.70000000000005</v>
      </c>
      <c r="N38" s="13">
        <f t="shared" si="1"/>
        <v>-0.94501609495938066</v>
      </c>
    </row>
    <row r="39" spans="1:14" x14ac:dyDescent="0.3">
      <c r="A39" t="s">
        <v>7</v>
      </c>
      <c r="B39">
        <v>1949</v>
      </c>
      <c r="C39" s="12">
        <v>1949.5833333165019</v>
      </c>
      <c r="E39" s="15"/>
      <c r="F39" s="13"/>
      <c r="L39">
        <v>1982</v>
      </c>
      <c r="M39" s="12">
        <f t="shared" si="3"/>
        <v>113.89999999999999</v>
      </c>
      <c r="N39" s="13">
        <f t="shared" si="1"/>
        <v>-1.4481940069654726</v>
      </c>
    </row>
    <row r="40" spans="1:14" x14ac:dyDescent="0.3">
      <c r="A40" t="s">
        <v>8</v>
      </c>
      <c r="B40">
        <v>1949</v>
      </c>
      <c r="C40" s="12">
        <v>1949.666666649862</v>
      </c>
      <c r="E40" s="15"/>
      <c r="F40" s="13"/>
      <c r="L40">
        <v>1981</v>
      </c>
      <c r="M40" s="12">
        <f t="shared" si="3"/>
        <v>1179.2</v>
      </c>
      <c r="N40" s="13">
        <f t="shared" si="1"/>
        <v>0.99054771123329732</v>
      </c>
    </row>
    <row r="41" spans="1:14" x14ac:dyDescent="0.3">
      <c r="A41" t="s">
        <v>9</v>
      </c>
      <c r="B41">
        <v>1949</v>
      </c>
      <c r="C41" s="12">
        <v>1949.7499999832223</v>
      </c>
      <c r="E41" s="15"/>
      <c r="F41" s="13"/>
      <c r="L41">
        <v>1980</v>
      </c>
      <c r="M41" s="12"/>
      <c r="N41" s="13"/>
    </row>
    <row r="42" spans="1:14" x14ac:dyDescent="0.3">
      <c r="A42" t="s">
        <v>10</v>
      </c>
      <c r="B42">
        <v>1949</v>
      </c>
      <c r="C42" s="12">
        <v>1949.8333333165824</v>
      </c>
      <c r="E42" s="15"/>
      <c r="F42" s="13"/>
      <c r="L42">
        <v>1979</v>
      </c>
      <c r="M42" s="12"/>
      <c r="N42" s="13"/>
    </row>
    <row r="43" spans="1:14" x14ac:dyDescent="0.3">
      <c r="A43" t="s">
        <v>11</v>
      </c>
      <c r="B43">
        <v>1949</v>
      </c>
      <c r="C43" s="12">
        <v>1949.9166666499427</v>
      </c>
      <c r="E43" s="15"/>
      <c r="F43" s="13"/>
      <c r="L43">
        <v>1978</v>
      </c>
      <c r="M43" s="12"/>
      <c r="N43" s="13"/>
    </row>
    <row r="44" spans="1:14" x14ac:dyDescent="0.3">
      <c r="A44" t="s">
        <v>0</v>
      </c>
      <c r="B44">
        <v>1950</v>
      </c>
      <c r="C44" s="12">
        <v>1949.9999999833028</v>
      </c>
      <c r="E44" s="15"/>
      <c r="F44" s="13"/>
      <c r="L44">
        <v>1977</v>
      </c>
      <c r="M44" s="12">
        <f t="shared" ref="M44:M68" si="4">SUMIF(B$8:B$811,L44,D$8:D$811)</f>
        <v>430.40000000000003</v>
      </c>
      <c r="N44" s="13">
        <f t="shared" si="1"/>
        <v>-0.72364528471830203</v>
      </c>
    </row>
    <row r="45" spans="1:14" x14ac:dyDescent="0.3">
      <c r="A45" t="s">
        <v>1</v>
      </c>
      <c r="B45">
        <v>1950</v>
      </c>
      <c r="C45" s="12">
        <v>1950.0833333166631</v>
      </c>
      <c r="E45" s="15"/>
      <c r="F45" s="13"/>
      <c r="L45">
        <v>1976</v>
      </c>
      <c r="M45" s="12">
        <f t="shared" si="4"/>
        <v>623.60000000000014</v>
      </c>
      <c r="N45" s="13">
        <f t="shared" si="1"/>
        <v>-0.28136151492950778</v>
      </c>
    </row>
    <row r="46" spans="1:14" x14ac:dyDescent="0.3">
      <c r="A46" t="s">
        <v>2</v>
      </c>
      <c r="B46">
        <v>1950</v>
      </c>
      <c r="C46" s="12">
        <v>1950.1666666500232</v>
      </c>
      <c r="E46" s="15"/>
      <c r="F46" s="13"/>
      <c r="L46">
        <v>1975</v>
      </c>
      <c r="M46" s="12">
        <f t="shared" si="4"/>
        <v>842.90000000000009</v>
      </c>
      <c r="N46" s="13">
        <f t="shared" si="1"/>
        <v>0.22067177034317606</v>
      </c>
    </row>
    <row r="47" spans="1:14" x14ac:dyDescent="0.3">
      <c r="A47" t="s">
        <v>3</v>
      </c>
      <c r="B47">
        <v>1950</v>
      </c>
      <c r="C47" s="12">
        <v>1950.2499999833835</v>
      </c>
      <c r="E47" s="15"/>
      <c r="F47" s="13"/>
      <c r="L47">
        <v>1974</v>
      </c>
      <c r="M47" s="12">
        <f t="shared" si="4"/>
        <v>621.90000000000009</v>
      </c>
      <c r="N47" s="13">
        <f t="shared" si="1"/>
        <v>-0.28525324582309458</v>
      </c>
    </row>
    <row r="48" spans="1:14" x14ac:dyDescent="0.3">
      <c r="A48" t="s">
        <v>4</v>
      </c>
      <c r="B48">
        <v>1950</v>
      </c>
      <c r="C48" s="12">
        <v>1950.3333333167436</v>
      </c>
      <c r="E48" s="15"/>
      <c r="F48" s="13"/>
      <c r="L48">
        <v>1973</v>
      </c>
      <c r="M48" s="12">
        <f t="shared" si="4"/>
        <v>150.69999999999999</v>
      </c>
      <c r="N48" s="13">
        <f t="shared" si="1"/>
        <v>-1.3639494793866547</v>
      </c>
    </row>
    <row r="49" spans="1:14" x14ac:dyDescent="0.3">
      <c r="A49" t="s">
        <v>5</v>
      </c>
      <c r="B49">
        <v>1950</v>
      </c>
      <c r="C49" s="12">
        <v>1950.4166666501039</v>
      </c>
      <c r="E49" s="15"/>
      <c r="F49" s="13"/>
      <c r="L49">
        <v>1972</v>
      </c>
      <c r="M49" s="12">
        <f t="shared" si="4"/>
        <v>713.99999999999989</v>
      </c>
      <c r="N49" s="13">
        <f t="shared" si="1"/>
        <v>-7.4413001529368666E-2</v>
      </c>
    </row>
    <row r="50" spans="1:14" x14ac:dyDescent="0.3">
      <c r="A50" t="s">
        <v>6</v>
      </c>
      <c r="B50">
        <v>1950</v>
      </c>
      <c r="C50" s="12">
        <v>1950.499999983464</v>
      </c>
      <c r="E50" s="15"/>
      <c r="F50" s="13"/>
      <c r="L50">
        <v>1971</v>
      </c>
      <c r="M50" s="12">
        <f t="shared" si="4"/>
        <v>79.8</v>
      </c>
      <c r="N50" s="13">
        <f t="shared" si="1"/>
        <v>-1.5262575501838882</v>
      </c>
    </row>
    <row r="51" spans="1:14" x14ac:dyDescent="0.3">
      <c r="A51" t="s">
        <v>7</v>
      </c>
      <c r="B51">
        <v>1950</v>
      </c>
      <c r="C51" s="12">
        <v>1950.5833333168243</v>
      </c>
      <c r="E51" s="15"/>
      <c r="F51" s="13"/>
      <c r="L51">
        <v>1970</v>
      </c>
      <c r="M51" s="12">
        <f t="shared" si="4"/>
        <v>1301.6999999999998</v>
      </c>
      <c r="N51" s="13">
        <f t="shared" si="1"/>
        <v>1.2709812609182205</v>
      </c>
    </row>
    <row r="52" spans="1:14" x14ac:dyDescent="0.3">
      <c r="A52" t="s">
        <v>8</v>
      </c>
      <c r="B52">
        <v>1950</v>
      </c>
      <c r="C52" s="12">
        <v>1950.6666666501844</v>
      </c>
      <c r="E52" s="15"/>
      <c r="F52" s="13"/>
      <c r="L52">
        <v>1969</v>
      </c>
      <c r="M52" s="12">
        <f t="shared" si="4"/>
        <v>700.6</v>
      </c>
      <c r="N52" s="13">
        <f t="shared" si="1"/>
        <v>-0.1050889979846988</v>
      </c>
    </row>
    <row r="53" spans="1:14" x14ac:dyDescent="0.3">
      <c r="A53" t="s">
        <v>9</v>
      </c>
      <c r="B53">
        <v>1950</v>
      </c>
      <c r="C53" s="12">
        <v>1950.7499999835447</v>
      </c>
      <c r="E53" s="15"/>
      <c r="F53" s="13"/>
      <c r="L53">
        <v>1968</v>
      </c>
      <c r="M53" s="12">
        <f t="shared" si="4"/>
        <v>613.00000000000011</v>
      </c>
      <c r="N53" s="13">
        <f t="shared" si="1"/>
        <v>-0.30562760167775427</v>
      </c>
    </row>
    <row r="54" spans="1:14" x14ac:dyDescent="0.3">
      <c r="A54" t="s">
        <v>10</v>
      </c>
      <c r="B54">
        <v>1950</v>
      </c>
      <c r="C54" s="12">
        <v>1950.8333333169048</v>
      </c>
      <c r="E54" s="15"/>
      <c r="F54" s="13"/>
      <c r="L54">
        <v>1967</v>
      </c>
      <c r="M54" s="12">
        <f t="shared" si="4"/>
        <v>654.9</v>
      </c>
      <c r="N54" s="13">
        <f t="shared" si="1"/>
        <v>-0.20970788141817659</v>
      </c>
    </row>
    <row r="55" spans="1:14" x14ac:dyDescent="0.3">
      <c r="A55" t="s">
        <v>11</v>
      </c>
      <c r="B55">
        <v>1950</v>
      </c>
      <c r="C55" s="12">
        <v>1950.9166666502651</v>
      </c>
      <c r="E55" s="15"/>
      <c r="F55" s="13"/>
      <c r="L55">
        <v>1966</v>
      </c>
      <c r="M55" s="12">
        <f t="shared" si="4"/>
        <v>704.6</v>
      </c>
      <c r="N55" s="13">
        <f t="shared" si="1"/>
        <v>-9.5931984117435976E-2</v>
      </c>
    </row>
    <row r="56" spans="1:14" x14ac:dyDescent="0.3">
      <c r="A56" t="s">
        <v>0</v>
      </c>
      <c r="B56">
        <v>1951</v>
      </c>
      <c r="C56" s="12">
        <v>1950.9999999836252</v>
      </c>
      <c r="E56" s="15"/>
      <c r="F56" s="13"/>
      <c r="L56">
        <v>1965</v>
      </c>
      <c r="M56" s="12">
        <f t="shared" si="4"/>
        <v>839.3</v>
      </c>
      <c r="N56" s="13">
        <f t="shared" si="1"/>
        <v>0.21243045786263923</v>
      </c>
    </row>
    <row r="57" spans="1:14" x14ac:dyDescent="0.3">
      <c r="A57" t="s">
        <v>1</v>
      </c>
      <c r="B57">
        <v>1951</v>
      </c>
      <c r="C57" s="12">
        <v>1951.0833333169855</v>
      </c>
      <c r="E57" s="15"/>
      <c r="F57" s="13"/>
      <c r="L57">
        <v>1964</v>
      </c>
      <c r="M57" s="12">
        <f t="shared" si="4"/>
        <v>993.80000000000007</v>
      </c>
      <c r="N57" s="13">
        <f t="shared" si="1"/>
        <v>0.56612011848566579</v>
      </c>
    </row>
    <row r="58" spans="1:14" x14ac:dyDescent="0.3">
      <c r="A58" t="s">
        <v>2</v>
      </c>
      <c r="B58">
        <v>1951</v>
      </c>
      <c r="C58" s="12">
        <v>1951.1666666503456</v>
      </c>
      <c r="E58" s="15"/>
      <c r="F58" s="13"/>
      <c r="L58">
        <v>1963</v>
      </c>
      <c r="M58" s="12">
        <f t="shared" si="4"/>
        <v>848.8</v>
      </c>
      <c r="N58" s="13">
        <f t="shared" si="1"/>
        <v>0.2341783657973884</v>
      </c>
    </row>
    <row r="59" spans="1:14" x14ac:dyDescent="0.3">
      <c r="A59" t="s">
        <v>3</v>
      </c>
      <c r="B59">
        <v>1951</v>
      </c>
      <c r="C59" s="12">
        <v>1951.2499999837059</v>
      </c>
      <c r="E59" s="15"/>
      <c r="F59" s="13"/>
      <c r="L59">
        <v>1962</v>
      </c>
      <c r="M59" s="12"/>
      <c r="N59" s="13"/>
    </row>
    <row r="60" spans="1:14" x14ac:dyDescent="0.3">
      <c r="A60" t="s">
        <v>4</v>
      </c>
      <c r="B60">
        <v>1951</v>
      </c>
      <c r="C60" s="12">
        <v>1951.333333317066</v>
      </c>
      <c r="E60" s="15"/>
      <c r="F60" s="13"/>
      <c r="L60">
        <v>1961</v>
      </c>
      <c r="M60" s="12">
        <f t="shared" si="4"/>
        <v>599.70000000000005</v>
      </c>
      <c r="N60" s="13">
        <f t="shared" si="1"/>
        <v>-0.33607467278640329</v>
      </c>
    </row>
    <row r="61" spans="1:14" x14ac:dyDescent="0.3">
      <c r="A61" t="s">
        <v>5</v>
      </c>
      <c r="B61">
        <v>1951</v>
      </c>
      <c r="C61" s="12">
        <v>1951.4166666504264</v>
      </c>
      <c r="E61" s="15"/>
      <c r="F61" s="13"/>
      <c r="L61">
        <v>1960</v>
      </c>
      <c r="M61" s="12">
        <f t="shared" si="4"/>
        <v>976.4</v>
      </c>
      <c r="N61" s="13">
        <f t="shared" si="1"/>
        <v>0.52628710816307234</v>
      </c>
    </row>
    <row r="62" spans="1:14" x14ac:dyDescent="0.3">
      <c r="A62" t="s">
        <v>6</v>
      </c>
      <c r="B62">
        <v>1951</v>
      </c>
      <c r="C62" s="12">
        <v>1951.4999999837864</v>
      </c>
      <c r="E62" s="15"/>
      <c r="F62" s="13"/>
      <c r="L62">
        <v>1959</v>
      </c>
      <c r="M62" s="12">
        <f t="shared" si="4"/>
        <v>102.5</v>
      </c>
      <c r="N62" s="13">
        <f t="shared" si="1"/>
        <v>-1.4742914964871716</v>
      </c>
    </row>
    <row r="63" spans="1:14" x14ac:dyDescent="0.3">
      <c r="A63" t="s">
        <v>7</v>
      </c>
      <c r="B63">
        <v>1951</v>
      </c>
      <c r="C63" s="12">
        <v>1951.5833333171468</v>
      </c>
      <c r="E63" s="15"/>
      <c r="F63" s="13"/>
      <c r="L63">
        <v>1958</v>
      </c>
      <c r="M63" s="12">
        <f t="shared" si="4"/>
        <v>495</v>
      </c>
      <c r="N63" s="13">
        <f t="shared" si="1"/>
        <v>-0.5757595107620076</v>
      </c>
    </row>
    <row r="64" spans="1:14" x14ac:dyDescent="0.3">
      <c r="A64" t="s">
        <v>8</v>
      </c>
      <c r="B64">
        <v>1951</v>
      </c>
      <c r="C64" s="12">
        <v>1951.6666666505068</v>
      </c>
      <c r="E64" s="15"/>
      <c r="F64" s="13"/>
      <c r="L64">
        <v>1957</v>
      </c>
      <c r="M64" s="12">
        <f t="shared" si="4"/>
        <v>226.59999999999997</v>
      </c>
      <c r="N64" s="13">
        <f t="shared" si="1"/>
        <v>-1.1901951412553426</v>
      </c>
    </row>
    <row r="65" spans="1:14" x14ac:dyDescent="0.3">
      <c r="A65" t="s">
        <v>9</v>
      </c>
      <c r="B65">
        <v>1951</v>
      </c>
      <c r="C65" s="12">
        <v>1951.7499999838672</v>
      </c>
      <c r="E65" s="15"/>
      <c r="F65" s="13"/>
      <c r="L65">
        <v>1956</v>
      </c>
      <c r="M65" s="12">
        <f t="shared" si="4"/>
        <v>449</v>
      </c>
      <c r="N65" s="13">
        <f t="shared" si="1"/>
        <v>-0.68106517023553004</v>
      </c>
    </row>
    <row r="66" spans="1:14" x14ac:dyDescent="0.3">
      <c r="A66" t="s">
        <v>10</v>
      </c>
      <c r="B66">
        <v>1951</v>
      </c>
      <c r="C66" s="12">
        <v>1951.8333333172272</v>
      </c>
      <c r="E66" s="15"/>
      <c r="F66" s="13"/>
      <c r="L66">
        <v>1955</v>
      </c>
      <c r="M66" s="12">
        <f t="shared" si="4"/>
        <v>636.90000000000009</v>
      </c>
      <c r="N66" s="13">
        <f t="shared" si="1"/>
        <v>-0.25091444382085898</v>
      </c>
    </row>
    <row r="67" spans="1:14" x14ac:dyDescent="0.3">
      <c r="A67" t="s">
        <v>11</v>
      </c>
      <c r="B67">
        <v>1951</v>
      </c>
      <c r="C67" s="12">
        <v>1951.9166666505876</v>
      </c>
      <c r="E67" s="15"/>
      <c r="F67" s="13"/>
      <c r="L67">
        <v>1954</v>
      </c>
      <c r="M67" s="12">
        <f t="shared" si="4"/>
        <v>1107.4000000000001</v>
      </c>
      <c r="N67" s="13">
        <f t="shared" si="1"/>
        <v>0.82617931231592978</v>
      </c>
    </row>
    <row r="68" spans="1:14" x14ac:dyDescent="0.3">
      <c r="A68" t="s">
        <v>0</v>
      </c>
      <c r="B68">
        <v>1952</v>
      </c>
      <c r="C68" s="12">
        <v>1951.9999999839476</v>
      </c>
      <c r="E68" s="15"/>
      <c r="F68" s="13"/>
      <c r="L68">
        <v>1953</v>
      </c>
      <c r="M68" s="12">
        <f t="shared" si="4"/>
        <v>226.60000000000002</v>
      </c>
      <c r="N68" s="13">
        <f t="shared" si="1"/>
        <v>-1.1901951412553426</v>
      </c>
    </row>
    <row r="69" spans="1:14" x14ac:dyDescent="0.3">
      <c r="A69" t="s">
        <v>1</v>
      </c>
      <c r="B69">
        <v>1952</v>
      </c>
      <c r="C69" s="12">
        <v>1952.083333317308</v>
      </c>
      <c r="E69" s="15"/>
      <c r="F69" s="13"/>
      <c r="L69">
        <v>1952</v>
      </c>
      <c r="M69" s="12"/>
      <c r="N69" s="13"/>
    </row>
    <row r="70" spans="1:14" x14ac:dyDescent="0.3">
      <c r="A70" t="s">
        <v>2</v>
      </c>
      <c r="B70">
        <v>1952</v>
      </c>
      <c r="C70" s="12">
        <v>1952.166666650668</v>
      </c>
      <c r="E70" s="15"/>
      <c r="F70" s="13"/>
      <c r="L70">
        <v>1951</v>
      </c>
      <c r="M70" s="12"/>
      <c r="N70" s="13"/>
    </row>
    <row r="71" spans="1:14" x14ac:dyDescent="0.3">
      <c r="A71" t="s">
        <v>3</v>
      </c>
      <c r="B71">
        <v>1952</v>
      </c>
      <c r="C71" s="12">
        <v>1952.2499999840284</v>
      </c>
      <c r="E71" s="15"/>
      <c r="F71" s="13"/>
      <c r="L71">
        <v>1950</v>
      </c>
      <c r="M71" s="12"/>
      <c r="N71" s="13"/>
    </row>
    <row r="72" spans="1:14" x14ac:dyDescent="0.3">
      <c r="A72" t="s">
        <v>4</v>
      </c>
      <c r="B72">
        <v>1952</v>
      </c>
      <c r="C72" s="12">
        <v>1952.3333333173885</v>
      </c>
      <c r="E72" s="15"/>
      <c r="F72" s="13"/>
      <c r="L72">
        <v>1949</v>
      </c>
      <c r="M72" s="12"/>
      <c r="N72" s="13"/>
    </row>
    <row r="73" spans="1:14" x14ac:dyDescent="0.3">
      <c r="A73" t="s">
        <v>5</v>
      </c>
      <c r="B73">
        <v>1952</v>
      </c>
      <c r="C73" s="12">
        <v>1952.4166666507488</v>
      </c>
      <c r="E73" s="15"/>
      <c r="F73" s="13"/>
      <c r="L73">
        <v>1948</v>
      </c>
      <c r="M73" s="12">
        <f t="shared" ref="M73:M74" si="5">SUMIF(B$8:B$811,L73,D$8:D$811)</f>
        <v>100.10000000000001</v>
      </c>
      <c r="N73" s="13">
        <f t="shared" ref="N73:N74" si="6">STANDARDIZE(M73,M$5,M$6)</f>
        <v>-1.4797857048075291</v>
      </c>
    </row>
    <row r="74" spans="1:14" x14ac:dyDescent="0.3">
      <c r="A74" t="s">
        <v>6</v>
      </c>
      <c r="B74">
        <v>1952</v>
      </c>
      <c r="C74" s="12">
        <v>1952.4999999841089</v>
      </c>
      <c r="E74" s="15"/>
      <c r="F74" s="13"/>
      <c r="L74">
        <v>1947</v>
      </c>
      <c r="M74" s="12">
        <f t="shared" si="5"/>
        <v>268.2</v>
      </c>
      <c r="N74" s="13">
        <f t="shared" si="6"/>
        <v>-1.0949621970358094</v>
      </c>
    </row>
    <row r="75" spans="1:14" x14ac:dyDescent="0.3">
      <c r="A75" t="s">
        <v>7</v>
      </c>
      <c r="B75">
        <v>1952</v>
      </c>
      <c r="C75" s="12">
        <v>1952.5833333174692</v>
      </c>
      <c r="E75" s="15"/>
      <c r="F75" s="13"/>
      <c r="L75">
        <v>1946</v>
      </c>
      <c r="M75" s="12"/>
      <c r="N75" s="13"/>
    </row>
    <row r="76" spans="1:14" x14ac:dyDescent="0.3">
      <c r="A76" t="s">
        <v>8</v>
      </c>
      <c r="B76">
        <v>1952</v>
      </c>
      <c r="C76" s="12">
        <v>1952.6666666508293</v>
      </c>
      <c r="E76" s="15"/>
      <c r="F76" s="13"/>
      <c r="L76">
        <v>1945</v>
      </c>
      <c r="M76" s="12"/>
      <c r="N76" s="13"/>
    </row>
    <row r="77" spans="1:14" x14ac:dyDescent="0.3">
      <c r="A77" t="s">
        <v>9</v>
      </c>
      <c r="B77">
        <v>1952</v>
      </c>
      <c r="C77" s="12">
        <v>1952.7499999841896</v>
      </c>
      <c r="E77" s="15"/>
      <c r="F77" s="13"/>
    </row>
    <row r="78" spans="1:14" x14ac:dyDescent="0.3">
      <c r="A78" t="s">
        <v>10</v>
      </c>
      <c r="B78">
        <v>1952</v>
      </c>
      <c r="C78" s="12">
        <v>1952.8333333175497</v>
      </c>
      <c r="E78" s="15"/>
      <c r="F78" s="13"/>
    </row>
    <row r="79" spans="1:14" x14ac:dyDescent="0.3">
      <c r="A79" t="s">
        <v>11</v>
      </c>
      <c r="B79">
        <v>1952</v>
      </c>
      <c r="C79" s="12">
        <v>1952.91666665091</v>
      </c>
      <c r="E79" s="15"/>
      <c r="F79" s="13"/>
    </row>
    <row r="80" spans="1:14" x14ac:dyDescent="0.3">
      <c r="A80" t="s">
        <v>0</v>
      </c>
      <c r="B80">
        <v>1953</v>
      </c>
      <c r="C80" s="12">
        <v>1952.9999999842701</v>
      </c>
      <c r="E80" s="15"/>
      <c r="F80" s="13"/>
    </row>
    <row r="81" spans="1:6" x14ac:dyDescent="0.3">
      <c r="A81" t="s">
        <v>1</v>
      </c>
      <c r="B81">
        <v>1953</v>
      </c>
      <c r="C81" s="12">
        <v>1953.0833333176299</v>
      </c>
      <c r="E81" s="15"/>
      <c r="F81" s="13"/>
    </row>
    <row r="82" spans="1:6" x14ac:dyDescent="0.3">
      <c r="A82" t="s">
        <v>2</v>
      </c>
      <c r="B82">
        <v>1953</v>
      </c>
      <c r="C82" s="12">
        <v>1953.16666665099</v>
      </c>
      <c r="E82" s="15"/>
      <c r="F82" s="13"/>
    </row>
    <row r="83" spans="1:6" x14ac:dyDescent="0.3">
      <c r="A83" t="s">
        <v>3</v>
      </c>
      <c r="B83">
        <v>1953</v>
      </c>
      <c r="C83" s="12">
        <v>1953.2499999843501</v>
      </c>
      <c r="E83" s="15"/>
      <c r="F83" s="13"/>
    </row>
    <row r="84" spans="1:6" x14ac:dyDescent="0.3">
      <c r="A84" t="s">
        <v>4</v>
      </c>
      <c r="B84">
        <v>1953</v>
      </c>
      <c r="C84" s="12">
        <v>1953.33333331771</v>
      </c>
      <c r="E84" s="15"/>
      <c r="F84" s="13"/>
    </row>
    <row r="85" spans="1:6" x14ac:dyDescent="0.3">
      <c r="A85" t="s">
        <v>5</v>
      </c>
      <c r="B85">
        <v>1953</v>
      </c>
      <c r="C85" s="12">
        <v>1953.41666665107</v>
      </c>
      <c r="E85" s="15"/>
      <c r="F85" s="13"/>
    </row>
    <row r="86" spans="1:6" x14ac:dyDescent="0.3">
      <c r="A86" t="s">
        <v>6</v>
      </c>
      <c r="B86">
        <v>1953</v>
      </c>
      <c r="C86" s="12">
        <v>1953.4999999844299</v>
      </c>
      <c r="E86" s="15"/>
      <c r="F86" s="13"/>
    </row>
    <row r="87" spans="1:6" x14ac:dyDescent="0.3">
      <c r="A87" t="s">
        <v>7</v>
      </c>
      <c r="B87">
        <v>1953</v>
      </c>
      <c r="C87" s="12">
        <v>1953.58333331779</v>
      </c>
      <c r="D87">
        <v>8.3000000000000007</v>
      </c>
      <c r="E87" s="15">
        <f t="shared" ref="E87:E97" si="7">STANDARDIZE(D87,F$4,F$5)</f>
        <v>-0.74862090687454108</v>
      </c>
      <c r="F87" s="13">
        <f>STANDARDIZE(D87,I$15,J$15)</f>
        <v>-1.1618796713459583</v>
      </c>
    </row>
    <row r="88" spans="1:6" x14ac:dyDescent="0.3">
      <c r="A88" t="s">
        <v>8</v>
      </c>
      <c r="B88">
        <v>1953</v>
      </c>
      <c r="C88" s="12">
        <v>1953.6666666511501</v>
      </c>
      <c r="D88">
        <v>52.9</v>
      </c>
      <c r="E88" s="15">
        <f t="shared" si="7"/>
        <v>-0.22180925187508249</v>
      </c>
      <c r="F88" s="13">
        <f>STANDARDIZE(D88,I$16,J$16)</f>
        <v>-0.87813000553818266</v>
      </c>
    </row>
    <row r="89" spans="1:6" x14ac:dyDescent="0.3">
      <c r="A89" t="s">
        <v>9</v>
      </c>
      <c r="B89">
        <v>1953</v>
      </c>
      <c r="C89" s="12">
        <v>1953.7499999845099</v>
      </c>
      <c r="D89">
        <v>104.4</v>
      </c>
      <c r="E89" s="15">
        <f t="shared" si="7"/>
        <v>0.38650465468258838</v>
      </c>
      <c r="F89" s="13">
        <f>STANDARDIZE(D89,I$17,J$17)</f>
        <v>-0.63832942649352742</v>
      </c>
    </row>
    <row r="90" spans="1:6" x14ac:dyDescent="0.3">
      <c r="A90" t="s">
        <v>10</v>
      </c>
      <c r="B90">
        <v>1953</v>
      </c>
      <c r="C90" s="12">
        <v>1953.83333331787</v>
      </c>
      <c r="D90">
        <v>60.7</v>
      </c>
      <c r="E90" s="15">
        <f t="shared" si="7"/>
        <v>-0.12967627185275563</v>
      </c>
      <c r="F90" s="13">
        <f>STANDARDIZE(D90,I$18,J$18)</f>
        <v>-0.56439128448193954</v>
      </c>
    </row>
    <row r="91" spans="1:6" x14ac:dyDescent="0.3">
      <c r="A91" t="s">
        <v>11</v>
      </c>
      <c r="B91">
        <v>1953</v>
      </c>
      <c r="C91" s="12">
        <v>1953.9166666512299</v>
      </c>
      <c r="D91">
        <v>0.3</v>
      </c>
      <c r="E91" s="15">
        <f t="shared" si="7"/>
        <v>-0.84311627100000452</v>
      </c>
      <c r="F91" s="13">
        <f>STANDARDIZE(D91,I$19,J$19)</f>
        <v>-0.65686420696931236</v>
      </c>
    </row>
    <row r="92" spans="1:6" x14ac:dyDescent="0.3">
      <c r="A92" t="s">
        <v>0</v>
      </c>
      <c r="B92">
        <v>1954</v>
      </c>
      <c r="C92" s="12">
        <v>1953.99999998459</v>
      </c>
      <c r="D92">
        <v>0</v>
      </c>
      <c r="E92" s="15">
        <f t="shared" si="7"/>
        <v>-0.84665984715470932</v>
      </c>
      <c r="F92" s="13">
        <f>STANDARDIZE(D92,I$8,J$8)</f>
        <v>-0.28131844469760109</v>
      </c>
    </row>
    <row r="93" spans="1:6" x14ac:dyDescent="0.3">
      <c r="A93" t="s">
        <v>1</v>
      </c>
      <c r="B93">
        <v>1954</v>
      </c>
      <c r="C93" s="12">
        <v>1954.0833333179501</v>
      </c>
      <c r="D93">
        <v>0</v>
      </c>
      <c r="E93" s="15">
        <f t="shared" si="7"/>
        <v>-0.84665984715470932</v>
      </c>
      <c r="F93" s="13">
        <f>STANDARDIZE(D93,I$9,J$9)</f>
        <v>-0.21027614347857898</v>
      </c>
    </row>
    <row r="94" spans="1:6" x14ac:dyDescent="0.3">
      <c r="A94" t="s">
        <v>2</v>
      </c>
      <c r="B94">
        <v>1954</v>
      </c>
      <c r="C94" s="12">
        <v>1954.1666666513099</v>
      </c>
      <c r="D94">
        <v>0</v>
      </c>
      <c r="E94" s="15">
        <f t="shared" si="7"/>
        <v>-0.84665984715470932</v>
      </c>
      <c r="F94" s="13">
        <f>STANDARDIZE(D94,I$10,J$10)</f>
        <v>-0.50850073286852082</v>
      </c>
    </row>
    <row r="95" spans="1:6" x14ac:dyDescent="0.3">
      <c r="A95" t="s">
        <v>3</v>
      </c>
      <c r="B95">
        <v>1954</v>
      </c>
      <c r="C95" s="12">
        <v>1954.24999998467</v>
      </c>
      <c r="D95">
        <v>1.5</v>
      </c>
      <c r="E95" s="15">
        <f t="shared" si="7"/>
        <v>-0.828941966381185</v>
      </c>
      <c r="F95" s="13">
        <f>STANDARDIZE(D95,I$11,J$11)</f>
        <v>-0.99299418476204182</v>
      </c>
    </row>
    <row r="96" spans="1:6" x14ac:dyDescent="0.3">
      <c r="A96" t="s">
        <v>4</v>
      </c>
      <c r="B96">
        <v>1954</v>
      </c>
      <c r="C96" s="12">
        <v>1954.3333333180301</v>
      </c>
      <c r="D96">
        <v>262.2</v>
      </c>
      <c r="E96" s="15">
        <f t="shared" si="7"/>
        <v>2.2504257120573543</v>
      </c>
      <c r="F96" s="13">
        <f>STANDARDIZE(D96,I$12,J$12)</f>
        <v>2.6443482752151466</v>
      </c>
    </row>
    <row r="97" spans="1:6" x14ac:dyDescent="0.3">
      <c r="A97" t="s">
        <v>5</v>
      </c>
      <c r="B97">
        <v>1954</v>
      </c>
      <c r="C97" s="12">
        <v>1954.41666665139</v>
      </c>
      <c r="D97">
        <v>170</v>
      </c>
      <c r="E97" s="15">
        <f t="shared" si="7"/>
        <v>1.1613666405113883</v>
      </c>
      <c r="F97" s="13">
        <f>STANDARDIZE(D97,I$13,J$13)</f>
        <v>1.2222826041657537</v>
      </c>
    </row>
    <row r="98" spans="1:6" x14ac:dyDescent="0.3">
      <c r="A98" t="s">
        <v>6</v>
      </c>
      <c r="B98">
        <v>1954</v>
      </c>
      <c r="C98" s="12">
        <v>1954.49999998475</v>
      </c>
      <c r="E98" s="15"/>
      <c r="F98" s="13"/>
    </row>
    <row r="99" spans="1:6" x14ac:dyDescent="0.3">
      <c r="A99" t="s">
        <v>7</v>
      </c>
      <c r="B99">
        <v>1954</v>
      </c>
      <c r="C99" s="12">
        <v>1954.5833333181099</v>
      </c>
      <c r="D99">
        <v>61.9</v>
      </c>
      <c r="E99" s="15">
        <f>STANDARDIZE(D99,F$4,F$5)</f>
        <v>-0.11550196723393615</v>
      </c>
      <c r="F99" s="13">
        <f>STANDARDIZE(D99,I$15,J$15)</f>
        <v>-0.48349942056265077</v>
      </c>
    </row>
    <row r="100" spans="1:6" x14ac:dyDescent="0.3">
      <c r="A100" t="s">
        <v>8</v>
      </c>
      <c r="B100">
        <v>1954</v>
      </c>
      <c r="C100" s="12">
        <v>1954.66666665147</v>
      </c>
      <c r="D100">
        <v>82.4</v>
      </c>
      <c r="E100" s="15">
        <f>STANDARDIZE(D100,F$4,F$5)</f>
        <v>0.12664240333756396</v>
      </c>
      <c r="F100" s="13">
        <f>STANDARDIZE(D100,I$16,J$16)</f>
        <v>-0.46730288558991345</v>
      </c>
    </row>
    <row r="101" spans="1:6" x14ac:dyDescent="0.3">
      <c r="A101" t="s">
        <v>9</v>
      </c>
      <c r="B101">
        <v>1954</v>
      </c>
      <c r="C101" s="12">
        <v>1954.7499999848301</v>
      </c>
      <c r="D101">
        <v>361.4</v>
      </c>
      <c r="E101" s="15">
        <f>STANDARDIZE(D101,F$4,F$5)</f>
        <v>3.4221682272131004</v>
      </c>
      <c r="F101" s="13">
        <f>STANDARDIZE(D101,I$17,J$17)</f>
        <v>1.6227057396313247</v>
      </c>
    </row>
    <row r="102" spans="1:6" x14ac:dyDescent="0.3">
      <c r="A102" t="s">
        <v>10</v>
      </c>
      <c r="B102">
        <v>1954</v>
      </c>
      <c r="C102" s="12">
        <v>1954.8333333181899</v>
      </c>
      <c r="D102">
        <v>168</v>
      </c>
      <c r="E102" s="15">
        <f>STANDARDIZE(D102,F$4,F$5)</f>
        <v>1.1377427994800224</v>
      </c>
      <c r="F102" s="13">
        <f>STANDARDIZE(D102,I$18,J$18)</f>
        <v>0.39268789094140533</v>
      </c>
    </row>
    <row r="103" spans="1:6" x14ac:dyDescent="0.3">
      <c r="A103" t="s">
        <v>11</v>
      </c>
      <c r="B103">
        <v>1954</v>
      </c>
      <c r="C103" s="12">
        <v>1954.91666665155</v>
      </c>
      <c r="E103" s="15"/>
      <c r="F103" s="13"/>
    </row>
    <row r="104" spans="1:6" x14ac:dyDescent="0.3">
      <c r="A104" t="s">
        <v>0</v>
      </c>
      <c r="B104">
        <v>1955</v>
      </c>
      <c r="C104" s="12">
        <v>1954.9999999849099</v>
      </c>
      <c r="D104">
        <v>0</v>
      </c>
      <c r="E104" s="15">
        <f t="shared" ref="E104:E139" si="8">STANDARDIZE(D104,F$4,F$5)</f>
        <v>-0.84665984715470932</v>
      </c>
      <c r="F104" s="13">
        <f>STANDARDIZE(D104,I$8,J$8)</f>
        <v>-0.28131844469760109</v>
      </c>
    </row>
    <row r="105" spans="1:6" x14ac:dyDescent="0.3">
      <c r="A105" t="s">
        <v>1</v>
      </c>
      <c r="B105">
        <v>1955</v>
      </c>
      <c r="C105" s="12">
        <v>1955.08333331827</v>
      </c>
      <c r="D105">
        <v>0</v>
      </c>
      <c r="E105" s="15">
        <f t="shared" si="8"/>
        <v>-0.84665984715470932</v>
      </c>
      <c r="F105" s="13">
        <f>STANDARDIZE(D105,I$9,J$9)</f>
        <v>-0.21027614347857898</v>
      </c>
    </row>
    <row r="106" spans="1:6" x14ac:dyDescent="0.3">
      <c r="A106" t="s">
        <v>2</v>
      </c>
      <c r="B106">
        <v>1955</v>
      </c>
      <c r="C106" s="12">
        <v>1955.1666666516301</v>
      </c>
      <c r="D106">
        <v>0.6</v>
      </c>
      <c r="E106" s="15">
        <f t="shared" si="8"/>
        <v>-0.83957269484529973</v>
      </c>
      <c r="F106" s="13">
        <f>STANDARDIZE(D106,I$10,J$10)</f>
        <v>-0.36336838839230451</v>
      </c>
    </row>
    <row r="107" spans="1:6" x14ac:dyDescent="0.3">
      <c r="A107" t="s">
        <v>3</v>
      </c>
      <c r="B107">
        <v>1955</v>
      </c>
      <c r="C107" s="12">
        <v>1955.2499999849899</v>
      </c>
      <c r="D107">
        <v>0</v>
      </c>
      <c r="E107" s="15">
        <f t="shared" si="8"/>
        <v>-0.84665984715470932</v>
      </c>
      <c r="F107" s="13">
        <f>STANDARDIZE(D107,I$11,J$11)</f>
        <v>-1.0636406936051388</v>
      </c>
    </row>
    <row r="108" spans="1:6" x14ac:dyDescent="0.3">
      <c r="A108" t="s">
        <v>4</v>
      </c>
      <c r="B108">
        <v>1955</v>
      </c>
      <c r="C108" s="12">
        <v>1955.33333331835</v>
      </c>
      <c r="D108">
        <v>33.5</v>
      </c>
      <c r="E108" s="15">
        <f t="shared" si="8"/>
        <v>-0.45096050987933128</v>
      </c>
      <c r="F108" s="13">
        <f>STANDARDIZE(D108,I$12,J$12)</f>
        <v>-0.78661834595830993</v>
      </c>
    </row>
    <row r="109" spans="1:6" x14ac:dyDescent="0.3">
      <c r="A109" t="s">
        <v>5</v>
      </c>
      <c r="B109">
        <v>1955</v>
      </c>
      <c r="C109" s="12">
        <v>1955.4166666517101</v>
      </c>
      <c r="D109">
        <v>71.900000000000006</v>
      </c>
      <c r="E109" s="15">
        <f t="shared" si="8"/>
        <v>2.6172379228932129E-3</v>
      </c>
      <c r="F109" s="13">
        <f>STANDARDIZE(D109,I$13,J$13)</f>
        <v>-0.31189420924056044</v>
      </c>
    </row>
    <row r="110" spans="1:6" x14ac:dyDescent="0.3">
      <c r="A110" t="s">
        <v>6</v>
      </c>
      <c r="B110">
        <v>1955</v>
      </c>
      <c r="C110" s="12">
        <v>1955.49999998507</v>
      </c>
      <c r="D110">
        <v>54.8</v>
      </c>
      <c r="E110" s="15">
        <f t="shared" si="8"/>
        <v>-0.19936660289528496</v>
      </c>
      <c r="F110" s="13">
        <f>STANDARDIZE(D110,I$14,J$14)</f>
        <v>-0.46509178135323431</v>
      </c>
    </row>
    <row r="111" spans="1:6" x14ac:dyDescent="0.3">
      <c r="A111" t="s">
        <v>7</v>
      </c>
      <c r="B111">
        <v>1955</v>
      </c>
      <c r="C111" s="12">
        <v>1955.58333331843</v>
      </c>
      <c r="D111">
        <v>20.399999999999999</v>
      </c>
      <c r="E111" s="15">
        <f t="shared" si="8"/>
        <v>-0.60569666863477767</v>
      </c>
      <c r="F111" s="13">
        <f>STANDARDIZE(D111,I$15,J$15)</f>
        <v>-1.008737861001219</v>
      </c>
    </row>
    <row r="112" spans="1:6" x14ac:dyDescent="0.3">
      <c r="A112" t="s">
        <v>8</v>
      </c>
      <c r="B112">
        <v>1955</v>
      </c>
      <c r="C112" s="12">
        <v>1955.6666666517899</v>
      </c>
      <c r="D112">
        <v>144</v>
      </c>
      <c r="E112" s="15">
        <f t="shared" si="8"/>
        <v>0.85425670710363222</v>
      </c>
      <c r="F112" s="13">
        <f>STANDARDIZE(D112,I$16,J$16)</f>
        <v>0.39055984623426865</v>
      </c>
    </row>
    <row r="113" spans="1:6" x14ac:dyDescent="0.3">
      <c r="A113" t="s">
        <v>9</v>
      </c>
      <c r="B113">
        <v>1955</v>
      </c>
      <c r="C113" s="12">
        <v>1955.74999998515</v>
      </c>
      <c r="D113">
        <v>271.60000000000002</v>
      </c>
      <c r="E113" s="15">
        <f t="shared" si="8"/>
        <v>2.3614577649047743</v>
      </c>
      <c r="F113" s="13">
        <f>STANDARDIZE(D113,I$17,J$17)</f>
        <v>0.83266310181804981</v>
      </c>
    </row>
    <row r="114" spans="1:6" x14ac:dyDescent="0.3">
      <c r="A114" t="s">
        <v>10</v>
      </c>
      <c r="B114">
        <v>1955</v>
      </c>
      <c r="C114" s="12">
        <v>1955.8333333185101</v>
      </c>
      <c r="D114">
        <v>40.1</v>
      </c>
      <c r="E114" s="15">
        <f t="shared" si="8"/>
        <v>-0.37300183447582397</v>
      </c>
      <c r="F114" s="13">
        <f>STANDARDIZE(D114,I$18,J$18)</f>
        <v>-0.74813621471233016</v>
      </c>
    </row>
    <row r="115" spans="1:6" x14ac:dyDescent="0.3">
      <c r="A115" t="s">
        <v>11</v>
      </c>
      <c r="B115">
        <v>1955</v>
      </c>
      <c r="C115" s="12">
        <v>1955.9166666518699</v>
      </c>
      <c r="D115">
        <v>0</v>
      </c>
      <c r="E115" s="15">
        <f t="shared" si="8"/>
        <v>-0.84665984715470932</v>
      </c>
      <c r="F115" s="13">
        <f>STANDARDIZE(D115,I$19,J$19)</f>
        <v>-0.66274277884495481</v>
      </c>
    </row>
    <row r="116" spans="1:6" x14ac:dyDescent="0.3">
      <c r="A116" t="s">
        <v>0</v>
      </c>
      <c r="B116">
        <v>1956</v>
      </c>
      <c r="C116" s="12">
        <v>1955.99999998523</v>
      </c>
      <c r="D116">
        <v>0</v>
      </c>
      <c r="E116" s="15">
        <f t="shared" si="8"/>
        <v>-0.84665984715470932</v>
      </c>
      <c r="F116" s="13">
        <f>STANDARDIZE(D116,I$8,J$8)</f>
        <v>-0.28131844469760109</v>
      </c>
    </row>
    <row r="117" spans="1:6" x14ac:dyDescent="0.3">
      <c r="A117" t="s">
        <v>1</v>
      </c>
      <c r="B117">
        <v>1956</v>
      </c>
      <c r="C117" s="12">
        <v>1956.0833333185899</v>
      </c>
      <c r="D117">
        <v>0</v>
      </c>
      <c r="E117" s="15">
        <f t="shared" si="8"/>
        <v>-0.84665984715470932</v>
      </c>
      <c r="F117" s="13">
        <f>STANDARDIZE(D117,I$9,J$9)</f>
        <v>-0.21027614347857898</v>
      </c>
    </row>
    <row r="118" spans="1:6" x14ac:dyDescent="0.3">
      <c r="A118" t="s">
        <v>2</v>
      </c>
      <c r="B118">
        <v>1956</v>
      </c>
      <c r="C118" s="12">
        <v>1956.16666665195</v>
      </c>
      <c r="D118">
        <v>1.3</v>
      </c>
      <c r="E118" s="15">
        <f t="shared" si="8"/>
        <v>-0.83130435048432161</v>
      </c>
      <c r="F118" s="13">
        <f>STANDARDIZE(D118,I$10,J$10)</f>
        <v>-0.19404731983671883</v>
      </c>
    </row>
    <row r="119" spans="1:6" x14ac:dyDescent="0.3">
      <c r="A119" t="s">
        <v>3</v>
      </c>
      <c r="B119">
        <v>1956</v>
      </c>
      <c r="C119" s="12">
        <v>1956.2499999853101</v>
      </c>
      <c r="D119">
        <v>7.8</v>
      </c>
      <c r="E119" s="15">
        <f t="shared" si="8"/>
        <v>-0.75452686713238259</v>
      </c>
      <c r="F119" s="13">
        <f>STANDARDIZE(D119,I$11,J$11)</f>
        <v>-0.69627884762103465</v>
      </c>
    </row>
    <row r="120" spans="1:6" x14ac:dyDescent="0.3">
      <c r="A120" t="s">
        <v>4</v>
      </c>
      <c r="B120">
        <v>1956</v>
      </c>
      <c r="C120" s="12">
        <v>1956.3333333186699</v>
      </c>
      <c r="D120">
        <v>26.5</v>
      </c>
      <c r="E120" s="15">
        <f t="shared" si="8"/>
        <v>-0.53364395348911176</v>
      </c>
      <c r="F120" s="13">
        <f>STANDARDIZE(D120,I$12,J$12)</f>
        <v>-0.89163262819798716</v>
      </c>
    </row>
    <row r="121" spans="1:6" x14ac:dyDescent="0.3">
      <c r="A121" t="s">
        <v>5</v>
      </c>
      <c r="B121">
        <v>1956</v>
      </c>
      <c r="C121" s="12">
        <v>1956.41666665203</v>
      </c>
      <c r="D121">
        <v>150.4</v>
      </c>
      <c r="E121" s="15">
        <f t="shared" si="8"/>
        <v>0.92985299840400304</v>
      </c>
      <c r="F121" s="13">
        <f>STANDARDIZE(D121,I$13,J$13)</f>
        <v>0.9157600196319744</v>
      </c>
    </row>
    <row r="122" spans="1:6" x14ac:dyDescent="0.3">
      <c r="A122" t="s">
        <v>6</v>
      </c>
      <c r="B122">
        <v>1956</v>
      </c>
      <c r="C122" s="12">
        <v>1956.4999999853901</v>
      </c>
      <c r="D122">
        <v>60.3</v>
      </c>
      <c r="E122" s="15">
        <f t="shared" si="8"/>
        <v>-0.13440104005902886</v>
      </c>
      <c r="F122" s="13">
        <f>STANDARDIZE(D122,I$14,J$14)</f>
        <v>-0.39697116596388321</v>
      </c>
    </row>
    <row r="123" spans="1:6" x14ac:dyDescent="0.3">
      <c r="A123" t="s">
        <v>7</v>
      </c>
      <c r="B123">
        <v>1956</v>
      </c>
      <c r="C123" s="12">
        <v>1956.58333331875</v>
      </c>
      <c r="D123">
        <v>28</v>
      </c>
      <c r="E123" s="15">
        <f t="shared" si="8"/>
        <v>-0.51592607271558744</v>
      </c>
      <c r="F123" s="13">
        <f>STANDARDIZE(D123,I$15,J$15)</f>
        <v>-0.91254961648716804</v>
      </c>
    </row>
    <row r="124" spans="1:6" x14ac:dyDescent="0.3">
      <c r="A124" t="s">
        <v>8</v>
      </c>
      <c r="B124">
        <v>1956</v>
      </c>
      <c r="C124" s="12">
        <v>1956.6666666521101</v>
      </c>
      <c r="D124">
        <v>89.6</v>
      </c>
      <c r="E124" s="15">
        <f t="shared" si="8"/>
        <v>0.2116882310504809</v>
      </c>
      <c r="F124" s="13">
        <f>STANDARDIZE(D124,I$16,J$16)</f>
        <v>-0.36703321563643782</v>
      </c>
    </row>
    <row r="125" spans="1:6" x14ac:dyDescent="0.3">
      <c r="A125" t="s">
        <v>9</v>
      </c>
      <c r="B125">
        <v>1956</v>
      </c>
      <c r="C125" s="12">
        <v>1956.7499999854699</v>
      </c>
      <c r="D125">
        <v>26.3</v>
      </c>
      <c r="E125" s="15">
        <f t="shared" si="8"/>
        <v>-0.53600633759224836</v>
      </c>
      <c r="F125" s="13">
        <f>STANDARDIZE(D125,I$17,J$17)</f>
        <v>-1.3254377785338034</v>
      </c>
    </row>
    <row r="126" spans="1:6" x14ac:dyDescent="0.3">
      <c r="A126" t="s">
        <v>10</v>
      </c>
      <c r="B126">
        <v>1956</v>
      </c>
      <c r="C126" s="12">
        <v>1956.83333331883</v>
      </c>
      <c r="D126">
        <v>58.8</v>
      </c>
      <c r="E126" s="15">
        <f t="shared" si="8"/>
        <v>-0.15211892083255324</v>
      </c>
      <c r="F126" s="13">
        <f>STANDARDIZE(D126,I$18,J$18)</f>
        <v>-0.58133863241581052</v>
      </c>
    </row>
    <row r="127" spans="1:6" x14ac:dyDescent="0.3">
      <c r="A127" t="s">
        <v>11</v>
      </c>
      <c r="B127">
        <v>1956</v>
      </c>
      <c r="C127" s="12">
        <v>1956.9166666521901</v>
      </c>
      <c r="D127">
        <v>0</v>
      </c>
      <c r="E127" s="15">
        <f t="shared" si="8"/>
        <v>-0.84665984715470932</v>
      </c>
      <c r="F127" s="13">
        <f>STANDARDIZE(D127,I$19,J$19)</f>
        <v>-0.66274277884495481</v>
      </c>
    </row>
    <row r="128" spans="1:6" x14ac:dyDescent="0.3">
      <c r="A128" t="s">
        <v>0</v>
      </c>
      <c r="B128">
        <v>1957</v>
      </c>
      <c r="C128" s="12">
        <v>1956.9999999855499</v>
      </c>
      <c r="D128">
        <v>0</v>
      </c>
      <c r="E128" s="15">
        <f t="shared" si="8"/>
        <v>-0.84665984715470932</v>
      </c>
      <c r="F128" s="13">
        <f>STANDARDIZE(D128,I$8,J$8)</f>
        <v>-0.28131844469760109</v>
      </c>
    </row>
    <row r="129" spans="1:6" x14ac:dyDescent="0.3">
      <c r="A129" t="s">
        <v>1</v>
      </c>
      <c r="B129">
        <v>1957</v>
      </c>
      <c r="C129" s="12">
        <v>1957.08333331891</v>
      </c>
      <c r="D129">
        <v>0</v>
      </c>
      <c r="E129" s="15">
        <f t="shared" si="8"/>
        <v>-0.84665984715470932</v>
      </c>
      <c r="F129" s="13">
        <f>STANDARDIZE(D129,I$9,J$9)</f>
        <v>-0.21027614347857898</v>
      </c>
    </row>
    <row r="130" spans="1:6" x14ac:dyDescent="0.3">
      <c r="A130" t="s">
        <v>2</v>
      </c>
      <c r="B130">
        <v>1957</v>
      </c>
      <c r="C130" s="12">
        <v>1957.1666666522699</v>
      </c>
      <c r="D130">
        <v>0</v>
      </c>
      <c r="E130" s="15">
        <f t="shared" si="8"/>
        <v>-0.84665984715470932</v>
      </c>
      <c r="F130" s="13">
        <f>STANDARDIZE(D130,I$10,J$10)</f>
        <v>-0.50850073286852082</v>
      </c>
    </row>
    <row r="131" spans="1:6" x14ac:dyDescent="0.3">
      <c r="A131" t="s">
        <v>3</v>
      </c>
      <c r="B131">
        <v>1957</v>
      </c>
      <c r="C131" s="12">
        <v>1957.24999998563</v>
      </c>
      <c r="D131">
        <v>0.9</v>
      </c>
      <c r="E131" s="15">
        <f t="shared" si="8"/>
        <v>-0.83602911869059471</v>
      </c>
      <c r="F131" s="13">
        <f>STANDARDIZE(D131,I$11,J$11)</f>
        <v>-1.0212527882992808</v>
      </c>
    </row>
    <row r="132" spans="1:6" x14ac:dyDescent="0.3">
      <c r="A132" t="s">
        <v>4</v>
      </c>
      <c r="B132">
        <v>1957</v>
      </c>
      <c r="C132" s="12">
        <v>1957.3333333189901</v>
      </c>
      <c r="D132">
        <v>16.899999999999999</v>
      </c>
      <c r="E132" s="15">
        <f t="shared" si="8"/>
        <v>-0.64703839043966793</v>
      </c>
      <c r="F132" s="13">
        <f>STANDARDIZE(D132,I$12,J$12)</f>
        <v>-1.0356522152695449</v>
      </c>
    </row>
    <row r="133" spans="1:6" x14ac:dyDescent="0.3">
      <c r="A133" t="s">
        <v>5</v>
      </c>
      <c r="B133">
        <v>1957</v>
      </c>
      <c r="C133" s="12">
        <v>1957.4166666523499</v>
      </c>
      <c r="D133">
        <v>16</v>
      </c>
      <c r="E133" s="15">
        <f t="shared" si="8"/>
        <v>-0.65766911890378255</v>
      </c>
      <c r="F133" s="13">
        <f>STANDARDIZE(D133,I$13,J$13)</f>
        <v>-1.1861091314567986</v>
      </c>
    </row>
    <row r="134" spans="1:6" x14ac:dyDescent="0.3">
      <c r="A134" t="s">
        <v>6</v>
      </c>
      <c r="B134">
        <v>1957</v>
      </c>
      <c r="C134" s="12">
        <v>1957.49999998571</v>
      </c>
      <c r="D134">
        <v>47.9</v>
      </c>
      <c r="E134" s="15">
        <f t="shared" si="8"/>
        <v>-0.28086885445349713</v>
      </c>
      <c r="F134" s="13">
        <f>STANDARDIZE(D134,I$14,J$14)</f>
        <v>-0.5505521897507839</v>
      </c>
    </row>
    <row r="135" spans="1:6" x14ac:dyDescent="0.3">
      <c r="A135" t="s">
        <v>7</v>
      </c>
      <c r="B135">
        <v>1957</v>
      </c>
      <c r="C135" s="12">
        <v>1957.5833333190701</v>
      </c>
      <c r="D135">
        <v>46</v>
      </c>
      <c r="E135" s="15">
        <f t="shared" si="8"/>
        <v>-0.30331150343329466</v>
      </c>
      <c r="F135" s="13">
        <f>STANDARDIZE(D135,I$15,J$15)</f>
        <v>-0.68473535316441547</v>
      </c>
    </row>
    <row r="136" spans="1:6" x14ac:dyDescent="0.3">
      <c r="A136" t="s">
        <v>8</v>
      </c>
      <c r="B136">
        <v>1957</v>
      </c>
      <c r="C136" s="12">
        <v>1957.66666665243</v>
      </c>
      <c r="D136">
        <v>17.7</v>
      </c>
      <c r="E136" s="15">
        <f t="shared" si="8"/>
        <v>-0.63758885402712151</v>
      </c>
      <c r="F136" s="13">
        <f>STANDARDIZE(D136,I$16,J$16)</f>
        <v>-1.3683372808662868</v>
      </c>
    </row>
    <row r="137" spans="1:6" x14ac:dyDescent="0.3">
      <c r="A137" t="s">
        <v>9</v>
      </c>
      <c r="B137">
        <v>1957</v>
      </c>
      <c r="C137" s="12">
        <v>1957.7499999857901</v>
      </c>
      <c r="D137">
        <v>47.9</v>
      </c>
      <c r="E137" s="15">
        <f t="shared" si="8"/>
        <v>-0.28086885445349713</v>
      </c>
      <c r="F137" s="13">
        <f>STANDARDIZE(D137,I$17,J$17)</f>
        <v>-1.135405250952882</v>
      </c>
    </row>
    <row r="138" spans="1:6" x14ac:dyDescent="0.3">
      <c r="A138" t="s">
        <v>10</v>
      </c>
      <c r="B138">
        <v>1957</v>
      </c>
      <c r="C138" s="12">
        <v>1957.8333333191499</v>
      </c>
      <c r="D138">
        <v>33.299999999999997</v>
      </c>
      <c r="E138" s="15">
        <f t="shared" si="8"/>
        <v>-0.45332289398246789</v>
      </c>
      <c r="F138" s="13">
        <f>STANDARDIZE(D138,I$18,J$18)</f>
        <v>-0.80878988100197358</v>
      </c>
    </row>
    <row r="139" spans="1:6" x14ac:dyDescent="0.3">
      <c r="A139" t="s">
        <v>11</v>
      </c>
      <c r="B139">
        <v>1957</v>
      </c>
      <c r="C139" s="12">
        <v>1957.91666665251</v>
      </c>
      <c r="D139">
        <v>0</v>
      </c>
      <c r="E139" s="15">
        <f t="shared" si="8"/>
        <v>-0.84665984715470932</v>
      </c>
      <c r="F139" s="13">
        <f>STANDARDIZE(D139,I$19,J$19)</f>
        <v>-0.66274277884495481</v>
      </c>
    </row>
    <row r="140" spans="1:6" x14ac:dyDescent="0.3">
      <c r="A140" t="s">
        <v>0</v>
      </c>
      <c r="B140">
        <v>1958</v>
      </c>
      <c r="C140" s="12">
        <v>1957.9999999858701</v>
      </c>
      <c r="E140" s="15"/>
      <c r="F140" s="13"/>
    </row>
    <row r="141" spans="1:6" x14ac:dyDescent="0.3">
      <c r="A141" t="s">
        <v>1</v>
      </c>
      <c r="B141">
        <v>1958</v>
      </c>
      <c r="C141" s="12">
        <v>1958.08333331923</v>
      </c>
      <c r="E141" s="15"/>
      <c r="F141" s="13"/>
    </row>
    <row r="142" spans="1:6" x14ac:dyDescent="0.3">
      <c r="A142" t="s">
        <v>2</v>
      </c>
      <c r="B142">
        <v>1958</v>
      </c>
      <c r="C142" s="12">
        <v>1958.16666665259</v>
      </c>
      <c r="E142" s="15"/>
      <c r="F142" s="13"/>
    </row>
    <row r="143" spans="1:6" x14ac:dyDescent="0.3">
      <c r="A143" t="s">
        <v>3</v>
      </c>
      <c r="B143">
        <v>1958</v>
      </c>
      <c r="C143" s="12">
        <v>1958.2499999859499</v>
      </c>
      <c r="E143" s="15"/>
      <c r="F143" s="13"/>
    </row>
    <row r="144" spans="1:6" x14ac:dyDescent="0.3">
      <c r="A144" t="s">
        <v>4</v>
      </c>
      <c r="B144">
        <v>1958</v>
      </c>
      <c r="C144" s="12">
        <v>1958.33333331931</v>
      </c>
      <c r="E144" s="15"/>
      <c r="F144" s="13"/>
    </row>
    <row r="145" spans="1:6" x14ac:dyDescent="0.3">
      <c r="A145" t="s">
        <v>5</v>
      </c>
      <c r="B145">
        <v>1958</v>
      </c>
      <c r="C145" s="12">
        <v>1958.4166666526701</v>
      </c>
      <c r="E145" s="15"/>
      <c r="F145" s="13"/>
    </row>
    <row r="146" spans="1:6" x14ac:dyDescent="0.3">
      <c r="A146" t="s">
        <v>6</v>
      </c>
      <c r="B146">
        <v>1958</v>
      </c>
      <c r="C146" s="12">
        <v>1958.4999999860299</v>
      </c>
      <c r="D146">
        <v>93.5</v>
      </c>
      <c r="E146" s="15">
        <f t="shared" ref="E146:E156" si="9">STANDARDIZE(D146,F$4,F$5)</f>
        <v>0.25775472106164438</v>
      </c>
      <c r="F146" s="13">
        <f>STANDARDIZE(D146,I$14,J$14)</f>
        <v>1.4229639659108921E-2</v>
      </c>
    </row>
    <row r="147" spans="1:6" x14ac:dyDescent="0.3">
      <c r="A147" t="s">
        <v>7</v>
      </c>
      <c r="B147">
        <v>1958</v>
      </c>
      <c r="C147" s="12">
        <v>1958.58333331939</v>
      </c>
      <c r="D147">
        <v>127.5</v>
      </c>
      <c r="E147" s="15">
        <f t="shared" si="9"/>
        <v>0.65936001859486393</v>
      </c>
      <c r="F147" s="13">
        <f>STANDARDIZE(D147,I$15,J$15)</f>
        <v>0.34675700576915841</v>
      </c>
    </row>
    <row r="148" spans="1:6" x14ac:dyDescent="0.3">
      <c r="A148" t="s">
        <v>8</v>
      </c>
      <c r="B148">
        <v>1958</v>
      </c>
      <c r="C148" s="12">
        <v>1958.6666666527501</v>
      </c>
      <c r="D148">
        <v>93</v>
      </c>
      <c r="E148" s="15">
        <f t="shared" si="9"/>
        <v>0.25184876080380292</v>
      </c>
      <c r="F148" s="13">
        <f>STANDARDIZE(D148,I$16,J$16)</f>
        <v>-0.31968364926951859</v>
      </c>
    </row>
    <row r="149" spans="1:6" x14ac:dyDescent="0.3">
      <c r="A149" t="s">
        <v>9</v>
      </c>
      <c r="B149">
        <v>1958</v>
      </c>
      <c r="C149" s="12">
        <v>1958.74999998611</v>
      </c>
      <c r="D149">
        <v>165.9</v>
      </c>
      <c r="E149" s="15">
        <f t="shared" si="9"/>
        <v>1.1129377663970885</v>
      </c>
      <c r="F149" s="13">
        <f>STANDARDIZE(D149,I$17,J$17)</f>
        <v>-9.7264591020070526E-2</v>
      </c>
    </row>
    <row r="150" spans="1:6" x14ac:dyDescent="0.3">
      <c r="A150" t="s">
        <v>10</v>
      </c>
      <c r="B150">
        <v>1958</v>
      </c>
      <c r="C150" s="12">
        <v>1958.8333333194701</v>
      </c>
      <c r="D150">
        <v>15.1</v>
      </c>
      <c r="E150" s="15">
        <f t="shared" si="9"/>
        <v>-0.66829984736789716</v>
      </c>
      <c r="F150" s="13">
        <f>STANDARDIZE(D150,I$18,J$18)</f>
        <v>-0.97112763489484288</v>
      </c>
    </row>
    <row r="151" spans="1:6" x14ac:dyDescent="0.3">
      <c r="A151" t="s">
        <v>11</v>
      </c>
      <c r="B151">
        <v>1958</v>
      </c>
      <c r="C151" s="12">
        <v>1958.9166666528299</v>
      </c>
      <c r="D151">
        <v>0</v>
      </c>
      <c r="E151" s="15">
        <f t="shared" si="9"/>
        <v>-0.84665984715470932</v>
      </c>
      <c r="F151" s="13">
        <f>STANDARDIZE(D151,I$19,J$19)</f>
        <v>-0.66274277884495481</v>
      </c>
    </row>
    <row r="152" spans="1:6" x14ac:dyDescent="0.3">
      <c r="A152" t="s">
        <v>0</v>
      </c>
      <c r="B152">
        <v>1959</v>
      </c>
      <c r="C152" s="12">
        <v>1958.99999998619</v>
      </c>
      <c r="D152">
        <v>0</v>
      </c>
      <c r="E152" s="15">
        <f t="shared" si="9"/>
        <v>-0.84665984715470932</v>
      </c>
      <c r="F152" s="13">
        <f>STANDARDIZE(D152,I$8,J$8)</f>
        <v>-0.28131844469760109</v>
      </c>
    </row>
    <row r="153" spans="1:6" x14ac:dyDescent="0.3">
      <c r="A153" t="s">
        <v>1</v>
      </c>
      <c r="B153">
        <v>1959</v>
      </c>
      <c r="C153" s="12">
        <v>1959.0833333195501</v>
      </c>
      <c r="D153">
        <v>0</v>
      </c>
      <c r="E153" s="15">
        <f t="shared" si="9"/>
        <v>-0.84665984715470932</v>
      </c>
      <c r="F153" s="13">
        <f>STANDARDIZE(D153,I$9,J$9)</f>
        <v>-0.21027614347857898</v>
      </c>
    </row>
    <row r="154" spans="1:6" x14ac:dyDescent="0.3">
      <c r="A154" t="s">
        <v>2</v>
      </c>
      <c r="B154">
        <v>1959</v>
      </c>
      <c r="C154" s="12">
        <v>1959.16666665291</v>
      </c>
      <c r="D154">
        <v>0</v>
      </c>
      <c r="E154" s="15">
        <f t="shared" si="9"/>
        <v>-0.84665984715470932</v>
      </c>
      <c r="F154" s="13">
        <f>STANDARDIZE(D154,I$10,J$10)</f>
        <v>-0.50850073286852082</v>
      </c>
    </row>
    <row r="155" spans="1:6" x14ac:dyDescent="0.3">
      <c r="A155" t="s">
        <v>3</v>
      </c>
      <c r="B155">
        <v>1959</v>
      </c>
      <c r="C155" s="12">
        <v>1959.24999998628</v>
      </c>
      <c r="D155">
        <v>45</v>
      </c>
      <c r="E155" s="15">
        <f t="shared" si="9"/>
        <v>-0.31512342394897763</v>
      </c>
      <c r="F155" s="13">
        <f>STANDARDIZE(D155,I$11,J$11)</f>
        <v>1.0557545716877699</v>
      </c>
    </row>
    <row r="156" spans="1:6" x14ac:dyDescent="0.3">
      <c r="A156" t="s">
        <v>4</v>
      </c>
      <c r="B156">
        <v>1959</v>
      </c>
      <c r="C156" s="12">
        <v>1959.3333333196399</v>
      </c>
      <c r="D156">
        <v>57.5</v>
      </c>
      <c r="E156" s="15">
        <f t="shared" si="9"/>
        <v>-0.16747441750294101</v>
      </c>
      <c r="F156" s="13">
        <f>STANDARDIZE(D156,I$12,J$12)</f>
        <v>-0.42656937827941632</v>
      </c>
    </row>
    <row r="157" spans="1:6" x14ac:dyDescent="0.3">
      <c r="A157" t="s">
        <v>5</v>
      </c>
      <c r="B157">
        <v>1959</v>
      </c>
      <c r="C157" s="12">
        <v>1959.416666653</v>
      </c>
      <c r="E157" s="15"/>
      <c r="F157" s="13"/>
    </row>
    <row r="158" spans="1:6" x14ac:dyDescent="0.3">
      <c r="A158" t="s">
        <v>6</v>
      </c>
      <c r="B158">
        <v>1959</v>
      </c>
      <c r="C158" s="12">
        <v>1959.4999999863601</v>
      </c>
      <c r="E158" s="15"/>
      <c r="F158" s="13"/>
    </row>
    <row r="159" spans="1:6" x14ac:dyDescent="0.3">
      <c r="A159" t="s">
        <v>7</v>
      </c>
      <c r="B159">
        <v>1959</v>
      </c>
      <c r="C159" s="12">
        <v>1959.5833333197199</v>
      </c>
      <c r="E159" s="15"/>
      <c r="F159" s="13"/>
    </row>
    <row r="160" spans="1:6" x14ac:dyDescent="0.3">
      <c r="A160" t="s">
        <v>8</v>
      </c>
      <c r="B160">
        <v>1959</v>
      </c>
      <c r="C160" s="12">
        <v>1959.66666665308</v>
      </c>
      <c r="E160" s="15"/>
      <c r="F160" s="13"/>
    </row>
    <row r="161" spans="1:6" x14ac:dyDescent="0.3">
      <c r="A161" t="s">
        <v>9</v>
      </c>
      <c r="B161">
        <v>1959</v>
      </c>
      <c r="C161" s="12">
        <v>1959.7499999864399</v>
      </c>
      <c r="E161" s="15"/>
      <c r="F161" s="13"/>
    </row>
    <row r="162" spans="1:6" x14ac:dyDescent="0.3">
      <c r="A162" t="s">
        <v>10</v>
      </c>
      <c r="B162">
        <v>1959</v>
      </c>
      <c r="C162" s="12">
        <v>1959.8333333198</v>
      </c>
      <c r="E162" s="15"/>
      <c r="F162" s="13"/>
    </row>
    <row r="163" spans="1:6" x14ac:dyDescent="0.3">
      <c r="A163" t="s">
        <v>11</v>
      </c>
      <c r="B163">
        <v>1959</v>
      </c>
      <c r="C163" s="12">
        <v>1959.9166666531601</v>
      </c>
      <c r="E163" s="15"/>
      <c r="F163" s="13"/>
    </row>
    <row r="164" spans="1:6" x14ac:dyDescent="0.3">
      <c r="A164" t="s">
        <v>0</v>
      </c>
      <c r="B164">
        <v>1960</v>
      </c>
      <c r="C164" s="12">
        <v>1959.9999999865199</v>
      </c>
      <c r="D164">
        <v>1</v>
      </c>
      <c r="E164" s="15">
        <f t="shared" ref="E164:E178" si="10">STANDARDIZE(D164,F$4,F$5)</f>
        <v>-0.83484792663902641</v>
      </c>
      <c r="F164" s="13">
        <f>STANDARDIZE(D164,I$8,J$8)</f>
        <v>-0.19402640261936097</v>
      </c>
    </row>
    <row r="165" spans="1:6" x14ac:dyDescent="0.3">
      <c r="A165" t="s">
        <v>1</v>
      </c>
      <c r="B165">
        <v>1960</v>
      </c>
      <c r="C165" s="12">
        <v>1960.08333331988</v>
      </c>
      <c r="D165">
        <v>0</v>
      </c>
      <c r="E165" s="15">
        <f t="shared" si="10"/>
        <v>-0.84665984715470932</v>
      </c>
      <c r="F165" s="13">
        <f>STANDARDIZE(D165,I$9,J$9)</f>
        <v>-0.21027614347857898</v>
      </c>
    </row>
    <row r="166" spans="1:6" x14ac:dyDescent="0.3">
      <c r="A166" t="s">
        <v>2</v>
      </c>
      <c r="B166">
        <v>1960</v>
      </c>
      <c r="C166" s="12">
        <v>1960.1666666532401</v>
      </c>
      <c r="D166">
        <v>0</v>
      </c>
      <c r="E166" s="15">
        <f t="shared" si="10"/>
        <v>-0.84665984715470932</v>
      </c>
      <c r="F166" s="13">
        <f>STANDARDIZE(D166,I$10,J$10)</f>
        <v>-0.50850073286852082</v>
      </c>
    </row>
    <row r="167" spans="1:6" x14ac:dyDescent="0.3">
      <c r="A167" t="s">
        <v>3</v>
      </c>
      <c r="B167">
        <v>1960</v>
      </c>
      <c r="C167" s="12">
        <v>1960.2499999866</v>
      </c>
      <c r="D167">
        <v>56.9</v>
      </c>
      <c r="E167" s="15">
        <f t="shared" si="10"/>
        <v>-0.1745615698123508</v>
      </c>
      <c r="F167" s="13">
        <f>STANDARDIZE(D167,I$11,J$11)</f>
        <v>1.6162168751763388</v>
      </c>
    </row>
    <row r="168" spans="1:6" x14ac:dyDescent="0.3">
      <c r="A168" t="s">
        <v>4</v>
      </c>
      <c r="B168">
        <v>1960</v>
      </c>
      <c r="C168" s="12">
        <v>1960.33333331996</v>
      </c>
      <c r="D168">
        <v>98.4</v>
      </c>
      <c r="E168" s="15">
        <f t="shared" si="10"/>
        <v>0.31563313158849082</v>
      </c>
      <c r="F168" s="13">
        <f>STANDARDIZE(D168,I$12,J$12)</f>
        <v>0.1870140708066983</v>
      </c>
    </row>
    <row r="169" spans="1:6" x14ac:dyDescent="0.3">
      <c r="A169" t="s">
        <v>5</v>
      </c>
      <c r="B169">
        <v>1960</v>
      </c>
      <c r="C169" s="12">
        <v>1960.4166666533199</v>
      </c>
      <c r="D169">
        <v>100.3</v>
      </c>
      <c r="E169" s="15">
        <f t="shared" si="10"/>
        <v>0.33807578056828824</v>
      </c>
      <c r="F169" s="13">
        <f>STANDARDIZE(D169,I$13,J$13)</f>
        <v>0.13225076018593615</v>
      </c>
    </row>
    <row r="170" spans="1:6" x14ac:dyDescent="0.3">
      <c r="A170" t="s">
        <v>6</v>
      </c>
      <c r="B170">
        <v>1960</v>
      </c>
      <c r="C170" s="12">
        <v>1960.49999998668</v>
      </c>
      <c r="D170">
        <v>114</v>
      </c>
      <c r="E170" s="15">
        <f t="shared" si="10"/>
        <v>0.49989909163314439</v>
      </c>
      <c r="F170" s="13">
        <f>STANDARDIZE(D170,I$14,J$14)</f>
        <v>0.26813375156487212</v>
      </c>
    </row>
    <row r="171" spans="1:6" x14ac:dyDescent="0.3">
      <c r="A171" t="s">
        <v>7</v>
      </c>
      <c r="B171">
        <v>1960</v>
      </c>
      <c r="C171" s="12">
        <v>1960.5833333200401</v>
      </c>
      <c r="D171">
        <v>121.4</v>
      </c>
      <c r="E171" s="15">
        <f t="shared" si="10"/>
        <v>0.58730730344919813</v>
      </c>
      <c r="F171" s="13">
        <f>STANDARDIZE(D171,I$15,J$15)</f>
        <v>0.26955328319867011</v>
      </c>
    </row>
    <row r="172" spans="1:6" x14ac:dyDescent="0.3">
      <c r="A172" t="s">
        <v>8</v>
      </c>
      <c r="B172">
        <v>1960</v>
      </c>
      <c r="C172" s="12">
        <v>1960.6666666533999</v>
      </c>
      <c r="D172">
        <v>130.4</v>
      </c>
      <c r="E172" s="15">
        <f t="shared" si="10"/>
        <v>0.69361458809034449</v>
      </c>
      <c r="F172" s="13">
        <f>STANDARDIZE(D172,I$16,J$16)</f>
        <v>0.20116158076659213</v>
      </c>
    </row>
    <row r="173" spans="1:6" x14ac:dyDescent="0.3">
      <c r="A173" t="s">
        <v>9</v>
      </c>
      <c r="B173">
        <v>1960</v>
      </c>
      <c r="C173" s="12">
        <v>1960.74999998676</v>
      </c>
      <c r="D173">
        <v>104.4</v>
      </c>
      <c r="E173" s="15">
        <f t="shared" si="10"/>
        <v>0.38650465468258838</v>
      </c>
      <c r="F173" s="13">
        <f>STANDARDIZE(D173,I$17,J$17)</f>
        <v>-0.63832942649352742</v>
      </c>
    </row>
    <row r="174" spans="1:6" x14ac:dyDescent="0.3">
      <c r="A174" t="s">
        <v>10</v>
      </c>
      <c r="B174">
        <v>1960</v>
      </c>
      <c r="C174" s="12">
        <v>1960.8333333201199</v>
      </c>
      <c r="D174">
        <v>195.6</v>
      </c>
      <c r="E174" s="15">
        <f t="shared" si="10"/>
        <v>1.4637518057128713</v>
      </c>
      <c r="F174" s="13">
        <f>STANDARDIZE(D174,I$18,J$18)</f>
        <v>0.63887041882289941</v>
      </c>
    </row>
    <row r="175" spans="1:6" x14ac:dyDescent="0.3">
      <c r="A175" t="s">
        <v>11</v>
      </c>
      <c r="B175">
        <v>1960</v>
      </c>
      <c r="C175" s="12">
        <v>1960.91666665348</v>
      </c>
      <c r="D175">
        <v>54</v>
      </c>
      <c r="E175" s="15">
        <f t="shared" si="10"/>
        <v>-0.20881613930783127</v>
      </c>
      <c r="F175" s="13">
        <f>STANDARDIZE(D175,I$19,J$19)</f>
        <v>0.39540015877069179</v>
      </c>
    </row>
    <row r="176" spans="1:6" x14ac:dyDescent="0.3">
      <c r="A176" t="s">
        <v>0</v>
      </c>
      <c r="B176">
        <v>1961</v>
      </c>
      <c r="C176" s="12">
        <v>1960.9999999868401</v>
      </c>
      <c r="D176">
        <v>0</v>
      </c>
      <c r="E176" s="15">
        <f t="shared" si="10"/>
        <v>-0.84665984715470932</v>
      </c>
      <c r="F176" s="13">
        <f>STANDARDIZE(D176,I$8,J$8)</f>
        <v>-0.28131844469760109</v>
      </c>
    </row>
    <row r="177" spans="1:6" x14ac:dyDescent="0.3">
      <c r="A177" t="s">
        <v>1</v>
      </c>
      <c r="B177">
        <v>1961</v>
      </c>
      <c r="C177" s="12">
        <v>1961.0833333201999</v>
      </c>
      <c r="D177">
        <v>0</v>
      </c>
      <c r="E177" s="15">
        <f t="shared" si="10"/>
        <v>-0.84665984715470932</v>
      </c>
      <c r="F177" s="13">
        <f>STANDARDIZE(D177,I$9,J$9)</f>
        <v>-0.21027614347857898</v>
      </c>
    </row>
    <row r="178" spans="1:6" x14ac:dyDescent="0.3">
      <c r="A178" t="s">
        <v>2</v>
      </c>
      <c r="B178">
        <v>1961</v>
      </c>
      <c r="C178" s="12">
        <v>1961.16666665356</v>
      </c>
      <c r="D178">
        <v>0</v>
      </c>
      <c r="E178" s="15">
        <f t="shared" si="10"/>
        <v>-0.84665984715470932</v>
      </c>
      <c r="F178" s="13">
        <f>STANDARDIZE(D178,I$10,J$10)</f>
        <v>-0.50850073286852082</v>
      </c>
    </row>
    <row r="179" spans="1:6" x14ac:dyDescent="0.3">
      <c r="A179" t="s">
        <v>3</v>
      </c>
      <c r="B179">
        <v>1961</v>
      </c>
      <c r="C179" s="12">
        <v>1961.2499999869201</v>
      </c>
      <c r="E179" s="15"/>
      <c r="F179" s="13"/>
    </row>
    <row r="180" spans="1:6" x14ac:dyDescent="0.3">
      <c r="A180" t="s">
        <v>4</v>
      </c>
      <c r="B180">
        <v>1961</v>
      </c>
      <c r="C180" s="12">
        <v>1961.33333332028</v>
      </c>
      <c r="D180">
        <v>0</v>
      </c>
      <c r="E180" s="15">
        <f t="shared" ref="E180:E186" si="11">STANDARDIZE(D180,F$4,F$5)</f>
        <v>-0.84665984715470932</v>
      </c>
      <c r="F180" s="13">
        <f>STANDARDIZE(D180,I$12,J$12)</f>
        <v>-1.2891866966767656</v>
      </c>
    </row>
    <row r="181" spans="1:6" x14ac:dyDescent="0.3">
      <c r="A181" t="s">
        <v>5</v>
      </c>
      <c r="B181">
        <v>1961</v>
      </c>
      <c r="C181" s="12">
        <v>1961.41666665364</v>
      </c>
      <c r="D181">
        <v>56.2</v>
      </c>
      <c r="E181" s="15">
        <f t="shared" si="11"/>
        <v>-0.18282991417332878</v>
      </c>
      <c r="F181" s="13">
        <f>STANDARDIZE(D181,I$13,J$13)</f>
        <v>-0.55742505501506745</v>
      </c>
    </row>
    <row r="182" spans="1:6" x14ac:dyDescent="0.3">
      <c r="A182" t="s">
        <v>6</v>
      </c>
      <c r="B182">
        <v>1961</v>
      </c>
      <c r="C182" s="12">
        <v>1961.4999999869999</v>
      </c>
      <c r="D182">
        <v>40.6</v>
      </c>
      <c r="E182" s="15">
        <f t="shared" si="11"/>
        <v>-0.36709587421798245</v>
      </c>
      <c r="F182" s="13">
        <f>STANDARDIZE(D182,I$14,J$14)</f>
        <v>-0.64096682472210442</v>
      </c>
    </row>
    <row r="183" spans="1:6" x14ac:dyDescent="0.3">
      <c r="A183" t="s">
        <v>7</v>
      </c>
      <c r="B183">
        <v>1961</v>
      </c>
      <c r="C183" s="12">
        <v>1961.58333332036</v>
      </c>
      <c r="D183">
        <v>95.4</v>
      </c>
      <c r="E183" s="15">
        <f t="shared" si="11"/>
        <v>0.28019737004144202</v>
      </c>
      <c r="F183" s="13">
        <f>STANDARDIZE(D183,I$15,J$15)</f>
        <v>-5.9511763823083513E-2</v>
      </c>
    </row>
    <row r="184" spans="1:6" x14ac:dyDescent="0.3">
      <c r="A184" t="s">
        <v>8</v>
      </c>
      <c r="B184">
        <v>1961</v>
      </c>
      <c r="C184" s="12">
        <v>1961.6666666537201</v>
      </c>
      <c r="D184">
        <v>159</v>
      </c>
      <c r="E184" s="15">
        <f t="shared" si="11"/>
        <v>1.0314355148388761</v>
      </c>
      <c r="F184" s="13">
        <f>STANDARDIZE(D184,I$16,J$16)</f>
        <v>0.59945499197067664</v>
      </c>
    </row>
    <row r="185" spans="1:6" x14ac:dyDescent="0.3">
      <c r="A185" t="s">
        <v>9</v>
      </c>
      <c r="B185">
        <v>1961</v>
      </c>
      <c r="C185" s="12">
        <v>1961.7499999870799</v>
      </c>
      <c r="D185">
        <v>140.5</v>
      </c>
      <c r="E185" s="15">
        <f t="shared" si="11"/>
        <v>0.81291498529874195</v>
      </c>
      <c r="F185" s="13">
        <f>STANDARDIZE(D185,I$17,J$17)</f>
        <v>-0.32072876697170966</v>
      </c>
    </row>
    <row r="186" spans="1:6" x14ac:dyDescent="0.3">
      <c r="A186" t="s">
        <v>10</v>
      </c>
      <c r="B186">
        <v>1961</v>
      </c>
      <c r="C186" s="12">
        <v>1961.83333332044</v>
      </c>
      <c r="D186">
        <v>108</v>
      </c>
      <c r="E186" s="15">
        <f t="shared" si="11"/>
        <v>0.42902756853904683</v>
      </c>
      <c r="F186" s="13">
        <f>STANDARDIZE(D186,I$18,J$18)</f>
        <v>-0.14249151749662536</v>
      </c>
    </row>
    <row r="187" spans="1:6" x14ac:dyDescent="0.3">
      <c r="A187" t="s">
        <v>11</v>
      </c>
      <c r="B187">
        <v>1961</v>
      </c>
      <c r="C187" s="12">
        <v>1961.9166666537999</v>
      </c>
      <c r="E187" s="15"/>
      <c r="F187" s="13"/>
    </row>
    <row r="188" spans="1:6" x14ac:dyDescent="0.3">
      <c r="A188" t="s">
        <v>0</v>
      </c>
      <c r="B188">
        <v>1962</v>
      </c>
      <c r="C188" s="12">
        <v>1961.99999998716</v>
      </c>
      <c r="E188" s="15"/>
      <c r="F188" s="13"/>
    </row>
    <row r="189" spans="1:6" x14ac:dyDescent="0.3">
      <c r="A189" t="s">
        <v>1</v>
      </c>
      <c r="B189">
        <v>1962</v>
      </c>
      <c r="C189" s="12">
        <v>1962.0833333205201</v>
      </c>
      <c r="E189" s="15"/>
      <c r="F189" s="13"/>
    </row>
    <row r="190" spans="1:6" x14ac:dyDescent="0.3">
      <c r="A190" t="s">
        <v>2</v>
      </c>
      <c r="B190">
        <v>1962</v>
      </c>
      <c r="C190" s="12">
        <v>1962.1666666538799</v>
      </c>
      <c r="E190" s="15"/>
      <c r="F190" s="13"/>
    </row>
    <row r="191" spans="1:6" x14ac:dyDescent="0.3">
      <c r="A191" t="s">
        <v>3</v>
      </c>
      <c r="B191">
        <v>1962</v>
      </c>
      <c r="C191" s="12">
        <v>1962.24999998724</v>
      </c>
      <c r="E191" s="15"/>
      <c r="F191" s="13"/>
    </row>
    <row r="192" spans="1:6" x14ac:dyDescent="0.3">
      <c r="A192" t="s">
        <v>4</v>
      </c>
      <c r="B192">
        <v>1962</v>
      </c>
      <c r="C192" s="12">
        <v>1962.3333333205999</v>
      </c>
      <c r="E192" s="15"/>
      <c r="F192" s="13"/>
    </row>
    <row r="193" spans="1:6" x14ac:dyDescent="0.3">
      <c r="A193" t="s">
        <v>5</v>
      </c>
      <c r="B193">
        <v>1962</v>
      </c>
      <c r="C193" s="12">
        <v>1962.41666665396</v>
      </c>
      <c r="E193" s="15"/>
      <c r="F193" s="13"/>
    </row>
    <row r="194" spans="1:6" x14ac:dyDescent="0.3">
      <c r="A194" t="s">
        <v>6</v>
      </c>
      <c r="B194">
        <v>1962</v>
      </c>
      <c r="C194" s="12">
        <v>1962.4999999873201</v>
      </c>
      <c r="E194" s="15"/>
      <c r="F194" s="13"/>
    </row>
    <row r="195" spans="1:6" x14ac:dyDescent="0.3">
      <c r="A195" t="s">
        <v>7</v>
      </c>
      <c r="B195">
        <v>1962</v>
      </c>
      <c r="C195" s="12">
        <v>1962.5833333206799</v>
      </c>
      <c r="E195" s="15"/>
      <c r="F195" s="13"/>
    </row>
    <row r="196" spans="1:6" x14ac:dyDescent="0.3">
      <c r="A196" t="s">
        <v>8</v>
      </c>
      <c r="B196">
        <v>1962</v>
      </c>
      <c r="C196" s="12">
        <v>1962.66666665404</v>
      </c>
      <c r="E196" s="15"/>
      <c r="F196" s="13"/>
    </row>
    <row r="197" spans="1:6" x14ac:dyDescent="0.3">
      <c r="A197" t="s">
        <v>9</v>
      </c>
      <c r="B197">
        <v>1962</v>
      </c>
      <c r="C197" s="12">
        <v>1962.7499999874001</v>
      </c>
      <c r="E197" s="15"/>
      <c r="F197" s="13"/>
    </row>
    <row r="198" spans="1:6" x14ac:dyDescent="0.3">
      <c r="A198" t="s">
        <v>10</v>
      </c>
      <c r="B198">
        <v>1962</v>
      </c>
      <c r="C198" s="12">
        <v>1962.8333333207599</v>
      </c>
      <c r="E198" s="15"/>
      <c r="F198" s="13"/>
    </row>
    <row r="199" spans="1:6" x14ac:dyDescent="0.3">
      <c r="A199" t="s">
        <v>11</v>
      </c>
      <c r="B199">
        <v>1962</v>
      </c>
      <c r="C199" s="12">
        <v>1962.91666665412</v>
      </c>
      <c r="E199" s="15"/>
      <c r="F199" s="13"/>
    </row>
    <row r="200" spans="1:6" x14ac:dyDescent="0.3">
      <c r="A200" t="s">
        <v>0</v>
      </c>
      <c r="B200">
        <v>1963</v>
      </c>
      <c r="C200" s="12">
        <v>1962.9999999874799</v>
      </c>
      <c r="D200">
        <v>0</v>
      </c>
      <c r="E200" s="15">
        <f t="shared" ref="E200:E210" si="12">STANDARDIZE(D200,F$4,F$5)</f>
        <v>-0.84665984715470932</v>
      </c>
      <c r="F200" s="13">
        <f>STANDARDIZE(D200,I$8,J$8)</f>
        <v>-0.28131844469760109</v>
      </c>
    </row>
    <row r="201" spans="1:6" x14ac:dyDescent="0.3">
      <c r="A201" t="s">
        <v>1</v>
      </c>
      <c r="B201">
        <v>1963</v>
      </c>
      <c r="C201" s="12">
        <v>1963.08333332084</v>
      </c>
      <c r="D201">
        <v>0</v>
      </c>
      <c r="E201" s="15">
        <f t="shared" si="12"/>
        <v>-0.84665984715470932</v>
      </c>
      <c r="F201" s="13">
        <f>STANDARDIZE(D201,I$9,J$9)</f>
        <v>-0.21027614347857898</v>
      </c>
    </row>
    <row r="202" spans="1:6" x14ac:dyDescent="0.3">
      <c r="A202" t="s">
        <v>2</v>
      </c>
      <c r="B202">
        <v>1963</v>
      </c>
      <c r="C202" s="12">
        <v>1963.1666666542001</v>
      </c>
      <c r="D202">
        <v>0</v>
      </c>
      <c r="E202" s="15">
        <f t="shared" si="12"/>
        <v>-0.84665984715470932</v>
      </c>
      <c r="F202" s="13">
        <f>STANDARDIZE(D202,I$10,J$10)</f>
        <v>-0.50850073286852082</v>
      </c>
    </row>
    <row r="203" spans="1:6" x14ac:dyDescent="0.3">
      <c r="A203" t="s">
        <v>3</v>
      </c>
      <c r="B203">
        <v>1963</v>
      </c>
      <c r="C203" s="12">
        <v>1963.2499999875599</v>
      </c>
      <c r="D203">
        <v>45</v>
      </c>
      <c r="E203" s="15">
        <f t="shared" si="12"/>
        <v>-0.31512342394897763</v>
      </c>
      <c r="F203" s="13">
        <f>STANDARDIZE(D203,I$11,J$11)</f>
        <v>1.0557545716877699</v>
      </c>
    </row>
    <row r="204" spans="1:6" x14ac:dyDescent="0.3">
      <c r="A204" t="s">
        <v>4</v>
      </c>
      <c r="B204">
        <v>1963</v>
      </c>
      <c r="C204" s="12">
        <v>1963.33333332092</v>
      </c>
      <c r="D204">
        <v>25.3</v>
      </c>
      <c r="E204" s="15">
        <f t="shared" si="12"/>
        <v>-0.54781825810793128</v>
      </c>
      <c r="F204" s="13">
        <f>STANDARDIZE(D204,I$12,J$12)</f>
        <v>-0.90963507658193199</v>
      </c>
    </row>
    <row r="205" spans="1:6" x14ac:dyDescent="0.3">
      <c r="A205" t="s">
        <v>5</v>
      </c>
      <c r="B205">
        <v>1963</v>
      </c>
      <c r="C205" s="12">
        <v>1963.4166666542801</v>
      </c>
      <c r="D205">
        <v>50.5</v>
      </c>
      <c r="E205" s="15">
        <f t="shared" si="12"/>
        <v>-0.25015786111272154</v>
      </c>
      <c r="F205" s="13">
        <f>STANDARDIZE(D205,I$13,J$13)</f>
        <v>-0.64656682704785029</v>
      </c>
    </row>
    <row r="206" spans="1:6" x14ac:dyDescent="0.3">
      <c r="A206" t="s">
        <v>6</v>
      </c>
      <c r="B206">
        <v>1963</v>
      </c>
      <c r="C206" s="12">
        <v>1963.49999998764</v>
      </c>
      <c r="D206">
        <v>158</v>
      </c>
      <c r="E206" s="15">
        <f t="shared" si="12"/>
        <v>1.0196235943231933</v>
      </c>
      <c r="F206" s="13">
        <f>STANDARDIZE(D206,I$14,J$14)</f>
        <v>0.813098674679681</v>
      </c>
    </row>
    <row r="207" spans="1:6" x14ac:dyDescent="0.3">
      <c r="A207" t="s">
        <v>7</v>
      </c>
      <c r="B207">
        <v>1963</v>
      </c>
      <c r="C207" s="12">
        <v>1963.5833333210001</v>
      </c>
      <c r="D207">
        <v>19</v>
      </c>
      <c r="E207" s="15">
        <f t="shared" si="12"/>
        <v>-0.6222333573567338</v>
      </c>
      <c r="F207" s="13">
        <f>STANDARDIZE(D207,I$15,J$15)</f>
        <v>-1.0264567481485443</v>
      </c>
    </row>
    <row r="208" spans="1:6" x14ac:dyDescent="0.3">
      <c r="A208" t="s">
        <v>8</v>
      </c>
      <c r="B208">
        <v>1963</v>
      </c>
      <c r="C208" s="12">
        <v>1963.6666666543599</v>
      </c>
      <c r="D208">
        <v>157</v>
      </c>
      <c r="E208" s="15">
        <f t="shared" si="12"/>
        <v>1.0078116738075102</v>
      </c>
      <c r="F208" s="13">
        <f>STANDARDIZE(D208,I$16,J$16)</f>
        <v>0.57160230587248895</v>
      </c>
    </row>
    <row r="209" spans="1:6" x14ac:dyDescent="0.3">
      <c r="A209" t="s">
        <v>9</v>
      </c>
      <c r="B209">
        <v>1963</v>
      </c>
      <c r="C209" s="12">
        <v>1963.74999998772</v>
      </c>
      <c r="D209">
        <v>49</v>
      </c>
      <c r="E209" s="15">
        <f t="shared" si="12"/>
        <v>-0.26787574188624591</v>
      </c>
      <c r="F209" s="13">
        <f>STANDARDIZE(D209,I$17,J$17)</f>
        <v>-1.1257276685297797</v>
      </c>
    </row>
    <row r="210" spans="1:6" x14ac:dyDescent="0.3">
      <c r="A210" t="s">
        <v>10</v>
      </c>
      <c r="B210">
        <v>1963</v>
      </c>
      <c r="C210" s="12">
        <v>1963.8333333210801</v>
      </c>
      <c r="D210">
        <v>345</v>
      </c>
      <c r="E210" s="15">
        <f t="shared" si="12"/>
        <v>3.2284527307559006</v>
      </c>
      <c r="F210" s="13">
        <f>STANDARDIZE(D210,I$18,J$18)</f>
        <v>1.9714671458335959</v>
      </c>
    </row>
    <row r="211" spans="1:6" x14ac:dyDescent="0.3">
      <c r="A211" t="s">
        <v>11</v>
      </c>
      <c r="B211">
        <v>1963</v>
      </c>
      <c r="C211" s="12">
        <v>1963.91666665444</v>
      </c>
      <c r="E211" s="15"/>
      <c r="F211" s="13"/>
    </row>
    <row r="212" spans="1:6" x14ac:dyDescent="0.3">
      <c r="A212" t="s">
        <v>0</v>
      </c>
      <c r="B212">
        <v>1964</v>
      </c>
      <c r="C212" s="12">
        <v>1963.9999999878</v>
      </c>
      <c r="D212">
        <v>0</v>
      </c>
      <c r="E212" s="15">
        <f t="shared" ref="E212:E249" si="13">STANDARDIZE(D212,F$4,F$5)</f>
        <v>-0.84665984715470932</v>
      </c>
      <c r="F212" s="13">
        <f>STANDARDIZE(D212,I$8,J$8)</f>
        <v>-0.28131844469760109</v>
      </c>
    </row>
    <row r="213" spans="1:6" x14ac:dyDescent="0.3">
      <c r="A213" t="s">
        <v>1</v>
      </c>
      <c r="B213">
        <v>1964</v>
      </c>
      <c r="C213" s="12">
        <v>1964.0833333211599</v>
      </c>
      <c r="D213">
        <v>0</v>
      </c>
      <c r="E213" s="15">
        <f t="shared" si="13"/>
        <v>-0.84665984715470932</v>
      </c>
      <c r="F213" s="13">
        <f>STANDARDIZE(D213,I$9,J$9)</f>
        <v>-0.21027614347857898</v>
      </c>
    </row>
    <row r="214" spans="1:6" x14ac:dyDescent="0.3">
      <c r="A214" t="s">
        <v>2</v>
      </c>
      <c r="B214">
        <v>1964</v>
      </c>
      <c r="C214" s="12">
        <v>1964.16666665452</v>
      </c>
      <c r="D214">
        <v>0</v>
      </c>
      <c r="E214" s="15">
        <f t="shared" si="13"/>
        <v>-0.84665984715470932</v>
      </c>
      <c r="F214" s="13">
        <f>STANDARDIZE(D214,I$10,J$10)</f>
        <v>-0.50850073286852082</v>
      </c>
    </row>
    <row r="215" spans="1:6" x14ac:dyDescent="0.3">
      <c r="A215" t="s">
        <v>3</v>
      </c>
      <c r="B215">
        <v>1964</v>
      </c>
      <c r="C215" s="12">
        <v>1964.2499999878801</v>
      </c>
      <c r="D215">
        <v>43.9</v>
      </c>
      <c r="E215" s="15">
        <f t="shared" si="13"/>
        <v>-0.32811653651622885</v>
      </c>
      <c r="F215" s="13">
        <f>STANDARDIZE(D215,I$11,J$11)</f>
        <v>1.0039471318694986</v>
      </c>
    </row>
    <row r="216" spans="1:6" x14ac:dyDescent="0.3">
      <c r="A216" t="s">
        <v>4</v>
      </c>
      <c r="B216">
        <v>1964</v>
      </c>
      <c r="C216" s="12">
        <v>1964.3333333212399</v>
      </c>
      <c r="D216">
        <v>106.6</v>
      </c>
      <c r="E216" s="15">
        <f t="shared" si="13"/>
        <v>0.41249087981709071</v>
      </c>
      <c r="F216" s="13">
        <f>STANDARDIZE(D216,I$12,J$12)</f>
        <v>0.31003080143032014</v>
      </c>
    </row>
    <row r="217" spans="1:6" x14ac:dyDescent="0.3">
      <c r="A217" t="s">
        <v>5</v>
      </c>
      <c r="B217">
        <v>1964</v>
      </c>
      <c r="C217" s="12">
        <v>1964.4166666546</v>
      </c>
      <c r="D217">
        <v>166.8</v>
      </c>
      <c r="E217" s="15">
        <f t="shared" si="13"/>
        <v>1.1235684948612032</v>
      </c>
      <c r="F217" s="13">
        <f>STANDARDIZE(D217,I$13,J$13)</f>
        <v>1.1722381005684022</v>
      </c>
    </row>
    <row r="218" spans="1:6" x14ac:dyDescent="0.3">
      <c r="A218" t="s">
        <v>6</v>
      </c>
      <c r="B218">
        <v>1964</v>
      </c>
      <c r="C218" s="12">
        <v>1964.4999999879601</v>
      </c>
      <c r="D218">
        <v>222.6</v>
      </c>
      <c r="E218" s="15">
        <f t="shared" si="13"/>
        <v>1.7826736596363104</v>
      </c>
      <c r="F218" s="13">
        <f>STANDARDIZE(D218,I$14,J$14)</f>
        <v>1.6132062663436955</v>
      </c>
    </row>
    <row r="219" spans="1:6" x14ac:dyDescent="0.3">
      <c r="A219" t="s">
        <v>7</v>
      </c>
      <c r="B219">
        <v>1964</v>
      </c>
      <c r="C219" s="12">
        <v>1964.58333332132</v>
      </c>
      <c r="D219">
        <v>118.1</v>
      </c>
      <c r="E219" s="15">
        <f t="shared" si="13"/>
        <v>0.54832796574744436</v>
      </c>
      <c r="F219" s="13">
        <f>STANDARDIZE(D219,I$15,J$15)</f>
        <v>0.22778733492283201</v>
      </c>
    </row>
    <row r="220" spans="1:6" x14ac:dyDescent="0.3">
      <c r="A220" t="s">
        <v>8</v>
      </c>
      <c r="B220">
        <v>1964</v>
      </c>
      <c r="C220" s="12">
        <v>1964.6666666546801</v>
      </c>
      <c r="D220">
        <v>51.5</v>
      </c>
      <c r="E220" s="15">
        <f t="shared" si="13"/>
        <v>-0.23834594059703859</v>
      </c>
      <c r="F220" s="13">
        <f>STANDARDIZE(D220,I$16,J$16)</f>
        <v>-0.89762688580691408</v>
      </c>
    </row>
    <row r="221" spans="1:6" x14ac:dyDescent="0.3">
      <c r="A221" t="s">
        <v>9</v>
      </c>
      <c r="B221">
        <v>1964</v>
      </c>
      <c r="C221" s="12">
        <v>1964.7499999880399</v>
      </c>
      <c r="D221">
        <v>259.2</v>
      </c>
      <c r="E221" s="15">
        <f t="shared" si="13"/>
        <v>2.2149899505103052</v>
      </c>
      <c r="F221" s="13">
        <f>STANDARDIZE(D221,I$17,J$17)</f>
        <v>0.72357035450307605</v>
      </c>
    </row>
    <row r="222" spans="1:6" x14ac:dyDescent="0.3">
      <c r="A222" t="s">
        <v>10</v>
      </c>
      <c r="B222">
        <v>1964</v>
      </c>
      <c r="C222" s="12">
        <v>1964.8333333214</v>
      </c>
      <c r="D222">
        <v>25.1</v>
      </c>
      <c r="E222" s="15">
        <f t="shared" si="13"/>
        <v>-0.55018064221106788</v>
      </c>
      <c r="F222" s="13">
        <f>STANDARDIZE(D222,I$18,J$18)</f>
        <v>-0.88193106682183786</v>
      </c>
    </row>
    <row r="223" spans="1:6" x14ac:dyDescent="0.3">
      <c r="A223" t="s">
        <v>11</v>
      </c>
      <c r="B223">
        <v>1964</v>
      </c>
      <c r="C223" s="12">
        <v>1964.9166666547601</v>
      </c>
      <c r="D223">
        <v>0</v>
      </c>
      <c r="E223" s="15">
        <f t="shared" si="13"/>
        <v>-0.84665984715470932</v>
      </c>
      <c r="F223" s="13">
        <f>STANDARDIZE(D223,I$19,J$19)</f>
        <v>-0.66274277884495481</v>
      </c>
    </row>
    <row r="224" spans="1:6" x14ac:dyDescent="0.3">
      <c r="A224" t="s">
        <v>0</v>
      </c>
      <c r="B224">
        <v>1965</v>
      </c>
      <c r="C224" s="12">
        <v>1964.99999998812</v>
      </c>
      <c r="D224">
        <v>0.3</v>
      </c>
      <c r="E224" s="15">
        <f t="shared" si="13"/>
        <v>-0.84311627100000452</v>
      </c>
      <c r="F224" s="13">
        <f>STANDARDIZE(D224,I$8,J$8)</f>
        <v>-0.25513083207412907</v>
      </c>
    </row>
    <row r="225" spans="1:6" x14ac:dyDescent="0.3">
      <c r="A225" t="s">
        <v>1</v>
      </c>
      <c r="B225">
        <v>1965</v>
      </c>
      <c r="C225" s="12">
        <v>1965.08333332148</v>
      </c>
      <c r="D225">
        <v>0</v>
      </c>
      <c r="E225" s="15">
        <f t="shared" si="13"/>
        <v>-0.84665984715470932</v>
      </c>
      <c r="F225" s="13">
        <f>STANDARDIZE(D225,I$9,J$9)</f>
        <v>-0.21027614347857898</v>
      </c>
    </row>
    <row r="226" spans="1:6" x14ac:dyDescent="0.3">
      <c r="A226" t="s">
        <v>2</v>
      </c>
      <c r="B226">
        <v>1965</v>
      </c>
      <c r="C226" s="12">
        <v>1965.1666666548399</v>
      </c>
      <c r="D226">
        <v>0.3</v>
      </c>
      <c r="E226" s="15">
        <f t="shared" si="13"/>
        <v>-0.84311627100000452</v>
      </c>
      <c r="F226" s="13">
        <f>STANDARDIZE(D226,I$10,J$10)</f>
        <v>-0.43593456063041264</v>
      </c>
    </row>
    <row r="227" spans="1:6" x14ac:dyDescent="0.3">
      <c r="A227" t="s">
        <v>3</v>
      </c>
      <c r="B227">
        <v>1965</v>
      </c>
      <c r="C227" s="12">
        <v>1965.2499999882</v>
      </c>
      <c r="D227">
        <v>0</v>
      </c>
      <c r="E227" s="15">
        <f t="shared" si="13"/>
        <v>-0.84665984715470932</v>
      </c>
      <c r="F227" s="13">
        <f>STANDARDIZE(D227,I$11,J$11)</f>
        <v>-1.0636406936051388</v>
      </c>
    </row>
    <row r="228" spans="1:6" x14ac:dyDescent="0.3">
      <c r="A228" t="s">
        <v>4</v>
      </c>
      <c r="B228">
        <v>1965</v>
      </c>
      <c r="C228" s="12">
        <v>1965.3333333215601</v>
      </c>
      <c r="D228">
        <v>84</v>
      </c>
      <c r="E228" s="15">
        <f t="shared" si="13"/>
        <v>0.14554147616265659</v>
      </c>
      <c r="F228" s="13">
        <f>STANDARDIZE(D228,I$12,J$12)</f>
        <v>-2.9015309800637944E-2</v>
      </c>
    </row>
    <row r="229" spans="1:6" x14ac:dyDescent="0.3">
      <c r="A229" t="s">
        <v>5</v>
      </c>
      <c r="B229">
        <v>1965</v>
      </c>
      <c r="C229" s="12">
        <v>1965.4166666549199</v>
      </c>
      <c r="D229">
        <v>55.6</v>
      </c>
      <c r="E229" s="15">
        <f t="shared" si="13"/>
        <v>-0.18991706648273857</v>
      </c>
      <c r="F229" s="13">
        <f>STANDARDIZE(D229,I$13,J$13)</f>
        <v>-0.56680839943957095</v>
      </c>
    </row>
    <row r="230" spans="1:6" x14ac:dyDescent="0.3">
      <c r="A230" t="s">
        <v>6</v>
      </c>
      <c r="B230">
        <v>1965</v>
      </c>
      <c r="C230" s="12">
        <v>1965.49999998828</v>
      </c>
      <c r="D230">
        <v>4.9000000000000004</v>
      </c>
      <c r="E230" s="15">
        <f t="shared" si="13"/>
        <v>-0.78878143662786293</v>
      </c>
      <c r="F230" s="13">
        <f>STANDARDIZE(D230,I$14,J$14)</f>
        <v>-1.083131546431165</v>
      </c>
    </row>
    <row r="231" spans="1:6" x14ac:dyDescent="0.3">
      <c r="A231" t="s">
        <v>7</v>
      </c>
      <c r="B231">
        <v>1965</v>
      </c>
      <c r="C231" s="12">
        <v>1965.5833333216401</v>
      </c>
      <c r="D231">
        <v>70.7</v>
      </c>
      <c r="E231" s="15">
        <f t="shared" si="13"/>
        <v>-1.1557066695926333E-2</v>
      </c>
      <c r="F231" s="13">
        <f>STANDARDIZE(D231,I$15,J$15)</f>
        <v>-0.37212355849374951</v>
      </c>
    </row>
    <row r="232" spans="1:6" x14ac:dyDescent="0.3">
      <c r="A232" t="s">
        <v>8</v>
      </c>
      <c r="B232">
        <v>1965</v>
      </c>
      <c r="C232" s="12">
        <v>1965.666666655</v>
      </c>
      <c r="D232">
        <v>113.7</v>
      </c>
      <c r="E232" s="15">
        <f t="shared" si="13"/>
        <v>0.49635551547843959</v>
      </c>
      <c r="F232" s="13">
        <f>STANDARDIZE(D232,I$16,J$16)</f>
        <v>-3.1408348153275478E-2</v>
      </c>
    </row>
    <row r="233" spans="1:6" x14ac:dyDescent="0.3">
      <c r="A233" t="s">
        <v>9</v>
      </c>
      <c r="B233">
        <v>1965</v>
      </c>
      <c r="C233" s="12">
        <v>1965.7499999883601</v>
      </c>
      <c r="D233">
        <v>284.60000000000002</v>
      </c>
      <c r="E233" s="15">
        <f t="shared" si="13"/>
        <v>2.5150127316086524</v>
      </c>
      <c r="F233" s="13">
        <f>STANDARDIZE(D233,I$17,J$17)</f>
        <v>0.94703453045471542</v>
      </c>
    </row>
    <row r="234" spans="1:6" x14ac:dyDescent="0.3">
      <c r="A234" t="s">
        <v>10</v>
      </c>
      <c r="B234">
        <v>1965</v>
      </c>
      <c r="C234" s="12">
        <v>1965.8333333217199</v>
      </c>
      <c r="D234">
        <v>225.2</v>
      </c>
      <c r="E234" s="15">
        <f t="shared" si="13"/>
        <v>1.8133846529770858</v>
      </c>
      <c r="F234" s="13">
        <f>STANDARDIZE(D234,I$18,J$18)</f>
        <v>0.9028922603189945</v>
      </c>
    </row>
    <row r="235" spans="1:6" x14ac:dyDescent="0.3">
      <c r="A235" t="s">
        <v>11</v>
      </c>
      <c r="B235">
        <v>1965</v>
      </c>
      <c r="C235" s="12">
        <v>1965.91666665508</v>
      </c>
      <c r="D235">
        <v>0</v>
      </c>
      <c r="E235" s="15">
        <f t="shared" si="13"/>
        <v>-0.84665984715470932</v>
      </c>
      <c r="F235" s="13">
        <f>STANDARDIZE(D235,I$19,J$19)</f>
        <v>-0.66274277884495481</v>
      </c>
    </row>
    <row r="236" spans="1:6" x14ac:dyDescent="0.3">
      <c r="A236" t="s">
        <v>0</v>
      </c>
      <c r="B236">
        <v>1966</v>
      </c>
      <c r="C236" s="12">
        <v>1965.9999999884401</v>
      </c>
      <c r="D236">
        <v>0</v>
      </c>
      <c r="E236" s="15">
        <f t="shared" si="13"/>
        <v>-0.84665984715470932</v>
      </c>
      <c r="F236" s="13">
        <f>STANDARDIZE(D236,I$8,J$8)</f>
        <v>-0.28131844469760109</v>
      </c>
    </row>
    <row r="237" spans="1:6" x14ac:dyDescent="0.3">
      <c r="A237" t="s">
        <v>1</v>
      </c>
      <c r="B237">
        <v>1966</v>
      </c>
      <c r="C237" s="12">
        <v>1966.0833333218</v>
      </c>
      <c r="D237">
        <v>0</v>
      </c>
      <c r="E237" s="15">
        <f t="shared" si="13"/>
        <v>-0.84665984715470932</v>
      </c>
      <c r="F237" s="13">
        <f>STANDARDIZE(D237,I$9,J$9)</f>
        <v>-0.21027614347857898</v>
      </c>
    </row>
    <row r="238" spans="1:6" x14ac:dyDescent="0.3">
      <c r="A238" t="s">
        <v>2</v>
      </c>
      <c r="B238">
        <v>1966</v>
      </c>
      <c r="C238" s="12">
        <v>1966.16666665516</v>
      </c>
      <c r="D238">
        <v>0</v>
      </c>
      <c r="E238" s="15">
        <f t="shared" si="13"/>
        <v>-0.84665984715470932</v>
      </c>
      <c r="F238" s="13">
        <f>STANDARDIZE(D238,I$10,J$10)</f>
        <v>-0.50850073286852082</v>
      </c>
    </row>
    <row r="239" spans="1:6" x14ac:dyDescent="0.3">
      <c r="A239" t="s">
        <v>3</v>
      </c>
      <c r="B239">
        <v>1966</v>
      </c>
      <c r="C239" s="12">
        <v>1966.2499999885199</v>
      </c>
      <c r="D239">
        <v>13.6</v>
      </c>
      <c r="E239" s="15">
        <f t="shared" si="13"/>
        <v>-0.68601772814142159</v>
      </c>
      <c r="F239" s="13">
        <f>STANDARDIZE(D239,I$11,J$11)</f>
        <v>-0.4231123467610598</v>
      </c>
    </row>
    <row r="240" spans="1:6" x14ac:dyDescent="0.3">
      <c r="A240" t="s">
        <v>4</v>
      </c>
      <c r="B240">
        <v>1966</v>
      </c>
      <c r="C240" s="12">
        <v>1966.33333332188</v>
      </c>
      <c r="D240">
        <v>34.700000000000003</v>
      </c>
      <c r="E240" s="15">
        <f t="shared" si="13"/>
        <v>-0.43678620526051176</v>
      </c>
      <c r="F240" s="13">
        <f>STANDARDIZE(D240,I$12,J$12)</f>
        <v>-0.76861589757436521</v>
      </c>
    </row>
    <row r="241" spans="1:6" x14ac:dyDescent="0.3">
      <c r="A241" t="s">
        <v>5</v>
      </c>
      <c r="B241">
        <v>1966</v>
      </c>
      <c r="C241" s="12">
        <v>1966.4166666552401</v>
      </c>
      <c r="D241">
        <v>82.7</v>
      </c>
      <c r="E241" s="15">
        <f t="shared" si="13"/>
        <v>0.13018597949226879</v>
      </c>
      <c r="F241" s="13">
        <f>STANDARDIZE(D241,I$13,J$13)</f>
        <v>-0.14299400959949835</v>
      </c>
    </row>
    <row r="242" spans="1:6" x14ac:dyDescent="0.3">
      <c r="A242" t="s">
        <v>6</v>
      </c>
      <c r="B242">
        <v>1966</v>
      </c>
      <c r="C242" s="12">
        <v>1966.4999999885999</v>
      </c>
      <c r="D242">
        <v>68.3</v>
      </c>
      <c r="E242" s="15">
        <f t="shared" si="13"/>
        <v>-3.9905675933565428E-2</v>
      </c>
      <c r="F242" s="13">
        <f>STANDARDIZE(D242,I$14,J$14)</f>
        <v>-0.29788663448846342</v>
      </c>
    </row>
    <row r="243" spans="1:6" x14ac:dyDescent="0.3">
      <c r="A243" t="s">
        <v>7</v>
      </c>
      <c r="B243">
        <v>1966</v>
      </c>
      <c r="C243" s="12">
        <v>1966.58333332196</v>
      </c>
      <c r="D243">
        <v>175.5</v>
      </c>
      <c r="E243" s="15">
        <f t="shared" si="13"/>
        <v>1.2263322033476445</v>
      </c>
      <c r="F243" s="13">
        <f>STANDARDIZE(D243,I$15,J$15)</f>
        <v>0.95426170796316512</v>
      </c>
    </row>
    <row r="244" spans="1:6" x14ac:dyDescent="0.3">
      <c r="A244" t="s">
        <v>8</v>
      </c>
      <c r="B244">
        <v>1966</v>
      </c>
      <c r="C244" s="12">
        <v>1966.6666666553199</v>
      </c>
      <c r="D244">
        <v>120.5</v>
      </c>
      <c r="E244" s="15">
        <f t="shared" si="13"/>
        <v>0.5766765749850834</v>
      </c>
      <c r="F244" s="13">
        <f>STANDARDIZE(D244,I$16,J$16)</f>
        <v>6.3290784580562781E-2</v>
      </c>
    </row>
    <row r="245" spans="1:6" x14ac:dyDescent="0.3">
      <c r="A245" t="s">
        <v>9</v>
      </c>
      <c r="B245">
        <v>1966</v>
      </c>
      <c r="C245" s="12">
        <v>1966.74999998868</v>
      </c>
      <c r="D245">
        <v>114.7</v>
      </c>
      <c r="E245" s="15">
        <f t="shared" si="13"/>
        <v>0.50816743599412251</v>
      </c>
      <c r="F245" s="13">
        <f>STANDARDIZE(D245,I$17,J$17)</f>
        <v>-0.5477120638044769</v>
      </c>
    </row>
    <row r="246" spans="1:6" x14ac:dyDescent="0.3">
      <c r="A246" t="s">
        <v>10</v>
      </c>
      <c r="B246">
        <v>1966</v>
      </c>
      <c r="C246" s="12">
        <v>1966.8333333220401</v>
      </c>
      <c r="D246">
        <v>85.2</v>
      </c>
      <c r="E246" s="15">
        <f t="shared" si="13"/>
        <v>0.15971578078147611</v>
      </c>
      <c r="F246" s="13">
        <f>STANDARDIZE(D246,I$18,J$18)</f>
        <v>-0.34585969270307698</v>
      </c>
    </row>
    <row r="247" spans="1:6" x14ac:dyDescent="0.3">
      <c r="A247" t="s">
        <v>11</v>
      </c>
      <c r="B247">
        <v>1966</v>
      </c>
      <c r="C247" s="12">
        <v>1966.9166666553999</v>
      </c>
      <c r="D247">
        <v>9.4</v>
      </c>
      <c r="E247" s="15">
        <f t="shared" si="13"/>
        <v>-0.73562779430728986</v>
      </c>
      <c r="F247" s="13">
        <f>STANDARDIZE(D247,I$19,J$19)</f>
        <v>-0.47854752674149043</v>
      </c>
    </row>
    <row r="248" spans="1:6" x14ac:dyDescent="0.3">
      <c r="A248" t="s">
        <v>0</v>
      </c>
      <c r="B248">
        <v>1967</v>
      </c>
      <c r="C248" s="12">
        <v>1966.99999998876</v>
      </c>
      <c r="D248">
        <v>0</v>
      </c>
      <c r="E248" s="15">
        <f t="shared" si="13"/>
        <v>-0.84665984715470932</v>
      </c>
      <c r="F248" s="13">
        <f>STANDARDIZE(D248,I$8,J$8)</f>
        <v>-0.28131844469760109</v>
      </c>
    </row>
    <row r="249" spans="1:6" x14ac:dyDescent="0.3">
      <c r="A249" t="s">
        <v>1</v>
      </c>
      <c r="B249">
        <v>1967</v>
      </c>
      <c r="C249" s="12">
        <v>1967.0833333221201</v>
      </c>
      <c r="D249">
        <v>0</v>
      </c>
      <c r="E249" s="15">
        <f t="shared" si="13"/>
        <v>-0.84665984715470932</v>
      </c>
      <c r="F249" s="13">
        <f>STANDARDIZE(D249,I$9,J$9)</f>
        <v>-0.21027614347857898</v>
      </c>
    </row>
    <row r="250" spans="1:6" x14ac:dyDescent="0.3">
      <c r="A250" t="s">
        <v>2</v>
      </c>
      <c r="B250">
        <v>1967</v>
      </c>
      <c r="C250" s="12">
        <v>1967.16666665548</v>
      </c>
      <c r="E250" s="15"/>
      <c r="F250" s="13"/>
    </row>
    <row r="251" spans="1:6" x14ac:dyDescent="0.3">
      <c r="A251" t="s">
        <v>3</v>
      </c>
      <c r="B251">
        <v>1967</v>
      </c>
      <c r="C251" s="12">
        <v>1967.24999998884</v>
      </c>
      <c r="E251" s="15"/>
      <c r="F251" s="13"/>
    </row>
    <row r="252" spans="1:6" x14ac:dyDescent="0.3">
      <c r="A252" t="s">
        <v>4</v>
      </c>
      <c r="B252">
        <v>1967</v>
      </c>
      <c r="C252" s="12">
        <v>1967.3333333221999</v>
      </c>
      <c r="E252" s="15"/>
      <c r="F252" s="13"/>
    </row>
    <row r="253" spans="1:6" x14ac:dyDescent="0.3">
      <c r="A253" t="s">
        <v>5</v>
      </c>
      <c r="B253">
        <v>1967</v>
      </c>
      <c r="C253" s="12">
        <v>1967.41666665556</v>
      </c>
      <c r="E253" s="15"/>
      <c r="F253" s="13"/>
    </row>
    <row r="254" spans="1:6" x14ac:dyDescent="0.3">
      <c r="A254" t="s">
        <v>6</v>
      </c>
      <c r="B254">
        <v>1967</v>
      </c>
      <c r="C254" s="12">
        <v>1967.4999999889201</v>
      </c>
      <c r="E254" s="15"/>
      <c r="F254" s="13"/>
    </row>
    <row r="255" spans="1:6" x14ac:dyDescent="0.3">
      <c r="A255" t="s">
        <v>7</v>
      </c>
      <c r="B255">
        <v>1967</v>
      </c>
      <c r="C255" s="12">
        <v>1967.5833333222799</v>
      </c>
      <c r="D255">
        <v>182</v>
      </c>
      <c r="E255" s="15">
        <f t="shared" ref="E255:E261" si="14">STANDARDIZE(D255,F$4,F$5)</f>
        <v>1.3031096866995835</v>
      </c>
      <c r="F255" s="13">
        <f>STANDARDIZE(D255,I$15,J$15)</f>
        <v>1.0365279697186034</v>
      </c>
    </row>
    <row r="256" spans="1:6" x14ac:dyDescent="0.3">
      <c r="A256" t="s">
        <v>8</v>
      </c>
      <c r="B256">
        <v>1967</v>
      </c>
      <c r="C256" s="12">
        <v>1967.66666665564</v>
      </c>
      <c r="D256">
        <v>205</v>
      </c>
      <c r="E256" s="15">
        <f t="shared" si="14"/>
        <v>1.5747838585602909</v>
      </c>
      <c r="F256" s="13">
        <f>STANDARDIZE(D256,I$16,J$16)</f>
        <v>1.2400667722289944</v>
      </c>
    </row>
    <row r="257" spans="1:6" x14ac:dyDescent="0.3">
      <c r="A257" t="s">
        <v>9</v>
      </c>
      <c r="B257">
        <v>1967</v>
      </c>
      <c r="C257" s="12">
        <v>1967.7499999889999</v>
      </c>
      <c r="D257">
        <v>212</v>
      </c>
      <c r="E257" s="15">
        <f t="shared" si="14"/>
        <v>1.6574673021700714</v>
      </c>
      <c r="F257" s="13">
        <f>STANDARDIZE(D257,I$17,J$17)</f>
        <v>0.30831409052995157</v>
      </c>
    </row>
    <row r="258" spans="1:6" x14ac:dyDescent="0.3">
      <c r="A258" t="s">
        <v>10</v>
      </c>
      <c r="B258">
        <v>1967</v>
      </c>
      <c r="C258" s="12">
        <v>1967.83333332236</v>
      </c>
      <c r="D258">
        <v>49.9</v>
      </c>
      <c r="E258" s="15">
        <f t="shared" si="14"/>
        <v>-0.2572450134221313</v>
      </c>
      <c r="F258" s="13">
        <f>STANDARDIZE(D258,I$18,J$18)</f>
        <v>-0.66072357800078507</v>
      </c>
    </row>
    <row r="259" spans="1:6" x14ac:dyDescent="0.3">
      <c r="A259" t="s">
        <v>11</v>
      </c>
      <c r="B259">
        <v>1967</v>
      </c>
      <c r="C259" s="12">
        <v>1967.9166666557201</v>
      </c>
      <c r="D259">
        <v>6</v>
      </c>
      <c r="E259" s="15">
        <f t="shared" si="14"/>
        <v>-0.77578832406061182</v>
      </c>
      <c r="F259" s="13">
        <f>STANDARDIZE(D259,I$19,J$19)</f>
        <v>-0.54517134133210521</v>
      </c>
    </row>
    <row r="260" spans="1:6" x14ac:dyDescent="0.3">
      <c r="A260" t="s">
        <v>0</v>
      </c>
      <c r="B260">
        <v>1968</v>
      </c>
      <c r="C260" s="12">
        <v>1967.9999999890799</v>
      </c>
      <c r="D260">
        <v>0</v>
      </c>
      <c r="E260" s="15">
        <f t="shared" si="14"/>
        <v>-0.84665984715470932</v>
      </c>
      <c r="F260" s="13">
        <f>STANDARDIZE(D260,I$8,J$8)</f>
        <v>-0.28131844469760109</v>
      </c>
    </row>
    <row r="261" spans="1:6" x14ac:dyDescent="0.3">
      <c r="A261" t="s">
        <v>1</v>
      </c>
      <c r="B261">
        <v>1968</v>
      </c>
      <c r="C261" s="12">
        <v>1968.08333332244</v>
      </c>
      <c r="D261">
        <v>0</v>
      </c>
      <c r="E261" s="15">
        <f t="shared" si="14"/>
        <v>-0.84665984715470932</v>
      </c>
      <c r="F261" s="13">
        <f>STANDARDIZE(D261,I$9,J$9)</f>
        <v>-0.21027614347857898</v>
      </c>
    </row>
    <row r="262" spans="1:6" x14ac:dyDescent="0.3">
      <c r="A262" t="s">
        <v>2</v>
      </c>
      <c r="B262">
        <v>1968</v>
      </c>
      <c r="C262" s="12">
        <v>1968.1666666558001</v>
      </c>
      <c r="E262" s="15"/>
      <c r="F262" s="13"/>
    </row>
    <row r="263" spans="1:6" x14ac:dyDescent="0.3">
      <c r="A263" t="s">
        <v>3</v>
      </c>
      <c r="B263">
        <v>1968</v>
      </c>
      <c r="C263" s="12">
        <v>1968.24999998916</v>
      </c>
      <c r="D263">
        <v>0</v>
      </c>
      <c r="E263" s="15">
        <f t="shared" ref="E263:E273" si="15">STANDARDIZE(D263,F$4,F$5)</f>
        <v>-0.84665984715470932</v>
      </c>
      <c r="F263" s="13">
        <f>STANDARDIZE(D263,I$11,J$11)</f>
        <v>-1.0636406936051388</v>
      </c>
    </row>
    <row r="264" spans="1:6" x14ac:dyDescent="0.3">
      <c r="A264" t="s">
        <v>4</v>
      </c>
      <c r="B264">
        <v>1968</v>
      </c>
      <c r="C264" s="12">
        <v>1968.33333332252</v>
      </c>
      <c r="D264">
        <v>48.4</v>
      </c>
      <c r="E264" s="15">
        <f t="shared" si="15"/>
        <v>-0.27496289419565567</v>
      </c>
      <c r="F264" s="13">
        <f>STANDARDIZE(D264,I$12,J$12)</f>
        <v>-0.56308794519099681</v>
      </c>
    </row>
    <row r="265" spans="1:6" x14ac:dyDescent="0.3">
      <c r="A265" t="s">
        <v>5</v>
      </c>
      <c r="B265">
        <v>1968</v>
      </c>
      <c r="C265" s="12">
        <v>1968.4166666558799</v>
      </c>
      <c r="D265">
        <v>69.599999999999994</v>
      </c>
      <c r="E265" s="15">
        <f t="shared" si="15"/>
        <v>-2.4550179263177655E-2</v>
      </c>
      <c r="F265" s="13">
        <f>STANDARDIZE(D265,I$13,J$13)</f>
        <v>-0.34786369620115715</v>
      </c>
    </row>
    <row r="266" spans="1:6" x14ac:dyDescent="0.3">
      <c r="A266" t="s">
        <v>6</v>
      </c>
      <c r="B266">
        <v>1968</v>
      </c>
      <c r="C266" s="12">
        <v>1968.49999998924</v>
      </c>
      <c r="D266">
        <v>5.4</v>
      </c>
      <c r="E266" s="15">
        <f t="shared" si="15"/>
        <v>-0.78287547637002153</v>
      </c>
      <c r="F266" s="13">
        <f>STANDARDIZE(D266,I$14,J$14)</f>
        <v>-1.0769387632139513</v>
      </c>
    </row>
    <row r="267" spans="1:6" x14ac:dyDescent="0.3">
      <c r="A267" t="s">
        <v>7</v>
      </c>
      <c r="B267">
        <v>1968</v>
      </c>
      <c r="C267" s="12">
        <v>1968.5833333226001</v>
      </c>
      <c r="D267">
        <v>133.9</v>
      </c>
      <c r="E267" s="15">
        <f t="shared" si="15"/>
        <v>0.73495630989523475</v>
      </c>
      <c r="F267" s="13">
        <f>STANDARDIZE(D267,I$15,J$15)</f>
        <v>0.42775763272835937</v>
      </c>
    </row>
    <row r="268" spans="1:6" x14ac:dyDescent="0.3">
      <c r="A268" t="s">
        <v>8</v>
      </c>
      <c r="B268">
        <v>1968</v>
      </c>
      <c r="C268" s="12">
        <v>1968.6666666559599</v>
      </c>
      <c r="D268">
        <v>108.3</v>
      </c>
      <c r="E268" s="15">
        <f t="shared" si="15"/>
        <v>0.43257114469375169</v>
      </c>
      <c r="F268" s="13">
        <f>STANDARDIZE(D268,I$16,J$16)</f>
        <v>-0.10661060061838244</v>
      </c>
    </row>
    <row r="269" spans="1:6" x14ac:dyDescent="0.3">
      <c r="A269" t="s">
        <v>9</v>
      </c>
      <c r="B269">
        <v>1968</v>
      </c>
      <c r="C269" s="12">
        <v>1968.74999998933</v>
      </c>
      <c r="D269">
        <v>185.1</v>
      </c>
      <c r="E269" s="15">
        <f t="shared" si="15"/>
        <v>1.3397266402982004</v>
      </c>
      <c r="F269" s="13">
        <f>STANDARDIZE(D269,I$17,J$17)</f>
        <v>7.1653211274081766E-2</v>
      </c>
    </row>
    <row r="270" spans="1:6" x14ac:dyDescent="0.3">
      <c r="A270" t="s">
        <v>10</v>
      </c>
      <c r="B270">
        <v>1968</v>
      </c>
      <c r="C270" s="12">
        <v>1968.8333333226899</v>
      </c>
      <c r="D270">
        <v>50.7</v>
      </c>
      <c r="E270" s="15">
        <f t="shared" si="15"/>
        <v>-0.2477954770095849</v>
      </c>
      <c r="F270" s="13">
        <f>STANDARDIZE(D270,I$18,J$18)</f>
        <v>-0.65358785255494467</v>
      </c>
    </row>
    <row r="271" spans="1:6" x14ac:dyDescent="0.3">
      <c r="A271" t="s">
        <v>11</v>
      </c>
      <c r="B271">
        <v>1968</v>
      </c>
      <c r="C271" s="12">
        <v>1968.91666665605</v>
      </c>
      <c r="D271">
        <v>11.6</v>
      </c>
      <c r="E271" s="15">
        <f t="shared" si="15"/>
        <v>-0.70964156917278742</v>
      </c>
      <c r="F271" s="13">
        <f>STANDARDIZE(D271,I$19,J$19)</f>
        <v>-0.43543799965344548</v>
      </c>
    </row>
    <row r="272" spans="1:6" x14ac:dyDescent="0.3">
      <c r="A272" t="s">
        <v>0</v>
      </c>
      <c r="B272">
        <v>1969</v>
      </c>
      <c r="C272" s="12">
        <v>1968.9999999894101</v>
      </c>
      <c r="D272">
        <v>0</v>
      </c>
      <c r="E272" s="15">
        <f t="shared" si="15"/>
        <v>-0.84665984715470932</v>
      </c>
      <c r="F272" s="13">
        <f>STANDARDIZE(D272,I$8,J$8)</f>
        <v>-0.28131844469760109</v>
      </c>
    </row>
    <row r="273" spans="1:6" x14ac:dyDescent="0.3">
      <c r="A273" t="s">
        <v>1</v>
      </c>
      <c r="B273">
        <v>1969</v>
      </c>
      <c r="C273" s="12">
        <v>1969.0833333227699</v>
      </c>
      <c r="D273">
        <v>0</v>
      </c>
      <c r="E273" s="15">
        <f t="shared" si="15"/>
        <v>-0.84665984715470932</v>
      </c>
      <c r="F273" s="13">
        <f>STANDARDIZE(D273,I$9,J$9)</f>
        <v>-0.21027614347857898</v>
      </c>
    </row>
    <row r="274" spans="1:6" x14ac:dyDescent="0.3">
      <c r="A274" t="s">
        <v>2</v>
      </c>
      <c r="B274">
        <v>1969</v>
      </c>
      <c r="C274" s="12">
        <v>1969.16666665613</v>
      </c>
      <c r="E274" s="15"/>
      <c r="F274" s="13"/>
    </row>
    <row r="275" spans="1:6" x14ac:dyDescent="0.3">
      <c r="A275" t="s">
        <v>3</v>
      </c>
      <c r="B275">
        <v>1969</v>
      </c>
      <c r="C275" s="12">
        <v>1969.2499999894901</v>
      </c>
      <c r="D275">
        <v>57.1</v>
      </c>
      <c r="E275" s="15">
        <f>STANDARDIZE(D275,F$4,F$5)</f>
        <v>-0.17219918570921416</v>
      </c>
      <c r="F275" s="13">
        <f>STANDARDIZE(D275,I$11,J$11)</f>
        <v>1.6256364096887519</v>
      </c>
    </row>
    <row r="276" spans="1:6" x14ac:dyDescent="0.3">
      <c r="A276" t="s">
        <v>4</v>
      </c>
      <c r="B276">
        <v>1969</v>
      </c>
      <c r="C276" s="12">
        <v>1969.33333332285</v>
      </c>
      <c r="D276">
        <v>44.7</v>
      </c>
      <c r="E276" s="15">
        <f>STANDARDIZE(D276,F$4,F$5)</f>
        <v>-0.31866700010368249</v>
      </c>
      <c r="F276" s="13">
        <f>STANDARDIZE(D276,I$12,J$12)</f>
        <v>-0.61859549437482619</v>
      </c>
    </row>
    <row r="277" spans="1:6" x14ac:dyDescent="0.3">
      <c r="A277" t="s">
        <v>5</v>
      </c>
      <c r="B277">
        <v>1969</v>
      </c>
      <c r="C277" s="12">
        <v>1969.4166666562101</v>
      </c>
      <c r="D277">
        <v>120.7</v>
      </c>
      <c r="E277" s="15">
        <f>STANDARDIZE(D277,F$4,F$5)</f>
        <v>0.57903895908822001</v>
      </c>
      <c r="F277" s="13">
        <f>STANDARDIZE(D277,I$13,J$13)</f>
        <v>0.45128447061905358</v>
      </c>
    </row>
    <row r="278" spans="1:6" x14ac:dyDescent="0.3">
      <c r="A278" t="s">
        <v>6</v>
      </c>
      <c r="B278">
        <v>1969</v>
      </c>
      <c r="C278" s="12">
        <v>1969.4999999895699</v>
      </c>
      <c r="D278">
        <v>112.2</v>
      </c>
      <c r="E278" s="15">
        <f>STANDARDIZE(D278,F$4,F$5)</f>
        <v>0.47863763470491516</v>
      </c>
      <c r="F278" s="13">
        <f>STANDARDIZE(D278,I$14,J$14)</f>
        <v>0.24583973198290271</v>
      </c>
    </row>
    <row r="279" spans="1:6" x14ac:dyDescent="0.3">
      <c r="A279" t="s">
        <v>7</v>
      </c>
      <c r="B279">
        <v>1969</v>
      </c>
      <c r="C279" s="12">
        <v>1969.58333332293</v>
      </c>
      <c r="D279">
        <v>85.9</v>
      </c>
      <c r="E279" s="15">
        <f>STANDARDIZE(D279,F$4,F$5)</f>
        <v>0.1679841251424542</v>
      </c>
      <c r="F279" s="13">
        <f>STANDARDIZE(D279,I$15,J$15)</f>
        <v>-0.17974706946564734</v>
      </c>
    </row>
    <row r="280" spans="1:6" x14ac:dyDescent="0.3">
      <c r="A280" t="s">
        <v>8</v>
      </c>
      <c r="B280">
        <v>1969</v>
      </c>
      <c r="C280" s="12">
        <v>1969.6666666562901</v>
      </c>
      <c r="E280" s="15"/>
      <c r="F280" s="13"/>
    </row>
    <row r="281" spans="1:6" x14ac:dyDescent="0.3">
      <c r="A281" t="s">
        <v>9</v>
      </c>
      <c r="B281">
        <v>1969</v>
      </c>
      <c r="C281" s="12">
        <v>1969.74999998965</v>
      </c>
      <c r="E281" s="15"/>
      <c r="F281" s="13"/>
    </row>
    <row r="282" spans="1:6" x14ac:dyDescent="0.3">
      <c r="A282" t="s">
        <v>10</v>
      </c>
      <c r="B282">
        <v>1969</v>
      </c>
      <c r="C282" s="12">
        <v>1969.83333332301</v>
      </c>
      <c r="D282">
        <v>280</v>
      </c>
      <c r="E282" s="15">
        <f>STANDARDIZE(D282,F$4,F$5)</f>
        <v>2.4606778972365104</v>
      </c>
      <c r="F282" s="13">
        <f>STANDARDIZE(D282,I$18,J$18)</f>
        <v>1.3916894533590627</v>
      </c>
    </row>
    <row r="283" spans="1:6" x14ac:dyDescent="0.3">
      <c r="A283" t="s">
        <v>11</v>
      </c>
      <c r="B283">
        <v>1969</v>
      </c>
      <c r="C283" s="12">
        <v>1969.9166666563699</v>
      </c>
      <c r="E283" s="15"/>
      <c r="F283" s="13"/>
    </row>
    <row r="284" spans="1:6" x14ac:dyDescent="0.3">
      <c r="A284" t="s">
        <v>0</v>
      </c>
      <c r="B284">
        <v>1970</v>
      </c>
      <c r="C284" s="12">
        <v>1969.99999998973</v>
      </c>
      <c r="D284">
        <v>7.8</v>
      </c>
      <c r="E284" s="15">
        <f t="shared" ref="E284:E296" si="16">STANDARDIZE(D284,F$4,F$5)</f>
        <v>-0.75452686713238259</v>
      </c>
      <c r="F284" s="13">
        <f>STANDARDIZE(D284,I$8,J$8)</f>
        <v>0.3995594835126719</v>
      </c>
    </row>
    <row r="285" spans="1:6" x14ac:dyDescent="0.3">
      <c r="A285" t="s">
        <v>1</v>
      </c>
      <c r="B285">
        <v>1970</v>
      </c>
      <c r="C285" s="12">
        <v>1970.0833333230901</v>
      </c>
      <c r="D285">
        <v>0</v>
      </c>
      <c r="E285" s="15">
        <f t="shared" si="16"/>
        <v>-0.84665984715470932</v>
      </c>
      <c r="F285" s="13">
        <f>STANDARDIZE(D285,I$9,J$9)</f>
        <v>-0.21027614347857898</v>
      </c>
    </row>
    <row r="286" spans="1:6" x14ac:dyDescent="0.3">
      <c r="A286" t="s">
        <v>2</v>
      </c>
      <c r="B286">
        <v>1970</v>
      </c>
      <c r="C286" s="12">
        <v>1970.1666666564499</v>
      </c>
      <c r="D286">
        <v>5.4</v>
      </c>
      <c r="E286" s="15">
        <f t="shared" si="16"/>
        <v>-0.78287547637002153</v>
      </c>
      <c r="F286" s="13">
        <f>STANDARDIZE(D286,I$10,J$10)</f>
        <v>0.79769036741742594</v>
      </c>
    </row>
    <row r="287" spans="1:6" x14ac:dyDescent="0.3">
      <c r="A287" t="s">
        <v>3</v>
      </c>
      <c r="B287">
        <v>1970</v>
      </c>
      <c r="C287" s="12">
        <v>1970.24999998981</v>
      </c>
      <c r="D287">
        <v>10.6</v>
      </c>
      <c r="E287" s="15">
        <f t="shared" si="16"/>
        <v>-0.72145348968847034</v>
      </c>
      <c r="F287" s="13">
        <f>STANDARDIZE(D287,I$11,J$11)</f>
        <v>-0.56440536444725364</v>
      </c>
    </row>
    <row r="288" spans="1:6" x14ac:dyDescent="0.3">
      <c r="A288" t="s">
        <v>4</v>
      </c>
      <c r="B288">
        <v>1970</v>
      </c>
      <c r="C288" s="12">
        <v>1970.3333333231701</v>
      </c>
      <c r="D288">
        <v>86.5</v>
      </c>
      <c r="E288" s="15">
        <f t="shared" si="16"/>
        <v>0.1750712774518639</v>
      </c>
      <c r="F288" s="13">
        <f>STANDARDIZE(D288,I$12,J$12)</f>
        <v>8.4897909992468056E-3</v>
      </c>
    </row>
    <row r="289" spans="1:6" x14ac:dyDescent="0.3">
      <c r="A289" t="s">
        <v>5</v>
      </c>
      <c r="B289">
        <v>1970</v>
      </c>
      <c r="C289" s="12">
        <v>1970.41666665653</v>
      </c>
      <c r="D289">
        <v>146.69999999999999</v>
      </c>
      <c r="E289" s="15">
        <f t="shared" si="16"/>
        <v>0.88614889249597606</v>
      </c>
      <c r="F289" s="13">
        <f>STANDARDIZE(D289,I$13,J$13)</f>
        <v>0.85789606234753624</v>
      </c>
    </row>
    <row r="290" spans="1:6" x14ac:dyDescent="0.3">
      <c r="A290" t="s">
        <v>6</v>
      </c>
      <c r="B290">
        <v>1970</v>
      </c>
      <c r="C290" s="12">
        <v>1970.4999999898901</v>
      </c>
      <c r="D290">
        <v>127.2</v>
      </c>
      <c r="E290" s="15">
        <f t="shared" si="16"/>
        <v>0.65581644244015913</v>
      </c>
      <c r="F290" s="13">
        <f>STANDARDIZE(D290,I$14,J$14)</f>
        <v>0.43162322849931484</v>
      </c>
    </row>
    <row r="291" spans="1:6" x14ac:dyDescent="0.3">
      <c r="A291" t="s">
        <v>7</v>
      </c>
      <c r="B291">
        <v>1970</v>
      </c>
      <c r="C291" s="12">
        <v>1970.5833333232499</v>
      </c>
      <c r="D291">
        <v>127.1</v>
      </c>
      <c r="E291" s="15">
        <f t="shared" si="16"/>
        <v>0.65463525038859072</v>
      </c>
      <c r="F291" s="13">
        <f>STANDARDIZE(D291,I$15,J$15)</f>
        <v>0.34169446658420827</v>
      </c>
    </row>
    <row r="292" spans="1:6" x14ac:dyDescent="0.3">
      <c r="A292" t="s">
        <v>8</v>
      </c>
      <c r="B292">
        <v>1970</v>
      </c>
      <c r="C292" s="12">
        <v>1970.66666665661</v>
      </c>
      <c r="D292">
        <v>240.2</v>
      </c>
      <c r="E292" s="15">
        <f t="shared" si="16"/>
        <v>1.9905634607123297</v>
      </c>
      <c r="F292" s="13">
        <f>STANDARDIZE(D292,I$16,J$16)</f>
        <v>1.7302740475570986</v>
      </c>
    </row>
    <row r="293" spans="1:6" x14ac:dyDescent="0.3">
      <c r="A293" t="s">
        <v>9</v>
      </c>
      <c r="B293">
        <v>1970</v>
      </c>
      <c r="C293" s="12">
        <v>1970.7499999899701</v>
      </c>
      <c r="D293">
        <v>315.60000000000002</v>
      </c>
      <c r="E293" s="15">
        <f t="shared" si="16"/>
        <v>2.8811822675948231</v>
      </c>
      <c r="F293" s="13">
        <f>STANDARDIZE(D293,I$17,J$17)</f>
        <v>1.219766398742149</v>
      </c>
    </row>
    <row r="294" spans="1:6" x14ac:dyDescent="0.3">
      <c r="A294" t="s">
        <v>10</v>
      </c>
      <c r="B294">
        <v>1970</v>
      </c>
      <c r="C294" s="12">
        <v>1970.83333332333</v>
      </c>
      <c r="D294">
        <v>67.599999999999994</v>
      </c>
      <c r="E294" s="15">
        <f t="shared" si="16"/>
        <v>-4.8174020294543513E-2</v>
      </c>
      <c r="F294" s="13">
        <f>STANDARDIZE(D294,I$18,J$18)</f>
        <v>-0.5028456525115661</v>
      </c>
    </row>
    <row r="295" spans="1:6" x14ac:dyDescent="0.3">
      <c r="A295" t="s">
        <v>11</v>
      </c>
      <c r="B295">
        <v>1970</v>
      </c>
      <c r="C295" s="12">
        <v>1970.91666665669</v>
      </c>
      <c r="D295">
        <v>167</v>
      </c>
      <c r="E295" s="15">
        <f t="shared" si="16"/>
        <v>1.1259308789643396</v>
      </c>
      <c r="F295" s="13">
        <f>STANDARDIZE(D295,I$19,J$19)</f>
        <v>2.6096622319293599</v>
      </c>
    </row>
    <row r="296" spans="1:6" x14ac:dyDescent="0.3">
      <c r="A296" t="s">
        <v>0</v>
      </c>
      <c r="B296">
        <v>1971</v>
      </c>
      <c r="C296" s="12">
        <v>1970.9999999900499</v>
      </c>
      <c r="D296">
        <v>1.3</v>
      </c>
      <c r="E296" s="15">
        <f t="shared" si="16"/>
        <v>-0.83130435048432161</v>
      </c>
      <c r="F296" s="13">
        <f>STANDARDIZE(D296,I$8,J$8)</f>
        <v>-0.16783878999588892</v>
      </c>
    </row>
    <row r="297" spans="1:6" x14ac:dyDescent="0.3">
      <c r="A297" t="s">
        <v>1</v>
      </c>
      <c r="B297">
        <v>1971</v>
      </c>
      <c r="C297" s="12">
        <v>1971.08333332341</v>
      </c>
      <c r="E297" s="15"/>
      <c r="F297" s="13"/>
    </row>
    <row r="298" spans="1:6" x14ac:dyDescent="0.3">
      <c r="A298" t="s">
        <v>2</v>
      </c>
      <c r="B298">
        <v>1971</v>
      </c>
      <c r="C298" s="12">
        <v>1971.1666666567701</v>
      </c>
      <c r="D298">
        <v>0</v>
      </c>
      <c r="E298" s="15">
        <f>STANDARDIZE(D298,F$4,F$5)</f>
        <v>-0.84665984715470932</v>
      </c>
      <c r="F298" s="13">
        <f>STANDARDIZE(D298,I$10,J$10)</f>
        <v>-0.50850073286852082</v>
      </c>
    </row>
    <row r="299" spans="1:6" x14ac:dyDescent="0.3">
      <c r="A299" t="s">
        <v>3</v>
      </c>
      <c r="B299">
        <v>1971</v>
      </c>
      <c r="C299" s="12">
        <v>1971.2499999901299</v>
      </c>
      <c r="E299" s="15"/>
      <c r="F299" s="13"/>
    </row>
    <row r="300" spans="1:6" x14ac:dyDescent="0.3">
      <c r="A300" t="s">
        <v>4</v>
      </c>
      <c r="B300">
        <v>1971</v>
      </c>
      <c r="C300" s="12">
        <v>1971.33333332349</v>
      </c>
      <c r="E300" s="15"/>
      <c r="F300" s="13"/>
    </row>
    <row r="301" spans="1:6" x14ac:dyDescent="0.3">
      <c r="A301" t="s">
        <v>5</v>
      </c>
      <c r="B301">
        <v>1971</v>
      </c>
      <c r="C301" s="12">
        <v>1971.4166666568501</v>
      </c>
      <c r="D301">
        <v>78.5</v>
      </c>
      <c r="E301" s="15">
        <f>STANDARDIZE(D301,F$4,F$5)</f>
        <v>8.0575913326400475E-2</v>
      </c>
      <c r="F301" s="13">
        <f>STANDARDIZE(D301,I$13,J$13)</f>
        <v>-0.20867742057102254</v>
      </c>
    </row>
    <row r="302" spans="1:6" x14ac:dyDescent="0.3">
      <c r="A302" t="s">
        <v>6</v>
      </c>
      <c r="B302">
        <v>1971</v>
      </c>
      <c r="C302" s="12">
        <v>1971.49999999021</v>
      </c>
      <c r="E302" s="15"/>
      <c r="F302" s="13"/>
    </row>
    <row r="303" spans="1:6" x14ac:dyDescent="0.3">
      <c r="A303" t="s">
        <v>7</v>
      </c>
      <c r="B303">
        <v>1971</v>
      </c>
      <c r="C303" s="12">
        <v>1971.5833333235701</v>
      </c>
      <c r="E303" s="15"/>
      <c r="F303" s="13"/>
    </row>
    <row r="304" spans="1:6" x14ac:dyDescent="0.3">
      <c r="A304" t="s">
        <v>8</v>
      </c>
      <c r="B304">
        <v>1971</v>
      </c>
      <c r="C304" s="12">
        <v>1971.6666666569299</v>
      </c>
      <c r="E304" s="15"/>
      <c r="F304" s="13"/>
    </row>
    <row r="305" spans="1:6" x14ac:dyDescent="0.3">
      <c r="A305" t="s">
        <v>9</v>
      </c>
      <c r="B305">
        <v>1971</v>
      </c>
      <c r="C305" s="12">
        <v>1971.74999999029</v>
      </c>
      <c r="E305" s="15"/>
      <c r="F305" s="13"/>
    </row>
    <row r="306" spans="1:6" x14ac:dyDescent="0.3">
      <c r="A306" t="s">
        <v>10</v>
      </c>
      <c r="B306">
        <v>1971</v>
      </c>
      <c r="C306" s="12">
        <v>1971.8333333236501</v>
      </c>
      <c r="E306" s="15"/>
      <c r="F306" s="13"/>
    </row>
    <row r="307" spans="1:6" x14ac:dyDescent="0.3">
      <c r="A307" t="s">
        <v>11</v>
      </c>
      <c r="B307">
        <v>1971</v>
      </c>
      <c r="C307" s="12">
        <v>1971.91666665701</v>
      </c>
      <c r="E307" s="15"/>
      <c r="F307" s="13"/>
    </row>
    <row r="308" spans="1:6" x14ac:dyDescent="0.3">
      <c r="A308" t="s">
        <v>0</v>
      </c>
      <c r="B308">
        <v>1972</v>
      </c>
      <c r="C308" s="12">
        <v>1971.99999999037</v>
      </c>
      <c r="D308">
        <v>0</v>
      </c>
      <c r="E308" s="15">
        <f t="shared" ref="E308:E324" si="17">STANDARDIZE(D308,F$4,F$5)</f>
        <v>-0.84665984715470932</v>
      </c>
      <c r="F308" s="13">
        <f>STANDARDIZE(D308,I$8,J$8)</f>
        <v>-0.28131844469760109</v>
      </c>
    </row>
    <row r="309" spans="1:6" x14ac:dyDescent="0.3">
      <c r="A309" t="s">
        <v>1</v>
      </c>
      <c r="B309">
        <v>1972</v>
      </c>
      <c r="C309" s="12">
        <v>1972.0833333237299</v>
      </c>
      <c r="D309">
        <v>0</v>
      </c>
      <c r="E309" s="15">
        <f t="shared" si="17"/>
        <v>-0.84665984715470932</v>
      </c>
      <c r="F309" s="13">
        <f>STANDARDIZE(D309,I$9,J$9)</f>
        <v>-0.21027614347857898</v>
      </c>
    </row>
    <row r="310" spans="1:6" x14ac:dyDescent="0.3">
      <c r="A310" t="s">
        <v>2</v>
      </c>
      <c r="B310">
        <v>1972</v>
      </c>
      <c r="C310" s="12">
        <v>1972.16666665709</v>
      </c>
      <c r="D310">
        <v>7.1</v>
      </c>
      <c r="E310" s="15">
        <f t="shared" si="17"/>
        <v>-0.7627952114933606</v>
      </c>
      <c r="F310" s="13">
        <f>STANDARDIZE(D310,I$10,J$10)</f>
        <v>1.2088986767667054</v>
      </c>
    </row>
    <row r="311" spans="1:6" x14ac:dyDescent="0.3">
      <c r="A311" t="s">
        <v>3</v>
      </c>
      <c r="B311">
        <v>1972</v>
      </c>
      <c r="C311" s="12">
        <v>1972.2499999904501</v>
      </c>
      <c r="D311">
        <v>58.4</v>
      </c>
      <c r="E311" s="15">
        <f t="shared" si="17"/>
        <v>-0.15684368903882639</v>
      </c>
      <c r="F311" s="13">
        <f>STANDARDIZE(D311,I$11,J$11)</f>
        <v>1.6868633840194358</v>
      </c>
    </row>
    <row r="312" spans="1:6" x14ac:dyDescent="0.3">
      <c r="A312" t="s">
        <v>4</v>
      </c>
      <c r="B312">
        <v>1972</v>
      </c>
      <c r="C312" s="12">
        <v>1972.3333333238099</v>
      </c>
      <c r="D312">
        <v>144.69999999999999</v>
      </c>
      <c r="E312" s="15">
        <f t="shared" si="17"/>
        <v>0.86252505146461012</v>
      </c>
      <c r="F312" s="13">
        <f>STANDARDIZE(D312,I$12,J$12)</f>
        <v>0.88160853762056368</v>
      </c>
    </row>
    <row r="313" spans="1:6" x14ac:dyDescent="0.3">
      <c r="A313" t="s">
        <v>5</v>
      </c>
      <c r="B313">
        <v>1972</v>
      </c>
      <c r="C313" s="12">
        <v>1972.41666665717</v>
      </c>
      <c r="D313">
        <v>69.099999999999994</v>
      </c>
      <c r="E313" s="15">
        <f t="shared" si="17"/>
        <v>-3.045613952101912E-2</v>
      </c>
      <c r="F313" s="13">
        <f>STANDARDIZE(D313,I$13,J$13)</f>
        <v>-0.35568314988824334</v>
      </c>
    </row>
    <row r="314" spans="1:6" x14ac:dyDescent="0.3">
      <c r="A314" t="s">
        <v>6</v>
      </c>
      <c r="B314">
        <v>1972</v>
      </c>
      <c r="C314" s="12">
        <v>1972.4999999905299</v>
      </c>
      <c r="D314">
        <v>11.2</v>
      </c>
      <c r="E314" s="15">
        <f t="shared" si="17"/>
        <v>-0.71436633737906052</v>
      </c>
      <c r="F314" s="13">
        <f>STANDARDIZE(D314,I$14,J$14)</f>
        <v>-1.0051024778942721</v>
      </c>
    </row>
    <row r="315" spans="1:6" x14ac:dyDescent="0.3">
      <c r="A315" t="s">
        <v>7</v>
      </c>
      <c r="B315">
        <v>1972</v>
      </c>
      <c r="C315" s="12">
        <v>1972.58333332389</v>
      </c>
      <c r="D315">
        <v>25.4</v>
      </c>
      <c r="E315" s="15">
        <f t="shared" si="17"/>
        <v>-0.54663706605636297</v>
      </c>
      <c r="F315" s="13">
        <f>STANDARDIZE(D315,I$15,J$15)</f>
        <v>-0.9454561211893433</v>
      </c>
    </row>
    <row r="316" spans="1:6" x14ac:dyDescent="0.3">
      <c r="A316" t="s">
        <v>8</v>
      </c>
      <c r="B316">
        <v>1972</v>
      </c>
      <c r="C316" s="12">
        <v>1972.6666666572501</v>
      </c>
      <c r="D316">
        <v>155.6</v>
      </c>
      <c r="E316" s="15">
        <f t="shared" si="17"/>
        <v>0.99127498508555412</v>
      </c>
      <c r="F316" s="13">
        <f>STANDARDIZE(D316,I$16,J$16)</f>
        <v>0.55210542560375742</v>
      </c>
    </row>
    <row r="317" spans="1:6" x14ac:dyDescent="0.3">
      <c r="A317" t="s">
        <v>9</v>
      </c>
      <c r="B317">
        <v>1972</v>
      </c>
      <c r="C317" s="12">
        <v>1972.7499999906099</v>
      </c>
      <c r="D317">
        <v>161</v>
      </c>
      <c r="E317" s="15">
        <f t="shared" si="17"/>
        <v>1.0550593558702421</v>
      </c>
      <c r="F317" s="13">
        <f>STANDARDIZE(D317,I$17,J$17)</f>
        <v>-0.14037382181389071</v>
      </c>
    </row>
    <row r="318" spans="1:6" x14ac:dyDescent="0.3">
      <c r="A318" t="s">
        <v>10</v>
      </c>
      <c r="B318">
        <v>1972</v>
      </c>
      <c r="C318" s="12">
        <v>1972.83333332397</v>
      </c>
      <c r="D318">
        <v>81.2</v>
      </c>
      <c r="E318" s="15">
        <f t="shared" si="17"/>
        <v>0.11246809871874441</v>
      </c>
      <c r="F318" s="13">
        <f>STANDARDIZE(D318,I$18,J$18)</f>
        <v>-0.38153831993227905</v>
      </c>
    </row>
    <row r="319" spans="1:6" x14ac:dyDescent="0.3">
      <c r="A319" t="s">
        <v>11</v>
      </c>
      <c r="B319">
        <v>1972</v>
      </c>
      <c r="C319" s="12">
        <v>1972.9166666573301</v>
      </c>
      <c r="D319">
        <v>0.3</v>
      </c>
      <c r="E319" s="15">
        <f t="shared" si="17"/>
        <v>-0.84311627100000452</v>
      </c>
      <c r="F319" s="13">
        <f>STANDARDIZE(D319,I$19,J$19)</f>
        <v>-0.65686420696931236</v>
      </c>
    </row>
    <row r="320" spans="1:6" x14ac:dyDescent="0.3">
      <c r="A320" t="s">
        <v>0</v>
      </c>
      <c r="B320">
        <v>1973</v>
      </c>
      <c r="C320" s="12">
        <v>1972.99999999069</v>
      </c>
      <c r="D320">
        <v>0.3</v>
      </c>
      <c r="E320" s="15">
        <f t="shared" si="17"/>
        <v>-0.84311627100000452</v>
      </c>
      <c r="F320" s="13">
        <f>STANDARDIZE(D320,I$8,J$8)</f>
        <v>-0.25513083207412907</v>
      </c>
    </row>
    <row r="321" spans="1:6" x14ac:dyDescent="0.3">
      <c r="A321" t="s">
        <v>1</v>
      </c>
      <c r="B321">
        <v>1973</v>
      </c>
      <c r="C321" s="12">
        <v>1973.08333332405</v>
      </c>
      <c r="D321">
        <v>0.4</v>
      </c>
      <c r="E321" s="15">
        <f t="shared" si="17"/>
        <v>-0.84193507894843611</v>
      </c>
      <c r="F321" s="13">
        <f>STANDARDIZE(D321,I$9,J$9)</f>
        <v>0.12911693020614498</v>
      </c>
    </row>
    <row r="322" spans="1:6" x14ac:dyDescent="0.3">
      <c r="A322" t="s">
        <v>2</v>
      </c>
      <c r="B322">
        <v>1973</v>
      </c>
      <c r="C322" s="12">
        <v>1973.1666666574099</v>
      </c>
      <c r="D322">
        <v>0.6</v>
      </c>
      <c r="E322" s="15">
        <f t="shared" si="17"/>
        <v>-0.83957269484529973</v>
      </c>
      <c r="F322" s="13">
        <f>STANDARDIZE(D322,I$10,J$10)</f>
        <v>-0.36336838839230451</v>
      </c>
    </row>
    <row r="323" spans="1:6" x14ac:dyDescent="0.3">
      <c r="A323" t="s">
        <v>3</v>
      </c>
      <c r="B323">
        <v>1973</v>
      </c>
      <c r="C323" s="12">
        <v>1973.24999999077</v>
      </c>
      <c r="D323">
        <v>50.4</v>
      </c>
      <c r="E323" s="15">
        <f t="shared" si="17"/>
        <v>-0.25133905316428984</v>
      </c>
      <c r="F323" s="13">
        <f>STANDARDIZE(D323,I$11,J$11)</f>
        <v>1.3100820035229188</v>
      </c>
    </row>
    <row r="324" spans="1:6" x14ac:dyDescent="0.3">
      <c r="A324" t="s">
        <v>4</v>
      </c>
      <c r="B324">
        <v>1973</v>
      </c>
      <c r="C324" s="12">
        <v>1973.3333333241301</v>
      </c>
      <c r="D324">
        <v>99</v>
      </c>
      <c r="E324" s="15">
        <f t="shared" si="17"/>
        <v>0.32272028389790047</v>
      </c>
      <c r="F324" s="13">
        <f>STANDARDIZE(D324,I$12,J$12)</f>
        <v>0.19601529499867057</v>
      </c>
    </row>
    <row r="325" spans="1:6" x14ac:dyDescent="0.3">
      <c r="A325" t="s">
        <v>5</v>
      </c>
      <c r="B325">
        <v>1973</v>
      </c>
      <c r="C325" s="12">
        <v>1973.4166666574899</v>
      </c>
      <c r="E325" s="15"/>
      <c r="F325" s="13"/>
    </row>
    <row r="326" spans="1:6" x14ac:dyDescent="0.3">
      <c r="A326" t="s">
        <v>6</v>
      </c>
      <c r="B326">
        <v>1973</v>
      </c>
      <c r="C326" s="12">
        <v>1973.49999999085</v>
      </c>
      <c r="E326" s="15"/>
      <c r="F326" s="13"/>
    </row>
    <row r="327" spans="1:6" x14ac:dyDescent="0.3">
      <c r="A327" t="s">
        <v>7</v>
      </c>
      <c r="B327">
        <v>1973</v>
      </c>
      <c r="C327" s="12">
        <v>1973.5833333242099</v>
      </c>
      <c r="E327" s="15"/>
      <c r="F327" s="13"/>
    </row>
    <row r="328" spans="1:6" x14ac:dyDescent="0.3">
      <c r="A328" t="s">
        <v>8</v>
      </c>
      <c r="B328">
        <v>1973</v>
      </c>
      <c r="C328" s="12">
        <v>1973.66666665757</v>
      </c>
      <c r="E328" s="15"/>
      <c r="F328" s="13"/>
    </row>
    <row r="329" spans="1:6" x14ac:dyDescent="0.3">
      <c r="A329" t="s">
        <v>9</v>
      </c>
      <c r="B329">
        <v>1973</v>
      </c>
      <c r="C329" s="12">
        <v>1973.7499999909301</v>
      </c>
      <c r="E329" s="15"/>
      <c r="F329" s="13"/>
    </row>
    <row r="330" spans="1:6" x14ac:dyDescent="0.3">
      <c r="A330" t="s">
        <v>10</v>
      </c>
      <c r="B330">
        <v>1973</v>
      </c>
      <c r="C330" s="12">
        <v>1973.8333333242899</v>
      </c>
      <c r="E330" s="15"/>
      <c r="F330" s="13"/>
    </row>
    <row r="331" spans="1:6" x14ac:dyDescent="0.3">
      <c r="A331" t="s">
        <v>11</v>
      </c>
      <c r="B331">
        <v>1973</v>
      </c>
      <c r="C331" s="12">
        <v>1973.91666665765</v>
      </c>
      <c r="E331" s="15"/>
      <c r="F331" s="13"/>
    </row>
    <row r="332" spans="1:6" x14ac:dyDescent="0.3">
      <c r="A332" t="s">
        <v>0</v>
      </c>
      <c r="B332">
        <v>1974</v>
      </c>
      <c r="C332" s="12">
        <v>1973.9999999910101</v>
      </c>
      <c r="E332" s="15"/>
      <c r="F332" s="13"/>
    </row>
    <row r="333" spans="1:6" x14ac:dyDescent="0.3">
      <c r="A333" t="s">
        <v>1</v>
      </c>
      <c r="B333">
        <v>1974</v>
      </c>
      <c r="C333" s="12">
        <v>1974.08333332437</v>
      </c>
      <c r="E333" s="15"/>
      <c r="F333" s="13"/>
    </row>
    <row r="334" spans="1:6" x14ac:dyDescent="0.3">
      <c r="A334" t="s">
        <v>2</v>
      </c>
      <c r="B334">
        <v>1974</v>
      </c>
      <c r="C334" s="12">
        <v>1974.16666665773</v>
      </c>
      <c r="E334" s="15"/>
      <c r="F334" s="13"/>
    </row>
    <row r="335" spans="1:6" x14ac:dyDescent="0.3">
      <c r="A335" t="s">
        <v>3</v>
      </c>
      <c r="B335">
        <v>1974</v>
      </c>
      <c r="C335" s="12">
        <v>1974.2499999910899</v>
      </c>
      <c r="E335" s="15"/>
      <c r="F335" s="13"/>
    </row>
    <row r="336" spans="1:6" x14ac:dyDescent="0.3">
      <c r="A336" t="s">
        <v>4</v>
      </c>
      <c r="B336">
        <v>1974</v>
      </c>
      <c r="C336" s="12">
        <v>1974.33333332445</v>
      </c>
      <c r="E336" s="15"/>
      <c r="F336" s="13"/>
    </row>
    <row r="337" spans="1:6" x14ac:dyDescent="0.3">
      <c r="A337" t="s">
        <v>5</v>
      </c>
      <c r="B337">
        <v>1974</v>
      </c>
      <c r="C337" s="12">
        <v>1974.4166666578101</v>
      </c>
      <c r="D337">
        <v>31.6</v>
      </c>
      <c r="E337" s="15">
        <f t="shared" ref="E337:E342" si="18">STANDARDIZE(D337,F$4,F$5)</f>
        <v>-0.47340315885912881</v>
      </c>
      <c r="F337" s="13">
        <f>STANDARDIZE(D337,I$13,J$13)</f>
        <v>-0.94214217641970899</v>
      </c>
    </row>
    <row r="338" spans="1:6" x14ac:dyDescent="0.3">
      <c r="A338" t="s">
        <v>6</v>
      </c>
      <c r="B338">
        <v>1974</v>
      </c>
      <c r="C338" s="12">
        <v>1974.4999999911699</v>
      </c>
      <c r="D338">
        <v>81.900000000000006</v>
      </c>
      <c r="E338" s="15">
        <f t="shared" si="18"/>
        <v>0.12073644307972249</v>
      </c>
      <c r="F338" s="13">
        <f>STANDARDIZE(D338,I$14,J$14)</f>
        <v>-0.1294429309802497</v>
      </c>
    </row>
    <row r="339" spans="1:6" x14ac:dyDescent="0.3">
      <c r="A339" t="s">
        <v>7</v>
      </c>
      <c r="B339">
        <v>1974</v>
      </c>
      <c r="C339" s="12">
        <v>1974.58333332453</v>
      </c>
      <c r="D339">
        <v>39</v>
      </c>
      <c r="E339" s="15">
        <f t="shared" si="18"/>
        <v>-0.38599494704307519</v>
      </c>
      <c r="F339" s="13">
        <f>STANDARDIZE(D339,I$15,J$15)</f>
        <v>-0.77332978890104143</v>
      </c>
    </row>
    <row r="340" spans="1:6" x14ac:dyDescent="0.3">
      <c r="A340" t="s">
        <v>8</v>
      </c>
      <c r="B340">
        <v>1974</v>
      </c>
      <c r="C340" s="12">
        <v>1974.6666666578899</v>
      </c>
      <c r="D340">
        <v>82.8</v>
      </c>
      <c r="E340" s="15">
        <f t="shared" si="18"/>
        <v>0.13136717154383704</v>
      </c>
      <c r="F340" s="13">
        <f>STANDARDIZE(D340,I$16,J$16)</f>
        <v>-0.46173234837027605</v>
      </c>
    </row>
    <row r="341" spans="1:6" x14ac:dyDescent="0.3">
      <c r="A341" t="s">
        <v>9</v>
      </c>
      <c r="B341">
        <v>1974</v>
      </c>
      <c r="C341" s="12">
        <v>1974.74999999125</v>
      </c>
      <c r="D341">
        <v>344.9</v>
      </c>
      <c r="E341" s="15">
        <f t="shared" si="18"/>
        <v>3.2272715387043323</v>
      </c>
      <c r="F341" s="13">
        <f>STANDARDIZE(D341,I$17,J$17)</f>
        <v>1.4775420032847875</v>
      </c>
    </row>
    <row r="342" spans="1:6" x14ac:dyDescent="0.3">
      <c r="A342" t="s">
        <v>10</v>
      </c>
      <c r="B342">
        <v>1974</v>
      </c>
      <c r="C342" s="12">
        <v>1974.8333333246101</v>
      </c>
      <c r="D342">
        <v>41.7</v>
      </c>
      <c r="E342" s="15">
        <f t="shared" si="18"/>
        <v>-0.35410276165073123</v>
      </c>
      <c r="F342" s="13">
        <f>STANDARDIZE(D342,I$18,J$18)</f>
        <v>-0.73386476382064925</v>
      </c>
    </row>
    <row r="343" spans="1:6" x14ac:dyDescent="0.3">
      <c r="A343" t="s">
        <v>11</v>
      </c>
      <c r="B343">
        <v>1974</v>
      </c>
      <c r="C343" s="12">
        <v>1974.9166666579699</v>
      </c>
      <c r="E343" s="15"/>
      <c r="F343" s="13"/>
    </row>
    <row r="344" spans="1:6" x14ac:dyDescent="0.3">
      <c r="A344" t="s">
        <v>0</v>
      </c>
      <c r="B344">
        <v>1975</v>
      </c>
      <c r="C344" s="12">
        <v>1974.99999999133</v>
      </c>
      <c r="E344" s="15"/>
      <c r="F344" s="13"/>
    </row>
    <row r="345" spans="1:6" x14ac:dyDescent="0.3">
      <c r="A345" t="s">
        <v>1</v>
      </c>
      <c r="B345">
        <v>1975</v>
      </c>
      <c r="C345" s="12">
        <v>1975.0833333246901</v>
      </c>
      <c r="D345">
        <v>0</v>
      </c>
      <c r="E345" s="15">
        <f>STANDARDIZE(D345,F$4,F$5)</f>
        <v>-0.84665984715470932</v>
      </c>
      <c r="F345" s="13">
        <f>STANDARDIZE(D345,I$9,J$9)</f>
        <v>-0.21027614347857898</v>
      </c>
    </row>
    <row r="346" spans="1:6" x14ac:dyDescent="0.3">
      <c r="A346" t="s">
        <v>2</v>
      </c>
      <c r="B346">
        <v>1975</v>
      </c>
      <c r="C346" s="12">
        <v>1975.16666665805</v>
      </c>
      <c r="D346">
        <v>0.5</v>
      </c>
      <c r="E346" s="15">
        <f>STANDARDIZE(D346,F$4,F$5)</f>
        <v>-0.84075388689686792</v>
      </c>
      <c r="F346" s="13">
        <f>STANDARDIZE(D346,I$10,J$10)</f>
        <v>-0.3875571124716739</v>
      </c>
    </row>
    <row r="347" spans="1:6" x14ac:dyDescent="0.3">
      <c r="A347" t="s">
        <v>3</v>
      </c>
      <c r="B347">
        <v>1975</v>
      </c>
      <c r="C347" s="12">
        <v>1975.24999999141</v>
      </c>
      <c r="E347" s="15"/>
      <c r="F347" s="13"/>
    </row>
    <row r="348" spans="1:6" x14ac:dyDescent="0.3">
      <c r="A348" t="s">
        <v>4</v>
      </c>
      <c r="B348">
        <v>1975</v>
      </c>
      <c r="C348" s="12">
        <v>1975.3333333247699</v>
      </c>
      <c r="E348" s="15"/>
      <c r="F348" s="13"/>
    </row>
    <row r="349" spans="1:6" x14ac:dyDescent="0.3">
      <c r="A349" t="s">
        <v>5</v>
      </c>
      <c r="B349">
        <v>1975</v>
      </c>
      <c r="C349" s="12">
        <v>1975.41666665813</v>
      </c>
      <c r="D349">
        <v>31.6</v>
      </c>
      <c r="E349" s="15">
        <f>STANDARDIZE(D349,F$4,F$5)</f>
        <v>-0.47340315885912881</v>
      </c>
      <c r="F349" s="13">
        <f>STANDARDIZE(D349,I$13,J$13)</f>
        <v>-0.94214217641970899</v>
      </c>
    </row>
    <row r="350" spans="1:6" x14ac:dyDescent="0.3">
      <c r="A350" t="s">
        <v>6</v>
      </c>
      <c r="B350">
        <v>1975</v>
      </c>
      <c r="C350" s="12">
        <v>1975.4999999914901</v>
      </c>
      <c r="E350" s="15"/>
      <c r="F350" s="13"/>
    </row>
    <row r="351" spans="1:6" x14ac:dyDescent="0.3">
      <c r="A351" t="s">
        <v>7</v>
      </c>
      <c r="B351">
        <v>1975</v>
      </c>
      <c r="C351" s="12">
        <v>1975.5833333248499</v>
      </c>
      <c r="D351">
        <v>161.80000000000001</v>
      </c>
      <c r="E351" s="15">
        <f t="shared" ref="E351:E376" si="19">STANDARDIZE(D351,F$4,F$5)</f>
        <v>1.0645088922827886</v>
      </c>
      <c r="F351" s="13">
        <f>STANDARDIZE(D351,I$15,J$15)</f>
        <v>0.78086974087862582</v>
      </c>
    </row>
    <row r="352" spans="1:6" x14ac:dyDescent="0.3">
      <c r="A352" t="s">
        <v>8</v>
      </c>
      <c r="B352">
        <v>1975</v>
      </c>
      <c r="C352" s="12">
        <v>1975.66666665821</v>
      </c>
      <c r="D352">
        <v>144.30000000000001</v>
      </c>
      <c r="E352" s="15">
        <f t="shared" si="19"/>
        <v>0.85780028325833724</v>
      </c>
      <c r="F352" s="13">
        <f>STANDARDIZE(D352,I$16,J$16)</f>
        <v>0.39473774914899695</v>
      </c>
    </row>
    <row r="353" spans="1:6" x14ac:dyDescent="0.3">
      <c r="A353" t="s">
        <v>9</v>
      </c>
      <c r="B353">
        <v>1975</v>
      </c>
      <c r="C353" s="12">
        <v>1975.7499999915699</v>
      </c>
      <c r="D353">
        <v>280.5</v>
      </c>
      <c r="E353" s="15">
        <f t="shared" si="19"/>
        <v>2.4665838574943519</v>
      </c>
      <c r="F353" s="13">
        <f>STANDARDIZE(D353,I$17,J$17)</f>
        <v>0.9109635414231515</v>
      </c>
    </row>
    <row r="354" spans="1:6" x14ac:dyDescent="0.3">
      <c r="A354" t="s">
        <v>10</v>
      </c>
      <c r="B354">
        <v>1975</v>
      </c>
      <c r="C354" s="12">
        <v>1975.83333332493</v>
      </c>
      <c r="D354">
        <v>179.6</v>
      </c>
      <c r="E354" s="15">
        <f t="shared" si="19"/>
        <v>1.2747610774619444</v>
      </c>
      <c r="F354" s="13">
        <f>STANDARDIZE(D354,I$18,J$18)</f>
        <v>0.49615590990609121</v>
      </c>
    </row>
    <row r="355" spans="1:6" x14ac:dyDescent="0.3">
      <c r="A355" t="s">
        <v>11</v>
      </c>
      <c r="B355">
        <v>1975</v>
      </c>
      <c r="C355" s="12">
        <v>1975.9166666582901</v>
      </c>
      <c r="D355">
        <v>44.6</v>
      </c>
      <c r="E355" s="15">
        <f t="shared" si="19"/>
        <v>-0.31984819215525079</v>
      </c>
      <c r="F355" s="13">
        <f>STANDARDIZE(D355,I$19,J$19)</f>
        <v>0.21120490666722741</v>
      </c>
    </row>
    <row r="356" spans="1:6" x14ac:dyDescent="0.3">
      <c r="A356" t="s">
        <v>0</v>
      </c>
      <c r="B356">
        <v>1976</v>
      </c>
      <c r="C356" s="12">
        <v>1975.9999999916499</v>
      </c>
      <c r="D356">
        <v>0</v>
      </c>
      <c r="E356" s="15">
        <f t="shared" si="19"/>
        <v>-0.84665984715470932</v>
      </c>
      <c r="F356" s="13">
        <f>STANDARDIZE(D356,I$8,J$8)</f>
        <v>-0.28131844469760109</v>
      </c>
    </row>
    <row r="357" spans="1:6" x14ac:dyDescent="0.3">
      <c r="A357" t="s">
        <v>1</v>
      </c>
      <c r="B357">
        <v>1976</v>
      </c>
      <c r="C357" s="12">
        <v>1976.08333332501</v>
      </c>
      <c r="D357">
        <v>0</v>
      </c>
      <c r="E357" s="15">
        <f t="shared" si="19"/>
        <v>-0.84665984715470932</v>
      </c>
      <c r="F357" s="13">
        <f>STANDARDIZE(D357,I$9,J$9)</f>
        <v>-0.21027614347857898</v>
      </c>
    </row>
    <row r="358" spans="1:6" x14ac:dyDescent="0.3">
      <c r="A358" t="s">
        <v>2</v>
      </c>
      <c r="B358">
        <v>1976</v>
      </c>
      <c r="C358" s="12">
        <v>1976.1666666583701</v>
      </c>
      <c r="D358">
        <v>0</v>
      </c>
      <c r="E358" s="15">
        <f t="shared" si="19"/>
        <v>-0.84665984715470932</v>
      </c>
      <c r="F358" s="13">
        <f>STANDARDIZE(D358,I$10,J$10)</f>
        <v>-0.50850073286852082</v>
      </c>
    </row>
    <row r="359" spans="1:6" x14ac:dyDescent="0.3">
      <c r="A359" t="s">
        <v>3</v>
      </c>
      <c r="B359">
        <v>1976</v>
      </c>
      <c r="C359" s="12">
        <v>1976.24999999173</v>
      </c>
      <c r="D359">
        <v>15.9</v>
      </c>
      <c r="E359" s="15">
        <f t="shared" si="19"/>
        <v>-0.65885031095535085</v>
      </c>
      <c r="F359" s="13">
        <f>STANDARDIZE(D359,I$11,J$11)</f>
        <v>-0.31478769986831112</v>
      </c>
    </row>
    <row r="360" spans="1:6" x14ac:dyDescent="0.3">
      <c r="A360" t="s">
        <v>4</v>
      </c>
      <c r="B360">
        <v>1976</v>
      </c>
      <c r="C360" s="12">
        <v>1976.3333333250901</v>
      </c>
      <c r="D360">
        <v>59.8</v>
      </c>
      <c r="E360" s="15">
        <f t="shared" si="19"/>
        <v>-0.14030700031687032</v>
      </c>
      <c r="F360" s="13">
        <f>STANDARDIZE(D360,I$12,J$12)</f>
        <v>-0.39206468554352236</v>
      </c>
    </row>
    <row r="361" spans="1:6" x14ac:dyDescent="0.3">
      <c r="A361" t="s">
        <v>5</v>
      </c>
      <c r="B361">
        <v>1976</v>
      </c>
      <c r="C361" s="12">
        <v>1976.4166666584499</v>
      </c>
      <c r="D361">
        <v>66.8</v>
      </c>
      <c r="E361" s="15">
        <f t="shared" si="19"/>
        <v>-5.7623556707089817E-2</v>
      </c>
      <c r="F361" s="13">
        <f>STANDARDIZE(D361,I$13,J$13)</f>
        <v>-0.39165263684883989</v>
      </c>
    </row>
    <row r="362" spans="1:6" x14ac:dyDescent="0.3">
      <c r="A362" t="s">
        <v>6</v>
      </c>
      <c r="B362">
        <v>1976</v>
      </c>
      <c r="C362" s="12">
        <v>1976.49999999181</v>
      </c>
      <c r="D362">
        <v>3.3</v>
      </c>
      <c r="E362" s="15">
        <f t="shared" si="19"/>
        <v>-0.80768050945295577</v>
      </c>
      <c r="F362" s="13">
        <f>STANDARDIZE(D362,I$14,J$14)</f>
        <v>-1.1029484527262492</v>
      </c>
    </row>
    <row r="363" spans="1:6" x14ac:dyDescent="0.3">
      <c r="A363" t="s">
        <v>7</v>
      </c>
      <c r="B363">
        <v>1976</v>
      </c>
      <c r="C363" s="12">
        <v>1976.5833333251701</v>
      </c>
      <c r="D363">
        <v>67.3</v>
      </c>
      <c r="E363" s="15">
        <f t="shared" si="19"/>
        <v>-5.1717596449248358E-2</v>
      </c>
      <c r="F363" s="13">
        <f>STANDARDIZE(D363,I$15,J$15)</f>
        <v>-0.41515514156582506</v>
      </c>
    </row>
    <row r="364" spans="1:6" x14ac:dyDescent="0.3">
      <c r="A364" t="s">
        <v>8</v>
      </c>
      <c r="B364">
        <v>1976</v>
      </c>
      <c r="C364" s="12">
        <v>1976.6666666585299</v>
      </c>
      <c r="D364">
        <v>164.5</v>
      </c>
      <c r="E364" s="15">
        <f t="shared" si="19"/>
        <v>1.0964010776751323</v>
      </c>
      <c r="F364" s="13">
        <f>STANDARDIZE(D364,I$16,J$16)</f>
        <v>0.67604987874069289</v>
      </c>
    </row>
    <row r="365" spans="1:6" x14ac:dyDescent="0.3">
      <c r="A365" t="s">
        <v>9</v>
      </c>
      <c r="B365">
        <v>1976</v>
      </c>
      <c r="C365" s="12">
        <v>1976.74999999189</v>
      </c>
      <c r="D365">
        <v>207.8</v>
      </c>
      <c r="E365" s="15">
        <f t="shared" si="19"/>
        <v>1.6078572360042032</v>
      </c>
      <c r="F365" s="13">
        <f>STANDARDIZE(D365,I$17,J$17)</f>
        <v>0.27136332127810581</v>
      </c>
    </row>
    <row r="366" spans="1:6" x14ac:dyDescent="0.3">
      <c r="A366" t="s">
        <v>10</v>
      </c>
      <c r="B366">
        <v>1976</v>
      </c>
      <c r="C366" s="12">
        <v>1976.8333333252499</v>
      </c>
      <c r="D366">
        <v>38.200000000000003</v>
      </c>
      <c r="E366" s="15">
        <f t="shared" si="19"/>
        <v>-0.3954444834556215</v>
      </c>
      <c r="F366" s="13">
        <f>STANDARDIZE(D366,I$18,J$18)</f>
        <v>-0.76508356264620103</v>
      </c>
    </row>
    <row r="367" spans="1:6" x14ac:dyDescent="0.3">
      <c r="A367" t="s">
        <v>11</v>
      </c>
      <c r="B367">
        <v>1976</v>
      </c>
      <c r="C367" s="12">
        <v>1976.91666665861</v>
      </c>
      <c r="D367">
        <v>0</v>
      </c>
      <c r="E367" s="15">
        <f t="shared" si="19"/>
        <v>-0.84665984715470932</v>
      </c>
      <c r="F367" s="13">
        <f>STANDARDIZE(D367,I$19,J$19)</f>
        <v>-0.66274277884495481</v>
      </c>
    </row>
    <row r="368" spans="1:6" x14ac:dyDescent="0.3">
      <c r="A368" t="s">
        <v>0</v>
      </c>
      <c r="B368">
        <v>1977</v>
      </c>
      <c r="C368" s="12">
        <v>1976.9999999919701</v>
      </c>
      <c r="D368">
        <v>0</v>
      </c>
      <c r="E368" s="15">
        <f t="shared" si="19"/>
        <v>-0.84665984715470932</v>
      </c>
      <c r="F368" s="13">
        <f>STANDARDIZE(D368,I$8,J$8)</f>
        <v>-0.28131844469760109</v>
      </c>
    </row>
    <row r="369" spans="1:6" x14ac:dyDescent="0.3">
      <c r="A369" t="s">
        <v>1</v>
      </c>
      <c r="B369">
        <v>1977</v>
      </c>
      <c r="C369" s="12">
        <v>1977.0833333253299</v>
      </c>
      <c r="D369">
        <v>0</v>
      </c>
      <c r="E369" s="15">
        <f t="shared" si="19"/>
        <v>-0.84665984715470932</v>
      </c>
      <c r="F369" s="13">
        <f>STANDARDIZE(D369,I$9,J$9)</f>
        <v>-0.21027614347857898</v>
      </c>
    </row>
    <row r="370" spans="1:6" x14ac:dyDescent="0.3">
      <c r="A370" t="s">
        <v>2</v>
      </c>
      <c r="B370">
        <v>1977</v>
      </c>
      <c r="C370" s="12">
        <v>1977.16666665869</v>
      </c>
      <c r="D370">
        <v>16</v>
      </c>
      <c r="E370" s="15">
        <f t="shared" si="19"/>
        <v>-0.65766911890378255</v>
      </c>
      <c r="F370" s="13">
        <f>STANDARDIZE(D370,I$10,J$10)</f>
        <v>3.3616951198305807</v>
      </c>
    </row>
    <row r="371" spans="1:6" x14ac:dyDescent="0.3">
      <c r="A371" t="s">
        <v>3</v>
      </c>
      <c r="B371">
        <v>1977</v>
      </c>
      <c r="C371" s="12">
        <v>1977.2499999920501</v>
      </c>
      <c r="D371">
        <v>13</v>
      </c>
      <c r="E371" s="15">
        <f t="shared" si="19"/>
        <v>-0.6931048804508313</v>
      </c>
      <c r="F371" s="13">
        <f>STANDARDIZE(D371,I$11,J$11)</f>
        <v>-0.45137095029829855</v>
      </c>
    </row>
    <row r="372" spans="1:6" x14ac:dyDescent="0.3">
      <c r="A372" t="s">
        <v>4</v>
      </c>
      <c r="B372">
        <v>1977</v>
      </c>
      <c r="C372" s="12">
        <v>1977.33333332541</v>
      </c>
      <c r="D372">
        <v>73.3</v>
      </c>
      <c r="E372" s="15">
        <f t="shared" si="19"/>
        <v>1.915392664484921E-2</v>
      </c>
      <c r="F372" s="13">
        <f>STANDARDIZE(D372,I$12,J$12)</f>
        <v>-0.18953714122414472</v>
      </c>
    </row>
    <row r="373" spans="1:6" x14ac:dyDescent="0.3">
      <c r="A373" t="s">
        <v>5</v>
      </c>
      <c r="B373">
        <v>1977</v>
      </c>
      <c r="C373" s="12">
        <v>1977.4166666587701</v>
      </c>
      <c r="D373">
        <v>72.5</v>
      </c>
      <c r="E373" s="15">
        <f t="shared" si="19"/>
        <v>9.7043902323029028E-3</v>
      </c>
      <c r="F373" s="13">
        <f>STANDARDIZE(D373,I$13,J$13)</f>
        <v>-0.30251086481605705</v>
      </c>
    </row>
    <row r="374" spans="1:6" x14ac:dyDescent="0.3">
      <c r="A374" t="s">
        <v>6</v>
      </c>
      <c r="B374">
        <v>1977</v>
      </c>
      <c r="C374" s="12">
        <v>1977.4999999921299</v>
      </c>
      <c r="D374">
        <v>21.5</v>
      </c>
      <c r="E374" s="15">
        <f t="shared" si="19"/>
        <v>-0.59270355606752645</v>
      </c>
      <c r="F374" s="13">
        <f>STANDARDIZE(D374,I$14,J$14)</f>
        <v>-0.87753114361966922</v>
      </c>
    </row>
    <row r="375" spans="1:6" x14ac:dyDescent="0.3">
      <c r="A375" t="s">
        <v>7</v>
      </c>
      <c r="B375">
        <v>1977</v>
      </c>
      <c r="C375" s="12">
        <v>1977.58333332549</v>
      </c>
      <c r="D375">
        <v>96.4</v>
      </c>
      <c r="E375" s="15">
        <f t="shared" si="19"/>
        <v>0.29200929055712493</v>
      </c>
      <c r="F375" s="13">
        <f>STANDARDIZE(D375,I$15,J$15)</f>
        <v>-4.6855415860708377E-2</v>
      </c>
    </row>
    <row r="376" spans="1:6" x14ac:dyDescent="0.3">
      <c r="A376" t="s">
        <v>8</v>
      </c>
      <c r="B376">
        <v>1977</v>
      </c>
      <c r="C376" s="12">
        <v>1977.6666666588501</v>
      </c>
      <c r="D376">
        <v>37.5</v>
      </c>
      <c r="E376" s="15">
        <f t="shared" si="19"/>
        <v>-0.40371282781659956</v>
      </c>
      <c r="F376" s="13">
        <f>STANDARDIZE(D376,I$16,J$16)</f>
        <v>-1.0925956884942283</v>
      </c>
    </row>
    <row r="377" spans="1:6" x14ac:dyDescent="0.3">
      <c r="A377" t="s">
        <v>9</v>
      </c>
      <c r="B377">
        <v>1977</v>
      </c>
      <c r="C377" s="12">
        <v>1977.74999999221</v>
      </c>
      <c r="E377" s="15"/>
      <c r="F377" s="13"/>
    </row>
    <row r="378" spans="1:6" x14ac:dyDescent="0.3">
      <c r="A378" t="s">
        <v>10</v>
      </c>
      <c r="B378">
        <v>1977</v>
      </c>
      <c r="C378" s="12">
        <v>1977.83333332557</v>
      </c>
      <c r="D378">
        <v>100.2</v>
      </c>
      <c r="E378" s="15">
        <f>STANDARDIZE(D378,F$4,F$5)</f>
        <v>0.33689458851672005</v>
      </c>
      <c r="F378" s="13">
        <f>STANDARDIZE(D378,I$18,J$18)</f>
        <v>-0.21206484059356934</v>
      </c>
    </row>
    <row r="379" spans="1:6" x14ac:dyDescent="0.3">
      <c r="A379" t="s">
        <v>11</v>
      </c>
      <c r="B379">
        <v>1977</v>
      </c>
      <c r="C379" s="12">
        <v>1977.9166666589297</v>
      </c>
      <c r="E379" s="15"/>
      <c r="F379" s="13"/>
    </row>
    <row r="380" spans="1:6" x14ac:dyDescent="0.3">
      <c r="A380" t="s">
        <v>0</v>
      </c>
      <c r="B380">
        <v>1978</v>
      </c>
      <c r="C380" s="12">
        <v>1977.99999999229</v>
      </c>
      <c r="E380" s="15"/>
      <c r="F380" s="13"/>
    </row>
    <row r="381" spans="1:6" x14ac:dyDescent="0.3">
      <c r="A381" t="s">
        <v>1</v>
      </c>
      <c r="B381">
        <v>1978</v>
      </c>
      <c r="C381" s="12">
        <v>1978.0833333256503</v>
      </c>
      <c r="E381" s="15"/>
      <c r="F381" s="13"/>
    </row>
    <row r="382" spans="1:6" x14ac:dyDescent="0.3">
      <c r="A382" t="s">
        <v>2</v>
      </c>
      <c r="B382">
        <v>1978</v>
      </c>
      <c r="C382" s="12">
        <v>1978.1666666590106</v>
      </c>
      <c r="E382" s="15"/>
      <c r="F382" s="13"/>
    </row>
    <row r="383" spans="1:6" x14ac:dyDescent="0.3">
      <c r="A383" t="s">
        <v>3</v>
      </c>
      <c r="B383">
        <v>1978</v>
      </c>
      <c r="C383" s="12">
        <v>1978.2499999923707</v>
      </c>
      <c r="E383" s="15"/>
      <c r="F383" s="13"/>
    </row>
    <row r="384" spans="1:6" x14ac:dyDescent="0.3">
      <c r="A384" t="s">
        <v>4</v>
      </c>
      <c r="B384">
        <v>1978</v>
      </c>
      <c r="C384" s="12">
        <v>1978.333333325731</v>
      </c>
      <c r="E384" s="15"/>
      <c r="F384" s="13"/>
    </row>
    <row r="385" spans="1:6" x14ac:dyDescent="0.3">
      <c r="A385" t="s">
        <v>5</v>
      </c>
      <c r="B385">
        <v>1978</v>
      </c>
      <c r="C385" s="12">
        <v>1978.4166666590913</v>
      </c>
      <c r="E385" s="15"/>
      <c r="F385" s="13"/>
    </row>
    <row r="386" spans="1:6" x14ac:dyDescent="0.3">
      <c r="A386" t="s">
        <v>6</v>
      </c>
      <c r="B386">
        <v>1978</v>
      </c>
      <c r="C386" s="12">
        <v>1978.4999999924516</v>
      </c>
      <c r="E386" s="15"/>
      <c r="F386" s="13"/>
    </row>
    <row r="387" spans="1:6" x14ac:dyDescent="0.3">
      <c r="A387" t="s">
        <v>7</v>
      </c>
      <c r="B387">
        <v>1978</v>
      </c>
      <c r="C387" s="12">
        <v>1978.583333325812</v>
      </c>
      <c r="E387" s="15"/>
      <c r="F387" s="13"/>
    </row>
    <row r="388" spans="1:6" x14ac:dyDescent="0.3">
      <c r="A388" t="s">
        <v>8</v>
      </c>
      <c r="B388">
        <v>1978</v>
      </c>
      <c r="C388" s="12">
        <v>1978.6666666591721</v>
      </c>
      <c r="E388" s="15"/>
      <c r="F388" s="13"/>
    </row>
    <row r="389" spans="1:6" x14ac:dyDescent="0.3">
      <c r="A389" t="s">
        <v>9</v>
      </c>
      <c r="B389">
        <v>1978</v>
      </c>
      <c r="C389" s="12">
        <v>1978.7499999925324</v>
      </c>
      <c r="E389" s="15"/>
      <c r="F389" s="13"/>
    </row>
    <row r="390" spans="1:6" x14ac:dyDescent="0.3">
      <c r="A390" t="s">
        <v>10</v>
      </c>
      <c r="B390">
        <v>1978</v>
      </c>
      <c r="C390" s="12">
        <v>1978.8333333258927</v>
      </c>
      <c r="E390" s="15"/>
      <c r="F390" s="13"/>
    </row>
    <row r="391" spans="1:6" x14ac:dyDescent="0.3">
      <c r="A391" t="s">
        <v>11</v>
      </c>
      <c r="B391">
        <v>1978</v>
      </c>
      <c r="C391" s="12">
        <v>1978.916666659253</v>
      </c>
      <c r="E391" s="15"/>
      <c r="F391" s="13"/>
    </row>
    <row r="392" spans="1:6" x14ac:dyDescent="0.3">
      <c r="A392" t="s">
        <v>0</v>
      </c>
      <c r="B392">
        <v>1979</v>
      </c>
      <c r="C392" s="12">
        <v>1978.9999999926133</v>
      </c>
      <c r="E392" s="15"/>
      <c r="F392" s="13"/>
    </row>
    <row r="393" spans="1:6" x14ac:dyDescent="0.3">
      <c r="A393" t="s">
        <v>1</v>
      </c>
      <c r="B393">
        <v>1979</v>
      </c>
      <c r="C393" s="12">
        <v>1979.0833333259736</v>
      </c>
      <c r="E393" s="15"/>
      <c r="F393" s="13"/>
    </row>
    <row r="394" spans="1:6" x14ac:dyDescent="0.3">
      <c r="A394" t="s">
        <v>2</v>
      </c>
      <c r="B394">
        <v>1979</v>
      </c>
      <c r="C394" s="12">
        <v>1979.1666666593337</v>
      </c>
      <c r="E394" s="15"/>
      <c r="F394" s="13"/>
    </row>
    <row r="395" spans="1:6" x14ac:dyDescent="0.3">
      <c r="A395" t="s">
        <v>3</v>
      </c>
      <c r="B395">
        <v>1979</v>
      </c>
      <c r="C395" s="12">
        <v>1979.249999992694</v>
      </c>
      <c r="E395" s="15"/>
      <c r="F395" s="13"/>
    </row>
    <row r="396" spans="1:6" x14ac:dyDescent="0.3">
      <c r="A396" t="s">
        <v>4</v>
      </c>
      <c r="B396">
        <v>1979</v>
      </c>
      <c r="C396" s="12">
        <v>1979.3333333260543</v>
      </c>
      <c r="E396" s="15"/>
      <c r="F396" s="13"/>
    </row>
    <row r="397" spans="1:6" x14ac:dyDescent="0.3">
      <c r="A397" t="s">
        <v>5</v>
      </c>
      <c r="B397">
        <v>1979</v>
      </c>
      <c r="C397" s="12">
        <v>1979.4166666594147</v>
      </c>
      <c r="E397" s="15"/>
      <c r="F397" s="13"/>
    </row>
    <row r="398" spans="1:6" x14ac:dyDescent="0.3">
      <c r="A398" t="s">
        <v>6</v>
      </c>
      <c r="B398">
        <v>1979</v>
      </c>
      <c r="C398" s="12">
        <v>1979.499999992775</v>
      </c>
      <c r="E398" s="15"/>
      <c r="F398" s="13"/>
    </row>
    <row r="399" spans="1:6" x14ac:dyDescent="0.3">
      <c r="A399" t="s">
        <v>7</v>
      </c>
      <c r="B399">
        <v>1979</v>
      </c>
      <c r="C399" s="12">
        <v>1979.5833333261351</v>
      </c>
      <c r="E399" s="15"/>
      <c r="F399" s="13"/>
    </row>
    <row r="400" spans="1:6" x14ac:dyDescent="0.3">
      <c r="A400" t="s">
        <v>8</v>
      </c>
      <c r="B400">
        <v>1979</v>
      </c>
      <c r="C400" s="12">
        <v>1979.6666666594954</v>
      </c>
      <c r="E400" s="15"/>
      <c r="F400" s="13"/>
    </row>
    <row r="401" spans="1:6" x14ac:dyDescent="0.3">
      <c r="A401" t="s">
        <v>9</v>
      </c>
      <c r="B401">
        <v>1979</v>
      </c>
      <c r="C401" s="12">
        <v>1979.7499999928557</v>
      </c>
      <c r="E401" s="15"/>
      <c r="F401" s="13"/>
    </row>
    <row r="402" spans="1:6" x14ac:dyDescent="0.3">
      <c r="A402" t="s">
        <v>10</v>
      </c>
      <c r="B402">
        <v>1979</v>
      </c>
      <c r="C402" s="12">
        <v>1979.833333326216</v>
      </c>
      <c r="E402" s="15"/>
      <c r="F402" s="13"/>
    </row>
    <row r="403" spans="1:6" x14ac:dyDescent="0.3">
      <c r="A403" t="s">
        <v>11</v>
      </c>
      <c r="B403">
        <v>1979</v>
      </c>
      <c r="C403" s="12">
        <v>1979.9166666595763</v>
      </c>
      <c r="E403" s="15"/>
      <c r="F403" s="13"/>
    </row>
    <row r="404" spans="1:6" x14ac:dyDescent="0.3">
      <c r="A404" t="s">
        <v>0</v>
      </c>
      <c r="B404">
        <v>1980</v>
      </c>
      <c r="C404" s="12">
        <v>1979.9999999929364</v>
      </c>
      <c r="E404" s="15"/>
      <c r="F404" s="13"/>
    </row>
    <row r="405" spans="1:6" x14ac:dyDescent="0.3">
      <c r="A405" t="s">
        <v>1</v>
      </c>
      <c r="B405">
        <v>1980</v>
      </c>
      <c r="C405" s="12">
        <v>1980.0833333262967</v>
      </c>
      <c r="E405" s="15"/>
      <c r="F405" s="13"/>
    </row>
    <row r="406" spans="1:6" x14ac:dyDescent="0.3">
      <c r="A406" t="s">
        <v>2</v>
      </c>
      <c r="B406">
        <v>1980</v>
      </c>
      <c r="C406" s="12">
        <v>1980.166666659657</v>
      </c>
      <c r="E406" s="15"/>
      <c r="F406" s="13"/>
    </row>
    <row r="407" spans="1:6" x14ac:dyDescent="0.3">
      <c r="A407" t="s">
        <v>3</v>
      </c>
      <c r="B407">
        <v>1980</v>
      </c>
      <c r="C407" s="12">
        <v>1980.2499999930174</v>
      </c>
      <c r="E407" s="15"/>
      <c r="F407" s="13"/>
    </row>
    <row r="408" spans="1:6" x14ac:dyDescent="0.3">
      <c r="A408" t="s">
        <v>4</v>
      </c>
      <c r="B408">
        <v>1980</v>
      </c>
      <c r="C408" s="12">
        <v>1980.3333333263777</v>
      </c>
      <c r="E408" s="15"/>
      <c r="F408" s="13"/>
    </row>
    <row r="409" spans="1:6" x14ac:dyDescent="0.3">
      <c r="A409" t="s">
        <v>5</v>
      </c>
      <c r="B409">
        <v>1980</v>
      </c>
      <c r="C409" s="12">
        <v>1980.416666659738</v>
      </c>
      <c r="E409" s="15"/>
      <c r="F409" s="13"/>
    </row>
    <row r="410" spans="1:6" x14ac:dyDescent="0.3">
      <c r="A410" t="s">
        <v>6</v>
      </c>
      <c r="B410">
        <v>1980</v>
      </c>
      <c r="C410" s="12">
        <v>1980.4999999930981</v>
      </c>
      <c r="E410" s="15"/>
      <c r="F410" s="13"/>
    </row>
    <row r="411" spans="1:6" x14ac:dyDescent="0.3">
      <c r="A411" t="s">
        <v>7</v>
      </c>
      <c r="B411">
        <v>1980</v>
      </c>
      <c r="C411" s="12">
        <v>1980.5833333264584</v>
      </c>
      <c r="E411" s="15"/>
      <c r="F411" s="13"/>
    </row>
    <row r="412" spans="1:6" x14ac:dyDescent="0.3">
      <c r="A412" t="s">
        <v>8</v>
      </c>
      <c r="B412">
        <v>1980</v>
      </c>
      <c r="C412" s="12">
        <v>1980.6666666598187</v>
      </c>
      <c r="E412" s="15"/>
      <c r="F412" s="13"/>
    </row>
    <row r="413" spans="1:6" x14ac:dyDescent="0.3">
      <c r="A413" t="s">
        <v>9</v>
      </c>
      <c r="B413">
        <v>1980</v>
      </c>
      <c r="C413" s="12">
        <v>1980.749999993179</v>
      </c>
      <c r="E413" s="15"/>
      <c r="F413" s="13"/>
    </row>
    <row r="414" spans="1:6" x14ac:dyDescent="0.3">
      <c r="A414" t="s">
        <v>10</v>
      </c>
      <c r="B414">
        <v>1980</v>
      </c>
      <c r="C414" s="12">
        <v>1980.8333333265393</v>
      </c>
      <c r="E414" s="15"/>
      <c r="F414" s="13"/>
    </row>
    <row r="415" spans="1:6" x14ac:dyDescent="0.3">
      <c r="A415" t="s">
        <v>11</v>
      </c>
      <c r="B415">
        <v>1980</v>
      </c>
      <c r="C415" s="12">
        <v>1980.9166666598994</v>
      </c>
      <c r="E415" s="15"/>
      <c r="F415" s="13"/>
    </row>
    <row r="416" spans="1:6" x14ac:dyDescent="0.3">
      <c r="A416" t="s">
        <v>0</v>
      </c>
      <c r="B416">
        <v>1981</v>
      </c>
      <c r="C416" s="12">
        <v>1980.9999999932597</v>
      </c>
      <c r="D416">
        <v>18.8</v>
      </c>
      <c r="E416" s="15">
        <f t="shared" ref="E416:E431" si="20">STANDARDIZE(D416,F$4,F$5)</f>
        <v>-0.6245957414598704</v>
      </c>
      <c r="F416" s="13">
        <f>STANDARDIZE(D416,I$8,J$8)</f>
        <v>1.3597719463733133</v>
      </c>
    </row>
    <row r="417" spans="1:6" x14ac:dyDescent="0.3">
      <c r="A417" t="s">
        <v>1</v>
      </c>
      <c r="B417">
        <v>1981</v>
      </c>
      <c r="C417" s="12">
        <v>1981.08333332662</v>
      </c>
      <c r="D417">
        <v>0</v>
      </c>
      <c r="E417" s="15">
        <f t="shared" si="20"/>
        <v>-0.84665984715470932</v>
      </c>
      <c r="F417" s="13">
        <f>STANDARDIZE(D417,I$9,J$9)</f>
        <v>-0.21027614347857898</v>
      </c>
    </row>
    <row r="418" spans="1:6" x14ac:dyDescent="0.3">
      <c r="A418" t="s">
        <v>2</v>
      </c>
      <c r="B418">
        <v>1981</v>
      </c>
      <c r="C418" s="12">
        <v>1981.1666666599799</v>
      </c>
      <c r="D418">
        <v>7</v>
      </c>
      <c r="E418" s="15">
        <f t="shared" si="20"/>
        <v>-0.76397640354492891</v>
      </c>
      <c r="F418" s="13">
        <f>STANDARDIZE(D418,I$10,J$10)</f>
        <v>1.1847099526873361</v>
      </c>
    </row>
    <row r="419" spans="1:6" x14ac:dyDescent="0.3">
      <c r="A419" t="s">
        <v>3</v>
      </c>
      <c r="B419">
        <v>1981</v>
      </c>
      <c r="C419" s="12">
        <v>1981.24999999334</v>
      </c>
      <c r="D419">
        <v>46.4</v>
      </c>
      <c r="E419" s="15">
        <f t="shared" si="20"/>
        <v>-0.29858673522702156</v>
      </c>
      <c r="F419" s="13">
        <f>STANDARDIZE(D419,I$11,J$11)</f>
        <v>1.1216913132746602</v>
      </c>
    </row>
    <row r="420" spans="1:6" x14ac:dyDescent="0.3">
      <c r="A420" t="s">
        <v>4</v>
      </c>
      <c r="B420">
        <v>1981</v>
      </c>
      <c r="C420" s="12">
        <v>1981.3333333267001</v>
      </c>
      <c r="D420">
        <v>97.3</v>
      </c>
      <c r="E420" s="15">
        <f t="shared" si="20"/>
        <v>0.30264001902123949</v>
      </c>
      <c r="F420" s="13">
        <f>STANDARDIZE(D420,I$12,J$12)</f>
        <v>0.17051182645474888</v>
      </c>
    </row>
    <row r="421" spans="1:6" x14ac:dyDescent="0.3">
      <c r="A421" t="s">
        <v>5</v>
      </c>
      <c r="B421">
        <v>1981</v>
      </c>
      <c r="C421" s="12">
        <v>1981.4166666600599</v>
      </c>
      <c r="D421">
        <v>105.9</v>
      </c>
      <c r="E421" s="15">
        <f t="shared" si="20"/>
        <v>0.40422253545611275</v>
      </c>
      <c r="F421" s="13">
        <f>STANDARDIZE(D421,I$13,J$13)</f>
        <v>0.21982864148130182</v>
      </c>
    </row>
    <row r="422" spans="1:6" x14ac:dyDescent="0.3">
      <c r="A422" t="s">
        <v>6</v>
      </c>
      <c r="B422">
        <v>1981</v>
      </c>
      <c r="C422" s="12">
        <v>1981.49999999342</v>
      </c>
      <c r="D422">
        <v>149.30000000000001</v>
      </c>
      <c r="E422" s="15">
        <f t="shared" si="20"/>
        <v>0.91685988583675193</v>
      </c>
      <c r="F422" s="13">
        <f>STANDARDIZE(D422,I$14,J$14)</f>
        <v>0.70534424670016205</v>
      </c>
    </row>
    <row r="423" spans="1:6" x14ac:dyDescent="0.3">
      <c r="A423" t="s">
        <v>7</v>
      </c>
      <c r="B423">
        <v>1981</v>
      </c>
      <c r="C423" s="12">
        <v>1981.5833333267799</v>
      </c>
      <c r="D423">
        <v>147</v>
      </c>
      <c r="E423" s="15">
        <f t="shared" si="20"/>
        <v>0.88969246865068108</v>
      </c>
      <c r="F423" s="13">
        <f>STANDARDIZE(D423,I$15,J$15)</f>
        <v>0.59355579103547362</v>
      </c>
    </row>
    <row r="424" spans="1:6" x14ac:dyDescent="0.3">
      <c r="A424" t="s">
        <v>8</v>
      </c>
      <c r="B424">
        <v>1981</v>
      </c>
      <c r="C424" s="12">
        <v>1981.66666666014</v>
      </c>
      <c r="D424">
        <v>169.6</v>
      </c>
      <c r="E424" s="15">
        <f t="shared" si="20"/>
        <v>1.1566418723051151</v>
      </c>
      <c r="F424" s="13">
        <f>STANDARDIZE(D424,I$16,J$16)</f>
        <v>0.74707422829107151</v>
      </c>
    </row>
    <row r="425" spans="1:6" x14ac:dyDescent="0.3">
      <c r="A425" t="s">
        <v>9</v>
      </c>
      <c r="B425">
        <v>1981</v>
      </c>
      <c r="C425" s="12">
        <v>1981.7499999935001</v>
      </c>
      <c r="D425">
        <v>321.89999999999998</v>
      </c>
      <c r="E425" s="15">
        <f t="shared" si="20"/>
        <v>2.9555973668436248</v>
      </c>
      <c r="F425" s="13">
        <f>STANDARDIZE(D425,I$17,J$17)</f>
        <v>1.2751925526199173</v>
      </c>
    </row>
    <row r="426" spans="1:6" x14ac:dyDescent="0.3">
      <c r="A426" t="s">
        <v>10</v>
      </c>
      <c r="B426">
        <v>1981</v>
      </c>
      <c r="C426" s="12">
        <v>1981.8333333268599</v>
      </c>
      <c r="D426">
        <v>42.8</v>
      </c>
      <c r="E426" s="15">
        <f t="shared" si="20"/>
        <v>-0.34110964908348007</v>
      </c>
      <c r="F426" s="13">
        <f>STANDARDIZE(D426,I$18,J$18)</f>
        <v>-0.72405314133261878</v>
      </c>
    </row>
    <row r="427" spans="1:6" x14ac:dyDescent="0.3">
      <c r="A427" t="s">
        <v>11</v>
      </c>
      <c r="B427">
        <v>1981</v>
      </c>
      <c r="C427" s="12">
        <v>1981.91666666022</v>
      </c>
      <c r="D427">
        <v>73.2</v>
      </c>
      <c r="E427" s="15">
        <f t="shared" si="20"/>
        <v>1.7972734593280987E-2</v>
      </c>
      <c r="F427" s="13">
        <f>STANDARDIZE(D427,I$19,J$19)</f>
        <v>0.77162875881181059</v>
      </c>
    </row>
    <row r="428" spans="1:6" x14ac:dyDescent="0.3">
      <c r="A428" t="s">
        <v>0</v>
      </c>
      <c r="B428">
        <v>1982</v>
      </c>
      <c r="C428" s="12">
        <v>1981.9999999935801</v>
      </c>
      <c r="D428">
        <v>88.6</v>
      </c>
      <c r="E428" s="15">
        <f t="shared" si="20"/>
        <v>0.19987631053479799</v>
      </c>
      <c r="F428" s="13">
        <f>STANDARDIZE(D428,I$8,J$8)</f>
        <v>7.4527564834344737</v>
      </c>
    </row>
    <row r="429" spans="1:6" x14ac:dyDescent="0.3">
      <c r="A429" t="s">
        <v>1</v>
      </c>
      <c r="B429">
        <v>1982</v>
      </c>
      <c r="C429" s="12">
        <v>1982.08333332694</v>
      </c>
      <c r="D429">
        <v>0</v>
      </c>
      <c r="E429" s="15">
        <f t="shared" si="20"/>
        <v>-0.84665984715470932</v>
      </c>
      <c r="F429" s="13">
        <f>STANDARDIZE(D429,I$9,J$9)</f>
        <v>-0.21027614347857898</v>
      </c>
    </row>
    <row r="430" spans="1:6" x14ac:dyDescent="0.3">
      <c r="A430" t="s">
        <v>2</v>
      </c>
      <c r="B430">
        <v>1982</v>
      </c>
      <c r="C430" s="12">
        <v>1982.1666666603001</v>
      </c>
      <c r="D430">
        <v>0</v>
      </c>
      <c r="E430" s="15">
        <f t="shared" si="20"/>
        <v>-0.84665984715470932</v>
      </c>
      <c r="F430" s="13">
        <f>STANDARDIZE(D430,I$10,J$10)</f>
        <v>-0.50850073286852082</v>
      </c>
    </row>
    <row r="431" spans="1:6" x14ac:dyDescent="0.3">
      <c r="A431" t="s">
        <v>3</v>
      </c>
      <c r="B431">
        <v>1982</v>
      </c>
      <c r="C431" s="12">
        <v>1982.2499999936599</v>
      </c>
      <c r="D431">
        <v>25.3</v>
      </c>
      <c r="E431" s="15">
        <f t="shared" si="20"/>
        <v>-0.54781825810793128</v>
      </c>
      <c r="F431" s="13">
        <f>STANDARDIZE(D431,I$11,J$11)</f>
        <v>0.12793042221509648</v>
      </c>
    </row>
    <row r="432" spans="1:6" x14ac:dyDescent="0.3">
      <c r="A432" t="s">
        <v>4</v>
      </c>
      <c r="B432">
        <v>1982</v>
      </c>
      <c r="C432" s="12">
        <v>1982.33333332702</v>
      </c>
      <c r="E432" s="15"/>
      <c r="F432" s="13"/>
    </row>
    <row r="433" spans="1:6" x14ac:dyDescent="0.3">
      <c r="A433" t="s">
        <v>5</v>
      </c>
      <c r="B433">
        <v>1982</v>
      </c>
      <c r="C433" s="12">
        <v>1982.4166666603801</v>
      </c>
      <c r="E433" s="15"/>
      <c r="F433" s="13"/>
    </row>
    <row r="434" spans="1:6" x14ac:dyDescent="0.3">
      <c r="A434" t="s">
        <v>6</v>
      </c>
      <c r="B434">
        <v>1982</v>
      </c>
      <c r="C434" s="12">
        <v>1982.4999999937399</v>
      </c>
      <c r="E434" s="15"/>
      <c r="F434" s="13"/>
    </row>
    <row r="435" spans="1:6" x14ac:dyDescent="0.3">
      <c r="A435" t="s">
        <v>7</v>
      </c>
      <c r="B435">
        <v>1982</v>
      </c>
      <c r="C435" s="12">
        <v>1982.5833333271</v>
      </c>
      <c r="E435" s="15"/>
      <c r="F435" s="13"/>
    </row>
    <row r="436" spans="1:6" x14ac:dyDescent="0.3">
      <c r="A436" t="s">
        <v>8</v>
      </c>
      <c r="B436">
        <v>1982</v>
      </c>
      <c r="C436" s="12">
        <v>1982.6666666604599</v>
      </c>
      <c r="E436" s="15"/>
      <c r="F436" s="13"/>
    </row>
    <row r="437" spans="1:6" x14ac:dyDescent="0.3">
      <c r="A437" t="s">
        <v>9</v>
      </c>
      <c r="B437">
        <v>1982</v>
      </c>
      <c r="C437" s="12">
        <v>1982.74999999382</v>
      </c>
      <c r="E437" s="15"/>
      <c r="F437" s="13"/>
    </row>
    <row r="438" spans="1:6" x14ac:dyDescent="0.3">
      <c r="A438" t="s">
        <v>10</v>
      </c>
      <c r="B438">
        <v>1982</v>
      </c>
      <c r="C438" s="12">
        <v>1982.8333333271801</v>
      </c>
      <c r="E438" s="15"/>
      <c r="F438" s="13"/>
    </row>
    <row r="439" spans="1:6" x14ac:dyDescent="0.3">
      <c r="A439" t="s">
        <v>11</v>
      </c>
      <c r="B439">
        <v>1982</v>
      </c>
      <c r="C439" s="12">
        <v>1982.9166666605399</v>
      </c>
      <c r="E439" s="15"/>
      <c r="F439" s="13"/>
    </row>
    <row r="440" spans="1:6" x14ac:dyDescent="0.3">
      <c r="A440" t="s">
        <v>0</v>
      </c>
      <c r="B440">
        <v>1983</v>
      </c>
      <c r="C440" s="12">
        <v>1982.9999999939</v>
      </c>
      <c r="D440">
        <v>0</v>
      </c>
      <c r="E440" s="15">
        <f t="shared" ref="E440:E471" si="21">STANDARDIZE(D440,F$4,F$5)</f>
        <v>-0.84665984715470932</v>
      </c>
      <c r="F440" s="13">
        <f>STANDARDIZE(D440,I$8,J$8)</f>
        <v>-0.28131844469760109</v>
      </c>
    </row>
    <row r="441" spans="1:6" x14ac:dyDescent="0.3">
      <c r="A441" t="s">
        <v>1</v>
      </c>
      <c r="B441">
        <v>1983</v>
      </c>
      <c r="C441" s="12">
        <v>1983.0833333272601</v>
      </c>
      <c r="D441">
        <v>0</v>
      </c>
      <c r="E441" s="15">
        <f t="shared" si="21"/>
        <v>-0.84665984715470932</v>
      </c>
      <c r="F441" s="13">
        <f>STANDARDIZE(D441,I$9,J$9)</f>
        <v>-0.21027614347857898</v>
      </c>
    </row>
    <row r="442" spans="1:6" x14ac:dyDescent="0.3">
      <c r="A442" t="s">
        <v>2</v>
      </c>
      <c r="B442">
        <v>1983</v>
      </c>
      <c r="C442" s="12">
        <v>1983.16666666062</v>
      </c>
      <c r="D442">
        <v>0</v>
      </c>
      <c r="E442" s="15">
        <f t="shared" si="21"/>
        <v>-0.84665984715470932</v>
      </c>
      <c r="F442" s="13">
        <f>STANDARDIZE(D442,I$10,J$10)</f>
        <v>-0.50850073286852082</v>
      </c>
    </row>
    <row r="443" spans="1:6" x14ac:dyDescent="0.3">
      <c r="A443" t="s">
        <v>3</v>
      </c>
      <c r="B443">
        <v>1983</v>
      </c>
      <c r="C443" s="12">
        <v>1983.2499999939801</v>
      </c>
      <c r="D443">
        <v>17.3</v>
      </c>
      <c r="E443" s="15">
        <f t="shared" si="21"/>
        <v>-0.64231362223339472</v>
      </c>
      <c r="F443" s="13">
        <f>STANDARDIZE(D443,I$11,J$11)</f>
        <v>-0.24885095828142059</v>
      </c>
    </row>
    <row r="444" spans="1:6" x14ac:dyDescent="0.3">
      <c r="A444" t="s">
        <v>4</v>
      </c>
      <c r="B444">
        <v>1983</v>
      </c>
      <c r="C444" s="12">
        <v>1983.3333333273399</v>
      </c>
      <c r="D444">
        <v>23.3</v>
      </c>
      <c r="E444" s="15">
        <f t="shared" si="21"/>
        <v>-0.57144209913929722</v>
      </c>
      <c r="F444" s="13">
        <f>STANDARDIZE(D444,I$12,J$12)</f>
        <v>-0.93963915722183977</v>
      </c>
    </row>
    <row r="445" spans="1:6" x14ac:dyDescent="0.3">
      <c r="A445" t="s">
        <v>5</v>
      </c>
      <c r="B445">
        <v>1983</v>
      </c>
      <c r="C445" s="12">
        <v>1983.4166666607</v>
      </c>
      <c r="D445">
        <v>54.5</v>
      </c>
      <c r="E445" s="15">
        <f t="shared" si="21"/>
        <v>-0.20291017904998979</v>
      </c>
      <c r="F445" s="13">
        <f>STANDARDIZE(D445,I$13,J$13)</f>
        <v>-0.5840111975511606</v>
      </c>
    </row>
    <row r="446" spans="1:6" x14ac:dyDescent="0.3">
      <c r="A446" t="s">
        <v>6</v>
      </c>
      <c r="B446">
        <v>1983</v>
      </c>
      <c r="C446" s="12">
        <v>1983.4999999940601</v>
      </c>
      <c r="D446">
        <v>42.1</v>
      </c>
      <c r="E446" s="15">
        <f t="shared" si="21"/>
        <v>-0.34937799344445808</v>
      </c>
      <c r="F446" s="13">
        <f>STANDARDIZE(D446,I$14,J$14)</f>
        <v>-0.62238847507046324</v>
      </c>
    </row>
    <row r="447" spans="1:6" x14ac:dyDescent="0.3">
      <c r="A447" t="s">
        <v>7</v>
      </c>
      <c r="B447">
        <v>1983</v>
      </c>
      <c r="C447" s="12">
        <v>1983.58333332742</v>
      </c>
      <c r="D447">
        <v>25</v>
      </c>
      <c r="E447" s="15">
        <f t="shared" si="21"/>
        <v>-0.55136183426263619</v>
      </c>
      <c r="F447" s="13">
        <f>STANDARDIZE(D447,I$15,J$15)</f>
        <v>-0.95051866037429344</v>
      </c>
    </row>
    <row r="448" spans="1:6" x14ac:dyDescent="0.3">
      <c r="A448" t="s">
        <v>8</v>
      </c>
      <c r="B448">
        <v>1983</v>
      </c>
      <c r="C448" s="12">
        <v>1983.66666666078</v>
      </c>
      <c r="D448">
        <v>141.30000000000001</v>
      </c>
      <c r="E448" s="15">
        <f t="shared" si="21"/>
        <v>0.82236452171128849</v>
      </c>
      <c r="F448" s="13">
        <f>STANDARDIZE(D448,I$16,J$16)</f>
        <v>0.35295872000171535</v>
      </c>
    </row>
    <row r="449" spans="1:6" x14ac:dyDescent="0.3">
      <c r="A449" t="s">
        <v>9</v>
      </c>
      <c r="B449">
        <v>1983</v>
      </c>
      <c r="C449" s="12">
        <v>1983.7499999941399</v>
      </c>
      <c r="D449">
        <v>1.6</v>
      </c>
      <c r="E449" s="15">
        <f t="shared" si="21"/>
        <v>-0.8277607743296167</v>
      </c>
      <c r="F449" s="13">
        <f>STANDARDIZE(D449,I$17,J$17)</f>
        <v>-1.5427434929434685</v>
      </c>
    </row>
    <row r="450" spans="1:6" x14ac:dyDescent="0.3">
      <c r="A450" t="s">
        <v>10</v>
      </c>
      <c r="B450">
        <v>1983</v>
      </c>
      <c r="C450" s="12">
        <v>1983.8333333275</v>
      </c>
      <c r="D450">
        <v>24.5</v>
      </c>
      <c r="E450" s="15">
        <f t="shared" si="21"/>
        <v>-0.55726779452047759</v>
      </c>
      <c r="F450" s="13">
        <f>STANDARDIZE(D450,I$18,J$18)</f>
        <v>-0.88728286090621811</v>
      </c>
    </row>
    <row r="451" spans="1:6" x14ac:dyDescent="0.3">
      <c r="A451" t="s">
        <v>11</v>
      </c>
      <c r="B451">
        <v>1983</v>
      </c>
      <c r="C451" s="12">
        <v>1983.9166666608601</v>
      </c>
      <c r="D451">
        <v>4.0999999999999996</v>
      </c>
      <c r="E451" s="15">
        <f t="shared" si="21"/>
        <v>-0.79823097304040946</v>
      </c>
      <c r="F451" s="13">
        <f>STANDARDIZE(D451,I$19,J$19)</f>
        <v>-0.58240229654450748</v>
      </c>
    </row>
    <row r="452" spans="1:6" x14ac:dyDescent="0.3">
      <c r="A452" t="s">
        <v>0</v>
      </c>
      <c r="B452">
        <v>1984</v>
      </c>
      <c r="C452" s="12">
        <v>1983.9999999942199</v>
      </c>
      <c r="D452">
        <v>0</v>
      </c>
      <c r="E452" s="15">
        <f t="shared" si="21"/>
        <v>-0.84665984715470932</v>
      </c>
      <c r="F452" s="13">
        <f>STANDARDIZE(D452,I$8,J$8)</f>
        <v>-0.28131844469760109</v>
      </c>
    </row>
    <row r="453" spans="1:6" x14ac:dyDescent="0.3">
      <c r="A453" t="s">
        <v>1</v>
      </c>
      <c r="B453">
        <v>1984</v>
      </c>
      <c r="C453" s="12">
        <v>1984.08333332758</v>
      </c>
      <c r="D453">
        <v>0</v>
      </c>
      <c r="E453" s="15">
        <f t="shared" si="21"/>
        <v>-0.84665984715470932</v>
      </c>
      <c r="F453" s="13">
        <f>STANDARDIZE(D453,I$9,J$9)</f>
        <v>-0.21027614347857898</v>
      </c>
    </row>
    <row r="454" spans="1:6" x14ac:dyDescent="0.3">
      <c r="A454" t="s">
        <v>2</v>
      </c>
      <c r="B454">
        <v>1984</v>
      </c>
      <c r="C454" s="12">
        <v>1984.1666666609401</v>
      </c>
      <c r="D454">
        <v>0</v>
      </c>
      <c r="E454" s="15">
        <f t="shared" si="21"/>
        <v>-0.84665984715470932</v>
      </c>
      <c r="F454" s="13">
        <f>STANDARDIZE(D454,I$10,J$10)</f>
        <v>-0.50850073286852082</v>
      </c>
    </row>
    <row r="455" spans="1:6" x14ac:dyDescent="0.3">
      <c r="A455" t="s">
        <v>3</v>
      </c>
      <c r="B455">
        <v>1984</v>
      </c>
      <c r="C455" s="12">
        <v>1984.2499999943</v>
      </c>
      <c r="D455">
        <v>6.4</v>
      </c>
      <c r="E455" s="15">
        <f t="shared" si="21"/>
        <v>-0.77106355585433861</v>
      </c>
      <c r="F455" s="13">
        <f>STANDARDIZE(D455,I$11,J$11)</f>
        <v>-0.7622155892079252</v>
      </c>
    </row>
    <row r="456" spans="1:6" x14ac:dyDescent="0.3">
      <c r="A456" t="s">
        <v>4</v>
      </c>
      <c r="B456">
        <v>1984</v>
      </c>
      <c r="C456" s="12">
        <v>1984.3333333276601</v>
      </c>
      <c r="D456">
        <v>84.5</v>
      </c>
      <c r="E456" s="15">
        <f t="shared" si="21"/>
        <v>0.15144743642049804</v>
      </c>
      <c r="F456" s="13">
        <f>STANDARDIZE(D456,I$12,J$12)</f>
        <v>-2.1514289640660995E-2</v>
      </c>
    </row>
    <row r="457" spans="1:6" x14ac:dyDescent="0.3">
      <c r="A457" t="s">
        <v>5</v>
      </c>
      <c r="B457">
        <v>1984</v>
      </c>
      <c r="C457" s="12">
        <v>1984.4166666610199</v>
      </c>
      <c r="D457">
        <v>86.3</v>
      </c>
      <c r="E457" s="15">
        <f t="shared" si="21"/>
        <v>0.17270889334872727</v>
      </c>
      <c r="F457" s="13">
        <f>STANDARDIZE(D457,I$13,J$13)</f>
        <v>-8.6693943052477726E-2</v>
      </c>
    </row>
    <row r="458" spans="1:6" x14ac:dyDescent="0.3">
      <c r="A458" t="s">
        <v>6</v>
      </c>
      <c r="B458">
        <v>1984</v>
      </c>
      <c r="C458" s="12">
        <v>1984.49999999438</v>
      </c>
      <c r="D458">
        <v>141.19999999999999</v>
      </c>
      <c r="E458" s="15">
        <f t="shared" si="21"/>
        <v>0.82118332965971996</v>
      </c>
      <c r="F458" s="13">
        <f>STANDARDIZE(D458,I$14,J$14)</f>
        <v>0.60502115858129923</v>
      </c>
    </row>
    <row r="459" spans="1:6" x14ac:dyDescent="0.3">
      <c r="A459" t="s">
        <v>7</v>
      </c>
      <c r="B459">
        <v>1984</v>
      </c>
      <c r="C459" s="12">
        <v>1984.5833333277401</v>
      </c>
      <c r="D459">
        <v>101.3</v>
      </c>
      <c r="E459" s="15">
        <f t="shared" si="21"/>
        <v>0.34988770108397121</v>
      </c>
      <c r="F459" s="13">
        <f>STANDARDIZE(D459,I$15,J$15)</f>
        <v>1.5160689154929699E-2</v>
      </c>
    </row>
    <row r="460" spans="1:6" x14ac:dyDescent="0.3">
      <c r="A460" t="s">
        <v>8</v>
      </c>
      <c r="B460">
        <v>1984</v>
      </c>
      <c r="C460" s="12">
        <v>1984.6666666611</v>
      </c>
      <c r="D460">
        <v>120.5</v>
      </c>
      <c r="E460" s="15">
        <f t="shared" si="21"/>
        <v>0.5766765749850834</v>
      </c>
      <c r="F460" s="13">
        <f>STANDARDIZE(D460,I$16,J$16)</f>
        <v>6.3290784580562781E-2</v>
      </c>
    </row>
    <row r="461" spans="1:6" x14ac:dyDescent="0.3">
      <c r="A461" t="s">
        <v>9</v>
      </c>
      <c r="B461">
        <v>1984</v>
      </c>
      <c r="C461" s="12">
        <v>1984.74999999446</v>
      </c>
      <c r="D461">
        <v>149</v>
      </c>
      <c r="E461" s="15">
        <f t="shared" si="21"/>
        <v>0.91331630968204691</v>
      </c>
      <c r="F461" s="13">
        <f>STANDARDIZE(D461,I$17,J$17)</f>
        <v>-0.24594744824773596</v>
      </c>
    </row>
    <row r="462" spans="1:6" x14ac:dyDescent="0.3">
      <c r="A462" t="s">
        <v>10</v>
      </c>
      <c r="B462">
        <v>1984</v>
      </c>
      <c r="C462" s="12">
        <v>1984.8333333278199</v>
      </c>
      <c r="D462">
        <v>82.9</v>
      </c>
      <c r="E462" s="15">
        <f t="shared" si="21"/>
        <v>0.13254836359540542</v>
      </c>
      <c r="F462" s="13">
        <f>STANDARDIZE(D462,I$18,J$18)</f>
        <v>-0.36637490335986816</v>
      </c>
    </row>
    <row r="463" spans="1:6" x14ac:dyDescent="0.3">
      <c r="A463" t="s">
        <v>11</v>
      </c>
      <c r="B463">
        <v>1984</v>
      </c>
      <c r="C463" s="12">
        <v>1984.91666666118</v>
      </c>
      <c r="D463">
        <v>0</v>
      </c>
      <c r="E463" s="15">
        <f t="shared" si="21"/>
        <v>-0.84665984715470932</v>
      </c>
      <c r="F463" s="13">
        <f>STANDARDIZE(D463,I$19,J$19)</f>
        <v>-0.66274277884495481</v>
      </c>
    </row>
    <row r="464" spans="1:6" x14ac:dyDescent="0.3">
      <c r="A464" t="s">
        <v>0</v>
      </c>
      <c r="B464">
        <v>1985</v>
      </c>
      <c r="C464" s="12">
        <v>1984.9999999945401</v>
      </c>
      <c r="D464">
        <v>0</v>
      </c>
      <c r="E464" s="15">
        <f t="shared" si="21"/>
        <v>-0.84665984715470932</v>
      </c>
      <c r="F464" s="13">
        <f>STANDARDIZE(D464,I$8,J$8)</f>
        <v>-0.28131844469760109</v>
      </c>
    </row>
    <row r="465" spans="1:6" x14ac:dyDescent="0.3">
      <c r="A465" t="s">
        <v>1</v>
      </c>
      <c r="B465">
        <v>1985</v>
      </c>
      <c r="C465" s="12">
        <v>1985.0833333278999</v>
      </c>
      <c r="D465">
        <v>0</v>
      </c>
      <c r="E465" s="15">
        <f t="shared" si="21"/>
        <v>-0.84665984715470932</v>
      </c>
      <c r="F465" s="13">
        <f>STANDARDIZE(D465,I$9,J$9)</f>
        <v>-0.21027614347857898</v>
      </c>
    </row>
    <row r="466" spans="1:6" x14ac:dyDescent="0.3">
      <c r="A466" t="s">
        <v>2</v>
      </c>
      <c r="B466">
        <v>1985</v>
      </c>
      <c r="C466" s="12">
        <v>1985.16666666126</v>
      </c>
      <c r="D466">
        <v>0</v>
      </c>
      <c r="E466" s="15">
        <f t="shared" si="21"/>
        <v>-0.84665984715470932</v>
      </c>
      <c r="F466" s="13">
        <f>STANDARDIZE(D466,I$10,J$10)</f>
        <v>-0.50850073286852082</v>
      </c>
    </row>
    <row r="467" spans="1:6" x14ac:dyDescent="0.3">
      <c r="A467" t="s">
        <v>3</v>
      </c>
      <c r="B467">
        <v>1985</v>
      </c>
      <c r="C467" s="12">
        <v>1985.2499999946201</v>
      </c>
      <c r="D467">
        <v>0</v>
      </c>
      <c r="E467" s="15">
        <f t="shared" si="21"/>
        <v>-0.84665984715470932</v>
      </c>
      <c r="F467" s="13">
        <f>STANDARDIZE(D467,I$11,J$11)</f>
        <v>-1.0636406936051388</v>
      </c>
    </row>
    <row r="468" spans="1:6" x14ac:dyDescent="0.3">
      <c r="A468" t="s">
        <v>4</v>
      </c>
      <c r="B468">
        <v>1985</v>
      </c>
      <c r="C468" s="12">
        <v>1985.33333332798</v>
      </c>
      <c r="D468">
        <v>42.4</v>
      </c>
      <c r="E468" s="15">
        <f t="shared" si="21"/>
        <v>-0.34583441728975323</v>
      </c>
      <c r="F468" s="13">
        <f>STANDARDIZE(D468,I$12,J$12)</f>
        <v>-0.65310018711072026</v>
      </c>
    </row>
    <row r="469" spans="1:6" x14ac:dyDescent="0.3">
      <c r="A469" t="s">
        <v>5</v>
      </c>
      <c r="B469">
        <v>1985</v>
      </c>
      <c r="C469" s="12">
        <v>1985.4166666613401</v>
      </c>
      <c r="D469">
        <v>60.5</v>
      </c>
      <c r="E469" s="15">
        <f t="shared" si="21"/>
        <v>-0.13203865595589223</v>
      </c>
      <c r="F469" s="13">
        <f>STANDARDIZE(D469,I$13,J$13)</f>
        <v>-0.49017775330612606</v>
      </c>
    </row>
    <row r="470" spans="1:6" x14ac:dyDescent="0.3">
      <c r="A470" t="s">
        <v>6</v>
      </c>
      <c r="B470">
        <v>1985</v>
      </c>
      <c r="C470" s="12">
        <v>1985.4999999946999</v>
      </c>
      <c r="D470">
        <v>134.80000000000001</v>
      </c>
      <c r="E470" s="15">
        <f t="shared" si="21"/>
        <v>0.74558703835934947</v>
      </c>
      <c r="F470" s="13">
        <f>STANDARDIZE(D470,I$14,J$14)</f>
        <v>0.52575353340096376</v>
      </c>
    </row>
    <row r="471" spans="1:6" x14ac:dyDescent="0.3">
      <c r="A471" t="s">
        <v>7</v>
      </c>
      <c r="B471">
        <v>1985</v>
      </c>
      <c r="C471" s="12">
        <v>1985.58333332806</v>
      </c>
      <c r="D471">
        <v>166.6</v>
      </c>
      <c r="E471" s="15">
        <f t="shared" si="21"/>
        <v>1.1212061107580664</v>
      </c>
      <c r="F471" s="13">
        <f>STANDARDIZE(D471,I$15,J$15)</f>
        <v>0.84162021109802632</v>
      </c>
    </row>
    <row r="472" spans="1:6" x14ac:dyDescent="0.3">
      <c r="A472" t="s">
        <v>8</v>
      </c>
      <c r="B472">
        <v>1985</v>
      </c>
      <c r="C472" s="12">
        <v>1985.6666666614201</v>
      </c>
      <c r="D472">
        <v>114</v>
      </c>
      <c r="E472" s="15">
        <f t="shared" ref="E472:E494" si="22">STANDARDIZE(D472,F$4,F$5)</f>
        <v>0.49989909163314439</v>
      </c>
      <c r="F472" s="13">
        <f>STANDARDIZE(D472,I$16,J$16)</f>
        <v>-2.7230445238547358E-2</v>
      </c>
    </row>
    <row r="473" spans="1:6" x14ac:dyDescent="0.3">
      <c r="A473" t="s">
        <v>9</v>
      </c>
      <c r="B473">
        <v>1985</v>
      </c>
      <c r="C473" s="12">
        <v>1985.74999999478</v>
      </c>
      <c r="D473">
        <v>165.8</v>
      </c>
      <c r="E473" s="15">
        <f t="shared" si="22"/>
        <v>1.1117565743455202</v>
      </c>
      <c r="F473" s="13">
        <f>STANDARDIZE(D473,I$17,J$17)</f>
        <v>-9.814437124035251E-2</v>
      </c>
    </row>
    <row r="474" spans="1:6" x14ac:dyDescent="0.3">
      <c r="A474" t="s">
        <v>10</v>
      </c>
      <c r="B474">
        <v>1985</v>
      </c>
      <c r="C474" s="12">
        <v>1985.83333332814</v>
      </c>
      <c r="D474">
        <v>16.5</v>
      </c>
      <c r="E474" s="15">
        <f t="shared" si="22"/>
        <v>-0.65176315864594103</v>
      </c>
      <c r="F474" s="13">
        <f>STANDARDIZE(D474,I$18,J$18)</f>
        <v>-0.95864011536462213</v>
      </c>
    </row>
    <row r="475" spans="1:6" x14ac:dyDescent="0.3">
      <c r="A475" t="s">
        <v>11</v>
      </c>
      <c r="B475">
        <v>1985</v>
      </c>
      <c r="C475" s="12">
        <v>1985.9166666614999</v>
      </c>
      <c r="D475">
        <v>171.1</v>
      </c>
      <c r="E475" s="15">
        <f t="shared" si="22"/>
        <v>1.1743597530786396</v>
      </c>
      <c r="F475" s="13">
        <f>STANDARDIZE(D475,I$19,J$19)</f>
        <v>2.6900027142298071</v>
      </c>
    </row>
    <row r="476" spans="1:6" x14ac:dyDescent="0.3">
      <c r="A476" t="s">
        <v>0</v>
      </c>
      <c r="B476">
        <v>1986</v>
      </c>
      <c r="C476" s="12">
        <v>1985.99999999486</v>
      </c>
      <c r="D476">
        <v>0</v>
      </c>
      <c r="E476" s="15">
        <f t="shared" si="22"/>
        <v>-0.84665984715470932</v>
      </c>
      <c r="F476" s="13">
        <f>STANDARDIZE(D476,I$8,J$8)</f>
        <v>-0.28131844469760109</v>
      </c>
    </row>
    <row r="477" spans="1:6" x14ac:dyDescent="0.3">
      <c r="A477" t="s">
        <v>1</v>
      </c>
      <c r="B477">
        <v>1986</v>
      </c>
      <c r="C477" s="12">
        <v>1986.0833333282201</v>
      </c>
      <c r="D477">
        <v>0</v>
      </c>
      <c r="E477" s="15">
        <f t="shared" si="22"/>
        <v>-0.84665984715470932</v>
      </c>
      <c r="F477" s="13">
        <f>STANDARDIZE(D477,I$9,J$9)</f>
        <v>-0.21027614347857898</v>
      </c>
    </row>
    <row r="478" spans="1:6" x14ac:dyDescent="0.3">
      <c r="A478" t="s">
        <v>2</v>
      </c>
      <c r="B478">
        <v>1986</v>
      </c>
      <c r="C478" s="12">
        <v>1986.1666666615799</v>
      </c>
      <c r="D478">
        <v>0</v>
      </c>
      <c r="E478" s="15">
        <f t="shared" si="22"/>
        <v>-0.84665984715470932</v>
      </c>
      <c r="F478" s="13">
        <f>STANDARDIZE(D478,I$10,J$10)</f>
        <v>-0.50850073286852082</v>
      </c>
    </row>
    <row r="479" spans="1:6" x14ac:dyDescent="0.3">
      <c r="A479" t="s">
        <v>3</v>
      </c>
      <c r="B479">
        <v>1986</v>
      </c>
      <c r="C479" s="12">
        <v>1986.24999999494</v>
      </c>
      <c r="D479">
        <v>7.1</v>
      </c>
      <c r="E479" s="15">
        <f t="shared" si="22"/>
        <v>-0.7627952114933606</v>
      </c>
      <c r="F479" s="13">
        <f>STANDARDIZE(D479,I$11,J$11)</f>
        <v>-0.72924721841447993</v>
      </c>
    </row>
    <row r="480" spans="1:6" x14ac:dyDescent="0.3">
      <c r="A480" t="s">
        <v>4</v>
      </c>
      <c r="B480">
        <v>1986</v>
      </c>
      <c r="C480" s="12">
        <v>1986.3333333282999</v>
      </c>
      <c r="D480">
        <v>23</v>
      </c>
      <c r="E480" s="15">
        <f t="shared" si="22"/>
        <v>-0.57498567529400202</v>
      </c>
      <c r="F480" s="13">
        <f>STANDARDIZE(D480,I$12,J$12)</f>
        <v>-0.94413976931782584</v>
      </c>
    </row>
    <row r="481" spans="1:6" x14ac:dyDescent="0.3">
      <c r="A481" t="s">
        <v>5</v>
      </c>
      <c r="B481">
        <v>1986</v>
      </c>
      <c r="C481" s="12">
        <v>1986.41666666166</v>
      </c>
      <c r="D481">
        <v>59.2</v>
      </c>
      <c r="E481" s="15">
        <f t="shared" si="22"/>
        <v>-0.14739415262628</v>
      </c>
      <c r="F481" s="13">
        <f>STANDARDIZE(D481,I$13,J$13)</f>
        <v>-0.51050833289255015</v>
      </c>
    </row>
    <row r="482" spans="1:6" x14ac:dyDescent="0.3">
      <c r="A482" t="s">
        <v>6</v>
      </c>
      <c r="B482">
        <v>1986</v>
      </c>
      <c r="C482" s="12">
        <v>1986.4999999950201</v>
      </c>
      <c r="D482">
        <v>32</v>
      </c>
      <c r="E482" s="15">
        <f t="shared" si="22"/>
        <v>-0.46867839065285566</v>
      </c>
      <c r="F482" s="13">
        <f>STANDARDIZE(D482,I$14,J$14)</f>
        <v>-0.74748269605818074</v>
      </c>
    </row>
    <row r="483" spans="1:6" x14ac:dyDescent="0.3">
      <c r="A483" t="s">
        <v>7</v>
      </c>
      <c r="B483">
        <v>1986</v>
      </c>
      <c r="C483" s="12">
        <v>1986.5833333283799</v>
      </c>
      <c r="D483">
        <v>45.8</v>
      </c>
      <c r="E483" s="15">
        <f t="shared" si="22"/>
        <v>-0.30567388753643132</v>
      </c>
      <c r="F483" s="13">
        <f>STANDARDIZE(D483,I$15,J$15)</f>
        <v>-0.68726662275689054</v>
      </c>
    </row>
    <row r="484" spans="1:6" x14ac:dyDescent="0.3">
      <c r="A484" t="s">
        <v>8</v>
      </c>
      <c r="B484">
        <v>1986</v>
      </c>
      <c r="C484" s="12">
        <v>1986.66666666174</v>
      </c>
      <c r="D484">
        <v>17.899999999999999</v>
      </c>
      <c r="E484" s="15">
        <f t="shared" si="22"/>
        <v>-0.63522646992398502</v>
      </c>
      <c r="F484" s="13">
        <f>STANDARDIZE(D484,I$16,J$16)</f>
        <v>-1.3655520122564682</v>
      </c>
    </row>
    <row r="485" spans="1:6" x14ac:dyDescent="0.3">
      <c r="A485" t="s">
        <v>9</v>
      </c>
      <c r="B485">
        <v>1986</v>
      </c>
      <c r="C485" s="12">
        <v>1986.7499999951001</v>
      </c>
      <c r="D485">
        <v>154.30000000000001</v>
      </c>
      <c r="E485" s="15">
        <f t="shared" si="22"/>
        <v>0.97591948841516651</v>
      </c>
      <c r="F485" s="13">
        <f>STANDARDIZE(D485,I$17,J$17)</f>
        <v>-0.19931909657278754</v>
      </c>
    </row>
    <row r="486" spans="1:6" x14ac:dyDescent="0.3">
      <c r="A486" t="s">
        <v>10</v>
      </c>
      <c r="B486">
        <v>1986</v>
      </c>
      <c r="C486" s="12">
        <v>1986.83333332846</v>
      </c>
      <c r="D486">
        <v>23.4</v>
      </c>
      <c r="E486" s="15">
        <f t="shared" si="22"/>
        <v>-0.57026090708772892</v>
      </c>
      <c r="F486" s="13">
        <f>STANDARDIZE(D486,I$18,J$18)</f>
        <v>-0.89709448339424858</v>
      </c>
    </row>
    <row r="487" spans="1:6" x14ac:dyDescent="0.3">
      <c r="A487" t="s">
        <v>11</v>
      </c>
      <c r="B487">
        <v>1986</v>
      </c>
      <c r="C487" s="12">
        <v>1986.91666666182</v>
      </c>
      <c r="D487">
        <v>48.8</v>
      </c>
      <c r="E487" s="15">
        <f t="shared" si="22"/>
        <v>-0.27023812598938252</v>
      </c>
      <c r="F487" s="13">
        <f>STANDARDIZE(D487,I$19,J$19)</f>
        <v>0.29350491292622205</v>
      </c>
    </row>
    <row r="488" spans="1:6" x14ac:dyDescent="0.3">
      <c r="A488" t="s">
        <v>0</v>
      </c>
      <c r="B488">
        <v>1987</v>
      </c>
      <c r="C488" s="12">
        <v>1986.9999999951799</v>
      </c>
      <c r="D488">
        <v>2.8</v>
      </c>
      <c r="E488" s="15">
        <f t="shared" si="22"/>
        <v>-0.81358646971079718</v>
      </c>
      <c r="F488" s="13">
        <f>STANDARDIZE(D488,I$8,J$8)</f>
        <v>-3.6900726878528751E-2</v>
      </c>
    </row>
    <row r="489" spans="1:6" x14ac:dyDescent="0.3">
      <c r="A489" t="s">
        <v>1</v>
      </c>
      <c r="B489">
        <v>1987</v>
      </c>
      <c r="C489" s="12">
        <v>1987.08333332854</v>
      </c>
      <c r="D489">
        <v>0</v>
      </c>
      <c r="E489" s="15">
        <f t="shared" si="22"/>
        <v>-0.84665984715470932</v>
      </c>
      <c r="F489" s="13">
        <f>STANDARDIZE(D489,I$9,J$9)</f>
        <v>-0.21027614347857898</v>
      </c>
    </row>
    <row r="490" spans="1:6" x14ac:dyDescent="0.3">
      <c r="A490" t="s">
        <v>2</v>
      </c>
      <c r="B490">
        <v>1987</v>
      </c>
      <c r="C490" s="12">
        <v>1987.1666666619001</v>
      </c>
      <c r="D490">
        <v>0</v>
      </c>
      <c r="E490" s="15">
        <f t="shared" si="22"/>
        <v>-0.84665984715470932</v>
      </c>
      <c r="F490" s="13">
        <f>STANDARDIZE(D490,I$10,J$10)</f>
        <v>-0.50850073286852082</v>
      </c>
    </row>
    <row r="491" spans="1:6" x14ac:dyDescent="0.3">
      <c r="A491" t="s">
        <v>3</v>
      </c>
      <c r="B491">
        <v>1987</v>
      </c>
      <c r="C491" s="12">
        <v>1987.2499999952599</v>
      </c>
      <c r="D491">
        <v>41.4</v>
      </c>
      <c r="E491" s="15">
        <f t="shared" si="22"/>
        <v>-0.3576463378054362</v>
      </c>
      <c r="F491" s="13">
        <f>STANDARDIZE(D491,I$11,J$11)</f>
        <v>0.88620295046433706</v>
      </c>
    </row>
    <row r="492" spans="1:6" x14ac:dyDescent="0.3">
      <c r="A492" t="s">
        <v>4</v>
      </c>
      <c r="B492">
        <v>1987</v>
      </c>
      <c r="C492" s="12">
        <v>1987.33333332862</v>
      </c>
      <c r="D492">
        <v>168.8</v>
      </c>
      <c r="E492" s="15">
        <f t="shared" si="22"/>
        <v>1.1471923358925691</v>
      </c>
      <c r="F492" s="13">
        <f>STANDARDIZE(D492,I$12,J$12)</f>
        <v>1.243157709331453</v>
      </c>
    </row>
    <row r="493" spans="1:6" x14ac:dyDescent="0.3">
      <c r="A493" t="s">
        <v>5</v>
      </c>
      <c r="B493">
        <v>1987</v>
      </c>
      <c r="C493" s="12">
        <v>1987.4166666619799</v>
      </c>
      <c r="D493">
        <v>81.099999999999994</v>
      </c>
      <c r="E493" s="15">
        <f t="shared" si="22"/>
        <v>0.11128690666717601</v>
      </c>
      <c r="F493" s="13">
        <f>STANDARDIZE(D493,I$13,J$13)</f>
        <v>-0.16801626139817435</v>
      </c>
    </row>
    <row r="494" spans="1:6" x14ac:dyDescent="0.3">
      <c r="A494" t="s">
        <v>6</v>
      </c>
      <c r="B494">
        <v>1987</v>
      </c>
      <c r="C494" s="12">
        <v>1987.49999999534</v>
      </c>
      <c r="D494">
        <v>42</v>
      </c>
      <c r="E494" s="15">
        <f t="shared" si="22"/>
        <v>-0.35055918549602638</v>
      </c>
      <c r="F494" s="13">
        <f>STANDARDIZE(D494,I$14,J$14)</f>
        <v>-0.62362703171390599</v>
      </c>
    </row>
    <row r="495" spans="1:6" x14ac:dyDescent="0.3">
      <c r="A495" t="s">
        <v>7</v>
      </c>
      <c r="B495">
        <v>1987</v>
      </c>
      <c r="C495" s="12">
        <v>1987.5833333287001</v>
      </c>
      <c r="D495" s="1"/>
      <c r="E495" s="15"/>
      <c r="F495" s="13"/>
    </row>
    <row r="496" spans="1:6" x14ac:dyDescent="0.3">
      <c r="A496" t="s">
        <v>8</v>
      </c>
      <c r="B496">
        <v>1987</v>
      </c>
      <c r="C496" s="12">
        <v>1987.6666666620599</v>
      </c>
      <c r="E496" s="15"/>
      <c r="F496" s="13"/>
    </row>
    <row r="497" spans="1:6" x14ac:dyDescent="0.3">
      <c r="A497" t="s">
        <v>9</v>
      </c>
      <c r="B497">
        <v>1987</v>
      </c>
      <c r="C497" s="12">
        <v>1987.74999999543</v>
      </c>
      <c r="E497" s="15"/>
      <c r="F497" s="13"/>
    </row>
    <row r="498" spans="1:6" x14ac:dyDescent="0.3">
      <c r="A498" t="s">
        <v>10</v>
      </c>
      <c r="B498">
        <v>1987</v>
      </c>
      <c r="C498" s="12">
        <v>1987.8333333287901</v>
      </c>
      <c r="E498" s="15"/>
      <c r="F498" s="13"/>
    </row>
    <row r="499" spans="1:6" x14ac:dyDescent="0.3">
      <c r="A499" t="s">
        <v>11</v>
      </c>
      <c r="B499">
        <v>1987</v>
      </c>
      <c r="C499" s="12">
        <v>1987.9166666621497</v>
      </c>
      <c r="E499" s="15"/>
      <c r="F499" s="13"/>
    </row>
    <row r="500" spans="1:6" x14ac:dyDescent="0.3">
      <c r="A500" t="s">
        <v>0</v>
      </c>
      <c r="B500">
        <v>1988</v>
      </c>
      <c r="C500" s="12">
        <v>1987.9999999955098</v>
      </c>
      <c r="E500" s="15"/>
      <c r="F500" s="13"/>
    </row>
    <row r="501" spans="1:6" x14ac:dyDescent="0.3">
      <c r="A501" t="s">
        <v>1</v>
      </c>
      <c r="B501">
        <v>1988</v>
      </c>
      <c r="C501" s="12">
        <v>1988.0833333288699</v>
      </c>
      <c r="E501" s="15"/>
      <c r="F501" s="13"/>
    </row>
    <row r="502" spans="1:6" x14ac:dyDescent="0.3">
      <c r="A502" t="s">
        <v>2</v>
      </c>
      <c r="B502">
        <v>1988</v>
      </c>
      <c r="C502" s="12">
        <v>1988.1666666622298</v>
      </c>
      <c r="E502" s="15"/>
      <c r="F502" s="13"/>
    </row>
    <row r="503" spans="1:6" x14ac:dyDescent="0.3">
      <c r="A503" t="s">
        <v>3</v>
      </c>
      <c r="B503">
        <v>1988</v>
      </c>
      <c r="C503" s="12">
        <v>1988.2499999955899</v>
      </c>
      <c r="E503" s="15"/>
      <c r="F503" s="13"/>
    </row>
    <row r="504" spans="1:6" x14ac:dyDescent="0.3">
      <c r="A504" t="s">
        <v>4</v>
      </c>
      <c r="B504">
        <v>1988</v>
      </c>
      <c r="C504" s="12">
        <v>1988.3333333289497</v>
      </c>
      <c r="E504" s="15"/>
      <c r="F504" s="13"/>
    </row>
    <row r="505" spans="1:6" x14ac:dyDescent="0.3">
      <c r="A505" t="s">
        <v>5</v>
      </c>
      <c r="B505">
        <v>1988</v>
      </c>
      <c r="C505" s="12">
        <v>1988.4166666623098</v>
      </c>
      <c r="E505" s="15"/>
      <c r="F505" s="13"/>
    </row>
    <row r="506" spans="1:6" x14ac:dyDescent="0.3">
      <c r="A506" t="s">
        <v>6</v>
      </c>
      <c r="B506">
        <v>1988</v>
      </c>
      <c r="C506" s="12">
        <v>1988.4999999956699</v>
      </c>
      <c r="E506" s="15"/>
      <c r="F506" s="13"/>
    </row>
    <row r="507" spans="1:6" x14ac:dyDescent="0.3">
      <c r="A507" t="s">
        <v>7</v>
      </c>
      <c r="B507">
        <v>1988</v>
      </c>
      <c r="C507" s="12">
        <v>1988.5833333290298</v>
      </c>
      <c r="E507" s="15"/>
      <c r="F507" s="13"/>
    </row>
    <row r="508" spans="1:6" x14ac:dyDescent="0.3">
      <c r="A508" t="s">
        <v>8</v>
      </c>
      <c r="B508">
        <v>1988</v>
      </c>
      <c r="C508" s="12">
        <v>1988.6666666623898</v>
      </c>
      <c r="E508" s="15"/>
      <c r="F508" s="13"/>
    </row>
    <row r="509" spans="1:6" x14ac:dyDescent="0.3">
      <c r="A509" t="s">
        <v>9</v>
      </c>
      <c r="B509">
        <v>1988</v>
      </c>
      <c r="C509" s="12">
        <v>1988.7499999957499</v>
      </c>
      <c r="E509" s="15"/>
      <c r="F509" s="13"/>
    </row>
    <row r="510" spans="1:6" x14ac:dyDescent="0.3">
      <c r="A510" t="s">
        <v>10</v>
      </c>
      <c r="B510">
        <v>1988</v>
      </c>
      <c r="C510" s="12">
        <v>1988.8333333291098</v>
      </c>
      <c r="E510" s="15"/>
      <c r="F510" s="13"/>
    </row>
    <row r="511" spans="1:6" x14ac:dyDescent="0.3">
      <c r="A511" t="s">
        <v>11</v>
      </c>
      <c r="B511">
        <v>1988</v>
      </c>
      <c r="C511" s="12">
        <v>1988.9166666624699</v>
      </c>
      <c r="E511" s="15"/>
      <c r="F511" s="13"/>
    </row>
    <row r="512" spans="1:6" x14ac:dyDescent="0.3">
      <c r="A512" t="s">
        <v>0</v>
      </c>
      <c r="B512">
        <v>1989</v>
      </c>
      <c r="C512" s="12">
        <v>1988.9999999958297</v>
      </c>
      <c r="E512" s="15"/>
      <c r="F512" s="13"/>
    </row>
    <row r="513" spans="1:6" x14ac:dyDescent="0.3">
      <c r="A513" t="s">
        <v>1</v>
      </c>
      <c r="B513">
        <v>1989</v>
      </c>
      <c r="C513" s="12">
        <v>1989.0833333291898</v>
      </c>
      <c r="E513" s="15"/>
      <c r="F513" s="13"/>
    </row>
    <row r="514" spans="1:6" x14ac:dyDescent="0.3">
      <c r="A514" t="s">
        <v>2</v>
      </c>
      <c r="B514">
        <v>1989</v>
      </c>
      <c r="C514" s="12">
        <v>1989.1666666625499</v>
      </c>
      <c r="E514" s="15"/>
      <c r="F514" s="13"/>
    </row>
    <row r="515" spans="1:6" x14ac:dyDescent="0.3">
      <c r="A515" t="s">
        <v>3</v>
      </c>
      <c r="B515">
        <v>1989</v>
      </c>
      <c r="C515" s="12">
        <v>1989.2499999959098</v>
      </c>
      <c r="E515" s="15"/>
      <c r="F515" s="13"/>
    </row>
    <row r="516" spans="1:6" x14ac:dyDescent="0.3">
      <c r="A516" t="s">
        <v>4</v>
      </c>
      <c r="B516">
        <v>1989</v>
      </c>
      <c r="C516" s="12">
        <v>1989.3333333292699</v>
      </c>
      <c r="E516" s="15"/>
      <c r="F516" s="13"/>
    </row>
    <row r="517" spans="1:6" x14ac:dyDescent="0.3">
      <c r="A517" t="s">
        <v>5</v>
      </c>
      <c r="B517">
        <v>1989</v>
      </c>
      <c r="C517" s="12">
        <v>1989.41666666263</v>
      </c>
      <c r="E517" s="15"/>
      <c r="F517" s="13"/>
    </row>
    <row r="518" spans="1:6" x14ac:dyDescent="0.3">
      <c r="A518" t="s">
        <v>6</v>
      </c>
      <c r="B518">
        <v>1989</v>
      </c>
      <c r="C518" s="12">
        <v>1989.4999999959898</v>
      </c>
      <c r="E518" s="15"/>
      <c r="F518" s="13"/>
    </row>
    <row r="519" spans="1:6" x14ac:dyDescent="0.3">
      <c r="A519" t="s">
        <v>7</v>
      </c>
      <c r="B519">
        <v>1989</v>
      </c>
      <c r="C519" s="12">
        <v>1989.5833333293499</v>
      </c>
      <c r="E519" s="15"/>
      <c r="F519" s="13"/>
    </row>
    <row r="520" spans="1:6" x14ac:dyDescent="0.3">
      <c r="A520" t="s">
        <v>8</v>
      </c>
      <c r="B520">
        <v>1989</v>
      </c>
      <c r="C520" s="12">
        <v>1989.6666666627098</v>
      </c>
      <c r="E520" s="15"/>
      <c r="F520" s="13"/>
    </row>
    <row r="521" spans="1:6" x14ac:dyDescent="0.3">
      <c r="A521" t="s">
        <v>9</v>
      </c>
      <c r="B521">
        <v>1989</v>
      </c>
      <c r="C521" s="12">
        <v>1989.7499999960698</v>
      </c>
      <c r="E521" s="15"/>
      <c r="F521" s="13"/>
    </row>
    <row r="522" spans="1:6" x14ac:dyDescent="0.3">
      <c r="A522" t="s">
        <v>10</v>
      </c>
      <c r="B522">
        <v>1989</v>
      </c>
      <c r="C522" s="12">
        <v>1989.8333333294299</v>
      </c>
      <c r="E522" s="15"/>
      <c r="F522" s="13"/>
    </row>
    <row r="523" spans="1:6" x14ac:dyDescent="0.3">
      <c r="A523" t="s">
        <v>11</v>
      </c>
      <c r="B523">
        <v>1989</v>
      </c>
      <c r="C523" s="12">
        <v>1989.9166666627898</v>
      </c>
      <c r="E523" s="15"/>
      <c r="F523" s="13"/>
    </row>
    <row r="524" spans="1:6" x14ac:dyDescent="0.3">
      <c r="A524" t="s">
        <v>0</v>
      </c>
      <c r="B524">
        <v>1990</v>
      </c>
      <c r="C524" s="12">
        <v>1989.9999999961499</v>
      </c>
      <c r="E524" s="15"/>
      <c r="F524" s="13"/>
    </row>
    <row r="525" spans="1:6" x14ac:dyDescent="0.3">
      <c r="A525" t="s">
        <v>1</v>
      </c>
      <c r="B525">
        <v>1990</v>
      </c>
      <c r="C525" s="12">
        <v>1990.08333332951</v>
      </c>
      <c r="E525" s="15"/>
      <c r="F525" s="13"/>
    </row>
    <row r="526" spans="1:6" x14ac:dyDescent="0.3">
      <c r="A526" t="s">
        <v>2</v>
      </c>
      <c r="B526">
        <v>1990</v>
      </c>
      <c r="C526" s="12">
        <v>1990.1666666628698</v>
      </c>
      <c r="E526" s="15"/>
      <c r="F526" s="13"/>
    </row>
    <row r="527" spans="1:6" x14ac:dyDescent="0.3">
      <c r="A527" t="s">
        <v>3</v>
      </c>
      <c r="B527">
        <v>1990</v>
      </c>
      <c r="C527" s="12">
        <v>1990.2499999962299</v>
      </c>
      <c r="E527" s="15"/>
      <c r="F527" s="13"/>
    </row>
    <row r="528" spans="1:6" x14ac:dyDescent="0.3">
      <c r="A528" t="s">
        <v>4</v>
      </c>
      <c r="B528">
        <v>1990</v>
      </c>
      <c r="C528" s="12">
        <v>1990.3333333295898</v>
      </c>
      <c r="E528" s="15"/>
      <c r="F528" s="13"/>
    </row>
    <row r="529" spans="1:6" x14ac:dyDescent="0.3">
      <c r="A529" t="s">
        <v>5</v>
      </c>
      <c r="B529">
        <v>1990</v>
      </c>
      <c r="C529" s="12">
        <v>1990.4166666629499</v>
      </c>
      <c r="E529" s="15"/>
      <c r="F529" s="13"/>
    </row>
    <row r="530" spans="1:6" x14ac:dyDescent="0.3">
      <c r="A530" t="s">
        <v>6</v>
      </c>
      <c r="B530">
        <v>1990</v>
      </c>
      <c r="C530" s="12">
        <v>1990.49999999631</v>
      </c>
      <c r="E530" s="15"/>
      <c r="F530" s="13"/>
    </row>
    <row r="531" spans="1:6" x14ac:dyDescent="0.3">
      <c r="A531" t="s">
        <v>7</v>
      </c>
      <c r="B531">
        <v>1990</v>
      </c>
      <c r="C531" s="12">
        <v>1990.5833333296698</v>
      </c>
      <c r="E531" s="15"/>
      <c r="F531" s="13"/>
    </row>
    <row r="532" spans="1:6" x14ac:dyDescent="0.3">
      <c r="A532" t="s">
        <v>8</v>
      </c>
      <c r="B532">
        <v>1990</v>
      </c>
      <c r="C532" s="12">
        <v>1990.6666666630299</v>
      </c>
      <c r="E532" s="15"/>
      <c r="F532" s="13"/>
    </row>
    <row r="533" spans="1:6" x14ac:dyDescent="0.3">
      <c r="A533" t="s">
        <v>9</v>
      </c>
      <c r="B533">
        <v>1990</v>
      </c>
      <c r="C533" s="12">
        <v>1990.74999999639</v>
      </c>
      <c r="E533" s="15"/>
      <c r="F533" s="13"/>
    </row>
    <row r="534" spans="1:6" x14ac:dyDescent="0.3">
      <c r="A534" t="s">
        <v>10</v>
      </c>
      <c r="B534">
        <v>1990</v>
      </c>
      <c r="C534" s="12">
        <v>1990.8333333297498</v>
      </c>
      <c r="E534" s="15"/>
      <c r="F534" s="13"/>
    </row>
    <row r="535" spans="1:6" x14ac:dyDescent="0.3">
      <c r="A535" t="s">
        <v>11</v>
      </c>
      <c r="B535">
        <v>1990</v>
      </c>
      <c r="C535" s="12">
        <v>1990.9166666631099</v>
      </c>
      <c r="E535" s="15"/>
      <c r="F535" s="13"/>
    </row>
    <row r="536" spans="1:6" x14ac:dyDescent="0.3">
      <c r="A536" t="s">
        <v>0</v>
      </c>
      <c r="B536">
        <v>1991</v>
      </c>
      <c r="C536" s="12">
        <v>1990.9999999964698</v>
      </c>
      <c r="E536" s="15"/>
      <c r="F536" s="13"/>
    </row>
    <row r="537" spans="1:6" x14ac:dyDescent="0.3">
      <c r="A537" t="s">
        <v>1</v>
      </c>
      <c r="B537">
        <v>1991</v>
      </c>
      <c r="C537" s="12">
        <v>1991.0833333298301</v>
      </c>
      <c r="E537" s="15"/>
      <c r="F537" s="13"/>
    </row>
    <row r="538" spans="1:6" x14ac:dyDescent="0.3">
      <c r="A538" t="s">
        <v>2</v>
      </c>
      <c r="B538">
        <v>1991</v>
      </c>
      <c r="C538" s="12">
        <v>1991.16666666319</v>
      </c>
      <c r="E538" s="15"/>
      <c r="F538" s="13"/>
    </row>
    <row r="539" spans="1:6" x14ac:dyDescent="0.3">
      <c r="A539" t="s">
        <v>3</v>
      </c>
      <c r="B539">
        <v>1991</v>
      </c>
      <c r="C539" s="12">
        <v>1991.2499999965501</v>
      </c>
      <c r="E539" s="15"/>
      <c r="F539" s="13"/>
    </row>
    <row r="540" spans="1:6" x14ac:dyDescent="0.3">
      <c r="A540" t="s">
        <v>4</v>
      </c>
      <c r="B540">
        <v>1991</v>
      </c>
      <c r="C540" s="12">
        <v>1991.3333333299099</v>
      </c>
      <c r="E540" s="15"/>
      <c r="F540" s="13"/>
    </row>
    <row r="541" spans="1:6" x14ac:dyDescent="0.3">
      <c r="A541" t="s">
        <v>5</v>
      </c>
      <c r="B541">
        <v>1991</v>
      </c>
      <c r="C541" s="12">
        <v>1991.41666666327</v>
      </c>
      <c r="E541" s="15"/>
      <c r="F541" s="13"/>
    </row>
    <row r="542" spans="1:6" x14ac:dyDescent="0.3">
      <c r="A542" t="s">
        <v>6</v>
      </c>
      <c r="B542">
        <v>1991</v>
      </c>
      <c r="C542" s="12">
        <v>1991.4999999966301</v>
      </c>
      <c r="D542">
        <v>16.399999999999999</v>
      </c>
      <c r="E542" s="15">
        <f>STANDARDIZE(D542,F$4,F$5)</f>
        <v>-0.65294435069750933</v>
      </c>
      <c r="F542" s="13">
        <f>STANDARDIZE(D542,I$14,J$14)</f>
        <v>-0.94069753243524934</v>
      </c>
    </row>
    <row r="543" spans="1:6" x14ac:dyDescent="0.3">
      <c r="A543" t="s">
        <v>7</v>
      </c>
      <c r="B543">
        <v>1991</v>
      </c>
      <c r="C543" s="12">
        <v>1991.58333332999</v>
      </c>
      <c r="D543">
        <v>18.8</v>
      </c>
      <c r="E543" s="15">
        <f>STANDARDIZE(D543,F$4,F$5)</f>
        <v>-0.6245957414598704</v>
      </c>
      <c r="F543" s="13">
        <f>STANDARDIZE(D543,I$15,J$15)</f>
        <v>-1.0289880177410193</v>
      </c>
    </row>
    <row r="544" spans="1:6" x14ac:dyDescent="0.3">
      <c r="A544" t="s">
        <v>8</v>
      </c>
      <c r="B544">
        <v>1991</v>
      </c>
      <c r="C544" s="12">
        <v>1991.66666666335</v>
      </c>
      <c r="D544">
        <v>163.19999999999999</v>
      </c>
      <c r="E544" s="15">
        <f>STANDARDIZE(D544,F$4,F$5)</f>
        <v>1.0810455810047443</v>
      </c>
      <c r="F544" s="13">
        <f>STANDARDIZE(D544,I$16,J$16)</f>
        <v>0.65794563277687068</v>
      </c>
    </row>
    <row r="545" spans="1:6" x14ac:dyDescent="0.3">
      <c r="A545" t="s">
        <v>9</v>
      </c>
      <c r="B545">
        <v>1991</v>
      </c>
      <c r="C545" s="12">
        <v>1991.7499999967099</v>
      </c>
      <c r="D545">
        <v>43.9</v>
      </c>
      <c r="E545" s="15">
        <f>STANDARDIZE(D545,F$4,F$5)</f>
        <v>-0.32811653651622885</v>
      </c>
      <c r="F545" s="13">
        <f>STANDARDIZE(D545,I$17,J$17)</f>
        <v>-1.1705964597641638</v>
      </c>
    </row>
    <row r="546" spans="1:6" x14ac:dyDescent="0.3">
      <c r="A546" t="s">
        <v>10</v>
      </c>
      <c r="B546">
        <v>1991</v>
      </c>
      <c r="C546" s="12">
        <v>1991.83333333007</v>
      </c>
      <c r="D546">
        <v>117.1</v>
      </c>
      <c r="E546" s="15">
        <f>STANDARDIZE(D546,F$4,F$5)</f>
        <v>0.53651604523176144</v>
      </c>
      <c r="F546" s="13">
        <f>STANDARDIZE(D546,I$18,J$18)</f>
        <v>-6.1322640550190766E-2</v>
      </c>
    </row>
    <row r="547" spans="1:6" x14ac:dyDescent="0.3">
      <c r="A547" t="s">
        <v>11</v>
      </c>
      <c r="B547">
        <v>1991</v>
      </c>
      <c r="C547" s="12">
        <v>1991.9166666634301</v>
      </c>
      <c r="E547" s="15"/>
      <c r="F547" s="13"/>
    </row>
    <row r="548" spans="1:6" x14ac:dyDescent="0.3">
      <c r="A548" t="s">
        <v>0</v>
      </c>
      <c r="B548">
        <v>1992</v>
      </c>
      <c r="C548" s="12">
        <v>1991.9999999967899</v>
      </c>
      <c r="E548" s="15"/>
      <c r="F548" s="13"/>
    </row>
    <row r="549" spans="1:6" x14ac:dyDescent="0.3">
      <c r="A549" t="s">
        <v>1</v>
      </c>
      <c r="B549">
        <v>1992</v>
      </c>
      <c r="C549" s="12">
        <v>1992.08333333015</v>
      </c>
      <c r="D549">
        <v>0</v>
      </c>
      <c r="E549" s="15">
        <f t="shared" ref="E549:E580" si="23">STANDARDIZE(D549,F$4,F$5)</f>
        <v>-0.84665984715470932</v>
      </c>
      <c r="F549" s="13">
        <f>STANDARDIZE(D549,I$9,J$9)</f>
        <v>-0.21027614347857898</v>
      </c>
    </row>
    <row r="550" spans="1:6" x14ac:dyDescent="0.3">
      <c r="A550" t="s">
        <v>2</v>
      </c>
      <c r="B550">
        <v>1992</v>
      </c>
      <c r="C550" s="12">
        <v>1992.1666666635101</v>
      </c>
      <c r="D550">
        <v>0</v>
      </c>
      <c r="E550" s="15">
        <f t="shared" si="23"/>
        <v>-0.84665984715470932</v>
      </c>
      <c r="F550" s="13">
        <f>STANDARDIZE(D550,I$10,J$10)</f>
        <v>-0.50850073286852082</v>
      </c>
    </row>
    <row r="551" spans="1:6" x14ac:dyDescent="0.3">
      <c r="A551" t="s">
        <v>3</v>
      </c>
      <c r="B551">
        <v>1992</v>
      </c>
      <c r="C551" s="12">
        <v>1992.24999999687</v>
      </c>
      <c r="D551">
        <v>2.8</v>
      </c>
      <c r="E551" s="15">
        <f t="shared" si="23"/>
        <v>-0.81358646971079718</v>
      </c>
      <c r="F551" s="13">
        <f>STANDARDIZE(D551,I$11,J$11)</f>
        <v>-0.9317672104313578</v>
      </c>
    </row>
    <row r="552" spans="1:6" x14ac:dyDescent="0.3">
      <c r="A552" t="s">
        <v>4</v>
      </c>
      <c r="B552">
        <v>1992</v>
      </c>
      <c r="C552" s="12">
        <v>1992.3333333302301</v>
      </c>
      <c r="D552">
        <v>61.9</v>
      </c>
      <c r="E552" s="15">
        <f t="shared" si="23"/>
        <v>-0.11550196723393615</v>
      </c>
      <c r="F552" s="13">
        <f>STANDARDIZE(D552,I$12,J$12)</f>
        <v>-0.36056040087161917</v>
      </c>
    </row>
    <row r="553" spans="1:6" x14ac:dyDescent="0.3">
      <c r="A553" t="s">
        <v>5</v>
      </c>
      <c r="B553">
        <v>1992</v>
      </c>
      <c r="C553" s="12">
        <v>1992.4166666635899</v>
      </c>
      <c r="D553">
        <v>103.3</v>
      </c>
      <c r="E553" s="15">
        <f t="shared" si="23"/>
        <v>0.37351154211533705</v>
      </c>
      <c r="F553" s="13">
        <f>STANDARDIZE(D553,I$13,J$13)</f>
        <v>0.17916748230845339</v>
      </c>
    </row>
    <row r="554" spans="1:6" x14ac:dyDescent="0.3">
      <c r="A554" t="s">
        <v>6</v>
      </c>
      <c r="B554">
        <v>1992</v>
      </c>
      <c r="C554" s="12">
        <v>1992.49999999695</v>
      </c>
      <c r="D554">
        <v>11</v>
      </c>
      <c r="E554" s="15">
        <f t="shared" si="23"/>
        <v>-0.71672872148219713</v>
      </c>
      <c r="F554" s="13">
        <f>STANDARDIZE(D554,I$14,J$14)</f>
        <v>-1.0075795911811576</v>
      </c>
    </row>
    <row r="555" spans="1:6" x14ac:dyDescent="0.3">
      <c r="A555" t="s">
        <v>7</v>
      </c>
      <c r="B555">
        <v>1992</v>
      </c>
      <c r="C555" s="12">
        <v>1992.5833333303101</v>
      </c>
      <c r="D555">
        <v>12.8</v>
      </c>
      <c r="E555" s="15">
        <f t="shared" si="23"/>
        <v>-0.6954672645539679</v>
      </c>
      <c r="F555" s="13">
        <f>STANDARDIZE(D555,I$15,J$15)</f>
        <v>-1.1049261055152702</v>
      </c>
    </row>
    <row r="556" spans="1:6" x14ac:dyDescent="0.3">
      <c r="A556" t="s">
        <v>8</v>
      </c>
      <c r="B556">
        <v>1992</v>
      </c>
      <c r="C556" s="12">
        <v>1992.66666666367</v>
      </c>
      <c r="D556">
        <v>10.1</v>
      </c>
      <c r="E556" s="15">
        <f t="shared" si="23"/>
        <v>-0.72735944994631174</v>
      </c>
      <c r="F556" s="13">
        <f>STANDARDIZE(D556,I$16,J$16)</f>
        <v>-1.4741774880394003</v>
      </c>
    </row>
    <row r="557" spans="1:6" x14ac:dyDescent="0.3">
      <c r="A557" t="s">
        <v>9</v>
      </c>
      <c r="B557">
        <v>1992</v>
      </c>
      <c r="C557" s="12">
        <v>1992.74999999703</v>
      </c>
      <c r="D557">
        <v>9.9</v>
      </c>
      <c r="E557" s="15">
        <f t="shared" si="23"/>
        <v>-0.72972183404944835</v>
      </c>
      <c r="F557" s="13">
        <f>STANDARDIZE(D557,I$17,J$17)</f>
        <v>-1.4697217346600586</v>
      </c>
    </row>
    <row r="558" spans="1:6" x14ac:dyDescent="0.3">
      <c r="A558" t="s">
        <v>10</v>
      </c>
      <c r="B558">
        <v>1992</v>
      </c>
      <c r="C558" s="12">
        <v>1992.8333333303899</v>
      </c>
      <c r="D558">
        <v>28.1</v>
      </c>
      <c r="E558" s="15">
        <f t="shared" si="23"/>
        <v>-0.51474488066401913</v>
      </c>
      <c r="F558" s="13">
        <f>STANDARDIZE(D558,I$18,J$18)</f>
        <v>-0.8551720963999363</v>
      </c>
    </row>
    <row r="559" spans="1:6" x14ac:dyDescent="0.3">
      <c r="A559" t="s">
        <v>11</v>
      </c>
      <c r="B559">
        <v>1992</v>
      </c>
      <c r="C559" s="12">
        <v>1992.91666666375</v>
      </c>
      <c r="D559">
        <v>5.6</v>
      </c>
      <c r="E559" s="15">
        <f t="shared" si="23"/>
        <v>-0.78051309226688503</v>
      </c>
      <c r="F559" s="13">
        <f>STANDARDIZE(D559,I$19,J$19)</f>
        <v>-0.55300943716629514</v>
      </c>
    </row>
    <row r="560" spans="1:6" x14ac:dyDescent="0.3">
      <c r="A560" t="s">
        <v>0</v>
      </c>
      <c r="B560">
        <v>1993</v>
      </c>
      <c r="C560" s="12">
        <v>1992.9999999971101</v>
      </c>
      <c r="D560">
        <v>17.3</v>
      </c>
      <c r="E560" s="15">
        <f t="shared" si="23"/>
        <v>-0.64231362223339472</v>
      </c>
      <c r="F560" s="13">
        <f>STANDARDIZE(D560,I$8,J$8)</f>
        <v>1.2288338832559531</v>
      </c>
    </row>
    <row r="561" spans="1:6" x14ac:dyDescent="0.3">
      <c r="A561" t="s">
        <v>1</v>
      </c>
      <c r="B561">
        <v>1993</v>
      </c>
      <c r="C561" s="12">
        <v>1993.0833333304699</v>
      </c>
      <c r="D561">
        <v>0</v>
      </c>
      <c r="E561" s="15">
        <f t="shared" si="23"/>
        <v>-0.84665984715470932</v>
      </c>
      <c r="F561" s="13">
        <f>STANDARDIZE(D561,I$9,J$9)</f>
        <v>-0.21027614347857898</v>
      </c>
    </row>
    <row r="562" spans="1:6" x14ac:dyDescent="0.3">
      <c r="A562" t="s">
        <v>2</v>
      </c>
      <c r="B562">
        <v>1993</v>
      </c>
      <c r="C562" s="12">
        <v>1993.16666666383</v>
      </c>
      <c r="D562">
        <v>0</v>
      </c>
      <c r="E562" s="15">
        <f t="shared" si="23"/>
        <v>-0.84665984715470932</v>
      </c>
      <c r="F562" s="13">
        <f>STANDARDIZE(D562,I$10,J$10)</f>
        <v>-0.50850073286852082</v>
      </c>
    </row>
    <row r="563" spans="1:6" x14ac:dyDescent="0.3">
      <c r="A563" t="s">
        <v>3</v>
      </c>
      <c r="B563">
        <v>1993</v>
      </c>
      <c r="C563" s="12">
        <v>1993.2499999971899</v>
      </c>
      <c r="D563">
        <v>8.8000000000000007</v>
      </c>
      <c r="E563" s="15">
        <f t="shared" si="23"/>
        <v>-0.74271494661669968</v>
      </c>
      <c r="F563" s="13">
        <f>STANDARDIZE(D563,I$11,J$11)</f>
        <v>-0.64918117505896999</v>
      </c>
    </row>
    <row r="564" spans="1:6" x14ac:dyDescent="0.3">
      <c r="A564" t="s">
        <v>4</v>
      </c>
      <c r="B564">
        <v>1993</v>
      </c>
      <c r="C564" s="12">
        <v>1993.33333333055</v>
      </c>
      <c r="D564">
        <v>169.2</v>
      </c>
      <c r="E564" s="15">
        <f t="shared" si="23"/>
        <v>1.1519171040988418</v>
      </c>
      <c r="F564" s="13">
        <f>STANDARDIZE(D564,I$12,J$12)</f>
        <v>1.2491585254594342</v>
      </c>
    </row>
    <row r="565" spans="1:6" x14ac:dyDescent="0.3">
      <c r="A565" t="s">
        <v>5</v>
      </c>
      <c r="B565">
        <v>1993</v>
      </c>
      <c r="C565" s="12">
        <v>1993.4166666639101</v>
      </c>
      <c r="D565">
        <v>69.2</v>
      </c>
      <c r="E565" s="15">
        <f t="shared" si="23"/>
        <v>-2.9274947469450727E-2</v>
      </c>
      <c r="F565" s="13">
        <f>STANDARDIZE(D565,I$13,J$13)</f>
        <v>-0.35411925915082598</v>
      </c>
    </row>
    <row r="566" spans="1:6" x14ac:dyDescent="0.3">
      <c r="A566" t="s">
        <v>6</v>
      </c>
      <c r="B566">
        <v>1993</v>
      </c>
      <c r="C566" s="12">
        <v>1993.4999999972699</v>
      </c>
      <c r="D566">
        <v>37.1</v>
      </c>
      <c r="E566" s="15">
        <f t="shared" si="23"/>
        <v>-0.40843759602287272</v>
      </c>
      <c r="F566" s="13">
        <f>STANDARDIZE(D566,I$14,J$14)</f>
        <v>-0.68431630724260062</v>
      </c>
    </row>
    <row r="567" spans="1:6" x14ac:dyDescent="0.3">
      <c r="A567" t="s">
        <v>7</v>
      </c>
      <c r="B567">
        <v>1993</v>
      </c>
      <c r="C567" s="12">
        <v>1993.58333333063</v>
      </c>
      <c r="D567">
        <v>26.4</v>
      </c>
      <c r="E567" s="15">
        <f t="shared" si="23"/>
        <v>-0.53482514554068006</v>
      </c>
      <c r="F567" s="13">
        <f>STANDARDIZE(D567,I$15,J$15)</f>
        <v>-0.93279977322696817</v>
      </c>
    </row>
    <row r="568" spans="1:6" x14ac:dyDescent="0.3">
      <c r="A568" t="s">
        <v>8</v>
      </c>
      <c r="B568">
        <v>1993</v>
      </c>
      <c r="C568" s="12">
        <v>1993.6666666639901</v>
      </c>
      <c r="D568">
        <v>189.1</v>
      </c>
      <c r="E568" s="15">
        <f t="shared" si="23"/>
        <v>1.3869743223609323</v>
      </c>
      <c r="F568" s="13">
        <f>STANDARDIZE(D568,I$16,J$16)</f>
        <v>1.018637917748402</v>
      </c>
    </row>
    <row r="569" spans="1:6" x14ac:dyDescent="0.3">
      <c r="A569" t="s">
        <v>9</v>
      </c>
      <c r="B569">
        <v>1993</v>
      </c>
      <c r="C569" s="12">
        <v>1993.74999999735</v>
      </c>
      <c r="D569">
        <v>73.900000000000006</v>
      </c>
      <c r="E569" s="15">
        <f t="shared" si="23"/>
        <v>2.6241078954259069E-2</v>
      </c>
      <c r="F569" s="13">
        <f>STANDARDIZE(D569,I$17,J$17)</f>
        <v>-0.9066623936795507</v>
      </c>
    </row>
    <row r="570" spans="1:6" x14ac:dyDescent="0.3">
      <c r="A570" t="s">
        <v>10</v>
      </c>
      <c r="B570">
        <v>1993</v>
      </c>
      <c r="C570" s="12">
        <v>1993.83333333071</v>
      </c>
      <c r="D570">
        <v>146.5</v>
      </c>
      <c r="E570" s="15">
        <f t="shared" si="23"/>
        <v>0.88378650839283956</v>
      </c>
      <c r="F570" s="13">
        <f>STANDARDIZE(D570,I$18,J$18)</f>
        <v>0.20091526958444433</v>
      </c>
    </row>
    <row r="571" spans="1:6" x14ac:dyDescent="0.3">
      <c r="A571" t="s">
        <v>11</v>
      </c>
      <c r="B571">
        <v>1993</v>
      </c>
      <c r="C571" s="12">
        <v>1993.9166666640699</v>
      </c>
      <c r="D571">
        <v>13.3</v>
      </c>
      <c r="E571" s="15">
        <f t="shared" si="23"/>
        <v>-0.6895613042961265</v>
      </c>
      <c r="F571" s="13">
        <f>STANDARDIZE(D571,I$19,J$19)</f>
        <v>-0.40212609235813812</v>
      </c>
    </row>
    <row r="572" spans="1:6" x14ac:dyDescent="0.3">
      <c r="A572" t="s">
        <v>0</v>
      </c>
      <c r="B572">
        <v>1994</v>
      </c>
      <c r="C572" s="12">
        <v>1993.99999999743</v>
      </c>
      <c r="D572">
        <v>0</v>
      </c>
      <c r="E572" s="15">
        <f t="shared" si="23"/>
        <v>-0.84665984715470932</v>
      </c>
      <c r="F572" s="13">
        <f>STANDARDIZE(D572,I$8,J$8)</f>
        <v>-0.28131844469760109</v>
      </c>
    </row>
    <row r="573" spans="1:6" x14ac:dyDescent="0.3">
      <c r="A573" t="s">
        <v>1</v>
      </c>
      <c r="B573">
        <v>1994</v>
      </c>
      <c r="C573" s="12">
        <v>1994.0833333307901</v>
      </c>
      <c r="D573">
        <v>0</v>
      </c>
      <c r="E573" s="15">
        <f t="shared" si="23"/>
        <v>-0.84665984715470932</v>
      </c>
      <c r="F573" s="13">
        <f>STANDARDIZE(D573,I$9,J$9)</f>
        <v>-0.21027614347857898</v>
      </c>
    </row>
    <row r="574" spans="1:6" x14ac:dyDescent="0.3">
      <c r="A574" t="s">
        <v>2</v>
      </c>
      <c r="B574">
        <v>1994</v>
      </c>
      <c r="C574" s="12">
        <v>1994.1666666641499</v>
      </c>
      <c r="D574">
        <v>3.4</v>
      </c>
      <c r="E574" s="15">
        <f t="shared" si="23"/>
        <v>-0.80649931740138736</v>
      </c>
      <c r="F574" s="13">
        <f>STANDARDIZE(D574,I$10,J$10)</f>
        <v>0.31391588583003821</v>
      </c>
    </row>
    <row r="575" spans="1:6" x14ac:dyDescent="0.3">
      <c r="A575" t="s">
        <v>3</v>
      </c>
      <c r="B575">
        <v>1994</v>
      </c>
      <c r="C575" s="12">
        <v>1994.24999999751</v>
      </c>
      <c r="D575">
        <v>8.8000000000000007</v>
      </c>
      <c r="E575" s="15">
        <f t="shared" si="23"/>
        <v>-0.74271494661669968</v>
      </c>
      <c r="F575" s="13">
        <f>STANDARDIZE(D575,I$11,J$11)</f>
        <v>-0.64918117505896999</v>
      </c>
    </row>
    <row r="576" spans="1:6" x14ac:dyDescent="0.3">
      <c r="A576" t="s">
        <v>4</v>
      </c>
      <c r="B576">
        <v>1994</v>
      </c>
      <c r="C576" s="12">
        <v>1994.3333333308699</v>
      </c>
      <c r="D576">
        <v>102.3</v>
      </c>
      <c r="E576" s="15">
        <f t="shared" si="23"/>
        <v>0.36169962159965413</v>
      </c>
      <c r="F576" s="13">
        <f>STANDARDIZE(D576,I$12,J$12)</f>
        <v>0.24552202805451839</v>
      </c>
    </row>
    <row r="577" spans="1:6" x14ac:dyDescent="0.3">
      <c r="A577" t="s">
        <v>5</v>
      </c>
      <c r="B577">
        <v>1994</v>
      </c>
      <c r="C577" s="12">
        <v>1994.41666666423</v>
      </c>
      <c r="D577">
        <v>8</v>
      </c>
      <c r="E577" s="15">
        <f t="shared" si="23"/>
        <v>-0.75216448302924599</v>
      </c>
      <c r="F577" s="13">
        <f>STANDARDIZE(D577,I$13,J$13)</f>
        <v>-1.311220390450178</v>
      </c>
    </row>
    <row r="578" spans="1:6" x14ac:dyDescent="0.3">
      <c r="A578" t="s">
        <v>6</v>
      </c>
      <c r="B578">
        <v>1994</v>
      </c>
      <c r="C578" s="12">
        <v>1994.4999999975901</v>
      </c>
      <c r="D578">
        <v>54.3</v>
      </c>
      <c r="E578" s="15">
        <f t="shared" si="23"/>
        <v>-0.20527256315312642</v>
      </c>
      <c r="F578" s="13">
        <f>STANDARDIZE(D578,I$14,J$14)</f>
        <v>-0.47128456457044809</v>
      </c>
    </row>
    <row r="579" spans="1:6" x14ac:dyDescent="0.3">
      <c r="A579" t="s">
        <v>7</v>
      </c>
      <c r="B579">
        <v>1994</v>
      </c>
      <c r="C579" s="12">
        <v>1994.5833333309499</v>
      </c>
      <c r="D579">
        <v>48.9</v>
      </c>
      <c r="E579" s="15">
        <f t="shared" si="23"/>
        <v>-0.26905693393781421</v>
      </c>
      <c r="F579" s="13">
        <f>STANDARDIZE(D579,I$15,J$15)</f>
        <v>-0.6480319440735276</v>
      </c>
    </row>
    <row r="580" spans="1:6" x14ac:dyDescent="0.3">
      <c r="A580" t="s">
        <v>8</v>
      </c>
      <c r="B580">
        <v>1994</v>
      </c>
      <c r="C580" s="12">
        <v>1994.66666666431</v>
      </c>
      <c r="D580">
        <v>145.69999999999999</v>
      </c>
      <c r="E580" s="15">
        <f t="shared" si="23"/>
        <v>0.87433697198029314</v>
      </c>
      <c r="F580" s="13">
        <f>STANDARDIZE(D580,I$16,J$16)</f>
        <v>0.41423462941772804</v>
      </c>
    </row>
    <row r="581" spans="1:6" x14ac:dyDescent="0.3">
      <c r="A581" t="s">
        <v>9</v>
      </c>
      <c r="B581">
        <v>1994</v>
      </c>
      <c r="C581" s="12">
        <v>1994.7499999976701</v>
      </c>
      <c r="D581">
        <v>215.1</v>
      </c>
      <c r="E581" s="15">
        <f t="shared" ref="E581:E612" si="24">STANDARDIZE(D581,F$4,F$5)</f>
        <v>1.6940842557686884</v>
      </c>
      <c r="F581" s="13">
        <f>STANDARDIZE(D581,I$17,J$17)</f>
        <v>0.33558727735869487</v>
      </c>
    </row>
    <row r="582" spans="1:6" x14ac:dyDescent="0.3">
      <c r="A582" t="s">
        <v>10</v>
      </c>
      <c r="B582">
        <v>1994</v>
      </c>
      <c r="C582" s="12">
        <v>1994.83333333103</v>
      </c>
      <c r="D582">
        <v>225.4</v>
      </c>
      <c r="E582" s="15">
        <f t="shared" si="24"/>
        <v>1.8157470370802227</v>
      </c>
      <c r="F582" s="13">
        <f>STANDARDIZE(D582,I$18,J$18)</f>
        <v>0.90467619168045477</v>
      </c>
    </row>
    <row r="583" spans="1:6" x14ac:dyDescent="0.3">
      <c r="A583" t="s">
        <v>11</v>
      </c>
      <c r="B583">
        <v>1994</v>
      </c>
      <c r="C583" s="12">
        <v>1994.91666666439</v>
      </c>
      <c r="D583">
        <v>2.2999999999999998</v>
      </c>
      <c r="E583" s="15">
        <f t="shared" si="24"/>
        <v>-0.81949242996863869</v>
      </c>
      <c r="F583" s="13">
        <f>STANDARDIZE(D583,I$19,J$19)</f>
        <v>-0.61767372779836238</v>
      </c>
    </row>
    <row r="584" spans="1:6" x14ac:dyDescent="0.3">
      <c r="A584" t="s">
        <v>0</v>
      </c>
      <c r="B584">
        <v>1995</v>
      </c>
      <c r="C584" s="12">
        <v>1994.9999999977499</v>
      </c>
      <c r="D584">
        <v>0</v>
      </c>
      <c r="E584" s="15">
        <f t="shared" si="24"/>
        <v>-0.84665984715470932</v>
      </c>
      <c r="F584" s="13">
        <f>STANDARDIZE(D584,I$8,J$8)</f>
        <v>-0.28131844469760109</v>
      </c>
    </row>
    <row r="585" spans="1:6" x14ac:dyDescent="0.3">
      <c r="A585" t="s">
        <v>1</v>
      </c>
      <c r="B585">
        <v>1995</v>
      </c>
      <c r="C585" s="12">
        <v>1995.08333333111</v>
      </c>
      <c r="D585">
        <v>0</v>
      </c>
      <c r="E585" s="15">
        <f t="shared" si="24"/>
        <v>-0.84665984715470932</v>
      </c>
      <c r="F585" s="13">
        <f>STANDARDIZE(D585,I$9,J$9)</f>
        <v>-0.21027614347857898</v>
      </c>
    </row>
    <row r="586" spans="1:6" x14ac:dyDescent="0.3">
      <c r="A586" t="s">
        <v>2</v>
      </c>
      <c r="B586">
        <v>1995</v>
      </c>
      <c r="C586" s="12">
        <v>1995.1666666644701</v>
      </c>
      <c r="D586">
        <v>0</v>
      </c>
      <c r="E586" s="15">
        <f t="shared" si="24"/>
        <v>-0.84665984715470932</v>
      </c>
      <c r="F586" s="13">
        <f>STANDARDIZE(D586,I$10,J$10)</f>
        <v>-0.50850073286852082</v>
      </c>
    </row>
    <row r="587" spans="1:6" x14ac:dyDescent="0.3">
      <c r="A587" t="s">
        <v>3</v>
      </c>
      <c r="B587">
        <v>1995</v>
      </c>
      <c r="C587" s="12">
        <v>1995.2499999978299</v>
      </c>
      <c r="D587">
        <v>57.1</v>
      </c>
      <c r="E587" s="15">
        <f t="shared" si="24"/>
        <v>-0.17219918570921416</v>
      </c>
      <c r="F587" s="13">
        <f>STANDARDIZE(D587,I$11,J$11)</f>
        <v>1.6256364096887519</v>
      </c>
    </row>
    <row r="588" spans="1:6" x14ac:dyDescent="0.3">
      <c r="A588" t="s">
        <v>4</v>
      </c>
      <c r="B588">
        <v>1995</v>
      </c>
      <c r="C588" s="12">
        <v>1995.33333333119</v>
      </c>
      <c r="D588">
        <v>123.8</v>
      </c>
      <c r="E588" s="15">
        <f t="shared" si="24"/>
        <v>0.61565591268683706</v>
      </c>
      <c r="F588" s="13">
        <f>STANDARDIZE(D588,I$12,J$12)</f>
        <v>0.56806589493352722</v>
      </c>
    </row>
    <row r="589" spans="1:6" x14ac:dyDescent="0.3">
      <c r="A589" t="s">
        <v>5</v>
      </c>
      <c r="B589">
        <v>1995</v>
      </c>
      <c r="C589" s="12">
        <v>1995.4166666645499</v>
      </c>
      <c r="D589">
        <v>74.400000000000006</v>
      </c>
      <c r="E589" s="15">
        <f t="shared" si="24"/>
        <v>3.2147039212100534E-2</v>
      </c>
      <c r="F589" s="13">
        <f>STANDARDIZE(D589,I$13,J$13)</f>
        <v>-0.2727969408051294</v>
      </c>
    </row>
    <row r="590" spans="1:6" x14ac:dyDescent="0.3">
      <c r="A590" t="s">
        <v>6</v>
      </c>
      <c r="B590">
        <v>1995</v>
      </c>
      <c r="C590" s="12">
        <v>1995.49999999791</v>
      </c>
      <c r="D590">
        <v>383</v>
      </c>
      <c r="E590" s="15">
        <f t="shared" si="24"/>
        <v>3.6773057103518521</v>
      </c>
      <c r="F590" s="13">
        <f>STANDARDIZE(D590,I$14,J$14)</f>
        <v>3.5998511224258625</v>
      </c>
    </row>
    <row r="591" spans="1:6" x14ac:dyDescent="0.3">
      <c r="A591" t="s">
        <v>7</v>
      </c>
      <c r="B591">
        <v>1995</v>
      </c>
      <c r="C591" s="12">
        <v>1995.5833333312701</v>
      </c>
      <c r="D591">
        <v>250.5</v>
      </c>
      <c r="E591" s="15">
        <f t="shared" si="24"/>
        <v>2.1122262420238642</v>
      </c>
      <c r="F591" s="13">
        <f>STANDARDIZE(D591,I$15,J$15)</f>
        <v>1.9034878051413004</v>
      </c>
    </row>
    <row r="592" spans="1:6" x14ac:dyDescent="0.3">
      <c r="A592" t="s">
        <v>8</v>
      </c>
      <c r="B592">
        <v>1995</v>
      </c>
      <c r="C592" s="12">
        <v>1995.6666666646299</v>
      </c>
      <c r="D592">
        <v>44.3</v>
      </c>
      <c r="E592" s="15">
        <f t="shared" si="24"/>
        <v>-0.3233917683099557</v>
      </c>
      <c r="F592" s="13">
        <f>STANDARDIZE(D592,I$16,J$16)</f>
        <v>-0.99789655576038994</v>
      </c>
    </row>
    <row r="593" spans="1:6" x14ac:dyDescent="0.3">
      <c r="A593" t="s">
        <v>9</v>
      </c>
      <c r="B593">
        <v>1995</v>
      </c>
      <c r="C593" s="12">
        <v>1995.74999999799</v>
      </c>
      <c r="D593">
        <v>260.5</v>
      </c>
      <c r="E593" s="15">
        <f t="shared" si="24"/>
        <v>2.2303454471806932</v>
      </c>
      <c r="F593" s="13">
        <f>STANDARDIZE(D593,I$17,J$17)</f>
        <v>0.73500749736674276</v>
      </c>
    </row>
    <row r="594" spans="1:6" x14ac:dyDescent="0.3">
      <c r="A594" t="s">
        <v>10</v>
      </c>
      <c r="B594">
        <v>1995</v>
      </c>
      <c r="C594" s="12">
        <v>1995.8333333313501</v>
      </c>
      <c r="D594">
        <v>80.099999999999994</v>
      </c>
      <c r="E594" s="15">
        <f t="shared" si="24"/>
        <v>9.9474986151493083E-2</v>
      </c>
      <c r="F594" s="13">
        <f>STANDARDIZE(D594,I$18,J$18)</f>
        <v>-0.39134994242030968</v>
      </c>
    </row>
    <row r="595" spans="1:6" x14ac:dyDescent="0.3">
      <c r="A595" t="s">
        <v>11</v>
      </c>
      <c r="B595">
        <v>1995</v>
      </c>
      <c r="C595" s="12">
        <v>1995.91666666471</v>
      </c>
      <c r="D595">
        <v>1.4</v>
      </c>
      <c r="E595" s="15">
        <f t="shared" si="24"/>
        <v>-0.83012315843275319</v>
      </c>
      <c r="F595" s="13">
        <f>STANDARDIZE(D595,I$19,J$19)</f>
        <v>-0.63530944342528994</v>
      </c>
    </row>
    <row r="596" spans="1:6" x14ac:dyDescent="0.3">
      <c r="A596" t="s">
        <v>0</v>
      </c>
      <c r="B596">
        <v>1996</v>
      </c>
      <c r="C596" s="12">
        <v>1995.9999999980701</v>
      </c>
      <c r="D596">
        <v>0</v>
      </c>
      <c r="E596" s="15">
        <f t="shared" si="24"/>
        <v>-0.84665984715470932</v>
      </c>
      <c r="F596" s="13">
        <f>STANDARDIZE(D596,I$8,J$8)</f>
        <v>-0.28131844469760109</v>
      </c>
    </row>
    <row r="597" spans="1:6" x14ac:dyDescent="0.3">
      <c r="A597" t="s">
        <v>1</v>
      </c>
      <c r="B597">
        <v>1996</v>
      </c>
      <c r="C597" s="12">
        <v>1996.0833333314299</v>
      </c>
      <c r="D597">
        <v>0</v>
      </c>
      <c r="E597" s="15">
        <f t="shared" si="24"/>
        <v>-0.84665984715470932</v>
      </c>
      <c r="F597" s="13">
        <f>STANDARDIZE(D597,I$9,J$9)</f>
        <v>-0.21027614347857898</v>
      </c>
    </row>
    <row r="598" spans="1:6" x14ac:dyDescent="0.3">
      <c r="A598" t="s">
        <v>2</v>
      </c>
      <c r="B598">
        <v>1996</v>
      </c>
      <c r="C598" s="12">
        <v>1996.16666666479</v>
      </c>
      <c r="D598">
        <v>4.8</v>
      </c>
      <c r="E598" s="15">
        <f t="shared" si="24"/>
        <v>-0.78996262867943134</v>
      </c>
      <c r="F598" s="13">
        <f>STANDARDIZE(D598,I$10,J$10)</f>
        <v>0.65255802294120957</v>
      </c>
    </row>
    <row r="599" spans="1:6" x14ac:dyDescent="0.3">
      <c r="A599" t="s">
        <v>3</v>
      </c>
      <c r="B599">
        <v>1996</v>
      </c>
      <c r="C599" s="12">
        <v>1996.2499999981501</v>
      </c>
      <c r="D599">
        <v>6.3</v>
      </c>
      <c r="E599" s="15">
        <f t="shared" si="24"/>
        <v>-0.77224474790590691</v>
      </c>
      <c r="F599" s="13">
        <f>STANDARDIZE(D599,I$11,J$11)</f>
        <v>-0.76692535646413162</v>
      </c>
    </row>
    <row r="600" spans="1:6" x14ac:dyDescent="0.3">
      <c r="A600" t="s">
        <v>4</v>
      </c>
      <c r="B600">
        <v>1996</v>
      </c>
      <c r="C600" s="12">
        <v>1996.3333333315099</v>
      </c>
      <c r="D600">
        <v>185.5</v>
      </c>
      <c r="E600" s="15">
        <f t="shared" si="24"/>
        <v>1.3444514085044739</v>
      </c>
      <c r="F600" s="13">
        <f>STANDARDIZE(D600,I$12,J$12)</f>
        <v>1.4936917826746829</v>
      </c>
    </row>
    <row r="601" spans="1:6" x14ac:dyDescent="0.3">
      <c r="A601" t="s">
        <v>5</v>
      </c>
      <c r="B601">
        <v>1996</v>
      </c>
      <c r="C601" s="12">
        <v>1996.41666666487</v>
      </c>
      <c r="D601">
        <v>78.8</v>
      </c>
      <c r="E601" s="15">
        <f t="shared" si="24"/>
        <v>8.4119489481105314E-2</v>
      </c>
      <c r="F601" s="13">
        <f>STANDARDIZE(D601,I$13,J$13)</f>
        <v>-0.20398574835877087</v>
      </c>
    </row>
    <row r="602" spans="1:6" x14ac:dyDescent="0.3">
      <c r="A602" t="s">
        <v>6</v>
      </c>
      <c r="B602">
        <v>1996</v>
      </c>
      <c r="C602" s="12">
        <v>1996.4999999982299</v>
      </c>
      <c r="D602">
        <v>115.6</v>
      </c>
      <c r="E602" s="15">
        <f t="shared" si="24"/>
        <v>0.51879816445823701</v>
      </c>
      <c r="F602" s="13">
        <f>STANDARDIZE(D602,I$14,J$14)</f>
        <v>0.28795065785995599</v>
      </c>
    </row>
    <row r="603" spans="1:6" x14ac:dyDescent="0.3">
      <c r="A603" t="s">
        <v>7</v>
      </c>
      <c r="B603">
        <v>1996</v>
      </c>
      <c r="C603" s="12">
        <v>1996.58333333159</v>
      </c>
      <c r="D603">
        <v>113.6</v>
      </c>
      <c r="E603" s="15">
        <f t="shared" si="24"/>
        <v>0.49517432342687118</v>
      </c>
      <c r="F603" s="13">
        <f>STANDARDIZE(D603,I$15,J$15)</f>
        <v>0.17083376909214387</v>
      </c>
    </row>
    <row r="604" spans="1:6" x14ac:dyDescent="0.3">
      <c r="A604" t="s">
        <v>8</v>
      </c>
      <c r="B604">
        <v>1996</v>
      </c>
      <c r="C604" s="12">
        <v>1996.6666666649501</v>
      </c>
      <c r="D604">
        <v>108.9</v>
      </c>
      <c r="E604" s="15">
        <f t="shared" si="24"/>
        <v>0.43965829700316156</v>
      </c>
      <c r="F604" s="13">
        <f>STANDARDIZE(D604,I$16,J$16)</f>
        <v>-9.8254794788926E-2</v>
      </c>
    </row>
    <row r="605" spans="1:6" x14ac:dyDescent="0.3">
      <c r="A605" t="s">
        <v>9</v>
      </c>
      <c r="B605">
        <v>1996</v>
      </c>
      <c r="C605" s="12">
        <v>1996.7499999983099</v>
      </c>
      <c r="D605">
        <v>171.3</v>
      </c>
      <c r="E605" s="15">
        <f t="shared" si="24"/>
        <v>1.1767221371817762</v>
      </c>
      <c r="F605" s="13">
        <f>STANDARDIZE(D605,I$17,J$17)</f>
        <v>-4.9756459124840113E-2</v>
      </c>
    </row>
    <row r="606" spans="1:6" x14ac:dyDescent="0.3">
      <c r="A606" t="s">
        <v>10</v>
      </c>
      <c r="B606">
        <v>1996</v>
      </c>
      <c r="C606" s="12">
        <v>1996.83333333167</v>
      </c>
      <c r="D606">
        <v>119.2</v>
      </c>
      <c r="E606" s="15">
        <f t="shared" si="24"/>
        <v>0.56132107831469569</v>
      </c>
      <c r="F606" s="13">
        <f>STANDARDIZE(D606,I$18,J$18)</f>
        <v>-4.2591361254859614E-2</v>
      </c>
    </row>
    <row r="607" spans="1:6" x14ac:dyDescent="0.3">
      <c r="A607" t="s">
        <v>11</v>
      </c>
      <c r="B607">
        <v>1996</v>
      </c>
      <c r="C607" s="12">
        <v>1996.9166666650301</v>
      </c>
      <c r="D607">
        <v>0</v>
      </c>
      <c r="E607" s="15">
        <f t="shared" si="24"/>
        <v>-0.84665984715470932</v>
      </c>
      <c r="F607" s="13">
        <f>STANDARDIZE(D607,I$19,J$19)</f>
        <v>-0.66274277884495481</v>
      </c>
    </row>
    <row r="608" spans="1:6" x14ac:dyDescent="0.3">
      <c r="A608" t="s">
        <v>0</v>
      </c>
      <c r="B608">
        <v>1997</v>
      </c>
      <c r="C608" s="12">
        <v>1996.99999999839</v>
      </c>
      <c r="D608">
        <v>0</v>
      </c>
      <c r="E608" s="15">
        <f t="shared" si="24"/>
        <v>-0.84665984715470932</v>
      </c>
      <c r="F608" s="13">
        <f>STANDARDIZE(D608,I$8,J$8)</f>
        <v>-0.28131844469760109</v>
      </c>
    </row>
    <row r="609" spans="1:6" x14ac:dyDescent="0.3">
      <c r="A609" t="s">
        <v>1</v>
      </c>
      <c r="B609">
        <v>1997</v>
      </c>
      <c r="C609" s="12">
        <v>1997.0833333317501</v>
      </c>
      <c r="D609">
        <v>9.3000000000000007</v>
      </c>
      <c r="E609" s="15">
        <f t="shared" si="24"/>
        <v>-0.73680898635885816</v>
      </c>
      <c r="F609" s="13">
        <f>STANDARDIZE(D609,I$9,J$9)</f>
        <v>7.6806128196912535</v>
      </c>
    </row>
    <row r="610" spans="1:6" x14ac:dyDescent="0.3">
      <c r="A610" t="s">
        <v>2</v>
      </c>
      <c r="B610">
        <v>1997</v>
      </c>
      <c r="C610" s="12">
        <v>1997.1666666651099</v>
      </c>
      <c r="D610">
        <v>0</v>
      </c>
      <c r="E610" s="15">
        <f t="shared" si="24"/>
        <v>-0.84665984715470932</v>
      </c>
      <c r="F610" s="13">
        <f>STANDARDIZE(D610,I$10,J$10)</f>
        <v>-0.50850073286852082</v>
      </c>
    </row>
    <row r="611" spans="1:6" x14ac:dyDescent="0.3">
      <c r="A611" t="s">
        <v>3</v>
      </c>
      <c r="B611">
        <v>1997</v>
      </c>
      <c r="C611" s="12">
        <v>1997.24999999848</v>
      </c>
      <c r="D611">
        <v>13.7</v>
      </c>
      <c r="E611" s="15">
        <f t="shared" si="24"/>
        <v>-0.68483653608985318</v>
      </c>
      <c r="F611" s="13">
        <f>STANDARDIZE(D611,I$11,J$11)</f>
        <v>-0.41840257950485332</v>
      </c>
    </row>
    <row r="612" spans="1:6" x14ac:dyDescent="0.3">
      <c r="A612" t="s">
        <v>4</v>
      </c>
      <c r="B612">
        <v>1997</v>
      </c>
      <c r="C612" s="12">
        <v>1997.3333333318401</v>
      </c>
      <c r="D612">
        <v>21.7</v>
      </c>
      <c r="E612" s="15">
        <f t="shared" si="24"/>
        <v>-0.59034117196438984</v>
      </c>
      <c r="F612" s="13">
        <f>STANDARDIZE(D612,I$12,J$12)</f>
        <v>-0.96364242173376591</v>
      </c>
    </row>
    <row r="613" spans="1:6" x14ac:dyDescent="0.3">
      <c r="A613" t="s">
        <v>5</v>
      </c>
      <c r="B613">
        <v>1997</v>
      </c>
      <c r="C613" s="12">
        <v>1997.4166666652</v>
      </c>
      <c r="D613">
        <v>202</v>
      </c>
      <c r="E613" s="15">
        <f t="shared" ref="E613:E629" si="25">STANDARDIZE(D613,F$4,F$5)</f>
        <v>1.539348097013242</v>
      </c>
      <c r="F613" s="13">
        <f>STANDARDIZE(D613,I$13,J$13)</f>
        <v>1.722727640139271</v>
      </c>
    </row>
    <row r="614" spans="1:6" x14ac:dyDescent="0.3">
      <c r="A614" t="s">
        <v>6</v>
      </c>
      <c r="B614">
        <v>1997</v>
      </c>
      <c r="C614" s="12">
        <v>1997.49999999856</v>
      </c>
      <c r="D614">
        <v>19.899999999999999</v>
      </c>
      <c r="E614" s="15">
        <f t="shared" si="25"/>
        <v>-0.61160262889261907</v>
      </c>
      <c r="F614" s="13">
        <f>STANDARDIZE(D614,I$14,J$14)</f>
        <v>-0.89734804991475325</v>
      </c>
    </row>
    <row r="615" spans="1:6" x14ac:dyDescent="0.3">
      <c r="A615" t="s">
        <v>7</v>
      </c>
      <c r="B615">
        <v>1997</v>
      </c>
      <c r="C615" s="12">
        <v>1997.5833333319199</v>
      </c>
      <c r="D615">
        <v>52.6</v>
      </c>
      <c r="E615" s="15">
        <f t="shared" si="25"/>
        <v>-0.22535282802978734</v>
      </c>
      <c r="F615" s="13">
        <f>STANDARDIZE(D615,I$15,J$15)</f>
        <v>-0.60120345661273955</v>
      </c>
    </row>
    <row r="616" spans="1:6" x14ac:dyDescent="0.3">
      <c r="A616" t="s">
        <v>8</v>
      </c>
      <c r="B616">
        <v>1997</v>
      </c>
      <c r="C616" s="12">
        <v>1997.66666666528</v>
      </c>
      <c r="D616">
        <v>126.2</v>
      </c>
      <c r="E616" s="15">
        <f t="shared" si="25"/>
        <v>0.64400452192447621</v>
      </c>
      <c r="F616" s="13">
        <f>STANDARDIZE(D616,I$16,J$16)</f>
        <v>0.14267093996039787</v>
      </c>
    </row>
    <row r="617" spans="1:6" x14ac:dyDescent="0.3">
      <c r="A617" t="s">
        <v>9</v>
      </c>
      <c r="B617">
        <v>1997</v>
      </c>
      <c r="C617" s="12">
        <v>1997.7499999986401</v>
      </c>
      <c r="D617">
        <v>167.6</v>
      </c>
      <c r="E617" s="15">
        <f t="shared" si="25"/>
        <v>1.1330180312737492</v>
      </c>
      <c r="F617" s="13">
        <f>STANDARDIZE(D617,I$17,J$17)</f>
        <v>-8.2308327275275886E-2</v>
      </c>
    </row>
    <row r="618" spans="1:6" x14ac:dyDescent="0.3">
      <c r="A618" t="s">
        <v>10</v>
      </c>
      <c r="B618">
        <v>1997</v>
      </c>
      <c r="C618" s="12">
        <v>1997.8333333319999</v>
      </c>
      <c r="D618">
        <v>356.7</v>
      </c>
      <c r="E618" s="15">
        <f t="shared" si="25"/>
        <v>3.3666522007893911</v>
      </c>
      <c r="F618" s="13">
        <f>STANDARDIZE(D618,I$18,J$18)</f>
        <v>2.0758271304790119</v>
      </c>
    </row>
    <row r="619" spans="1:6" x14ac:dyDescent="0.3">
      <c r="A619" t="s">
        <v>11</v>
      </c>
      <c r="B619">
        <v>1997</v>
      </c>
      <c r="C619" s="12">
        <v>1997.91666666536</v>
      </c>
      <c r="D619">
        <v>0</v>
      </c>
      <c r="E619" s="15">
        <f t="shared" si="25"/>
        <v>-0.84665984715470932</v>
      </c>
      <c r="F619" s="13">
        <f>STANDARDIZE(D619,I$19,J$19)</f>
        <v>-0.66274277884495481</v>
      </c>
    </row>
    <row r="620" spans="1:6" x14ac:dyDescent="0.3">
      <c r="A620" t="s">
        <v>0</v>
      </c>
      <c r="B620">
        <v>1998</v>
      </c>
      <c r="C620" s="12">
        <v>1997.9999999987201</v>
      </c>
      <c r="D620">
        <v>0</v>
      </c>
      <c r="E620" s="15">
        <f t="shared" si="25"/>
        <v>-0.84665984715470932</v>
      </c>
      <c r="F620" s="13">
        <f>STANDARDIZE(D620,I$8,J$8)</f>
        <v>-0.28131844469760109</v>
      </c>
    </row>
    <row r="621" spans="1:6" x14ac:dyDescent="0.3">
      <c r="A621" t="s">
        <v>1</v>
      </c>
      <c r="B621">
        <v>1998</v>
      </c>
      <c r="C621" s="12">
        <v>1998.08333333208</v>
      </c>
      <c r="D621">
        <v>0</v>
      </c>
      <c r="E621" s="15">
        <f t="shared" si="25"/>
        <v>-0.84665984715470932</v>
      </c>
      <c r="F621" s="13">
        <f>STANDARDIZE(D621,I$9,J$9)</f>
        <v>-0.21027614347857898</v>
      </c>
    </row>
    <row r="622" spans="1:6" x14ac:dyDescent="0.3">
      <c r="A622" t="s">
        <v>2</v>
      </c>
      <c r="B622">
        <v>1998</v>
      </c>
      <c r="C622" s="12">
        <v>1998.1666666654401</v>
      </c>
      <c r="D622">
        <v>0.8</v>
      </c>
      <c r="E622" s="15">
        <f t="shared" si="25"/>
        <v>-0.83721031074216301</v>
      </c>
      <c r="F622" s="13">
        <f>STANDARDIZE(D622,I$10,J$10)</f>
        <v>-0.31499094023356572</v>
      </c>
    </row>
    <row r="623" spans="1:6" x14ac:dyDescent="0.3">
      <c r="A623" t="s">
        <v>3</v>
      </c>
      <c r="B623">
        <v>1998</v>
      </c>
      <c r="C623" s="12">
        <v>1998.2499999987999</v>
      </c>
      <c r="D623">
        <v>25</v>
      </c>
      <c r="E623" s="15">
        <f t="shared" si="25"/>
        <v>-0.55136183426263619</v>
      </c>
      <c r="F623" s="13">
        <f>STANDARDIZE(D623,I$11,J$11)</f>
        <v>0.11380112044647707</v>
      </c>
    </row>
    <row r="624" spans="1:6" x14ac:dyDescent="0.3">
      <c r="A624" t="s">
        <v>4</v>
      </c>
      <c r="B624">
        <v>1998</v>
      </c>
      <c r="C624" s="12">
        <v>1998.33333333216</v>
      </c>
      <c r="D624">
        <v>119.5</v>
      </c>
      <c r="E624" s="15">
        <f t="shared" si="25"/>
        <v>0.56486465446940048</v>
      </c>
      <c r="F624" s="13">
        <f>STANDARDIZE(D624,I$12,J$12)</f>
        <v>0.50355712155772547</v>
      </c>
    </row>
    <row r="625" spans="1:6" x14ac:dyDescent="0.3">
      <c r="A625" t="s">
        <v>5</v>
      </c>
      <c r="B625">
        <v>1998</v>
      </c>
      <c r="C625" s="12">
        <v>1998.4166666655201</v>
      </c>
      <c r="D625">
        <v>60.9</v>
      </c>
      <c r="E625" s="15">
        <f t="shared" si="25"/>
        <v>-0.12731388774961908</v>
      </c>
      <c r="F625" s="13">
        <f>STANDARDIZE(D625,I$13,J$13)</f>
        <v>-0.48392219035645712</v>
      </c>
    </row>
    <row r="626" spans="1:6" x14ac:dyDescent="0.3">
      <c r="A626" t="s">
        <v>6</v>
      </c>
      <c r="B626">
        <v>1998</v>
      </c>
      <c r="C626" s="12">
        <v>1998.49999999888</v>
      </c>
      <c r="D626">
        <v>84</v>
      </c>
      <c r="E626" s="15">
        <f t="shared" si="25"/>
        <v>0.14554147616265659</v>
      </c>
      <c r="F626" s="13">
        <f>STANDARDIZE(D626,I$14,J$14)</f>
        <v>-0.10343324146795208</v>
      </c>
    </row>
    <row r="627" spans="1:6" x14ac:dyDescent="0.3">
      <c r="A627" t="s">
        <v>7</v>
      </c>
      <c r="B627">
        <v>1998</v>
      </c>
      <c r="C627" s="12">
        <v>1998.58333333224</v>
      </c>
      <c r="D627">
        <v>244.8</v>
      </c>
      <c r="E627" s="15">
        <f t="shared" si="25"/>
        <v>2.0448982950844714</v>
      </c>
      <c r="F627" s="13">
        <f>STANDARDIZE(D627,I$15,J$15)</f>
        <v>1.8313466217557623</v>
      </c>
    </row>
    <row r="628" spans="1:6" x14ac:dyDescent="0.3">
      <c r="A628" t="s">
        <v>8</v>
      </c>
      <c r="B628">
        <v>1998</v>
      </c>
      <c r="C628" s="12">
        <v>1998.6666666655999</v>
      </c>
      <c r="D628">
        <v>195.6</v>
      </c>
      <c r="E628" s="15">
        <f t="shared" si="25"/>
        <v>1.4637518057128713</v>
      </c>
      <c r="F628" s="13">
        <f>STANDARDIZE(D628,I$16,J$16)</f>
        <v>1.109159147567512</v>
      </c>
    </row>
    <row r="629" spans="1:6" x14ac:dyDescent="0.3">
      <c r="A629" t="s">
        <v>9</v>
      </c>
      <c r="B629">
        <v>1998</v>
      </c>
      <c r="C629" s="12">
        <v>1998.74999999896</v>
      </c>
      <c r="D629">
        <v>133.30000000000001</v>
      </c>
      <c r="E629" s="15">
        <f t="shared" si="25"/>
        <v>0.72786915758582504</v>
      </c>
      <c r="F629" s="13">
        <f>STANDARDIZE(D629,I$17,J$17)</f>
        <v>-0.38407294283201671</v>
      </c>
    </row>
    <row r="630" spans="1:6" x14ac:dyDescent="0.3">
      <c r="A630" t="s">
        <v>10</v>
      </c>
      <c r="B630">
        <v>1998</v>
      </c>
      <c r="C630" s="12">
        <v>1998.8333333323201</v>
      </c>
      <c r="E630" s="15"/>
      <c r="F630" s="13"/>
    </row>
    <row r="631" spans="1:6" x14ac:dyDescent="0.3">
      <c r="A631" t="s">
        <v>11</v>
      </c>
      <c r="B631">
        <v>1998</v>
      </c>
      <c r="C631" s="12">
        <v>1998.9166666656799</v>
      </c>
      <c r="E631" s="15"/>
      <c r="F631" s="13"/>
    </row>
    <row r="632" spans="1:6" x14ac:dyDescent="0.3">
      <c r="A632" t="s">
        <v>0</v>
      </c>
      <c r="B632">
        <v>1999</v>
      </c>
      <c r="C632" s="12">
        <v>1998.99999999904</v>
      </c>
      <c r="D632">
        <v>0</v>
      </c>
      <c r="E632" s="15">
        <f t="shared" ref="E632:E663" si="26">STANDARDIZE(D632,F$4,F$5)</f>
        <v>-0.84665984715470932</v>
      </c>
      <c r="F632" s="13">
        <f>STANDARDIZE(D632,I$8,J$8)</f>
        <v>-0.28131844469760109</v>
      </c>
    </row>
    <row r="633" spans="1:6" x14ac:dyDescent="0.3">
      <c r="A633" t="s">
        <v>1</v>
      </c>
      <c r="B633">
        <v>1999</v>
      </c>
      <c r="C633" s="12">
        <v>1999.0833333323999</v>
      </c>
      <c r="D633">
        <v>1.7</v>
      </c>
      <c r="E633" s="15">
        <f t="shared" si="26"/>
        <v>-0.8265795822780484</v>
      </c>
      <c r="F633" s="13">
        <f>STANDARDIZE(D633,I$9,J$9)</f>
        <v>1.2321444196814979</v>
      </c>
    </row>
    <row r="634" spans="1:6" x14ac:dyDescent="0.3">
      <c r="A634" t="s">
        <v>2</v>
      </c>
      <c r="B634">
        <v>1999</v>
      </c>
      <c r="C634" s="12">
        <v>1999.16666666576</v>
      </c>
      <c r="D634">
        <v>1.4</v>
      </c>
      <c r="E634" s="15">
        <f t="shared" si="26"/>
        <v>-0.83012315843275319</v>
      </c>
      <c r="F634" s="13">
        <f>STANDARDIZE(D634,I$10,J$10)</f>
        <v>-0.16985859575734946</v>
      </c>
    </row>
    <row r="635" spans="1:6" x14ac:dyDescent="0.3">
      <c r="A635" t="s">
        <v>3</v>
      </c>
      <c r="B635">
        <v>1999</v>
      </c>
      <c r="C635" s="12">
        <v>1999.2499999991201</v>
      </c>
      <c r="D635">
        <v>29.6</v>
      </c>
      <c r="E635" s="15">
        <f t="shared" si="26"/>
        <v>-0.4970269998904947</v>
      </c>
      <c r="F635" s="13">
        <f>STANDARDIZE(D635,I$11,J$11)</f>
        <v>0.33045041423197447</v>
      </c>
    </row>
    <row r="636" spans="1:6" x14ac:dyDescent="0.3">
      <c r="A636" t="s">
        <v>4</v>
      </c>
      <c r="B636">
        <v>1999</v>
      </c>
      <c r="C636" s="12">
        <v>1999.3333333324799</v>
      </c>
      <c r="D636">
        <v>160.1</v>
      </c>
      <c r="E636" s="15">
        <f t="shared" si="26"/>
        <v>1.0444286274061274</v>
      </c>
      <c r="F636" s="13">
        <f>STANDARDIZE(D636,I$12,J$12)</f>
        <v>1.1126399585478537</v>
      </c>
    </row>
    <row r="637" spans="1:6" x14ac:dyDescent="0.3">
      <c r="A637" t="s">
        <v>5</v>
      </c>
      <c r="B637">
        <v>1999</v>
      </c>
      <c r="C637" s="12">
        <v>1999.41666666584</v>
      </c>
      <c r="D637">
        <v>98.1</v>
      </c>
      <c r="E637" s="15">
        <f t="shared" si="26"/>
        <v>0.3120895554337858</v>
      </c>
      <c r="F637" s="13">
        <f>STANDARDIZE(D637,I$13,J$13)</f>
        <v>9.7845163962756776E-2</v>
      </c>
    </row>
    <row r="638" spans="1:6" x14ac:dyDescent="0.3">
      <c r="A638" t="s">
        <v>6</v>
      </c>
      <c r="B638">
        <v>1999</v>
      </c>
      <c r="C638" s="12">
        <v>1999.4999999992001</v>
      </c>
      <c r="D638">
        <v>85.6</v>
      </c>
      <c r="E638" s="15">
        <f t="shared" si="26"/>
        <v>0.16444054898774918</v>
      </c>
      <c r="F638" s="13">
        <f>STANDARDIZE(D638,I$14,J$14)</f>
        <v>-8.3616335172868192E-2</v>
      </c>
    </row>
    <row r="639" spans="1:6" x14ac:dyDescent="0.3">
      <c r="A639" t="s">
        <v>7</v>
      </c>
      <c r="B639">
        <v>1999</v>
      </c>
      <c r="C639" s="12">
        <v>1999.58333333256</v>
      </c>
      <c r="D639">
        <v>267.10000000000002</v>
      </c>
      <c r="E639" s="15">
        <f t="shared" si="26"/>
        <v>2.3083041225842011</v>
      </c>
      <c r="F639" s="13">
        <f>STANDARDIZE(D639,I$15,J$15)</f>
        <v>2.1135831813167281</v>
      </c>
    </row>
    <row r="640" spans="1:6" x14ac:dyDescent="0.3">
      <c r="A640" t="s">
        <v>8</v>
      </c>
      <c r="B640">
        <v>1999</v>
      </c>
      <c r="C640" s="12">
        <v>1999.66666666592</v>
      </c>
      <c r="D640">
        <v>156.19999999999999</v>
      </c>
      <c r="E640" s="15">
        <f t="shared" si="26"/>
        <v>0.99836213739496382</v>
      </c>
      <c r="F640" s="13">
        <f>STANDARDIZE(D640,I$16,J$16)</f>
        <v>0.56046123143321369</v>
      </c>
    </row>
    <row r="641" spans="1:6" x14ac:dyDescent="0.3">
      <c r="A641" t="s">
        <v>9</v>
      </c>
      <c r="B641">
        <v>1999</v>
      </c>
      <c r="C641" s="12">
        <v>1999.7499999992799</v>
      </c>
      <c r="D641">
        <v>299.5</v>
      </c>
      <c r="E641" s="15">
        <f t="shared" si="26"/>
        <v>2.6910103472923277</v>
      </c>
      <c r="F641" s="13">
        <f>STANDARDIZE(D641,I$17,J$17)</f>
        <v>1.0781217832767398</v>
      </c>
    </row>
    <row r="642" spans="1:6" x14ac:dyDescent="0.3">
      <c r="A642" t="s">
        <v>10</v>
      </c>
      <c r="B642">
        <v>1999</v>
      </c>
      <c r="C642" s="12">
        <v>1999.83333333264</v>
      </c>
      <c r="D642">
        <v>194.3</v>
      </c>
      <c r="E642" s="15">
        <f t="shared" si="26"/>
        <v>1.4483963090424836</v>
      </c>
      <c r="F642" s="13">
        <f>STANDARDIZE(D642,I$18,J$18)</f>
        <v>0.6272748649734089</v>
      </c>
    </row>
    <row r="643" spans="1:6" x14ac:dyDescent="0.3">
      <c r="A643" t="s">
        <v>11</v>
      </c>
      <c r="B643">
        <v>1999</v>
      </c>
      <c r="C643" s="12">
        <v>1999.9166666660001</v>
      </c>
      <c r="D643">
        <v>191.7</v>
      </c>
      <c r="E643" s="15">
        <f t="shared" si="26"/>
        <v>1.4176853157017077</v>
      </c>
      <c r="F643" s="13">
        <f>STANDARDIZE(D643,I$19,J$19)</f>
        <v>3.0936646496905906</v>
      </c>
    </row>
    <row r="644" spans="1:6" x14ac:dyDescent="0.3">
      <c r="A644" t="s">
        <v>0</v>
      </c>
      <c r="B644">
        <v>2000</v>
      </c>
      <c r="C644" s="12">
        <v>2000</v>
      </c>
      <c r="D644">
        <v>1</v>
      </c>
      <c r="E644" s="15">
        <f t="shared" si="26"/>
        <v>-0.83484792663902641</v>
      </c>
      <c r="F644" s="13">
        <f>STANDARDIZE(D644,I$8,J$8)</f>
        <v>-0.19402640261936097</v>
      </c>
    </row>
    <row r="645" spans="1:6" x14ac:dyDescent="0.3">
      <c r="A645" t="s">
        <v>1</v>
      </c>
      <c r="B645">
        <v>2000</v>
      </c>
      <c r="C645" s="12">
        <v>2000.0833333333101</v>
      </c>
      <c r="D645">
        <v>0</v>
      </c>
      <c r="E645" s="15">
        <f t="shared" si="26"/>
        <v>-0.84665984715470932</v>
      </c>
      <c r="F645" s="13">
        <f>STANDARDIZE(D645,I$9,J$9)</f>
        <v>-0.21027614347857898</v>
      </c>
    </row>
    <row r="646" spans="1:6" x14ac:dyDescent="0.3">
      <c r="A646" t="s">
        <v>2</v>
      </c>
      <c r="B646">
        <v>2000</v>
      </c>
      <c r="C646" s="12">
        <v>2000.1666666666399</v>
      </c>
      <c r="D646">
        <v>0</v>
      </c>
      <c r="E646" s="15">
        <f t="shared" si="26"/>
        <v>-0.84665984715470932</v>
      </c>
      <c r="F646" s="13">
        <f>STANDARDIZE(D646,I$10,J$10)</f>
        <v>-0.50850073286852082</v>
      </c>
    </row>
    <row r="647" spans="1:6" x14ac:dyDescent="0.3">
      <c r="A647" t="s">
        <v>3</v>
      </c>
      <c r="B647">
        <v>2000</v>
      </c>
      <c r="C647" s="12">
        <v>2000.24999999997</v>
      </c>
      <c r="D647">
        <v>5.7</v>
      </c>
      <c r="E647" s="15">
        <f t="shared" si="26"/>
        <v>-0.77933190021531662</v>
      </c>
      <c r="F647" s="13">
        <f>STANDARDIZE(D647,I$11,J$11)</f>
        <v>-0.79518396000137037</v>
      </c>
    </row>
    <row r="648" spans="1:6" x14ac:dyDescent="0.3">
      <c r="A648" t="s">
        <v>4</v>
      </c>
      <c r="B648">
        <v>2000</v>
      </c>
      <c r="C648" s="12">
        <v>2000.3333333333101</v>
      </c>
      <c r="D648">
        <v>57.6</v>
      </c>
      <c r="E648" s="15">
        <f t="shared" si="26"/>
        <v>-0.16629322545137271</v>
      </c>
      <c r="F648" s="13">
        <f>STANDARDIZE(D648,I$12,J$12)</f>
        <v>-0.42506917424742091</v>
      </c>
    </row>
    <row r="649" spans="1:6" x14ac:dyDescent="0.3">
      <c r="A649" t="s">
        <v>5</v>
      </c>
      <c r="B649">
        <v>2000</v>
      </c>
      <c r="C649" s="12">
        <v>2000.4166666666399</v>
      </c>
      <c r="D649">
        <v>157.4</v>
      </c>
      <c r="E649" s="15">
        <f t="shared" si="26"/>
        <v>1.0125364420137835</v>
      </c>
      <c r="F649" s="13">
        <f>STANDARDIZE(D649,I$13,J$13)</f>
        <v>1.0252323712511813</v>
      </c>
    </row>
    <row r="650" spans="1:6" x14ac:dyDescent="0.3">
      <c r="A650" t="s">
        <v>6</v>
      </c>
      <c r="B650">
        <v>2000</v>
      </c>
      <c r="C650" s="12">
        <v>2000.49999999997</v>
      </c>
      <c r="D650">
        <v>242.1</v>
      </c>
      <c r="E650" s="15">
        <f t="shared" si="26"/>
        <v>2.0130061096921272</v>
      </c>
      <c r="F650" s="13">
        <f>STANDARDIZE(D650,I$14,J$14)</f>
        <v>1.8547248118150312</v>
      </c>
    </row>
    <row r="651" spans="1:6" x14ac:dyDescent="0.3">
      <c r="A651" t="s">
        <v>7</v>
      </c>
      <c r="B651">
        <v>2000</v>
      </c>
      <c r="C651" s="12">
        <v>2000.5833333333101</v>
      </c>
      <c r="D651">
        <v>66</v>
      </c>
      <c r="E651" s="15">
        <f t="shared" si="26"/>
        <v>-6.7073093119636135E-2</v>
      </c>
      <c r="F651" s="13">
        <f>STANDARDIZE(D651,I$15,J$15)</f>
        <v>-0.43160839391691269</v>
      </c>
    </row>
    <row r="652" spans="1:6" x14ac:dyDescent="0.3">
      <c r="A652" t="s">
        <v>8</v>
      </c>
      <c r="B652">
        <v>2000</v>
      </c>
      <c r="C652" s="12">
        <v>2000.6666666666399</v>
      </c>
      <c r="D652">
        <v>99</v>
      </c>
      <c r="E652" s="15">
        <f t="shared" si="26"/>
        <v>0.32272028389790047</v>
      </c>
      <c r="F652" s="13">
        <f>STANDARDIZE(D652,I$16,J$16)</f>
        <v>-0.23612559097495536</v>
      </c>
    </row>
    <row r="653" spans="1:6" x14ac:dyDescent="0.3">
      <c r="A653" t="s">
        <v>9</v>
      </c>
      <c r="B653">
        <v>2000</v>
      </c>
      <c r="C653" s="12">
        <v>2000.74999999997</v>
      </c>
      <c r="D653">
        <v>104.2</v>
      </c>
      <c r="E653" s="15">
        <f t="shared" si="26"/>
        <v>0.38414227057945177</v>
      </c>
      <c r="F653" s="13">
        <f>STANDARDIZE(D653,I$17,J$17)</f>
        <v>-0.64008898693409144</v>
      </c>
    </row>
    <row r="654" spans="1:6" x14ac:dyDescent="0.3">
      <c r="A654" t="s">
        <v>10</v>
      </c>
      <c r="B654">
        <v>2000</v>
      </c>
      <c r="C654" s="12">
        <v>2000.8333333333101</v>
      </c>
      <c r="D654">
        <v>35</v>
      </c>
      <c r="E654" s="15">
        <f t="shared" si="26"/>
        <v>-0.43324262910580691</v>
      </c>
      <c r="F654" s="13">
        <f>STANDARDIZE(D654,I$18,J$18)</f>
        <v>-0.79362646442956275</v>
      </c>
    </row>
    <row r="655" spans="1:6" x14ac:dyDescent="0.3">
      <c r="A655" t="s">
        <v>11</v>
      </c>
      <c r="B655">
        <v>2000</v>
      </c>
      <c r="C655" s="12">
        <v>2000.9166666666399</v>
      </c>
      <c r="D655">
        <v>19.8</v>
      </c>
      <c r="E655" s="15">
        <f t="shared" si="26"/>
        <v>-0.61278382094418749</v>
      </c>
      <c r="F655" s="13">
        <f>STANDARDIZE(D655,I$19,J$19)</f>
        <v>-0.274757035052551</v>
      </c>
    </row>
    <row r="656" spans="1:6" x14ac:dyDescent="0.3">
      <c r="A656" t="s">
        <v>0</v>
      </c>
      <c r="B656">
        <v>2001</v>
      </c>
      <c r="C656" s="12">
        <v>2001</v>
      </c>
      <c r="D656">
        <v>2.6</v>
      </c>
      <c r="E656" s="15">
        <f t="shared" si="26"/>
        <v>-0.81594885381393378</v>
      </c>
      <c r="F656" s="13">
        <f>STANDARDIZE(D656,I$8,J$8)</f>
        <v>-5.4359135294176748E-2</v>
      </c>
    </row>
    <row r="657" spans="1:6" x14ac:dyDescent="0.3">
      <c r="A657" t="s">
        <v>1</v>
      </c>
      <c r="B657">
        <v>2001</v>
      </c>
      <c r="C657" s="12">
        <v>2001.0833333333101</v>
      </c>
      <c r="D657">
        <v>0</v>
      </c>
      <c r="E657" s="15">
        <f t="shared" si="26"/>
        <v>-0.84665984715470932</v>
      </c>
      <c r="F657" s="13">
        <f>STANDARDIZE(D657,I$9,J$9)</f>
        <v>-0.21027614347857898</v>
      </c>
    </row>
    <row r="658" spans="1:6" x14ac:dyDescent="0.3">
      <c r="A658" t="s">
        <v>2</v>
      </c>
      <c r="B658">
        <v>2001</v>
      </c>
      <c r="C658" s="12">
        <v>2001.1666666666399</v>
      </c>
      <c r="D658">
        <v>0</v>
      </c>
      <c r="E658" s="15">
        <f t="shared" si="26"/>
        <v>-0.84665984715470932</v>
      </c>
      <c r="F658" s="13">
        <f>STANDARDIZE(D658,I$10,J$10)</f>
        <v>-0.50850073286852082</v>
      </c>
    </row>
    <row r="659" spans="1:6" x14ac:dyDescent="0.3">
      <c r="A659" t="s">
        <v>3</v>
      </c>
      <c r="B659">
        <v>2001</v>
      </c>
      <c r="C659" s="12">
        <v>2001.24999999997</v>
      </c>
      <c r="D659">
        <v>6.2</v>
      </c>
      <c r="E659" s="15">
        <f t="shared" si="26"/>
        <v>-0.77342593995747522</v>
      </c>
      <c r="F659" s="13">
        <f>STANDARDIZE(D659,I$11,J$11)</f>
        <v>-0.77163512372033816</v>
      </c>
    </row>
    <row r="660" spans="1:6" x14ac:dyDescent="0.3">
      <c r="A660" t="s">
        <v>4</v>
      </c>
      <c r="B660">
        <v>2001</v>
      </c>
      <c r="C660" s="12">
        <v>2001.3333333333101</v>
      </c>
      <c r="D660">
        <v>31.2</v>
      </c>
      <c r="E660" s="15">
        <f t="shared" si="26"/>
        <v>-0.47812792706540197</v>
      </c>
      <c r="F660" s="13">
        <f>STANDARDIZE(D660,I$12,J$12)</f>
        <v>-0.82112303869420389</v>
      </c>
    </row>
    <row r="661" spans="1:6" x14ac:dyDescent="0.3">
      <c r="A661" t="s">
        <v>5</v>
      </c>
      <c r="B661">
        <v>2001</v>
      </c>
      <c r="C661" s="12">
        <v>2001.4166666666399</v>
      </c>
      <c r="D661">
        <v>37.9</v>
      </c>
      <c r="E661" s="15">
        <f t="shared" si="26"/>
        <v>-0.39898805961032641</v>
      </c>
      <c r="F661" s="13">
        <f>STANDARDIZE(D661,I$13,J$13)</f>
        <v>-0.84361705996242276</v>
      </c>
    </row>
    <row r="662" spans="1:6" x14ac:dyDescent="0.3">
      <c r="A662" t="s">
        <v>6</v>
      </c>
      <c r="B662">
        <v>2001</v>
      </c>
      <c r="C662" s="12">
        <v>2001.49999999998</v>
      </c>
      <c r="D662">
        <v>77</v>
      </c>
      <c r="E662" s="15">
        <f t="shared" si="26"/>
        <v>6.2858032552876072E-2</v>
      </c>
      <c r="F662" s="13">
        <f>STANDARDIZE(D662,I$14,J$14)</f>
        <v>-0.19013220650894438</v>
      </c>
    </row>
    <row r="663" spans="1:6" x14ac:dyDescent="0.3">
      <c r="A663" t="s">
        <v>7</v>
      </c>
      <c r="B663">
        <v>2001</v>
      </c>
      <c r="C663" s="12">
        <v>2001.5833333333101</v>
      </c>
      <c r="D663">
        <v>60.8</v>
      </c>
      <c r="E663" s="15">
        <f t="shared" si="26"/>
        <v>-0.12849507980118738</v>
      </c>
      <c r="F663" s="13">
        <f>STANDARDIZE(D663,I$15,J$15)</f>
        <v>-0.49742140332126344</v>
      </c>
    </row>
    <row r="664" spans="1:6" x14ac:dyDescent="0.3">
      <c r="A664" t="s">
        <v>8</v>
      </c>
      <c r="B664">
        <v>2001</v>
      </c>
      <c r="C664" s="12">
        <v>2001.6666666666399</v>
      </c>
      <c r="D664">
        <v>69.8</v>
      </c>
      <c r="E664" s="15">
        <f t="shared" ref="E664:E691" si="27">STANDARDIZE(D664,F$4,F$5)</f>
        <v>-2.2187795160041036E-2</v>
      </c>
      <c r="F664" s="13">
        <f>STANDARDIZE(D664,I$16,J$16)</f>
        <v>-0.64277480800849629</v>
      </c>
    </row>
    <row r="665" spans="1:6" x14ac:dyDescent="0.3">
      <c r="A665" t="s">
        <v>9</v>
      </c>
      <c r="B665">
        <v>2001</v>
      </c>
      <c r="C665" s="12">
        <v>2001.74999999998</v>
      </c>
      <c r="D665">
        <v>216.2</v>
      </c>
      <c r="E665" s="15">
        <f t="shared" si="27"/>
        <v>1.7070773683359395</v>
      </c>
      <c r="F665" s="13">
        <f>STANDARDIZE(D665,I$17,J$17)</f>
        <v>0.34526485978179727</v>
      </c>
    </row>
    <row r="666" spans="1:6" x14ac:dyDescent="0.3">
      <c r="A666" t="s">
        <v>10</v>
      </c>
      <c r="B666">
        <v>2001</v>
      </c>
      <c r="C666" s="12">
        <v>2001.8333333333101</v>
      </c>
      <c r="D666">
        <v>132.6</v>
      </c>
      <c r="E666" s="15">
        <f t="shared" si="27"/>
        <v>0.71960081322484681</v>
      </c>
      <c r="F666" s="13">
        <f>STANDARDIZE(D666,I$18,J$18)</f>
        <v>7.6932039962967172E-2</v>
      </c>
    </row>
    <row r="667" spans="1:6" x14ac:dyDescent="0.3">
      <c r="A667" t="s">
        <v>11</v>
      </c>
      <c r="B667">
        <v>2001</v>
      </c>
      <c r="C667" s="12">
        <v>2001.9166666666399</v>
      </c>
      <c r="D667">
        <v>48</v>
      </c>
      <c r="E667" s="15">
        <f t="shared" si="27"/>
        <v>-0.27968766240192883</v>
      </c>
      <c r="F667" s="13">
        <f>STANDARDIZE(D667,I$19,J$19)</f>
        <v>0.27782872125784219</v>
      </c>
    </row>
    <row r="668" spans="1:6" x14ac:dyDescent="0.3">
      <c r="A668" t="s">
        <v>0</v>
      </c>
      <c r="B668">
        <v>2002</v>
      </c>
      <c r="C668" s="12">
        <v>2002</v>
      </c>
      <c r="D668">
        <v>0</v>
      </c>
      <c r="E668" s="15">
        <f t="shared" si="27"/>
        <v>-0.84665984715470932</v>
      </c>
      <c r="F668" s="13">
        <f>STANDARDIZE(D668,I$8,J$8)</f>
        <v>-0.28131844469760109</v>
      </c>
    </row>
    <row r="669" spans="1:6" x14ac:dyDescent="0.3">
      <c r="A669" t="s">
        <v>1</v>
      </c>
      <c r="B669">
        <v>2002</v>
      </c>
      <c r="C669" s="12">
        <v>2002.0833333333101</v>
      </c>
      <c r="D669">
        <v>0</v>
      </c>
      <c r="E669" s="15">
        <f t="shared" si="27"/>
        <v>-0.84665984715470932</v>
      </c>
      <c r="F669" s="13">
        <f>STANDARDIZE(D669,I$9,J$9)</f>
        <v>-0.21027614347857898</v>
      </c>
    </row>
    <row r="670" spans="1:6" x14ac:dyDescent="0.3">
      <c r="A670" t="s">
        <v>2</v>
      </c>
      <c r="B670">
        <v>2002</v>
      </c>
      <c r="C670" s="12">
        <v>2002.1666666666399</v>
      </c>
      <c r="D670">
        <v>0</v>
      </c>
      <c r="E670" s="15">
        <f t="shared" si="27"/>
        <v>-0.84665984715470932</v>
      </c>
      <c r="F670" s="13">
        <f>STANDARDIZE(D670,I$10,J$10)</f>
        <v>-0.50850073286852082</v>
      </c>
    </row>
    <row r="671" spans="1:6" x14ac:dyDescent="0.3">
      <c r="A671" t="s">
        <v>3</v>
      </c>
      <c r="B671">
        <v>2002</v>
      </c>
      <c r="C671" s="12">
        <v>2002.24999999998</v>
      </c>
      <c r="D671">
        <v>22</v>
      </c>
      <c r="E671" s="15">
        <f t="shared" si="27"/>
        <v>-0.58679759580968494</v>
      </c>
      <c r="F671" s="13">
        <f>STANDARDIZE(D671,I$11,J$11)</f>
        <v>-2.7491897239716838E-2</v>
      </c>
    </row>
    <row r="672" spans="1:6" x14ac:dyDescent="0.3">
      <c r="A672" t="s">
        <v>4</v>
      </c>
      <c r="B672">
        <v>2002</v>
      </c>
      <c r="C672" s="12">
        <v>2002.3333333333101</v>
      </c>
      <c r="D672">
        <v>94.5</v>
      </c>
      <c r="E672" s="15">
        <f t="shared" si="27"/>
        <v>0.26956664157732729</v>
      </c>
      <c r="F672" s="13">
        <f>STANDARDIZE(D672,I$12,J$12)</f>
        <v>0.128506113558878</v>
      </c>
    </row>
    <row r="673" spans="1:6" x14ac:dyDescent="0.3">
      <c r="A673" t="s">
        <v>5</v>
      </c>
      <c r="B673">
        <v>2002</v>
      </c>
      <c r="C673" s="12">
        <v>2002.4166666666399</v>
      </c>
      <c r="D673">
        <v>92.9</v>
      </c>
      <c r="E673" s="15">
        <f t="shared" si="27"/>
        <v>0.25066756875223473</v>
      </c>
      <c r="F673" s="13">
        <f>STANDARDIZE(D673,I$13,J$13)</f>
        <v>1.6522845617060373E-2</v>
      </c>
    </row>
    <row r="674" spans="1:6" x14ac:dyDescent="0.3">
      <c r="A674" t="s">
        <v>6</v>
      </c>
      <c r="B674">
        <v>2002</v>
      </c>
      <c r="C674" s="12">
        <v>2002.49999999998</v>
      </c>
      <c r="D674">
        <v>178.5</v>
      </c>
      <c r="E674" s="15">
        <f t="shared" si="27"/>
        <v>1.2617679648946933</v>
      </c>
      <c r="F674" s="13">
        <f>STANDARDIZE(D674,I$14,J$14)</f>
        <v>1.0670027865854441</v>
      </c>
    </row>
    <row r="675" spans="1:6" x14ac:dyDescent="0.3">
      <c r="A675" t="s">
        <v>7</v>
      </c>
      <c r="B675">
        <v>2002</v>
      </c>
      <c r="C675" s="12">
        <v>2002.5833333333101</v>
      </c>
      <c r="D675">
        <v>65.7</v>
      </c>
      <c r="E675" s="15">
        <f t="shared" si="27"/>
        <v>-7.0616669274340974E-2</v>
      </c>
      <c r="F675" s="13">
        <f>STANDARDIZE(D675,I$15,J$15)</f>
        <v>-0.43540529830562519</v>
      </c>
    </row>
    <row r="676" spans="1:6" x14ac:dyDescent="0.3">
      <c r="A676" t="s">
        <v>8</v>
      </c>
      <c r="B676">
        <v>2002</v>
      </c>
      <c r="C676" s="12">
        <v>2002.6666666666399</v>
      </c>
      <c r="D676">
        <v>51.5</v>
      </c>
      <c r="E676" s="15">
        <f t="shared" si="27"/>
        <v>-0.23834594059703859</v>
      </c>
      <c r="F676" s="13">
        <f>STANDARDIZE(D676,I$16,J$16)</f>
        <v>-0.89762688580691408</v>
      </c>
    </row>
    <row r="677" spans="1:6" x14ac:dyDescent="0.3">
      <c r="A677" t="s">
        <v>9</v>
      </c>
      <c r="B677">
        <v>2002</v>
      </c>
      <c r="C677" s="12">
        <v>2002.74999999998</v>
      </c>
      <c r="D677">
        <v>106.5</v>
      </c>
      <c r="E677" s="15">
        <f t="shared" si="27"/>
        <v>0.41130968776552246</v>
      </c>
      <c r="F677" s="13">
        <f>STANDARDIZE(D677,I$17,J$17)</f>
        <v>-0.61985404186760451</v>
      </c>
    </row>
    <row r="678" spans="1:6" x14ac:dyDescent="0.3">
      <c r="A678" t="s">
        <v>10</v>
      </c>
      <c r="B678">
        <v>2002</v>
      </c>
      <c r="C678" s="12">
        <v>2002.8333333333101</v>
      </c>
      <c r="D678">
        <v>52</v>
      </c>
      <c r="E678" s="15">
        <f t="shared" si="27"/>
        <v>-0.23243998033919713</v>
      </c>
      <c r="F678" s="13">
        <f>STANDARDIZE(D678,I$18,J$18)</f>
        <v>-0.64199229870545405</v>
      </c>
    </row>
    <row r="679" spans="1:6" x14ac:dyDescent="0.3">
      <c r="A679" t="s">
        <v>11</v>
      </c>
      <c r="B679">
        <v>2002</v>
      </c>
      <c r="C679" s="12">
        <v>2002.9166666666399</v>
      </c>
      <c r="D679">
        <v>0</v>
      </c>
      <c r="E679" s="15">
        <f t="shared" si="27"/>
        <v>-0.84665984715470932</v>
      </c>
      <c r="F679" s="13">
        <f>STANDARDIZE(D679,I$19,J$19)</f>
        <v>-0.66274277884495481</v>
      </c>
    </row>
    <row r="680" spans="1:6" x14ac:dyDescent="0.3">
      <c r="A680" t="s">
        <v>0</v>
      </c>
      <c r="B680">
        <v>2003</v>
      </c>
      <c r="C680" s="12">
        <v>2003</v>
      </c>
      <c r="D680">
        <v>0</v>
      </c>
      <c r="E680" s="15">
        <f t="shared" si="27"/>
        <v>-0.84665984715470932</v>
      </c>
      <c r="F680" s="13">
        <f>STANDARDIZE(D680,I$8,J$8)</f>
        <v>-0.28131844469760109</v>
      </c>
    </row>
    <row r="681" spans="1:6" x14ac:dyDescent="0.3">
      <c r="A681" t="s">
        <v>1</v>
      </c>
      <c r="B681">
        <v>2003</v>
      </c>
      <c r="C681" s="12">
        <v>2003.0833333333101</v>
      </c>
      <c r="D681">
        <v>0</v>
      </c>
      <c r="E681" s="15">
        <f t="shared" si="27"/>
        <v>-0.84665984715470932</v>
      </c>
      <c r="F681" s="13">
        <f>STANDARDIZE(D681,I$9,J$9)</f>
        <v>-0.21027614347857898</v>
      </c>
    </row>
    <row r="682" spans="1:6" x14ac:dyDescent="0.3">
      <c r="A682" t="s">
        <v>2</v>
      </c>
      <c r="B682">
        <v>2003</v>
      </c>
      <c r="C682" s="12">
        <v>2003.1666666666499</v>
      </c>
      <c r="D682">
        <v>0</v>
      </c>
      <c r="E682" s="15">
        <f t="shared" si="27"/>
        <v>-0.84665984715470932</v>
      </c>
      <c r="F682" s="13">
        <f>STANDARDIZE(D682,I$10,J$10)</f>
        <v>-0.50850073286852082</v>
      </c>
    </row>
    <row r="683" spans="1:6" x14ac:dyDescent="0.3">
      <c r="A683" t="s">
        <v>3</v>
      </c>
      <c r="B683">
        <v>2003</v>
      </c>
      <c r="C683" s="12">
        <v>2003.24999999998</v>
      </c>
      <c r="D683">
        <v>38.200000000000003</v>
      </c>
      <c r="E683" s="15">
        <f t="shared" si="27"/>
        <v>-0.3954444834556215</v>
      </c>
      <c r="F683" s="13">
        <f>STANDARDIZE(D683,I$11,J$11)</f>
        <v>0.73549039826573037</v>
      </c>
    </row>
    <row r="684" spans="1:6" x14ac:dyDescent="0.3">
      <c r="A684" t="s">
        <v>4</v>
      </c>
      <c r="B684">
        <v>2003</v>
      </c>
      <c r="C684" s="12">
        <v>2003.3333333333101</v>
      </c>
      <c r="D684">
        <v>71.599999999999994</v>
      </c>
      <c r="E684" s="15">
        <f t="shared" si="27"/>
        <v>-9.2633823181179965E-4</v>
      </c>
      <c r="F684" s="13">
        <f>STANDARDIZE(D684,I$12,J$12)</f>
        <v>-0.21504060976806638</v>
      </c>
    </row>
    <row r="685" spans="1:6" x14ac:dyDescent="0.3">
      <c r="A685" t="s">
        <v>5</v>
      </c>
      <c r="B685">
        <v>2003</v>
      </c>
      <c r="C685" s="12">
        <v>2003.4166666666499</v>
      </c>
      <c r="D685">
        <v>260.10000000000002</v>
      </c>
      <c r="E685" s="15">
        <f t="shared" si="27"/>
        <v>2.2256206789744204</v>
      </c>
      <c r="F685" s="13">
        <f>STANDARDIZE(D685,I$13,J$13)</f>
        <v>2.6313481585786889</v>
      </c>
    </row>
    <row r="686" spans="1:6" x14ac:dyDescent="0.3">
      <c r="A686" t="s">
        <v>6</v>
      </c>
      <c r="B686">
        <v>2003</v>
      </c>
      <c r="C686" s="12">
        <v>2003.49999999998</v>
      </c>
      <c r="D686">
        <v>91.1</v>
      </c>
      <c r="E686" s="15">
        <f t="shared" si="27"/>
        <v>0.2294061118240053</v>
      </c>
      <c r="F686" s="13">
        <f>STANDARDIZE(D686,I$14,J$14)</f>
        <v>-1.5495719783517084E-2</v>
      </c>
    </row>
    <row r="687" spans="1:6" x14ac:dyDescent="0.3">
      <c r="A687" t="s">
        <v>7</v>
      </c>
      <c r="B687">
        <v>2003</v>
      </c>
      <c r="C687" s="12">
        <v>2003.5833333333101</v>
      </c>
      <c r="D687">
        <v>31</v>
      </c>
      <c r="E687" s="15">
        <f t="shared" si="27"/>
        <v>-0.48049031116853863</v>
      </c>
      <c r="F687" s="13">
        <f>STANDARDIZE(D687,I$15,J$15)</f>
        <v>-0.87458057260004252</v>
      </c>
    </row>
    <row r="688" spans="1:6" x14ac:dyDescent="0.3">
      <c r="A688" t="s">
        <v>8</v>
      </c>
      <c r="B688">
        <v>2003</v>
      </c>
      <c r="C688" s="12">
        <v>2003.6666666666499</v>
      </c>
      <c r="D688">
        <v>152.80000000000001</v>
      </c>
      <c r="E688" s="15">
        <f t="shared" si="27"/>
        <v>0.95820160764164219</v>
      </c>
      <c r="F688" s="13">
        <f>STANDARDIZE(D688,I$16,J$16)</f>
        <v>0.5131116650662948</v>
      </c>
    </row>
    <row r="689" spans="1:6" x14ac:dyDescent="0.3">
      <c r="A689" t="s">
        <v>9</v>
      </c>
      <c r="B689">
        <v>2003</v>
      </c>
      <c r="C689" s="12">
        <v>2003.74999999998</v>
      </c>
      <c r="D689">
        <v>121.5</v>
      </c>
      <c r="E689" s="15">
        <f t="shared" si="27"/>
        <v>0.58848849550076632</v>
      </c>
      <c r="F689" s="13">
        <f>STANDARDIZE(D689,I$17,J$17)</f>
        <v>-0.48788700882529795</v>
      </c>
    </row>
    <row r="690" spans="1:6" x14ac:dyDescent="0.3">
      <c r="A690" t="s">
        <v>10</v>
      </c>
      <c r="B690">
        <v>2003</v>
      </c>
      <c r="C690" s="12">
        <v>2003.8333333333101</v>
      </c>
      <c r="D690">
        <v>132.6</v>
      </c>
      <c r="E690" s="15">
        <f t="shared" si="27"/>
        <v>0.71960081322484681</v>
      </c>
      <c r="F690" s="13">
        <f>STANDARDIZE(D690,I$18,J$18)</f>
        <v>7.6932039962967172E-2</v>
      </c>
    </row>
    <row r="691" spans="1:6" x14ac:dyDescent="0.3">
      <c r="A691" t="s">
        <v>11</v>
      </c>
      <c r="B691">
        <v>2003</v>
      </c>
      <c r="C691" s="12">
        <v>2003.9166666666499</v>
      </c>
      <c r="D691">
        <v>106</v>
      </c>
      <c r="E691" s="15">
        <f t="shared" si="27"/>
        <v>0.405403727507681</v>
      </c>
      <c r="F691" s="13">
        <f>STANDARDIZE(D691,I$19,J$19)</f>
        <v>1.4143526172153886</v>
      </c>
    </row>
    <row r="692" spans="1:6" x14ac:dyDescent="0.3">
      <c r="A692" t="s">
        <v>0</v>
      </c>
      <c r="B692">
        <v>2004</v>
      </c>
      <c r="C692" s="12">
        <v>2004</v>
      </c>
      <c r="E692" s="15"/>
      <c r="F692" s="13"/>
    </row>
    <row r="693" spans="1:6" x14ac:dyDescent="0.3">
      <c r="A693" t="s">
        <v>1</v>
      </c>
      <c r="B693">
        <v>2004</v>
      </c>
      <c r="C693" s="12">
        <v>2004.0833333333101</v>
      </c>
      <c r="E693" s="15"/>
      <c r="F693" s="13"/>
    </row>
    <row r="694" spans="1:6" x14ac:dyDescent="0.3">
      <c r="A694" t="s">
        <v>2</v>
      </c>
      <c r="B694">
        <v>2004</v>
      </c>
      <c r="C694" s="12">
        <v>2004.1666666666499</v>
      </c>
      <c r="E694" s="15"/>
      <c r="F694" s="13"/>
    </row>
    <row r="695" spans="1:6" x14ac:dyDescent="0.3">
      <c r="A695" t="s">
        <v>3</v>
      </c>
      <c r="B695">
        <v>2004</v>
      </c>
      <c r="C695" s="12">
        <v>2004.24999999998</v>
      </c>
      <c r="E695" s="15"/>
      <c r="F695" s="13"/>
    </row>
    <row r="696" spans="1:6" x14ac:dyDescent="0.3">
      <c r="A696" t="s">
        <v>4</v>
      </c>
      <c r="B696">
        <v>2004</v>
      </c>
      <c r="C696" s="12">
        <v>2004.3333333333101</v>
      </c>
      <c r="D696">
        <v>155.5</v>
      </c>
      <c r="E696" s="15">
        <f t="shared" ref="E696:E713" si="28">STANDARDIZE(D696,F$4,F$5)</f>
        <v>0.99009379303398592</v>
      </c>
      <c r="F696" s="13">
        <f>STANDARDIZE(D696,I$12,J$12)</f>
        <v>1.043630573076066</v>
      </c>
    </row>
    <row r="697" spans="1:6" x14ac:dyDescent="0.3">
      <c r="A697" t="s">
        <v>5</v>
      </c>
      <c r="B697">
        <v>2004</v>
      </c>
      <c r="C697" s="12">
        <v>2004.4166666666499</v>
      </c>
      <c r="D697">
        <v>76.400000000000006</v>
      </c>
      <c r="E697" s="15">
        <f t="shared" si="28"/>
        <v>5.5770880243466388E-2</v>
      </c>
      <c r="F697" s="13">
        <f>STANDARDIZE(D697,I$13,J$13)</f>
        <v>-0.24151912605678452</v>
      </c>
    </row>
    <row r="698" spans="1:6" x14ac:dyDescent="0.3">
      <c r="A698" t="s">
        <v>6</v>
      </c>
      <c r="B698">
        <v>2004</v>
      </c>
      <c r="C698" s="12">
        <v>2004.49999999998</v>
      </c>
      <c r="D698">
        <v>126.2</v>
      </c>
      <c r="E698" s="15">
        <f t="shared" si="28"/>
        <v>0.64400452192447621</v>
      </c>
      <c r="F698" s="13">
        <f>STANDARDIZE(D698,I$14,J$14)</f>
        <v>0.41923766206488733</v>
      </c>
    </row>
    <row r="699" spans="1:6" x14ac:dyDescent="0.3">
      <c r="A699" t="s">
        <v>7</v>
      </c>
      <c r="B699">
        <v>2004</v>
      </c>
      <c r="C699" s="12">
        <v>2004.5833333333101</v>
      </c>
      <c r="D699">
        <v>110.4</v>
      </c>
      <c r="E699" s="15">
        <f t="shared" si="28"/>
        <v>0.45737617777668593</v>
      </c>
      <c r="F699" s="13">
        <f>STANDARDIZE(D699,I$15,J$15)</f>
        <v>0.13033345561254359</v>
      </c>
    </row>
    <row r="700" spans="1:6" x14ac:dyDescent="0.3">
      <c r="A700" t="s">
        <v>8</v>
      </c>
      <c r="B700">
        <v>2004</v>
      </c>
      <c r="C700" s="12">
        <v>2004.6666666666499</v>
      </c>
      <c r="D700">
        <v>194.9</v>
      </c>
      <c r="E700" s="15">
        <f t="shared" si="28"/>
        <v>1.4554834613518934</v>
      </c>
      <c r="F700" s="13">
        <f>STANDARDIZE(D700,I$16,J$16)</f>
        <v>1.0994107074331465</v>
      </c>
    </row>
    <row r="701" spans="1:6" x14ac:dyDescent="0.3">
      <c r="A701" t="s">
        <v>9</v>
      </c>
      <c r="B701">
        <v>2004</v>
      </c>
      <c r="C701" s="12">
        <v>2004.74999999998</v>
      </c>
      <c r="D701">
        <v>231.5</v>
      </c>
      <c r="E701" s="15">
        <f t="shared" si="28"/>
        <v>1.8877997522258885</v>
      </c>
      <c r="F701" s="13">
        <f>STANDARDIZE(D701,I$17,J$17)</f>
        <v>0.47987123348495009</v>
      </c>
    </row>
    <row r="702" spans="1:6" x14ac:dyDescent="0.3">
      <c r="A702" t="s">
        <v>10</v>
      </c>
      <c r="B702">
        <v>2004</v>
      </c>
      <c r="C702" s="12">
        <v>2004.8333333333101</v>
      </c>
      <c r="D702">
        <v>412.2</v>
      </c>
      <c r="E702" s="15">
        <f t="shared" si="28"/>
        <v>4.0222137894097933</v>
      </c>
      <c r="F702" s="13">
        <f>STANDARDIZE(D702,I$18,J$18)</f>
        <v>2.5708680832841901</v>
      </c>
    </row>
    <row r="703" spans="1:6" x14ac:dyDescent="0.3">
      <c r="A703" t="s">
        <v>11</v>
      </c>
      <c r="B703">
        <v>2004</v>
      </c>
      <c r="C703" s="12">
        <v>2004.9166666666499</v>
      </c>
      <c r="D703">
        <v>0</v>
      </c>
      <c r="E703" s="15">
        <f t="shared" si="28"/>
        <v>-0.84665984715470932</v>
      </c>
      <c r="F703" s="13">
        <f>STANDARDIZE(D703,I$19,J$19)</f>
        <v>-0.66274277884495481</v>
      </c>
    </row>
    <row r="704" spans="1:6" x14ac:dyDescent="0.3">
      <c r="A704" t="s">
        <v>0</v>
      </c>
      <c r="B704">
        <v>2005</v>
      </c>
      <c r="C704" s="12">
        <v>2005</v>
      </c>
      <c r="D704">
        <v>0</v>
      </c>
      <c r="E704" s="15">
        <f t="shared" si="28"/>
        <v>-0.84665984715470932</v>
      </c>
      <c r="F704" s="13">
        <f>STANDARDIZE(D704,I$8,J$8)</f>
        <v>-0.28131844469760109</v>
      </c>
    </row>
    <row r="705" spans="1:6" x14ac:dyDescent="0.3">
      <c r="A705" t="s">
        <v>1</v>
      </c>
      <c r="B705">
        <v>2005</v>
      </c>
      <c r="C705" s="12">
        <v>2005.0833333333201</v>
      </c>
      <c r="D705">
        <v>0</v>
      </c>
      <c r="E705" s="15">
        <f t="shared" si="28"/>
        <v>-0.84665984715470932</v>
      </c>
      <c r="F705" s="13">
        <f>STANDARDIZE(D705,I$9,J$9)</f>
        <v>-0.21027614347857898</v>
      </c>
    </row>
    <row r="706" spans="1:6" x14ac:dyDescent="0.3">
      <c r="A706" t="s">
        <v>2</v>
      </c>
      <c r="B706">
        <v>2005</v>
      </c>
      <c r="C706" s="12">
        <v>2005.1666666666499</v>
      </c>
      <c r="D706">
        <v>0</v>
      </c>
      <c r="E706" s="15">
        <f t="shared" si="28"/>
        <v>-0.84665984715470932</v>
      </c>
      <c r="F706" s="13">
        <f>STANDARDIZE(D706,I$10,J$10)</f>
        <v>-0.50850073286852082</v>
      </c>
    </row>
    <row r="707" spans="1:6" x14ac:dyDescent="0.3">
      <c r="A707" t="s">
        <v>3</v>
      </c>
      <c r="B707">
        <v>2005</v>
      </c>
      <c r="C707" s="12">
        <v>2005.24999999998</v>
      </c>
      <c r="D707">
        <v>0</v>
      </c>
      <c r="E707" s="15">
        <f t="shared" si="28"/>
        <v>-0.84665984715470932</v>
      </c>
      <c r="F707" s="13">
        <f>STANDARDIZE(D707,I$11,J$11)</f>
        <v>-1.0636406936051388</v>
      </c>
    </row>
    <row r="708" spans="1:6" x14ac:dyDescent="0.3">
      <c r="A708" t="s">
        <v>4</v>
      </c>
      <c r="B708">
        <v>2005</v>
      </c>
      <c r="C708" s="12">
        <v>2005.3333333333201</v>
      </c>
      <c r="D708">
        <v>229.8</v>
      </c>
      <c r="E708" s="15">
        <f t="shared" si="28"/>
        <v>1.8677194873492275</v>
      </c>
      <c r="F708" s="13">
        <f>STANDARDIZE(D708,I$12,J$12)</f>
        <v>2.1582821688486407</v>
      </c>
    </row>
    <row r="709" spans="1:6" x14ac:dyDescent="0.3">
      <c r="A709" t="s">
        <v>5</v>
      </c>
      <c r="B709">
        <v>2005</v>
      </c>
      <c r="C709" s="12">
        <v>2005.4166666666499</v>
      </c>
      <c r="D709">
        <v>131.9</v>
      </c>
      <c r="E709" s="15">
        <f t="shared" si="28"/>
        <v>0.71133246886386892</v>
      </c>
      <c r="F709" s="13">
        <f>STANDARDIZE(D709,I$13,J$13)</f>
        <v>0.6264402332097847</v>
      </c>
    </row>
    <row r="710" spans="1:6" x14ac:dyDescent="0.3">
      <c r="A710" t="s">
        <v>6</v>
      </c>
      <c r="B710">
        <v>2005</v>
      </c>
      <c r="C710" s="12">
        <v>2005.49999999998</v>
      </c>
      <c r="D710">
        <v>30.7</v>
      </c>
      <c r="E710" s="15">
        <f t="shared" si="28"/>
        <v>-0.48403388732324343</v>
      </c>
      <c r="F710" s="13">
        <f>STANDARDIZE(D710,I$14,J$14)</f>
        <v>-0.76358393242293643</v>
      </c>
    </row>
    <row r="711" spans="1:6" x14ac:dyDescent="0.3">
      <c r="A711" t="s">
        <v>7</v>
      </c>
      <c r="B711">
        <v>2005</v>
      </c>
      <c r="C711" s="12">
        <v>2005.5833333333201</v>
      </c>
      <c r="D711">
        <v>67.400000000000006</v>
      </c>
      <c r="E711" s="15">
        <f t="shared" si="28"/>
        <v>-5.0536404397679965E-2</v>
      </c>
      <c r="F711" s="13">
        <f>STANDARDIZE(D711,I$15,J$15)</f>
        <v>-0.41388950676958741</v>
      </c>
    </row>
    <row r="712" spans="1:6" x14ac:dyDescent="0.3">
      <c r="A712" t="s">
        <v>8</v>
      </c>
      <c r="B712">
        <v>2005</v>
      </c>
      <c r="C712" s="12">
        <v>2005.6666666666499</v>
      </c>
      <c r="D712">
        <v>132.69999999999999</v>
      </c>
      <c r="E712" s="15">
        <f t="shared" si="28"/>
        <v>0.72078200527641501</v>
      </c>
      <c r="F712" s="13">
        <f>STANDARDIZE(D712,I$16,J$16)</f>
        <v>0.2331921697795078</v>
      </c>
    </row>
    <row r="713" spans="1:6" x14ac:dyDescent="0.3">
      <c r="A713" t="s">
        <v>9</v>
      </c>
      <c r="B713">
        <v>2005</v>
      </c>
      <c r="C713" s="12">
        <v>2005.74999999998</v>
      </c>
      <c r="D713">
        <v>150.80000000000001</v>
      </c>
      <c r="E713" s="15">
        <f t="shared" si="28"/>
        <v>0.93457776661027625</v>
      </c>
      <c r="F713" s="13">
        <f>STANDARDIZE(D713,I$17,J$17)</f>
        <v>-0.23011140428265905</v>
      </c>
    </row>
    <row r="714" spans="1:6" x14ac:dyDescent="0.3">
      <c r="A714" t="s">
        <v>10</v>
      </c>
      <c r="B714">
        <v>2005</v>
      </c>
      <c r="C714" s="12">
        <v>2005.8333333333201</v>
      </c>
      <c r="E714" s="15"/>
      <c r="F714" s="13"/>
    </row>
    <row r="715" spans="1:6" x14ac:dyDescent="0.3">
      <c r="A715" t="s">
        <v>11</v>
      </c>
      <c r="B715">
        <v>2005</v>
      </c>
      <c r="C715" s="12">
        <v>2005.9166666666499</v>
      </c>
      <c r="E715" s="15"/>
      <c r="F715" s="13"/>
    </row>
    <row r="716" spans="1:6" x14ac:dyDescent="0.3">
      <c r="A716" t="s">
        <v>0</v>
      </c>
      <c r="B716">
        <v>2006</v>
      </c>
      <c r="C716" s="12">
        <v>2006</v>
      </c>
      <c r="D716">
        <v>0</v>
      </c>
      <c r="E716" s="15">
        <f>STANDARDIZE(D716,F$4,F$5)</f>
        <v>-0.84665984715470932</v>
      </c>
      <c r="F716" s="13">
        <f>STANDARDIZE(D716,I$8,J$8)</f>
        <v>-0.28131844469760109</v>
      </c>
    </row>
    <row r="717" spans="1:6" x14ac:dyDescent="0.3">
      <c r="A717" t="s">
        <v>1</v>
      </c>
      <c r="B717">
        <v>2006</v>
      </c>
      <c r="C717" s="12">
        <v>2006.0833333333201</v>
      </c>
      <c r="D717">
        <v>0</v>
      </c>
      <c r="E717" s="15">
        <f>STANDARDIZE(D717,F$4,F$5)</f>
        <v>-0.84665984715470932</v>
      </c>
      <c r="F717" s="13">
        <f>STANDARDIZE(D717,I$9,J$9)</f>
        <v>-0.21027614347857898</v>
      </c>
    </row>
    <row r="718" spans="1:6" x14ac:dyDescent="0.3">
      <c r="A718" t="s">
        <v>2</v>
      </c>
      <c r="B718">
        <v>2006</v>
      </c>
      <c r="C718" s="12">
        <v>2006.1666666666499</v>
      </c>
      <c r="D718">
        <v>20</v>
      </c>
      <c r="E718" s="15">
        <f>STANDARDIZE(D718,F$4,F$5)</f>
        <v>-0.61042143684105077</v>
      </c>
      <c r="F718" s="13">
        <f>STANDARDIZE(D718,I$10,J$10)</f>
        <v>4.3292440830053556</v>
      </c>
    </row>
    <row r="719" spans="1:6" x14ac:dyDescent="0.3">
      <c r="A719" t="s">
        <v>3</v>
      </c>
      <c r="B719">
        <v>2006</v>
      </c>
      <c r="C719" s="12">
        <v>2006.24999999998</v>
      </c>
      <c r="D719">
        <v>28.2</v>
      </c>
      <c r="E719" s="15">
        <f>STANDARDIZE(D719,F$4,F$5)</f>
        <v>-0.51356368861245072</v>
      </c>
      <c r="F719" s="13">
        <f>STANDARDIZE(D719,I$11,J$11)</f>
        <v>0.26451367264508385</v>
      </c>
    </row>
    <row r="720" spans="1:6" x14ac:dyDescent="0.3">
      <c r="A720" t="s">
        <v>4</v>
      </c>
      <c r="B720">
        <v>2006</v>
      </c>
      <c r="C720" s="12">
        <v>2006.3333333333201</v>
      </c>
      <c r="E720" s="15"/>
      <c r="F720" s="13"/>
    </row>
    <row r="721" spans="1:6" x14ac:dyDescent="0.3">
      <c r="A721" t="s">
        <v>5</v>
      </c>
      <c r="B721">
        <v>2006</v>
      </c>
      <c r="C721" s="12">
        <v>2006.4166666666499</v>
      </c>
      <c r="D721">
        <v>101.7</v>
      </c>
      <c r="E721" s="15">
        <f t="shared" ref="E721:E752" si="29">STANDARDIZE(D721,F$4,F$5)</f>
        <v>0.35461246929024443</v>
      </c>
      <c r="F721" s="13">
        <f>STANDARDIZE(D721,I$13,J$13)</f>
        <v>0.1541452305097776</v>
      </c>
    </row>
    <row r="722" spans="1:6" x14ac:dyDescent="0.3">
      <c r="A722" t="s">
        <v>6</v>
      </c>
      <c r="B722">
        <v>2006</v>
      </c>
      <c r="C722" s="12">
        <v>2006.49999999998</v>
      </c>
      <c r="D722">
        <v>141.80000000000001</v>
      </c>
      <c r="E722" s="15">
        <f t="shared" si="29"/>
        <v>0.82827048196912989</v>
      </c>
      <c r="F722" s="13">
        <f>STANDARDIZE(D722,I$14,J$14)</f>
        <v>0.61245249844195604</v>
      </c>
    </row>
    <row r="723" spans="1:6" x14ac:dyDescent="0.3">
      <c r="A723" t="s">
        <v>7</v>
      </c>
      <c r="B723">
        <v>2006</v>
      </c>
      <c r="C723" s="12">
        <v>2006.5833333333201</v>
      </c>
      <c r="D723">
        <v>180</v>
      </c>
      <c r="E723" s="15">
        <f t="shared" si="29"/>
        <v>1.2794858456682177</v>
      </c>
      <c r="F723" s="13">
        <f>STANDARDIZE(D723,I$15,J$15)</f>
        <v>1.0112152737938531</v>
      </c>
    </row>
    <row r="724" spans="1:6" x14ac:dyDescent="0.3">
      <c r="A724" t="s">
        <v>8</v>
      </c>
      <c r="B724">
        <v>2006</v>
      </c>
      <c r="C724" s="12">
        <v>2006.6666666666499</v>
      </c>
      <c r="D724">
        <v>32.700000000000003</v>
      </c>
      <c r="E724" s="15">
        <f t="shared" si="29"/>
        <v>-0.46041004629187759</v>
      </c>
      <c r="F724" s="13">
        <f>STANDARDIZE(D724,I$16,J$16)</f>
        <v>-1.1594421351298787</v>
      </c>
    </row>
    <row r="725" spans="1:6" x14ac:dyDescent="0.3">
      <c r="A725" t="s">
        <v>9</v>
      </c>
      <c r="B725">
        <v>2006</v>
      </c>
      <c r="C725" s="12">
        <v>2006.74999999998</v>
      </c>
      <c r="D725">
        <v>216.2</v>
      </c>
      <c r="E725" s="15">
        <f t="shared" si="29"/>
        <v>1.7070773683359395</v>
      </c>
      <c r="F725" s="13">
        <f>STANDARDIZE(D725,I$17,J$17)</f>
        <v>0.34526485978179727</v>
      </c>
    </row>
    <row r="726" spans="1:6" x14ac:dyDescent="0.3">
      <c r="A726" t="s">
        <v>10</v>
      </c>
      <c r="B726">
        <v>2006</v>
      </c>
      <c r="C726" s="12">
        <v>2006.8333333333201</v>
      </c>
      <c r="D726">
        <v>107.8</v>
      </c>
      <c r="E726" s="15">
        <f t="shared" si="29"/>
        <v>0.42666518443591023</v>
      </c>
      <c r="F726" s="13">
        <f>STANDARDIZE(D726,I$18,J$18)</f>
        <v>-0.14427544885808549</v>
      </c>
    </row>
    <row r="727" spans="1:6" x14ac:dyDescent="0.3">
      <c r="A727" t="s">
        <v>11</v>
      </c>
      <c r="B727">
        <v>2006</v>
      </c>
      <c r="C727" s="12">
        <v>2006.9166666666499</v>
      </c>
      <c r="D727">
        <v>13</v>
      </c>
      <c r="E727" s="15">
        <f t="shared" si="29"/>
        <v>-0.6931048804508313</v>
      </c>
      <c r="F727" s="13">
        <f>STANDARDIZE(D727,I$19,J$19)</f>
        <v>-0.40800466423378062</v>
      </c>
    </row>
    <row r="728" spans="1:6" x14ac:dyDescent="0.3">
      <c r="A728" t="s">
        <v>0</v>
      </c>
      <c r="B728">
        <v>2007</v>
      </c>
      <c r="C728" s="12">
        <v>2007</v>
      </c>
      <c r="D728">
        <v>0</v>
      </c>
      <c r="E728" s="15">
        <f t="shared" si="29"/>
        <v>-0.84665984715470932</v>
      </c>
      <c r="F728" s="13">
        <f>STANDARDIZE(D728,I$8,J$8)</f>
        <v>-0.28131844469760109</v>
      </c>
    </row>
    <row r="729" spans="1:6" x14ac:dyDescent="0.3">
      <c r="A729" t="s">
        <v>1</v>
      </c>
      <c r="B729">
        <v>2007</v>
      </c>
      <c r="C729" s="12">
        <v>2007.0833333333201</v>
      </c>
      <c r="D729">
        <v>0</v>
      </c>
      <c r="E729" s="15">
        <f t="shared" si="29"/>
        <v>-0.84665984715470932</v>
      </c>
      <c r="F729" s="13">
        <f>STANDARDIZE(D729,I$9,J$9)</f>
        <v>-0.21027614347857898</v>
      </c>
    </row>
    <row r="730" spans="1:6" x14ac:dyDescent="0.3">
      <c r="A730" t="s">
        <v>2</v>
      </c>
      <c r="B730">
        <v>2007</v>
      </c>
      <c r="C730" s="12">
        <v>2007.1666666666499</v>
      </c>
      <c r="D730">
        <v>0</v>
      </c>
      <c r="E730" s="15">
        <f t="shared" si="29"/>
        <v>-0.84665984715470932</v>
      </c>
      <c r="F730" s="13">
        <f>STANDARDIZE(D730,I$10,J$10)</f>
        <v>-0.50850073286852082</v>
      </c>
    </row>
    <row r="731" spans="1:6" x14ac:dyDescent="0.3">
      <c r="A731" t="s">
        <v>3</v>
      </c>
      <c r="B731">
        <v>2007</v>
      </c>
      <c r="C731" s="12">
        <v>2007.24999999999</v>
      </c>
      <c r="D731">
        <v>95.8</v>
      </c>
      <c r="E731" s="15">
        <f t="shared" si="29"/>
        <v>0.28492213824771506</v>
      </c>
      <c r="F731" s="13">
        <f>STANDARDIZE(D731,I$11,J$11)</f>
        <v>3.4483163378406529</v>
      </c>
    </row>
    <row r="732" spans="1:6" x14ac:dyDescent="0.3">
      <c r="A732" t="s">
        <v>4</v>
      </c>
      <c r="B732">
        <v>2007</v>
      </c>
      <c r="C732" s="12">
        <v>2007.3333333333201</v>
      </c>
      <c r="D732">
        <v>185</v>
      </c>
      <c r="E732" s="15">
        <f t="shared" si="29"/>
        <v>1.3385454482466324</v>
      </c>
      <c r="F732" s="13">
        <f>STANDARDIZE(D732,I$12,J$12)</f>
        <v>1.4861907625147059</v>
      </c>
    </row>
    <row r="733" spans="1:6" x14ac:dyDescent="0.3">
      <c r="A733" t="s">
        <v>5</v>
      </c>
      <c r="B733">
        <v>2007</v>
      </c>
      <c r="C733" s="12">
        <v>2007.4166666666499</v>
      </c>
      <c r="D733">
        <v>26.2</v>
      </c>
      <c r="E733" s="15">
        <f t="shared" si="29"/>
        <v>-0.53718752964381666</v>
      </c>
      <c r="F733" s="13">
        <f>STANDARDIZE(D733,I$13,J$13)</f>
        <v>-1.02659227624024</v>
      </c>
    </row>
    <row r="734" spans="1:6" x14ac:dyDescent="0.3">
      <c r="A734" t="s">
        <v>6</v>
      </c>
      <c r="B734">
        <v>2007</v>
      </c>
      <c r="C734" s="12">
        <v>2007.49999999999</v>
      </c>
      <c r="D734">
        <v>127.5</v>
      </c>
      <c r="E734" s="15">
        <f t="shared" si="29"/>
        <v>0.65936001859486393</v>
      </c>
      <c r="F734" s="13">
        <f>STANDARDIZE(D734,I$14,J$14)</f>
        <v>0.43533889842964302</v>
      </c>
    </row>
    <row r="735" spans="1:6" x14ac:dyDescent="0.3">
      <c r="A735" t="s">
        <v>7</v>
      </c>
      <c r="B735">
        <v>2007</v>
      </c>
      <c r="C735" s="12">
        <v>2007.5833333333201</v>
      </c>
      <c r="D735">
        <v>180.8</v>
      </c>
      <c r="E735" s="15">
        <f t="shared" si="29"/>
        <v>1.2889353820807641</v>
      </c>
      <c r="F735" s="13">
        <f>STANDARDIZE(D735,I$15,J$15)</f>
        <v>1.0213403521637534</v>
      </c>
    </row>
    <row r="736" spans="1:6" x14ac:dyDescent="0.3">
      <c r="A736" t="s">
        <v>8</v>
      </c>
      <c r="B736">
        <v>2007</v>
      </c>
      <c r="C736" s="12">
        <v>2007.6666666666499</v>
      </c>
      <c r="D736">
        <v>192.4</v>
      </c>
      <c r="E736" s="15">
        <f t="shared" si="29"/>
        <v>1.4259536600626861</v>
      </c>
      <c r="F736" s="13">
        <f>STANDARDIZE(D736,I$16,J$16)</f>
        <v>1.0645948498104119</v>
      </c>
    </row>
    <row r="737" spans="1:6" x14ac:dyDescent="0.3">
      <c r="A737" t="s">
        <v>9</v>
      </c>
      <c r="B737">
        <v>2007</v>
      </c>
      <c r="C737" s="12">
        <v>2007.74999999999</v>
      </c>
      <c r="D737">
        <v>271.8</v>
      </c>
      <c r="E737" s="15">
        <f t="shared" si="29"/>
        <v>2.3638201490079105</v>
      </c>
      <c r="F737" s="13">
        <f>STANDARDIZE(D737,I$17,J$17)</f>
        <v>0.83442266225861372</v>
      </c>
    </row>
    <row r="738" spans="1:6" x14ac:dyDescent="0.3">
      <c r="A738" t="s">
        <v>10</v>
      </c>
      <c r="B738">
        <v>2007</v>
      </c>
      <c r="C738" s="12">
        <v>2007.8333333333201</v>
      </c>
      <c r="D738">
        <v>53.9</v>
      </c>
      <c r="E738" s="15">
        <f t="shared" si="29"/>
        <v>-0.20999733135939957</v>
      </c>
      <c r="F738" s="13">
        <f>STANDARDIZE(D738,I$18,J$18)</f>
        <v>-0.62504495077158295</v>
      </c>
    </row>
    <row r="739" spans="1:6" x14ac:dyDescent="0.3">
      <c r="A739" t="s">
        <v>11</v>
      </c>
      <c r="B739">
        <v>2007</v>
      </c>
      <c r="C739" s="12">
        <v>2007.9166666666499</v>
      </c>
      <c r="D739">
        <v>0</v>
      </c>
      <c r="E739" s="15">
        <f t="shared" si="29"/>
        <v>-0.84665984715470932</v>
      </c>
      <c r="F739" s="13">
        <f>STANDARDIZE(D739,I$19,J$19)</f>
        <v>-0.66274277884495481</v>
      </c>
    </row>
    <row r="740" spans="1:6" x14ac:dyDescent="0.3">
      <c r="A740" t="s">
        <v>0</v>
      </c>
      <c r="B740">
        <v>2008</v>
      </c>
      <c r="C740" s="12">
        <v>2008</v>
      </c>
      <c r="D740">
        <v>0</v>
      </c>
      <c r="E740" s="15">
        <f t="shared" si="29"/>
        <v>-0.84665984715470932</v>
      </c>
      <c r="F740" s="13">
        <f>STANDARDIZE(D740,I$8,J$8)</f>
        <v>-0.28131844469760109</v>
      </c>
    </row>
    <row r="741" spans="1:6" x14ac:dyDescent="0.3">
      <c r="A741" t="s">
        <v>1</v>
      </c>
      <c r="B741">
        <v>2008</v>
      </c>
      <c r="C741" s="12">
        <v>2008.0833333333201</v>
      </c>
      <c r="D741">
        <v>0</v>
      </c>
      <c r="E741" s="15">
        <f t="shared" si="29"/>
        <v>-0.84665984715470932</v>
      </c>
      <c r="F741" s="13">
        <f>STANDARDIZE(D741,I$9,J$9)</f>
        <v>-0.21027614347857898</v>
      </c>
    </row>
    <row r="742" spans="1:6" x14ac:dyDescent="0.3">
      <c r="A742" t="s">
        <v>2</v>
      </c>
      <c r="B742">
        <v>2008</v>
      </c>
      <c r="C742" s="12">
        <v>2008.1666666666499</v>
      </c>
      <c r="D742">
        <v>0</v>
      </c>
      <c r="E742" s="15">
        <f t="shared" si="29"/>
        <v>-0.84665984715470932</v>
      </c>
      <c r="F742" s="13">
        <f>STANDARDIZE(D742,I$10,J$10)</f>
        <v>-0.50850073286852082</v>
      </c>
    </row>
    <row r="743" spans="1:6" x14ac:dyDescent="0.3">
      <c r="A743" t="s">
        <v>3</v>
      </c>
      <c r="B743">
        <v>2008</v>
      </c>
      <c r="C743" s="12">
        <v>2008.24999999999</v>
      </c>
      <c r="D743">
        <v>18.8</v>
      </c>
      <c r="E743" s="15">
        <f t="shared" si="29"/>
        <v>-0.6245957414598704</v>
      </c>
      <c r="F743" s="13">
        <f>STANDARDIZE(D743,I$11,J$11)</f>
        <v>-0.17820444943832364</v>
      </c>
    </row>
    <row r="744" spans="1:6" x14ac:dyDescent="0.3">
      <c r="A744" t="s">
        <v>4</v>
      </c>
      <c r="B744">
        <v>2008</v>
      </c>
      <c r="C744" s="12">
        <v>2008.3333333333201</v>
      </c>
      <c r="D744">
        <v>64.099999999999994</v>
      </c>
      <c r="E744" s="15">
        <f t="shared" si="29"/>
        <v>-8.9515742099433762E-2</v>
      </c>
      <c r="F744" s="13">
        <f>STANDARDIZE(D744,I$12,J$12)</f>
        <v>-0.32755591216772068</v>
      </c>
    </row>
    <row r="745" spans="1:6" x14ac:dyDescent="0.3">
      <c r="A745" t="s">
        <v>5</v>
      </c>
      <c r="B745">
        <v>2008</v>
      </c>
      <c r="C745" s="12">
        <v>2008.4166666666499</v>
      </c>
      <c r="D745">
        <v>92</v>
      </c>
      <c r="E745" s="15">
        <f t="shared" si="29"/>
        <v>0.24003684028812</v>
      </c>
      <c r="F745" s="13">
        <f>STANDARDIZE(D745,I$13,J$13)</f>
        <v>2.4478289803051088E-3</v>
      </c>
    </row>
    <row r="746" spans="1:6" x14ac:dyDescent="0.3">
      <c r="A746" t="s">
        <v>6</v>
      </c>
      <c r="B746">
        <v>2008</v>
      </c>
      <c r="C746" s="12">
        <v>2008.49999999999</v>
      </c>
      <c r="D746">
        <v>86.8</v>
      </c>
      <c r="E746" s="15">
        <f t="shared" si="29"/>
        <v>0.17861485360656873</v>
      </c>
      <c r="F746" s="13">
        <f>STANDARDIZE(D746,I$14,J$14)</f>
        <v>-6.8753655451555179E-2</v>
      </c>
    </row>
    <row r="747" spans="1:6" x14ac:dyDescent="0.3">
      <c r="A747" t="s">
        <v>7</v>
      </c>
      <c r="B747">
        <v>2008</v>
      </c>
      <c r="C747" s="12">
        <v>2008.5833333333201</v>
      </c>
      <c r="D747">
        <v>243.2</v>
      </c>
      <c r="E747" s="15">
        <f t="shared" si="29"/>
        <v>2.0259992222593786</v>
      </c>
      <c r="F747" s="13">
        <f>STANDARDIZE(D747,I$15,J$15)</f>
        <v>1.8110964650159618</v>
      </c>
    </row>
    <row r="748" spans="1:6" x14ac:dyDescent="0.3">
      <c r="A748" t="s">
        <v>8</v>
      </c>
      <c r="B748">
        <v>2008</v>
      </c>
      <c r="C748" s="12">
        <v>2008.6666666666599</v>
      </c>
      <c r="D748">
        <v>196.1</v>
      </c>
      <c r="E748" s="15">
        <f t="shared" si="29"/>
        <v>1.4696577659707126</v>
      </c>
      <c r="F748" s="13">
        <f>STANDARDIZE(D748,I$16,J$16)</f>
        <v>1.1161223190920591</v>
      </c>
    </row>
    <row r="749" spans="1:6" x14ac:dyDescent="0.3">
      <c r="A749" t="s">
        <v>9</v>
      </c>
      <c r="B749">
        <v>2008</v>
      </c>
      <c r="C749" s="12">
        <v>2008.74999999999</v>
      </c>
      <c r="D749">
        <v>100.9</v>
      </c>
      <c r="E749" s="15">
        <f t="shared" si="29"/>
        <v>0.34516293287769811</v>
      </c>
      <c r="F749" s="13">
        <f>STANDARDIZE(D749,I$17,J$17)</f>
        <v>-0.66912173420339893</v>
      </c>
    </row>
    <row r="750" spans="1:6" x14ac:dyDescent="0.3">
      <c r="A750" t="s">
        <v>10</v>
      </c>
      <c r="B750">
        <v>2008</v>
      </c>
      <c r="C750" s="12">
        <v>2008.8333333333201</v>
      </c>
      <c r="D750">
        <v>190.4</v>
      </c>
      <c r="E750" s="15">
        <f t="shared" si="29"/>
        <v>1.4023298190313203</v>
      </c>
      <c r="F750" s="13">
        <f>STANDARDIZE(D750,I$18,J$18)</f>
        <v>0.5924882034249368</v>
      </c>
    </row>
    <row r="751" spans="1:6" x14ac:dyDescent="0.3">
      <c r="A751" t="s">
        <v>11</v>
      </c>
      <c r="B751">
        <v>2008</v>
      </c>
      <c r="C751" s="12">
        <v>2008.9166666666599</v>
      </c>
      <c r="D751">
        <v>0.3</v>
      </c>
      <c r="E751" s="15">
        <f t="shared" si="29"/>
        <v>-0.84311627100000452</v>
      </c>
      <c r="F751" s="13">
        <f>STANDARDIZE(D751,I$19,J$19)</f>
        <v>-0.65686420696931236</v>
      </c>
    </row>
    <row r="752" spans="1:6" x14ac:dyDescent="0.3">
      <c r="A752" t="s">
        <v>0</v>
      </c>
      <c r="B752">
        <v>2009</v>
      </c>
      <c r="C752" s="12">
        <v>2009</v>
      </c>
      <c r="D752">
        <v>0</v>
      </c>
      <c r="E752" s="15">
        <f t="shared" si="29"/>
        <v>-0.84665984715470932</v>
      </c>
      <c r="F752" s="13">
        <f>STANDARDIZE(D752,I$8,J$8)</f>
        <v>-0.28131844469760109</v>
      </c>
    </row>
    <row r="753" spans="1:6" x14ac:dyDescent="0.3">
      <c r="A753" t="s">
        <v>1</v>
      </c>
      <c r="B753">
        <v>2009</v>
      </c>
      <c r="C753" s="12">
        <v>2009.0833333333201</v>
      </c>
      <c r="D753">
        <v>0</v>
      </c>
      <c r="E753" s="15">
        <f t="shared" ref="E753:E784" si="30">STANDARDIZE(D753,F$4,F$5)</f>
        <v>-0.84665984715470932</v>
      </c>
      <c r="F753" s="13">
        <f>STANDARDIZE(D753,I$9,J$9)</f>
        <v>-0.21027614347857898</v>
      </c>
    </row>
    <row r="754" spans="1:6" x14ac:dyDescent="0.3">
      <c r="A754" t="s">
        <v>2</v>
      </c>
      <c r="B754">
        <v>2009</v>
      </c>
      <c r="C754" s="12">
        <v>2009.1666666666599</v>
      </c>
      <c r="D754">
        <v>0.9</v>
      </c>
      <c r="E754" s="15">
        <f t="shared" si="30"/>
        <v>-0.83602911869059471</v>
      </c>
      <c r="F754" s="13">
        <f>STANDARDIZE(D754,I$10,J$10)</f>
        <v>-0.29080221615419638</v>
      </c>
    </row>
    <row r="755" spans="1:6" x14ac:dyDescent="0.3">
      <c r="A755" t="s">
        <v>3</v>
      </c>
      <c r="B755">
        <v>2009</v>
      </c>
      <c r="C755" s="12">
        <v>2009.24999999999</v>
      </c>
      <c r="D755">
        <v>0</v>
      </c>
      <c r="E755" s="15">
        <f t="shared" si="30"/>
        <v>-0.84665984715470932</v>
      </c>
      <c r="F755" s="13">
        <f>STANDARDIZE(D755,I$11,J$11)</f>
        <v>-1.0636406936051388</v>
      </c>
    </row>
    <row r="756" spans="1:6" x14ac:dyDescent="0.3">
      <c r="A756" t="s">
        <v>4</v>
      </c>
      <c r="B756">
        <v>2009</v>
      </c>
      <c r="C756" s="12">
        <v>2009.3333333333201</v>
      </c>
      <c r="D756">
        <v>16.2</v>
      </c>
      <c r="E756" s="15">
        <f t="shared" si="30"/>
        <v>-0.65530673480064594</v>
      </c>
      <c r="F756" s="13">
        <f>STANDARDIZE(D756,I$12,J$12)</f>
        <v>-1.0461536434935124</v>
      </c>
    </row>
    <row r="757" spans="1:6" x14ac:dyDescent="0.3">
      <c r="A757" t="s">
        <v>5</v>
      </c>
      <c r="B757">
        <v>2009</v>
      </c>
      <c r="C757" s="12">
        <v>2009.4166666666599</v>
      </c>
      <c r="D757">
        <v>97.1</v>
      </c>
      <c r="E757" s="15">
        <f t="shared" si="30"/>
        <v>0.30027763491810289</v>
      </c>
      <c r="F757" s="13">
        <f>STANDARDIZE(D757,I$13,J$13)</f>
        <v>8.2206256588584353E-2</v>
      </c>
    </row>
    <row r="758" spans="1:6" x14ac:dyDescent="0.3">
      <c r="A758" t="s">
        <v>6</v>
      </c>
      <c r="B758">
        <v>2009</v>
      </c>
      <c r="C758" s="12">
        <v>2009.49999999999</v>
      </c>
      <c r="D758">
        <v>100.4</v>
      </c>
      <c r="E758" s="15">
        <f t="shared" si="30"/>
        <v>0.33925697261985666</v>
      </c>
      <c r="F758" s="13">
        <f>STANDARDIZE(D758,I$14,J$14)</f>
        <v>9.9690048056658556E-2</v>
      </c>
    </row>
    <row r="759" spans="1:6" x14ac:dyDescent="0.3">
      <c r="A759" t="s">
        <v>7</v>
      </c>
      <c r="B759">
        <v>2009</v>
      </c>
      <c r="C759" s="12">
        <v>2009.5833333333201</v>
      </c>
      <c r="D759">
        <v>65.3</v>
      </c>
      <c r="E759" s="15">
        <f t="shared" si="30"/>
        <v>-7.5341437480614212E-2</v>
      </c>
      <c r="F759" s="13">
        <f>STANDARDIZE(D759,I$15,J$15)</f>
        <v>-0.44046783749057533</v>
      </c>
    </row>
    <row r="760" spans="1:6" x14ac:dyDescent="0.3">
      <c r="A760" t="s">
        <v>8</v>
      </c>
      <c r="B760">
        <v>2009</v>
      </c>
      <c r="C760" s="12">
        <v>2009.6666666666599</v>
      </c>
      <c r="D760">
        <v>30.3</v>
      </c>
      <c r="E760" s="15">
        <f t="shared" si="30"/>
        <v>-0.48875865552951669</v>
      </c>
      <c r="F760" s="13">
        <f>STANDARDIZE(D760,I$16,J$16)</f>
        <v>-1.192865358447704</v>
      </c>
    </row>
    <row r="761" spans="1:6" x14ac:dyDescent="0.3">
      <c r="A761" t="s">
        <v>9</v>
      </c>
      <c r="B761">
        <v>2009</v>
      </c>
      <c r="C761" s="12">
        <v>2009.74999999999</v>
      </c>
      <c r="D761">
        <v>217.1</v>
      </c>
      <c r="E761" s="15">
        <f t="shared" si="30"/>
        <v>1.7177080968000542</v>
      </c>
      <c r="F761" s="13">
        <f>STANDARDIZE(D761,I$17,J$17)</f>
        <v>0.35318288176433571</v>
      </c>
    </row>
    <row r="762" spans="1:6" x14ac:dyDescent="0.3">
      <c r="A762" t="s">
        <v>10</v>
      </c>
      <c r="B762">
        <v>2009</v>
      </c>
      <c r="C762" s="12">
        <v>2009.8333333333201</v>
      </c>
      <c r="D762">
        <v>82.4</v>
      </c>
      <c r="E762" s="15">
        <f t="shared" si="30"/>
        <v>0.12664240333756396</v>
      </c>
      <c r="F762" s="13">
        <f>STANDARDIZE(D762,I$18,J$18)</f>
        <v>-0.37083473176351839</v>
      </c>
    </row>
    <row r="763" spans="1:6" x14ac:dyDescent="0.3">
      <c r="A763" t="s">
        <v>11</v>
      </c>
      <c r="B763">
        <v>2009</v>
      </c>
      <c r="C763" s="12">
        <v>2009.9166666666599</v>
      </c>
      <c r="D763">
        <v>0</v>
      </c>
      <c r="E763" s="15">
        <f t="shared" si="30"/>
        <v>-0.84665984715470932</v>
      </c>
      <c r="F763" s="13">
        <f>STANDARDIZE(D763,I$19,J$19)</f>
        <v>-0.66274277884495481</v>
      </c>
    </row>
    <row r="764" spans="1:6" x14ac:dyDescent="0.3">
      <c r="A764" t="s">
        <v>0</v>
      </c>
      <c r="B764">
        <v>2010</v>
      </c>
      <c r="C764" s="12">
        <v>2010</v>
      </c>
      <c r="D764">
        <v>0</v>
      </c>
      <c r="E764" s="15">
        <f t="shared" si="30"/>
        <v>-0.84665984715470932</v>
      </c>
      <c r="F764" s="13">
        <f>STANDARDIZE(D764,I$8,J$8)</f>
        <v>-0.28131844469760109</v>
      </c>
    </row>
    <row r="765" spans="1:6" x14ac:dyDescent="0.3">
      <c r="A765" t="s">
        <v>1</v>
      </c>
      <c r="B765">
        <v>2010</v>
      </c>
      <c r="C765" s="12">
        <v>2010.0833333333201</v>
      </c>
      <c r="D765">
        <v>0</v>
      </c>
      <c r="E765" s="15">
        <f t="shared" si="30"/>
        <v>-0.84665984715470932</v>
      </c>
      <c r="F765" s="13">
        <f>STANDARDIZE(D765,I$9,J$9)</f>
        <v>-0.21027614347857898</v>
      </c>
    </row>
    <row r="766" spans="1:6" x14ac:dyDescent="0.3">
      <c r="A766" t="s">
        <v>2</v>
      </c>
      <c r="B766">
        <v>2010</v>
      </c>
      <c r="C766" s="12">
        <v>2010.1666666666599</v>
      </c>
      <c r="D766">
        <v>19</v>
      </c>
      <c r="E766" s="15">
        <f t="shared" si="30"/>
        <v>-0.6222333573567338</v>
      </c>
      <c r="F766" s="13">
        <f>STANDARDIZE(D766,I$10,J$10)</f>
        <v>4.087356842211662</v>
      </c>
    </row>
    <row r="767" spans="1:6" x14ac:dyDescent="0.3">
      <c r="A767" t="s">
        <v>3</v>
      </c>
      <c r="B767">
        <v>2010</v>
      </c>
      <c r="C767" s="12">
        <v>2010.24999999999</v>
      </c>
      <c r="D767">
        <v>39.200000000000003</v>
      </c>
      <c r="E767" s="15">
        <f t="shared" si="30"/>
        <v>-0.38363256293993858</v>
      </c>
      <c r="F767" s="13">
        <f>STANDARDIZE(D767,I$11,J$11)</f>
        <v>0.78258807082779502</v>
      </c>
    </row>
    <row r="768" spans="1:6" x14ac:dyDescent="0.3">
      <c r="A768" t="s">
        <v>4</v>
      </c>
      <c r="B768">
        <v>2010</v>
      </c>
      <c r="C768" s="12">
        <v>2010.3333333333201</v>
      </c>
      <c r="D768">
        <v>180.7</v>
      </c>
      <c r="E768" s="15">
        <f t="shared" si="30"/>
        <v>1.2877541900291956</v>
      </c>
      <c r="F768" s="13">
        <f>STANDARDIZE(D768,I$12,J$12)</f>
        <v>1.4216819891389041</v>
      </c>
    </row>
    <row r="769" spans="1:6" x14ac:dyDescent="0.3">
      <c r="A769" t="s">
        <v>5</v>
      </c>
      <c r="B769">
        <v>2010</v>
      </c>
      <c r="C769" s="12">
        <v>2010.4166666666599</v>
      </c>
      <c r="D769">
        <v>284.7</v>
      </c>
      <c r="E769" s="15">
        <f t="shared" si="30"/>
        <v>2.5161939236602202</v>
      </c>
      <c r="F769" s="13">
        <f>STANDARDIZE(D769,I$13,J$13)</f>
        <v>3.0160652799833301</v>
      </c>
    </row>
    <row r="770" spans="1:6" x14ac:dyDescent="0.3">
      <c r="A770" t="s">
        <v>6</v>
      </c>
      <c r="B770">
        <v>2010</v>
      </c>
      <c r="C770" s="12">
        <v>2010.49999999999</v>
      </c>
      <c r="D770">
        <v>334.3</v>
      </c>
      <c r="E770" s="15">
        <f t="shared" si="30"/>
        <v>3.1020651812380935</v>
      </c>
      <c r="F770" s="13">
        <f>STANDARDIZE(D770,I$14,J$14)</f>
        <v>2.9966740370692451</v>
      </c>
    </row>
    <row r="771" spans="1:6" x14ac:dyDescent="0.3">
      <c r="A771" t="s">
        <v>7</v>
      </c>
      <c r="B771">
        <v>2010</v>
      </c>
      <c r="C771" s="12">
        <v>2010.5833333333301</v>
      </c>
      <c r="D771">
        <v>301.3</v>
      </c>
      <c r="E771" s="15">
        <f t="shared" si="30"/>
        <v>2.7122718042205571</v>
      </c>
      <c r="F771" s="13">
        <f>STANDARDIZE(D771,I$15,J$15)</f>
        <v>2.5464302816299575</v>
      </c>
    </row>
    <row r="772" spans="1:6" x14ac:dyDescent="0.3">
      <c r="A772" t="s">
        <v>8</v>
      </c>
      <c r="B772">
        <v>2010</v>
      </c>
      <c r="C772" s="12">
        <v>2010.6666666666599</v>
      </c>
      <c r="D772">
        <v>145.80000000000001</v>
      </c>
      <c r="E772" s="15">
        <f t="shared" si="30"/>
        <v>0.87551816403186167</v>
      </c>
      <c r="F772" s="13">
        <f>STANDARDIZE(D772,I$16,J$16)</f>
        <v>0.41562726372263775</v>
      </c>
    </row>
    <row r="773" spans="1:6" x14ac:dyDescent="0.3">
      <c r="A773" t="s">
        <v>9</v>
      </c>
      <c r="B773">
        <v>2010</v>
      </c>
      <c r="C773" s="12">
        <v>2010.74999999999</v>
      </c>
      <c r="D773">
        <v>330.1</v>
      </c>
      <c r="E773" s="15">
        <f t="shared" si="30"/>
        <v>3.0524551150722252</v>
      </c>
      <c r="F773" s="13">
        <f>STANDARDIZE(D773,I$17,J$17)</f>
        <v>1.3473345306830453</v>
      </c>
    </row>
    <row r="774" spans="1:6" x14ac:dyDescent="0.3">
      <c r="A774" t="s">
        <v>10</v>
      </c>
      <c r="B774">
        <v>2010</v>
      </c>
      <c r="C774" s="12">
        <v>2010.8333333333301</v>
      </c>
      <c r="D774">
        <v>549.29999999999995</v>
      </c>
      <c r="E774" s="15">
        <f t="shared" si="30"/>
        <v>5.6416280921099222</v>
      </c>
      <c r="F774" s="13">
        <f>STANDARDIZE(D774,I$18,J$18)</f>
        <v>3.7937530315650898</v>
      </c>
    </row>
    <row r="775" spans="1:6" x14ac:dyDescent="0.3">
      <c r="A775" t="s">
        <v>11</v>
      </c>
      <c r="B775">
        <v>2010</v>
      </c>
      <c r="C775" s="12">
        <v>2010.9166666666599</v>
      </c>
      <c r="D775">
        <v>259.60000000000002</v>
      </c>
      <c r="E775" s="15">
        <f t="shared" si="30"/>
        <v>2.2197147187165789</v>
      </c>
      <c r="F775" s="13">
        <f>STANDARDIZE(D775,I$19,J$19)</f>
        <v>4.4241814175443395</v>
      </c>
    </row>
    <row r="776" spans="1:6" x14ac:dyDescent="0.3">
      <c r="A776" t="s">
        <v>0</v>
      </c>
      <c r="B776">
        <v>2011</v>
      </c>
      <c r="C776" s="12">
        <v>2011</v>
      </c>
      <c r="D776">
        <v>0</v>
      </c>
      <c r="E776" s="15">
        <f t="shared" si="30"/>
        <v>-0.84665984715470932</v>
      </c>
      <c r="F776" s="13">
        <f>STANDARDIZE(D776,I$8,J$8)</f>
        <v>-0.28131844469760109</v>
      </c>
    </row>
    <row r="777" spans="1:6" x14ac:dyDescent="0.3">
      <c r="A777" t="s">
        <v>1</v>
      </c>
      <c r="B777">
        <v>2011</v>
      </c>
      <c r="C777" s="12">
        <v>2011.0833333333301</v>
      </c>
      <c r="D777">
        <v>0</v>
      </c>
      <c r="E777" s="15">
        <f t="shared" si="30"/>
        <v>-0.84665984715470932</v>
      </c>
      <c r="F777" s="13">
        <f>STANDARDIZE(D777,I$9,J$9)</f>
        <v>-0.21027614347857898</v>
      </c>
    </row>
    <row r="778" spans="1:6" x14ac:dyDescent="0.3">
      <c r="A778" t="s">
        <v>2</v>
      </c>
      <c r="B778">
        <v>2011</v>
      </c>
      <c r="C778" s="12">
        <v>2011.1666666666599</v>
      </c>
      <c r="D778">
        <v>0</v>
      </c>
      <c r="E778" s="15">
        <f t="shared" si="30"/>
        <v>-0.84665984715470932</v>
      </c>
      <c r="F778" s="13">
        <f>STANDARDIZE(D778,I$10,J$10)</f>
        <v>-0.50850073286852082</v>
      </c>
    </row>
    <row r="779" spans="1:6" x14ac:dyDescent="0.3">
      <c r="A779" t="s">
        <v>3</v>
      </c>
      <c r="B779">
        <v>2011</v>
      </c>
      <c r="C779" s="12">
        <v>2011.24999999999</v>
      </c>
      <c r="D779">
        <v>29.9</v>
      </c>
      <c r="E779" s="15">
        <f t="shared" si="30"/>
        <v>-0.49348342373578985</v>
      </c>
      <c r="F779" s="13">
        <f>STANDARDIZE(D779,I$11,J$11)</f>
        <v>0.34457971600059373</v>
      </c>
    </row>
    <row r="780" spans="1:6" x14ac:dyDescent="0.3">
      <c r="A780" t="s">
        <v>4</v>
      </c>
      <c r="B780">
        <v>2011</v>
      </c>
      <c r="C780" s="12">
        <v>2011.3333333333301</v>
      </c>
      <c r="D780">
        <v>55.4</v>
      </c>
      <c r="E780" s="15">
        <f t="shared" si="30"/>
        <v>-0.19227945058587517</v>
      </c>
      <c r="F780" s="13">
        <f>STANDARDIZE(D780,I$12,J$12)</f>
        <v>-0.45807366295131952</v>
      </c>
    </row>
    <row r="781" spans="1:6" x14ac:dyDescent="0.3">
      <c r="A781" t="s">
        <v>5</v>
      </c>
      <c r="B781">
        <v>2011</v>
      </c>
      <c r="C781" s="12">
        <v>2011.4166666666599</v>
      </c>
      <c r="D781">
        <v>155.6</v>
      </c>
      <c r="E781" s="15">
        <f t="shared" si="30"/>
        <v>0.99127498508555412</v>
      </c>
      <c r="F781" s="13">
        <f>STANDARDIZE(D781,I$13,J$13)</f>
        <v>0.99708233797767087</v>
      </c>
    </row>
    <row r="782" spans="1:6" x14ac:dyDescent="0.3">
      <c r="A782" t="s">
        <v>6</v>
      </c>
      <c r="B782">
        <v>2011</v>
      </c>
      <c r="C782" s="12">
        <v>2011.49999999999</v>
      </c>
      <c r="D782">
        <v>258.89999999999998</v>
      </c>
      <c r="E782" s="15">
        <f t="shared" si="30"/>
        <v>2.2114463743556003</v>
      </c>
      <c r="F782" s="13">
        <f>STANDARDIZE(D782,I$14,J$14)</f>
        <v>2.0628023279134129</v>
      </c>
    </row>
    <row r="783" spans="1:6" x14ac:dyDescent="0.3">
      <c r="A783" t="s">
        <v>7</v>
      </c>
      <c r="B783">
        <v>2011</v>
      </c>
      <c r="C783" s="12">
        <v>2011.5833333333301</v>
      </c>
      <c r="D783">
        <v>97.2</v>
      </c>
      <c r="E783" s="15">
        <f t="shared" si="30"/>
        <v>0.30145882696967125</v>
      </c>
      <c r="F783" s="13">
        <f>STANDARDIZE(D783,I$15,J$15)</f>
        <v>-3.6730337490808299E-2</v>
      </c>
    </row>
    <row r="784" spans="1:6" x14ac:dyDescent="0.3">
      <c r="A784" t="s">
        <v>8</v>
      </c>
      <c r="B784">
        <v>2011</v>
      </c>
      <c r="C784" s="12">
        <v>2011.6666666666599</v>
      </c>
      <c r="D784">
        <v>275</v>
      </c>
      <c r="E784" s="15">
        <f t="shared" si="30"/>
        <v>2.4016182946580957</v>
      </c>
      <c r="F784" s="13">
        <f>STANDARDIZE(D784,I$16,J$16)</f>
        <v>2.2149107856655652</v>
      </c>
    </row>
    <row r="785" spans="1:6" x14ac:dyDescent="0.3">
      <c r="A785" t="s">
        <v>9</v>
      </c>
      <c r="B785">
        <v>2011</v>
      </c>
      <c r="C785" s="12">
        <v>2011.74999999999</v>
      </c>
      <c r="D785">
        <v>540.29999999999995</v>
      </c>
      <c r="E785" s="15">
        <f t="shared" ref="E785:E811" si="31">STANDARDIZE(D785,F$4,F$5)</f>
        <v>5.5353208074687759</v>
      </c>
      <c r="F785" s="13">
        <f>STANDARDIZE(D785,I$17,J$17)</f>
        <v>3.1966325537159004</v>
      </c>
    </row>
    <row r="786" spans="1:6" x14ac:dyDescent="0.3">
      <c r="A786" t="s">
        <v>10</v>
      </c>
      <c r="B786">
        <v>2011</v>
      </c>
      <c r="C786" s="12">
        <v>2011.8333333333301</v>
      </c>
      <c r="D786">
        <v>257.7</v>
      </c>
      <c r="E786" s="15">
        <f t="shared" si="31"/>
        <v>2.1972720697367811</v>
      </c>
      <c r="F786" s="13">
        <f>STANDARDIZE(D786,I$18,J$18)</f>
        <v>1.192781106556261</v>
      </c>
    </row>
    <row r="787" spans="1:6" x14ac:dyDescent="0.3">
      <c r="A787" t="s">
        <v>11</v>
      </c>
      <c r="B787">
        <v>2011</v>
      </c>
      <c r="C787" s="12">
        <v>2011.9166666666599</v>
      </c>
      <c r="D787">
        <v>177.8</v>
      </c>
      <c r="E787" s="15">
        <f t="shared" si="31"/>
        <v>1.2534996205337154</v>
      </c>
      <c r="F787" s="13">
        <f>STANDARDIZE(D787,I$19,J$19)</f>
        <v>2.8212908194524893</v>
      </c>
    </row>
    <row r="788" spans="1:6" x14ac:dyDescent="0.3">
      <c r="A788" t="s">
        <v>0</v>
      </c>
      <c r="B788">
        <v>2012</v>
      </c>
      <c r="C788" s="12">
        <v>2012</v>
      </c>
      <c r="D788">
        <v>0</v>
      </c>
      <c r="E788" s="15">
        <f t="shared" si="31"/>
        <v>-0.84665984715470932</v>
      </c>
      <c r="F788" s="13">
        <f>STANDARDIZE(D788,I$8,J$8)</f>
        <v>-0.28131844469760109</v>
      </c>
    </row>
    <row r="789" spans="1:6" x14ac:dyDescent="0.3">
      <c r="A789" t="s">
        <v>1</v>
      </c>
      <c r="B789">
        <v>2012</v>
      </c>
      <c r="C789" s="12">
        <v>2012.0833333333301</v>
      </c>
      <c r="D789">
        <v>0</v>
      </c>
      <c r="E789" s="15">
        <f t="shared" si="31"/>
        <v>-0.84665984715470932</v>
      </c>
      <c r="F789" s="13">
        <f>STANDARDIZE(D789,I$9,J$9)</f>
        <v>-0.21027614347857898</v>
      </c>
    </row>
    <row r="790" spans="1:6" x14ac:dyDescent="0.3">
      <c r="A790" t="s">
        <v>2</v>
      </c>
      <c r="B790">
        <v>2012</v>
      </c>
      <c r="C790" s="12">
        <v>2012.1666666666599</v>
      </c>
      <c r="D790">
        <v>0</v>
      </c>
      <c r="E790" s="15">
        <f t="shared" si="31"/>
        <v>-0.84665984715470932</v>
      </c>
      <c r="F790" s="13">
        <f>STANDARDIZE(D790,I$10,J$10)</f>
        <v>-0.50850073286852082</v>
      </c>
    </row>
    <row r="791" spans="1:6" x14ac:dyDescent="0.3">
      <c r="A791" t="s">
        <v>3</v>
      </c>
      <c r="B791">
        <v>2012</v>
      </c>
      <c r="C791" s="12">
        <v>2012.24999999999</v>
      </c>
      <c r="D791">
        <v>16.3</v>
      </c>
      <c r="E791" s="15">
        <f t="shared" si="31"/>
        <v>-0.65412554274907764</v>
      </c>
      <c r="F791" s="13">
        <f>STANDARDIZE(D791,I$11,J$11)</f>
        <v>-0.29594863084348522</v>
      </c>
    </row>
    <row r="792" spans="1:6" x14ac:dyDescent="0.3">
      <c r="A792" t="s">
        <v>4</v>
      </c>
      <c r="B792">
        <v>2012</v>
      </c>
      <c r="C792" s="12">
        <v>2012.3333333333301</v>
      </c>
      <c r="D792">
        <v>126.3</v>
      </c>
      <c r="E792" s="15">
        <f t="shared" si="31"/>
        <v>0.64518571397604441</v>
      </c>
      <c r="F792" s="13">
        <f>STANDARDIZE(D792,I$12,J$12)</f>
        <v>0.605570995733412</v>
      </c>
    </row>
    <row r="793" spans="1:6" x14ac:dyDescent="0.3">
      <c r="A793" t="s">
        <v>5</v>
      </c>
      <c r="B793">
        <v>2012</v>
      </c>
      <c r="C793" s="12">
        <v>2012.4166666666599</v>
      </c>
      <c r="D793">
        <v>85.9</v>
      </c>
      <c r="E793" s="15">
        <f t="shared" si="31"/>
        <v>0.1679841251424542</v>
      </c>
      <c r="F793" s="13">
        <f>STANDARDIZE(D793,I$13,J$13)</f>
        <v>-9.2949506002146562E-2</v>
      </c>
    </row>
    <row r="794" spans="1:6" x14ac:dyDescent="0.3">
      <c r="A794" t="s">
        <v>6</v>
      </c>
      <c r="B794">
        <v>2012</v>
      </c>
      <c r="C794" s="12">
        <v>2012.5</v>
      </c>
      <c r="D794">
        <v>55.2</v>
      </c>
      <c r="E794" s="15">
        <f t="shared" si="31"/>
        <v>-0.19464183468901172</v>
      </c>
      <c r="F794" s="13">
        <f>STANDARDIZE(D794,I$14,J$14)</f>
        <v>-0.46013755477946328</v>
      </c>
    </row>
    <row r="795" spans="1:6" x14ac:dyDescent="0.3">
      <c r="A795" t="s">
        <v>7</v>
      </c>
      <c r="B795">
        <v>2012</v>
      </c>
      <c r="C795" s="12">
        <v>2012.5833333333301</v>
      </c>
      <c r="D795">
        <v>191.3</v>
      </c>
      <c r="E795" s="15">
        <f t="shared" si="31"/>
        <v>1.412960547495435</v>
      </c>
      <c r="F795" s="13">
        <f>STANDARDIZE(D795,I$15,J$15)</f>
        <v>1.1542320057686923</v>
      </c>
    </row>
    <row r="796" spans="1:6" x14ac:dyDescent="0.3">
      <c r="A796" t="s">
        <v>8</v>
      </c>
      <c r="B796">
        <v>2012</v>
      </c>
      <c r="C796" s="12">
        <v>2012.6666666666599</v>
      </c>
      <c r="D796">
        <v>187.9</v>
      </c>
      <c r="E796" s="15">
        <f t="shared" si="31"/>
        <v>1.3728000177421129</v>
      </c>
      <c r="F796" s="13">
        <f>STANDARDIZE(D796,I$16,J$16)</f>
        <v>1.0019263060894894</v>
      </c>
    </row>
    <row r="797" spans="1:6" x14ac:dyDescent="0.3">
      <c r="A797" t="s">
        <v>9</v>
      </c>
      <c r="B797">
        <v>2012</v>
      </c>
      <c r="C797" s="12">
        <v>2012.75</v>
      </c>
      <c r="D797">
        <v>249.8</v>
      </c>
      <c r="E797" s="15">
        <f t="shared" si="31"/>
        <v>2.1039578976628861</v>
      </c>
      <c r="F797" s="13">
        <f>STANDARDIZE(D797,I$17,J$17)</f>
        <v>0.64087101379656419</v>
      </c>
    </row>
    <row r="798" spans="1:6" x14ac:dyDescent="0.3">
      <c r="A798" t="s">
        <v>10</v>
      </c>
      <c r="B798">
        <v>2012</v>
      </c>
      <c r="C798" s="12">
        <v>2012.8333333333301</v>
      </c>
      <c r="D798">
        <v>87.3</v>
      </c>
      <c r="E798" s="15">
        <f t="shared" si="31"/>
        <v>0.18452081386441022</v>
      </c>
      <c r="F798" s="13">
        <f>STANDARDIZE(D798,I$18,J$18)</f>
        <v>-0.32712841340774595</v>
      </c>
    </row>
    <row r="799" spans="1:6" x14ac:dyDescent="0.3">
      <c r="A799" t="s">
        <v>11</v>
      </c>
      <c r="B799">
        <v>2012</v>
      </c>
      <c r="C799" s="12">
        <v>2012.9166666666599</v>
      </c>
      <c r="D799">
        <v>2.5</v>
      </c>
      <c r="E799" s="15">
        <f t="shared" si="31"/>
        <v>-0.81713004586550209</v>
      </c>
      <c r="F799" s="13">
        <f>STANDARDIZE(D799,I$19,J$19)</f>
        <v>-0.61375467988126742</v>
      </c>
    </row>
    <row r="800" spans="1:6" x14ac:dyDescent="0.3">
      <c r="A800" t="s">
        <v>0</v>
      </c>
      <c r="B800">
        <v>2013</v>
      </c>
      <c r="C800" s="12">
        <v>2013</v>
      </c>
      <c r="D800">
        <v>0</v>
      </c>
      <c r="E800" s="15">
        <f t="shared" si="31"/>
        <v>-0.84665984715470932</v>
      </c>
      <c r="F800" s="13">
        <f>STANDARDIZE(D800,I$8,J$8)</f>
        <v>-0.28131844469760109</v>
      </c>
    </row>
    <row r="801" spans="1:6" x14ac:dyDescent="0.3">
      <c r="A801" t="s">
        <v>1</v>
      </c>
      <c r="B801">
        <v>2013</v>
      </c>
      <c r="C801" s="12">
        <v>2013.0833333333301</v>
      </c>
      <c r="D801">
        <v>0</v>
      </c>
      <c r="E801" s="15">
        <f t="shared" si="31"/>
        <v>-0.84665984715470932</v>
      </c>
      <c r="F801" s="13">
        <f>STANDARDIZE(D801,I$9,J$9)</f>
        <v>-0.21027614347857898</v>
      </c>
    </row>
    <row r="802" spans="1:6" x14ac:dyDescent="0.3">
      <c r="A802" t="s">
        <v>2</v>
      </c>
      <c r="B802">
        <v>2013</v>
      </c>
      <c r="C802" s="12">
        <v>2013.1666666666599</v>
      </c>
      <c r="D802">
        <v>0</v>
      </c>
      <c r="E802" s="15">
        <f t="shared" si="31"/>
        <v>-0.84665984715470932</v>
      </c>
      <c r="F802" s="13">
        <f>STANDARDIZE(D802,I$10,J$10)</f>
        <v>-0.50850073286852082</v>
      </c>
    </row>
    <row r="803" spans="1:6" x14ac:dyDescent="0.3">
      <c r="A803" t="s">
        <v>3</v>
      </c>
      <c r="B803">
        <v>2013</v>
      </c>
      <c r="C803" s="12">
        <v>2013.25</v>
      </c>
      <c r="D803">
        <v>0</v>
      </c>
      <c r="E803" s="15">
        <f t="shared" si="31"/>
        <v>-0.84665984715470932</v>
      </c>
      <c r="F803" s="13">
        <f>STANDARDIZE(D803,I$11,J$11)</f>
        <v>-1.0636406936051388</v>
      </c>
    </row>
    <row r="804" spans="1:6" x14ac:dyDescent="0.3">
      <c r="A804" t="s">
        <v>4</v>
      </c>
      <c r="B804">
        <v>2013</v>
      </c>
      <c r="C804" s="12">
        <v>2013.3333333333301</v>
      </c>
      <c r="D804">
        <v>93</v>
      </c>
      <c r="E804" s="15">
        <f t="shared" si="31"/>
        <v>0.25184876080380292</v>
      </c>
      <c r="F804" s="13">
        <f>STANDARDIZE(D804,I$12,J$12)</f>
        <v>0.10600305307894715</v>
      </c>
    </row>
    <row r="805" spans="1:6" x14ac:dyDescent="0.3">
      <c r="A805" t="s">
        <v>5</v>
      </c>
      <c r="B805">
        <v>2013</v>
      </c>
      <c r="C805" s="12">
        <v>2013.4166666666599</v>
      </c>
      <c r="D805">
        <v>115.6</v>
      </c>
      <c r="E805" s="15">
        <f t="shared" si="31"/>
        <v>0.51879816445823701</v>
      </c>
      <c r="F805" s="13">
        <f>STANDARDIZE(D805,I$13,J$13)</f>
        <v>0.37152604301077408</v>
      </c>
    </row>
    <row r="806" spans="1:6" x14ac:dyDescent="0.3">
      <c r="A806" t="s">
        <v>6</v>
      </c>
      <c r="B806">
        <v>2013</v>
      </c>
      <c r="C806" s="12">
        <v>2013.5</v>
      </c>
      <c r="D806">
        <v>75</v>
      </c>
      <c r="E806" s="15">
        <f t="shared" si="31"/>
        <v>3.9234191521510225E-2</v>
      </c>
      <c r="F806" s="13">
        <f>STANDARDIZE(D806,I$14,J$14)</f>
        <v>-0.21490333937779935</v>
      </c>
    </row>
    <row r="807" spans="1:6" x14ac:dyDescent="0.3">
      <c r="A807" t="s">
        <v>7</v>
      </c>
      <c r="B807">
        <v>2013</v>
      </c>
      <c r="C807" s="12">
        <v>2013.5833333333301</v>
      </c>
      <c r="D807">
        <v>131</v>
      </c>
      <c r="E807" s="15">
        <f t="shared" si="31"/>
        <v>0.70070174039975419</v>
      </c>
      <c r="F807" s="13">
        <f>STANDARDIZE(D807,I$15,J$15)</f>
        <v>0.39105422363747139</v>
      </c>
    </row>
    <row r="808" spans="1:6" x14ac:dyDescent="0.3">
      <c r="A808" t="s">
        <v>8</v>
      </c>
      <c r="B808">
        <v>2013</v>
      </c>
      <c r="C808" s="12">
        <v>2013.6666666666599</v>
      </c>
      <c r="D808">
        <v>97.8</v>
      </c>
      <c r="E808" s="15">
        <f t="shared" si="31"/>
        <v>0.30854597927908095</v>
      </c>
      <c r="F808" s="13">
        <f>STANDARDIZE(D808,I$16,J$16)</f>
        <v>-0.25283720263386805</v>
      </c>
    </row>
    <row r="809" spans="1:6" x14ac:dyDescent="0.3">
      <c r="A809" t="s">
        <v>9</v>
      </c>
      <c r="B809">
        <v>2013</v>
      </c>
      <c r="C809" s="12">
        <v>2013.75</v>
      </c>
      <c r="D809">
        <v>127.8</v>
      </c>
      <c r="E809" s="15">
        <f t="shared" si="31"/>
        <v>0.66290359474956884</v>
      </c>
      <c r="F809" s="13">
        <f>STANDARDIZE(D809,I$17,J$17)</f>
        <v>-0.43246085494752923</v>
      </c>
    </row>
    <row r="810" spans="1:6" x14ac:dyDescent="0.3">
      <c r="A810" t="s">
        <v>10</v>
      </c>
      <c r="B810">
        <v>2013</v>
      </c>
      <c r="C810" s="12">
        <v>2013.8333333333301</v>
      </c>
      <c r="D810">
        <v>70</v>
      </c>
      <c r="E810" s="15">
        <f t="shared" si="31"/>
        <v>-1.9825411056904416E-2</v>
      </c>
      <c r="F810" s="13">
        <f>STANDARDIZE(D810,I$18,J$18)</f>
        <v>-0.48143847617404478</v>
      </c>
    </row>
    <row r="811" spans="1:6" x14ac:dyDescent="0.3">
      <c r="A811" t="s">
        <v>11</v>
      </c>
      <c r="B811">
        <v>2013</v>
      </c>
      <c r="C811" s="12">
        <v>2013.9166666666599</v>
      </c>
      <c r="D811">
        <v>39.200000000000003</v>
      </c>
      <c r="E811" s="15">
        <f t="shared" si="31"/>
        <v>-0.38363256293993858</v>
      </c>
      <c r="F811" s="13">
        <f>STANDARDIZE(D811,I$19,J$19)</f>
        <v>0.10539061290566279</v>
      </c>
    </row>
    <row r="812" spans="1:6" x14ac:dyDescent="0.3">
      <c r="C812" s="12"/>
    </row>
    <row r="813" spans="1:6" x14ac:dyDescent="0.3">
      <c r="C813" s="12"/>
    </row>
    <row r="814" spans="1:6" x14ac:dyDescent="0.3">
      <c r="C814" s="12"/>
    </row>
    <row r="815" spans="1:6" x14ac:dyDescent="0.3">
      <c r="C815" s="12"/>
    </row>
    <row r="816" spans="1:6" x14ac:dyDescent="0.3">
      <c r="C816" s="12"/>
    </row>
    <row r="817" spans="3:3" x14ac:dyDescent="0.3">
      <c r="C817" s="12"/>
    </row>
    <row r="818" spans="3:3" x14ac:dyDescent="0.3">
      <c r="C818" s="12"/>
    </row>
    <row r="819" spans="3:3" x14ac:dyDescent="0.3">
      <c r="C819" s="12"/>
    </row>
    <row r="820" spans="3:3" x14ac:dyDescent="0.3">
      <c r="C820" s="12"/>
    </row>
    <row r="821" spans="3:3" x14ac:dyDescent="0.3">
      <c r="C821" s="12"/>
    </row>
    <row r="822" spans="3:3" x14ac:dyDescent="0.3">
      <c r="C822" s="12"/>
    </row>
    <row r="823" spans="3:3" x14ac:dyDescent="0.3">
      <c r="C823" s="12"/>
    </row>
    <row r="824" spans="3:3" x14ac:dyDescent="0.3">
      <c r="C824" s="12"/>
    </row>
    <row r="825" spans="3:3" x14ac:dyDescent="0.3">
      <c r="C825" s="12"/>
    </row>
    <row r="826" spans="3:3" x14ac:dyDescent="0.3">
      <c r="C826" s="12"/>
    </row>
    <row r="827" spans="3:3" x14ac:dyDescent="0.3">
      <c r="C827" s="12"/>
    </row>
    <row r="828" spans="3:3" x14ac:dyDescent="0.3">
      <c r="C828" s="12"/>
    </row>
    <row r="829" spans="3:3" x14ac:dyDescent="0.3">
      <c r="C829" s="12"/>
    </row>
    <row r="830" spans="3:3" x14ac:dyDescent="0.3">
      <c r="C830" s="12"/>
    </row>
    <row r="831" spans="3:3" x14ac:dyDescent="0.3">
      <c r="C831" s="12"/>
    </row>
    <row r="832" spans="3:3" x14ac:dyDescent="0.3">
      <c r="C832" s="12"/>
    </row>
    <row r="833" spans="3:3" x14ac:dyDescent="0.3">
      <c r="C833" s="12"/>
    </row>
    <row r="834" spans="3:3" x14ac:dyDescent="0.3">
      <c r="C834" s="12"/>
    </row>
    <row r="835" spans="3:3" x14ac:dyDescent="0.3">
      <c r="C835" s="12"/>
    </row>
    <row r="836" spans="3:3" x14ac:dyDescent="0.3">
      <c r="C836" s="12"/>
    </row>
  </sheetData>
  <autoFilter ref="A7:F811" xr:uid="{00000000-0009-0000-0000-00000C000000}">
    <sortState xmlns:xlrd2="http://schemas.microsoft.com/office/spreadsheetml/2017/richdata2" ref="A8:F811">
      <sortCondition ref="C7:C811"/>
    </sortState>
  </autoFilter>
  <mergeCells count="5">
    <mergeCell ref="A2:D2"/>
    <mergeCell ref="A3:D3"/>
    <mergeCell ref="A4:D4"/>
    <mergeCell ref="A5:D5"/>
    <mergeCell ref="H6:J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Caudal</vt:lpstr>
      <vt:lpstr>Pruebas de tendencia de Mann-K2</vt:lpstr>
      <vt:lpstr>Pruebas de tendencia de Mann-K3</vt:lpstr>
      <vt:lpstr>Pruebas de tendencia de Mann-K4</vt:lpstr>
      <vt:lpstr>Pruebas de tendencia de Mann-K5</vt:lpstr>
      <vt:lpstr>Pruebas de tendencia de Mann-K6</vt:lpstr>
      <vt:lpstr>Pruebas de tendencia de Mann-K7</vt:lpstr>
      <vt:lpstr>Pruebas de tendencia de Mann-K8</vt:lpstr>
      <vt:lpstr>Pruebas de tendencia de Mann-K9</vt:lpstr>
      <vt:lpstr>Nivel</vt:lpstr>
      <vt:lpstr>Sedimentos</vt:lpstr>
      <vt:lpstr>Pruebas de tendencia de Mann-K1</vt:lpstr>
      <vt:lpstr>Precipitacion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David</dc:creator>
  <cp:lastModifiedBy>LUIS DAVID LIZCANO SANDOVAL</cp:lastModifiedBy>
  <dcterms:created xsi:type="dcterms:W3CDTF">2017-05-02T14:44:10Z</dcterms:created>
  <dcterms:modified xsi:type="dcterms:W3CDTF">2025-11-21T13:19:23Z</dcterms:modified>
</cp:coreProperties>
</file>