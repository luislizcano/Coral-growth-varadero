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5.xml" ContentType="application/vnd.openxmlformats-officedocument.drawing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6.xml" ContentType="application/vnd.openxmlformats-officedocument.drawing+xml"/>
  <Override PartName="/xl/charts/chart4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7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9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0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1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2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3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4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5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6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7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8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9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0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1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2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7.xml" ContentType="application/vnd.openxmlformats-officedocument.drawing+xml"/>
  <Override PartName="/xl/charts/chart63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4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5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6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7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8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9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0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1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-pre\"/>
    </mc:Choice>
  </mc:AlternateContent>
  <xr:revisionPtr revIDLastSave="0" documentId="13_ncr:1_{EF4A437D-4FD2-4F02-AADD-D2DDD056B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radero" sheetId="1" r:id="rId1"/>
    <sheet name="CVAR-var" sheetId="4" r:id="rId2"/>
    <sheet name="Graphs" sheetId="5" r:id="rId3"/>
    <sheet name="Correlaciones" sheetId="6" r:id="rId4"/>
    <sheet name="Suavizado" sheetId="7" r:id="rId5"/>
  </sheets>
  <externalReferences>
    <externalReference r:id="rId6"/>
    <externalReference r:id="rId7"/>
  </externalReferences>
  <definedNames>
    <definedName name="xdata1" hidden="1">282.385259364478+(ROW(OFFSET(#REF!,0,0,70,1))-1)*2.77185706704728</definedName>
    <definedName name="xdata11" hidden="1">3790.09992162634+(ROW(OFFSET(#REF!,0,0,70,1))-1)*64.9260408054908</definedName>
    <definedName name="xdata3" hidden="1">282.385259364478+(ROW(OFFSET(#REF!,0,0,70,1))-1)*2.77185706704728</definedName>
    <definedName name="xdata5" hidden="1">282.385259364478+(ROW(OFFSET(#REF!,0,0,100,1))-1)*1.93190038006326</definedName>
    <definedName name="xdata7" hidden="1">282.385259364478+(ROW(OFFSET(#REF!,0,0,100,1))-1)*1.93190038006326</definedName>
    <definedName name="xdata9" hidden="1">4651.4633402074+(ROW(OFFSET(#REF!,0,0,70,1))-1)*52.4425129999682</definedName>
    <definedName name="ydata10" hidden="1">0+1*[1]!xdata9-718.225655220368*(1.03225806451613+([1]!xdata9-5781.84017857143)^2/3576314.218685)^0.5</definedName>
    <definedName name="ydata12" hidden="1">0+1*[1]!xdata11+718.225655220368*(1.03225806451613+([1]!xdata11-5781.84017857143)^2/3576314.218685)^0.5</definedName>
    <definedName name="ydata2" hidden="1">705.794368204284+13.514964052493*[1]!xdata1-718.225655220368*(0.032258064516129+([1]!xdata1-375.58707449398)^2/73452.8699302279)^0.5</definedName>
    <definedName name="ydata4" hidden="1">705.794368204284+13.514964052493*[1]!xdata3+718.225655220368*(0.032258064516129+([1]!xdata3-375.58707449398)^2/73452.8699302279)^0.5</definedName>
    <definedName name="ydata6" hidden="1">705.794368204284+13.514964052493*[1]!xdata5-718.225655220368*(1.03225806451613+([1]!xdata5-375.58707449398)^2/73452.8699302279)^0.5</definedName>
    <definedName name="ydata8" hidden="1">705.794368204284+13.514964052493*[1]!xdata7+718.225655220368*(1.03225806451613+([1]!xdata7-375.58707449398)^2/73452.8699302279)^0.5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3" i="1"/>
  <c r="L76" i="4"/>
  <c r="L72" i="4"/>
  <c r="L74" i="4"/>
  <c r="V68" i="1"/>
  <c r="Q70" i="1"/>
  <c r="H71" i="4"/>
  <c r="H72" i="4"/>
  <c r="K68" i="7" l="1"/>
  <c r="J68" i="7"/>
  <c r="I68" i="7"/>
  <c r="M47" i="7"/>
  <c r="N45" i="7"/>
  <c r="N46" i="7"/>
  <c r="M48" i="7"/>
  <c r="I69" i="7"/>
  <c r="J69" i="7"/>
  <c r="K69" i="7"/>
  <c r="L69" i="7"/>
  <c r="J4" i="7"/>
  <c r="K4" i="7"/>
  <c r="L4" i="7"/>
  <c r="M4" i="7"/>
  <c r="N4" i="7"/>
  <c r="J5" i="7"/>
  <c r="K5" i="7"/>
  <c r="L5" i="7"/>
  <c r="M5" i="7"/>
  <c r="N5" i="7"/>
  <c r="J6" i="7"/>
  <c r="K6" i="7"/>
  <c r="L6" i="7"/>
  <c r="M6" i="7"/>
  <c r="N6" i="7"/>
  <c r="J7" i="7"/>
  <c r="K7" i="7"/>
  <c r="L7" i="7"/>
  <c r="M7" i="7"/>
  <c r="N7" i="7"/>
  <c r="J8" i="7"/>
  <c r="K8" i="7"/>
  <c r="L8" i="7"/>
  <c r="M8" i="7"/>
  <c r="N8" i="7"/>
  <c r="J9" i="7"/>
  <c r="K9" i="7"/>
  <c r="L9" i="7"/>
  <c r="M9" i="7"/>
  <c r="N9" i="7"/>
  <c r="J10" i="7"/>
  <c r="K10" i="7"/>
  <c r="L10" i="7"/>
  <c r="M10" i="7"/>
  <c r="N10" i="7"/>
  <c r="J11" i="7"/>
  <c r="K11" i="7"/>
  <c r="L11" i="7"/>
  <c r="M11" i="7"/>
  <c r="N11" i="7"/>
  <c r="J12" i="7"/>
  <c r="K12" i="7"/>
  <c r="L12" i="7"/>
  <c r="M12" i="7"/>
  <c r="N12" i="7"/>
  <c r="J13" i="7"/>
  <c r="K13" i="7"/>
  <c r="L13" i="7"/>
  <c r="M13" i="7"/>
  <c r="N13" i="7"/>
  <c r="J14" i="7"/>
  <c r="K14" i="7"/>
  <c r="L14" i="7"/>
  <c r="M14" i="7"/>
  <c r="N14" i="7"/>
  <c r="J15" i="7"/>
  <c r="K15" i="7"/>
  <c r="L15" i="7"/>
  <c r="M15" i="7"/>
  <c r="N15" i="7"/>
  <c r="J16" i="7"/>
  <c r="K16" i="7"/>
  <c r="L16" i="7"/>
  <c r="M16" i="7"/>
  <c r="N16" i="7"/>
  <c r="J17" i="7"/>
  <c r="K17" i="7"/>
  <c r="L17" i="7"/>
  <c r="M17" i="7"/>
  <c r="N17" i="7"/>
  <c r="J18" i="7"/>
  <c r="K18" i="7"/>
  <c r="L18" i="7"/>
  <c r="M18" i="7"/>
  <c r="N18" i="7"/>
  <c r="J19" i="7"/>
  <c r="K19" i="7"/>
  <c r="L19" i="7"/>
  <c r="M19" i="7"/>
  <c r="N19" i="7"/>
  <c r="J20" i="7"/>
  <c r="K20" i="7"/>
  <c r="L20" i="7"/>
  <c r="M20" i="7"/>
  <c r="N20" i="7"/>
  <c r="J21" i="7"/>
  <c r="K21" i="7"/>
  <c r="L21" i="7"/>
  <c r="M21" i="7"/>
  <c r="N21" i="7"/>
  <c r="J22" i="7"/>
  <c r="K22" i="7"/>
  <c r="L22" i="7"/>
  <c r="M22" i="7"/>
  <c r="N22" i="7"/>
  <c r="J23" i="7"/>
  <c r="K23" i="7"/>
  <c r="L23" i="7"/>
  <c r="M23" i="7"/>
  <c r="N23" i="7"/>
  <c r="J24" i="7"/>
  <c r="K24" i="7"/>
  <c r="L24" i="7"/>
  <c r="M24" i="7"/>
  <c r="N24" i="7"/>
  <c r="J25" i="7"/>
  <c r="K25" i="7"/>
  <c r="L25" i="7"/>
  <c r="M25" i="7"/>
  <c r="N25" i="7"/>
  <c r="J26" i="7"/>
  <c r="K26" i="7"/>
  <c r="L26" i="7"/>
  <c r="M26" i="7"/>
  <c r="N26" i="7"/>
  <c r="J27" i="7"/>
  <c r="K27" i="7"/>
  <c r="L27" i="7"/>
  <c r="M27" i="7"/>
  <c r="N27" i="7"/>
  <c r="J28" i="7"/>
  <c r="K28" i="7"/>
  <c r="L28" i="7"/>
  <c r="M28" i="7"/>
  <c r="N28" i="7"/>
  <c r="J29" i="7"/>
  <c r="K29" i="7"/>
  <c r="L29" i="7"/>
  <c r="M29" i="7"/>
  <c r="N29" i="7"/>
  <c r="J30" i="7"/>
  <c r="K30" i="7"/>
  <c r="L30" i="7"/>
  <c r="M30" i="7"/>
  <c r="N30" i="7"/>
  <c r="J31" i="7"/>
  <c r="K31" i="7"/>
  <c r="L31" i="7"/>
  <c r="M31" i="7"/>
  <c r="N31" i="7"/>
  <c r="J32" i="7"/>
  <c r="K32" i="7"/>
  <c r="L32" i="7"/>
  <c r="M32" i="7"/>
  <c r="N32" i="7"/>
  <c r="J33" i="7"/>
  <c r="K33" i="7"/>
  <c r="L33" i="7"/>
  <c r="M33" i="7"/>
  <c r="N33" i="7"/>
  <c r="J34" i="7"/>
  <c r="K34" i="7"/>
  <c r="L34" i="7"/>
  <c r="M34" i="7"/>
  <c r="N34" i="7"/>
  <c r="J35" i="7"/>
  <c r="K35" i="7"/>
  <c r="L35" i="7"/>
  <c r="M35" i="7"/>
  <c r="N35" i="7"/>
  <c r="J36" i="7"/>
  <c r="K36" i="7"/>
  <c r="L36" i="7"/>
  <c r="M36" i="7"/>
  <c r="N36" i="7"/>
  <c r="J37" i="7"/>
  <c r="K37" i="7"/>
  <c r="L37" i="7"/>
  <c r="M37" i="7"/>
  <c r="N37" i="7"/>
  <c r="J38" i="7"/>
  <c r="K38" i="7"/>
  <c r="L38" i="7"/>
  <c r="M38" i="7"/>
  <c r="N38" i="7"/>
  <c r="J39" i="7"/>
  <c r="K39" i="7"/>
  <c r="L39" i="7"/>
  <c r="M39" i="7"/>
  <c r="N39" i="7"/>
  <c r="J40" i="7"/>
  <c r="K40" i="7"/>
  <c r="L40" i="7"/>
  <c r="M40" i="7"/>
  <c r="N40" i="7"/>
  <c r="J41" i="7"/>
  <c r="K41" i="7"/>
  <c r="L41" i="7"/>
  <c r="M41" i="7"/>
  <c r="N41" i="7"/>
  <c r="J42" i="7"/>
  <c r="K42" i="7"/>
  <c r="L42" i="7"/>
  <c r="M42" i="7"/>
  <c r="N42" i="7"/>
  <c r="J43" i="7"/>
  <c r="K43" i="7"/>
  <c r="L43" i="7"/>
  <c r="M43" i="7"/>
  <c r="N43" i="7"/>
  <c r="J44" i="7"/>
  <c r="K44" i="7"/>
  <c r="L44" i="7"/>
  <c r="M44" i="7"/>
  <c r="N44" i="7"/>
  <c r="J45" i="7"/>
  <c r="K45" i="7"/>
  <c r="L45" i="7"/>
  <c r="M45" i="7"/>
  <c r="J46" i="7"/>
  <c r="K46" i="7"/>
  <c r="L46" i="7"/>
  <c r="M46" i="7"/>
  <c r="J47" i="7"/>
  <c r="K47" i="7"/>
  <c r="L47" i="7"/>
  <c r="J48" i="7"/>
  <c r="K48" i="7"/>
  <c r="L48" i="7"/>
  <c r="J49" i="7"/>
  <c r="K49" i="7"/>
  <c r="L49" i="7"/>
  <c r="J50" i="7"/>
  <c r="K50" i="7"/>
  <c r="L50" i="7"/>
  <c r="J51" i="7"/>
  <c r="K51" i="7"/>
  <c r="L51" i="7"/>
  <c r="J52" i="7"/>
  <c r="K52" i="7"/>
  <c r="L52" i="7"/>
  <c r="J53" i="7"/>
  <c r="K53" i="7"/>
  <c r="L53" i="7"/>
  <c r="J54" i="7"/>
  <c r="K54" i="7"/>
  <c r="L54" i="7"/>
  <c r="J55" i="7"/>
  <c r="K55" i="7"/>
  <c r="L55" i="7"/>
  <c r="J56" i="7"/>
  <c r="K56" i="7"/>
  <c r="L56" i="7"/>
  <c r="J57" i="7"/>
  <c r="K57" i="7"/>
  <c r="L57" i="7"/>
  <c r="J58" i="7"/>
  <c r="K58" i="7"/>
  <c r="L58" i="7"/>
  <c r="J59" i="7"/>
  <c r="K59" i="7"/>
  <c r="L59" i="7"/>
  <c r="J60" i="7"/>
  <c r="K60" i="7"/>
  <c r="L60" i="7"/>
  <c r="J61" i="7"/>
  <c r="K61" i="7"/>
  <c r="L61" i="7"/>
  <c r="J62" i="7"/>
  <c r="K62" i="7"/>
  <c r="L62" i="7"/>
  <c r="J63" i="7"/>
  <c r="K63" i="7"/>
  <c r="L63" i="7"/>
  <c r="J64" i="7"/>
  <c r="K64" i="7"/>
  <c r="L64" i="7"/>
  <c r="J65" i="7"/>
  <c r="K65" i="7"/>
  <c r="L65" i="7"/>
  <c r="J66" i="7"/>
  <c r="K66" i="7"/>
  <c r="L66" i="7"/>
  <c r="J67" i="7"/>
  <c r="K67" i="7"/>
  <c r="L67" i="7"/>
  <c r="L6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7" i="7"/>
  <c r="I8" i="7"/>
  <c r="I6" i="7"/>
  <c r="I5" i="7"/>
  <c r="I4" i="7"/>
  <c r="C70" i="1" l="1"/>
  <c r="D70" i="1"/>
  <c r="B70" i="1"/>
  <c r="B69" i="1"/>
  <c r="C69" i="1"/>
  <c r="S9" i="1"/>
  <c r="S3" i="1"/>
  <c r="H75" i="4" l="1"/>
  <c r="H100" i="4" s="1"/>
  <c r="H76" i="4"/>
  <c r="H90" i="4" s="1"/>
  <c r="H74" i="4"/>
  <c r="H73" i="4"/>
  <c r="H99" i="4" s="1"/>
  <c r="H89" i="4" l="1"/>
  <c r="K10" i="1"/>
  <c r="S4" i="1" l="1"/>
  <c r="AE7" i="1" l="1"/>
  <c r="W65" i="1" l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" i="1"/>
  <c r="W5" i="1"/>
  <c r="M68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4" i="1"/>
  <c r="M3" i="1"/>
  <c r="S63" i="1" l="1"/>
  <c r="S64" i="1"/>
  <c r="S65" i="1"/>
  <c r="S66" i="1"/>
  <c r="S67" i="1"/>
  <c r="S68" i="1"/>
  <c r="S8" i="1"/>
  <c r="Q69" i="1"/>
  <c r="R3" i="1" l="1"/>
  <c r="R57" i="1"/>
  <c r="R4" i="1"/>
  <c r="R8" i="1"/>
  <c r="R12" i="1"/>
  <c r="R16" i="1"/>
  <c r="R20" i="1"/>
  <c r="R24" i="1"/>
  <c r="R28" i="1"/>
  <c r="R32" i="1"/>
  <c r="R36" i="1"/>
  <c r="R40" i="1"/>
  <c r="R44" i="1"/>
  <c r="R48" i="1"/>
  <c r="R52" i="1"/>
  <c r="R56" i="1"/>
  <c r="R61" i="1"/>
  <c r="R65" i="1"/>
  <c r="R66" i="1"/>
  <c r="R14" i="1"/>
  <c r="R22" i="1"/>
  <c r="R30" i="1"/>
  <c r="R38" i="1"/>
  <c r="R46" i="1"/>
  <c r="R54" i="1"/>
  <c r="R59" i="1"/>
  <c r="R7" i="1"/>
  <c r="R11" i="1"/>
  <c r="R15" i="1"/>
  <c r="R19" i="1"/>
  <c r="R23" i="1"/>
  <c r="R27" i="1"/>
  <c r="R31" i="1"/>
  <c r="R35" i="1"/>
  <c r="R39" i="1"/>
  <c r="R43" i="1"/>
  <c r="R47" i="1"/>
  <c r="R51" i="1"/>
  <c r="R60" i="1"/>
  <c r="R5" i="1"/>
  <c r="R9" i="1"/>
  <c r="R13" i="1"/>
  <c r="R17" i="1"/>
  <c r="R21" i="1"/>
  <c r="R25" i="1"/>
  <c r="R29" i="1"/>
  <c r="R33" i="1"/>
  <c r="R37" i="1"/>
  <c r="R41" i="1"/>
  <c r="R45" i="1"/>
  <c r="R49" i="1"/>
  <c r="R53" i="1"/>
  <c r="R58" i="1"/>
  <c r="R62" i="1"/>
  <c r="R6" i="1"/>
  <c r="R10" i="1"/>
  <c r="R18" i="1"/>
  <c r="R26" i="1"/>
  <c r="R34" i="1"/>
  <c r="R42" i="1"/>
  <c r="R50" i="1"/>
  <c r="R63" i="1"/>
  <c r="R67" i="1"/>
  <c r="R55" i="1"/>
  <c r="R64" i="1"/>
  <c r="R68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24" i="1"/>
  <c r="AS25" i="1"/>
  <c r="AS26" i="1"/>
  <c r="AS27" i="1"/>
  <c r="AS19" i="1"/>
  <c r="AS20" i="1"/>
  <c r="AS21" i="1"/>
  <c r="AS22" i="1"/>
  <c r="AS23" i="1"/>
  <c r="AS16" i="1"/>
  <c r="AS17" i="1"/>
  <c r="AS18" i="1"/>
  <c r="AS10" i="1"/>
  <c r="AS11" i="1"/>
  <c r="AS12" i="1"/>
  <c r="AS13" i="1"/>
  <c r="AS14" i="1"/>
  <c r="AS15" i="1"/>
  <c r="AS9" i="1"/>
  <c r="AS8" i="1"/>
  <c r="AS7" i="1"/>
  <c r="AS6" i="1"/>
  <c r="AS5" i="1"/>
  <c r="AS4" i="1"/>
  <c r="AB39" i="1" l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61" i="1"/>
  <c r="AB62" i="1"/>
  <c r="AB63" i="1"/>
  <c r="AB64" i="1"/>
  <c r="AB65" i="1"/>
  <c r="AB22" i="1"/>
  <c r="AO3" i="1" l="1"/>
  <c r="AO4" i="1"/>
  <c r="L68" i="1" l="1"/>
  <c r="L4" i="1"/>
  <c r="L5" i="1"/>
  <c r="L6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K9" i="1"/>
  <c r="K8" i="1"/>
  <c r="K7" i="1"/>
  <c r="K6" i="1"/>
  <c r="K5" i="1"/>
  <c r="K4" i="1"/>
  <c r="K3" i="1"/>
  <c r="L73" i="4" l="1"/>
  <c r="L71" i="4"/>
  <c r="L86" i="4"/>
  <c r="L85" i="4"/>
  <c r="L84" i="4"/>
  <c r="L83" i="4"/>
  <c r="L82" i="4"/>
  <c r="L81" i="4"/>
  <c r="L80" i="4"/>
  <c r="L79" i="4"/>
  <c r="L78" i="4"/>
  <c r="L77" i="4"/>
  <c r="L75" i="4"/>
  <c r="L89" i="4"/>
  <c r="I84" i="4"/>
  <c r="I83" i="4"/>
  <c r="J86" i="4"/>
  <c r="I86" i="4"/>
  <c r="H86" i="4"/>
  <c r="J85" i="4"/>
  <c r="I85" i="4"/>
  <c r="H85" i="4"/>
  <c r="H105" i="4" s="1"/>
  <c r="J84" i="4"/>
  <c r="H84" i="4"/>
  <c r="J83" i="4"/>
  <c r="H83" i="4"/>
  <c r="H104" i="4" s="1"/>
  <c r="J82" i="4"/>
  <c r="I82" i="4"/>
  <c r="H82" i="4"/>
  <c r="J81" i="4"/>
  <c r="I81" i="4"/>
  <c r="H81" i="4"/>
  <c r="H103" i="4" s="1"/>
  <c r="J80" i="4"/>
  <c r="I80" i="4"/>
  <c r="H80" i="4"/>
  <c r="J79" i="4"/>
  <c r="I79" i="4"/>
  <c r="H79" i="4"/>
  <c r="H102" i="4" s="1"/>
  <c r="J78" i="4"/>
  <c r="I78" i="4"/>
  <c r="H78" i="4"/>
  <c r="J77" i="4"/>
  <c r="I77" i="4"/>
  <c r="H77" i="4"/>
  <c r="H101" i="4" s="1"/>
  <c r="J76" i="4"/>
  <c r="I76" i="4"/>
  <c r="J75" i="4"/>
  <c r="I75" i="4"/>
  <c r="J74" i="4"/>
  <c r="I74" i="4"/>
  <c r="J73" i="4"/>
  <c r="I73" i="4"/>
  <c r="J72" i="4"/>
  <c r="I72" i="4"/>
  <c r="J71" i="4"/>
  <c r="I71" i="4"/>
  <c r="J102" i="4" l="1"/>
  <c r="H94" i="4"/>
  <c r="J105" i="4"/>
  <c r="I100" i="4"/>
  <c r="I104" i="4"/>
  <c r="J89" i="4"/>
  <c r="J99" i="4"/>
  <c r="J90" i="4"/>
  <c r="J100" i="4"/>
  <c r="I101" i="4"/>
  <c r="H92" i="4"/>
  <c r="I103" i="4"/>
  <c r="J101" i="4"/>
  <c r="J103" i="4"/>
  <c r="I99" i="4"/>
  <c r="I102" i="4"/>
  <c r="J94" i="4"/>
  <c r="J104" i="4"/>
  <c r="I95" i="4"/>
  <c r="I105" i="4"/>
  <c r="L90" i="4"/>
  <c r="L92" i="4"/>
  <c r="L94" i="4"/>
  <c r="L91" i="4"/>
  <c r="L93" i="4"/>
  <c r="L95" i="4"/>
  <c r="H95" i="4"/>
  <c r="J93" i="4"/>
  <c r="H91" i="4"/>
  <c r="H93" i="4"/>
  <c r="I89" i="4"/>
  <c r="I91" i="4"/>
  <c r="I93" i="4"/>
  <c r="I92" i="4"/>
  <c r="J92" i="4"/>
  <c r="I90" i="4"/>
  <c r="J91" i="4"/>
  <c r="I94" i="4"/>
  <c r="J95" i="4"/>
  <c r="V67" i="1" l="1"/>
  <c r="K63" i="1"/>
  <c r="K64" i="1"/>
  <c r="K65" i="1"/>
  <c r="K66" i="1"/>
  <c r="K67" i="1"/>
  <c r="K68" i="1"/>
  <c r="D69" i="1"/>
  <c r="AK34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11" i="1"/>
  <c r="K12" i="1"/>
  <c r="C85" i="4"/>
  <c r="D85" i="4"/>
  <c r="C86" i="4"/>
  <c r="C95" i="4" s="1"/>
  <c r="D86" i="4"/>
  <c r="B86" i="4"/>
  <c r="B85" i="4"/>
  <c r="C83" i="4"/>
  <c r="D83" i="4"/>
  <c r="C84" i="4"/>
  <c r="D84" i="4"/>
  <c r="D94" i="4" s="1"/>
  <c r="B84" i="4"/>
  <c r="B83" i="4"/>
  <c r="C81" i="4"/>
  <c r="D81" i="4"/>
  <c r="C82" i="4"/>
  <c r="C93" i="4" s="1"/>
  <c r="D82" i="4"/>
  <c r="D93" i="4" s="1"/>
  <c r="B82" i="4"/>
  <c r="B81" i="4"/>
  <c r="B76" i="4"/>
  <c r="B90" i="4" s="1"/>
  <c r="B75" i="4"/>
  <c r="B78" i="4"/>
  <c r="B77" i="4"/>
  <c r="C79" i="4"/>
  <c r="D79" i="4"/>
  <c r="C80" i="4"/>
  <c r="D80" i="4"/>
  <c r="D92" i="4" s="1"/>
  <c r="B80" i="4"/>
  <c r="B79" i="4"/>
  <c r="C77" i="4"/>
  <c r="D77" i="4"/>
  <c r="C78" i="4"/>
  <c r="C91" i="4" s="1"/>
  <c r="D78" i="4"/>
  <c r="D91" i="4" s="1"/>
  <c r="C75" i="4"/>
  <c r="D75" i="4"/>
  <c r="C76" i="4"/>
  <c r="C90" i="4" s="1"/>
  <c r="D76" i="4"/>
  <c r="C74" i="4"/>
  <c r="D74" i="4"/>
  <c r="C73" i="4"/>
  <c r="D73" i="4"/>
  <c r="B74" i="4"/>
  <c r="B89" i="4" s="1"/>
  <c r="B73" i="4"/>
  <c r="C72" i="4"/>
  <c r="D72" i="4"/>
  <c r="B72" i="4"/>
  <c r="C71" i="4"/>
  <c r="D71" i="4"/>
  <c r="B71" i="4"/>
  <c r="S6" i="1"/>
  <c r="AB5" i="1"/>
  <c r="B94" i="4" l="1"/>
  <c r="B92" i="4"/>
  <c r="B93" i="4"/>
  <c r="B91" i="4"/>
  <c r="B95" i="4"/>
  <c r="D90" i="4"/>
  <c r="D95" i="4"/>
  <c r="C99" i="4"/>
  <c r="C104" i="4"/>
  <c r="B99" i="4"/>
  <c r="D89" i="4"/>
  <c r="D100" i="4"/>
  <c r="D101" i="4"/>
  <c r="B101" i="4"/>
  <c r="B103" i="4"/>
  <c r="D103" i="4"/>
  <c r="B105" i="4"/>
  <c r="D105" i="4"/>
  <c r="C102" i="4"/>
  <c r="C89" i="4"/>
  <c r="C100" i="4"/>
  <c r="C101" i="4"/>
  <c r="C92" i="4"/>
  <c r="C103" i="4"/>
  <c r="C94" i="4"/>
  <c r="C105" i="4"/>
  <c r="D99" i="4"/>
  <c r="B102" i="4"/>
  <c r="D102" i="4"/>
  <c r="B100" i="4"/>
  <c r="B104" i="4"/>
  <c r="D104" i="4"/>
  <c r="X7" i="1"/>
  <c r="X11" i="1"/>
  <c r="X15" i="1"/>
  <c r="X19" i="1"/>
  <c r="X23" i="1"/>
  <c r="X27" i="1"/>
  <c r="X31" i="1"/>
  <c r="X35" i="1"/>
  <c r="X39" i="1"/>
  <c r="X43" i="1"/>
  <c r="X47" i="1"/>
  <c r="X51" i="1"/>
  <c r="X55" i="1"/>
  <c r="X59" i="1"/>
  <c r="X63" i="1"/>
  <c r="X25" i="1"/>
  <c r="X33" i="1"/>
  <c r="X41" i="1"/>
  <c r="X53" i="1"/>
  <c r="X57" i="1"/>
  <c r="X5" i="1"/>
  <c r="X10" i="1"/>
  <c r="X18" i="1"/>
  <c r="X22" i="1"/>
  <c r="X30" i="1"/>
  <c r="X38" i="1"/>
  <c r="X46" i="1"/>
  <c r="X50" i="1"/>
  <c r="X62" i="1"/>
  <c r="X8" i="1"/>
  <c r="X12" i="1"/>
  <c r="X16" i="1"/>
  <c r="X20" i="1"/>
  <c r="X24" i="1"/>
  <c r="X28" i="1"/>
  <c r="X32" i="1"/>
  <c r="X36" i="1"/>
  <c r="X40" i="1"/>
  <c r="X44" i="1"/>
  <c r="X48" i="1"/>
  <c r="X52" i="1"/>
  <c r="X56" i="1"/>
  <c r="X60" i="1"/>
  <c r="X64" i="1"/>
  <c r="X9" i="1"/>
  <c r="X13" i="1"/>
  <c r="X17" i="1"/>
  <c r="X21" i="1"/>
  <c r="X29" i="1"/>
  <c r="X37" i="1"/>
  <c r="X45" i="1"/>
  <c r="X49" i="1"/>
  <c r="X61" i="1"/>
  <c r="X6" i="1"/>
  <c r="X14" i="1"/>
  <c r="X26" i="1"/>
  <c r="X34" i="1"/>
  <c r="X42" i="1"/>
  <c r="X54" i="1"/>
  <c r="X5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7" i="1"/>
  <c r="S5" i="1"/>
  <c r="AA56" i="1"/>
  <c r="AB13" i="1"/>
  <c r="AB14" i="1"/>
  <c r="AB15" i="1"/>
  <c r="AB16" i="1"/>
  <c r="AB17" i="1"/>
  <c r="AB18" i="1"/>
  <c r="AB19" i="1"/>
  <c r="AB20" i="1"/>
  <c r="AB21" i="1"/>
  <c r="AB12" i="1"/>
  <c r="AB11" i="1"/>
  <c r="AB10" i="1"/>
  <c r="AB9" i="1"/>
  <c r="AB8" i="1"/>
  <c r="AB7" i="1"/>
  <c r="AB6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8" i="1"/>
  <c r="AO7" i="1"/>
  <c r="AO6" i="1"/>
  <c r="AO5" i="1"/>
  <c r="AK11" i="1"/>
  <c r="AK12" i="1"/>
  <c r="AK13" i="1"/>
  <c r="AK14" i="1"/>
  <c r="AK32" i="1"/>
  <c r="AK33" i="1"/>
  <c r="AK10" i="1"/>
  <c r="AJ10" i="1"/>
  <c r="AJ8" i="1"/>
  <c r="AJ9" i="1"/>
  <c r="AJ11" i="1"/>
  <c r="AJ12" i="1"/>
  <c r="AJ13" i="1"/>
  <c r="AJ14" i="1"/>
  <c r="AJ15" i="1"/>
  <c r="AJ16" i="1"/>
  <c r="AJ22" i="1"/>
  <c r="AJ23" i="1"/>
  <c r="AJ24" i="1"/>
  <c r="AJ30" i="1"/>
  <c r="AJ31" i="1"/>
  <c r="AJ32" i="1"/>
  <c r="AJ33" i="1"/>
  <c r="AJ34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6" i="1"/>
  <c r="AN7" i="1"/>
  <c r="AN8" i="1"/>
  <c r="AN5" i="1"/>
  <c r="AN4" i="1"/>
  <c r="AN3" i="1"/>
  <c r="AI27" i="1"/>
  <c r="AK24" i="1" s="1"/>
  <c r="AI19" i="1"/>
  <c r="AK16" i="1" s="1"/>
  <c r="AI5" i="1"/>
  <c r="AK8" i="1" s="1"/>
  <c r="N5" i="1" l="1"/>
  <c r="N14" i="1"/>
  <c r="N30" i="1"/>
  <c r="N46" i="1"/>
  <c r="N62" i="1"/>
  <c r="N17" i="1"/>
  <c r="N65" i="1"/>
  <c r="AJ28" i="1"/>
  <c r="AJ20" i="1"/>
  <c r="AK23" i="1"/>
  <c r="N19" i="1"/>
  <c r="N35" i="1"/>
  <c r="N51" i="1"/>
  <c r="N67" i="1"/>
  <c r="W67" i="1"/>
  <c r="N12" i="1"/>
  <c r="N44" i="1"/>
  <c r="N45" i="1"/>
  <c r="AK19" i="1"/>
  <c r="AB54" i="1"/>
  <c r="AB58" i="1"/>
  <c r="AB59" i="1"/>
  <c r="AB56" i="1"/>
  <c r="AB60" i="1"/>
  <c r="AB57" i="1"/>
  <c r="AB55" i="1"/>
  <c r="AB52" i="1"/>
  <c r="AB53" i="1"/>
  <c r="N18" i="1"/>
  <c r="N34" i="1"/>
  <c r="N50" i="1"/>
  <c r="N66" i="1"/>
  <c r="N29" i="1"/>
  <c r="N4" i="1"/>
  <c r="N23" i="1"/>
  <c r="N39" i="1"/>
  <c r="N55" i="1"/>
  <c r="N61" i="1"/>
  <c r="N16" i="1"/>
  <c r="N32" i="1"/>
  <c r="N48" i="1"/>
  <c r="N64" i="1"/>
  <c r="N9" i="1"/>
  <c r="N53" i="1"/>
  <c r="N6" i="1"/>
  <c r="AK31" i="1"/>
  <c r="AK15" i="1"/>
  <c r="N7" i="1"/>
  <c r="N22" i="1"/>
  <c r="N38" i="1"/>
  <c r="N54" i="1"/>
  <c r="N41" i="1"/>
  <c r="N11" i="1"/>
  <c r="N27" i="1"/>
  <c r="N43" i="1"/>
  <c r="N59" i="1"/>
  <c r="N25" i="1"/>
  <c r="N20" i="1"/>
  <c r="N36" i="1"/>
  <c r="N52" i="1"/>
  <c r="N68" i="1"/>
  <c r="N21" i="1"/>
  <c r="N49" i="1"/>
  <c r="N28" i="1"/>
  <c r="N60" i="1"/>
  <c r="AK27" i="1"/>
  <c r="N10" i="1"/>
  <c r="N26" i="1"/>
  <c r="N42" i="1"/>
  <c r="N58" i="1"/>
  <c r="N13" i="1"/>
  <c r="N57" i="1"/>
  <c r="N15" i="1"/>
  <c r="N31" i="1"/>
  <c r="N47" i="1"/>
  <c r="N63" i="1"/>
  <c r="N37" i="1"/>
  <c r="N8" i="1"/>
  <c r="N24" i="1"/>
  <c r="N40" i="1"/>
  <c r="N56" i="1"/>
  <c r="N33" i="1"/>
  <c r="N3" i="1"/>
  <c r="AK6" i="1"/>
  <c r="AJ6" i="1"/>
  <c r="AJ27" i="1"/>
  <c r="AJ19" i="1"/>
  <c r="AK7" i="1"/>
  <c r="AK30" i="1"/>
  <c r="AK26" i="1"/>
  <c r="AK22" i="1"/>
  <c r="AK18" i="1"/>
  <c r="AJ5" i="1"/>
  <c r="AJ26" i="1"/>
  <c r="AJ18" i="1"/>
  <c r="AK4" i="1"/>
  <c r="AK29" i="1"/>
  <c r="AK25" i="1"/>
  <c r="AK21" i="1"/>
  <c r="AK17" i="1"/>
  <c r="AJ7" i="1"/>
  <c r="AK9" i="1"/>
  <c r="AJ4" i="1"/>
  <c r="AJ29" i="1"/>
  <c r="AJ25" i="1"/>
  <c r="AJ21" i="1"/>
  <c r="AJ17" i="1"/>
  <c r="AK5" i="1"/>
  <c r="AK28" i="1"/>
  <c r="AK20" i="1"/>
  <c r="AF6" i="1" l="1"/>
  <c r="AF36" i="1"/>
  <c r="AF37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10" i="1"/>
  <c r="AF9" i="1"/>
  <c r="AF8" i="1"/>
  <c r="AF5" i="1"/>
  <c r="AF4" i="1"/>
</calcChain>
</file>

<file path=xl/sharedStrings.xml><?xml version="1.0" encoding="utf-8"?>
<sst xmlns="http://schemas.openxmlformats.org/spreadsheetml/2006/main" count="484" uniqueCount="264">
  <si>
    <t>VAR PROMEDIO</t>
  </si>
  <si>
    <t>Año</t>
  </si>
  <si>
    <t>Densidad</t>
  </si>
  <si>
    <t>Extension</t>
  </si>
  <si>
    <t>Calcificacion</t>
  </si>
  <si>
    <t>Promedio</t>
  </si>
  <si>
    <t>Anomalia</t>
  </si>
  <si>
    <t>5 yr</t>
  </si>
  <si>
    <t>AÑO</t>
  </si>
  <si>
    <t>PROMEDIO ANUAL</t>
  </si>
  <si>
    <t>Precipitación (mm) IDEAM cartagena</t>
  </si>
  <si>
    <t>Nivel canal Dique (cm)</t>
  </si>
  <si>
    <t>Media (Kton)</t>
  </si>
  <si>
    <t>Sedimentos totales canal Dique (KTON)</t>
  </si>
  <si>
    <t>Media (m3/s)</t>
  </si>
  <si>
    <t>Caudal Canal Dique (m3/s))</t>
  </si>
  <si>
    <t>1995 parece ser el punto de quiebre de los corales en Varadero, y no 1983</t>
  </si>
  <si>
    <t>9yr</t>
  </si>
  <si>
    <t>9 yr</t>
  </si>
  <si>
    <t>1950-1959</t>
  </si>
  <si>
    <t>1950-2015</t>
  </si>
  <si>
    <t>1960-1969</t>
  </si>
  <si>
    <t>1970-1979</t>
  </si>
  <si>
    <t>1980-1989</t>
  </si>
  <si>
    <t>1990-1999</t>
  </si>
  <si>
    <t>2000-2010</t>
  </si>
  <si>
    <t>2011-2015</t>
  </si>
  <si>
    <t>Extensión</t>
  </si>
  <si>
    <t>Calcificación</t>
  </si>
  <si>
    <t>Coeficientes de Variación</t>
  </si>
  <si>
    <t>STDA</t>
  </si>
  <si>
    <t>ANOM TEMP</t>
  </si>
  <si>
    <t>Max °C</t>
  </si>
  <si>
    <t>Temperatura Max aire IDEAM cartagena</t>
  </si>
  <si>
    <t>Temp. HadISST</t>
  </si>
  <si>
    <t>Temp. aire IDEAM</t>
  </si>
  <si>
    <t/>
  </si>
  <si>
    <t>SOI</t>
  </si>
  <si>
    <t>AMO</t>
  </si>
  <si>
    <t>NAO</t>
  </si>
  <si>
    <t>r = -0.18, p = 0.148, n = 66</t>
  </si>
  <si>
    <t>r = 0.18, p = 0.146, n = 66</t>
  </si>
  <si>
    <t>r = -0.02, p = 0.908, n = 66</t>
  </si>
  <si>
    <t>r = 0.09, p = 0.493, n = 61</t>
  </si>
  <si>
    <t>r = 0.05, p = 0.716, n = 61</t>
  </si>
  <si>
    <t>r = 0.12, p = 0.342, n = 61</t>
  </si>
  <si>
    <t>r = 0.09, p = 0.477, n = 65</t>
  </si>
  <si>
    <t>r = -0.10, p = 0.429, n = 65</t>
  </si>
  <si>
    <t>r = -0.04, p = 0.769, n = 65</t>
  </si>
  <si>
    <t>r = -0.24, p = 0.056, n = 66</t>
  </si>
  <si>
    <t>r = 0.39, p = 0.001, n = 66</t>
  </si>
  <si>
    <t>r = 0.16, p = 0.208, n = 66</t>
  </si>
  <si>
    <t>r = 0.15, p = 0.233, n = 66</t>
  </si>
  <si>
    <t>r = 0.03, p = 0.784, n = 66</t>
  </si>
  <si>
    <t>r = 0.22, p = 0.072, n = 66</t>
  </si>
  <si>
    <t>Transporte sedimentos</t>
  </si>
  <si>
    <t>Caudal</t>
  </si>
  <si>
    <t>Nivel de canal</t>
  </si>
  <si>
    <t>Precipitación</t>
  </si>
  <si>
    <t>Temp. Aire</t>
  </si>
  <si>
    <t>HadISST</t>
  </si>
  <si>
    <t>r = -0.44, p &lt; 0.001, n = 66</t>
  </si>
  <si>
    <t>r = 0.43, p &lt; 0.001, n = 66</t>
  </si>
  <si>
    <t>r = 0.60, p &lt; 0.001, n = 66</t>
  </si>
  <si>
    <t>Correlaciones entre los parametros de crecimiento</t>
  </si>
  <si>
    <t>r = -0.52, r2 = 0.23, p &lt; 0.001</t>
  </si>
  <si>
    <t>1950-2015 (n=66)</t>
  </si>
  <si>
    <t>r = 0.17, r2 = 0.03, p = 0.163</t>
  </si>
  <si>
    <t>Regresiones de los parametros de crecimiento a lo largo del periodo 1950-2015</t>
  </si>
  <si>
    <t>Precipitacion</t>
  </si>
  <si>
    <t>r = -0.13, p = 0.482, n = 32</t>
  </si>
  <si>
    <t>r = 0.09, p = 0.607, n = 32</t>
  </si>
  <si>
    <t>r = -0.07, p = 0.697, n = 32</t>
  </si>
  <si>
    <t>r = -0.19, p = 0.306, n = 30</t>
  </si>
  <si>
    <t>r = 0.16, p = 0.405, n = 30</t>
  </si>
  <si>
    <t>r = -0.05, p = 0.795, n = 30</t>
  </si>
  <si>
    <t>r = 0.35, p = 0.077, n = 27</t>
  </si>
  <si>
    <t>r = -0.12, p = 0.551, n = 27</t>
  </si>
  <si>
    <t>r = 0.01, p = 0.967, n = 27</t>
  </si>
  <si>
    <t>r = 0.05, p = 0.784, n = 32</t>
  </si>
  <si>
    <t>r = -0.03, p = 0.867, n = 32</t>
  </si>
  <si>
    <t>r = -0.02, p = 0.900, n = 32</t>
  </si>
  <si>
    <t>r = -0.35, p = 0.049, n = 32</t>
  </si>
  <si>
    <t>r = 0.16, p = 0.049, n = 32</t>
  </si>
  <si>
    <t>r = -0.14, p = 0.458, n = 32</t>
  </si>
  <si>
    <t>r = 0.04, p = 0.807, n = 32</t>
  </si>
  <si>
    <t>r = -0.05, p = 0.805, n = 32</t>
  </si>
  <si>
    <t>r = 0.04, p = 0.823, n = 32</t>
  </si>
  <si>
    <t>r = -0.37, p = 0.031, n = 34</t>
  </si>
  <si>
    <t>r = 0.46, p = 0.006, n = 34</t>
  </si>
  <si>
    <t>r = 0.64, p &lt; 0.001, n = 34</t>
  </si>
  <si>
    <t>POR PERIODOS</t>
  </si>
  <si>
    <t>Correlaciones entre los parametros de crecimiento, para el periodo 1950-1983</t>
  </si>
  <si>
    <t>r = -0.37, p = 0.40, n = 32</t>
  </si>
  <si>
    <t>r = 0.24, p = 0.186, n = 32</t>
  </si>
  <si>
    <t>r = 0.80, p &lt; 0.001, n = 32</t>
  </si>
  <si>
    <t>Correlaciones entre los parametros de crecimiento, para el periodo 1984-2015</t>
  </si>
  <si>
    <t>1984-2015</t>
  </si>
  <si>
    <t>PROM</t>
  </si>
  <si>
    <t>STDEV</t>
  </si>
  <si>
    <t>Anomalias estandarizadas</t>
  </si>
  <si>
    <t>Nivel</t>
  </si>
  <si>
    <t>Transporte</t>
  </si>
  <si>
    <t>ANOMALIAS ESTANDARIZADAS</t>
  </si>
  <si>
    <t>ANOM EST SUAVIZADA</t>
  </si>
  <si>
    <t>VAR PROMEDIO Anomalias Estandarizadas</t>
  </si>
  <si>
    <t>1950-1984</t>
  </si>
  <si>
    <t>Skeletal density (gCaCO3 cm-3)</t>
  </si>
  <si>
    <t>Lineal extension (cm yr-1)</t>
  </si>
  <si>
    <t>Calcification (gCaCO3 cm-2 yr-1)</t>
  </si>
  <si>
    <r>
      <t xml:space="preserve">Varadero antes y despues de 1984 (Media </t>
    </r>
    <r>
      <rPr>
        <sz val="11"/>
        <color theme="1"/>
        <rFont val="Calibri"/>
        <family val="2"/>
      </rPr>
      <t>± DE)</t>
    </r>
  </si>
  <si>
    <t>Period</t>
  </si>
  <si>
    <t>0.78 ± 0.07</t>
  </si>
  <si>
    <t>1.03 ± 0.12</t>
  </si>
  <si>
    <t>0.80 ± 0.09</t>
  </si>
  <si>
    <t>0.70 ± 0.05</t>
  </si>
  <si>
    <t>1.11 ± 0.13</t>
  </si>
  <si>
    <t>0.76 ± 0.08</t>
  </si>
  <si>
    <t>r = -0.13, p = 0.350, n = 54</t>
  </si>
  <si>
    <t>r = 0.09, p = 0.532, n = 54</t>
  </si>
  <si>
    <t>r = -0.12, p = 0.380, n = 54</t>
  </si>
  <si>
    <t>r = -0.06, p = 0.713, n = 45</t>
  </si>
  <si>
    <t>r = -0.12, p = 0.449, n = 45</t>
  </si>
  <si>
    <t>r = -0.19, p = 0.224, n = 45</t>
  </si>
  <si>
    <t>r = 0.07, p = 0.692, n = 35</t>
  </si>
  <si>
    <t>r = 0.14, p = 0.432, n = 35</t>
  </si>
  <si>
    <t>r = 0.21, p = 0.238, n = 35</t>
  </si>
  <si>
    <t>r = 0.21, p = 0.241, n = 32</t>
  </si>
  <si>
    <t>r = 0.05, p = 0.789, n = 32</t>
  </si>
  <si>
    <t>r = 0.26, p = 0.159, n = 32</t>
  </si>
  <si>
    <t>r = -0.29, p = 0.140, n = 28</t>
  </si>
  <si>
    <t>r = 0.06, p = 0.752, n = 28</t>
  </si>
  <si>
    <t>r = -0.22, p = 0.264, n = 28</t>
  </si>
  <si>
    <t>r = -0.38, p = 0.186, n = 14</t>
  </si>
  <si>
    <t>r = -0.23, p = 0.437, n = 14</t>
  </si>
  <si>
    <t>r = -0.48, p = 0.086, n = 14</t>
  </si>
  <si>
    <t>r = -0.26, p = 0.392, n = 13</t>
  </si>
  <si>
    <t>r = -0.43, p = 0.139, n = 13</t>
  </si>
  <si>
    <t>r = -0.51, p = 0.076, n = 13</t>
  </si>
  <si>
    <t>r = -0.14, p = 0.418, n = 35</t>
  </si>
  <si>
    <t>r = -0.19, p = 0.281, n = 35</t>
  </si>
  <si>
    <t>r = -0.29, p = 0.089, n = 35</t>
  </si>
  <si>
    <t>r = 0.06, p = 0.755, n = 34</t>
  </si>
  <si>
    <t>r = -0.13, p = 0.459, n = 34</t>
  </si>
  <si>
    <t>r = -0.09, p = 0.615, n = 34</t>
  </si>
  <si>
    <t>r = 0.05, p = 0.774, n = 35</t>
  </si>
  <si>
    <t>r = 0.53, p = 0.001, n = 35</t>
  </si>
  <si>
    <t>r = 0.55, p = 0.001, n = 35</t>
  </si>
  <si>
    <t>r = 0.16, p = 0.353, n = 35</t>
  </si>
  <si>
    <t>r = 0.31, p = 0.074, n = 35</t>
  </si>
  <si>
    <t>r = 0.36, p = 0.036, n = 35</t>
  </si>
  <si>
    <t>r = 0.13, p = 0.508, n = 32</t>
  </si>
  <si>
    <t>r = -0.16, p = 0.395, n = 32</t>
  </si>
  <si>
    <t>r = -0.09, p = 0.627, n = 32</t>
  </si>
  <si>
    <t>r = 0.16, p = 0.414, n = 29</t>
  </si>
  <si>
    <t>r = -0.24, p = 0.207, n = 29</t>
  </si>
  <si>
    <t>r = -0.10, p = 0.624, n = 29</t>
  </si>
  <si>
    <t>r = 0.22, p = 0.237, n = 32</t>
  </si>
  <si>
    <t>r = -0.30, p = 0.096, n = 32</t>
  </si>
  <si>
    <t>r = -0.15, p = 0.415, n = 32</t>
  </si>
  <si>
    <t>r = -0.12, p = 0.454, n = 41</t>
  </si>
  <si>
    <t>r = -0.07, p = 0.661, n = 41</t>
  </si>
  <si>
    <t>r = -0.20, p = 0.221, n = 41</t>
  </si>
  <si>
    <t>r = 0.02, p = 0.867, n = 66</t>
  </si>
  <si>
    <t>r = -0.23, p = 0.062, n = 66</t>
  </si>
  <si>
    <t>r = -0.21, p = 0.097, n = 66</t>
  </si>
  <si>
    <t>G/B</t>
  </si>
  <si>
    <t xml:space="preserve"> Correlaciones entre parametros de crecimiento y valores G/B (anual)</t>
  </si>
  <si>
    <t>r = 0.44, p &lt; 0.001, n = 66</t>
  </si>
  <si>
    <t>r = -0.29, p = 0.02, n = 66</t>
  </si>
  <si>
    <t>r = 0.16, p = 0.188, n = 66</t>
  </si>
  <si>
    <t>r = -0.33, r2 = 0.11, p = 0.007</t>
  </si>
  <si>
    <t>Correlaciones entre las variables de crecimiento vs variables ambientales (CALAMAR)</t>
  </si>
  <si>
    <t>Correlaciones entre las variables de crecimiento vs variables ambientales, para el periodo 1950-1983 (CALAMAR)</t>
  </si>
  <si>
    <t>Correlaciones G/B vs variables (Sta. Helena)</t>
  </si>
  <si>
    <t>Water flow</t>
  </si>
  <si>
    <t>Sediment</t>
  </si>
  <si>
    <t>Water level</t>
  </si>
  <si>
    <t>SST</t>
  </si>
  <si>
    <t>Precipitation</t>
  </si>
  <si>
    <t>G/B VAR1</t>
  </si>
  <si>
    <t>G/B VAR2</t>
  </si>
  <si>
    <t>G/B VAR3</t>
  </si>
  <si>
    <t>G/B VAR4</t>
  </si>
  <si>
    <t>r = 0.10, p = 0.043, n = 408</t>
  </si>
  <si>
    <t>r = 0.05, p = 0.166, n = 780</t>
  </si>
  <si>
    <t>r = 0.12, p = 0.002, n = 744</t>
  </si>
  <si>
    <t>r = -0.17, p &lt; 0.001, n = 780</t>
  </si>
  <si>
    <t>r = 0.03, p = 0.440, n = 780</t>
  </si>
  <si>
    <t>r = -0.12, p = 0.001, n = 792</t>
  </si>
  <si>
    <t>r = 0.16, p = 0.001, n = 408</t>
  </si>
  <si>
    <t>r = 0.20, p &lt; 0.001, n = 744</t>
  </si>
  <si>
    <t>r = 0.24, p &lt; 0.001, n = 792</t>
  </si>
  <si>
    <t>r = 0.22, p &lt; 0.001, n = 792</t>
  </si>
  <si>
    <t>Sedimento</t>
  </si>
  <si>
    <t>r = 0.85, p &lt; 0.001, n = 329</t>
  </si>
  <si>
    <t>r = 0.96, p &lt; 0.001, n = 329</t>
  </si>
  <si>
    <t>-</t>
  </si>
  <si>
    <t xml:space="preserve">    Calamar</t>
  </si>
  <si>
    <t xml:space="preserve">    Sta. Helena</t>
  </si>
  <si>
    <t>r = 0.97, p &lt; 0.001, n = 540</t>
  </si>
  <si>
    <t>r = 0.87, p &lt; 0.001, n = 488</t>
  </si>
  <si>
    <t>r = 0.91, p &lt; 0.001, n = 488</t>
  </si>
  <si>
    <t>r = 0.89, p &lt; 0.001, n = 381</t>
  </si>
  <si>
    <t>Correlaciones entre las variables de crecimiento vs variables ambientales (STA. HELENA)</t>
  </si>
  <si>
    <t>Nivel de canal (KM 107)</t>
  </si>
  <si>
    <t>r = -0.04, p = 0.826, n = 33</t>
  </si>
  <si>
    <t>r = 0.21, p = 0.239, n = 33</t>
  </si>
  <si>
    <t>r = 0.11, p = 0.560, n = 33</t>
  </si>
  <si>
    <t>r = 0.07, p = 0.725, n = 28</t>
  </si>
  <si>
    <t>r = -0.05, p = 0.821, n = 28</t>
  </si>
  <si>
    <t>r = 0.01, p = 0.955, n = 28</t>
  </si>
  <si>
    <t>r = 0.04, p = 0.836, n = 35</t>
  </si>
  <si>
    <t>r = -0.01, p = 0.976, n = 35</t>
  </si>
  <si>
    <t>r = -0.01, p = 0.947, n = 35</t>
  </si>
  <si>
    <t>r = 0.44, p &lt; 0.001, n = 418</t>
  </si>
  <si>
    <t>r = 0.48, p &lt; 0.001, n = 406</t>
  </si>
  <si>
    <t>r = 0.40, p &lt; 0.001, n = 418</t>
  </si>
  <si>
    <t>r = 0.17, p = 0.001, n = 418</t>
  </si>
  <si>
    <t>r = 0.47, p &lt; 0.001, n = 418</t>
  </si>
  <si>
    <t>r = 0.13, p = 0.009, n = 391</t>
  </si>
  <si>
    <t>r = 0.06, p = 0.242, n = 391</t>
  </si>
  <si>
    <t>r = 0.10, p = 0.045, n = 391</t>
  </si>
  <si>
    <t>r = 0.10, p = 0.042, n = 391</t>
  </si>
  <si>
    <t>r = 0.19, p &lt; 0.001, n = 391</t>
  </si>
  <si>
    <t>r = 0.46, p &lt; 0.001, n = 329</t>
  </si>
  <si>
    <t>r = 0.44, p &lt; 0.001, n = 329</t>
  </si>
  <si>
    <t>r = 0.43, p &lt; 0.001, n = 329</t>
  </si>
  <si>
    <t>r = 0.25, p &lt; 0.001, n = 329</t>
  </si>
  <si>
    <t>r = 0.42, p &lt; 0.001, n = 329</t>
  </si>
  <si>
    <t>r = 0.23, p &lt; 0.001, n = 555</t>
  </si>
  <si>
    <t>r = 0.22, p &lt; 0.001, n = 318</t>
  </si>
  <si>
    <t>r = 0.22, p &lt; 0.001, n = 550</t>
  </si>
  <si>
    <t>r = 0.15, p &lt; 0.001, n = 555</t>
  </si>
  <si>
    <t>r = 0.20, p &lt; 0.001, n = 555</t>
  </si>
  <si>
    <t>t = -5.20, p &lt; 0.001</t>
  </si>
  <si>
    <t>t = 2.37, p = 0.02</t>
  </si>
  <si>
    <t>t = -1.91, p = 0.06</t>
  </si>
  <si>
    <t>T-test</t>
  </si>
  <si>
    <r>
      <t xml:space="preserve">0.70 </t>
    </r>
    <r>
      <rPr>
        <sz val="11"/>
        <color theme="1"/>
        <rFont val="Calibri"/>
        <family val="2"/>
      </rPr>
      <t>± 0.08</t>
    </r>
  </si>
  <si>
    <r>
      <t xml:space="preserve">1.34 </t>
    </r>
    <r>
      <rPr>
        <sz val="11"/>
        <color theme="1"/>
        <rFont val="Calibri"/>
        <family val="2"/>
      </rPr>
      <t>± 0.30</t>
    </r>
  </si>
  <si>
    <r>
      <t xml:space="preserve">0.92 </t>
    </r>
    <r>
      <rPr>
        <sz val="11"/>
        <color theme="1"/>
        <rFont val="Calibri"/>
        <family val="2"/>
      </rPr>
      <t>± 0.18</t>
    </r>
  </si>
  <si>
    <r>
      <t xml:space="preserve">0.75 </t>
    </r>
    <r>
      <rPr>
        <sz val="11"/>
        <color theme="1"/>
        <rFont val="Calibri"/>
        <family val="2"/>
      </rPr>
      <t>± 0.14</t>
    </r>
  </si>
  <si>
    <r>
      <t xml:space="preserve">1.10 </t>
    </r>
    <r>
      <rPr>
        <sz val="11"/>
        <color theme="1"/>
        <rFont val="Calibri"/>
        <family val="2"/>
      </rPr>
      <t>± 0.20</t>
    </r>
  </si>
  <si>
    <r>
      <t xml:space="preserve">0.82 </t>
    </r>
    <r>
      <rPr>
        <sz val="11"/>
        <color theme="1"/>
        <rFont val="Calibri"/>
        <family val="2"/>
      </rPr>
      <t>± 0.20</t>
    </r>
  </si>
  <si>
    <r>
      <t xml:space="preserve">0.81 </t>
    </r>
    <r>
      <rPr>
        <sz val="11"/>
        <color theme="1"/>
        <rFont val="Calibri"/>
        <family val="2"/>
      </rPr>
      <t>± 0.11</t>
    </r>
  </si>
  <si>
    <r>
      <t xml:space="preserve">0.95 </t>
    </r>
    <r>
      <rPr>
        <sz val="11"/>
        <color theme="1"/>
        <rFont val="Calibri"/>
        <family val="2"/>
      </rPr>
      <t>± 0.22</t>
    </r>
  </si>
  <si>
    <r>
      <t xml:space="preserve">0.75 </t>
    </r>
    <r>
      <rPr>
        <sz val="11"/>
        <color theme="1"/>
        <rFont val="Calibri"/>
        <family val="2"/>
      </rPr>
      <t>± 0.19</t>
    </r>
  </si>
  <si>
    <r>
      <t xml:space="preserve">0.68 </t>
    </r>
    <r>
      <rPr>
        <sz val="11"/>
        <color theme="1"/>
        <rFont val="Calibri"/>
        <family val="2"/>
      </rPr>
      <t>± 0.12</t>
    </r>
  </si>
  <si>
    <r>
      <t xml:space="preserve">1.04 </t>
    </r>
    <r>
      <rPr>
        <sz val="11"/>
        <color theme="1"/>
        <rFont val="Calibri"/>
        <family val="2"/>
      </rPr>
      <t>± 0.23</t>
    </r>
  </si>
  <si>
    <r>
      <t xml:space="preserve">0.69 </t>
    </r>
    <r>
      <rPr>
        <sz val="11"/>
        <color theme="1"/>
        <rFont val="Calibri"/>
        <family val="2"/>
      </rPr>
      <t>± 0.15</t>
    </r>
  </si>
  <si>
    <t>VAR1 (1982-2015)</t>
  </si>
  <si>
    <t>VAR2 (1950-2015)</t>
  </si>
  <si>
    <t>VAR3 (1950-2015)</t>
  </si>
  <si>
    <t>VAR4 (1950-2015)</t>
  </si>
  <si>
    <t>Overall (1950-2015)</t>
  </si>
  <si>
    <r>
      <t xml:space="preserve">0.74 </t>
    </r>
    <r>
      <rPr>
        <sz val="11"/>
        <color theme="1"/>
        <rFont val="Calibri"/>
        <family val="2"/>
      </rPr>
      <t>± 0.07</t>
    </r>
  </si>
  <si>
    <r>
      <t xml:space="preserve">1.07 </t>
    </r>
    <r>
      <rPr>
        <sz val="11"/>
        <color theme="1"/>
        <rFont val="Calibri"/>
        <family val="2"/>
      </rPr>
      <t>± 0.13</t>
    </r>
  </si>
  <si>
    <r>
      <t xml:space="preserve">0.78 </t>
    </r>
    <r>
      <rPr>
        <sz val="11"/>
        <color theme="1"/>
        <rFont val="Calibri"/>
        <family val="2"/>
      </rPr>
      <t>± 0.09</t>
    </r>
  </si>
  <si>
    <t>Density (g cm-3)</t>
  </si>
  <si>
    <t>Extension (cm yr-1)</t>
  </si>
  <si>
    <t>Calcification (g cm-2 yr-1)</t>
  </si>
  <si>
    <t>Growth parameter</t>
  </si>
  <si>
    <t>VAR PROMEDIO moving average-9yr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</si>
</sst>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i/>
      <sz val="10"/>
      <color indexed="8"/>
      <name val="Arial"/>
      <family val="2"/>
    </font>
    <font>
      <b/>
      <i/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 readingOrder="1"/>
    </xf>
    <xf numFmtId="0" fontId="0" fillId="2" borderId="0" xfId="0" applyFill="1"/>
    <xf numFmtId="164" fontId="0" fillId="0" borderId="0" xfId="0" applyNumberFormat="1"/>
    <xf numFmtId="0" fontId="2" fillId="2" borderId="0" xfId="0" applyFont="1" applyFill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65" fontId="2" fillId="0" borderId="0" xfId="0" applyNumberFormat="1" applyFont="1"/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5" fillId="0" borderId="1" xfId="0" applyFont="1" applyBorder="1"/>
    <xf numFmtId="0" fontId="8" fillId="0" borderId="1" xfId="0" applyFont="1" applyBorder="1" applyAlignment="1">
      <alignment horizontal="left" vertical="top"/>
    </xf>
    <xf numFmtId="1" fontId="7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" fontId="7" fillId="0" borderId="2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9" fillId="0" borderId="1" xfId="0" applyFont="1" applyBorder="1"/>
    <xf numFmtId="1" fontId="6" fillId="0" borderId="2" xfId="0" applyNumberFormat="1" applyFont="1" applyBorder="1" applyAlignment="1">
      <alignment horizontal="left" vertical="center"/>
    </xf>
    <xf numFmtId="1" fontId="4" fillId="0" borderId="2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2" fontId="15" fillId="0" borderId="0" xfId="0" applyNumberFormat="1" applyFont="1" applyAlignment="1">
      <alignment vertical="center"/>
    </xf>
    <xf numFmtId="0" fontId="15" fillId="0" borderId="2" xfId="0" applyFont="1" applyBorder="1" applyAlignment="1">
      <alignment vertical="center"/>
    </xf>
    <xf numFmtId="2" fontId="15" fillId="0" borderId="2" xfId="0" applyNumberFormat="1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 wrapText="1"/>
    </xf>
    <xf numFmtId="1" fontId="15" fillId="0" borderId="0" xfId="0" applyNumberFormat="1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2" fillId="0" borderId="1" xfId="0" applyFont="1" applyBorder="1"/>
    <xf numFmtId="0" fontId="16" fillId="0" borderId="0" xfId="0" applyFont="1"/>
    <xf numFmtId="2" fontId="0" fillId="2" borderId="0" xfId="0" applyNumberFormat="1" applyFill="1"/>
    <xf numFmtId="1" fontId="4" fillId="0" borderId="3" xfId="0" applyNumberFormat="1" applyFont="1" applyBorder="1" applyAlignment="1">
      <alignment horizontal="left" vertical="center"/>
    </xf>
    <xf numFmtId="0" fontId="1" fillId="0" borderId="3" xfId="0" applyFont="1" applyBorder="1"/>
    <xf numFmtId="0" fontId="0" fillId="0" borderId="3" xfId="0" applyBorder="1"/>
    <xf numFmtId="0" fontId="4" fillId="0" borderId="0" xfId="0" applyFont="1" applyAlignment="1">
      <alignment horizontal="left" vertical="top"/>
    </xf>
    <xf numFmtId="2" fontId="0" fillId="0" borderId="2" xfId="0" applyNumberFormat="1" applyBorder="1"/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1984-2013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Varadero!$W$5:$W$34</c:f>
              <c:numCache>
                <c:formatCode>General</c:formatCode>
                <c:ptCount val="30"/>
                <c:pt idx="0">
                  <c:v>28.15</c:v>
                </c:pt>
                <c:pt idx="1">
                  <c:v>28.033333333333331</c:v>
                </c:pt>
                <c:pt idx="2">
                  <c:v>28</c:v>
                </c:pt>
                <c:pt idx="3">
                  <c:v>28.033333333333335</c:v>
                </c:pt>
                <c:pt idx="4">
                  <c:v>27.966666666666669</c:v>
                </c:pt>
                <c:pt idx="5">
                  <c:v>27.866666666666664</c:v>
                </c:pt>
                <c:pt idx="6">
                  <c:v>27.8</c:v>
                </c:pt>
                <c:pt idx="7">
                  <c:v>27.966666666666669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27.933333333333334</c:v>
                </c:pt>
                <c:pt idx="12">
                  <c:v>27.733333333333331</c:v>
                </c:pt>
                <c:pt idx="13">
                  <c:v>27.5</c:v>
                </c:pt>
                <c:pt idx="14">
                  <c:v>27.633333333333336</c:v>
                </c:pt>
                <c:pt idx="15">
                  <c:v>27.766666666666666</c:v>
                </c:pt>
                <c:pt idx="16">
                  <c:v>27.866666666666671</c:v>
                </c:pt>
                <c:pt idx="17">
                  <c:v>27.766666666666666</c:v>
                </c:pt>
                <c:pt idx="18">
                  <c:v>27.666666666666668</c:v>
                </c:pt>
                <c:pt idx="19">
                  <c:v>27.7</c:v>
                </c:pt>
                <c:pt idx="20">
                  <c:v>27.7</c:v>
                </c:pt>
                <c:pt idx="21">
                  <c:v>27.733333333333334</c:v>
                </c:pt>
                <c:pt idx="22">
                  <c:v>27.633333333333336</c:v>
                </c:pt>
                <c:pt idx="23">
                  <c:v>27.566666666666666</c:v>
                </c:pt>
                <c:pt idx="24">
                  <c:v>27.533333333333331</c:v>
                </c:pt>
                <c:pt idx="25">
                  <c:v>27.7</c:v>
                </c:pt>
                <c:pt idx="26">
                  <c:v>27.733333333333334</c:v>
                </c:pt>
                <c:pt idx="27">
                  <c:v>27.733333333333334</c:v>
                </c:pt>
                <c:pt idx="28">
                  <c:v>27.533333333333331</c:v>
                </c:pt>
                <c:pt idx="29">
                  <c:v>27.666666666666668</c:v>
                </c:pt>
              </c:numCache>
            </c:numRef>
          </c:xVal>
          <c:yVal>
            <c:numRef>
              <c:f>Varadero!$M$5:$M$34</c:f>
              <c:numCache>
                <c:formatCode>General</c:formatCode>
                <c:ptCount val="30"/>
                <c:pt idx="0">
                  <c:v>0.76992021974297531</c:v>
                </c:pt>
                <c:pt idx="1">
                  <c:v>0.80072576414575514</c:v>
                </c:pt>
                <c:pt idx="2">
                  <c:v>0.73163328186487375</c:v>
                </c:pt>
                <c:pt idx="3">
                  <c:v>0.75061613018718221</c:v>
                </c:pt>
                <c:pt idx="4">
                  <c:v>0.74265230362513079</c:v>
                </c:pt>
                <c:pt idx="5">
                  <c:v>0.72839806106700478</c:v>
                </c:pt>
                <c:pt idx="6">
                  <c:v>0.72966904911331731</c:v>
                </c:pt>
                <c:pt idx="7">
                  <c:v>0.73951126664687106</c:v>
                </c:pt>
                <c:pt idx="8">
                  <c:v>0.76283404325930437</c:v>
                </c:pt>
                <c:pt idx="9">
                  <c:v>0.7556659412658141</c:v>
                </c:pt>
                <c:pt idx="10">
                  <c:v>0.72838898675930386</c:v>
                </c:pt>
                <c:pt idx="11">
                  <c:v>0.74017712479387321</c:v>
                </c:pt>
                <c:pt idx="12">
                  <c:v>0.7808403676564083</c:v>
                </c:pt>
                <c:pt idx="13">
                  <c:v>0.80606250976286908</c:v>
                </c:pt>
                <c:pt idx="14">
                  <c:v>0.79576120735250966</c:v>
                </c:pt>
                <c:pt idx="15">
                  <c:v>0.77850512849038622</c:v>
                </c:pt>
                <c:pt idx="16">
                  <c:v>0.75597611812525045</c:v>
                </c:pt>
                <c:pt idx="17">
                  <c:v>0.77779973556171511</c:v>
                </c:pt>
                <c:pt idx="18">
                  <c:v>0.79431996250364689</c:v>
                </c:pt>
                <c:pt idx="19">
                  <c:v>0.85587456250979876</c:v>
                </c:pt>
                <c:pt idx="20">
                  <c:v>0.80776134119960374</c:v>
                </c:pt>
                <c:pt idx="21">
                  <c:v>0.78322513830835516</c:v>
                </c:pt>
                <c:pt idx="22">
                  <c:v>0.69536744460729649</c:v>
                </c:pt>
                <c:pt idx="23">
                  <c:v>0.69546919025137399</c:v>
                </c:pt>
                <c:pt idx="24">
                  <c:v>0.6677273286388522</c:v>
                </c:pt>
                <c:pt idx="25">
                  <c:v>0.65366861821616296</c:v>
                </c:pt>
                <c:pt idx="26">
                  <c:v>0.72459105935154655</c:v>
                </c:pt>
                <c:pt idx="27">
                  <c:v>0.76774812960106742</c:v>
                </c:pt>
                <c:pt idx="28">
                  <c:v>0.83142639246882777</c:v>
                </c:pt>
                <c:pt idx="29">
                  <c:v>0.76499958837716797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C9-49DD-A207-BDE74C55A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06996352"/>
        <c:axId val="-1606998528"/>
      </c:scatterChart>
      <c:valAx>
        <c:axId val="-160699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Temperatura</a:t>
                </a:r>
                <a:r>
                  <a:rPr lang="es-CO" sz="1050" baseline="0">
                    <a:solidFill>
                      <a:schemeClr val="tx1"/>
                    </a:solidFill>
                  </a:rPr>
                  <a:t> IDEAM</a:t>
                </a:r>
                <a:endParaRPr lang="es-CO" sz="105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606998528"/>
        <c:crosses val="autoZero"/>
        <c:crossBetween val="midCat"/>
      </c:valAx>
      <c:valAx>
        <c:axId val="-1606998528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60699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Varadero!$D$2</c:f>
              <c:strCache>
                <c:ptCount val="1"/>
                <c:pt idx="0">
                  <c:v>Calcificacion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Varadero!$D$3:$D$68</c:f>
              <c:numCache>
                <c:formatCode>0.000</c:formatCode>
                <c:ptCount val="66"/>
                <c:pt idx="0">
                  <c:v>0.89861944250262771</c:v>
                </c:pt>
                <c:pt idx="1">
                  <c:v>0.67616338076530669</c:v>
                </c:pt>
                <c:pt idx="2">
                  <c:v>0.95513204826260956</c:v>
                </c:pt>
                <c:pt idx="3">
                  <c:v>0.67846523020100968</c:v>
                </c:pt>
                <c:pt idx="4">
                  <c:v>0.76858001397364628</c:v>
                </c:pt>
                <c:pt idx="5">
                  <c:v>0.74785460141996563</c:v>
                </c:pt>
                <c:pt idx="6">
                  <c:v>0.73541377516793471</c:v>
                </c:pt>
                <c:pt idx="7">
                  <c:v>0.74468853428749215</c:v>
                </c:pt>
                <c:pt idx="8">
                  <c:v>0.70509187374558735</c:v>
                </c:pt>
                <c:pt idx="9">
                  <c:v>0.73922673930687277</c:v>
                </c:pt>
                <c:pt idx="10">
                  <c:v>0.77421518688815294</c:v>
                </c:pt>
                <c:pt idx="11">
                  <c:v>0.7750602035828873</c:v>
                </c:pt>
                <c:pt idx="12">
                  <c:v>0.71772243332640207</c:v>
                </c:pt>
                <c:pt idx="13">
                  <c:v>0.69238432336862221</c:v>
                </c:pt>
                <c:pt idx="14">
                  <c:v>0.81042461768659557</c:v>
                </c:pt>
                <c:pt idx="15">
                  <c:v>0.83971216191400699</c:v>
                </c:pt>
                <c:pt idx="16">
                  <c:v>0.76805074968800469</c:v>
                </c:pt>
                <c:pt idx="17">
                  <c:v>0.77952071045551719</c:v>
                </c:pt>
                <c:pt idx="18">
                  <c:v>0.78794392532763657</c:v>
                </c:pt>
                <c:pt idx="19">
                  <c:v>0.70046371859259748</c:v>
                </c:pt>
                <c:pt idx="20">
                  <c:v>0.84499156276491139</c:v>
                </c:pt>
                <c:pt idx="21">
                  <c:v>0.83750460615343214</c:v>
                </c:pt>
                <c:pt idx="22">
                  <c:v>0.88512751861105299</c:v>
                </c:pt>
                <c:pt idx="23">
                  <c:v>0.70065189883432588</c:v>
                </c:pt>
                <c:pt idx="24">
                  <c:v>0.76389599747968673</c:v>
                </c:pt>
                <c:pt idx="25">
                  <c:v>0.62155443750787687</c:v>
                </c:pt>
                <c:pt idx="26">
                  <c:v>0.7009571357665586</c:v>
                </c:pt>
                <c:pt idx="27">
                  <c:v>0.68067041264212103</c:v>
                </c:pt>
                <c:pt idx="28">
                  <c:v>0.57937830623980902</c:v>
                </c:pt>
                <c:pt idx="29">
                  <c:v>0.9137244591727095</c:v>
                </c:pt>
                <c:pt idx="30">
                  <c:v>0.81014162339068374</c:v>
                </c:pt>
                <c:pt idx="31">
                  <c:v>0.77041309484309028</c:v>
                </c:pt>
                <c:pt idx="32">
                  <c:v>0.71444404689772989</c:v>
                </c:pt>
                <c:pt idx="33">
                  <c:v>0.70922706035852245</c:v>
                </c:pt>
                <c:pt idx="34">
                  <c:v>0.63348785973737709</c:v>
                </c:pt>
                <c:pt idx="35">
                  <c:v>0.90178868215234875</c:v>
                </c:pt>
                <c:pt idx="36">
                  <c:v>0.786159508504094</c:v>
                </c:pt>
                <c:pt idx="37">
                  <c:v>0.89223852881270493</c:v>
                </c:pt>
                <c:pt idx="38">
                  <c:v>0.80933512622206105</c:v>
                </c:pt>
                <c:pt idx="39">
                  <c:v>0.73485435226570228</c:v>
                </c:pt>
                <c:pt idx="40">
                  <c:v>0.6842354122105565</c:v>
                </c:pt>
                <c:pt idx="41">
                  <c:v>0.81270513306733816</c:v>
                </c:pt>
                <c:pt idx="42">
                  <c:v>0.79573819637984344</c:v>
                </c:pt>
                <c:pt idx="43">
                  <c:v>0.79908125881827008</c:v>
                </c:pt>
                <c:pt idx="44">
                  <c:v>0.71810590356935666</c:v>
                </c:pt>
                <c:pt idx="45">
                  <c:v>0.78036292505424976</c:v>
                </c:pt>
                <c:pt idx="46">
                  <c:v>0.82660274716993065</c:v>
                </c:pt>
                <c:pt idx="47">
                  <c:v>0.67177069010627954</c:v>
                </c:pt>
                <c:pt idx="48">
                  <c:v>0.68057633577569776</c:v>
                </c:pt>
                <c:pt idx="49">
                  <c:v>0.72445656719533391</c:v>
                </c:pt>
                <c:pt idx="50">
                  <c:v>0.69175240506210889</c:v>
                </c:pt>
                <c:pt idx="51">
                  <c:v>0.74994636451518948</c:v>
                </c:pt>
                <c:pt idx="52">
                  <c:v>0.83596477949238868</c:v>
                </c:pt>
                <c:pt idx="53">
                  <c:v>0.70601604526680173</c:v>
                </c:pt>
                <c:pt idx="54">
                  <c:v>0.91887644077568664</c:v>
                </c:pt>
                <c:pt idx="55">
                  <c:v>0.85866745940204925</c:v>
                </c:pt>
                <c:pt idx="56">
                  <c:v>0.94995259889336625</c:v>
                </c:pt>
                <c:pt idx="57">
                  <c:v>0.81772522287197125</c:v>
                </c:pt>
                <c:pt idx="58">
                  <c:v>0.88231775076977448</c:v>
                </c:pt>
                <c:pt idx="59">
                  <c:v>0.82042625994662455</c:v>
                </c:pt>
                <c:pt idx="60">
                  <c:v>0.92327817498446618</c:v>
                </c:pt>
                <c:pt idx="61">
                  <c:v>0.86085402325627969</c:v>
                </c:pt>
                <c:pt idx="62">
                  <c:v>0.89161416792168025</c:v>
                </c:pt>
                <c:pt idx="63">
                  <c:v>0.89946540041670453</c:v>
                </c:pt>
                <c:pt idx="64">
                  <c:v>0.91613175379229406</c:v>
                </c:pt>
                <c:pt idx="65">
                  <c:v>0.92777402393217656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D5-42EC-BFB0-FD8D4F0F8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9113744"/>
        <c:axId val="-1429119184"/>
      </c:scatterChart>
      <c:scatterChart>
        <c:scatterStyle val="lineMarker"/>
        <c:varyColors val="0"/>
        <c:ser>
          <c:idx val="1"/>
          <c:order val="1"/>
          <c:tx>
            <c:strRef>
              <c:f>Varadero!$P$1</c:f>
              <c:strCache>
                <c:ptCount val="1"/>
                <c:pt idx="0">
                  <c:v>Temp. HadISST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Varadero!$U$3:$U$65</c:f>
              <c:numCache>
                <c:formatCode>General</c:formatCode>
                <c:ptCount val="63"/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</c:numCache>
            </c:numRef>
          </c:xVal>
          <c:yVal>
            <c:numRef>
              <c:f>Varadero!$V$3:$V$65</c:f>
              <c:numCache>
                <c:formatCode>General</c:formatCode>
                <c:ptCount val="63"/>
                <c:pt idx="2">
                  <c:v>28.2</c:v>
                </c:pt>
                <c:pt idx="3">
                  <c:v>28.1</c:v>
                </c:pt>
                <c:pt idx="4">
                  <c:v>27.8</c:v>
                </c:pt>
                <c:pt idx="5">
                  <c:v>28.1</c:v>
                </c:pt>
                <c:pt idx="6">
                  <c:v>28.2</c:v>
                </c:pt>
                <c:pt idx="7">
                  <c:v>27.6</c:v>
                </c:pt>
                <c:pt idx="8">
                  <c:v>27.8</c:v>
                </c:pt>
                <c:pt idx="9">
                  <c:v>28</c:v>
                </c:pt>
                <c:pt idx="10">
                  <c:v>28.1</c:v>
                </c:pt>
                <c:pt idx="11">
                  <c:v>27.9</c:v>
                </c:pt>
                <c:pt idx="12">
                  <c:v>28</c:v>
                </c:pt>
                <c:pt idx="13">
                  <c:v>28.1</c:v>
                </c:pt>
                <c:pt idx="14">
                  <c:v>27.7</c:v>
                </c:pt>
                <c:pt idx="15">
                  <c:v>27.4</c:v>
                </c:pt>
                <c:pt idx="16">
                  <c:v>27.4</c:v>
                </c:pt>
                <c:pt idx="17">
                  <c:v>28.1</c:v>
                </c:pt>
                <c:pt idx="18">
                  <c:v>27.8</c:v>
                </c:pt>
                <c:pt idx="19">
                  <c:v>27.7</c:v>
                </c:pt>
                <c:pt idx="20">
                  <c:v>27.8</c:v>
                </c:pt>
                <c:pt idx="21">
                  <c:v>27.5</c:v>
                </c:pt>
                <c:pt idx="22">
                  <c:v>27.8</c:v>
                </c:pt>
                <c:pt idx="23">
                  <c:v>27.8</c:v>
                </c:pt>
                <c:pt idx="24">
                  <c:v>27.6</c:v>
                </c:pt>
                <c:pt idx="25">
                  <c:v>27.5</c:v>
                </c:pt>
                <c:pt idx="26">
                  <c:v>27.6</c:v>
                </c:pt>
                <c:pt idx="27">
                  <c:v>27.5</c:v>
                </c:pt>
                <c:pt idx="28">
                  <c:v>28</c:v>
                </c:pt>
                <c:pt idx="29">
                  <c:v>27.7</c:v>
                </c:pt>
                <c:pt idx="30">
                  <c:v>27.5</c:v>
                </c:pt>
                <c:pt idx="31">
                  <c:v>27.4</c:v>
                </c:pt>
                <c:pt idx="32">
                  <c:v>28.1</c:v>
                </c:pt>
                <c:pt idx="33">
                  <c:v>27.6</c:v>
                </c:pt>
                <c:pt idx="34">
                  <c:v>27.9</c:v>
                </c:pt>
                <c:pt idx="35">
                  <c:v>28.1</c:v>
                </c:pt>
                <c:pt idx="36">
                  <c:v>28.1</c:v>
                </c:pt>
                <c:pt idx="37">
                  <c:v>28.1</c:v>
                </c:pt>
                <c:pt idx="38">
                  <c:v>27.7</c:v>
                </c:pt>
                <c:pt idx="39">
                  <c:v>27.2</c:v>
                </c:pt>
                <c:pt idx="40">
                  <c:v>27.1</c:v>
                </c:pt>
                <c:pt idx="41">
                  <c:v>27.8</c:v>
                </c:pt>
                <c:pt idx="42">
                  <c:v>27.9</c:v>
                </c:pt>
                <c:pt idx="43">
                  <c:v>28.4</c:v>
                </c:pt>
                <c:pt idx="44">
                  <c:v>27.9</c:v>
                </c:pt>
                <c:pt idx="45">
                  <c:v>27.6</c:v>
                </c:pt>
                <c:pt idx="46">
                  <c:v>27.5</c:v>
                </c:pt>
                <c:pt idx="47">
                  <c:v>27.3</c:v>
                </c:pt>
                <c:pt idx="48">
                  <c:v>27.7</c:v>
                </c:pt>
                <c:pt idx="49">
                  <c:v>27.5</c:v>
                </c:pt>
                <c:pt idx="50">
                  <c:v>27.6</c:v>
                </c:pt>
                <c:pt idx="51">
                  <c:v>27.5</c:v>
                </c:pt>
                <c:pt idx="52">
                  <c:v>27.8</c:v>
                </c:pt>
                <c:pt idx="53">
                  <c:v>27.9</c:v>
                </c:pt>
                <c:pt idx="54">
                  <c:v>27.3</c:v>
                </c:pt>
                <c:pt idx="55">
                  <c:v>27.9</c:v>
                </c:pt>
                <c:pt idx="56">
                  <c:v>27.5</c:v>
                </c:pt>
                <c:pt idx="57">
                  <c:v>28.3</c:v>
                </c:pt>
                <c:pt idx="58">
                  <c:v>28.1</c:v>
                </c:pt>
                <c:pt idx="59">
                  <c:v>27.3</c:v>
                </c:pt>
                <c:pt idx="60">
                  <c:v>27.6</c:v>
                </c:pt>
                <c:pt idx="61">
                  <c:v>27.8</c:v>
                </c:pt>
                <c:pt idx="62">
                  <c:v>28.7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D5-42EC-BFB0-FD8D4F0F846C}"/>
            </c:ext>
          </c:extLst>
        </c:ser>
        <c:ser>
          <c:idx val="2"/>
          <c:order val="2"/>
          <c:tx>
            <c:strRef>
              <c:f>Varadero!$U$1</c:f>
              <c:strCache>
                <c:ptCount val="1"/>
                <c:pt idx="0">
                  <c:v>Temp. aire IDEAM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Varadero!$Q$3:$Q$68</c:f>
              <c:numCache>
                <c:formatCode>0.000</c:formatCode>
                <c:ptCount val="66"/>
                <c:pt idx="0">
                  <c:v>28.355173833333328</c:v>
                </c:pt>
                <c:pt idx="1">
                  <c:v>28.293394333333335</c:v>
                </c:pt>
                <c:pt idx="2">
                  <c:v>28.339949749999999</c:v>
                </c:pt>
                <c:pt idx="3">
                  <c:v>28.264226666666669</c:v>
                </c:pt>
                <c:pt idx="4">
                  <c:v>28.428455916666667</c:v>
                </c:pt>
                <c:pt idx="5">
                  <c:v>28.769775499999994</c:v>
                </c:pt>
                <c:pt idx="6">
                  <c:v>28.08855208333333</c:v>
                </c:pt>
                <c:pt idx="7">
                  <c:v>28.12761025</c:v>
                </c:pt>
                <c:pt idx="8">
                  <c:v>28.209015750000002</c:v>
                </c:pt>
                <c:pt idx="9">
                  <c:v>28.362006749999995</c:v>
                </c:pt>
                <c:pt idx="10">
                  <c:v>28.552892583333332</c:v>
                </c:pt>
                <c:pt idx="11">
                  <c:v>28.266666999999998</c:v>
                </c:pt>
                <c:pt idx="12">
                  <c:v>28.298869166666666</c:v>
                </c:pt>
                <c:pt idx="13">
                  <c:v>28.077443916666667</c:v>
                </c:pt>
                <c:pt idx="14">
                  <c:v>28.024439666666666</c:v>
                </c:pt>
                <c:pt idx="15">
                  <c:v>27.931871750000003</c:v>
                </c:pt>
                <c:pt idx="16">
                  <c:v>28.058624499999997</c:v>
                </c:pt>
                <c:pt idx="17">
                  <c:v>28.510966333333329</c:v>
                </c:pt>
                <c:pt idx="18">
                  <c:v>28.115058000000005</c:v>
                </c:pt>
                <c:pt idx="19">
                  <c:v>28.120864749999999</c:v>
                </c:pt>
                <c:pt idx="20">
                  <c:v>28.316777833333333</c:v>
                </c:pt>
                <c:pt idx="21">
                  <c:v>27.888758000000006</c:v>
                </c:pt>
                <c:pt idx="22">
                  <c:v>28.107895583333331</c:v>
                </c:pt>
                <c:pt idx="23">
                  <c:v>27.87795366666667</c:v>
                </c:pt>
                <c:pt idx="24">
                  <c:v>27.760664083333335</c:v>
                </c:pt>
                <c:pt idx="25">
                  <c:v>27.93991741666667</c:v>
                </c:pt>
                <c:pt idx="26">
                  <c:v>27.649690250000006</c:v>
                </c:pt>
                <c:pt idx="27">
                  <c:v>28.092704083333331</c:v>
                </c:pt>
                <c:pt idx="28">
                  <c:v>28.246921083333337</c:v>
                </c:pt>
                <c:pt idx="29">
                  <c:v>27.5675025</c:v>
                </c:pt>
                <c:pt idx="30">
                  <c:v>27.473912250000001</c:v>
                </c:pt>
                <c:pt idx="31">
                  <c:v>27.73608175</c:v>
                </c:pt>
                <c:pt idx="32">
                  <c:v>28.159372166666667</c:v>
                </c:pt>
                <c:pt idx="33">
                  <c:v>27.829861749999996</c:v>
                </c:pt>
                <c:pt idx="34">
                  <c:v>28.183046750000003</c:v>
                </c:pt>
                <c:pt idx="35">
                  <c:v>28.043225333333336</c:v>
                </c:pt>
                <c:pt idx="36">
                  <c:v>27.986774416666673</c:v>
                </c:pt>
                <c:pt idx="37">
                  <c:v>27.972403499999999</c:v>
                </c:pt>
                <c:pt idx="38">
                  <c:v>27.774049833333336</c:v>
                </c:pt>
                <c:pt idx="39">
                  <c:v>27.514467499999999</c:v>
                </c:pt>
                <c:pt idx="40">
                  <c:v>27.558954583333332</c:v>
                </c:pt>
                <c:pt idx="41">
                  <c:v>27.592790750000002</c:v>
                </c:pt>
                <c:pt idx="42">
                  <c:v>28.07664158333333</c:v>
                </c:pt>
                <c:pt idx="43">
                  <c:v>27.869388916666669</c:v>
                </c:pt>
                <c:pt idx="44">
                  <c:v>27.683181750000003</c:v>
                </c:pt>
                <c:pt idx="45">
                  <c:v>28.037218416666665</c:v>
                </c:pt>
                <c:pt idx="46">
                  <c:v>28.474781416666669</c:v>
                </c:pt>
                <c:pt idx="47">
                  <c:v>27.772011333333335</c:v>
                </c:pt>
                <c:pt idx="48">
                  <c:v>27.815735333333333</c:v>
                </c:pt>
                <c:pt idx="49">
                  <c:v>28.076882083333331</c:v>
                </c:pt>
                <c:pt idx="50">
                  <c:v>27.645168583333341</c:v>
                </c:pt>
                <c:pt idx="51">
                  <c:v>27.886182833333336</c:v>
                </c:pt>
                <c:pt idx="52">
                  <c:v>28.205158166666664</c:v>
                </c:pt>
                <c:pt idx="53">
                  <c:v>28.066027083333335</c:v>
                </c:pt>
                <c:pt idx="54">
                  <c:v>28.061047250000001</c:v>
                </c:pt>
                <c:pt idx="55">
                  <c:v>28.31934583333334</c:v>
                </c:pt>
                <c:pt idx="56">
                  <c:v>27.904639749999998</c:v>
                </c:pt>
                <c:pt idx="57">
                  <c:v>28.568485999999996</c:v>
                </c:pt>
                <c:pt idx="58">
                  <c:v>27.856275833333331</c:v>
                </c:pt>
                <c:pt idx="59">
                  <c:v>27.723436416666669</c:v>
                </c:pt>
                <c:pt idx="60">
                  <c:v>27.847912249999997</c:v>
                </c:pt>
                <c:pt idx="61">
                  <c:v>27.961707083333334</c:v>
                </c:pt>
                <c:pt idx="62">
                  <c:v>28.018068</c:v>
                </c:pt>
                <c:pt idx="63">
                  <c:v>28.178450916666666</c:v>
                </c:pt>
                <c:pt idx="64">
                  <c:v>28.075387000000003</c:v>
                </c:pt>
                <c:pt idx="65">
                  <c:v>27.610493500000004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D5-42EC-BFB0-FD8D4F0F8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9119728"/>
        <c:axId val="-1429117552"/>
      </c:scatterChart>
      <c:valAx>
        <c:axId val="-1429113744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119184"/>
        <c:crosses val="autoZero"/>
        <c:crossBetween val="midCat"/>
      </c:valAx>
      <c:valAx>
        <c:axId val="-1429119184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113744"/>
        <c:crosses val="autoZero"/>
        <c:crossBetween val="midCat"/>
      </c:valAx>
      <c:valAx>
        <c:axId val="-1429117552"/>
        <c:scaling>
          <c:orientation val="minMax"/>
          <c:max val="29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Temperatura</a:t>
                </a:r>
                <a:r>
                  <a:rPr lang="es-CO" sz="1050" baseline="0">
                    <a:solidFill>
                      <a:schemeClr val="tx1"/>
                    </a:solidFill>
                  </a:rPr>
                  <a:t> (°C)</a:t>
                </a:r>
                <a:endParaRPr lang="es-CO" sz="105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119728"/>
        <c:crosses val="max"/>
        <c:crossBetween val="midCat"/>
        <c:majorUnit val="0.2"/>
      </c:valAx>
      <c:valAx>
        <c:axId val="-1429119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911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1950-2015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6049212598425193E-2"/>
                  <c:y val="0.4521755613881597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1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>
                        <a:solidFill>
                          <a:schemeClr val="tx1"/>
                        </a:solidFill>
                      </a:rPr>
                      <a:t>y = 0.4241x + 0.3685</a:t>
                    </a:r>
                    <a:br>
                      <a:rPr lang="en-US" sz="1100" baseline="0">
                        <a:solidFill>
                          <a:schemeClr val="tx1"/>
                        </a:solidFill>
                      </a:rPr>
                    </a:br>
                    <a:r>
                      <a:rPr lang="en-US" sz="1100" baseline="0">
                        <a:solidFill>
                          <a:schemeClr val="tx1"/>
                        </a:solidFill>
                      </a:rPr>
                      <a:t>R² = 0.3949; p &lt; 0.001</a:t>
                    </a:r>
                    <a:endParaRPr lang="en-US" sz="1100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Varadero!$C$3:$C$68</c:f>
              <c:numCache>
                <c:formatCode>0.000</c:formatCode>
                <c:ptCount val="66"/>
                <c:pt idx="0">
                  <c:v>1.3288425000000001</c:v>
                </c:pt>
                <c:pt idx="1">
                  <c:v>1.0056375000000002</c:v>
                </c:pt>
                <c:pt idx="2">
                  <c:v>1.4491025000000002</c:v>
                </c:pt>
                <c:pt idx="3">
                  <c:v>1.0613424999999994</c:v>
                </c:pt>
                <c:pt idx="4">
                  <c:v>1.0953537499999997</c:v>
                </c:pt>
                <c:pt idx="5">
                  <c:v>0.96144750000000012</c:v>
                </c:pt>
                <c:pt idx="6">
                  <c:v>0.99063999999999952</c:v>
                </c:pt>
                <c:pt idx="7">
                  <c:v>1.0479249999999998</c:v>
                </c:pt>
                <c:pt idx="8">
                  <c:v>1.0717125000000007</c:v>
                </c:pt>
                <c:pt idx="9">
                  <c:v>1.0762037500000015</c:v>
                </c:pt>
                <c:pt idx="10">
                  <c:v>1.1954750000000021</c:v>
                </c:pt>
                <c:pt idx="11">
                  <c:v>1.0958437499999982</c:v>
                </c:pt>
                <c:pt idx="12">
                  <c:v>1.1260799999999973</c:v>
                </c:pt>
                <c:pt idx="13">
                  <c:v>1.145457499999998</c:v>
                </c:pt>
                <c:pt idx="14">
                  <c:v>1.3224262499999979</c:v>
                </c:pt>
                <c:pt idx="15">
                  <c:v>1.2871387499999967</c:v>
                </c:pt>
                <c:pt idx="16">
                  <c:v>1.1094374999999963</c:v>
                </c:pt>
                <c:pt idx="17">
                  <c:v>1.1839987499999702</c:v>
                </c:pt>
                <c:pt idx="18">
                  <c:v>1.2116237499999751</c:v>
                </c:pt>
                <c:pt idx="19">
                  <c:v>1.0417712499999732</c:v>
                </c:pt>
                <c:pt idx="20">
                  <c:v>1.138191249999978</c:v>
                </c:pt>
                <c:pt idx="21">
                  <c:v>1.1313512500000416</c:v>
                </c:pt>
                <c:pt idx="22">
                  <c:v>1.1924450000000646</c:v>
                </c:pt>
                <c:pt idx="23">
                  <c:v>0.9424350000000512</c:v>
                </c:pt>
                <c:pt idx="24">
                  <c:v>1.0629525000000521</c:v>
                </c:pt>
                <c:pt idx="25">
                  <c:v>0.90601625000004438</c:v>
                </c:pt>
                <c:pt idx="26">
                  <c:v>1.0940662500000502</c:v>
                </c:pt>
                <c:pt idx="27">
                  <c:v>0.97822625000005248</c:v>
                </c:pt>
                <c:pt idx="28">
                  <c:v>0.90424875000003224</c:v>
                </c:pt>
                <c:pt idx="29">
                  <c:v>1.2817812500000807</c:v>
                </c:pt>
                <c:pt idx="30">
                  <c:v>1.0104675000000496</c:v>
                </c:pt>
                <c:pt idx="31">
                  <c:v>0.95353250000004541</c:v>
                </c:pt>
                <c:pt idx="32">
                  <c:v>1.0144487500000432</c:v>
                </c:pt>
                <c:pt idx="33">
                  <c:v>0.96354500000003052</c:v>
                </c:pt>
                <c:pt idx="34">
                  <c:v>0.8952266666666695</c:v>
                </c:pt>
                <c:pt idx="35">
                  <c:v>1.1383366666666674</c:v>
                </c:pt>
                <c:pt idx="36">
                  <c:v>0.9659916666666698</c:v>
                </c:pt>
                <c:pt idx="37">
                  <c:v>1.0012100000000015</c:v>
                </c:pt>
                <c:pt idx="38">
                  <c:v>0.99692333333333849</c:v>
                </c:pt>
                <c:pt idx="39">
                  <c:v>0.8648050000000076</c:v>
                </c:pt>
                <c:pt idx="40">
                  <c:v>0.89833000000000374</c:v>
                </c:pt>
                <c:pt idx="41">
                  <c:v>0.98207500000000769</c:v>
                </c:pt>
                <c:pt idx="42">
                  <c:v>0.86656500000000725</c:v>
                </c:pt>
                <c:pt idx="43">
                  <c:v>0.89607500000000806</c:v>
                </c:pt>
                <c:pt idx="44">
                  <c:v>0.98930000000000595</c:v>
                </c:pt>
                <c:pt idx="45">
                  <c:v>1.0213300000000072</c:v>
                </c:pt>
                <c:pt idx="46">
                  <c:v>0.96555000000000746</c:v>
                </c:pt>
                <c:pt idx="47">
                  <c:v>0.88354500000001224</c:v>
                </c:pt>
                <c:pt idx="48">
                  <c:v>0.91483500000000484</c:v>
                </c:pt>
                <c:pt idx="49">
                  <c:v>1.1003050000000119</c:v>
                </c:pt>
                <c:pt idx="50">
                  <c:v>1.0505650000000095</c:v>
                </c:pt>
                <c:pt idx="51">
                  <c:v>1.2753350000000079</c:v>
                </c:pt>
                <c:pt idx="52">
                  <c:v>1.2780850000000104</c:v>
                </c:pt>
                <c:pt idx="53">
                  <c:v>0.86632000000000531</c:v>
                </c:pt>
                <c:pt idx="54">
                  <c:v>1.1783200000000147</c:v>
                </c:pt>
                <c:pt idx="55">
                  <c:v>1.088045000000007</c:v>
                </c:pt>
                <c:pt idx="56">
                  <c:v>1.1885950000000089</c:v>
                </c:pt>
                <c:pt idx="57">
                  <c:v>1.0055900000000075</c:v>
                </c:pt>
                <c:pt idx="58">
                  <c:v>1.1233350000000211</c:v>
                </c:pt>
                <c:pt idx="59">
                  <c:v>0.9765600000000193</c:v>
                </c:pt>
                <c:pt idx="60">
                  <c:v>1.1600600000000252</c:v>
                </c:pt>
                <c:pt idx="61">
                  <c:v>1.0745950000000235</c:v>
                </c:pt>
                <c:pt idx="62">
                  <c:v>1.0985500000000208</c:v>
                </c:pt>
                <c:pt idx="63">
                  <c:v>1.1158250000000223</c:v>
                </c:pt>
                <c:pt idx="64">
                  <c:v>1.1058300000000283</c:v>
                </c:pt>
                <c:pt idx="65">
                  <c:v>1.277870000000026</c:v>
                </c:pt>
              </c:numCache>
            </c:numRef>
          </c:xVal>
          <c:yVal>
            <c:numRef>
              <c:f>Varadero!$D$3:$D$68</c:f>
              <c:numCache>
                <c:formatCode>0.000</c:formatCode>
                <c:ptCount val="66"/>
                <c:pt idx="0">
                  <c:v>0.89861944250262771</c:v>
                </c:pt>
                <c:pt idx="1">
                  <c:v>0.67616338076530669</c:v>
                </c:pt>
                <c:pt idx="2">
                  <c:v>0.95513204826260956</c:v>
                </c:pt>
                <c:pt idx="3">
                  <c:v>0.67846523020100968</c:v>
                </c:pt>
                <c:pt idx="4">
                  <c:v>0.76858001397364628</c:v>
                </c:pt>
                <c:pt idx="5">
                  <c:v>0.74785460141996563</c:v>
                </c:pt>
                <c:pt idx="6">
                  <c:v>0.73541377516793471</c:v>
                </c:pt>
                <c:pt idx="7">
                  <c:v>0.74468853428749215</c:v>
                </c:pt>
                <c:pt idx="8">
                  <c:v>0.70509187374558735</c:v>
                </c:pt>
                <c:pt idx="9">
                  <c:v>0.73922673930687277</c:v>
                </c:pt>
                <c:pt idx="10">
                  <c:v>0.77421518688815294</c:v>
                </c:pt>
                <c:pt idx="11">
                  <c:v>0.7750602035828873</c:v>
                </c:pt>
                <c:pt idx="12">
                  <c:v>0.71772243332640207</c:v>
                </c:pt>
                <c:pt idx="13">
                  <c:v>0.69238432336862221</c:v>
                </c:pt>
                <c:pt idx="14">
                  <c:v>0.81042461768659557</c:v>
                </c:pt>
                <c:pt idx="15">
                  <c:v>0.83971216191400699</c:v>
                </c:pt>
                <c:pt idx="16">
                  <c:v>0.76805074968800469</c:v>
                </c:pt>
                <c:pt idx="17">
                  <c:v>0.77952071045551719</c:v>
                </c:pt>
                <c:pt idx="18">
                  <c:v>0.78794392532763657</c:v>
                </c:pt>
                <c:pt idx="19">
                  <c:v>0.70046371859259748</c:v>
                </c:pt>
                <c:pt idx="20">
                  <c:v>0.84499156276491139</c:v>
                </c:pt>
                <c:pt idx="21">
                  <c:v>0.83750460615343214</c:v>
                </c:pt>
                <c:pt idx="22">
                  <c:v>0.88512751861105299</c:v>
                </c:pt>
                <c:pt idx="23">
                  <c:v>0.70065189883432588</c:v>
                </c:pt>
                <c:pt idx="24">
                  <c:v>0.76389599747968673</c:v>
                </c:pt>
                <c:pt idx="25">
                  <c:v>0.62155443750787687</c:v>
                </c:pt>
                <c:pt idx="26">
                  <c:v>0.7009571357665586</c:v>
                </c:pt>
                <c:pt idx="27">
                  <c:v>0.68067041264212103</c:v>
                </c:pt>
                <c:pt idx="28">
                  <c:v>0.57937830623980902</c:v>
                </c:pt>
                <c:pt idx="29">
                  <c:v>0.9137244591727095</c:v>
                </c:pt>
                <c:pt idx="30">
                  <c:v>0.81014162339068374</c:v>
                </c:pt>
                <c:pt idx="31">
                  <c:v>0.77041309484309028</c:v>
                </c:pt>
                <c:pt idx="32">
                  <c:v>0.71444404689772989</c:v>
                </c:pt>
                <c:pt idx="33">
                  <c:v>0.70922706035852245</c:v>
                </c:pt>
                <c:pt idx="34">
                  <c:v>0.63348785973737709</c:v>
                </c:pt>
                <c:pt idx="35">
                  <c:v>0.90178868215234875</c:v>
                </c:pt>
                <c:pt idx="36">
                  <c:v>0.786159508504094</c:v>
                </c:pt>
                <c:pt idx="37">
                  <c:v>0.89223852881270493</c:v>
                </c:pt>
                <c:pt idx="38">
                  <c:v>0.80933512622206105</c:v>
                </c:pt>
                <c:pt idx="39">
                  <c:v>0.73485435226570228</c:v>
                </c:pt>
                <c:pt idx="40">
                  <c:v>0.6842354122105565</c:v>
                </c:pt>
                <c:pt idx="41">
                  <c:v>0.81270513306733816</c:v>
                </c:pt>
                <c:pt idx="42">
                  <c:v>0.79573819637984344</c:v>
                </c:pt>
                <c:pt idx="43">
                  <c:v>0.79908125881827008</c:v>
                </c:pt>
                <c:pt idx="44">
                  <c:v>0.71810590356935666</c:v>
                </c:pt>
                <c:pt idx="45">
                  <c:v>0.78036292505424976</c:v>
                </c:pt>
                <c:pt idx="46">
                  <c:v>0.82660274716993065</c:v>
                </c:pt>
                <c:pt idx="47">
                  <c:v>0.67177069010627954</c:v>
                </c:pt>
                <c:pt idx="48">
                  <c:v>0.68057633577569776</c:v>
                </c:pt>
                <c:pt idx="49">
                  <c:v>0.72445656719533391</c:v>
                </c:pt>
                <c:pt idx="50">
                  <c:v>0.69175240506210889</c:v>
                </c:pt>
                <c:pt idx="51">
                  <c:v>0.74994636451518948</c:v>
                </c:pt>
                <c:pt idx="52">
                  <c:v>0.83596477949238868</c:v>
                </c:pt>
                <c:pt idx="53">
                  <c:v>0.70601604526680173</c:v>
                </c:pt>
                <c:pt idx="54">
                  <c:v>0.91887644077568664</c:v>
                </c:pt>
                <c:pt idx="55">
                  <c:v>0.85866745940204925</c:v>
                </c:pt>
                <c:pt idx="56">
                  <c:v>0.94995259889336625</c:v>
                </c:pt>
                <c:pt idx="57">
                  <c:v>0.81772522287197125</c:v>
                </c:pt>
                <c:pt idx="58">
                  <c:v>0.88231775076977448</c:v>
                </c:pt>
                <c:pt idx="59">
                  <c:v>0.82042625994662455</c:v>
                </c:pt>
                <c:pt idx="60">
                  <c:v>0.92327817498446618</c:v>
                </c:pt>
                <c:pt idx="61">
                  <c:v>0.86085402325627969</c:v>
                </c:pt>
                <c:pt idx="62">
                  <c:v>0.89161416792168025</c:v>
                </c:pt>
                <c:pt idx="63">
                  <c:v>0.89946540041670453</c:v>
                </c:pt>
                <c:pt idx="64">
                  <c:v>0.91613175379229406</c:v>
                </c:pt>
                <c:pt idx="65">
                  <c:v>0.92777402393217656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40-4479-AEC7-FA400D8C3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9115920"/>
        <c:axId val="-1429115376"/>
      </c:scatterChart>
      <c:valAx>
        <c:axId val="-1429115920"/>
        <c:scaling>
          <c:orientation val="minMax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115376"/>
        <c:crosses val="autoZero"/>
        <c:crossBetween val="midCat"/>
      </c:valAx>
      <c:valAx>
        <c:axId val="-1429115376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11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1950-2015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521587926509188"/>
                  <c:y val="0.1920457859434237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1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-0.2565x + 1.0562</a:t>
                    </a:r>
                    <a:br>
                      <a:rPr lang="en-US" baseline="0"/>
                    </a:br>
                    <a:r>
                      <a:rPr lang="en-US" baseline="0"/>
                      <a:t>R² = 0.2288; p &lt; 0.001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Varadero!$C$3:$C$68</c:f>
              <c:numCache>
                <c:formatCode>0.000</c:formatCode>
                <c:ptCount val="66"/>
                <c:pt idx="0">
                  <c:v>1.3288425000000001</c:v>
                </c:pt>
                <c:pt idx="1">
                  <c:v>1.0056375000000002</c:v>
                </c:pt>
                <c:pt idx="2">
                  <c:v>1.4491025000000002</c:v>
                </c:pt>
                <c:pt idx="3">
                  <c:v>1.0613424999999994</c:v>
                </c:pt>
                <c:pt idx="4">
                  <c:v>1.0953537499999997</c:v>
                </c:pt>
                <c:pt idx="5">
                  <c:v>0.96144750000000012</c:v>
                </c:pt>
                <c:pt idx="6">
                  <c:v>0.99063999999999952</c:v>
                </c:pt>
                <c:pt idx="7">
                  <c:v>1.0479249999999998</c:v>
                </c:pt>
                <c:pt idx="8">
                  <c:v>1.0717125000000007</c:v>
                </c:pt>
                <c:pt idx="9">
                  <c:v>1.0762037500000015</c:v>
                </c:pt>
                <c:pt idx="10">
                  <c:v>1.1954750000000021</c:v>
                </c:pt>
                <c:pt idx="11">
                  <c:v>1.0958437499999982</c:v>
                </c:pt>
                <c:pt idx="12">
                  <c:v>1.1260799999999973</c:v>
                </c:pt>
                <c:pt idx="13">
                  <c:v>1.145457499999998</c:v>
                </c:pt>
                <c:pt idx="14">
                  <c:v>1.3224262499999979</c:v>
                </c:pt>
                <c:pt idx="15">
                  <c:v>1.2871387499999967</c:v>
                </c:pt>
                <c:pt idx="16">
                  <c:v>1.1094374999999963</c:v>
                </c:pt>
                <c:pt idx="17">
                  <c:v>1.1839987499999702</c:v>
                </c:pt>
                <c:pt idx="18">
                  <c:v>1.2116237499999751</c:v>
                </c:pt>
                <c:pt idx="19">
                  <c:v>1.0417712499999732</c:v>
                </c:pt>
                <c:pt idx="20">
                  <c:v>1.138191249999978</c:v>
                </c:pt>
                <c:pt idx="21">
                  <c:v>1.1313512500000416</c:v>
                </c:pt>
                <c:pt idx="22">
                  <c:v>1.1924450000000646</c:v>
                </c:pt>
                <c:pt idx="23">
                  <c:v>0.9424350000000512</c:v>
                </c:pt>
                <c:pt idx="24">
                  <c:v>1.0629525000000521</c:v>
                </c:pt>
                <c:pt idx="25">
                  <c:v>0.90601625000004438</c:v>
                </c:pt>
                <c:pt idx="26">
                  <c:v>1.0940662500000502</c:v>
                </c:pt>
                <c:pt idx="27">
                  <c:v>0.97822625000005248</c:v>
                </c:pt>
                <c:pt idx="28">
                  <c:v>0.90424875000003224</c:v>
                </c:pt>
                <c:pt idx="29">
                  <c:v>1.2817812500000807</c:v>
                </c:pt>
                <c:pt idx="30">
                  <c:v>1.0104675000000496</c:v>
                </c:pt>
                <c:pt idx="31">
                  <c:v>0.95353250000004541</c:v>
                </c:pt>
                <c:pt idx="32">
                  <c:v>1.0144487500000432</c:v>
                </c:pt>
                <c:pt idx="33">
                  <c:v>0.96354500000003052</c:v>
                </c:pt>
                <c:pt idx="34">
                  <c:v>0.8952266666666695</c:v>
                </c:pt>
                <c:pt idx="35">
                  <c:v>1.1383366666666674</c:v>
                </c:pt>
                <c:pt idx="36">
                  <c:v>0.9659916666666698</c:v>
                </c:pt>
                <c:pt idx="37">
                  <c:v>1.0012100000000015</c:v>
                </c:pt>
                <c:pt idx="38">
                  <c:v>0.99692333333333849</c:v>
                </c:pt>
                <c:pt idx="39">
                  <c:v>0.8648050000000076</c:v>
                </c:pt>
                <c:pt idx="40">
                  <c:v>0.89833000000000374</c:v>
                </c:pt>
                <c:pt idx="41">
                  <c:v>0.98207500000000769</c:v>
                </c:pt>
                <c:pt idx="42">
                  <c:v>0.86656500000000725</c:v>
                </c:pt>
                <c:pt idx="43">
                  <c:v>0.89607500000000806</c:v>
                </c:pt>
                <c:pt idx="44">
                  <c:v>0.98930000000000595</c:v>
                </c:pt>
                <c:pt idx="45">
                  <c:v>1.0213300000000072</c:v>
                </c:pt>
                <c:pt idx="46">
                  <c:v>0.96555000000000746</c:v>
                </c:pt>
                <c:pt idx="47">
                  <c:v>0.88354500000001224</c:v>
                </c:pt>
                <c:pt idx="48">
                  <c:v>0.91483500000000484</c:v>
                </c:pt>
                <c:pt idx="49">
                  <c:v>1.1003050000000119</c:v>
                </c:pt>
                <c:pt idx="50">
                  <c:v>1.0505650000000095</c:v>
                </c:pt>
                <c:pt idx="51">
                  <c:v>1.2753350000000079</c:v>
                </c:pt>
                <c:pt idx="52">
                  <c:v>1.2780850000000104</c:v>
                </c:pt>
                <c:pt idx="53">
                  <c:v>0.86632000000000531</c:v>
                </c:pt>
                <c:pt idx="54">
                  <c:v>1.1783200000000147</c:v>
                </c:pt>
                <c:pt idx="55">
                  <c:v>1.088045000000007</c:v>
                </c:pt>
                <c:pt idx="56">
                  <c:v>1.1885950000000089</c:v>
                </c:pt>
                <c:pt idx="57">
                  <c:v>1.0055900000000075</c:v>
                </c:pt>
                <c:pt idx="58">
                  <c:v>1.1233350000000211</c:v>
                </c:pt>
                <c:pt idx="59">
                  <c:v>0.9765600000000193</c:v>
                </c:pt>
                <c:pt idx="60">
                  <c:v>1.1600600000000252</c:v>
                </c:pt>
                <c:pt idx="61">
                  <c:v>1.0745950000000235</c:v>
                </c:pt>
                <c:pt idx="62">
                  <c:v>1.0985500000000208</c:v>
                </c:pt>
                <c:pt idx="63">
                  <c:v>1.1158250000000223</c:v>
                </c:pt>
                <c:pt idx="64">
                  <c:v>1.1058300000000283</c:v>
                </c:pt>
                <c:pt idx="65">
                  <c:v>1.277870000000026</c:v>
                </c:pt>
              </c:numCache>
            </c:numRef>
          </c:xVal>
          <c:yVal>
            <c:numRef>
              <c:f>Varadero!$B$3:$B$68</c:f>
              <c:numCache>
                <c:formatCode>0.000</c:formatCode>
                <c:ptCount val="66"/>
                <c:pt idx="0">
                  <c:v>0.69275594099254056</c:v>
                </c:pt>
                <c:pt idx="1">
                  <c:v>0.71124144819945578</c:v>
                </c:pt>
                <c:pt idx="2">
                  <c:v>0.66893704445192248</c:v>
                </c:pt>
                <c:pt idx="3">
                  <c:v>0.6786841144954634</c:v>
                </c:pt>
                <c:pt idx="4">
                  <c:v>0.7301427075099467</c:v>
                </c:pt>
                <c:pt idx="5">
                  <c:v>0.82579825013086317</c:v>
                </c:pt>
                <c:pt idx="6">
                  <c:v>0.75146635183968336</c:v>
                </c:pt>
                <c:pt idx="7">
                  <c:v>0.72188983408378515</c:v>
                </c:pt>
                <c:pt idx="8">
                  <c:v>0.65930993802523696</c:v>
                </c:pt>
                <c:pt idx="9">
                  <c:v>0.69041012484460884</c:v>
                </c:pt>
                <c:pt idx="10">
                  <c:v>0.66468884131035</c:v>
                </c:pt>
                <c:pt idx="11">
                  <c:v>0.72895403310072071</c:v>
                </c:pt>
                <c:pt idx="12">
                  <c:v>0.64735904287821244</c:v>
                </c:pt>
                <c:pt idx="13">
                  <c:v>0.61148302851284342</c:v>
                </c:pt>
                <c:pt idx="14">
                  <c:v>0.61631882185878306</c:v>
                </c:pt>
                <c:pt idx="15">
                  <c:v>0.64976285035042358</c:v>
                </c:pt>
                <c:pt idx="16">
                  <c:v>0.70172658847989</c:v>
                </c:pt>
                <c:pt idx="17">
                  <c:v>0.66720052101238081</c:v>
                </c:pt>
                <c:pt idx="18">
                  <c:v>0.68815899137866954</c:v>
                </c:pt>
                <c:pt idx="19">
                  <c:v>0.70481662248755617</c:v>
                </c:pt>
                <c:pt idx="20">
                  <c:v>0.76085574761571295</c:v>
                </c:pt>
                <c:pt idx="21">
                  <c:v>0.76223225205721878</c:v>
                </c:pt>
                <c:pt idx="22">
                  <c:v>0.76550941279331686</c:v>
                </c:pt>
                <c:pt idx="23">
                  <c:v>0.74682663922006209</c:v>
                </c:pt>
                <c:pt idx="24">
                  <c:v>0.71249896018521353</c:v>
                </c:pt>
                <c:pt idx="25">
                  <c:v>0.68488088168345862</c:v>
                </c:pt>
                <c:pt idx="26">
                  <c:v>0.66112109731149205</c:v>
                </c:pt>
                <c:pt idx="27">
                  <c:v>0.68004303478323336</c:v>
                </c:pt>
                <c:pt idx="28">
                  <c:v>0.64277460536044184</c:v>
                </c:pt>
                <c:pt idx="29">
                  <c:v>0.71834118769974631</c:v>
                </c:pt>
                <c:pt idx="30">
                  <c:v>0.81621696528249332</c:v>
                </c:pt>
                <c:pt idx="31">
                  <c:v>0.78630406735730318</c:v>
                </c:pt>
                <c:pt idx="32">
                  <c:v>0.69383695743190543</c:v>
                </c:pt>
                <c:pt idx="33">
                  <c:v>0.71755662143159182</c:v>
                </c:pt>
                <c:pt idx="34">
                  <c:v>0.70060290104650136</c:v>
                </c:pt>
                <c:pt idx="35">
                  <c:v>0.77656957554076655</c:v>
                </c:pt>
                <c:pt idx="36">
                  <c:v>0.82674978191610815</c:v>
                </c:pt>
                <c:pt idx="37">
                  <c:v>0.90256161926284884</c:v>
                </c:pt>
                <c:pt idx="38">
                  <c:v>0.81826674625094997</c:v>
                </c:pt>
                <c:pt idx="39">
                  <c:v>0.83399342010468247</c:v>
                </c:pt>
                <c:pt idx="40">
                  <c:v>0.76460190559228713</c:v>
                </c:pt>
                <c:pt idx="41">
                  <c:v>0.80540052998320955</c:v>
                </c:pt>
                <c:pt idx="42">
                  <c:v>0.88487004663954949</c:v>
                </c:pt>
                <c:pt idx="43">
                  <c:v>0.87733580639488029</c:v>
                </c:pt>
                <c:pt idx="44">
                  <c:v>0.72620131595560655</c:v>
                </c:pt>
                <c:pt idx="45">
                  <c:v>0.77183524580726504</c:v>
                </c:pt>
                <c:pt idx="46">
                  <c:v>0.8442804105053231</c:v>
                </c:pt>
                <c:pt idx="47">
                  <c:v>0.77234237168575959</c:v>
                </c:pt>
                <c:pt idx="48">
                  <c:v>0.7418506643291094</c:v>
                </c:pt>
                <c:pt idx="49">
                  <c:v>0.70300292531106556</c:v>
                </c:pt>
                <c:pt idx="50">
                  <c:v>0.66830303202063268</c:v>
                </c:pt>
                <c:pt idx="51">
                  <c:v>0.59998764512344638</c:v>
                </c:pt>
                <c:pt idx="52">
                  <c:v>0.65947992896465391</c:v>
                </c:pt>
                <c:pt idx="53">
                  <c:v>0.80290479896806366</c:v>
                </c:pt>
                <c:pt idx="54">
                  <c:v>0.80215070341759287</c:v>
                </c:pt>
                <c:pt idx="55">
                  <c:v>0.77599267357044788</c:v>
                </c:pt>
                <c:pt idx="56">
                  <c:v>0.80044614612293197</c:v>
                </c:pt>
                <c:pt idx="57">
                  <c:v>0.81415417853437244</c:v>
                </c:pt>
                <c:pt idx="58">
                  <c:v>0.78587784321928833</c:v>
                </c:pt>
                <c:pt idx="59">
                  <c:v>0.84334114027373452</c:v>
                </c:pt>
                <c:pt idx="60">
                  <c:v>0.81728580497279879</c:v>
                </c:pt>
                <c:pt idx="61">
                  <c:v>0.80183968730505883</c:v>
                </c:pt>
                <c:pt idx="62">
                  <c:v>0.83421888198590821</c:v>
                </c:pt>
                <c:pt idx="63">
                  <c:v>0.81860517263111987</c:v>
                </c:pt>
                <c:pt idx="64">
                  <c:v>0.82815686403954059</c:v>
                </c:pt>
                <c:pt idx="65">
                  <c:v>0.75076781370026691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49-459E-82B0-CCE437037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9961600"/>
        <c:axId val="-1429963232"/>
      </c:scatterChart>
      <c:valAx>
        <c:axId val="-1429961600"/>
        <c:scaling>
          <c:orientation val="minMax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963232"/>
        <c:crosses val="autoZero"/>
        <c:crossBetween val="midCat"/>
      </c:valAx>
      <c:valAx>
        <c:axId val="-1429963232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96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1950-2015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156824146981627E-2"/>
                  <c:y val="0.3420330271216098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1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0.45x + 0.4748</a:t>
                    </a:r>
                    <a:br>
                      <a:rPr lang="en-US" baseline="0"/>
                    </a:br>
                    <a:r>
                      <a:rPr lang="en-US" baseline="0"/>
                      <a:t>R² = 0.1278; p &lt; 0.001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Varadero!$B$3:$B$68</c:f>
              <c:numCache>
                <c:formatCode>0.000</c:formatCode>
                <c:ptCount val="66"/>
                <c:pt idx="0">
                  <c:v>0.69275594099254056</c:v>
                </c:pt>
                <c:pt idx="1">
                  <c:v>0.71124144819945578</c:v>
                </c:pt>
                <c:pt idx="2">
                  <c:v>0.66893704445192248</c:v>
                </c:pt>
                <c:pt idx="3">
                  <c:v>0.6786841144954634</c:v>
                </c:pt>
                <c:pt idx="4">
                  <c:v>0.7301427075099467</c:v>
                </c:pt>
                <c:pt idx="5">
                  <c:v>0.82579825013086317</c:v>
                </c:pt>
                <c:pt idx="6">
                  <c:v>0.75146635183968336</c:v>
                </c:pt>
                <c:pt idx="7">
                  <c:v>0.72188983408378515</c:v>
                </c:pt>
                <c:pt idx="8">
                  <c:v>0.65930993802523696</c:v>
                </c:pt>
                <c:pt idx="9">
                  <c:v>0.69041012484460884</c:v>
                </c:pt>
                <c:pt idx="10">
                  <c:v>0.66468884131035</c:v>
                </c:pt>
                <c:pt idx="11">
                  <c:v>0.72895403310072071</c:v>
                </c:pt>
                <c:pt idx="12">
                  <c:v>0.64735904287821244</c:v>
                </c:pt>
                <c:pt idx="13">
                  <c:v>0.61148302851284342</c:v>
                </c:pt>
                <c:pt idx="14">
                  <c:v>0.61631882185878306</c:v>
                </c:pt>
                <c:pt idx="15">
                  <c:v>0.64976285035042358</c:v>
                </c:pt>
                <c:pt idx="16">
                  <c:v>0.70172658847989</c:v>
                </c:pt>
                <c:pt idx="17">
                  <c:v>0.66720052101238081</c:v>
                </c:pt>
                <c:pt idx="18">
                  <c:v>0.68815899137866954</c:v>
                </c:pt>
                <c:pt idx="19">
                  <c:v>0.70481662248755617</c:v>
                </c:pt>
                <c:pt idx="20">
                  <c:v>0.76085574761571295</c:v>
                </c:pt>
                <c:pt idx="21">
                  <c:v>0.76223225205721878</c:v>
                </c:pt>
                <c:pt idx="22">
                  <c:v>0.76550941279331686</c:v>
                </c:pt>
                <c:pt idx="23">
                  <c:v>0.74682663922006209</c:v>
                </c:pt>
                <c:pt idx="24">
                  <c:v>0.71249896018521353</c:v>
                </c:pt>
                <c:pt idx="25">
                  <c:v>0.68488088168345862</c:v>
                </c:pt>
                <c:pt idx="26">
                  <c:v>0.66112109731149205</c:v>
                </c:pt>
                <c:pt idx="27">
                  <c:v>0.68004303478323336</c:v>
                </c:pt>
                <c:pt idx="28">
                  <c:v>0.64277460536044184</c:v>
                </c:pt>
                <c:pt idx="29">
                  <c:v>0.71834118769974631</c:v>
                </c:pt>
                <c:pt idx="30">
                  <c:v>0.81621696528249332</c:v>
                </c:pt>
                <c:pt idx="31">
                  <c:v>0.78630406735730318</c:v>
                </c:pt>
                <c:pt idx="32">
                  <c:v>0.69383695743190543</c:v>
                </c:pt>
                <c:pt idx="33">
                  <c:v>0.71755662143159182</c:v>
                </c:pt>
                <c:pt idx="34">
                  <c:v>0.70060290104650136</c:v>
                </c:pt>
                <c:pt idx="35">
                  <c:v>0.77656957554076655</c:v>
                </c:pt>
                <c:pt idx="36">
                  <c:v>0.82674978191610815</c:v>
                </c:pt>
                <c:pt idx="37">
                  <c:v>0.90256161926284884</c:v>
                </c:pt>
                <c:pt idx="38">
                  <c:v>0.81826674625094997</c:v>
                </c:pt>
                <c:pt idx="39">
                  <c:v>0.83399342010468247</c:v>
                </c:pt>
                <c:pt idx="40">
                  <c:v>0.76460190559228713</c:v>
                </c:pt>
                <c:pt idx="41">
                  <c:v>0.80540052998320955</c:v>
                </c:pt>
                <c:pt idx="42">
                  <c:v>0.88487004663954949</c:v>
                </c:pt>
                <c:pt idx="43">
                  <c:v>0.87733580639488029</c:v>
                </c:pt>
                <c:pt idx="44">
                  <c:v>0.72620131595560655</c:v>
                </c:pt>
                <c:pt idx="45">
                  <c:v>0.77183524580726504</c:v>
                </c:pt>
                <c:pt idx="46">
                  <c:v>0.8442804105053231</c:v>
                </c:pt>
                <c:pt idx="47">
                  <c:v>0.77234237168575959</c:v>
                </c:pt>
                <c:pt idx="48">
                  <c:v>0.7418506643291094</c:v>
                </c:pt>
                <c:pt idx="49">
                  <c:v>0.70300292531106556</c:v>
                </c:pt>
                <c:pt idx="50">
                  <c:v>0.66830303202063268</c:v>
                </c:pt>
                <c:pt idx="51">
                  <c:v>0.59998764512344638</c:v>
                </c:pt>
                <c:pt idx="52">
                  <c:v>0.65947992896465391</c:v>
                </c:pt>
                <c:pt idx="53">
                  <c:v>0.80290479896806366</c:v>
                </c:pt>
                <c:pt idx="54">
                  <c:v>0.80215070341759287</c:v>
                </c:pt>
                <c:pt idx="55">
                  <c:v>0.77599267357044788</c:v>
                </c:pt>
                <c:pt idx="56">
                  <c:v>0.80044614612293197</c:v>
                </c:pt>
                <c:pt idx="57">
                  <c:v>0.81415417853437244</c:v>
                </c:pt>
                <c:pt idx="58">
                  <c:v>0.78587784321928833</c:v>
                </c:pt>
                <c:pt idx="59">
                  <c:v>0.84334114027373452</c:v>
                </c:pt>
                <c:pt idx="60">
                  <c:v>0.81728580497279879</c:v>
                </c:pt>
                <c:pt idx="61">
                  <c:v>0.80183968730505883</c:v>
                </c:pt>
                <c:pt idx="62">
                  <c:v>0.83421888198590821</c:v>
                </c:pt>
                <c:pt idx="63">
                  <c:v>0.81860517263111987</c:v>
                </c:pt>
                <c:pt idx="64">
                  <c:v>0.82815686403954059</c:v>
                </c:pt>
                <c:pt idx="65">
                  <c:v>0.75076781370026691</c:v>
                </c:pt>
              </c:numCache>
            </c:numRef>
          </c:xVal>
          <c:yVal>
            <c:numRef>
              <c:f>Varadero!$D$3:$D$68</c:f>
              <c:numCache>
                <c:formatCode>0.000</c:formatCode>
                <c:ptCount val="66"/>
                <c:pt idx="0">
                  <c:v>0.89861944250262771</c:v>
                </c:pt>
                <c:pt idx="1">
                  <c:v>0.67616338076530669</c:v>
                </c:pt>
                <c:pt idx="2">
                  <c:v>0.95513204826260956</c:v>
                </c:pt>
                <c:pt idx="3">
                  <c:v>0.67846523020100968</c:v>
                </c:pt>
                <c:pt idx="4">
                  <c:v>0.76858001397364628</c:v>
                </c:pt>
                <c:pt idx="5">
                  <c:v>0.74785460141996563</c:v>
                </c:pt>
                <c:pt idx="6">
                  <c:v>0.73541377516793471</c:v>
                </c:pt>
                <c:pt idx="7">
                  <c:v>0.74468853428749215</c:v>
                </c:pt>
                <c:pt idx="8">
                  <c:v>0.70509187374558735</c:v>
                </c:pt>
                <c:pt idx="9">
                  <c:v>0.73922673930687277</c:v>
                </c:pt>
                <c:pt idx="10">
                  <c:v>0.77421518688815294</c:v>
                </c:pt>
                <c:pt idx="11">
                  <c:v>0.7750602035828873</c:v>
                </c:pt>
                <c:pt idx="12">
                  <c:v>0.71772243332640207</c:v>
                </c:pt>
                <c:pt idx="13">
                  <c:v>0.69238432336862221</c:v>
                </c:pt>
                <c:pt idx="14">
                  <c:v>0.81042461768659557</c:v>
                </c:pt>
                <c:pt idx="15">
                  <c:v>0.83971216191400699</c:v>
                </c:pt>
                <c:pt idx="16">
                  <c:v>0.76805074968800469</c:v>
                </c:pt>
                <c:pt idx="17">
                  <c:v>0.77952071045551719</c:v>
                </c:pt>
                <c:pt idx="18">
                  <c:v>0.78794392532763657</c:v>
                </c:pt>
                <c:pt idx="19">
                  <c:v>0.70046371859259748</c:v>
                </c:pt>
                <c:pt idx="20">
                  <c:v>0.84499156276491139</c:v>
                </c:pt>
                <c:pt idx="21">
                  <c:v>0.83750460615343214</c:v>
                </c:pt>
                <c:pt idx="22">
                  <c:v>0.88512751861105299</c:v>
                </c:pt>
                <c:pt idx="23">
                  <c:v>0.70065189883432588</c:v>
                </c:pt>
                <c:pt idx="24">
                  <c:v>0.76389599747968673</c:v>
                </c:pt>
                <c:pt idx="25">
                  <c:v>0.62155443750787687</c:v>
                </c:pt>
                <c:pt idx="26">
                  <c:v>0.7009571357665586</c:v>
                </c:pt>
                <c:pt idx="27">
                  <c:v>0.68067041264212103</c:v>
                </c:pt>
                <c:pt idx="28">
                  <c:v>0.57937830623980902</c:v>
                </c:pt>
                <c:pt idx="29">
                  <c:v>0.9137244591727095</c:v>
                </c:pt>
                <c:pt idx="30">
                  <c:v>0.81014162339068374</c:v>
                </c:pt>
                <c:pt idx="31">
                  <c:v>0.77041309484309028</c:v>
                </c:pt>
                <c:pt idx="32">
                  <c:v>0.71444404689772989</c:v>
                </c:pt>
                <c:pt idx="33">
                  <c:v>0.70922706035852245</c:v>
                </c:pt>
                <c:pt idx="34">
                  <c:v>0.63348785973737709</c:v>
                </c:pt>
                <c:pt idx="35">
                  <c:v>0.90178868215234875</c:v>
                </c:pt>
                <c:pt idx="36">
                  <c:v>0.786159508504094</c:v>
                </c:pt>
                <c:pt idx="37">
                  <c:v>0.89223852881270493</c:v>
                </c:pt>
                <c:pt idx="38">
                  <c:v>0.80933512622206105</c:v>
                </c:pt>
                <c:pt idx="39">
                  <c:v>0.73485435226570228</c:v>
                </c:pt>
                <c:pt idx="40">
                  <c:v>0.6842354122105565</c:v>
                </c:pt>
                <c:pt idx="41">
                  <c:v>0.81270513306733816</c:v>
                </c:pt>
                <c:pt idx="42">
                  <c:v>0.79573819637984344</c:v>
                </c:pt>
                <c:pt idx="43">
                  <c:v>0.79908125881827008</c:v>
                </c:pt>
                <c:pt idx="44">
                  <c:v>0.71810590356935666</c:v>
                </c:pt>
                <c:pt idx="45">
                  <c:v>0.78036292505424976</c:v>
                </c:pt>
                <c:pt idx="46">
                  <c:v>0.82660274716993065</c:v>
                </c:pt>
                <c:pt idx="47">
                  <c:v>0.67177069010627954</c:v>
                </c:pt>
                <c:pt idx="48">
                  <c:v>0.68057633577569776</c:v>
                </c:pt>
                <c:pt idx="49">
                  <c:v>0.72445656719533391</c:v>
                </c:pt>
                <c:pt idx="50">
                  <c:v>0.69175240506210889</c:v>
                </c:pt>
                <c:pt idx="51">
                  <c:v>0.74994636451518948</c:v>
                </c:pt>
                <c:pt idx="52">
                  <c:v>0.83596477949238868</c:v>
                </c:pt>
                <c:pt idx="53">
                  <c:v>0.70601604526680173</c:v>
                </c:pt>
                <c:pt idx="54">
                  <c:v>0.91887644077568664</c:v>
                </c:pt>
                <c:pt idx="55">
                  <c:v>0.85866745940204925</c:v>
                </c:pt>
                <c:pt idx="56">
                  <c:v>0.94995259889336625</c:v>
                </c:pt>
                <c:pt idx="57">
                  <c:v>0.81772522287197125</c:v>
                </c:pt>
                <c:pt idx="58">
                  <c:v>0.88231775076977448</c:v>
                </c:pt>
                <c:pt idx="59">
                  <c:v>0.82042625994662455</c:v>
                </c:pt>
                <c:pt idx="60">
                  <c:v>0.92327817498446618</c:v>
                </c:pt>
                <c:pt idx="61">
                  <c:v>0.86085402325627969</c:v>
                </c:pt>
                <c:pt idx="62">
                  <c:v>0.89161416792168025</c:v>
                </c:pt>
                <c:pt idx="63">
                  <c:v>0.89946540041670453</c:v>
                </c:pt>
                <c:pt idx="64">
                  <c:v>0.91613175379229406</c:v>
                </c:pt>
                <c:pt idx="65">
                  <c:v>0.92777402393217656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FC-4502-91F9-6650893BD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9966496"/>
        <c:axId val="-1429968672"/>
      </c:scatterChart>
      <c:valAx>
        <c:axId val="-1429966496"/>
        <c:scaling>
          <c:orientation val="minMax"/>
          <c:min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968672"/>
        <c:crosses val="autoZero"/>
        <c:crossBetween val="midCat"/>
      </c:valAx>
      <c:valAx>
        <c:axId val="-1429968672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96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1953-1983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386805446312132"/>
                  <c:y val="0.3647105570137066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5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aseline="0">
                        <a:solidFill>
                          <a:schemeClr val="tx1"/>
                        </a:solidFill>
                      </a:rPr>
                      <a:t>y = 0.2162x - 5.1618</a:t>
                    </a:r>
                    <a:br>
                      <a:rPr lang="en-US" sz="1050" baseline="0">
                        <a:solidFill>
                          <a:schemeClr val="tx1"/>
                        </a:solidFill>
                      </a:rPr>
                    </a:br>
                    <a:r>
                      <a:rPr lang="en-US" sz="1050" baseline="0">
                        <a:solidFill>
                          <a:schemeClr val="tx1"/>
                        </a:solidFill>
                      </a:rPr>
                      <a:t>R² = 0.268; p &lt; 0.005</a:t>
                    </a:r>
                    <a:endParaRPr lang="en-US" sz="1050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Varadero!$V$35:$V$65</c:f>
              <c:numCache>
                <c:formatCode>General</c:formatCode>
                <c:ptCount val="31"/>
                <c:pt idx="0">
                  <c:v>28.1</c:v>
                </c:pt>
                <c:pt idx="1">
                  <c:v>27.6</c:v>
                </c:pt>
                <c:pt idx="2">
                  <c:v>27.9</c:v>
                </c:pt>
                <c:pt idx="3">
                  <c:v>28.1</c:v>
                </c:pt>
                <c:pt idx="4">
                  <c:v>28.1</c:v>
                </c:pt>
                <c:pt idx="5">
                  <c:v>28.1</c:v>
                </c:pt>
                <c:pt idx="6">
                  <c:v>27.7</c:v>
                </c:pt>
                <c:pt idx="7">
                  <c:v>27.2</c:v>
                </c:pt>
                <c:pt idx="8">
                  <c:v>27.1</c:v>
                </c:pt>
                <c:pt idx="9">
                  <c:v>27.8</c:v>
                </c:pt>
                <c:pt idx="10">
                  <c:v>27.9</c:v>
                </c:pt>
                <c:pt idx="11">
                  <c:v>28.4</c:v>
                </c:pt>
                <c:pt idx="12">
                  <c:v>27.9</c:v>
                </c:pt>
                <c:pt idx="13">
                  <c:v>27.6</c:v>
                </c:pt>
                <c:pt idx="14">
                  <c:v>27.5</c:v>
                </c:pt>
                <c:pt idx="15">
                  <c:v>27.3</c:v>
                </c:pt>
                <c:pt idx="16">
                  <c:v>27.7</c:v>
                </c:pt>
                <c:pt idx="17">
                  <c:v>27.5</c:v>
                </c:pt>
                <c:pt idx="18">
                  <c:v>27.6</c:v>
                </c:pt>
                <c:pt idx="19">
                  <c:v>27.5</c:v>
                </c:pt>
                <c:pt idx="20">
                  <c:v>27.8</c:v>
                </c:pt>
                <c:pt idx="21">
                  <c:v>27.9</c:v>
                </c:pt>
                <c:pt idx="22">
                  <c:v>27.3</c:v>
                </c:pt>
                <c:pt idx="23">
                  <c:v>27.9</c:v>
                </c:pt>
                <c:pt idx="24">
                  <c:v>27.5</c:v>
                </c:pt>
                <c:pt idx="25">
                  <c:v>28.3</c:v>
                </c:pt>
                <c:pt idx="26">
                  <c:v>28.1</c:v>
                </c:pt>
                <c:pt idx="27">
                  <c:v>27.3</c:v>
                </c:pt>
                <c:pt idx="28">
                  <c:v>27.6</c:v>
                </c:pt>
                <c:pt idx="29">
                  <c:v>27.8</c:v>
                </c:pt>
                <c:pt idx="30">
                  <c:v>28.7</c:v>
                </c:pt>
              </c:numCache>
            </c:numRef>
          </c:xVal>
          <c:yVal>
            <c:numRef>
              <c:f>Varadero!$D$35:$D$65</c:f>
              <c:numCache>
                <c:formatCode>0.000</c:formatCode>
                <c:ptCount val="31"/>
                <c:pt idx="0">
                  <c:v>0.71444404689772989</c:v>
                </c:pt>
                <c:pt idx="1">
                  <c:v>0.70922706035852245</c:v>
                </c:pt>
                <c:pt idx="2">
                  <c:v>0.63348785973737709</c:v>
                </c:pt>
                <c:pt idx="3">
                  <c:v>0.90178868215234875</c:v>
                </c:pt>
                <c:pt idx="4">
                  <c:v>0.786159508504094</c:v>
                </c:pt>
                <c:pt idx="5">
                  <c:v>0.89223852881270493</c:v>
                </c:pt>
                <c:pt idx="6">
                  <c:v>0.80933512622206105</c:v>
                </c:pt>
                <c:pt idx="7">
                  <c:v>0.73485435226570228</c:v>
                </c:pt>
                <c:pt idx="8">
                  <c:v>0.6842354122105565</c:v>
                </c:pt>
                <c:pt idx="9">
                  <c:v>0.81270513306733816</c:v>
                </c:pt>
                <c:pt idx="10">
                  <c:v>0.79573819637984344</c:v>
                </c:pt>
                <c:pt idx="11">
                  <c:v>0.79908125881827008</c:v>
                </c:pt>
                <c:pt idx="12">
                  <c:v>0.71810590356935666</c:v>
                </c:pt>
                <c:pt idx="13">
                  <c:v>0.78036292505424976</c:v>
                </c:pt>
                <c:pt idx="14">
                  <c:v>0.82660274716993065</c:v>
                </c:pt>
                <c:pt idx="15">
                  <c:v>0.67177069010627954</c:v>
                </c:pt>
                <c:pt idx="16">
                  <c:v>0.68057633577569776</c:v>
                </c:pt>
                <c:pt idx="17">
                  <c:v>0.72445656719533391</c:v>
                </c:pt>
                <c:pt idx="18">
                  <c:v>0.69175240506210889</c:v>
                </c:pt>
                <c:pt idx="19">
                  <c:v>0.74994636451518948</c:v>
                </c:pt>
                <c:pt idx="20">
                  <c:v>0.83596477949238868</c:v>
                </c:pt>
                <c:pt idx="21">
                  <c:v>0.70601604526680173</c:v>
                </c:pt>
                <c:pt idx="22">
                  <c:v>0.91887644077568664</c:v>
                </c:pt>
                <c:pt idx="23">
                  <c:v>0.85866745940204925</c:v>
                </c:pt>
                <c:pt idx="24">
                  <c:v>0.94995259889336625</c:v>
                </c:pt>
                <c:pt idx="25">
                  <c:v>0.81772522287197125</c:v>
                </c:pt>
                <c:pt idx="26">
                  <c:v>0.88231775076977448</c:v>
                </c:pt>
                <c:pt idx="27">
                  <c:v>0.82042625994662455</c:v>
                </c:pt>
                <c:pt idx="28">
                  <c:v>0.92327817498446618</c:v>
                </c:pt>
                <c:pt idx="29">
                  <c:v>0.86085402325627969</c:v>
                </c:pt>
                <c:pt idx="30">
                  <c:v>0.89161416792168025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2B-4584-9CE3-D6CBE4988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9964320"/>
        <c:axId val="-1429963776"/>
      </c:scatterChart>
      <c:valAx>
        <c:axId val="-142996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Temperatura IDEAM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963776"/>
        <c:crosses val="autoZero"/>
        <c:crossBetween val="midCat"/>
      </c:valAx>
      <c:valAx>
        <c:axId val="-1429963776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96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Varadero!$M$2</c:f>
              <c:strCache>
                <c:ptCount val="1"/>
                <c:pt idx="0">
                  <c:v>Calcificacion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Varadero!$D$3:$D$68</c:f>
              <c:numCache>
                <c:formatCode>0.000</c:formatCode>
                <c:ptCount val="66"/>
                <c:pt idx="0">
                  <c:v>0.89861944250262771</c:v>
                </c:pt>
                <c:pt idx="1">
                  <c:v>0.67616338076530669</c:v>
                </c:pt>
                <c:pt idx="2">
                  <c:v>0.95513204826260956</c:v>
                </c:pt>
                <c:pt idx="3">
                  <c:v>0.67846523020100968</c:v>
                </c:pt>
                <c:pt idx="4">
                  <c:v>0.76858001397364628</c:v>
                </c:pt>
                <c:pt idx="5">
                  <c:v>0.74785460141996563</c:v>
                </c:pt>
                <c:pt idx="6">
                  <c:v>0.73541377516793471</c:v>
                </c:pt>
                <c:pt idx="7">
                  <c:v>0.74468853428749215</c:v>
                </c:pt>
                <c:pt idx="8">
                  <c:v>0.70509187374558735</c:v>
                </c:pt>
                <c:pt idx="9">
                  <c:v>0.73922673930687277</c:v>
                </c:pt>
                <c:pt idx="10">
                  <c:v>0.77421518688815294</c:v>
                </c:pt>
                <c:pt idx="11">
                  <c:v>0.7750602035828873</c:v>
                </c:pt>
                <c:pt idx="12">
                  <c:v>0.71772243332640207</c:v>
                </c:pt>
                <c:pt idx="13">
                  <c:v>0.69238432336862221</c:v>
                </c:pt>
                <c:pt idx="14">
                  <c:v>0.81042461768659557</c:v>
                </c:pt>
                <c:pt idx="15">
                  <c:v>0.83971216191400699</c:v>
                </c:pt>
                <c:pt idx="16">
                  <c:v>0.76805074968800469</c:v>
                </c:pt>
                <c:pt idx="17">
                  <c:v>0.77952071045551719</c:v>
                </c:pt>
                <c:pt idx="18">
                  <c:v>0.78794392532763657</c:v>
                </c:pt>
                <c:pt idx="19">
                  <c:v>0.70046371859259748</c:v>
                </c:pt>
                <c:pt idx="20">
                  <c:v>0.84499156276491139</c:v>
                </c:pt>
                <c:pt idx="21">
                  <c:v>0.83750460615343214</c:v>
                </c:pt>
                <c:pt idx="22">
                  <c:v>0.88512751861105299</c:v>
                </c:pt>
                <c:pt idx="23">
                  <c:v>0.70065189883432588</c:v>
                </c:pt>
                <c:pt idx="24">
                  <c:v>0.76389599747968673</c:v>
                </c:pt>
                <c:pt idx="25">
                  <c:v>0.62155443750787687</c:v>
                </c:pt>
                <c:pt idx="26">
                  <c:v>0.7009571357665586</c:v>
                </c:pt>
                <c:pt idx="27">
                  <c:v>0.68067041264212103</c:v>
                </c:pt>
                <c:pt idx="28">
                  <c:v>0.57937830623980902</c:v>
                </c:pt>
                <c:pt idx="29">
                  <c:v>0.9137244591727095</c:v>
                </c:pt>
                <c:pt idx="30">
                  <c:v>0.81014162339068374</c:v>
                </c:pt>
                <c:pt idx="31">
                  <c:v>0.77041309484309028</c:v>
                </c:pt>
                <c:pt idx="32">
                  <c:v>0.71444404689772989</c:v>
                </c:pt>
                <c:pt idx="33">
                  <c:v>0.70922706035852245</c:v>
                </c:pt>
                <c:pt idx="34">
                  <c:v>0.63348785973737709</c:v>
                </c:pt>
                <c:pt idx="35">
                  <c:v>0.90178868215234875</c:v>
                </c:pt>
                <c:pt idx="36">
                  <c:v>0.786159508504094</c:v>
                </c:pt>
                <c:pt idx="37">
                  <c:v>0.89223852881270493</c:v>
                </c:pt>
                <c:pt idx="38">
                  <c:v>0.80933512622206105</c:v>
                </c:pt>
                <c:pt idx="39">
                  <c:v>0.73485435226570228</c:v>
                </c:pt>
                <c:pt idx="40">
                  <c:v>0.6842354122105565</c:v>
                </c:pt>
                <c:pt idx="41">
                  <c:v>0.81270513306733816</c:v>
                </c:pt>
                <c:pt idx="42">
                  <c:v>0.79573819637984344</c:v>
                </c:pt>
                <c:pt idx="43">
                  <c:v>0.79908125881827008</c:v>
                </c:pt>
                <c:pt idx="44">
                  <c:v>0.71810590356935666</c:v>
                </c:pt>
                <c:pt idx="45">
                  <c:v>0.78036292505424976</c:v>
                </c:pt>
                <c:pt idx="46">
                  <c:v>0.82660274716993065</c:v>
                </c:pt>
                <c:pt idx="47">
                  <c:v>0.67177069010627954</c:v>
                </c:pt>
                <c:pt idx="48">
                  <c:v>0.68057633577569776</c:v>
                </c:pt>
                <c:pt idx="49">
                  <c:v>0.72445656719533391</c:v>
                </c:pt>
                <c:pt idx="50">
                  <c:v>0.69175240506210889</c:v>
                </c:pt>
                <c:pt idx="51">
                  <c:v>0.74994636451518948</c:v>
                </c:pt>
                <c:pt idx="52">
                  <c:v>0.83596477949238868</c:v>
                </c:pt>
                <c:pt idx="53">
                  <c:v>0.70601604526680173</c:v>
                </c:pt>
                <c:pt idx="54">
                  <c:v>0.91887644077568664</c:v>
                </c:pt>
                <c:pt idx="55">
                  <c:v>0.85866745940204925</c:v>
                </c:pt>
                <c:pt idx="56">
                  <c:v>0.94995259889336625</c:v>
                </c:pt>
                <c:pt idx="57">
                  <c:v>0.81772522287197125</c:v>
                </c:pt>
                <c:pt idx="58">
                  <c:v>0.88231775076977448</c:v>
                </c:pt>
                <c:pt idx="59">
                  <c:v>0.82042625994662455</c:v>
                </c:pt>
                <c:pt idx="60">
                  <c:v>0.92327817498446618</c:v>
                </c:pt>
                <c:pt idx="61">
                  <c:v>0.86085402325627969</c:v>
                </c:pt>
                <c:pt idx="62">
                  <c:v>0.89161416792168025</c:v>
                </c:pt>
                <c:pt idx="63">
                  <c:v>0.89946540041670453</c:v>
                </c:pt>
                <c:pt idx="64">
                  <c:v>0.91613175379229406</c:v>
                </c:pt>
                <c:pt idx="65">
                  <c:v>0.92777402393217656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9F-49D4-804A-09D30A01B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810528"/>
        <c:axId val="-1428808896"/>
      </c:scatterChart>
      <c:scatterChart>
        <c:scatterStyle val="lineMarker"/>
        <c:varyColors val="0"/>
        <c:ser>
          <c:idx val="2"/>
          <c:order val="1"/>
          <c:tx>
            <c:v>Precipitacion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Varadero!$AA$3:$AA$68</c:f>
              <c:numCache>
                <c:formatCode>General</c:formatCode>
                <c:ptCount val="66"/>
                <c:pt idx="2">
                  <c:v>749.4</c:v>
                </c:pt>
                <c:pt idx="3">
                  <c:v>1002.5</c:v>
                </c:pt>
                <c:pt idx="4">
                  <c:v>1847.8</c:v>
                </c:pt>
                <c:pt idx="5">
                  <c:v>2444</c:v>
                </c:pt>
                <c:pt idx="6">
                  <c:v>609.70000000000005</c:v>
                </c:pt>
                <c:pt idx="7">
                  <c:v>992.6</c:v>
                </c:pt>
                <c:pt idx="8">
                  <c:v>1133.4000000000001</c:v>
                </c:pt>
                <c:pt idx="9">
                  <c:v>841.4</c:v>
                </c:pt>
                <c:pt idx="10">
                  <c:v>743.3</c:v>
                </c:pt>
                <c:pt idx="11">
                  <c:v>1307.0999999999999</c:v>
                </c:pt>
                <c:pt idx="12">
                  <c:v>1004.9</c:v>
                </c:pt>
                <c:pt idx="13">
                  <c:v>663.6</c:v>
                </c:pt>
                <c:pt idx="14">
                  <c:v>682.3</c:v>
                </c:pt>
                <c:pt idx="15">
                  <c:v>787.8</c:v>
                </c:pt>
                <c:pt idx="16">
                  <c:v>1485.3</c:v>
                </c:pt>
                <c:pt idx="17">
                  <c:v>863.9</c:v>
                </c:pt>
                <c:pt idx="18">
                  <c:v>969.7</c:v>
                </c:pt>
                <c:pt idx="19">
                  <c:v>904</c:v>
                </c:pt>
                <c:pt idx="20">
                  <c:v>1275.0999999999999</c:v>
                </c:pt>
                <c:pt idx="21">
                  <c:v>814.2</c:v>
                </c:pt>
                <c:pt idx="22">
                  <c:v>750.8</c:v>
                </c:pt>
                <c:pt idx="23">
                  <c:v>245.5</c:v>
                </c:pt>
                <c:pt idx="24">
                  <c:v>359.4</c:v>
                </c:pt>
                <c:pt idx="28">
                  <c:v>336.1</c:v>
                </c:pt>
                <c:pt idx="29">
                  <c:v>411.5</c:v>
                </c:pt>
                <c:pt idx="30">
                  <c:v>871.7</c:v>
                </c:pt>
                <c:pt idx="31">
                  <c:v>772.1</c:v>
                </c:pt>
                <c:pt idx="32">
                  <c:v>333.7</c:v>
                </c:pt>
                <c:pt idx="33">
                  <c:v>113.9</c:v>
                </c:pt>
                <c:pt idx="34">
                  <c:v>1179.2</c:v>
                </c:pt>
                <c:pt idx="38">
                  <c:v>430.4</c:v>
                </c:pt>
                <c:pt idx="39">
                  <c:v>623.6</c:v>
                </c:pt>
                <c:pt idx="40">
                  <c:v>842.9</c:v>
                </c:pt>
                <c:pt idx="41">
                  <c:v>621.9</c:v>
                </c:pt>
                <c:pt idx="42">
                  <c:v>150.69999999999999</c:v>
                </c:pt>
                <c:pt idx="43">
                  <c:v>714</c:v>
                </c:pt>
                <c:pt idx="44">
                  <c:v>79.8</c:v>
                </c:pt>
                <c:pt idx="45">
                  <c:v>1301.7</c:v>
                </c:pt>
                <c:pt idx="46">
                  <c:v>700.6</c:v>
                </c:pt>
                <c:pt idx="47">
                  <c:v>613</c:v>
                </c:pt>
                <c:pt idx="48">
                  <c:v>656.2</c:v>
                </c:pt>
                <c:pt idx="49">
                  <c:v>704.6</c:v>
                </c:pt>
                <c:pt idx="50">
                  <c:v>839.3</c:v>
                </c:pt>
                <c:pt idx="51">
                  <c:v>993.8</c:v>
                </c:pt>
                <c:pt idx="52">
                  <c:v>848.8</c:v>
                </c:pt>
                <c:pt idx="53">
                  <c:v>724.25</c:v>
                </c:pt>
                <c:pt idx="54">
                  <c:v>599.70000000000005</c:v>
                </c:pt>
                <c:pt idx="55">
                  <c:v>976.4</c:v>
                </c:pt>
                <c:pt idx="56">
                  <c:v>102.5</c:v>
                </c:pt>
                <c:pt idx="57">
                  <c:v>495</c:v>
                </c:pt>
                <c:pt idx="58">
                  <c:v>226.6</c:v>
                </c:pt>
                <c:pt idx="59">
                  <c:v>449</c:v>
                </c:pt>
                <c:pt idx="60">
                  <c:v>636.9</c:v>
                </c:pt>
                <c:pt idx="61">
                  <c:v>1107.4000000000001</c:v>
                </c:pt>
                <c:pt idx="62">
                  <c:v>226.6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9F-49D4-804A-09D30A01B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805632"/>
        <c:axId val="-1428808352"/>
      </c:scatterChart>
      <c:valAx>
        <c:axId val="-1428810528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808896"/>
        <c:crosses val="autoZero"/>
        <c:crossBetween val="midCat"/>
      </c:valAx>
      <c:valAx>
        <c:axId val="-1428808896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810528"/>
        <c:crosses val="autoZero"/>
        <c:crossBetween val="midCat"/>
      </c:valAx>
      <c:valAx>
        <c:axId val="-142880835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Precipitacion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805632"/>
        <c:crosses val="max"/>
        <c:crossBetween val="midCat"/>
      </c:valAx>
      <c:valAx>
        <c:axId val="-1428805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8808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Varadero!$M$2</c:f>
              <c:strCache>
                <c:ptCount val="1"/>
                <c:pt idx="0">
                  <c:v>Calcificacion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Varadero!$D$3:$D$68</c:f>
              <c:numCache>
                <c:formatCode>0.000</c:formatCode>
                <c:ptCount val="66"/>
                <c:pt idx="0">
                  <c:v>0.89861944250262771</c:v>
                </c:pt>
                <c:pt idx="1">
                  <c:v>0.67616338076530669</c:v>
                </c:pt>
                <c:pt idx="2">
                  <c:v>0.95513204826260956</c:v>
                </c:pt>
                <c:pt idx="3">
                  <c:v>0.67846523020100968</c:v>
                </c:pt>
                <c:pt idx="4">
                  <c:v>0.76858001397364628</c:v>
                </c:pt>
                <c:pt idx="5">
                  <c:v>0.74785460141996563</c:v>
                </c:pt>
                <c:pt idx="6">
                  <c:v>0.73541377516793471</c:v>
                </c:pt>
                <c:pt idx="7">
                  <c:v>0.74468853428749215</c:v>
                </c:pt>
                <c:pt idx="8">
                  <c:v>0.70509187374558735</c:v>
                </c:pt>
                <c:pt idx="9">
                  <c:v>0.73922673930687277</c:v>
                </c:pt>
                <c:pt idx="10">
                  <c:v>0.77421518688815294</c:v>
                </c:pt>
                <c:pt idx="11">
                  <c:v>0.7750602035828873</c:v>
                </c:pt>
                <c:pt idx="12">
                  <c:v>0.71772243332640207</c:v>
                </c:pt>
                <c:pt idx="13">
                  <c:v>0.69238432336862221</c:v>
                </c:pt>
                <c:pt idx="14">
                  <c:v>0.81042461768659557</c:v>
                </c:pt>
                <c:pt idx="15">
                  <c:v>0.83971216191400699</c:v>
                </c:pt>
                <c:pt idx="16">
                  <c:v>0.76805074968800469</c:v>
                </c:pt>
                <c:pt idx="17">
                  <c:v>0.77952071045551719</c:v>
                </c:pt>
                <c:pt idx="18">
                  <c:v>0.78794392532763657</c:v>
                </c:pt>
                <c:pt idx="19">
                  <c:v>0.70046371859259748</c:v>
                </c:pt>
                <c:pt idx="20">
                  <c:v>0.84499156276491139</c:v>
                </c:pt>
                <c:pt idx="21">
                  <c:v>0.83750460615343214</c:v>
                </c:pt>
                <c:pt idx="22">
                  <c:v>0.88512751861105299</c:v>
                </c:pt>
                <c:pt idx="23">
                  <c:v>0.70065189883432588</c:v>
                </c:pt>
                <c:pt idx="24">
                  <c:v>0.76389599747968673</c:v>
                </c:pt>
                <c:pt idx="25">
                  <c:v>0.62155443750787687</c:v>
                </c:pt>
                <c:pt idx="26">
                  <c:v>0.7009571357665586</c:v>
                </c:pt>
                <c:pt idx="27">
                  <c:v>0.68067041264212103</c:v>
                </c:pt>
                <c:pt idx="28">
                  <c:v>0.57937830623980902</c:v>
                </c:pt>
                <c:pt idx="29">
                  <c:v>0.9137244591727095</c:v>
                </c:pt>
                <c:pt idx="30">
                  <c:v>0.81014162339068374</c:v>
                </c:pt>
                <c:pt idx="31">
                  <c:v>0.77041309484309028</c:v>
                </c:pt>
                <c:pt idx="32">
                  <c:v>0.71444404689772989</c:v>
                </c:pt>
                <c:pt idx="33">
                  <c:v>0.70922706035852245</c:v>
                </c:pt>
                <c:pt idx="34">
                  <c:v>0.63348785973737709</c:v>
                </c:pt>
                <c:pt idx="35">
                  <c:v>0.90178868215234875</c:v>
                </c:pt>
                <c:pt idx="36">
                  <c:v>0.786159508504094</c:v>
                </c:pt>
                <c:pt idx="37">
                  <c:v>0.89223852881270493</c:v>
                </c:pt>
                <c:pt idx="38">
                  <c:v>0.80933512622206105</c:v>
                </c:pt>
                <c:pt idx="39">
                  <c:v>0.73485435226570228</c:v>
                </c:pt>
                <c:pt idx="40">
                  <c:v>0.6842354122105565</c:v>
                </c:pt>
                <c:pt idx="41">
                  <c:v>0.81270513306733816</c:v>
                </c:pt>
                <c:pt idx="42">
                  <c:v>0.79573819637984344</c:v>
                </c:pt>
                <c:pt idx="43">
                  <c:v>0.79908125881827008</c:v>
                </c:pt>
                <c:pt idx="44">
                  <c:v>0.71810590356935666</c:v>
                </c:pt>
                <c:pt idx="45">
                  <c:v>0.78036292505424976</c:v>
                </c:pt>
                <c:pt idx="46">
                  <c:v>0.82660274716993065</c:v>
                </c:pt>
                <c:pt idx="47">
                  <c:v>0.67177069010627954</c:v>
                </c:pt>
                <c:pt idx="48">
                  <c:v>0.68057633577569776</c:v>
                </c:pt>
                <c:pt idx="49">
                  <c:v>0.72445656719533391</c:v>
                </c:pt>
                <c:pt idx="50">
                  <c:v>0.69175240506210889</c:v>
                </c:pt>
                <c:pt idx="51">
                  <c:v>0.74994636451518948</c:v>
                </c:pt>
                <c:pt idx="52">
                  <c:v>0.83596477949238868</c:v>
                </c:pt>
                <c:pt idx="53">
                  <c:v>0.70601604526680173</c:v>
                </c:pt>
                <c:pt idx="54">
                  <c:v>0.91887644077568664</c:v>
                </c:pt>
                <c:pt idx="55">
                  <c:v>0.85866745940204925</c:v>
                </c:pt>
                <c:pt idx="56">
                  <c:v>0.94995259889336625</c:v>
                </c:pt>
                <c:pt idx="57">
                  <c:v>0.81772522287197125</c:v>
                </c:pt>
                <c:pt idx="58">
                  <c:v>0.88231775076977448</c:v>
                </c:pt>
                <c:pt idx="59">
                  <c:v>0.82042625994662455</c:v>
                </c:pt>
                <c:pt idx="60">
                  <c:v>0.92327817498446618</c:v>
                </c:pt>
                <c:pt idx="61">
                  <c:v>0.86085402325627969</c:v>
                </c:pt>
                <c:pt idx="62">
                  <c:v>0.89161416792168025</c:v>
                </c:pt>
                <c:pt idx="63">
                  <c:v>0.89946540041670453</c:v>
                </c:pt>
                <c:pt idx="64">
                  <c:v>0.91613175379229406</c:v>
                </c:pt>
                <c:pt idx="65">
                  <c:v>0.92777402393217656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C6-42E4-BFD2-F8B562F3D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31094000"/>
        <c:axId val="-1431092368"/>
      </c:scatterChart>
      <c:scatterChart>
        <c:scatterStyle val="lineMarker"/>
        <c:varyColors val="0"/>
        <c:ser>
          <c:idx val="2"/>
          <c:order val="1"/>
          <c:tx>
            <c:v>Nivel de canal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Varadero!$AE$3:$AE$37</c:f>
              <c:numCache>
                <c:formatCode>General</c:formatCode>
                <c:ptCount val="35"/>
                <c:pt idx="1">
                  <c:v>681</c:v>
                </c:pt>
                <c:pt idx="2">
                  <c:v>681</c:v>
                </c:pt>
                <c:pt idx="3">
                  <c:v>687</c:v>
                </c:pt>
                <c:pt idx="4">
                  <c:v>689.5</c:v>
                </c:pt>
                <c:pt idx="5">
                  <c:v>692</c:v>
                </c:pt>
                <c:pt idx="6">
                  <c:v>688</c:v>
                </c:pt>
                <c:pt idx="7">
                  <c:v>698</c:v>
                </c:pt>
                <c:pt idx="8">
                  <c:v>693</c:v>
                </c:pt>
                <c:pt idx="9">
                  <c:v>690</c:v>
                </c:pt>
                <c:pt idx="10">
                  <c:v>684</c:v>
                </c:pt>
                <c:pt idx="11">
                  <c:v>681</c:v>
                </c:pt>
                <c:pt idx="12">
                  <c:v>677</c:v>
                </c:pt>
                <c:pt idx="13">
                  <c:v>671</c:v>
                </c:pt>
                <c:pt idx="14">
                  <c:v>664</c:v>
                </c:pt>
                <c:pt idx="15">
                  <c:v>687</c:v>
                </c:pt>
                <c:pt idx="16">
                  <c:v>693</c:v>
                </c:pt>
                <c:pt idx="17">
                  <c:v>671</c:v>
                </c:pt>
                <c:pt idx="18">
                  <c:v>657</c:v>
                </c:pt>
                <c:pt idx="19">
                  <c:v>682</c:v>
                </c:pt>
                <c:pt idx="20">
                  <c:v>671</c:v>
                </c:pt>
                <c:pt idx="21">
                  <c:v>679</c:v>
                </c:pt>
                <c:pt idx="22">
                  <c:v>667</c:v>
                </c:pt>
                <c:pt idx="23">
                  <c:v>655</c:v>
                </c:pt>
                <c:pt idx="24">
                  <c:v>655</c:v>
                </c:pt>
                <c:pt idx="25">
                  <c:v>657</c:v>
                </c:pt>
                <c:pt idx="26">
                  <c:v>660</c:v>
                </c:pt>
                <c:pt idx="27">
                  <c:v>658</c:v>
                </c:pt>
                <c:pt idx="28">
                  <c:v>657</c:v>
                </c:pt>
                <c:pt idx="29">
                  <c:v>653</c:v>
                </c:pt>
                <c:pt idx="30">
                  <c:v>650</c:v>
                </c:pt>
                <c:pt idx="31">
                  <c:v>660</c:v>
                </c:pt>
                <c:pt idx="32">
                  <c:v>643</c:v>
                </c:pt>
                <c:pt idx="33">
                  <c:v>652</c:v>
                </c:pt>
                <c:pt idx="34">
                  <c:v>660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C6-42E4-BFD2-F8B562F3D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31088016"/>
        <c:axId val="-1431088560"/>
      </c:scatterChart>
      <c:valAx>
        <c:axId val="-1431094000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1092368"/>
        <c:crosses val="autoZero"/>
        <c:crossBetween val="midCat"/>
      </c:valAx>
      <c:valAx>
        <c:axId val="-1431092368"/>
        <c:scaling>
          <c:orientation val="minMax"/>
          <c:max val="0.85000000000000009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1094000"/>
        <c:crosses val="autoZero"/>
        <c:crossBetween val="midCat"/>
      </c:valAx>
      <c:valAx>
        <c:axId val="-1431088560"/>
        <c:scaling>
          <c:orientation val="minMax"/>
          <c:min val="64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Nivel del canal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1088016"/>
        <c:crosses val="max"/>
        <c:crossBetween val="midCat"/>
      </c:valAx>
      <c:valAx>
        <c:axId val="-1431088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31088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1984-2015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Varadero!$B$3:$B$34</c:f>
              <c:numCache>
                <c:formatCode>0.000</c:formatCode>
                <c:ptCount val="32"/>
                <c:pt idx="0">
                  <c:v>0.69275594099254056</c:v>
                </c:pt>
                <c:pt idx="1">
                  <c:v>0.71124144819945578</c:v>
                </c:pt>
                <c:pt idx="2">
                  <c:v>0.66893704445192248</c:v>
                </c:pt>
                <c:pt idx="3">
                  <c:v>0.6786841144954634</c:v>
                </c:pt>
                <c:pt idx="4">
                  <c:v>0.7301427075099467</c:v>
                </c:pt>
                <c:pt idx="5">
                  <c:v>0.82579825013086317</c:v>
                </c:pt>
                <c:pt idx="6">
                  <c:v>0.75146635183968336</c:v>
                </c:pt>
                <c:pt idx="7">
                  <c:v>0.72188983408378515</c:v>
                </c:pt>
                <c:pt idx="8">
                  <c:v>0.65930993802523696</c:v>
                </c:pt>
                <c:pt idx="9">
                  <c:v>0.69041012484460884</c:v>
                </c:pt>
                <c:pt idx="10">
                  <c:v>0.66468884131035</c:v>
                </c:pt>
                <c:pt idx="11">
                  <c:v>0.72895403310072071</c:v>
                </c:pt>
                <c:pt idx="12">
                  <c:v>0.64735904287821244</c:v>
                </c:pt>
                <c:pt idx="13">
                  <c:v>0.61148302851284342</c:v>
                </c:pt>
                <c:pt idx="14">
                  <c:v>0.61631882185878306</c:v>
                </c:pt>
                <c:pt idx="15">
                  <c:v>0.64976285035042358</c:v>
                </c:pt>
                <c:pt idx="16">
                  <c:v>0.70172658847989</c:v>
                </c:pt>
                <c:pt idx="17">
                  <c:v>0.66720052101238081</c:v>
                </c:pt>
                <c:pt idx="18">
                  <c:v>0.68815899137866954</c:v>
                </c:pt>
                <c:pt idx="19">
                  <c:v>0.70481662248755617</c:v>
                </c:pt>
                <c:pt idx="20">
                  <c:v>0.76085574761571295</c:v>
                </c:pt>
                <c:pt idx="21">
                  <c:v>0.76223225205721878</c:v>
                </c:pt>
                <c:pt idx="22">
                  <c:v>0.76550941279331686</c:v>
                </c:pt>
                <c:pt idx="23">
                  <c:v>0.74682663922006209</c:v>
                </c:pt>
                <c:pt idx="24">
                  <c:v>0.71249896018521353</c:v>
                </c:pt>
                <c:pt idx="25">
                  <c:v>0.68488088168345862</c:v>
                </c:pt>
                <c:pt idx="26">
                  <c:v>0.66112109731149205</c:v>
                </c:pt>
                <c:pt idx="27">
                  <c:v>0.68004303478323336</c:v>
                </c:pt>
                <c:pt idx="28">
                  <c:v>0.64277460536044184</c:v>
                </c:pt>
                <c:pt idx="29">
                  <c:v>0.71834118769974631</c:v>
                </c:pt>
                <c:pt idx="30">
                  <c:v>0.81621696528249332</c:v>
                </c:pt>
                <c:pt idx="31">
                  <c:v>0.78630406735730318</c:v>
                </c:pt>
              </c:numCache>
            </c:numRef>
          </c:xVal>
          <c:yVal>
            <c:numRef>
              <c:f>Varadero!$D$3:$D$34</c:f>
              <c:numCache>
                <c:formatCode>0.000</c:formatCode>
                <c:ptCount val="32"/>
                <c:pt idx="0">
                  <c:v>0.89861944250262771</c:v>
                </c:pt>
                <c:pt idx="1">
                  <c:v>0.67616338076530669</c:v>
                </c:pt>
                <c:pt idx="2">
                  <c:v>0.95513204826260956</c:v>
                </c:pt>
                <c:pt idx="3">
                  <c:v>0.67846523020100968</c:v>
                </c:pt>
                <c:pt idx="4">
                  <c:v>0.76858001397364628</c:v>
                </c:pt>
                <c:pt idx="5">
                  <c:v>0.74785460141996563</c:v>
                </c:pt>
                <c:pt idx="6">
                  <c:v>0.73541377516793471</c:v>
                </c:pt>
                <c:pt idx="7">
                  <c:v>0.74468853428749215</c:v>
                </c:pt>
                <c:pt idx="8">
                  <c:v>0.70509187374558735</c:v>
                </c:pt>
                <c:pt idx="9">
                  <c:v>0.73922673930687277</c:v>
                </c:pt>
                <c:pt idx="10">
                  <c:v>0.77421518688815294</c:v>
                </c:pt>
                <c:pt idx="11">
                  <c:v>0.7750602035828873</c:v>
                </c:pt>
                <c:pt idx="12">
                  <c:v>0.71772243332640207</c:v>
                </c:pt>
                <c:pt idx="13">
                  <c:v>0.69238432336862221</c:v>
                </c:pt>
                <c:pt idx="14">
                  <c:v>0.81042461768659557</c:v>
                </c:pt>
                <c:pt idx="15">
                  <c:v>0.83971216191400699</c:v>
                </c:pt>
                <c:pt idx="16">
                  <c:v>0.76805074968800469</c:v>
                </c:pt>
                <c:pt idx="17">
                  <c:v>0.77952071045551719</c:v>
                </c:pt>
                <c:pt idx="18">
                  <c:v>0.78794392532763657</c:v>
                </c:pt>
                <c:pt idx="19">
                  <c:v>0.70046371859259748</c:v>
                </c:pt>
                <c:pt idx="20">
                  <c:v>0.84499156276491139</c:v>
                </c:pt>
                <c:pt idx="21">
                  <c:v>0.83750460615343214</c:v>
                </c:pt>
                <c:pt idx="22">
                  <c:v>0.88512751861105299</c:v>
                </c:pt>
                <c:pt idx="23">
                  <c:v>0.70065189883432588</c:v>
                </c:pt>
                <c:pt idx="24">
                  <c:v>0.76389599747968673</c:v>
                </c:pt>
                <c:pt idx="25">
                  <c:v>0.62155443750787687</c:v>
                </c:pt>
                <c:pt idx="26">
                  <c:v>0.7009571357665586</c:v>
                </c:pt>
                <c:pt idx="27">
                  <c:v>0.68067041264212103</c:v>
                </c:pt>
                <c:pt idx="28">
                  <c:v>0.57937830623980902</c:v>
                </c:pt>
                <c:pt idx="29">
                  <c:v>0.9137244591727095</c:v>
                </c:pt>
                <c:pt idx="30">
                  <c:v>0.81014162339068374</c:v>
                </c:pt>
                <c:pt idx="31">
                  <c:v>0.77041309484309028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72-42B4-8BD9-D480FCE12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31091280"/>
        <c:axId val="-1431094544"/>
      </c:scatterChart>
      <c:valAx>
        <c:axId val="-1431091280"/>
        <c:scaling>
          <c:orientation val="minMax"/>
          <c:min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1094544"/>
        <c:crosses val="autoZero"/>
        <c:crossBetween val="midCat"/>
      </c:valAx>
      <c:valAx>
        <c:axId val="-1431094544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109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1950-1983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071303587051625E-2"/>
                  <c:y val="0.345338655584718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1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0.6205x + 0.339</a:t>
                    </a:r>
                    <a:br>
                      <a:rPr lang="en-US" baseline="0"/>
                    </a:br>
                    <a:r>
                      <a:rPr lang="en-US" baseline="0"/>
                      <a:t>R² = 0.2318; p &lt; 0.005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Varadero!$B$35:$B$68</c:f>
              <c:numCache>
                <c:formatCode>0.000</c:formatCode>
                <c:ptCount val="34"/>
                <c:pt idx="0">
                  <c:v>0.69383695743190543</c:v>
                </c:pt>
                <c:pt idx="1">
                  <c:v>0.71755662143159182</c:v>
                </c:pt>
                <c:pt idx="2">
                  <c:v>0.70060290104650136</c:v>
                </c:pt>
                <c:pt idx="3">
                  <c:v>0.77656957554076655</c:v>
                </c:pt>
                <c:pt idx="4">
                  <c:v>0.82674978191610815</c:v>
                </c:pt>
                <c:pt idx="5">
                  <c:v>0.90256161926284884</c:v>
                </c:pt>
                <c:pt idx="6">
                  <c:v>0.81826674625094997</c:v>
                </c:pt>
                <c:pt idx="7">
                  <c:v>0.83399342010468247</c:v>
                </c:pt>
                <c:pt idx="8">
                  <c:v>0.76460190559228713</c:v>
                </c:pt>
                <c:pt idx="9">
                  <c:v>0.80540052998320955</c:v>
                </c:pt>
                <c:pt idx="10">
                  <c:v>0.88487004663954949</c:v>
                </c:pt>
                <c:pt idx="11">
                  <c:v>0.87733580639488029</c:v>
                </c:pt>
                <c:pt idx="12">
                  <c:v>0.72620131595560655</c:v>
                </c:pt>
                <c:pt idx="13">
                  <c:v>0.77183524580726504</c:v>
                </c:pt>
                <c:pt idx="14">
                  <c:v>0.8442804105053231</c:v>
                </c:pt>
                <c:pt idx="15">
                  <c:v>0.77234237168575959</c:v>
                </c:pt>
                <c:pt idx="16">
                  <c:v>0.7418506643291094</c:v>
                </c:pt>
                <c:pt idx="17">
                  <c:v>0.70300292531106556</c:v>
                </c:pt>
                <c:pt idx="18">
                  <c:v>0.66830303202063268</c:v>
                </c:pt>
                <c:pt idx="19">
                  <c:v>0.59998764512344638</c:v>
                </c:pt>
                <c:pt idx="20">
                  <c:v>0.65947992896465391</c:v>
                </c:pt>
                <c:pt idx="21">
                  <c:v>0.80290479896806366</c:v>
                </c:pt>
                <c:pt idx="22">
                  <c:v>0.80215070341759287</c:v>
                </c:pt>
                <c:pt idx="23">
                  <c:v>0.77599267357044788</c:v>
                </c:pt>
                <c:pt idx="24">
                  <c:v>0.80044614612293197</c:v>
                </c:pt>
                <c:pt idx="25">
                  <c:v>0.81415417853437244</c:v>
                </c:pt>
                <c:pt idx="26">
                  <c:v>0.78587784321928833</c:v>
                </c:pt>
                <c:pt idx="27">
                  <c:v>0.84334114027373452</c:v>
                </c:pt>
                <c:pt idx="28">
                  <c:v>0.81728580497279879</c:v>
                </c:pt>
                <c:pt idx="29">
                  <c:v>0.80183968730505883</c:v>
                </c:pt>
                <c:pt idx="30">
                  <c:v>0.83421888198590821</c:v>
                </c:pt>
                <c:pt idx="31">
                  <c:v>0.81860517263111987</c:v>
                </c:pt>
                <c:pt idx="32">
                  <c:v>0.82815686403954059</c:v>
                </c:pt>
                <c:pt idx="33">
                  <c:v>0.75076781370026691</c:v>
                </c:pt>
              </c:numCache>
            </c:numRef>
          </c:xVal>
          <c:yVal>
            <c:numRef>
              <c:f>Varadero!$D$35:$D$68</c:f>
              <c:numCache>
                <c:formatCode>0.000</c:formatCode>
                <c:ptCount val="34"/>
                <c:pt idx="0">
                  <c:v>0.71444404689772989</c:v>
                </c:pt>
                <c:pt idx="1">
                  <c:v>0.70922706035852245</c:v>
                </c:pt>
                <c:pt idx="2">
                  <c:v>0.63348785973737709</c:v>
                </c:pt>
                <c:pt idx="3">
                  <c:v>0.90178868215234875</c:v>
                </c:pt>
                <c:pt idx="4">
                  <c:v>0.786159508504094</c:v>
                </c:pt>
                <c:pt idx="5">
                  <c:v>0.89223852881270493</c:v>
                </c:pt>
                <c:pt idx="6">
                  <c:v>0.80933512622206105</c:v>
                </c:pt>
                <c:pt idx="7">
                  <c:v>0.73485435226570228</c:v>
                </c:pt>
                <c:pt idx="8">
                  <c:v>0.6842354122105565</c:v>
                </c:pt>
                <c:pt idx="9">
                  <c:v>0.81270513306733816</c:v>
                </c:pt>
                <c:pt idx="10">
                  <c:v>0.79573819637984344</c:v>
                </c:pt>
                <c:pt idx="11">
                  <c:v>0.79908125881827008</c:v>
                </c:pt>
                <c:pt idx="12">
                  <c:v>0.71810590356935666</c:v>
                </c:pt>
                <c:pt idx="13">
                  <c:v>0.78036292505424976</c:v>
                </c:pt>
                <c:pt idx="14">
                  <c:v>0.82660274716993065</c:v>
                </c:pt>
                <c:pt idx="15">
                  <c:v>0.67177069010627954</c:v>
                </c:pt>
                <c:pt idx="16">
                  <c:v>0.68057633577569776</c:v>
                </c:pt>
                <c:pt idx="17">
                  <c:v>0.72445656719533391</c:v>
                </c:pt>
                <c:pt idx="18">
                  <c:v>0.69175240506210889</c:v>
                </c:pt>
                <c:pt idx="19">
                  <c:v>0.74994636451518948</c:v>
                </c:pt>
                <c:pt idx="20">
                  <c:v>0.83596477949238868</c:v>
                </c:pt>
                <c:pt idx="21">
                  <c:v>0.70601604526680173</c:v>
                </c:pt>
                <c:pt idx="22">
                  <c:v>0.91887644077568664</c:v>
                </c:pt>
                <c:pt idx="23">
                  <c:v>0.85866745940204925</c:v>
                </c:pt>
                <c:pt idx="24">
                  <c:v>0.94995259889336625</c:v>
                </c:pt>
                <c:pt idx="25">
                  <c:v>0.81772522287197125</c:v>
                </c:pt>
                <c:pt idx="26">
                  <c:v>0.88231775076977448</c:v>
                </c:pt>
                <c:pt idx="27">
                  <c:v>0.82042625994662455</c:v>
                </c:pt>
                <c:pt idx="28">
                  <c:v>0.92327817498446618</c:v>
                </c:pt>
                <c:pt idx="29">
                  <c:v>0.86085402325627969</c:v>
                </c:pt>
                <c:pt idx="30">
                  <c:v>0.89161416792168025</c:v>
                </c:pt>
                <c:pt idx="31">
                  <c:v>0.89946540041670453</c:v>
                </c:pt>
                <c:pt idx="32">
                  <c:v>0.91613175379229406</c:v>
                </c:pt>
                <c:pt idx="33">
                  <c:v>0.92777402393217656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3D-487D-9804-74F469D3D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31090736"/>
        <c:axId val="-1431089104"/>
      </c:scatterChart>
      <c:valAx>
        <c:axId val="-1431090736"/>
        <c:scaling>
          <c:orientation val="minMax"/>
          <c:min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1089104"/>
        <c:crosses val="autoZero"/>
        <c:crossBetween val="midCat"/>
      </c:valAx>
      <c:valAx>
        <c:axId val="-1431089104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1090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1984-2015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6910542432195981E-2"/>
                  <c:y val="0.3743339895013123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1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>
                        <a:solidFill>
                          <a:schemeClr val="tx1"/>
                        </a:solidFill>
                      </a:rPr>
                      <a:t>y = 0.5306x + 0.2062</a:t>
                    </a:r>
                    <a:br>
                      <a:rPr lang="en-US" sz="1100" baseline="0">
                        <a:solidFill>
                          <a:schemeClr val="tx1"/>
                        </a:solidFill>
                      </a:rPr>
                    </a:br>
                    <a:r>
                      <a:rPr lang="en-US" sz="1100" baseline="0">
                        <a:solidFill>
                          <a:schemeClr val="tx1"/>
                        </a:solidFill>
                      </a:rPr>
                      <a:t>R² = 0.7511; p &lt; 0.001</a:t>
                    </a:r>
                    <a:endParaRPr lang="en-US" sz="1100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Varadero!$C$3:$C$34</c:f>
              <c:numCache>
                <c:formatCode>0.000</c:formatCode>
                <c:ptCount val="32"/>
                <c:pt idx="0">
                  <c:v>1.3288425000000001</c:v>
                </c:pt>
                <c:pt idx="1">
                  <c:v>1.0056375000000002</c:v>
                </c:pt>
                <c:pt idx="2">
                  <c:v>1.4491025000000002</c:v>
                </c:pt>
                <c:pt idx="3">
                  <c:v>1.0613424999999994</c:v>
                </c:pt>
                <c:pt idx="4">
                  <c:v>1.0953537499999997</c:v>
                </c:pt>
                <c:pt idx="5">
                  <c:v>0.96144750000000012</c:v>
                </c:pt>
                <c:pt idx="6">
                  <c:v>0.99063999999999952</c:v>
                </c:pt>
                <c:pt idx="7">
                  <c:v>1.0479249999999998</c:v>
                </c:pt>
                <c:pt idx="8">
                  <c:v>1.0717125000000007</c:v>
                </c:pt>
                <c:pt idx="9">
                  <c:v>1.0762037500000015</c:v>
                </c:pt>
                <c:pt idx="10">
                  <c:v>1.1954750000000021</c:v>
                </c:pt>
                <c:pt idx="11">
                  <c:v>1.0958437499999982</c:v>
                </c:pt>
                <c:pt idx="12">
                  <c:v>1.1260799999999973</c:v>
                </c:pt>
                <c:pt idx="13">
                  <c:v>1.145457499999998</c:v>
                </c:pt>
                <c:pt idx="14">
                  <c:v>1.3224262499999979</c:v>
                </c:pt>
                <c:pt idx="15">
                  <c:v>1.2871387499999967</c:v>
                </c:pt>
                <c:pt idx="16">
                  <c:v>1.1094374999999963</c:v>
                </c:pt>
                <c:pt idx="17">
                  <c:v>1.1839987499999702</c:v>
                </c:pt>
                <c:pt idx="18">
                  <c:v>1.2116237499999751</c:v>
                </c:pt>
                <c:pt idx="19">
                  <c:v>1.0417712499999732</c:v>
                </c:pt>
                <c:pt idx="20">
                  <c:v>1.138191249999978</c:v>
                </c:pt>
                <c:pt idx="21">
                  <c:v>1.1313512500000416</c:v>
                </c:pt>
                <c:pt idx="22">
                  <c:v>1.1924450000000646</c:v>
                </c:pt>
                <c:pt idx="23">
                  <c:v>0.9424350000000512</c:v>
                </c:pt>
                <c:pt idx="24">
                  <c:v>1.0629525000000521</c:v>
                </c:pt>
                <c:pt idx="25">
                  <c:v>0.90601625000004438</c:v>
                </c:pt>
                <c:pt idx="26">
                  <c:v>1.0940662500000502</c:v>
                </c:pt>
                <c:pt idx="27">
                  <c:v>0.97822625000005248</c:v>
                </c:pt>
                <c:pt idx="28">
                  <c:v>0.90424875000003224</c:v>
                </c:pt>
                <c:pt idx="29">
                  <c:v>1.2817812500000807</c:v>
                </c:pt>
                <c:pt idx="30">
                  <c:v>1.0104675000000496</c:v>
                </c:pt>
                <c:pt idx="31">
                  <c:v>0.95353250000004541</c:v>
                </c:pt>
              </c:numCache>
            </c:numRef>
          </c:xVal>
          <c:yVal>
            <c:numRef>
              <c:f>Varadero!$D$3:$D$34</c:f>
              <c:numCache>
                <c:formatCode>0.000</c:formatCode>
                <c:ptCount val="32"/>
                <c:pt idx="0">
                  <c:v>0.89861944250262771</c:v>
                </c:pt>
                <c:pt idx="1">
                  <c:v>0.67616338076530669</c:v>
                </c:pt>
                <c:pt idx="2">
                  <c:v>0.95513204826260956</c:v>
                </c:pt>
                <c:pt idx="3">
                  <c:v>0.67846523020100968</c:v>
                </c:pt>
                <c:pt idx="4">
                  <c:v>0.76858001397364628</c:v>
                </c:pt>
                <c:pt idx="5">
                  <c:v>0.74785460141996563</c:v>
                </c:pt>
                <c:pt idx="6">
                  <c:v>0.73541377516793471</c:v>
                </c:pt>
                <c:pt idx="7">
                  <c:v>0.74468853428749215</c:v>
                </c:pt>
                <c:pt idx="8">
                  <c:v>0.70509187374558735</c:v>
                </c:pt>
                <c:pt idx="9">
                  <c:v>0.73922673930687277</c:v>
                </c:pt>
                <c:pt idx="10">
                  <c:v>0.77421518688815294</c:v>
                </c:pt>
                <c:pt idx="11">
                  <c:v>0.7750602035828873</c:v>
                </c:pt>
                <c:pt idx="12">
                  <c:v>0.71772243332640207</c:v>
                </c:pt>
                <c:pt idx="13">
                  <c:v>0.69238432336862221</c:v>
                </c:pt>
                <c:pt idx="14">
                  <c:v>0.81042461768659557</c:v>
                </c:pt>
                <c:pt idx="15">
                  <c:v>0.83971216191400699</c:v>
                </c:pt>
                <c:pt idx="16">
                  <c:v>0.76805074968800469</c:v>
                </c:pt>
                <c:pt idx="17">
                  <c:v>0.77952071045551719</c:v>
                </c:pt>
                <c:pt idx="18">
                  <c:v>0.78794392532763657</c:v>
                </c:pt>
                <c:pt idx="19">
                  <c:v>0.70046371859259748</c:v>
                </c:pt>
                <c:pt idx="20">
                  <c:v>0.84499156276491139</c:v>
                </c:pt>
                <c:pt idx="21">
                  <c:v>0.83750460615343214</c:v>
                </c:pt>
                <c:pt idx="22">
                  <c:v>0.88512751861105299</c:v>
                </c:pt>
                <c:pt idx="23">
                  <c:v>0.70065189883432588</c:v>
                </c:pt>
                <c:pt idx="24">
                  <c:v>0.76389599747968673</c:v>
                </c:pt>
                <c:pt idx="25">
                  <c:v>0.62155443750787687</c:v>
                </c:pt>
                <c:pt idx="26">
                  <c:v>0.7009571357665586</c:v>
                </c:pt>
                <c:pt idx="27">
                  <c:v>0.68067041264212103</c:v>
                </c:pt>
                <c:pt idx="28">
                  <c:v>0.57937830623980902</c:v>
                </c:pt>
                <c:pt idx="29">
                  <c:v>0.9137244591727095</c:v>
                </c:pt>
                <c:pt idx="30">
                  <c:v>0.81014162339068374</c:v>
                </c:pt>
                <c:pt idx="31">
                  <c:v>0.77041309484309028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49-4E92-99D4-AFAB29811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30215808"/>
        <c:axId val="-1430217984"/>
      </c:scatterChart>
      <c:valAx>
        <c:axId val="-1430215808"/>
        <c:scaling>
          <c:orientation val="minMax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0217984"/>
        <c:crosses val="autoZero"/>
        <c:crossBetween val="midCat"/>
      </c:valAx>
      <c:valAx>
        <c:axId val="-1430217984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0215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1950-1983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1343394575678093E-2"/>
                  <c:y val="0.3895293817439486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1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>
                        <a:solidFill>
                          <a:schemeClr val="tx1"/>
                        </a:solidFill>
                      </a:rPr>
                      <a:t>y = 0.4874x + 0.3432</a:t>
                    </a:r>
                    <a:br>
                      <a:rPr lang="en-US" sz="1100" baseline="0">
                        <a:solidFill>
                          <a:schemeClr val="tx1"/>
                        </a:solidFill>
                      </a:rPr>
                    </a:br>
                    <a:r>
                      <a:rPr lang="en-US" sz="1100" baseline="0">
                        <a:solidFill>
                          <a:schemeClr val="tx1"/>
                        </a:solidFill>
                      </a:rPr>
                      <a:t>R² = 0.3886; p &lt; 0.001</a:t>
                    </a:r>
                    <a:endParaRPr lang="en-US" sz="1100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Varadero!$C$35:$C$68</c:f>
              <c:numCache>
                <c:formatCode>0.000</c:formatCode>
                <c:ptCount val="34"/>
                <c:pt idx="0">
                  <c:v>1.0144487500000432</c:v>
                </c:pt>
                <c:pt idx="1">
                  <c:v>0.96354500000003052</c:v>
                </c:pt>
                <c:pt idx="2">
                  <c:v>0.8952266666666695</c:v>
                </c:pt>
                <c:pt idx="3">
                  <c:v>1.1383366666666674</c:v>
                </c:pt>
                <c:pt idx="4">
                  <c:v>0.9659916666666698</c:v>
                </c:pt>
                <c:pt idx="5">
                  <c:v>1.0012100000000015</c:v>
                </c:pt>
                <c:pt idx="6">
                  <c:v>0.99692333333333849</c:v>
                </c:pt>
                <c:pt idx="7">
                  <c:v>0.8648050000000076</c:v>
                </c:pt>
                <c:pt idx="8">
                  <c:v>0.89833000000000374</c:v>
                </c:pt>
                <c:pt idx="9">
                  <c:v>0.98207500000000769</c:v>
                </c:pt>
                <c:pt idx="10">
                  <c:v>0.86656500000000725</c:v>
                </c:pt>
                <c:pt idx="11">
                  <c:v>0.89607500000000806</c:v>
                </c:pt>
                <c:pt idx="12">
                  <c:v>0.98930000000000595</c:v>
                </c:pt>
                <c:pt idx="13">
                  <c:v>1.0213300000000072</c:v>
                </c:pt>
                <c:pt idx="14">
                  <c:v>0.96555000000000746</c:v>
                </c:pt>
                <c:pt idx="15">
                  <c:v>0.88354500000001224</c:v>
                </c:pt>
                <c:pt idx="16">
                  <c:v>0.91483500000000484</c:v>
                </c:pt>
                <c:pt idx="17">
                  <c:v>1.1003050000000119</c:v>
                </c:pt>
                <c:pt idx="18">
                  <c:v>1.0505650000000095</c:v>
                </c:pt>
                <c:pt idx="19">
                  <c:v>1.2753350000000079</c:v>
                </c:pt>
                <c:pt idx="20">
                  <c:v>1.2780850000000104</c:v>
                </c:pt>
                <c:pt idx="21">
                  <c:v>0.86632000000000531</c:v>
                </c:pt>
                <c:pt idx="22">
                  <c:v>1.1783200000000147</c:v>
                </c:pt>
                <c:pt idx="23">
                  <c:v>1.088045000000007</c:v>
                </c:pt>
                <c:pt idx="24">
                  <c:v>1.1885950000000089</c:v>
                </c:pt>
                <c:pt idx="25">
                  <c:v>1.0055900000000075</c:v>
                </c:pt>
                <c:pt idx="26">
                  <c:v>1.1233350000000211</c:v>
                </c:pt>
                <c:pt idx="27">
                  <c:v>0.9765600000000193</c:v>
                </c:pt>
                <c:pt idx="28">
                  <c:v>1.1600600000000252</c:v>
                </c:pt>
                <c:pt idx="29">
                  <c:v>1.0745950000000235</c:v>
                </c:pt>
                <c:pt idx="30">
                  <c:v>1.0985500000000208</c:v>
                </c:pt>
                <c:pt idx="31">
                  <c:v>1.1158250000000223</c:v>
                </c:pt>
                <c:pt idx="32">
                  <c:v>1.1058300000000283</c:v>
                </c:pt>
                <c:pt idx="33">
                  <c:v>1.277870000000026</c:v>
                </c:pt>
              </c:numCache>
            </c:numRef>
          </c:xVal>
          <c:yVal>
            <c:numRef>
              <c:f>Varadero!$D$35:$D$68</c:f>
              <c:numCache>
                <c:formatCode>0.000</c:formatCode>
                <c:ptCount val="34"/>
                <c:pt idx="0">
                  <c:v>0.71444404689772989</c:v>
                </c:pt>
                <c:pt idx="1">
                  <c:v>0.70922706035852245</c:v>
                </c:pt>
                <c:pt idx="2">
                  <c:v>0.63348785973737709</c:v>
                </c:pt>
                <c:pt idx="3">
                  <c:v>0.90178868215234875</c:v>
                </c:pt>
                <c:pt idx="4">
                  <c:v>0.786159508504094</c:v>
                </c:pt>
                <c:pt idx="5">
                  <c:v>0.89223852881270493</c:v>
                </c:pt>
                <c:pt idx="6">
                  <c:v>0.80933512622206105</c:v>
                </c:pt>
                <c:pt idx="7">
                  <c:v>0.73485435226570228</c:v>
                </c:pt>
                <c:pt idx="8">
                  <c:v>0.6842354122105565</c:v>
                </c:pt>
                <c:pt idx="9">
                  <c:v>0.81270513306733816</c:v>
                </c:pt>
                <c:pt idx="10">
                  <c:v>0.79573819637984344</c:v>
                </c:pt>
                <c:pt idx="11">
                  <c:v>0.79908125881827008</c:v>
                </c:pt>
                <c:pt idx="12">
                  <c:v>0.71810590356935666</c:v>
                </c:pt>
                <c:pt idx="13">
                  <c:v>0.78036292505424976</c:v>
                </c:pt>
                <c:pt idx="14">
                  <c:v>0.82660274716993065</c:v>
                </c:pt>
                <c:pt idx="15">
                  <c:v>0.67177069010627954</c:v>
                </c:pt>
                <c:pt idx="16">
                  <c:v>0.68057633577569776</c:v>
                </c:pt>
                <c:pt idx="17">
                  <c:v>0.72445656719533391</c:v>
                </c:pt>
                <c:pt idx="18">
                  <c:v>0.69175240506210889</c:v>
                </c:pt>
                <c:pt idx="19">
                  <c:v>0.74994636451518948</c:v>
                </c:pt>
                <c:pt idx="20">
                  <c:v>0.83596477949238868</c:v>
                </c:pt>
                <c:pt idx="21">
                  <c:v>0.70601604526680173</c:v>
                </c:pt>
                <c:pt idx="22">
                  <c:v>0.91887644077568664</c:v>
                </c:pt>
                <c:pt idx="23">
                  <c:v>0.85866745940204925</c:v>
                </c:pt>
                <c:pt idx="24">
                  <c:v>0.94995259889336625</c:v>
                </c:pt>
                <c:pt idx="25">
                  <c:v>0.81772522287197125</c:v>
                </c:pt>
                <c:pt idx="26">
                  <c:v>0.88231775076977448</c:v>
                </c:pt>
                <c:pt idx="27">
                  <c:v>0.82042625994662455</c:v>
                </c:pt>
                <c:pt idx="28">
                  <c:v>0.92327817498446618</c:v>
                </c:pt>
                <c:pt idx="29">
                  <c:v>0.86085402325627969</c:v>
                </c:pt>
                <c:pt idx="30">
                  <c:v>0.89161416792168025</c:v>
                </c:pt>
                <c:pt idx="31">
                  <c:v>0.89946540041670453</c:v>
                </c:pt>
                <c:pt idx="32">
                  <c:v>0.91613175379229406</c:v>
                </c:pt>
                <c:pt idx="33">
                  <c:v>0.92777402393217656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9C-49C5-B65E-DF6AA50F5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30214720"/>
        <c:axId val="-1430219616"/>
      </c:scatterChart>
      <c:valAx>
        <c:axId val="-1430214720"/>
        <c:scaling>
          <c:orientation val="minMax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0219616"/>
        <c:crosses val="autoZero"/>
        <c:crossBetween val="midCat"/>
      </c:valAx>
      <c:valAx>
        <c:axId val="-1430219616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021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1984-2015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521587926509188"/>
                  <c:y val="0.1920457859434237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1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-0.1651x + 0.9197</a:t>
                    </a:r>
                    <a:br>
                      <a:rPr lang="en-US" baseline="0"/>
                    </a:br>
                    <a:r>
                      <a:rPr lang="en-US" baseline="0"/>
                      <a:t>R² = 0.2319; p = 0.005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Varadero!$C$3:$C$34</c:f>
              <c:numCache>
                <c:formatCode>0.000</c:formatCode>
                <c:ptCount val="32"/>
                <c:pt idx="0">
                  <c:v>1.3288425000000001</c:v>
                </c:pt>
                <c:pt idx="1">
                  <c:v>1.0056375000000002</c:v>
                </c:pt>
                <c:pt idx="2">
                  <c:v>1.4491025000000002</c:v>
                </c:pt>
                <c:pt idx="3">
                  <c:v>1.0613424999999994</c:v>
                </c:pt>
                <c:pt idx="4">
                  <c:v>1.0953537499999997</c:v>
                </c:pt>
                <c:pt idx="5">
                  <c:v>0.96144750000000012</c:v>
                </c:pt>
                <c:pt idx="6">
                  <c:v>0.99063999999999952</c:v>
                </c:pt>
                <c:pt idx="7">
                  <c:v>1.0479249999999998</c:v>
                </c:pt>
                <c:pt idx="8">
                  <c:v>1.0717125000000007</c:v>
                </c:pt>
                <c:pt idx="9">
                  <c:v>1.0762037500000015</c:v>
                </c:pt>
                <c:pt idx="10">
                  <c:v>1.1954750000000021</c:v>
                </c:pt>
                <c:pt idx="11">
                  <c:v>1.0958437499999982</c:v>
                </c:pt>
                <c:pt idx="12">
                  <c:v>1.1260799999999973</c:v>
                </c:pt>
                <c:pt idx="13">
                  <c:v>1.145457499999998</c:v>
                </c:pt>
                <c:pt idx="14">
                  <c:v>1.3224262499999979</c:v>
                </c:pt>
                <c:pt idx="15">
                  <c:v>1.2871387499999967</c:v>
                </c:pt>
                <c:pt idx="16">
                  <c:v>1.1094374999999963</c:v>
                </c:pt>
                <c:pt idx="17">
                  <c:v>1.1839987499999702</c:v>
                </c:pt>
                <c:pt idx="18">
                  <c:v>1.2116237499999751</c:v>
                </c:pt>
                <c:pt idx="19">
                  <c:v>1.0417712499999732</c:v>
                </c:pt>
                <c:pt idx="20">
                  <c:v>1.138191249999978</c:v>
                </c:pt>
                <c:pt idx="21">
                  <c:v>1.1313512500000416</c:v>
                </c:pt>
                <c:pt idx="22">
                  <c:v>1.1924450000000646</c:v>
                </c:pt>
                <c:pt idx="23">
                  <c:v>0.9424350000000512</c:v>
                </c:pt>
                <c:pt idx="24">
                  <c:v>1.0629525000000521</c:v>
                </c:pt>
                <c:pt idx="25">
                  <c:v>0.90601625000004438</c:v>
                </c:pt>
                <c:pt idx="26">
                  <c:v>1.0940662500000502</c:v>
                </c:pt>
                <c:pt idx="27">
                  <c:v>0.97822625000005248</c:v>
                </c:pt>
                <c:pt idx="28">
                  <c:v>0.90424875000003224</c:v>
                </c:pt>
                <c:pt idx="29">
                  <c:v>1.2817812500000807</c:v>
                </c:pt>
                <c:pt idx="30">
                  <c:v>1.0104675000000496</c:v>
                </c:pt>
                <c:pt idx="31">
                  <c:v>0.95353250000004541</c:v>
                </c:pt>
              </c:numCache>
            </c:numRef>
          </c:xVal>
          <c:yVal>
            <c:numRef>
              <c:f>Varadero!$B$3:$B$34</c:f>
              <c:numCache>
                <c:formatCode>0.000</c:formatCode>
                <c:ptCount val="32"/>
                <c:pt idx="0">
                  <c:v>0.69275594099254056</c:v>
                </c:pt>
                <c:pt idx="1">
                  <c:v>0.71124144819945578</c:v>
                </c:pt>
                <c:pt idx="2">
                  <c:v>0.66893704445192248</c:v>
                </c:pt>
                <c:pt idx="3">
                  <c:v>0.6786841144954634</c:v>
                </c:pt>
                <c:pt idx="4">
                  <c:v>0.7301427075099467</c:v>
                </c:pt>
                <c:pt idx="5">
                  <c:v>0.82579825013086317</c:v>
                </c:pt>
                <c:pt idx="6">
                  <c:v>0.75146635183968336</c:v>
                </c:pt>
                <c:pt idx="7">
                  <c:v>0.72188983408378515</c:v>
                </c:pt>
                <c:pt idx="8">
                  <c:v>0.65930993802523696</c:v>
                </c:pt>
                <c:pt idx="9">
                  <c:v>0.69041012484460884</c:v>
                </c:pt>
                <c:pt idx="10">
                  <c:v>0.66468884131035</c:v>
                </c:pt>
                <c:pt idx="11">
                  <c:v>0.72895403310072071</c:v>
                </c:pt>
                <c:pt idx="12">
                  <c:v>0.64735904287821244</c:v>
                </c:pt>
                <c:pt idx="13">
                  <c:v>0.61148302851284342</c:v>
                </c:pt>
                <c:pt idx="14">
                  <c:v>0.61631882185878306</c:v>
                </c:pt>
                <c:pt idx="15">
                  <c:v>0.64976285035042358</c:v>
                </c:pt>
                <c:pt idx="16">
                  <c:v>0.70172658847989</c:v>
                </c:pt>
                <c:pt idx="17">
                  <c:v>0.66720052101238081</c:v>
                </c:pt>
                <c:pt idx="18">
                  <c:v>0.68815899137866954</c:v>
                </c:pt>
                <c:pt idx="19">
                  <c:v>0.70481662248755617</c:v>
                </c:pt>
                <c:pt idx="20">
                  <c:v>0.76085574761571295</c:v>
                </c:pt>
                <c:pt idx="21">
                  <c:v>0.76223225205721878</c:v>
                </c:pt>
                <c:pt idx="22">
                  <c:v>0.76550941279331686</c:v>
                </c:pt>
                <c:pt idx="23">
                  <c:v>0.74682663922006209</c:v>
                </c:pt>
                <c:pt idx="24">
                  <c:v>0.71249896018521353</c:v>
                </c:pt>
                <c:pt idx="25">
                  <c:v>0.68488088168345862</c:v>
                </c:pt>
                <c:pt idx="26">
                  <c:v>0.66112109731149205</c:v>
                </c:pt>
                <c:pt idx="27">
                  <c:v>0.68004303478323336</c:v>
                </c:pt>
                <c:pt idx="28">
                  <c:v>0.64277460536044184</c:v>
                </c:pt>
                <c:pt idx="29">
                  <c:v>0.71834118769974631</c:v>
                </c:pt>
                <c:pt idx="30">
                  <c:v>0.81621696528249332</c:v>
                </c:pt>
                <c:pt idx="31">
                  <c:v>0.78630406735730318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35-476F-9A1E-AF5086BE2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30213632"/>
        <c:axId val="-1430216896"/>
      </c:scatterChart>
      <c:valAx>
        <c:axId val="-1430213632"/>
        <c:scaling>
          <c:orientation val="minMax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0216896"/>
        <c:crosses val="autoZero"/>
        <c:crossBetween val="midCat"/>
      </c:valAx>
      <c:valAx>
        <c:axId val="-1430216896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021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1950-1983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"/>
                  <c:y val="0.2577606445027704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1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-0.2174x + 1.0477</a:t>
                    </a:r>
                    <a:br>
                      <a:rPr lang="en-US" baseline="0"/>
                    </a:br>
                    <a:r>
                      <a:rPr lang="en-US" baseline="0"/>
                      <a:t>R² = 0.1284; p = 0.038</a:t>
                    </a:r>
                  </a:p>
                  <a:p>
                    <a:pPr>
                      <a:defRPr sz="1100">
                        <a:solidFill>
                          <a:schemeClr val="tx1"/>
                        </a:solidFill>
                      </a:defRPr>
                    </a:pPr>
                    <a:r>
                      <a:rPr lang="en-US" baseline="0"/>
                      <a:t>Esta correlación es significativa, pero no tan fuerte como las otras dos de arriba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Varadero!$C$35:$C$68</c:f>
              <c:numCache>
                <c:formatCode>0.000</c:formatCode>
                <c:ptCount val="34"/>
                <c:pt idx="0">
                  <c:v>1.0144487500000432</c:v>
                </c:pt>
                <c:pt idx="1">
                  <c:v>0.96354500000003052</c:v>
                </c:pt>
                <c:pt idx="2">
                  <c:v>0.8952266666666695</c:v>
                </c:pt>
                <c:pt idx="3">
                  <c:v>1.1383366666666674</c:v>
                </c:pt>
                <c:pt idx="4">
                  <c:v>0.9659916666666698</c:v>
                </c:pt>
                <c:pt idx="5">
                  <c:v>1.0012100000000015</c:v>
                </c:pt>
                <c:pt idx="6">
                  <c:v>0.99692333333333849</c:v>
                </c:pt>
                <c:pt idx="7">
                  <c:v>0.8648050000000076</c:v>
                </c:pt>
                <c:pt idx="8">
                  <c:v>0.89833000000000374</c:v>
                </c:pt>
                <c:pt idx="9">
                  <c:v>0.98207500000000769</c:v>
                </c:pt>
                <c:pt idx="10">
                  <c:v>0.86656500000000725</c:v>
                </c:pt>
                <c:pt idx="11">
                  <c:v>0.89607500000000806</c:v>
                </c:pt>
                <c:pt idx="12">
                  <c:v>0.98930000000000595</c:v>
                </c:pt>
                <c:pt idx="13">
                  <c:v>1.0213300000000072</c:v>
                </c:pt>
                <c:pt idx="14">
                  <c:v>0.96555000000000746</c:v>
                </c:pt>
                <c:pt idx="15">
                  <c:v>0.88354500000001224</c:v>
                </c:pt>
                <c:pt idx="16">
                  <c:v>0.91483500000000484</c:v>
                </c:pt>
                <c:pt idx="17">
                  <c:v>1.1003050000000119</c:v>
                </c:pt>
                <c:pt idx="18">
                  <c:v>1.0505650000000095</c:v>
                </c:pt>
                <c:pt idx="19">
                  <c:v>1.2753350000000079</c:v>
                </c:pt>
                <c:pt idx="20">
                  <c:v>1.2780850000000104</c:v>
                </c:pt>
                <c:pt idx="21">
                  <c:v>0.86632000000000531</c:v>
                </c:pt>
                <c:pt idx="22">
                  <c:v>1.1783200000000147</c:v>
                </c:pt>
                <c:pt idx="23">
                  <c:v>1.088045000000007</c:v>
                </c:pt>
                <c:pt idx="24">
                  <c:v>1.1885950000000089</c:v>
                </c:pt>
                <c:pt idx="25">
                  <c:v>1.0055900000000075</c:v>
                </c:pt>
                <c:pt idx="26">
                  <c:v>1.1233350000000211</c:v>
                </c:pt>
                <c:pt idx="27">
                  <c:v>0.9765600000000193</c:v>
                </c:pt>
                <c:pt idx="28">
                  <c:v>1.1600600000000252</c:v>
                </c:pt>
                <c:pt idx="29">
                  <c:v>1.0745950000000235</c:v>
                </c:pt>
                <c:pt idx="30">
                  <c:v>1.0985500000000208</c:v>
                </c:pt>
                <c:pt idx="31">
                  <c:v>1.1158250000000223</c:v>
                </c:pt>
                <c:pt idx="32">
                  <c:v>1.1058300000000283</c:v>
                </c:pt>
                <c:pt idx="33">
                  <c:v>1.277870000000026</c:v>
                </c:pt>
              </c:numCache>
            </c:numRef>
          </c:xVal>
          <c:yVal>
            <c:numRef>
              <c:f>Varadero!$B$35:$B$68</c:f>
              <c:numCache>
                <c:formatCode>0.000</c:formatCode>
                <c:ptCount val="34"/>
                <c:pt idx="0">
                  <c:v>0.69383695743190543</c:v>
                </c:pt>
                <c:pt idx="1">
                  <c:v>0.71755662143159182</c:v>
                </c:pt>
                <c:pt idx="2">
                  <c:v>0.70060290104650136</c:v>
                </c:pt>
                <c:pt idx="3">
                  <c:v>0.77656957554076655</c:v>
                </c:pt>
                <c:pt idx="4">
                  <c:v>0.82674978191610815</c:v>
                </c:pt>
                <c:pt idx="5">
                  <c:v>0.90256161926284884</c:v>
                </c:pt>
                <c:pt idx="6">
                  <c:v>0.81826674625094997</c:v>
                </c:pt>
                <c:pt idx="7">
                  <c:v>0.83399342010468247</c:v>
                </c:pt>
                <c:pt idx="8">
                  <c:v>0.76460190559228713</c:v>
                </c:pt>
                <c:pt idx="9">
                  <c:v>0.80540052998320955</c:v>
                </c:pt>
                <c:pt idx="10">
                  <c:v>0.88487004663954949</c:v>
                </c:pt>
                <c:pt idx="11">
                  <c:v>0.87733580639488029</c:v>
                </c:pt>
                <c:pt idx="12">
                  <c:v>0.72620131595560655</c:v>
                </c:pt>
                <c:pt idx="13">
                  <c:v>0.77183524580726504</c:v>
                </c:pt>
                <c:pt idx="14">
                  <c:v>0.8442804105053231</c:v>
                </c:pt>
                <c:pt idx="15">
                  <c:v>0.77234237168575959</c:v>
                </c:pt>
                <c:pt idx="16">
                  <c:v>0.7418506643291094</c:v>
                </c:pt>
                <c:pt idx="17">
                  <c:v>0.70300292531106556</c:v>
                </c:pt>
                <c:pt idx="18">
                  <c:v>0.66830303202063268</c:v>
                </c:pt>
                <c:pt idx="19">
                  <c:v>0.59998764512344638</c:v>
                </c:pt>
                <c:pt idx="20">
                  <c:v>0.65947992896465391</c:v>
                </c:pt>
                <c:pt idx="21">
                  <c:v>0.80290479896806366</c:v>
                </c:pt>
                <c:pt idx="22">
                  <c:v>0.80215070341759287</c:v>
                </c:pt>
                <c:pt idx="23">
                  <c:v>0.77599267357044788</c:v>
                </c:pt>
                <c:pt idx="24">
                  <c:v>0.80044614612293197</c:v>
                </c:pt>
                <c:pt idx="25">
                  <c:v>0.81415417853437244</c:v>
                </c:pt>
                <c:pt idx="26">
                  <c:v>0.78587784321928833</c:v>
                </c:pt>
                <c:pt idx="27">
                  <c:v>0.84334114027373452</c:v>
                </c:pt>
                <c:pt idx="28">
                  <c:v>0.81728580497279879</c:v>
                </c:pt>
                <c:pt idx="29">
                  <c:v>0.80183968730505883</c:v>
                </c:pt>
                <c:pt idx="30">
                  <c:v>0.83421888198590821</c:v>
                </c:pt>
                <c:pt idx="31">
                  <c:v>0.81860517263111987</c:v>
                </c:pt>
                <c:pt idx="32">
                  <c:v>0.82815686403954059</c:v>
                </c:pt>
                <c:pt idx="33">
                  <c:v>0.75076781370026691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D-4FB3-AA9C-0E5BEC1E3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30220160"/>
        <c:axId val="-1430610208"/>
      </c:scatterChart>
      <c:valAx>
        <c:axId val="-1430220160"/>
        <c:scaling>
          <c:orientation val="minMax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0610208"/>
        <c:crosses val="autoZero"/>
        <c:crossBetween val="midCat"/>
      </c:valAx>
      <c:valAx>
        <c:axId val="-1430610208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022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1953-1983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009017688054417"/>
                  <c:y val="0.2544254884806065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5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aseline="0">
                        <a:solidFill>
                          <a:schemeClr val="tx1"/>
                        </a:solidFill>
                      </a:rPr>
                      <a:t>y = -0.0003x + 1.0191</a:t>
                    </a:r>
                    <a:br>
                      <a:rPr lang="en-US" sz="1050" baseline="0">
                        <a:solidFill>
                          <a:schemeClr val="tx1"/>
                        </a:solidFill>
                      </a:rPr>
                    </a:br>
                    <a:r>
                      <a:rPr lang="en-US" sz="1050" baseline="0">
                        <a:solidFill>
                          <a:schemeClr val="tx1"/>
                        </a:solidFill>
                      </a:rPr>
                      <a:t>R² = 0.3002; p &lt; 0.005</a:t>
                    </a:r>
                    <a:endParaRPr lang="en-US" sz="1050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Varadero!$AA$35:$AA$65</c:f>
              <c:numCache>
                <c:formatCode>General</c:formatCode>
                <c:ptCount val="31"/>
                <c:pt idx="0">
                  <c:v>333.7</c:v>
                </c:pt>
                <c:pt idx="1">
                  <c:v>113.9</c:v>
                </c:pt>
                <c:pt idx="2">
                  <c:v>1179.2</c:v>
                </c:pt>
                <c:pt idx="6">
                  <c:v>430.4</c:v>
                </c:pt>
                <c:pt idx="7">
                  <c:v>623.6</c:v>
                </c:pt>
                <c:pt idx="8">
                  <c:v>842.9</c:v>
                </c:pt>
                <c:pt idx="9">
                  <c:v>621.9</c:v>
                </c:pt>
                <c:pt idx="10">
                  <c:v>150.69999999999999</c:v>
                </c:pt>
                <c:pt idx="11">
                  <c:v>714</c:v>
                </c:pt>
                <c:pt idx="12">
                  <c:v>79.8</c:v>
                </c:pt>
                <c:pt idx="13">
                  <c:v>1301.7</c:v>
                </c:pt>
                <c:pt idx="14">
                  <c:v>700.6</c:v>
                </c:pt>
                <c:pt idx="15">
                  <c:v>613</c:v>
                </c:pt>
                <c:pt idx="16">
                  <c:v>656.2</c:v>
                </c:pt>
                <c:pt idx="17">
                  <c:v>704.6</c:v>
                </c:pt>
                <c:pt idx="18">
                  <c:v>839.3</c:v>
                </c:pt>
                <c:pt idx="19">
                  <c:v>993.8</c:v>
                </c:pt>
                <c:pt idx="20">
                  <c:v>848.8</c:v>
                </c:pt>
                <c:pt idx="21">
                  <c:v>724.25</c:v>
                </c:pt>
                <c:pt idx="22">
                  <c:v>599.70000000000005</c:v>
                </c:pt>
                <c:pt idx="23">
                  <c:v>976.4</c:v>
                </c:pt>
                <c:pt idx="24">
                  <c:v>102.5</c:v>
                </c:pt>
                <c:pt idx="25">
                  <c:v>495</c:v>
                </c:pt>
                <c:pt idx="26">
                  <c:v>226.6</c:v>
                </c:pt>
                <c:pt idx="27">
                  <c:v>449</c:v>
                </c:pt>
                <c:pt idx="28">
                  <c:v>636.9</c:v>
                </c:pt>
                <c:pt idx="29">
                  <c:v>1107.4000000000001</c:v>
                </c:pt>
                <c:pt idx="30">
                  <c:v>226.6</c:v>
                </c:pt>
              </c:numCache>
            </c:numRef>
          </c:xVal>
          <c:yVal>
            <c:numRef>
              <c:f>Varadero!$D$35:$D$65</c:f>
              <c:numCache>
                <c:formatCode>0.000</c:formatCode>
                <c:ptCount val="31"/>
                <c:pt idx="0">
                  <c:v>0.71444404689772989</c:v>
                </c:pt>
                <c:pt idx="1">
                  <c:v>0.70922706035852245</c:v>
                </c:pt>
                <c:pt idx="2">
                  <c:v>0.63348785973737709</c:v>
                </c:pt>
                <c:pt idx="3">
                  <c:v>0.90178868215234875</c:v>
                </c:pt>
                <c:pt idx="4">
                  <c:v>0.786159508504094</c:v>
                </c:pt>
                <c:pt idx="5">
                  <c:v>0.89223852881270493</c:v>
                </c:pt>
                <c:pt idx="6">
                  <c:v>0.80933512622206105</c:v>
                </c:pt>
                <c:pt idx="7">
                  <c:v>0.73485435226570228</c:v>
                </c:pt>
                <c:pt idx="8">
                  <c:v>0.6842354122105565</c:v>
                </c:pt>
                <c:pt idx="9">
                  <c:v>0.81270513306733816</c:v>
                </c:pt>
                <c:pt idx="10">
                  <c:v>0.79573819637984344</c:v>
                </c:pt>
                <c:pt idx="11">
                  <c:v>0.79908125881827008</c:v>
                </c:pt>
                <c:pt idx="12">
                  <c:v>0.71810590356935666</c:v>
                </c:pt>
                <c:pt idx="13">
                  <c:v>0.78036292505424976</c:v>
                </c:pt>
                <c:pt idx="14">
                  <c:v>0.82660274716993065</c:v>
                </c:pt>
                <c:pt idx="15">
                  <c:v>0.67177069010627954</c:v>
                </c:pt>
                <c:pt idx="16">
                  <c:v>0.68057633577569776</c:v>
                </c:pt>
                <c:pt idx="17">
                  <c:v>0.72445656719533391</c:v>
                </c:pt>
                <c:pt idx="18">
                  <c:v>0.69175240506210889</c:v>
                </c:pt>
                <c:pt idx="19">
                  <c:v>0.74994636451518948</c:v>
                </c:pt>
                <c:pt idx="20">
                  <c:v>0.83596477949238868</c:v>
                </c:pt>
                <c:pt idx="21">
                  <c:v>0.70601604526680173</c:v>
                </c:pt>
                <c:pt idx="22">
                  <c:v>0.91887644077568664</c:v>
                </c:pt>
                <c:pt idx="23">
                  <c:v>0.85866745940204925</c:v>
                </c:pt>
                <c:pt idx="24">
                  <c:v>0.94995259889336625</c:v>
                </c:pt>
                <c:pt idx="25">
                  <c:v>0.81772522287197125</c:v>
                </c:pt>
                <c:pt idx="26">
                  <c:v>0.88231775076977448</c:v>
                </c:pt>
                <c:pt idx="27">
                  <c:v>0.82042625994662455</c:v>
                </c:pt>
                <c:pt idx="28">
                  <c:v>0.92327817498446618</c:v>
                </c:pt>
                <c:pt idx="29">
                  <c:v>0.86085402325627969</c:v>
                </c:pt>
                <c:pt idx="30">
                  <c:v>0.89161416792168025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E8-4B45-877C-BBE81F604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30608576"/>
        <c:axId val="-1430610752"/>
      </c:scatterChart>
      <c:valAx>
        <c:axId val="-1430608576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Precipitación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0610752"/>
        <c:crosses val="autoZero"/>
        <c:crossBetween val="midCat"/>
      </c:valAx>
      <c:valAx>
        <c:axId val="-1430610752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060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1984-2013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Varadero!$AA$5:$AA$34</c:f>
              <c:numCache>
                <c:formatCode>General</c:formatCode>
                <c:ptCount val="30"/>
                <c:pt idx="0">
                  <c:v>749.4</c:v>
                </c:pt>
                <c:pt idx="1">
                  <c:v>1002.5</c:v>
                </c:pt>
                <c:pt idx="2">
                  <c:v>1847.8</c:v>
                </c:pt>
                <c:pt idx="3">
                  <c:v>2444</c:v>
                </c:pt>
                <c:pt idx="4">
                  <c:v>609.70000000000005</c:v>
                </c:pt>
                <c:pt idx="5">
                  <c:v>992.6</c:v>
                </c:pt>
                <c:pt idx="6">
                  <c:v>1133.4000000000001</c:v>
                </c:pt>
                <c:pt idx="7">
                  <c:v>841.4</c:v>
                </c:pt>
                <c:pt idx="8">
                  <c:v>743.3</c:v>
                </c:pt>
                <c:pt idx="9">
                  <c:v>1307.0999999999999</c:v>
                </c:pt>
                <c:pt idx="10">
                  <c:v>1004.9</c:v>
                </c:pt>
                <c:pt idx="11">
                  <c:v>663.6</c:v>
                </c:pt>
                <c:pt idx="12">
                  <c:v>682.3</c:v>
                </c:pt>
                <c:pt idx="13">
                  <c:v>787.8</c:v>
                </c:pt>
                <c:pt idx="14">
                  <c:v>1485.3</c:v>
                </c:pt>
                <c:pt idx="15">
                  <c:v>863.9</c:v>
                </c:pt>
                <c:pt idx="16">
                  <c:v>969.7</c:v>
                </c:pt>
                <c:pt idx="17">
                  <c:v>904</c:v>
                </c:pt>
                <c:pt idx="18">
                  <c:v>1275.0999999999999</c:v>
                </c:pt>
                <c:pt idx="19">
                  <c:v>814.2</c:v>
                </c:pt>
                <c:pt idx="20">
                  <c:v>750.8</c:v>
                </c:pt>
                <c:pt idx="21">
                  <c:v>245.5</c:v>
                </c:pt>
                <c:pt idx="22">
                  <c:v>359.4</c:v>
                </c:pt>
                <c:pt idx="26">
                  <c:v>336.1</c:v>
                </c:pt>
                <c:pt idx="27">
                  <c:v>411.5</c:v>
                </c:pt>
                <c:pt idx="28">
                  <c:v>871.7</c:v>
                </c:pt>
                <c:pt idx="29">
                  <c:v>772.1</c:v>
                </c:pt>
              </c:numCache>
            </c:numRef>
          </c:xVal>
          <c:yVal>
            <c:numRef>
              <c:f>Varadero!$D$5:$D$34</c:f>
              <c:numCache>
                <c:formatCode>0.000</c:formatCode>
                <c:ptCount val="30"/>
                <c:pt idx="0">
                  <c:v>0.95513204826260956</c:v>
                </c:pt>
                <c:pt idx="1">
                  <c:v>0.67846523020100968</c:v>
                </c:pt>
                <c:pt idx="2">
                  <c:v>0.76858001397364628</c:v>
                </c:pt>
                <c:pt idx="3">
                  <c:v>0.74785460141996563</c:v>
                </c:pt>
                <c:pt idx="4">
                  <c:v>0.73541377516793471</c:v>
                </c:pt>
                <c:pt idx="5">
                  <c:v>0.74468853428749215</c:v>
                </c:pt>
                <c:pt idx="6">
                  <c:v>0.70509187374558735</c:v>
                </c:pt>
                <c:pt idx="7">
                  <c:v>0.73922673930687277</c:v>
                </c:pt>
                <c:pt idx="8">
                  <c:v>0.77421518688815294</c:v>
                </c:pt>
                <c:pt idx="9">
                  <c:v>0.7750602035828873</c:v>
                </c:pt>
                <c:pt idx="10">
                  <c:v>0.71772243332640207</c:v>
                </c:pt>
                <c:pt idx="11">
                  <c:v>0.69238432336862221</c:v>
                </c:pt>
                <c:pt idx="12">
                  <c:v>0.81042461768659557</c:v>
                </c:pt>
                <c:pt idx="13">
                  <c:v>0.83971216191400699</c:v>
                </c:pt>
                <c:pt idx="14">
                  <c:v>0.76805074968800469</c:v>
                </c:pt>
                <c:pt idx="15">
                  <c:v>0.77952071045551719</c:v>
                </c:pt>
                <c:pt idx="16">
                  <c:v>0.78794392532763657</c:v>
                </c:pt>
                <c:pt idx="17">
                  <c:v>0.70046371859259748</c:v>
                </c:pt>
                <c:pt idx="18">
                  <c:v>0.84499156276491139</c:v>
                </c:pt>
                <c:pt idx="19">
                  <c:v>0.83750460615343214</c:v>
                </c:pt>
                <c:pt idx="20">
                  <c:v>0.88512751861105299</c:v>
                </c:pt>
                <c:pt idx="21">
                  <c:v>0.70065189883432588</c:v>
                </c:pt>
                <c:pt idx="22">
                  <c:v>0.76389599747968673</c:v>
                </c:pt>
                <c:pt idx="23">
                  <c:v>0.62155443750787687</c:v>
                </c:pt>
                <c:pt idx="24">
                  <c:v>0.7009571357665586</c:v>
                </c:pt>
                <c:pt idx="25">
                  <c:v>0.68067041264212103</c:v>
                </c:pt>
                <c:pt idx="26">
                  <c:v>0.57937830623980902</c:v>
                </c:pt>
                <c:pt idx="27">
                  <c:v>0.9137244591727095</c:v>
                </c:pt>
                <c:pt idx="28">
                  <c:v>0.81014162339068374</c:v>
                </c:pt>
                <c:pt idx="29">
                  <c:v>0.77041309484309028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C6-4224-A241-E9ADFB86E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30608032"/>
        <c:axId val="-1430607488"/>
      </c:scatterChart>
      <c:valAx>
        <c:axId val="-1430608032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Precipitacion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0607488"/>
        <c:crosses val="autoZero"/>
        <c:crossBetween val="midCat"/>
      </c:valAx>
      <c:valAx>
        <c:axId val="-1430607488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060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1953-1983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Varadero!$AF$35:$AF$65</c:f>
              <c:numCache>
                <c:formatCode>General</c:formatCode>
                <c:ptCount val="31"/>
                <c:pt idx="0">
                  <c:v>653</c:v>
                </c:pt>
                <c:pt idx="1">
                  <c:v>653.75</c:v>
                </c:pt>
                <c:pt idx="2">
                  <c:v>651.66666666666663</c:v>
                </c:pt>
              </c:numCache>
            </c:numRef>
          </c:xVal>
          <c:yVal>
            <c:numRef>
              <c:f>Varadero!$M$35:$M$65</c:f>
              <c:numCache>
                <c:formatCode>General</c:formatCode>
                <c:ptCount val="31"/>
                <c:pt idx="0">
                  <c:v>0.73136140069978095</c:v>
                </c:pt>
                <c:pt idx="1">
                  <c:v>0.68571965566454318</c:v>
                </c:pt>
                <c:pt idx="2">
                  <c:v>0.74816786741608265</c:v>
                </c:pt>
                <c:pt idx="3">
                  <c:v>0.77381201679793998</c:v>
                </c:pt>
                <c:pt idx="4">
                  <c:v>0.86006223982304919</c:v>
                </c:pt>
                <c:pt idx="5">
                  <c:v>0.82924438784628673</c:v>
                </c:pt>
                <c:pt idx="6">
                  <c:v>0.81214266910015598</c:v>
                </c:pt>
                <c:pt idx="7">
                  <c:v>0.74280829689943995</c:v>
                </c:pt>
                <c:pt idx="8">
                  <c:v>0.74393163251453231</c:v>
                </c:pt>
                <c:pt idx="9">
                  <c:v>0.76422624721924615</c:v>
                </c:pt>
                <c:pt idx="10">
                  <c:v>0.802508196088484</c:v>
                </c:pt>
                <c:pt idx="11">
                  <c:v>0.77097511958915677</c:v>
                </c:pt>
                <c:pt idx="12">
                  <c:v>0.76585002914729217</c:v>
                </c:pt>
                <c:pt idx="13">
                  <c:v>0.77502385859784573</c:v>
                </c:pt>
                <c:pt idx="14">
                  <c:v>0.75957878744348672</c:v>
                </c:pt>
                <c:pt idx="15">
                  <c:v>0.72631659101730273</c:v>
                </c:pt>
                <c:pt idx="16">
                  <c:v>0.6922678643591037</c:v>
                </c:pt>
                <c:pt idx="17">
                  <c:v>0.69892843601104682</c:v>
                </c:pt>
                <c:pt idx="18">
                  <c:v>0.7220517789242108</c:v>
                </c:pt>
                <c:pt idx="19">
                  <c:v>0.75922118302322905</c:v>
                </c:pt>
                <c:pt idx="20">
                  <c:v>0.76397572975812666</c:v>
                </c:pt>
                <c:pt idx="21">
                  <c:v>0.82028575517829239</c:v>
                </c:pt>
                <c:pt idx="22">
                  <c:v>0.82785331514817928</c:v>
                </c:pt>
                <c:pt idx="23">
                  <c:v>0.90916549969036742</c:v>
                </c:pt>
                <c:pt idx="24">
                  <c:v>0.87544842705579562</c:v>
                </c:pt>
                <c:pt idx="25">
                  <c:v>0.88333185751170396</c:v>
                </c:pt>
                <c:pt idx="26">
                  <c:v>0.84015641119612339</c:v>
                </c:pt>
                <c:pt idx="27">
                  <c:v>0.87534072856695511</c:v>
                </c:pt>
                <c:pt idx="28">
                  <c:v>0.86818615272912358</c:v>
                </c:pt>
                <c:pt idx="29">
                  <c:v>0.8919154553874753</c:v>
                </c:pt>
                <c:pt idx="30">
                  <c:v>0.88397786386488819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01-465A-910F-17016336A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30609120"/>
        <c:axId val="-1430605856"/>
      </c:scatterChart>
      <c:valAx>
        <c:axId val="-1430609120"/>
        <c:scaling>
          <c:orientation val="minMax"/>
          <c:min val="6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Nivel del canal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0605856"/>
        <c:crosses val="autoZero"/>
        <c:crossBetween val="midCat"/>
      </c:valAx>
      <c:valAx>
        <c:axId val="-1430605856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30609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1984-2013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029145746048836"/>
                  <c:y val="0.144759040536599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5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aseline="0">
                        <a:solidFill>
                          <a:schemeClr val="tx1"/>
                        </a:solidFill>
                      </a:rPr>
                      <a:t>y = 0.0009x + 0.1765</a:t>
                    </a:r>
                    <a:br>
                      <a:rPr lang="en-US" sz="1050" baseline="0">
                        <a:solidFill>
                          <a:schemeClr val="tx1"/>
                        </a:solidFill>
                      </a:rPr>
                    </a:br>
                    <a:r>
                      <a:rPr lang="en-US" sz="1050" baseline="0">
                        <a:solidFill>
                          <a:schemeClr val="tx1"/>
                        </a:solidFill>
                      </a:rPr>
                      <a:t>R² = 0.1335; p = 0.043</a:t>
                    </a:r>
                    <a:endParaRPr lang="en-US" sz="1050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Varadero!$AE$4:$AE$34</c:f>
              <c:numCache>
                <c:formatCode>General</c:formatCode>
                <c:ptCount val="31"/>
                <c:pt idx="0">
                  <c:v>681</c:v>
                </c:pt>
                <c:pt idx="1">
                  <c:v>681</c:v>
                </c:pt>
                <c:pt idx="2">
                  <c:v>687</c:v>
                </c:pt>
                <c:pt idx="3">
                  <c:v>689.5</c:v>
                </c:pt>
                <c:pt idx="4">
                  <c:v>692</c:v>
                </c:pt>
                <c:pt idx="5">
                  <c:v>688</c:v>
                </c:pt>
                <c:pt idx="6">
                  <c:v>698</c:v>
                </c:pt>
                <c:pt idx="7">
                  <c:v>693</c:v>
                </c:pt>
                <c:pt idx="8">
                  <c:v>690</c:v>
                </c:pt>
                <c:pt idx="9">
                  <c:v>684</c:v>
                </c:pt>
                <c:pt idx="10">
                  <c:v>681</c:v>
                </c:pt>
                <c:pt idx="11">
                  <c:v>677</c:v>
                </c:pt>
                <c:pt idx="12">
                  <c:v>671</c:v>
                </c:pt>
                <c:pt idx="13">
                  <c:v>664</c:v>
                </c:pt>
                <c:pt idx="14">
                  <c:v>687</c:v>
                </c:pt>
                <c:pt idx="15">
                  <c:v>693</c:v>
                </c:pt>
                <c:pt idx="16">
                  <c:v>671</c:v>
                </c:pt>
                <c:pt idx="17">
                  <c:v>657</c:v>
                </c:pt>
                <c:pt idx="18">
                  <c:v>682</c:v>
                </c:pt>
                <c:pt idx="19">
                  <c:v>671</c:v>
                </c:pt>
                <c:pt idx="20">
                  <c:v>679</c:v>
                </c:pt>
                <c:pt idx="21">
                  <c:v>667</c:v>
                </c:pt>
                <c:pt idx="22">
                  <c:v>655</c:v>
                </c:pt>
                <c:pt idx="23">
                  <c:v>655</c:v>
                </c:pt>
                <c:pt idx="24">
                  <c:v>657</c:v>
                </c:pt>
                <c:pt idx="25">
                  <c:v>660</c:v>
                </c:pt>
                <c:pt idx="26">
                  <c:v>658</c:v>
                </c:pt>
                <c:pt idx="27">
                  <c:v>657</c:v>
                </c:pt>
                <c:pt idx="28">
                  <c:v>653</c:v>
                </c:pt>
                <c:pt idx="29">
                  <c:v>650</c:v>
                </c:pt>
                <c:pt idx="30">
                  <c:v>660</c:v>
                </c:pt>
              </c:numCache>
            </c:numRef>
          </c:xVal>
          <c:yVal>
            <c:numRef>
              <c:f>Varadero!$D$4:$D$34</c:f>
              <c:numCache>
                <c:formatCode>0.000</c:formatCode>
                <c:ptCount val="31"/>
                <c:pt idx="0">
                  <c:v>0.67616338076530669</c:v>
                </c:pt>
                <c:pt idx="1">
                  <c:v>0.95513204826260956</c:v>
                </c:pt>
                <c:pt idx="2">
                  <c:v>0.67846523020100968</c:v>
                </c:pt>
                <c:pt idx="3">
                  <c:v>0.76858001397364628</c:v>
                </c:pt>
                <c:pt idx="4">
                  <c:v>0.74785460141996563</c:v>
                </c:pt>
                <c:pt idx="5">
                  <c:v>0.73541377516793471</c:v>
                </c:pt>
                <c:pt idx="6">
                  <c:v>0.74468853428749215</c:v>
                </c:pt>
                <c:pt idx="7">
                  <c:v>0.70509187374558735</c:v>
                </c:pt>
                <c:pt idx="8">
                  <c:v>0.73922673930687277</c:v>
                </c:pt>
                <c:pt idx="9">
                  <c:v>0.77421518688815294</c:v>
                </c:pt>
                <c:pt idx="10">
                  <c:v>0.7750602035828873</c:v>
                </c:pt>
                <c:pt idx="11">
                  <c:v>0.71772243332640207</c:v>
                </c:pt>
                <c:pt idx="12">
                  <c:v>0.69238432336862221</c:v>
                </c:pt>
                <c:pt idx="13">
                  <c:v>0.81042461768659557</c:v>
                </c:pt>
                <c:pt idx="14">
                  <c:v>0.83971216191400699</c:v>
                </c:pt>
                <c:pt idx="15">
                  <c:v>0.76805074968800469</c:v>
                </c:pt>
                <c:pt idx="16">
                  <c:v>0.77952071045551719</c:v>
                </c:pt>
                <c:pt idx="17">
                  <c:v>0.78794392532763657</c:v>
                </c:pt>
                <c:pt idx="18">
                  <c:v>0.70046371859259748</c:v>
                </c:pt>
                <c:pt idx="19">
                  <c:v>0.84499156276491139</c:v>
                </c:pt>
                <c:pt idx="20">
                  <c:v>0.83750460615343214</c:v>
                </c:pt>
                <c:pt idx="21">
                  <c:v>0.88512751861105299</c:v>
                </c:pt>
                <c:pt idx="22">
                  <c:v>0.70065189883432588</c:v>
                </c:pt>
                <c:pt idx="23">
                  <c:v>0.76389599747968673</c:v>
                </c:pt>
                <c:pt idx="24">
                  <c:v>0.62155443750787687</c:v>
                </c:pt>
                <c:pt idx="25">
                  <c:v>0.7009571357665586</c:v>
                </c:pt>
                <c:pt idx="26">
                  <c:v>0.68067041264212103</c:v>
                </c:pt>
                <c:pt idx="27">
                  <c:v>0.57937830623980902</c:v>
                </c:pt>
                <c:pt idx="28">
                  <c:v>0.9137244591727095</c:v>
                </c:pt>
                <c:pt idx="29">
                  <c:v>0.81014162339068374</c:v>
                </c:pt>
                <c:pt idx="30">
                  <c:v>0.77041309484309028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33-4871-8254-F7D498346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9822272"/>
        <c:axId val="-1429821728"/>
      </c:scatterChart>
      <c:valAx>
        <c:axId val="-1429822272"/>
        <c:scaling>
          <c:orientation val="minMax"/>
          <c:min val="6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Nivel del canal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821728"/>
        <c:crosses val="autoZero"/>
        <c:crossBetween val="midCat"/>
      </c:valAx>
      <c:valAx>
        <c:axId val="-1429821728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82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1984-2013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Varadero!$V$5:$V$34</c:f>
              <c:numCache>
                <c:formatCode>General</c:formatCode>
                <c:ptCount val="30"/>
                <c:pt idx="0">
                  <c:v>28.2</c:v>
                </c:pt>
                <c:pt idx="1">
                  <c:v>28.1</c:v>
                </c:pt>
                <c:pt idx="2">
                  <c:v>27.8</c:v>
                </c:pt>
                <c:pt idx="3">
                  <c:v>28.1</c:v>
                </c:pt>
                <c:pt idx="4">
                  <c:v>28.2</c:v>
                </c:pt>
                <c:pt idx="5">
                  <c:v>27.6</c:v>
                </c:pt>
                <c:pt idx="6">
                  <c:v>27.8</c:v>
                </c:pt>
                <c:pt idx="7">
                  <c:v>28</c:v>
                </c:pt>
                <c:pt idx="8">
                  <c:v>28.1</c:v>
                </c:pt>
                <c:pt idx="9">
                  <c:v>27.9</c:v>
                </c:pt>
                <c:pt idx="10">
                  <c:v>28</c:v>
                </c:pt>
                <c:pt idx="11">
                  <c:v>28.1</c:v>
                </c:pt>
                <c:pt idx="12">
                  <c:v>27.7</c:v>
                </c:pt>
                <c:pt idx="13">
                  <c:v>27.4</c:v>
                </c:pt>
                <c:pt idx="14">
                  <c:v>27.4</c:v>
                </c:pt>
                <c:pt idx="15">
                  <c:v>28.1</c:v>
                </c:pt>
                <c:pt idx="16">
                  <c:v>27.8</c:v>
                </c:pt>
                <c:pt idx="17">
                  <c:v>27.7</c:v>
                </c:pt>
                <c:pt idx="18">
                  <c:v>27.8</c:v>
                </c:pt>
                <c:pt idx="19">
                  <c:v>27.5</c:v>
                </c:pt>
                <c:pt idx="20">
                  <c:v>27.8</c:v>
                </c:pt>
                <c:pt idx="21">
                  <c:v>27.8</c:v>
                </c:pt>
                <c:pt idx="22">
                  <c:v>27.6</c:v>
                </c:pt>
                <c:pt idx="23">
                  <c:v>27.5</c:v>
                </c:pt>
                <c:pt idx="24">
                  <c:v>27.6</c:v>
                </c:pt>
                <c:pt idx="25">
                  <c:v>27.5</c:v>
                </c:pt>
                <c:pt idx="26">
                  <c:v>28</c:v>
                </c:pt>
                <c:pt idx="27">
                  <c:v>27.7</c:v>
                </c:pt>
                <c:pt idx="28">
                  <c:v>27.5</c:v>
                </c:pt>
                <c:pt idx="29">
                  <c:v>27.4</c:v>
                </c:pt>
              </c:numCache>
            </c:numRef>
          </c:xVal>
          <c:yVal>
            <c:numRef>
              <c:f>Varadero!$C$5:$C$34</c:f>
              <c:numCache>
                <c:formatCode>0.000</c:formatCode>
                <c:ptCount val="30"/>
                <c:pt idx="0">
                  <c:v>1.4491025000000002</c:v>
                </c:pt>
                <c:pt idx="1">
                  <c:v>1.0613424999999994</c:v>
                </c:pt>
                <c:pt idx="2">
                  <c:v>1.0953537499999997</c:v>
                </c:pt>
                <c:pt idx="3">
                  <c:v>0.96144750000000012</c:v>
                </c:pt>
                <c:pt idx="4">
                  <c:v>0.99063999999999952</c:v>
                </c:pt>
                <c:pt idx="5">
                  <c:v>1.0479249999999998</c:v>
                </c:pt>
                <c:pt idx="6">
                  <c:v>1.0717125000000007</c:v>
                </c:pt>
                <c:pt idx="7">
                  <c:v>1.0762037500000015</c:v>
                </c:pt>
                <c:pt idx="8">
                  <c:v>1.1954750000000021</c:v>
                </c:pt>
                <c:pt idx="9">
                  <c:v>1.0958437499999982</c:v>
                </c:pt>
                <c:pt idx="10">
                  <c:v>1.1260799999999973</c:v>
                </c:pt>
                <c:pt idx="11">
                  <c:v>1.145457499999998</c:v>
                </c:pt>
                <c:pt idx="12">
                  <c:v>1.3224262499999979</c:v>
                </c:pt>
                <c:pt idx="13">
                  <c:v>1.2871387499999967</c:v>
                </c:pt>
                <c:pt idx="14">
                  <c:v>1.1094374999999963</c:v>
                </c:pt>
                <c:pt idx="15">
                  <c:v>1.1839987499999702</c:v>
                </c:pt>
                <c:pt idx="16">
                  <c:v>1.2116237499999751</c:v>
                </c:pt>
                <c:pt idx="17">
                  <c:v>1.0417712499999732</c:v>
                </c:pt>
                <c:pt idx="18">
                  <c:v>1.138191249999978</c:v>
                </c:pt>
                <c:pt idx="19">
                  <c:v>1.1313512500000416</c:v>
                </c:pt>
                <c:pt idx="20">
                  <c:v>1.1924450000000646</c:v>
                </c:pt>
                <c:pt idx="21">
                  <c:v>0.9424350000000512</c:v>
                </c:pt>
                <c:pt idx="22">
                  <c:v>1.0629525000000521</c:v>
                </c:pt>
                <c:pt idx="23">
                  <c:v>0.90601625000004438</c:v>
                </c:pt>
                <c:pt idx="24">
                  <c:v>1.0940662500000502</c:v>
                </c:pt>
                <c:pt idx="25">
                  <c:v>0.97822625000005248</c:v>
                </c:pt>
                <c:pt idx="26">
                  <c:v>0.90424875000003224</c:v>
                </c:pt>
                <c:pt idx="27">
                  <c:v>1.2817812500000807</c:v>
                </c:pt>
                <c:pt idx="28">
                  <c:v>1.0104675000000496</c:v>
                </c:pt>
                <c:pt idx="29">
                  <c:v>0.95353250000004541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D3-479B-9C7B-302A2B3DB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9827168"/>
        <c:axId val="-1429824992"/>
      </c:scatterChart>
      <c:valAx>
        <c:axId val="-142982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Temperatura</a:t>
                </a:r>
                <a:r>
                  <a:rPr lang="es-CO" sz="1050" baseline="0">
                    <a:solidFill>
                      <a:schemeClr val="tx1"/>
                    </a:solidFill>
                  </a:rPr>
                  <a:t> IDEAM</a:t>
                </a:r>
                <a:endParaRPr lang="es-CO" sz="105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824992"/>
        <c:crosses val="autoZero"/>
        <c:crossBetween val="midCat"/>
      </c:valAx>
      <c:valAx>
        <c:axId val="-1429824992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82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1984-2013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Varadero!$AA$5:$AA$34</c:f>
              <c:numCache>
                <c:formatCode>General</c:formatCode>
                <c:ptCount val="30"/>
                <c:pt idx="0">
                  <c:v>749.4</c:v>
                </c:pt>
                <c:pt idx="1">
                  <c:v>1002.5</c:v>
                </c:pt>
                <c:pt idx="2">
                  <c:v>1847.8</c:v>
                </c:pt>
                <c:pt idx="3">
                  <c:v>2444</c:v>
                </c:pt>
                <c:pt idx="4">
                  <c:v>609.70000000000005</c:v>
                </c:pt>
                <c:pt idx="5">
                  <c:v>992.6</c:v>
                </c:pt>
                <c:pt idx="6">
                  <c:v>1133.4000000000001</c:v>
                </c:pt>
                <c:pt idx="7">
                  <c:v>841.4</c:v>
                </c:pt>
                <c:pt idx="8">
                  <c:v>743.3</c:v>
                </c:pt>
                <c:pt idx="9">
                  <c:v>1307.0999999999999</c:v>
                </c:pt>
                <c:pt idx="10">
                  <c:v>1004.9</c:v>
                </c:pt>
                <c:pt idx="11">
                  <c:v>663.6</c:v>
                </c:pt>
                <c:pt idx="12">
                  <c:v>682.3</c:v>
                </c:pt>
                <c:pt idx="13">
                  <c:v>787.8</c:v>
                </c:pt>
                <c:pt idx="14">
                  <c:v>1485.3</c:v>
                </c:pt>
                <c:pt idx="15">
                  <c:v>863.9</c:v>
                </c:pt>
                <c:pt idx="16">
                  <c:v>969.7</c:v>
                </c:pt>
                <c:pt idx="17">
                  <c:v>904</c:v>
                </c:pt>
                <c:pt idx="18">
                  <c:v>1275.0999999999999</c:v>
                </c:pt>
                <c:pt idx="19">
                  <c:v>814.2</c:v>
                </c:pt>
                <c:pt idx="20">
                  <c:v>750.8</c:v>
                </c:pt>
                <c:pt idx="21">
                  <c:v>245.5</c:v>
                </c:pt>
                <c:pt idx="22">
                  <c:v>359.4</c:v>
                </c:pt>
                <c:pt idx="26">
                  <c:v>336.1</c:v>
                </c:pt>
                <c:pt idx="27">
                  <c:v>411.5</c:v>
                </c:pt>
                <c:pt idx="28">
                  <c:v>871.7</c:v>
                </c:pt>
                <c:pt idx="29">
                  <c:v>772.1</c:v>
                </c:pt>
              </c:numCache>
            </c:numRef>
          </c:xVal>
          <c:yVal>
            <c:numRef>
              <c:f>Varadero!$C$5:$C$34</c:f>
              <c:numCache>
                <c:formatCode>0.000</c:formatCode>
                <c:ptCount val="30"/>
                <c:pt idx="0">
                  <c:v>1.4491025000000002</c:v>
                </c:pt>
                <c:pt idx="1">
                  <c:v>1.0613424999999994</c:v>
                </c:pt>
                <c:pt idx="2">
                  <c:v>1.0953537499999997</c:v>
                </c:pt>
                <c:pt idx="3">
                  <c:v>0.96144750000000012</c:v>
                </c:pt>
                <c:pt idx="4">
                  <c:v>0.99063999999999952</c:v>
                </c:pt>
                <c:pt idx="5">
                  <c:v>1.0479249999999998</c:v>
                </c:pt>
                <c:pt idx="6">
                  <c:v>1.0717125000000007</c:v>
                </c:pt>
                <c:pt idx="7">
                  <c:v>1.0762037500000015</c:v>
                </c:pt>
                <c:pt idx="8">
                  <c:v>1.1954750000000021</c:v>
                </c:pt>
                <c:pt idx="9">
                  <c:v>1.0958437499999982</c:v>
                </c:pt>
                <c:pt idx="10">
                  <c:v>1.1260799999999973</c:v>
                </c:pt>
                <c:pt idx="11">
                  <c:v>1.145457499999998</c:v>
                </c:pt>
                <c:pt idx="12">
                  <c:v>1.3224262499999979</c:v>
                </c:pt>
                <c:pt idx="13">
                  <c:v>1.2871387499999967</c:v>
                </c:pt>
                <c:pt idx="14">
                  <c:v>1.1094374999999963</c:v>
                </c:pt>
                <c:pt idx="15">
                  <c:v>1.1839987499999702</c:v>
                </c:pt>
                <c:pt idx="16">
                  <c:v>1.2116237499999751</c:v>
                </c:pt>
                <c:pt idx="17">
                  <c:v>1.0417712499999732</c:v>
                </c:pt>
                <c:pt idx="18">
                  <c:v>1.138191249999978</c:v>
                </c:pt>
                <c:pt idx="19">
                  <c:v>1.1313512500000416</c:v>
                </c:pt>
                <c:pt idx="20">
                  <c:v>1.1924450000000646</c:v>
                </c:pt>
                <c:pt idx="21">
                  <c:v>0.9424350000000512</c:v>
                </c:pt>
                <c:pt idx="22">
                  <c:v>1.0629525000000521</c:v>
                </c:pt>
                <c:pt idx="23">
                  <c:v>0.90601625000004438</c:v>
                </c:pt>
                <c:pt idx="24">
                  <c:v>1.0940662500000502</c:v>
                </c:pt>
                <c:pt idx="25">
                  <c:v>0.97822625000005248</c:v>
                </c:pt>
                <c:pt idx="26">
                  <c:v>0.90424875000003224</c:v>
                </c:pt>
                <c:pt idx="27">
                  <c:v>1.2817812500000807</c:v>
                </c:pt>
                <c:pt idx="28">
                  <c:v>1.0104675000000496</c:v>
                </c:pt>
                <c:pt idx="29">
                  <c:v>0.95353250000004541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48-413C-A3E8-41D776647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9826624"/>
        <c:axId val="-1429826080"/>
      </c:scatterChart>
      <c:valAx>
        <c:axId val="-1429826624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Precipitacion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826080"/>
        <c:crosses val="autoZero"/>
        <c:crossBetween val="midCat"/>
      </c:valAx>
      <c:valAx>
        <c:axId val="-1429826080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82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1984-2013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031840230221808E-2"/>
                  <c:y val="0.3170381306503353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5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aseline="0">
                        <a:solidFill>
                          <a:schemeClr val="tx1"/>
                        </a:solidFill>
                      </a:rPr>
                      <a:t>y = 0.0009x + 0.1765</a:t>
                    </a:r>
                    <a:br>
                      <a:rPr lang="en-US" sz="1050" baseline="0">
                        <a:solidFill>
                          <a:schemeClr val="tx1"/>
                        </a:solidFill>
                      </a:rPr>
                    </a:br>
                    <a:r>
                      <a:rPr lang="en-US" sz="1050" baseline="0">
                        <a:solidFill>
                          <a:schemeClr val="tx1"/>
                        </a:solidFill>
                      </a:rPr>
                      <a:t>R² = 0.1335; p &lt; 0.001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Varadero!$AE$4:$AE$34</c:f>
              <c:numCache>
                <c:formatCode>General</c:formatCode>
                <c:ptCount val="31"/>
                <c:pt idx="0">
                  <c:v>681</c:v>
                </c:pt>
                <c:pt idx="1">
                  <c:v>681</c:v>
                </c:pt>
                <c:pt idx="2">
                  <c:v>687</c:v>
                </c:pt>
                <c:pt idx="3">
                  <c:v>689.5</c:v>
                </c:pt>
                <c:pt idx="4">
                  <c:v>692</c:v>
                </c:pt>
                <c:pt idx="5">
                  <c:v>688</c:v>
                </c:pt>
                <c:pt idx="6">
                  <c:v>698</c:v>
                </c:pt>
                <c:pt idx="7">
                  <c:v>693</c:v>
                </c:pt>
                <c:pt idx="8">
                  <c:v>690</c:v>
                </c:pt>
                <c:pt idx="9">
                  <c:v>684</c:v>
                </c:pt>
                <c:pt idx="10">
                  <c:v>681</c:v>
                </c:pt>
                <c:pt idx="11">
                  <c:v>677</c:v>
                </c:pt>
                <c:pt idx="12">
                  <c:v>671</c:v>
                </c:pt>
                <c:pt idx="13">
                  <c:v>664</c:v>
                </c:pt>
                <c:pt idx="14">
                  <c:v>687</c:v>
                </c:pt>
                <c:pt idx="15">
                  <c:v>693</c:v>
                </c:pt>
                <c:pt idx="16">
                  <c:v>671</c:v>
                </c:pt>
                <c:pt idx="17">
                  <c:v>657</c:v>
                </c:pt>
                <c:pt idx="18">
                  <c:v>682</c:v>
                </c:pt>
                <c:pt idx="19">
                  <c:v>671</c:v>
                </c:pt>
                <c:pt idx="20">
                  <c:v>679</c:v>
                </c:pt>
                <c:pt idx="21">
                  <c:v>667</c:v>
                </c:pt>
                <c:pt idx="22">
                  <c:v>655</c:v>
                </c:pt>
                <c:pt idx="23">
                  <c:v>655</c:v>
                </c:pt>
                <c:pt idx="24">
                  <c:v>657</c:v>
                </c:pt>
                <c:pt idx="25">
                  <c:v>660</c:v>
                </c:pt>
                <c:pt idx="26">
                  <c:v>658</c:v>
                </c:pt>
                <c:pt idx="27">
                  <c:v>657</c:v>
                </c:pt>
                <c:pt idx="28">
                  <c:v>653</c:v>
                </c:pt>
                <c:pt idx="29">
                  <c:v>650</c:v>
                </c:pt>
                <c:pt idx="30">
                  <c:v>660</c:v>
                </c:pt>
              </c:numCache>
            </c:numRef>
          </c:xVal>
          <c:yVal>
            <c:numRef>
              <c:f>Varadero!$C$4:$C$34</c:f>
              <c:numCache>
                <c:formatCode>0.000</c:formatCode>
                <c:ptCount val="31"/>
                <c:pt idx="0">
                  <c:v>1.0056375000000002</c:v>
                </c:pt>
                <c:pt idx="1">
                  <c:v>1.4491025000000002</c:v>
                </c:pt>
                <c:pt idx="2">
                  <c:v>1.0613424999999994</c:v>
                </c:pt>
                <c:pt idx="3">
                  <c:v>1.0953537499999997</c:v>
                </c:pt>
                <c:pt idx="4">
                  <c:v>0.96144750000000012</c:v>
                </c:pt>
                <c:pt idx="5">
                  <c:v>0.99063999999999952</c:v>
                </c:pt>
                <c:pt idx="6">
                  <c:v>1.0479249999999998</c:v>
                </c:pt>
                <c:pt idx="7">
                  <c:v>1.0717125000000007</c:v>
                </c:pt>
                <c:pt idx="8">
                  <c:v>1.0762037500000015</c:v>
                </c:pt>
                <c:pt idx="9">
                  <c:v>1.1954750000000021</c:v>
                </c:pt>
                <c:pt idx="10">
                  <c:v>1.0958437499999982</c:v>
                </c:pt>
                <c:pt idx="11">
                  <c:v>1.1260799999999973</c:v>
                </c:pt>
                <c:pt idx="12">
                  <c:v>1.145457499999998</c:v>
                </c:pt>
                <c:pt idx="13">
                  <c:v>1.3224262499999979</c:v>
                </c:pt>
                <c:pt idx="14">
                  <c:v>1.2871387499999967</c:v>
                </c:pt>
                <c:pt idx="15">
                  <c:v>1.1094374999999963</c:v>
                </c:pt>
                <c:pt idx="16">
                  <c:v>1.1839987499999702</c:v>
                </c:pt>
                <c:pt idx="17">
                  <c:v>1.2116237499999751</c:v>
                </c:pt>
                <c:pt idx="18">
                  <c:v>1.0417712499999732</c:v>
                </c:pt>
                <c:pt idx="19">
                  <c:v>1.138191249999978</c:v>
                </c:pt>
                <c:pt idx="20">
                  <c:v>1.1313512500000416</c:v>
                </c:pt>
                <c:pt idx="21">
                  <c:v>1.1924450000000646</c:v>
                </c:pt>
                <c:pt idx="22">
                  <c:v>0.9424350000000512</c:v>
                </c:pt>
                <c:pt idx="23">
                  <c:v>1.0629525000000521</c:v>
                </c:pt>
                <c:pt idx="24">
                  <c:v>0.90601625000004438</c:v>
                </c:pt>
                <c:pt idx="25">
                  <c:v>1.0940662500000502</c:v>
                </c:pt>
                <c:pt idx="26">
                  <c:v>0.97822625000005248</c:v>
                </c:pt>
                <c:pt idx="27">
                  <c:v>0.90424875000003224</c:v>
                </c:pt>
                <c:pt idx="28">
                  <c:v>1.2817812500000807</c:v>
                </c:pt>
                <c:pt idx="29">
                  <c:v>1.0104675000000496</c:v>
                </c:pt>
                <c:pt idx="30">
                  <c:v>0.95353250000004541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E4-48D0-9B2A-440B99A10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9823360"/>
        <c:axId val="-1429039968"/>
      </c:scatterChart>
      <c:valAx>
        <c:axId val="-1429823360"/>
        <c:scaling>
          <c:orientation val="minMax"/>
          <c:min val="6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Nivel del canal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039968"/>
        <c:crosses val="autoZero"/>
        <c:crossBetween val="midCat"/>
      </c:valAx>
      <c:valAx>
        <c:axId val="-1429039968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82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Varadero!$M$2</c:f>
              <c:strCache>
                <c:ptCount val="1"/>
                <c:pt idx="0">
                  <c:v>Calcificacion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Varadero!$M$3:$M$68</c:f>
              <c:numCache>
                <c:formatCode>General</c:formatCode>
                <c:ptCount val="66"/>
                <c:pt idx="0">
                  <c:v>0.7873914116339672</c:v>
                </c:pt>
                <c:pt idx="1">
                  <c:v>0.84330495717684795</c:v>
                </c:pt>
                <c:pt idx="2">
                  <c:v>0.76992021974297531</c:v>
                </c:pt>
                <c:pt idx="3">
                  <c:v>0.80072576414575514</c:v>
                </c:pt>
                <c:pt idx="4">
                  <c:v>0.73163328186487375</c:v>
                </c:pt>
                <c:pt idx="5">
                  <c:v>0.75061613018718221</c:v>
                </c:pt>
                <c:pt idx="6">
                  <c:v>0.74265230362513079</c:v>
                </c:pt>
                <c:pt idx="7">
                  <c:v>0.72839806106700478</c:v>
                </c:pt>
                <c:pt idx="8">
                  <c:v>0.72966904911331731</c:v>
                </c:pt>
                <c:pt idx="9">
                  <c:v>0.73951126664687106</c:v>
                </c:pt>
                <c:pt idx="10">
                  <c:v>0.76283404325930437</c:v>
                </c:pt>
                <c:pt idx="11">
                  <c:v>0.7556659412658141</c:v>
                </c:pt>
                <c:pt idx="12">
                  <c:v>0.72838898675930386</c:v>
                </c:pt>
                <c:pt idx="13">
                  <c:v>0.74017712479387321</c:v>
                </c:pt>
                <c:pt idx="14">
                  <c:v>0.7808403676564083</c:v>
                </c:pt>
                <c:pt idx="15">
                  <c:v>0.80606250976286908</c:v>
                </c:pt>
                <c:pt idx="16">
                  <c:v>0.79576120735250966</c:v>
                </c:pt>
                <c:pt idx="17">
                  <c:v>0.77850512849038622</c:v>
                </c:pt>
                <c:pt idx="18">
                  <c:v>0.75597611812525045</c:v>
                </c:pt>
                <c:pt idx="19">
                  <c:v>0.77779973556171511</c:v>
                </c:pt>
                <c:pt idx="20">
                  <c:v>0.79431996250364689</c:v>
                </c:pt>
                <c:pt idx="21">
                  <c:v>0.85587456250979876</c:v>
                </c:pt>
                <c:pt idx="22">
                  <c:v>0.80776134119960374</c:v>
                </c:pt>
                <c:pt idx="23">
                  <c:v>0.78322513830835516</c:v>
                </c:pt>
                <c:pt idx="24">
                  <c:v>0.69536744460729649</c:v>
                </c:pt>
                <c:pt idx="25">
                  <c:v>0.69546919025137399</c:v>
                </c:pt>
                <c:pt idx="26">
                  <c:v>0.6677273286388522</c:v>
                </c:pt>
                <c:pt idx="27">
                  <c:v>0.65366861821616296</c:v>
                </c:pt>
                <c:pt idx="28">
                  <c:v>0.72459105935154655</c:v>
                </c:pt>
                <c:pt idx="29">
                  <c:v>0.76774812960106742</c:v>
                </c:pt>
                <c:pt idx="30">
                  <c:v>0.83142639246882777</c:v>
                </c:pt>
                <c:pt idx="31">
                  <c:v>0.76499958837716797</c:v>
                </c:pt>
                <c:pt idx="32">
                  <c:v>0.73136140069978095</c:v>
                </c:pt>
                <c:pt idx="33">
                  <c:v>0.68571965566454318</c:v>
                </c:pt>
                <c:pt idx="34">
                  <c:v>0.74816786741608265</c:v>
                </c:pt>
                <c:pt idx="35">
                  <c:v>0.77381201679793998</c:v>
                </c:pt>
                <c:pt idx="36">
                  <c:v>0.86006223982304919</c:v>
                </c:pt>
                <c:pt idx="37">
                  <c:v>0.82924438784628673</c:v>
                </c:pt>
                <c:pt idx="38">
                  <c:v>0.81214266910015598</c:v>
                </c:pt>
                <c:pt idx="39">
                  <c:v>0.74280829689943995</c:v>
                </c:pt>
                <c:pt idx="40">
                  <c:v>0.74393163251453231</c:v>
                </c:pt>
                <c:pt idx="41">
                  <c:v>0.76422624721924615</c:v>
                </c:pt>
                <c:pt idx="42">
                  <c:v>0.802508196088484</c:v>
                </c:pt>
                <c:pt idx="43">
                  <c:v>0.77097511958915677</c:v>
                </c:pt>
                <c:pt idx="44">
                  <c:v>0.76585002914729217</c:v>
                </c:pt>
                <c:pt idx="45">
                  <c:v>0.77502385859784573</c:v>
                </c:pt>
                <c:pt idx="46">
                  <c:v>0.75957878744348672</c:v>
                </c:pt>
                <c:pt idx="47">
                  <c:v>0.72631659101730273</c:v>
                </c:pt>
                <c:pt idx="48">
                  <c:v>0.6922678643591037</c:v>
                </c:pt>
                <c:pt idx="49">
                  <c:v>0.69892843601104682</c:v>
                </c:pt>
                <c:pt idx="50">
                  <c:v>0.7220517789242108</c:v>
                </c:pt>
                <c:pt idx="51">
                  <c:v>0.75922118302322905</c:v>
                </c:pt>
                <c:pt idx="52">
                  <c:v>0.76397572975812666</c:v>
                </c:pt>
                <c:pt idx="53">
                  <c:v>0.82028575517829239</c:v>
                </c:pt>
                <c:pt idx="54">
                  <c:v>0.82785331514817928</c:v>
                </c:pt>
                <c:pt idx="55">
                  <c:v>0.90916549969036742</c:v>
                </c:pt>
                <c:pt idx="56">
                  <c:v>0.87544842705579562</c:v>
                </c:pt>
                <c:pt idx="57">
                  <c:v>0.88333185751170396</c:v>
                </c:pt>
                <c:pt idx="58">
                  <c:v>0.84015641119612339</c:v>
                </c:pt>
                <c:pt idx="59">
                  <c:v>0.87534072856695511</c:v>
                </c:pt>
                <c:pt idx="60">
                  <c:v>0.86818615272912358</c:v>
                </c:pt>
                <c:pt idx="61">
                  <c:v>0.8919154553874753</c:v>
                </c:pt>
                <c:pt idx="62">
                  <c:v>0.88397786386488819</c:v>
                </c:pt>
                <c:pt idx="63">
                  <c:v>0.90240377404355954</c:v>
                </c:pt>
                <c:pt idx="64">
                  <c:v>0.91445705938039179</c:v>
                </c:pt>
                <c:pt idx="65">
                  <c:v>0.92195288886223525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02-48E5-B386-FF3AD3836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9028000"/>
        <c:axId val="-1429027456"/>
      </c:scatterChart>
      <c:scatterChart>
        <c:scatterStyle val="lineMarker"/>
        <c:varyColors val="0"/>
        <c:ser>
          <c:idx val="2"/>
          <c:order val="1"/>
          <c:tx>
            <c:v>Transporte sedimentos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Varadero!$AK$3:$AK$34</c:f>
              <c:numCache>
                <c:formatCode>General</c:formatCode>
                <c:ptCount val="32"/>
                <c:pt idx="1">
                  <c:v>6466.87</c:v>
                </c:pt>
                <c:pt idx="2">
                  <c:v>6514.375</c:v>
                </c:pt>
                <c:pt idx="3">
                  <c:v>6761.4214285714279</c:v>
                </c:pt>
                <c:pt idx="4">
                  <c:v>6907.4562499999993</c:v>
                </c:pt>
                <c:pt idx="5">
                  <c:v>7026.4166666666661</c:v>
                </c:pt>
                <c:pt idx="6">
                  <c:v>6857.15</c:v>
                </c:pt>
                <c:pt idx="7">
                  <c:v>6723.5333333333338</c:v>
                </c:pt>
                <c:pt idx="8">
                  <c:v>6713.5444444444447</c:v>
                </c:pt>
                <c:pt idx="9">
                  <c:v>6411.5888888888894</c:v>
                </c:pt>
                <c:pt idx="10">
                  <c:v>6021.3444444444449</c:v>
                </c:pt>
                <c:pt idx="11">
                  <c:v>6221.1888888888889</c:v>
                </c:pt>
                <c:pt idx="12">
                  <c:v>6094.3111111111102</c:v>
                </c:pt>
                <c:pt idx="13">
                  <c:v>5841.355555555554</c:v>
                </c:pt>
                <c:pt idx="14">
                  <c:v>5279.8777777777777</c:v>
                </c:pt>
                <c:pt idx="15">
                  <c:v>5661.7666666666664</c:v>
                </c:pt>
                <c:pt idx="16">
                  <c:v>5970.4444444444453</c:v>
                </c:pt>
                <c:pt idx="17">
                  <c:v>6082.8888888888887</c:v>
                </c:pt>
                <c:pt idx="18">
                  <c:v>5942.1888888888889</c:v>
                </c:pt>
                <c:pt idx="19">
                  <c:v>5856.188888888888</c:v>
                </c:pt>
                <c:pt idx="20">
                  <c:v>5362.2555555555546</c:v>
                </c:pt>
                <c:pt idx="21">
                  <c:v>5088.9555555555544</c:v>
                </c:pt>
                <c:pt idx="22">
                  <c:v>5050.6222222222214</c:v>
                </c:pt>
                <c:pt idx="23">
                  <c:v>5407.7222222222217</c:v>
                </c:pt>
                <c:pt idx="24">
                  <c:v>5134.1222222222214</c:v>
                </c:pt>
                <c:pt idx="25">
                  <c:v>4880.3666666666659</c:v>
                </c:pt>
                <c:pt idx="26">
                  <c:v>4649.0222222222219</c:v>
                </c:pt>
                <c:pt idx="27">
                  <c:v>4683.4777777777772</c:v>
                </c:pt>
                <c:pt idx="28">
                  <c:v>4822.8999999999996</c:v>
                </c:pt>
                <c:pt idx="29">
                  <c:v>4925.4428571428571</c:v>
                </c:pt>
                <c:pt idx="30">
                  <c:v>4972.666666666667</c:v>
                </c:pt>
                <c:pt idx="31">
                  <c:v>4905.58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02-48E5-B386-FF3AD3836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9025824"/>
        <c:axId val="-1429037248"/>
      </c:scatterChart>
      <c:valAx>
        <c:axId val="-1429028000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027456"/>
        <c:crosses val="autoZero"/>
        <c:crossBetween val="midCat"/>
      </c:valAx>
      <c:valAx>
        <c:axId val="-1429027456"/>
        <c:scaling>
          <c:orientation val="minMax"/>
          <c:max val="0.82000000000000006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028000"/>
        <c:crosses val="autoZero"/>
        <c:crossBetween val="midCat"/>
      </c:valAx>
      <c:valAx>
        <c:axId val="-1429037248"/>
        <c:scaling>
          <c:orientation val="minMax"/>
          <c:min val="45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Sedimentos (kton)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025824"/>
        <c:crosses val="max"/>
        <c:crossBetween val="midCat"/>
      </c:valAx>
      <c:valAx>
        <c:axId val="-1429025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903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Varadero!$M$2</c:f>
              <c:strCache>
                <c:ptCount val="1"/>
                <c:pt idx="0">
                  <c:v>Calcificacion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Varadero!$M$3:$M$68</c:f>
              <c:numCache>
                <c:formatCode>General</c:formatCode>
                <c:ptCount val="66"/>
                <c:pt idx="0">
                  <c:v>0.7873914116339672</c:v>
                </c:pt>
                <c:pt idx="1">
                  <c:v>0.84330495717684795</c:v>
                </c:pt>
                <c:pt idx="2">
                  <c:v>0.76992021974297531</c:v>
                </c:pt>
                <c:pt idx="3">
                  <c:v>0.80072576414575514</c:v>
                </c:pt>
                <c:pt idx="4">
                  <c:v>0.73163328186487375</c:v>
                </c:pt>
                <c:pt idx="5">
                  <c:v>0.75061613018718221</c:v>
                </c:pt>
                <c:pt idx="6">
                  <c:v>0.74265230362513079</c:v>
                </c:pt>
                <c:pt idx="7">
                  <c:v>0.72839806106700478</c:v>
                </c:pt>
                <c:pt idx="8">
                  <c:v>0.72966904911331731</c:v>
                </c:pt>
                <c:pt idx="9">
                  <c:v>0.73951126664687106</c:v>
                </c:pt>
                <c:pt idx="10">
                  <c:v>0.76283404325930437</c:v>
                </c:pt>
                <c:pt idx="11">
                  <c:v>0.7556659412658141</c:v>
                </c:pt>
                <c:pt idx="12">
                  <c:v>0.72838898675930386</c:v>
                </c:pt>
                <c:pt idx="13">
                  <c:v>0.74017712479387321</c:v>
                </c:pt>
                <c:pt idx="14">
                  <c:v>0.7808403676564083</c:v>
                </c:pt>
                <c:pt idx="15">
                  <c:v>0.80606250976286908</c:v>
                </c:pt>
                <c:pt idx="16">
                  <c:v>0.79576120735250966</c:v>
                </c:pt>
                <c:pt idx="17">
                  <c:v>0.77850512849038622</c:v>
                </c:pt>
                <c:pt idx="18">
                  <c:v>0.75597611812525045</c:v>
                </c:pt>
                <c:pt idx="19">
                  <c:v>0.77779973556171511</c:v>
                </c:pt>
                <c:pt idx="20">
                  <c:v>0.79431996250364689</c:v>
                </c:pt>
                <c:pt idx="21">
                  <c:v>0.85587456250979876</c:v>
                </c:pt>
                <c:pt idx="22">
                  <c:v>0.80776134119960374</c:v>
                </c:pt>
                <c:pt idx="23">
                  <c:v>0.78322513830835516</c:v>
                </c:pt>
                <c:pt idx="24">
                  <c:v>0.69536744460729649</c:v>
                </c:pt>
                <c:pt idx="25">
                  <c:v>0.69546919025137399</c:v>
                </c:pt>
                <c:pt idx="26">
                  <c:v>0.6677273286388522</c:v>
                </c:pt>
                <c:pt idx="27">
                  <c:v>0.65366861821616296</c:v>
                </c:pt>
                <c:pt idx="28">
                  <c:v>0.72459105935154655</c:v>
                </c:pt>
                <c:pt idx="29">
                  <c:v>0.76774812960106742</c:v>
                </c:pt>
                <c:pt idx="30">
                  <c:v>0.83142639246882777</c:v>
                </c:pt>
                <c:pt idx="31">
                  <c:v>0.76499958837716797</c:v>
                </c:pt>
                <c:pt idx="32">
                  <c:v>0.73136140069978095</c:v>
                </c:pt>
                <c:pt idx="33">
                  <c:v>0.68571965566454318</c:v>
                </c:pt>
                <c:pt idx="34">
                  <c:v>0.74816786741608265</c:v>
                </c:pt>
                <c:pt idx="35">
                  <c:v>0.77381201679793998</c:v>
                </c:pt>
                <c:pt idx="36">
                  <c:v>0.86006223982304919</c:v>
                </c:pt>
                <c:pt idx="37">
                  <c:v>0.82924438784628673</c:v>
                </c:pt>
                <c:pt idx="38">
                  <c:v>0.81214266910015598</c:v>
                </c:pt>
                <c:pt idx="39">
                  <c:v>0.74280829689943995</c:v>
                </c:pt>
                <c:pt idx="40">
                  <c:v>0.74393163251453231</c:v>
                </c:pt>
                <c:pt idx="41">
                  <c:v>0.76422624721924615</c:v>
                </c:pt>
                <c:pt idx="42">
                  <c:v>0.802508196088484</c:v>
                </c:pt>
                <c:pt idx="43">
                  <c:v>0.77097511958915677</c:v>
                </c:pt>
                <c:pt idx="44">
                  <c:v>0.76585002914729217</c:v>
                </c:pt>
                <c:pt idx="45">
                  <c:v>0.77502385859784573</c:v>
                </c:pt>
                <c:pt idx="46">
                  <c:v>0.75957878744348672</c:v>
                </c:pt>
                <c:pt idx="47">
                  <c:v>0.72631659101730273</c:v>
                </c:pt>
                <c:pt idx="48">
                  <c:v>0.6922678643591037</c:v>
                </c:pt>
                <c:pt idx="49">
                  <c:v>0.69892843601104682</c:v>
                </c:pt>
                <c:pt idx="50">
                  <c:v>0.7220517789242108</c:v>
                </c:pt>
                <c:pt idx="51">
                  <c:v>0.75922118302322905</c:v>
                </c:pt>
                <c:pt idx="52">
                  <c:v>0.76397572975812666</c:v>
                </c:pt>
                <c:pt idx="53">
                  <c:v>0.82028575517829239</c:v>
                </c:pt>
                <c:pt idx="54">
                  <c:v>0.82785331514817928</c:v>
                </c:pt>
                <c:pt idx="55">
                  <c:v>0.90916549969036742</c:v>
                </c:pt>
                <c:pt idx="56">
                  <c:v>0.87544842705579562</c:v>
                </c:pt>
                <c:pt idx="57">
                  <c:v>0.88333185751170396</c:v>
                </c:pt>
                <c:pt idx="58">
                  <c:v>0.84015641119612339</c:v>
                </c:pt>
                <c:pt idx="59">
                  <c:v>0.87534072856695511</c:v>
                </c:pt>
                <c:pt idx="60">
                  <c:v>0.86818615272912358</c:v>
                </c:pt>
                <c:pt idx="61">
                  <c:v>0.8919154553874753</c:v>
                </c:pt>
                <c:pt idx="62">
                  <c:v>0.88397786386488819</c:v>
                </c:pt>
                <c:pt idx="63">
                  <c:v>0.90240377404355954</c:v>
                </c:pt>
                <c:pt idx="64">
                  <c:v>0.91445705938039179</c:v>
                </c:pt>
                <c:pt idx="65">
                  <c:v>0.92195288886223525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F-4453-9455-815F2460D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9031264"/>
        <c:axId val="-1429029088"/>
      </c:scatterChart>
      <c:scatterChart>
        <c:scatterStyle val="lineMarker"/>
        <c:varyColors val="0"/>
        <c:ser>
          <c:idx val="2"/>
          <c:order val="1"/>
          <c:tx>
            <c:v>Caudal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Varadero!$AO$3:$AO$68</c:f>
              <c:numCache>
                <c:formatCode>0.0</c:formatCode>
                <c:ptCount val="66"/>
                <c:pt idx="0">
                  <c:v>350.49333333333328</c:v>
                </c:pt>
                <c:pt idx="1">
                  <c:v>369.63472222222225</c:v>
                </c:pt>
                <c:pt idx="2">
                  <c:v>376.72380952380951</c:v>
                </c:pt>
                <c:pt idx="3">
                  <c:v>399.69583333333333</c:v>
                </c:pt>
                <c:pt idx="4">
                  <c:v>413.68821548821546</c:v>
                </c:pt>
                <c:pt idx="5">
                  <c:v>438.42895622895617</c:v>
                </c:pt>
                <c:pt idx="6">
                  <c:v>446.81691919191917</c:v>
                </c:pt>
                <c:pt idx="7">
                  <c:v>455.34284511784506</c:v>
                </c:pt>
                <c:pt idx="8">
                  <c:v>457.70521885521885</c:v>
                </c:pt>
                <c:pt idx="9">
                  <c:v>440.55707070707075</c:v>
                </c:pt>
                <c:pt idx="10">
                  <c:v>420.50244107744112</c:v>
                </c:pt>
                <c:pt idx="11">
                  <c:v>430.78207070707072</c:v>
                </c:pt>
                <c:pt idx="12">
                  <c:v>428.26355218855213</c:v>
                </c:pt>
                <c:pt idx="13">
                  <c:v>409.6762626262626</c:v>
                </c:pt>
                <c:pt idx="14">
                  <c:v>379.92163299663304</c:v>
                </c:pt>
                <c:pt idx="15">
                  <c:v>380.54663299663304</c:v>
                </c:pt>
                <c:pt idx="16">
                  <c:v>382.85126262626267</c:v>
                </c:pt>
                <c:pt idx="17">
                  <c:v>383.65833333333336</c:v>
                </c:pt>
                <c:pt idx="18">
                  <c:v>379.50370370370371</c:v>
                </c:pt>
                <c:pt idx="19">
                  <c:v>375.50277777777774</c:v>
                </c:pt>
                <c:pt idx="20">
                  <c:v>345.61666666666662</c:v>
                </c:pt>
                <c:pt idx="21">
                  <c:v>320.98055555555555</c:v>
                </c:pt>
                <c:pt idx="22">
                  <c:v>322.19907407407413</c:v>
                </c:pt>
                <c:pt idx="23">
                  <c:v>346.92870370370366</c:v>
                </c:pt>
                <c:pt idx="24">
                  <c:v>336.38611111111112</c:v>
                </c:pt>
                <c:pt idx="25">
                  <c:v>328.13611111111112</c:v>
                </c:pt>
                <c:pt idx="26">
                  <c:v>319.13981481481483</c:v>
                </c:pt>
                <c:pt idx="27">
                  <c:v>323.40833333333336</c:v>
                </c:pt>
                <c:pt idx="28">
                  <c:v>313.20555555555563</c:v>
                </c:pt>
                <c:pt idx="29">
                  <c:v>312.86203703703711</c:v>
                </c:pt>
                <c:pt idx="30">
                  <c:v>306.21064814814821</c:v>
                </c:pt>
                <c:pt idx="31">
                  <c:v>298.32343750000001</c:v>
                </c:pt>
                <c:pt idx="32">
                  <c:v>278.48630952380955</c:v>
                </c:pt>
                <c:pt idx="33">
                  <c:v>272.81041666666664</c:v>
                </c:pt>
                <c:pt idx="34">
                  <c:v>263.91750000000002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3F-4453-9455-815F2460D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9038880"/>
        <c:axId val="-1429033984"/>
      </c:scatterChart>
      <c:valAx>
        <c:axId val="-1429031264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029088"/>
        <c:crosses val="autoZero"/>
        <c:crossBetween val="midCat"/>
      </c:valAx>
      <c:valAx>
        <c:axId val="-1429029088"/>
        <c:scaling>
          <c:orientation val="minMax"/>
          <c:max val="0.82000000000000006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031264"/>
        <c:crosses val="autoZero"/>
        <c:crossBetween val="midCat"/>
      </c:valAx>
      <c:valAx>
        <c:axId val="-1429033984"/>
        <c:scaling>
          <c:orientation val="minMax"/>
          <c:min val="2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Caudal (m3/s)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038880"/>
        <c:crosses val="max"/>
        <c:crossBetween val="midCat"/>
      </c:valAx>
      <c:valAx>
        <c:axId val="-1429038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9033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Extension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Varadero!$L$3:$L$68</c:f>
              <c:numCache>
                <c:formatCode>General</c:formatCode>
                <c:ptCount val="66"/>
                <c:pt idx="0" formatCode="0.000">
                  <c:v>1.1880557499999997</c:v>
                </c:pt>
                <c:pt idx="1">
                  <c:v>1.1502877083333332</c:v>
                </c:pt>
                <c:pt idx="2">
                  <c:v>1.1274808928571427</c:v>
                </c:pt>
                <c:pt idx="3">
                  <c:v>1.1175364062499997</c:v>
                </c:pt>
                <c:pt idx="4" formatCode="0.000">
                  <c:v>1.1124448611111108</c:v>
                </c:pt>
                <c:pt idx="5">
                  <c:v>1.0843738888888887</c:v>
                </c:pt>
                <c:pt idx="6">
                  <c:v>1.1054669444444447</c:v>
                </c:pt>
                <c:pt idx="7">
                  <c:v>1.0662159722222222</c:v>
                </c:pt>
                <c:pt idx="8">
                  <c:v>1.0734090277777777</c:v>
                </c:pt>
                <c:pt idx="9">
                  <c:v>1.0789761111111107</c:v>
                </c:pt>
                <c:pt idx="10">
                  <c:v>1.1190848611111106</c:v>
                </c:pt>
                <c:pt idx="11">
                  <c:v>1.152029166666666</c:v>
                </c:pt>
                <c:pt idx="12">
                  <c:v>1.1588638888888878</c:v>
                </c:pt>
                <c:pt idx="13">
                  <c:v>1.1713401388888842</c:v>
                </c:pt>
                <c:pt idx="14">
                  <c:v>1.186386805555548</c:v>
                </c:pt>
                <c:pt idx="15">
                  <c:v>1.1693086111111004</c:v>
                </c:pt>
                <c:pt idx="16">
                  <c:v>1.1740138888888758</c:v>
                </c:pt>
                <c:pt idx="17">
                  <c:v>1.1745995833333249</c:v>
                </c:pt>
                <c:pt idx="18">
                  <c:v>1.1798204166666659</c:v>
                </c:pt>
                <c:pt idx="19">
                  <c:v>1.137599166666672</c:v>
                </c:pt>
                <c:pt idx="20">
                  <c:v>1.1126895833333448</c:v>
                </c:pt>
                <c:pt idx="21">
                  <c:v>1.0900872222222389</c:v>
                </c:pt>
                <c:pt idx="22">
                  <c:v>1.0800947222222479</c:v>
                </c:pt>
                <c:pt idx="23">
                  <c:v>1.0541616666667009</c:v>
                </c:pt>
                <c:pt idx="24">
                  <c:v>1.0388813888889297</c:v>
                </c:pt>
                <c:pt idx="25">
                  <c:v>1.0548358333333856</c:v>
                </c:pt>
                <c:pt idx="26">
                  <c:v>1.0414043055556088</c:v>
                </c:pt>
                <c:pt idx="27">
                  <c:v>1.0148584722222731</c:v>
                </c:pt>
                <c:pt idx="28">
                  <c:v>1.0228600000000501</c:v>
                </c:pt>
                <c:pt idx="29">
                  <c:v>1.0118147222222698</c:v>
                </c:pt>
                <c:pt idx="30">
                  <c:v>1.0106158796296727</c:v>
                </c:pt>
                <c:pt idx="31">
                  <c:v>1.0155348148148524</c:v>
                </c:pt>
                <c:pt idx="32">
                  <c:v>1.0141754166666985</c:v>
                </c:pt>
                <c:pt idx="33">
                  <c:v>1.0249488888889173</c:v>
                </c:pt>
                <c:pt idx="34">
                  <c:v>0.99329800925927947</c:v>
                </c:pt>
                <c:pt idx="35">
                  <c:v>0.97711328703705247</c:v>
                </c:pt>
                <c:pt idx="36">
                  <c:v>0.97097967592593681</c:v>
                </c:pt>
                <c:pt idx="37">
                  <c:v>0.96738259259259962</c:v>
                </c:pt>
                <c:pt idx="38">
                  <c:v>0.95660703703704142</c:v>
                </c:pt>
                <c:pt idx="39">
                  <c:v>0.95670129629630141</c:v>
                </c:pt>
                <c:pt idx="40">
                  <c:v>0.9401416666666722</c:v>
                </c:pt>
                <c:pt idx="41">
                  <c:v>0.94629037037037633</c:v>
                </c:pt>
                <c:pt idx="42">
                  <c:v>0.94232814814815469</c:v>
                </c:pt>
                <c:pt idx="43">
                  <c:v>0.92973055555556294</c:v>
                </c:pt>
                <c:pt idx="44">
                  <c:v>0.9352894444444515</c:v>
                </c:pt>
                <c:pt idx="45">
                  <c:v>0.95773111111111908</c:v>
                </c:pt>
                <c:pt idx="46">
                  <c:v>0.96534111111111942</c:v>
                </c:pt>
                <c:pt idx="47">
                  <c:v>1.0107600000000083</c:v>
                </c:pt>
                <c:pt idx="48">
                  <c:v>1.0532055555555639</c:v>
                </c:pt>
                <c:pt idx="49">
                  <c:v>1.0395411111111195</c:v>
                </c:pt>
                <c:pt idx="50">
                  <c:v>1.0569844444444538</c:v>
                </c:pt>
                <c:pt idx="51">
                  <c:v>1.0705950000000093</c:v>
                </c:pt>
                <c:pt idx="52">
                  <c:v>1.1044894444444533</c:v>
                </c:pt>
                <c:pt idx="53">
                  <c:v>1.1145733333333425</c:v>
                </c:pt>
                <c:pt idx="54">
                  <c:v>1.1171322222222324</c:v>
                </c:pt>
                <c:pt idx="55">
                  <c:v>1.1089094444444558</c:v>
                </c:pt>
                <c:pt idx="56">
                  <c:v>1.0961011111111243</c:v>
                </c:pt>
                <c:pt idx="57">
                  <c:v>1.0734911111111258</c:v>
                </c:pt>
                <c:pt idx="58">
                  <c:v>1.0992944444444612</c:v>
                </c:pt>
                <c:pt idx="59">
                  <c:v>1.0923505555555728</c:v>
                </c:pt>
                <c:pt idx="60">
                  <c:v>1.0943266666666862</c:v>
                </c:pt>
                <c:pt idx="61">
                  <c:v>1.1042461111111328</c:v>
                </c:pt>
                <c:pt idx="62">
                  <c:v>1.1165781250000233</c:v>
                </c:pt>
                <c:pt idx="63">
                  <c:v>1.1156128571428809</c:v>
                </c:pt>
                <c:pt idx="64">
                  <c:v>1.1387883333333577</c:v>
                </c:pt>
                <c:pt idx="65">
                  <c:v>1.1345340000000241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3-415C-84E6-C34D43AD7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9033440"/>
        <c:axId val="-1429032896"/>
      </c:scatterChart>
      <c:scatterChart>
        <c:scatterStyle val="lineMarker"/>
        <c:varyColors val="0"/>
        <c:ser>
          <c:idx val="1"/>
          <c:order val="1"/>
          <c:tx>
            <c:v>T° aire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Varadero!$U$3:$U$65</c:f>
              <c:numCache>
                <c:formatCode>General</c:formatCode>
                <c:ptCount val="63"/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</c:numCache>
            </c:numRef>
          </c:xVal>
          <c:yVal>
            <c:numRef>
              <c:f>Varadero!$W$3:$W$65</c:f>
              <c:numCache>
                <c:formatCode>General</c:formatCode>
                <c:ptCount val="63"/>
                <c:pt idx="2">
                  <c:v>28.15</c:v>
                </c:pt>
                <c:pt idx="3">
                  <c:v>28.033333333333331</c:v>
                </c:pt>
                <c:pt idx="4">
                  <c:v>28</c:v>
                </c:pt>
                <c:pt idx="5">
                  <c:v>28.033333333333335</c:v>
                </c:pt>
                <c:pt idx="6">
                  <c:v>27.966666666666669</c:v>
                </c:pt>
                <c:pt idx="7">
                  <c:v>27.866666666666664</c:v>
                </c:pt>
                <c:pt idx="8">
                  <c:v>27.8</c:v>
                </c:pt>
                <c:pt idx="9">
                  <c:v>27.966666666666669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27.933333333333334</c:v>
                </c:pt>
                <c:pt idx="14">
                  <c:v>27.733333333333331</c:v>
                </c:pt>
                <c:pt idx="15">
                  <c:v>27.5</c:v>
                </c:pt>
                <c:pt idx="16">
                  <c:v>27.633333333333336</c:v>
                </c:pt>
                <c:pt idx="17">
                  <c:v>27.766666666666666</c:v>
                </c:pt>
                <c:pt idx="18">
                  <c:v>27.866666666666671</c:v>
                </c:pt>
                <c:pt idx="19">
                  <c:v>27.766666666666666</c:v>
                </c:pt>
                <c:pt idx="20">
                  <c:v>27.666666666666668</c:v>
                </c:pt>
                <c:pt idx="21">
                  <c:v>27.7</c:v>
                </c:pt>
                <c:pt idx="22">
                  <c:v>27.7</c:v>
                </c:pt>
                <c:pt idx="23">
                  <c:v>27.733333333333334</c:v>
                </c:pt>
                <c:pt idx="24">
                  <c:v>27.633333333333336</c:v>
                </c:pt>
                <c:pt idx="25">
                  <c:v>27.566666666666666</c:v>
                </c:pt>
                <c:pt idx="26">
                  <c:v>27.533333333333331</c:v>
                </c:pt>
                <c:pt idx="27">
                  <c:v>27.7</c:v>
                </c:pt>
                <c:pt idx="28">
                  <c:v>27.733333333333334</c:v>
                </c:pt>
                <c:pt idx="29">
                  <c:v>27.733333333333334</c:v>
                </c:pt>
                <c:pt idx="30">
                  <c:v>27.533333333333331</c:v>
                </c:pt>
                <c:pt idx="31">
                  <c:v>27.666666666666668</c:v>
                </c:pt>
                <c:pt idx="32">
                  <c:v>27.7</c:v>
                </c:pt>
                <c:pt idx="33">
                  <c:v>27.866666666666664</c:v>
                </c:pt>
                <c:pt idx="34">
                  <c:v>27.866666666666664</c:v>
                </c:pt>
                <c:pt idx="35">
                  <c:v>28.033333333333331</c:v>
                </c:pt>
                <c:pt idx="36">
                  <c:v>28.100000000000005</c:v>
                </c:pt>
                <c:pt idx="37">
                  <c:v>27.966666666666669</c:v>
                </c:pt>
                <c:pt idx="38">
                  <c:v>27.666666666666668</c:v>
                </c:pt>
                <c:pt idx="39">
                  <c:v>27.333333333333332</c:v>
                </c:pt>
                <c:pt idx="40">
                  <c:v>27.366666666666664</c:v>
                </c:pt>
                <c:pt idx="41">
                  <c:v>27.600000000000005</c:v>
                </c:pt>
                <c:pt idx="42">
                  <c:v>28.033333333333331</c:v>
                </c:pt>
                <c:pt idx="43">
                  <c:v>28.066666666666663</c:v>
                </c:pt>
                <c:pt idx="44">
                  <c:v>27.966666666666669</c:v>
                </c:pt>
                <c:pt idx="45">
                  <c:v>27.666666666666668</c:v>
                </c:pt>
                <c:pt idx="46">
                  <c:v>27.466666666666669</c:v>
                </c:pt>
                <c:pt idx="47">
                  <c:v>27.5</c:v>
                </c:pt>
                <c:pt idx="48">
                  <c:v>27.5</c:v>
                </c:pt>
                <c:pt idx="49">
                  <c:v>27.600000000000005</c:v>
                </c:pt>
                <c:pt idx="50">
                  <c:v>27.533333333333331</c:v>
                </c:pt>
                <c:pt idx="51">
                  <c:v>27.633333333333336</c:v>
                </c:pt>
                <c:pt idx="52">
                  <c:v>27.733333333333331</c:v>
                </c:pt>
                <c:pt idx="53">
                  <c:v>27.666666666666668</c:v>
                </c:pt>
                <c:pt idx="54">
                  <c:v>27.7</c:v>
                </c:pt>
                <c:pt idx="55">
                  <c:v>27.566666666666666</c:v>
                </c:pt>
                <c:pt idx="56">
                  <c:v>27.900000000000002</c:v>
                </c:pt>
                <c:pt idx="57">
                  <c:v>27.966666666666669</c:v>
                </c:pt>
                <c:pt idx="58">
                  <c:v>27.900000000000002</c:v>
                </c:pt>
                <c:pt idx="59">
                  <c:v>27.666666666666668</c:v>
                </c:pt>
                <c:pt idx="60">
                  <c:v>27.566666666666666</c:v>
                </c:pt>
                <c:pt idx="61">
                  <c:v>28.033333333333335</c:v>
                </c:pt>
                <c:pt idx="62">
                  <c:v>28.25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C3-415C-84E6-C34D43AD78FA}"/>
            </c:ext>
          </c:extLst>
        </c:ser>
        <c:ser>
          <c:idx val="2"/>
          <c:order val="2"/>
          <c:tx>
            <c:v>HadISST °C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Varadero!$S$3:$S$68</c:f>
              <c:numCache>
                <c:formatCode>0.000</c:formatCode>
                <c:ptCount val="66"/>
                <c:pt idx="0">
                  <c:v>28.336240100000005</c:v>
                </c:pt>
                <c:pt idx="1">
                  <c:v>28.408496000000003</c:v>
                </c:pt>
                <c:pt idx="2">
                  <c:v>28.362789726190478</c:v>
                </c:pt>
                <c:pt idx="3">
                  <c:v>28.333392291666669</c:v>
                </c:pt>
                <c:pt idx="4">
                  <c:v>28.319572675925926</c:v>
                </c:pt>
                <c:pt idx="5">
                  <c:v>28.320331888888887</c:v>
                </c:pt>
                <c:pt idx="6">
                  <c:v>28.349165027777776</c:v>
                </c:pt>
                <c:pt idx="7">
                  <c:v>28.341022499999994</c:v>
                </c:pt>
                <c:pt idx="8">
                  <c:v>28.344871666666663</c:v>
                </c:pt>
                <c:pt idx="9">
                  <c:v>28.305870333333335</c:v>
                </c:pt>
                <c:pt idx="10">
                  <c:v>28.223055240740738</c:v>
                </c:pt>
                <c:pt idx="11">
                  <c:v>28.205646314814814</c:v>
                </c:pt>
                <c:pt idx="12">
                  <c:v>28.197981231481478</c:v>
                </c:pt>
                <c:pt idx="13">
                  <c:v>28.231531296296296</c:v>
                </c:pt>
                <c:pt idx="14">
                  <c:v>28.204092546296295</c:v>
                </c:pt>
                <c:pt idx="15">
                  <c:v>28.156089453703704</c:v>
                </c:pt>
                <c:pt idx="16">
                  <c:v>28.161657324074074</c:v>
                </c:pt>
                <c:pt idx="17">
                  <c:v>28.116089416666668</c:v>
                </c:pt>
                <c:pt idx="18">
                  <c:v>28.119472935185186</c:v>
                </c:pt>
                <c:pt idx="19">
                  <c:v>28.103196712962966</c:v>
                </c:pt>
                <c:pt idx="20">
                  <c:v>28.084173638888885</c:v>
                </c:pt>
                <c:pt idx="21">
                  <c:v>28.070983962962959</c:v>
                </c:pt>
                <c:pt idx="22">
                  <c:v>27.975286620370369</c:v>
                </c:pt>
                <c:pt idx="23">
                  <c:v>27.972802851851853</c:v>
                </c:pt>
                <c:pt idx="24">
                  <c:v>27.986809111111118</c:v>
                </c:pt>
                <c:pt idx="25">
                  <c:v>27.903556296296301</c:v>
                </c:pt>
                <c:pt idx="26">
                  <c:v>27.857462324074078</c:v>
                </c:pt>
                <c:pt idx="27">
                  <c:v>27.816149675925931</c:v>
                </c:pt>
                <c:pt idx="28">
                  <c:v>27.84741839814815</c:v>
                </c:pt>
                <c:pt idx="29">
                  <c:v>27.855107027777777</c:v>
                </c:pt>
                <c:pt idx="30">
                  <c:v>27.882121398148147</c:v>
                </c:pt>
                <c:pt idx="31">
                  <c:v>27.92584751851852</c:v>
                </c:pt>
                <c:pt idx="32">
                  <c:v>27.914077555555554</c:v>
                </c:pt>
                <c:pt idx="33">
                  <c:v>27.883575601851849</c:v>
                </c:pt>
                <c:pt idx="34">
                  <c:v>27.906525305555551</c:v>
                </c:pt>
                <c:pt idx="35">
                  <c:v>27.91103144444444</c:v>
                </c:pt>
                <c:pt idx="36">
                  <c:v>27.891350648148144</c:v>
                </c:pt>
                <c:pt idx="37">
                  <c:v>27.828397157407409</c:v>
                </c:pt>
                <c:pt idx="38">
                  <c:v>27.855817138888892</c:v>
                </c:pt>
                <c:pt idx="39">
                  <c:v>27.820966268518522</c:v>
                </c:pt>
                <c:pt idx="40">
                  <c:v>27.780961425925927</c:v>
                </c:pt>
                <c:pt idx="41">
                  <c:v>27.786566314814817</c:v>
                </c:pt>
                <c:pt idx="42">
                  <c:v>27.842386083333338</c:v>
                </c:pt>
                <c:pt idx="43">
                  <c:v>27.842159583333331</c:v>
                </c:pt>
                <c:pt idx="44">
                  <c:v>27.875633787037035</c:v>
                </c:pt>
                <c:pt idx="45">
                  <c:v>27.933181287037037</c:v>
                </c:pt>
                <c:pt idx="46">
                  <c:v>27.939001046296298</c:v>
                </c:pt>
                <c:pt idx="47">
                  <c:v>27.917838962962961</c:v>
                </c:pt>
                <c:pt idx="48">
                  <c:v>27.955146657407404</c:v>
                </c:pt>
                <c:pt idx="49">
                  <c:v>27.997685027777777</c:v>
                </c:pt>
                <c:pt idx="50">
                  <c:v>28.000332675925922</c:v>
                </c:pt>
                <c:pt idx="51">
                  <c:v>27.983062055555553</c:v>
                </c:pt>
                <c:pt idx="52">
                  <c:v>27.997798546296295</c:v>
                </c:pt>
                <c:pt idx="53">
                  <c:v>28.08143750925926</c:v>
                </c:pt>
                <c:pt idx="54">
                  <c:v>28.056925703703708</c:v>
                </c:pt>
                <c:pt idx="55">
                  <c:v>28.065622129629631</c:v>
                </c:pt>
                <c:pt idx="56">
                  <c:v>28.061369842592594</c:v>
                </c:pt>
                <c:pt idx="57">
                  <c:v>28.034319722222225</c:v>
                </c:pt>
                <c:pt idx="58">
                  <c:v>28.028990935185185</c:v>
                </c:pt>
                <c:pt idx="59">
                  <c:v>28.042035787037037</c:v>
                </c:pt>
                <c:pt idx="60">
                  <c:v>28.014929249999998</c:v>
                </c:pt>
                <c:pt idx="61">
                  <c:v>27.982246333333332</c:v>
                </c:pt>
                <c:pt idx="62">
                  <c:v>27.908966374999999</c:v>
                </c:pt>
                <c:pt idx="63">
                  <c:v>27.916493595238098</c:v>
                </c:pt>
                <c:pt idx="64">
                  <c:v>27.948669791666664</c:v>
                </c:pt>
                <c:pt idx="65">
                  <c:v>27.968821300000002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C3-415C-84E6-C34D43AD7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591360"/>
        <c:axId val="-1429031808"/>
      </c:scatterChart>
      <c:valAx>
        <c:axId val="-1429033440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032896"/>
        <c:crosses val="autoZero"/>
        <c:crossBetween val="midCat"/>
      </c:valAx>
      <c:valAx>
        <c:axId val="-1429032896"/>
        <c:scaling>
          <c:orientation val="minMax"/>
          <c:max val="1.2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9033440"/>
        <c:crosses val="autoZero"/>
        <c:crossBetween val="midCat"/>
      </c:valAx>
      <c:valAx>
        <c:axId val="-14290318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Temperatura</a:t>
                </a:r>
                <a:r>
                  <a:rPr lang="es-CO" sz="1050" baseline="0">
                    <a:solidFill>
                      <a:schemeClr val="tx1"/>
                    </a:solidFill>
                  </a:rPr>
                  <a:t> (°C)</a:t>
                </a:r>
                <a:endParaRPr lang="es-CO" sz="105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591360"/>
        <c:crosses val="max"/>
        <c:crossBetween val="midCat"/>
      </c:valAx>
      <c:valAx>
        <c:axId val="-1428591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903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Densidad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Varadero!$K$3:$K$68</c:f>
              <c:numCache>
                <c:formatCode>General</c:formatCode>
                <c:ptCount val="66"/>
                <c:pt idx="0">
                  <c:v>0.69635225112986576</c:v>
                </c:pt>
                <c:pt idx="1">
                  <c:v>0.71792658429669876</c:v>
                </c:pt>
                <c:pt idx="2">
                  <c:v>0.72271797965998219</c:v>
                </c:pt>
                <c:pt idx="3">
                  <c:v>0.7226144614629576</c:v>
                </c:pt>
                <c:pt idx="4">
                  <c:v>0.71558062552543311</c:v>
                </c:pt>
                <c:pt idx="5">
                  <c:v>0.71531997928677404</c:v>
                </c:pt>
                <c:pt idx="6">
                  <c:v>0.71014746741020685</c:v>
                </c:pt>
                <c:pt idx="7">
                  <c:v>0.71681602170451775</c:v>
                </c:pt>
                <c:pt idx="8">
                  <c:v>0.7133354581914898</c:v>
                </c:pt>
                <c:pt idx="9">
                  <c:v>0.70015104941403394</c:v>
                </c:pt>
                <c:pt idx="10">
                  <c:v>0.67687555738380267</c:v>
                </c:pt>
                <c:pt idx="11">
                  <c:v>0.66557516832944053</c:v>
                </c:pt>
                <c:pt idx="12">
                  <c:v>0.66333480770678555</c:v>
                </c:pt>
                <c:pt idx="13">
                  <c:v>0.66421153914980147</c:v>
                </c:pt>
                <c:pt idx="14">
                  <c:v>0.66396141320914148</c:v>
                </c:pt>
                <c:pt idx="15">
                  <c:v>0.66842005556216433</c:v>
                </c:pt>
                <c:pt idx="16">
                  <c:v>0.67196469050827456</c:v>
                </c:pt>
                <c:pt idx="17">
                  <c:v>0.68472838041705308</c:v>
                </c:pt>
                <c:pt idx="18">
                  <c:v>0.70184242311488343</c:v>
                </c:pt>
                <c:pt idx="19">
                  <c:v>0.7163432917105812</c:v>
                </c:pt>
                <c:pt idx="20">
                  <c:v>0.72331397058111335</c:v>
                </c:pt>
                <c:pt idx="21">
                  <c:v>0.72144222538150993</c:v>
                </c:pt>
                <c:pt idx="22">
                  <c:v>0.72076673385918888</c:v>
                </c:pt>
                <c:pt idx="23">
                  <c:v>0.71986496090414043</c:v>
                </c:pt>
                <c:pt idx="24">
                  <c:v>0.7129714034455723</c:v>
                </c:pt>
                <c:pt idx="25">
                  <c:v>0.70824756345490925</c:v>
                </c:pt>
                <c:pt idx="26">
                  <c:v>0.71424586492438413</c:v>
                </c:pt>
                <c:pt idx="27">
                  <c:v>0.71655638209816053</c:v>
                </c:pt>
                <c:pt idx="28">
                  <c:v>0.71066863967725424</c:v>
                </c:pt>
                <c:pt idx="29">
                  <c:v>0.71123060203796273</c:v>
                </c:pt>
                <c:pt idx="30">
                  <c:v>0.71297749307830083</c:v>
                </c:pt>
                <c:pt idx="31">
                  <c:v>0.72580510177044255</c:v>
                </c:pt>
                <c:pt idx="32">
                  <c:v>0.74210585145187313</c:v>
                </c:pt>
                <c:pt idx="33">
                  <c:v>0.77097107521880714</c:v>
                </c:pt>
                <c:pt idx="34">
                  <c:v>0.78207391505782986</c:v>
                </c:pt>
                <c:pt idx="35">
                  <c:v>0.78404907670473967</c:v>
                </c:pt>
                <c:pt idx="36">
                  <c:v>0.78163772539751575</c:v>
                </c:pt>
                <c:pt idx="37">
                  <c:v>0.79403367790321633</c:v>
                </c:pt>
                <c:pt idx="38">
                  <c:v>0.81262405848187813</c:v>
                </c:pt>
                <c:pt idx="39">
                  <c:v>0.83226104796503142</c:v>
                </c:pt>
                <c:pt idx="40">
                  <c:v>0.82666457467779131</c:v>
                </c:pt>
                <c:pt idx="41">
                  <c:v>0.82056295955458658</c:v>
                </c:pt>
                <c:pt idx="42">
                  <c:v>0.81408726969263923</c:v>
                </c:pt>
                <c:pt idx="43">
                  <c:v>0.8089845614076181</c:v>
                </c:pt>
                <c:pt idx="44">
                  <c:v>0.79874647743255456</c:v>
                </c:pt>
                <c:pt idx="45">
                  <c:v>0.79190214629019662</c:v>
                </c:pt>
                <c:pt idx="46">
                  <c:v>0.77666909096102132</c:v>
                </c:pt>
                <c:pt idx="47">
                  <c:v>0.74501549079256535</c:v>
                </c:pt>
                <c:pt idx="48">
                  <c:v>0.72080928218920681</c:v>
                </c:pt>
                <c:pt idx="49">
                  <c:v>0.72933189141281329</c:v>
                </c:pt>
                <c:pt idx="50">
                  <c:v>0.73270027559173867</c:v>
                </c:pt>
                <c:pt idx="51">
                  <c:v>0.72511274926564129</c:v>
                </c:pt>
                <c:pt idx="52">
                  <c:v>0.72823539086977163</c:v>
                </c:pt>
                <c:pt idx="53">
                  <c:v>0.73626911467035638</c:v>
                </c:pt>
                <c:pt idx="54">
                  <c:v>0.74547743888238094</c:v>
                </c:pt>
                <c:pt idx="55">
                  <c:v>0.76492611757717022</c:v>
                </c:pt>
                <c:pt idx="56">
                  <c:v>0.78907035756043165</c:v>
                </c:pt>
                <c:pt idx="57">
                  <c:v>0.80488810848714332</c:v>
                </c:pt>
                <c:pt idx="58">
                  <c:v>0.80836745104468166</c:v>
                </c:pt>
                <c:pt idx="59">
                  <c:v>0.81019572540174012</c:v>
                </c:pt>
                <c:pt idx="60">
                  <c:v>0.81599174656497253</c:v>
                </c:pt>
                <c:pt idx="61">
                  <c:v>0.81047193185134314</c:v>
                </c:pt>
                <c:pt idx="62">
                  <c:v>0.8100116510159644</c:v>
                </c:pt>
                <c:pt idx="63">
                  <c:v>0.8134593378440611</c:v>
                </c:pt>
                <c:pt idx="64">
                  <c:v>0.80847903743911553</c:v>
                </c:pt>
                <c:pt idx="65">
                  <c:v>0.80671768393237886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2C-45C8-819E-5FDF02D38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595712"/>
        <c:axId val="-1428588640"/>
      </c:scatterChart>
      <c:scatterChart>
        <c:scatterStyle val="lineMarker"/>
        <c:varyColors val="0"/>
        <c:ser>
          <c:idx val="1"/>
          <c:order val="1"/>
          <c:tx>
            <c:v>T° aire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Varadero!$U$3:$U$65</c:f>
              <c:numCache>
                <c:formatCode>General</c:formatCode>
                <c:ptCount val="63"/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</c:numCache>
            </c:numRef>
          </c:xVal>
          <c:yVal>
            <c:numRef>
              <c:f>Varadero!$W$3:$W$65</c:f>
              <c:numCache>
                <c:formatCode>General</c:formatCode>
                <c:ptCount val="63"/>
                <c:pt idx="2">
                  <c:v>28.15</c:v>
                </c:pt>
                <c:pt idx="3">
                  <c:v>28.033333333333331</c:v>
                </c:pt>
                <c:pt idx="4">
                  <c:v>28</c:v>
                </c:pt>
                <c:pt idx="5">
                  <c:v>28.033333333333335</c:v>
                </c:pt>
                <c:pt idx="6">
                  <c:v>27.966666666666669</c:v>
                </c:pt>
                <c:pt idx="7">
                  <c:v>27.866666666666664</c:v>
                </c:pt>
                <c:pt idx="8">
                  <c:v>27.8</c:v>
                </c:pt>
                <c:pt idx="9">
                  <c:v>27.966666666666669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27.933333333333334</c:v>
                </c:pt>
                <c:pt idx="14">
                  <c:v>27.733333333333331</c:v>
                </c:pt>
                <c:pt idx="15">
                  <c:v>27.5</c:v>
                </c:pt>
                <c:pt idx="16">
                  <c:v>27.633333333333336</c:v>
                </c:pt>
                <c:pt idx="17">
                  <c:v>27.766666666666666</c:v>
                </c:pt>
                <c:pt idx="18">
                  <c:v>27.866666666666671</c:v>
                </c:pt>
                <c:pt idx="19">
                  <c:v>27.766666666666666</c:v>
                </c:pt>
                <c:pt idx="20">
                  <c:v>27.666666666666668</c:v>
                </c:pt>
                <c:pt idx="21">
                  <c:v>27.7</c:v>
                </c:pt>
                <c:pt idx="22">
                  <c:v>27.7</c:v>
                </c:pt>
                <c:pt idx="23">
                  <c:v>27.733333333333334</c:v>
                </c:pt>
                <c:pt idx="24">
                  <c:v>27.633333333333336</c:v>
                </c:pt>
                <c:pt idx="25">
                  <c:v>27.566666666666666</c:v>
                </c:pt>
                <c:pt idx="26">
                  <c:v>27.533333333333331</c:v>
                </c:pt>
                <c:pt idx="27">
                  <c:v>27.7</c:v>
                </c:pt>
                <c:pt idx="28">
                  <c:v>27.733333333333334</c:v>
                </c:pt>
                <c:pt idx="29">
                  <c:v>27.733333333333334</c:v>
                </c:pt>
                <c:pt idx="30">
                  <c:v>27.533333333333331</c:v>
                </c:pt>
                <c:pt idx="31">
                  <c:v>27.666666666666668</c:v>
                </c:pt>
                <c:pt idx="32">
                  <c:v>27.7</c:v>
                </c:pt>
                <c:pt idx="33">
                  <c:v>27.866666666666664</c:v>
                </c:pt>
                <c:pt idx="34">
                  <c:v>27.866666666666664</c:v>
                </c:pt>
                <c:pt idx="35">
                  <c:v>28.033333333333331</c:v>
                </c:pt>
                <c:pt idx="36">
                  <c:v>28.100000000000005</c:v>
                </c:pt>
                <c:pt idx="37">
                  <c:v>27.966666666666669</c:v>
                </c:pt>
                <c:pt idx="38">
                  <c:v>27.666666666666668</c:v>
                </c:pt>
                <c:pt idx="39">
                  <c:v>27.333333333333332</c:v>
                </c:pt>
                <c:pt idx="40">
                  <c:v>27.366666666666664</c:v>
                </c:pt>
                <c:pt idx="41">
                  <c:v>27.600000000000005</c:v>
                </c:pt>
                <c:pt idx="42">
                  <c:v>28.033333333333331</c:v>
                </c:pt>
                <c:pt idx="43">
                  <c:v>28.066666666666663</c:v>
                </c:pt>
                <c:pt idx="44">
                  <c:v>27.966666666666669</c:v>
                </c:pt>
                <c:pt idx="45">
                  <c:v>27.666666666666668</c:v>
                </c:pt>
                <c:pt idx="46">
                  <c:v>27.466666666666669</c:v>
                </c:pt>
                <c:pt idx="47">
                  <c:v>27.5</c:v>
                </c:pt>
                <c:pt idx="48">
                  <c:v>27.5</c:v>
                </c:pt>
                <c:pt idx="49">
                  <c:v>27.600000000000005</c:v>
                </c:pt>
                <c:pt idx="50">
                  <c:v>27.533333333333331</c:v>
                </c:pt>
                <c:pt idx="51">
                  <c:v>27.633333333333336</c:v>
                </c:pt>
                <c:pt idx="52">
                  <c:v>27.733333333333331</c:v>
                </c:pt>
                <c:pt idx="53">
                  <c:v>27.666666666666668</c:v>
                </c:pt>
                <c:pt idx="54">
                  <c:v>27.7</c:v>
                </c:pt>
                <c:pt idx="55">
                  <c:v>27.566666666666666</c:v>
                </c:pt>
                <c:pt idx="56">
                  <c:v>27.900000000000002</c:v>
                </c:pt>
                <c:pt idx="57">
                  <c:v>27.966666666666669</c:v>
                </c:pt>
                <c:pt idx="58">
                  <c:v>27.900000000000002</c:v>
                </c:pt>
                <c:pt idx="59">
                  <c:v>27.666666666666668</c:v>
                </c:pt>
                <c:pt idx="60">
                  <c:v>27.566666666666666</c:v>
                </c:pt>
                <c:pt idx="61">
                  <c:v>28.033333333333335</c:v>
                </c:pt>
                <c:pt idx="62">
                  <c:v>28.25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2C-45C8-819E-5FDF02D383C2}"/>
            </c:ext>
          </c:extLst>
        </c:ser>
        <c:ser>
          <c:idx val="2"/>
          <c:order val="2"/>
          <c:tx>
            <c:v>HadISST °C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Varadero!$S$3:$S$68</c:f>
              <c:numCache>
                <c:formatCode>0.000</c:formatCode>
                <c:ptCount val="66"/>
                <c:pt idx="0">
                  <c:v>28.336240100000005</c:v>
                </c:pt>
                <c:pt idx="1">
                  <c:v>28.408496000000003</c:v>
                </c:pt>
                <c:pt idx="2">
                  <c:v>28.362789726190478</c:v>
                </c:pt>
                <c:pt idx="3">
                  <c:v>28.333392291666669</c:v>
                </c:pt>
                <c:pt idx="4">
                  <c:v>28.319572675925926</c:v>
                </c:pt>
                <c:pt idx="5">
                  <c:v>28.320331888888887</c:v>
                </c:pt>
                <c:pt idx="6">
                  <c:v>28.349165027777776</c:v>
                </c:pt>
                <c:pt idx="7">
                  <c:v>28.341022499999994</c:v>
                </c:pt>
                <c:pt idx="8">
                  <c:v>28.344871666666663</c:v>
                </c:pt>
                <c:pt idx="9">
                  <c:v>28.305870333333335</c:v>
                </c:pt>
                <c:pt idx="10">
                  <c:v>28.223055240740738</c:v>
                </c:pt>
                <c:pt idx="11">
                  <c:v>28.205646314814814</c:v>
                </c:pt>
                <c:pt idx="12">
                  <c:v>28.197981231481478</c:v>
                </c:pt>
                <c:pt idx="13">
                  <c:v>28.231531296296296</c:v>
                </c:pt>
                <c:pt idx="14">
                  <c:v>28.204092546296295</c:v>
                </c:pt>
                <c:pt idx="15">
                  <c:v>28.156089453703704</c:v>
                </c:pt>
                <c:pt idx="16">
                  <c:v>28.161657324074074</c:v>
                </c:pt>
                <c:pt idx="17">
                  <c:v>28.116089416666668</c:v>
                </c:pt>
                <c:pt idx="18">
                  <c:v>28.119472935185186</c:v>
                </c:pt>
                <c:pt idx="19">
                  <c:v>28.103196712962966</c:v>
                </c:pt>
                <c:pt idx="20">
                  <c:v>28.084173638888885</c:v>
                </c:pt>
                <c:pt idx="21">
                  <c:v>28.070983962962959</c:v>
                </c:pt>
                <c:pt idx="22">
                  <c:v>27.975286620370369</c:v>
                </c:pt>
                <c:pt idx="23">
                  <c:v>27.972802851851853</c:v>
                </c:pt>
                <c:pt idx="24">
                  <c:v>27.986809111111118</c:v>
                </c:pt>
                <c:pt idx="25">
                  <c:v>27.903556296296301</c:v>
                </c:pt>
                <c:pt idx="26">
                  <c:v>27.857462324074078</c:v>
                </c:pt>
                <c:pt idx="27">
                  <c:v>27.816149675925931</c:v>
                </c:pt>
                <c:pt idx="28">
                  <c:v>27.84741839814815</c:v>
                </c:pt>
                <c:pt idx="29">
                  <c:v>27.855107027777777</c:v>
                </c:pt>
                <c:pt idx="30">
                  <c:v>27.882121398148147</c:v>
                </c:pt>
                <c:pt idx="31">
                  <c:v>27.92584751851852</c:v>
                </c:pt>
                <c:pt idx="32">
                  <c:v>27.914077555555554</c:v>
                </c:pt>
                <c:pt idx="33">
                  <c:v>27.883575601851849</c:v>
                </c:pt>
                <c:pt idx="34">
                  <c:v>27.906525305555551</c:v>
                </c:pt>
                <c:pt idx="35">
                  <c:v>27.91103144444444</c:v>
                </c:pt>
                <c:pt idx="36">
                  <c:v>27.891350648148144</c:v>
                </c:pt>
                <c:pt idx="37">
                  <c:v>27.828397157407409</c:v>
                </c:pt>
                <c:pt idx="38">
                  <c:v>27.855817138888892</c:v>
                </c:pt>
                <c:pt idx="39">
                  <c:v>27.820966268518522</c:v>
                </c:pt>
                <c:pt idx="40">
                  <c:v>27.780961425925927</c:v>
                </c:pt>
                <c:pt idx="41">
                  <c:v>27.786566314814817</c:v>
                </c:pt>
                <c:pt idx="42">
                  <c:v>27.842386083333338</c:v>
                </c:pt>
                <c:pt idx="43">
                  <c:v>27.842159583333331</c:v>
                </c:pt>
                <c:pt idx="44">
                  <c:v>27.875633787037035</c:v>
                </c:pt>
                <c:pt idx="45">
                  <c:v>27.933181287037037</c:v>
                </c:pt>
                <c:pt idx="46">
                  <c:v>27.939001046296298</c:v>
                </c:pt>
                <c:pt idx="47">
                  <c:v>27.917838962962961</c:v>
                </c:pt>
                <c:pt idx="48">
                  <c:v>27.955146657407404</c:v>
                </c:pt>
                <c:pt idx="49">
                  <c:v>27.997685027777777</c:v>
                </c:pt>
                <c:pt idx="50">
                  <c:v>28.000332675925922</c:v>
                </c:pt>
                <c:pt idx="51">
                  <c:v>27.983062055555553</c:v>
                </c:pt>
                <c:pt idx="52">
                  <c:v>27.997798546296295</c:v>
                </c:pt>
                <c:pt idx="53">
                  <c:v>28.08143750925926</c:v>
                </c:pt>
                <c:pt idx="54">
                  <c:v>28.056925703703708</c:v>
                </c:pt>
                <c:pt idx="55">
                  <c:v>28.065622129629631</c:v>
                </c:pt>
                <c:pt idx="56">
                  <c:v>28.061369842592594</c:v>
                </c:pt>
                <c:pt idx="57">
                  <c:v>28.034319722222225</c:v>
                </c:pt>
                <c:pt idx="58">
                  <c:v>28.028990935185185</c:v>
                </c:pt>
                <c:pt idx="59">
                  <c:v>28.042035787037037</c:v>
                </c:pt>
                <c:pt idx="60">
                  <c:v>28.014929249999998</c:v>
                </c:pt>
                <c:pt idx="61">
                  <c:v>27.982246333333332</c:v>
                </c:pt>
                <c:pt idx="62">
                  <c:v>27.908966374999999</c:v>
                </c:pt>
                <c:pt idx="63">
                  <c:v>27.916493595238098</c:v>
                </c:pt>
                <c:pt idx="64">
                  <c:v>27.948669791666664</c:v>
                </c:pt>
                <c:pt idx="65">
                  <c:v>27.968821300000002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2C-45C8-819E-5FDF02D38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598976"/>
        <c:axId val="-1428598432"/>
      </c:scatterChart>
      <c:valAx>
        <c:axId val="-1428595712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588640"/>
        <c:crosses val="autoZero"/>
        <c:crossBetween val="midCat"/>
      </c:valAx>
      <c:valAx>
        <c:axId val="-1428588640"/>
        <c:scaling>
          <c:orientation val="minMax"/>
          <c:max val="0.85000000000000009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595712"/>
        <c:crosses val="autoZero"/>
        <c:crossBetween val="midCat"/>
        <c:majorUnit val="5.000000000000001E-2"/>
      </c:valAx>
      <c:valAx>
        <c:axId val="-14285984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Temperatura</a:t>
                </a:r>
                <a:r>
                  <a:rPr lang="es-CO" sz="1050" baseline="0">
                    <a:solidFill>
                      <a:schemeClr val="tx1"/>
                    </a:solidFill>
                  </a:rPr>
                  <a:t> (°C)</a:t>
                </a:r>
                <a:endParaRPr lang="es-CO" sz="105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598976"/>
        <c:crosses val="max"/>
        <c:crossBetween val="midCat"/>
      </c:valAx>
      <c:valAx>
        <c:axId val="-1428598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8598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Varadero!$L$2</c:f>
              <c:strCache>
                <c:ptCount val="1"/>
                <c:pt idx="0">
                  <c:v>Extension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Varadero!$L$3:$L$68</c:f>
              <c:numCache>
                <c:formatCode>General</c:formatCode>
                <c:ptCount val="66"/>
                <c:pt idx="0" formatCode="0.000">
                  <c:v>1.1880557499999997</c:v>
                </c:pt>
                <c:pt idx="1">
                  <c:v>1.1502877083333332</c:v>
                </c:pt>
                <c:pt idx="2">
                  <c:v>1.1274808928571427</c:v>
                </c:pt>
                <c:pt idx="3">
                  <c:v>1.1175364062499997</c:v>
                </c:pt>
                <c:pt idx="4" formatCode="0.000">
                  <c:v>1.1124448611111108</c:v>
                </c:pt>
                <c:pt idx="5">
                  <c:v>1.0843738888888887</c:v>
                </c:pt>
                <c:pt idx="6">
                  <c:v>1.1054669444444447</c:v>
                </c:pt>
                <c:pt idx="7">
                  <c:v>1.0662159722222222</c:v>
                </c:pt>
                <c:pt idx="8">
                  <c:v>1.0734090277777777</c:v>
                </c:pt>
                <c:pt idx="9">
                  <c:v>1.0789761111111107</c:v>
                </c:pt>
                <c:pt idx="10">
                  <c:v>1.1190848611111106</c:v>
                </c:pt>
                <c:pt idx="11">
                  <c:v>1.152029166666666</c:v>
                </c:pt>
                <c:pt idx="12">
                  <c:v>1.1588638888888878</c:v>
                </c:pt>
                <c:pt idx="13">
                  <c:v>1.1713401388888842</c:v>
                </c:pt>
                <c:pt idx="14">
                  <c:v>1.186386805555548</c:v>
                </c:pt>
                <c:pt idx="15">
                  <c:v>1.1693086111111004</c:v>
                </c:pt>
                <c:pt idx="16">
                  <c:v>1.1740138888888758</c:v>
                </c:pt>
                <c:pt idx="17">
                  <c:v>1.1745995833333249</c:v>
                </c:pt>
                <c:pt idx="18">
                  <c:v>1.1798204166666659</c:v>
                </c:pt>
                <c:pt idx="19">
                  <c:v>1.137599166666672</c:v>
                </c:pt>
                <c:pt idx="20">
                  <c:v>1.1126895833333448</c:v>
                </c:pt>
                <c:pt idx="21">
                  <c:v>1.0900872222222389</c:v>
                </c:pt>
                <c:pt idx="22">
                  <c:v>1.0800947222222479</c:v>
                </c:pt>
                <c:pt idx="23">
                  <c:v>1.0541616666667009</c:v>
                </c:pt>
                <c:pt idx="24">
                  <c:v>1.0388813888889297</c:v>
                </c:pt>
                <c:pt idx="25">
                  <c:v>1.0548358333333856</c:v>
                </c:pt>
                <c:pt idx="26">
                  <c:v>1.0414043055556088</c:v>
                </c:pt>
                <c:pt idx="27">
                  <c:v>1.0148584722222731</c:v>
                </c:pt>
                <c:pt idx="28">
                  <c:v>1.0228600000000501</c:v>
                </c:pt>
                <c:pt idx="29">
                  <c:v>1.0118147222222698</c:v>
                </c:pt>
                <c:pt idx="30">
                  <c:v>1.0106158796296727</c:v>
                </c:pt>
                <c:pt idx="31">
                  <c:v>1.0155348148148524</c:v>
                </c:pt>
                <c:pt idx="32">
                  <c:v>1.0141754166666985</c:v>
                </c:pt>
                <c:pt idx="33">
                  <c:v>1.0249488888889173</c:v>
                </c:pt>
                <c:pt idx="34">
                  <c:v>0.99329800925927947</c:v>
                </c:pt>
                <c:pt idx="35">
                  <c:v>0.97711328703705247</c:v>
                </c:pt>
                <c:pt idx="36">
                  <c:v>0.97097967592593681</c:v>
                </c:pt>
                <c:pt idx="37">
                  <c:v>0.96738259259259962</c:v>
                </c:pt>
                <c:pt idx="38">
                  <c:v>0.95660703703704142</c:v>
                </c:pt>
                <c:pt idx="39">
                  <c:v>0.95670129629630141</c:v>
                </c:pt>
                <c:pt idx="40">
                  <c:v>0.9401416666666722</c:v>
                </c:pt>
                <c:pt idx="41">
                  <c:v>0.94629037037037633</c:v>
                </c:pt>
                <c:pt idx="42">
                  <c:v>0.94232814814815469</c:v>
                </c:pt>
                <c:pt idx="43">
                  <c:v>0.92973055555556294</c:v>
                </c:pt>
                <c:pt idx="44">
                  <c:v>0.9352894444444515</c:v>
                </c:pt>
                <c:pt idx="45">
                  <c:v>0.95773111111111908</c:v>
                </c:pt>
                <c:pt idx="46">
                  <c:v>0.96534111111111942</c:v>
                </c:pt>
                <c:pt idx="47">
                  <c:v>1.0107600000000083</c:v>
                </c:pt>
                <c:pt idx="48">
                  <c:v>1.0532055555555639</c:v>
                </c:pt>
                <c:pt idx="49">
                  <c:v>1.0395411111111195</c:v>
                </c:pt>
                <c:pt idx="50">
                  <c:v>1.0569844444444538</c:v>
                </c:pt>
                <c:pt idx="51">
                  <c:v>1.0705950000000093</c:v>
                </c:pt>
                <c:pt idx="52">
                  <c:v>1.1044894444444533</c:v>
                </c:pt>
                <c:pt idx="53">
                  <c:v>1.1145733333333425</c:v>
                </c:pt>
                <c:pt idx="54">
                  <c:v>1.1171322222222324</c:v>
                </c:pt>
                <c:pt idx="55">
                  <c:v>1.1089094444444558</c:v>
                </c:pt>
                <c:pt idx="56">
                  <c:v>1.0961011111111243</c:v>
                </c:pt>
                <c:pt idx="57">
                  <c:v>1.0734911111111258</c:v>
                </c:pt>
                <c:pt idx="58">
                  <c:v>1.0992944444444612</c:v>
                </c:pt>
                <c:pt idx="59">
                  <c:v>1.0923505555555728</c:v>
                </c:pt>
                <c:pt idx="60">
                  <c:v>1.0943266666666862</c:v>
                </c:pt>
                <c:pt idx="61">
                  <c:v>1.1042461111111328</c:v>
                </c:pt>
                <c:pt idx="62">
                  <c:v>1.1165781250000233</c:v>
                </c:pt>
                <c:pt idx="63">
                  <c:v>1.1156128571428809</c:v>
                </c:pt>
                <c:pt idx="64">
                  <c:v>1.1387883333333577</c:v>
                </c:pt>
                <c:pt idx="65">
                  <c:v>1.1345340000000241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ED-481F-B587-DC16E4501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597344"/>
        <c:axId val="-1428587552"/>
      </c:scatterChart>
      <c:scatterChart>
        <c:scatterStyle val="lineMarker"/>
        <c:varyColors val="0"/>
        <c:ser>
          <c:idx val="2"/>
          <c:order val="1"/>
          <c:tx>
            <c:v>Precipitacion (mm)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Varadero!$AB$3:$AB$68</c:f>
              <c:numCache>
                <c:formatCode>General</c:formatCode>
                <c:ptCount val="66"/>
                <c:pt idx="2">
                  <c:v>1330.6799999999998</c:v>
                </c:pt>
                <c:pt idx="3">
                  <c:v>1274.3333333333333</c:v>
                </c:pt>
                <c:pt idx="4">
                  <c:v>1254.2</c:v>
                </c:pt>
                <c:pt idx="5">
                  <c:v>1202.5999999999999</c:v>
                </c:pt>
                <c:pt idx="6">
                  <c:v>1151.5666666666666</c:v>
                </c:pt>
                <c:pt idx="7">
                  <c:v>1213.5333333333333</c:v>
                </c:pt>
                <c:pt idx="8">
                  <c:v>1213.8</c:v>
                </c:pt>
                <c:pt idx="9">
                  <c:v>1082.2222222222222</c:v>
                </c:pt>
                <c:pt idx="10">
                  <c:v>886.47777777777776</c:v>
                </c:pt>
                <c:pt idx="11">
                  <c:v>906.26666666666665</c:v>
                </c:pt>
                <c:pt idx="12">
                  <c:v>961.01111111111118</c:v>
                </c:pt>
                <c:pt idx="13">
                  <c:v>931.06666666666672</c:v>
                </c:pt>
                <c:pt idx="14">
                  <c:v>945.32222222222219</c:v>
                </c:pt>
                <c:pt idx="15">
                  <c:v>963.17777777777758</c:v>
                </c:pt>
                <c:pt idx="16">
                  <c:v>959.62222222222226</c:v>
                </c:pt>
                <c:pt idx="17">
                  <c:v>938.43333333333328</c:v>
                </c:pt>
                <c:pt idx="18">
                  <c:v>948.12222222222226</c:v>
                </c:pt>
                <c:pt idx="19">
                  <c:v>899.58888888888885</c:v>
                </c:pt>
                <c:pt idx="20">
                  <c:v>851.98888888888882</c:v>
                </c:pt>
                <c:pt idx="21">
                  <c:v>772.82499999999993</c:v>
                </c:pt>
                <c:pt idx="22">
                  <c:v>759.81428571428569</c:v>
                </c:pt>
                <c:pt idx="23">
                  <c:v>724.83333333333337</c:v>
                </c:pt>
                <c:pt idx="24">
                  <c:v>630.18333333333339</c:v>
                </c:pt>
                <c:pt idx="25">
                  <c:v>486.25</c:v>
                </c:pt>
                <c:pt idx="26">
                  <c:v>495.83333333333331</c:v>
                </c:pt>
                <c:pt idx="27">
                  <c:v>499.38333333333327</c:v>
                </c:pt>
                <c:pt idx="28">
                  <c:v>514.08333333333337</c:v>
                </c:pt>
                <c:pt idx="29">
                  <c:v>473.16666666666669</c:v>
                </c:pt>
                <c:pt idx="30">
                  <c:v>574.02857142857135</c:v>
                </c:pt>
                <c:pt idx="31">
                  <c:v>574.02857142857135</c:v>
                </c:pt>
                <c:pt idx="32">
                  <c:v>574.02857142857135</c:v>
                </c:pt>
                <c:pt idx="33">
                  <c:v>613.68333333333339</c:v>
                </c:pt>
                <c:pt idx="34">
                  <c:v>616.83333333333337</c:v>
                </c:pt>
                <c:pt idx="35">
                  <c:v>575.48333333333335</c:v>
                </c:pt>
                <c:pt idx="36">
                  <c:v>587.28333333333342</c:v>
                </c:pt>
                <c:pt idx="37">
                  <c:v>635.31666666666672</c:v>
                </c:pt>
                <c:pt idx="38">
                  <c:v>641.44999999999993</c:v>
                </c:pt>
                <c:pt idx="39">
                  <c:v>563.91666666666663</c:v>
                </c:pt>
                <c:pt idx="40">
                  <c:v>494.75714285714287</c:v>
                </c:pt>
                <c:pt idx="41">
                  <c:v>595.625</c:v>
                </c:pt>
                <c:pt idx="42">
                  <c:v>607.28888888888889</c:v>
                </c:pt>
                <c:pt idx="43">
                  <c:v>627.5777777777779</c:v>
                </c:pt>
                <c:pt idx="44">
                  <c:v>631.20000000000005</c:v>
                </c:pt>
                <c:pt idx="45">
                  <c:v>615.83333333333337</c:v>
                </c:pt>
                <c:pt idx="46">
                  <c:v>639.98888888888894</c:v>
                </c:pt>
                <c:pt idx="47">
                  <c:v>733.66666666666674</c:v>
                </c:pt>
                <c:pt idx="48">
                  <c:v>748.6444444444445</c:v>
                </c:pt>
                <c:pt idx="49">
                  <c:v>820.25</c:v>
                </c:pt>
                <c:pt idx="50">
                  <c:v>742.25</c:v>
                </c:pt>
                <c:pt idx="51">
                  <c:v>772.8944444444445</c:v>
                </c:pt>
                <c:pt idx="52">
                  <c:v>716.17222222222222</c:v>
                </c:pt>
                <c:pt idx="53">
                  <c:v>698.26111111111106</c:v>
                </c:pt>
                <c:pt idx="54">
                  <c:v>645.15</c:v>
                </c:pt>
                <c:pt idx="55">
                  <c:v>601.7833333333333</c:v>
                </c:pt>
                <c:pt idx="56">
                  <c:v>562.12777777777774</c:v>
                </c:pt>
                <c:pt idx="57">
                  <c:v>590.86111111111109</c:v>
                </c:pt>
                <c:pt idx="58">
                  <c:v>535.56666666666672</c:v>
                </c:pt>
                <c:pt idx="59">
                  <c:v>527.55000000000007</c:v>
                </c:pt>
                <c:pt idx="60">
                  <c:v>463.42857142857144</c:v>
                </c:pt>
                <c:pt idx="61">
                  <c:v>523.58333333333337</c:v>
                </c:pt>
                <c:pt idx="62">
                  <c:v>529.29999999999995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ED-481F-B587-DC16E4501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593536"/>
        <c:axId val="-1428590272"/>
      </c:scatterChart>
      <c:valAx>
        <c:axId val="-1428597344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587552"/>
        <c:crosses val="autoZero"/>
        <c:crossBetween val="midCat"/>
      </c:valAx>
      <c:valAx>
        <c:axId val="-1428587552"/>
        <c:scaling>
          <c:orientation val="minMax"/>
          <c:max val="1.2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597344"/>
        <c:crosses val="autoZero"/>
        <c:crossBetween val="midCat"/>
      </c:valAx>
      <c:valAx>
        <c:axId val="-1428590272"/>
        <c:scaling>
          <c:orientation val="minMax"/>
          <c:min val="2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Precipitacion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593536"/>
        <c:crosses val="max"/>
        <c:crossBetween val="midCat"/>
      </c:valAx>
      <c:valAx>
        <c:axId val="-1428593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8590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Varadero!$K$2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Varadero!$K$3:$K$68</c:f>
              <c:numCache>
                <c:formatCode>General</c:formatCode>
                <c:ptCount val="66"/>
                <c:pt idx="0">
                  <c:v>0.69635225112986576</c:v>
                </c:pt>
                <c:pt idx="1">
                  <c:v>0.71792658429669876</c:v>
                </c:pt>
                <c:pt idx="2">
                  <c:v>0.72271797965998219</c:v>
                </c:pt>
                <c:pt idx="3">
                  <c:v>0.7226144614629576</c:v>
                </c:pt>
                <c:pt idx="4">
                  <c:v>0.71558062552543311</c:v>
                </c:pt>
                <c:pt idx="5">
                  <c:v>0.71531997928677404</c:v>
                </c:pt>
                <c:pt idx="6">
                  <c:v>0.71014746741020685</c:v>
                </c:pt>
                <c:pt idx="7">
                  <c:v>0.71681602170451775</c:v>
                </c:pt>
                <c:pt idx="8">
                  <c:v>0.7133354581914898</c:v>
                </c:pt>
                <c:pt idx="9">
                  <c:v>0.70015104941403394</c:v>
                </c:pt>
                <c:pt idx="10">
                  <c:v>0.67687555738380267</c:v>
                </c:pt>
                <c:pt idx="11">
                  <c:v>0.66557516832944053</c:v>
                </c:pt>
                <c:pt idx="12">
                  <c:v>0.66333480770678555</c:v>
                </c:pt>
                <c:pt idx="13">
                  <c:v>0.66421153914980147</c:v>
                </c:pt>
                <c:pt idx="14">
                  <c:v>0.66396141320914148</c:v>
                </c:pt>
                <c:pt idx="15">
                  <c:v>0.66842005556216433</c:v>
                </c:pt>
                <c:pt idx="16">
                  <c:v>0.67196469050827456</c:v>
                </c:pt>
                <c:pt idx="17">
                  <c:v>0.68472838041705308</c:v>
                </c:pt>
                <c:pt idx="18">
                  <c:v>0.70184242311488343</c:v>
                </c:pt>
                <c:pt idx="19">
                  <c:v>0.7163432917105812</c:v>
                </c:pt>
                <c:pt idx="20">
                  <c:v>0.72331397058111335</c:v>
                </c:pt>
                <c:pt idx="21">
                  <c:v>0.72144222538150993</c:v>
                </c:pt>
                <c:pt idx="22">
                  <c:v>0.72076673385918888</c:v>
                </c:pt>
                <c:pt idx="23">
                  <c:v>0.71986496090414043</c:v>
                </c:pt>
                <c:pt idx="24">
                  <c:v>0.7129714034455723</c:v>
                </c:pt>
                <c:pt idx="25">
                  <c:v>0.70824756345490925</c:v>
                </c:pt>
                <c:pt idx="26">
                  <c:v>0.71424586492438413</c:v>
                </c:pt>
                <c:pt idx="27">
                  <c:v>0.71655638209816053</c:v>
                </c:pt>
                <c:pt idx="28">
                  <c:v>0.71066863967725424</c:v>
                </c:pt>
                <c:pt idx="29">
                  <c:v>0.71123060203796273</c:v>
                </c:pt>
                <c:pt idx="30">
                  <c:v>0.71297749307830083</c:v>
                </c:pt>
                <c:pt idx="31">
                  <c:v>0.72580510177044255</c:v>
                </c:pt>
                <c:pt idx="32">
                  <c:v>0.74210585145187313</c:v>
                </c:pt>
                <c:pt idx="33">
                  <c:v>0.77097107521880714</c:v>
                </c:pt>
                <c:pt idx="34">
                  <c:v>0.78207391505782986</c:v>
                </c:pt>
                <c:pt idx="35">
                  <c:v>0.78404907670473967</c:v>
                </c:pt>
                <c:pt idx="36">
                  <c:v>0.78163772539751575</c:v>
                </c:pt>
                <c:pt idx="37">
                  <c:v>0.79403367790321633</c:v>
                </c:pt>
                <c:pt idx="38">
                  <c:v>0.81262405848187813</c:v>
                </c:pt>
                <c:pt idx="39">
                  <c:v>0.83226104796503142</c:v>
                </c:pt>
                <c:pt idx="40">
                  <c:v>0.82666457467779131</c:v>
                </c:pt>
                <c:pt idx="41">
                  <c:v>0.82056295955458658</c:v>
                </c:pt>
                <c:pt idx="42">
                  <c:v>0.81408726969263923</c:v>
                </c:pt>
                <c:pt idx="43">
                  <c:v>0.8089845614076181</c:v>
                </c:pt>
                <c:pt idx="44">
                  <c:v>0.79874647743255456</c:v>
                </c:pt>
                <c:pt idx="45">
                  <c:v>0.79190214629019662</c:v>
                </c:pt>
                <c:pt idx="46">
                  <c:v>0.77666909096102132</c:v>
                </c:pt>
                <c:pt idx="47">
                  <c:v>0.74501549079256535</c:v>
                </c:pt>
                <c:pt idx="48">
                  <c:v>0.72080928218920681</c:v>
                </c:pt>
                <c:pt idx="49">
                  <c:v>0.72933189141281329</c:v>
                </c:pt>
                <c:pt idx="50">
                  <c:v>0.73270027559173867</c:v>
                </c:pt>
                <c:pt idx="51">
                  <c:v>0.72511274926564129</c:v>
                </c:pt>
                <c:pt idx="52">
                  <c:v>0.72823539086977163</c:v>
                </c:pt>
                <c:pt idx="53">
                  <c:v>0.73626911467035638</c:v>
                </c:pt>
                <c:pt idx="54">
                  <c:v>0.74547743888238094</c:v>
                </c:pt>
                <c:pt idx="55">
                  <c:v>0.76492611757717022</c:v>
                </c:pt>
                <c:pt idx="56">
                  <c:v>0.78907035756043165</c:v>
                </c:pt>
                <c:pt idx="57">
                  <c:v>0.80488810848714332</c:v>
                </c:pt>
                <c:pt idx="58">
                  <c:v>0.80836745104468166</c:v>
                </c:pt>
                <c:pt idx="59">
                  <c:v>0.81019572540174012</c:v>
                </c:pt>
                <c:pt idx="60">
                  <c:v>0.81599174656497253</c:v>
                </c:pt>
                <c:pt idx="61">
                  <c:v>0.81047193185134314</c:v>
                </c:pt>
                <c:pt idx="62">
                  <c:v>0.8100116510159644</c:v>
                </c:pt>
                <c:pt idx="63">
                  <c:v>0.8134593378440611</c:v>
                </c:pt>
                <c:pt idx="64">
                  <c:v>0.80847903743911553</c:v>
                </c:pt>
                <c:pt idx="65">
                  <c:v>0.80671768393237886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89-489C-9636-956210753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601696"/>
        <c:axId val="-1428602240"/>
      </c:scatterChart>
      <c:scatterChart>
        <c:scatterStyle val="lineMarker"/>
        <c:varyColors val="0"/>
        <c:ser>
          <c:idx val="2"/>
          <c:order val="1"/>
          <c:tx>
            <c:v>Precipitacion (mm)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Varadero!$AB$3:$AB$68</c:f>
              <c:numCache>
                <c:formatCode>General</c:formatCode>
                <c:ptCount val="66"/>
                <c:pt idx="2">
                  <c:v>1330.6799999999998</c:v>
                </c:pt>
                <c:pt idx="3">
                  <c:v>1274.3333333333333</c:v>
                </c:pt>
                <c:pt idx="4">
                  <c:v>1254.2</c:v>
                </c:pt>
                <c:pt idx="5">
                  <c:v>1202.5999999999999</c:v>
                </c:pt>
                <c:pt idx="6">
                  <c:v>1151.5666666666666</c:v>
                </c:pt>
                <c:pt idx="7">
                  <c:v>1213.5333333333333</c:v>
                </c:pt>
                <c:pt idx="8">
                  <c:v>1213.8</c:v>
                </c:pt>
                <c:pt idx="9">
                  <c:v>1082.2222222222222</c:v>
                </c:pt>
                <c:pt idx="10">
                  <c:v>886.47777777777776</c:v>
                </c:pt>
                <c:pt idx="11">
                  <c:v>906.26666666666665</c:v>
                </c:pt>
                <c:pt idx="12">
                  <c:v>961.01111111111118</c:v>
                </c:pt>
                <c:pt idx="13">
                  <c:v>931.06666666666672</c:v>
                </c:pt>
                <c:pt idx="14">
                  <c:v>945.32222222222219</c:v>
                </c:pt>
                <c:pt idx="15">
                  <c:v>963.17777777777758</c:v>
                </c:pt>
                <c:pt idx="16">
                  <c:v>959.62222222222226</c:v>
                </c:pt>
                <c:pt idx="17">
                  <c:v>938.43333333333328</c:v>
                </c:pt>
                <c:pt idx="18">
                  <c:v>948.12222222222226</c:v>
                </c:pt>
                <c:pt idx="19">
                  <c:v>899.58888888888885</c:v>
                </c:pt>
                <c:pt idx="20">
                  <c:v>851.98888888888882</c:v>
                </c:pt>
                <c:pt idx="21">
                  <c:v>772.82499999999993</c:v>
                </c:pt>
                <c:pt idx="22">
                  <c:v>759.81428571428569</c:v>
                </c:pt>
                <c:pt idx="23">
                  <c:v>724.83333333333337</c:v>
                </c:pt>
                <c:pt idx="24">
                  <c:v>630.18333333333339</c:v>
                </c:pt>
                <c:pt idx="25">
                  <c:v>486.25</c:v>
                </c:pt>
                <c:pt idx="26">
                  <c:v>495.83333333333331</c:v>
                </c:pt>
                <c:pt idx="27">
                  <c:v>499.38333333333327</c:v>
                </c:pt>
                <c:pt idx="28">
                  <c:v>514.08333333333337</c:v>
                </c:pt>
                <c:pt idx="29">
                  <c:v>473.16666666666669</c:v>
                </c:pt>
                <c:pt idx="30">
                  <c:v>574.02857142857135</c:v>
                </c:pt>
                <c:pt idx="31">
                  <c:v>574.02857142857135</c:v>
                </c:pt>
                <c:pt idx="32">
                  <c:v>574.02857142857135</c:v>
                </c:pt>
                <c:pt idx="33">
                  <c:v>613.68333333333339</c:v>
                </c:pt>
                <c:pt idx="34">
                  <c:v>616.83333333333337</c:v>
                </c:pt>
                <c:pt idx="35">
                  <c:v>575.48333333333335</c:v>
                </c:pt>
                <c:pt idx="36">
                  <c:v>587.28333333333342</c:v>
                </c:pt>
                <c:pt idx="37">
                  <c:v>635.31666666666672</c:v>
                </c:pt>
                <c:pt idx="38">
                  <c:v>641.44999999999993</c:v>
                </c:pt>
                <c:pt idx="39">
                  <c:v>563.91666666666663</c:v>
                </c:pt>
                <c:pt idx="40">
                  <c:v>494.75714285714287</c:v>
                </c:pt>
                <c:pt idx="41">
                  <c:v>595.625</c:v>
                </c:pt>
                <c:pt idx="42">
                  <c:v>607.28888888888889</c:v>
                </c:pt>
                <c:pt idx="43">
                  <c:v>627.5777777777779</c:v>
                </c:pt>
                <c:pt idx="44">
                  <c:v>631.20000000000005</c:v>
                </c:pt>
                <c:pt idx="45">
                  <c:v>615.83333333333337</c:v>
                </c:pt>
                <c:pt idx="46">
                  <c:v>639.98888888888894</c:v>
                </c:pt>
                <c:pt idx="47">
                  <c:v>733.66666666666674</c:v>
                </c:pt>
                <c:pt idx="48">
                  <c:v>748.6444444444445</c:v>
                </c:pt>
                <c:pt idx="49">
                  <c:v>820.25</c:v>
                </c:pt>
                <c:pt idx="50">
                  <c:v>742.25</c:v>
                </c:pt>
                <c:pt idx="51">
                  <c:v>772.8944444444445</c:v>
                </c:pt>
                <c:pt idx="52">
                  <c:v>716.17222222222222</c:v>
                </c:pt>
                <c:pt idx="53">
                  <c:v>698.26111111111106</c:v>
                </c:pt>
                <c:pt idx="54">
                  <c:v>645.15</c:v>
                </c:pt>
                <c:pt idx="55">
                  <c:v>601.7833333333333</c:v>
                </c:pt>
                <c:pt idx="56">
                  <c:v>562.12777777777774</c:v>
                </c:pt>
                <c:pt idx="57">
                  <c:v>590.86111111111109</c:v>
                </c:pt>
                <c:pt idx="58">
                  <c:v>535.56666666666672</c:v>
                </c:pt>
                <c:pt idx="59">
                  <c:v>527.55000000000007</c:v>
                </c:pt>
                <c:pt idx="60">
                  <c:v>463.42857142857144</c:v>
                </c:pt>
                <c:pt idx="61">
                  <c:v>523.58333333333337</c:v>
                </c:pt>
                <c:pt idx="62">
                  <c:v>529.29999999999995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89-489C-9636-956210753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7373424"/>
        <c:axId val="-1507369072"/>
      </c:scatterChart>
      <c:valAx>
        <c:axId val="-1428601696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602240"/>
        <c:crosses val="autoZero"/>
        <c:crossBetween val="midCat"/>
      </c:valAx>
      <c:valAx>
        <c:axId val="-1428602240"/>
        <c:scaling>
          <c:orientation val="minMax"/>
          <c:max val="0.85000000000000009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601696"/>
        <c:crosses val="autoZero"/>
        <c:crossBetween val="midCat"/>
        <c:majorUnit val="5.000000000000001E-2"/>
      </c:valAx>
      <c:valAx>
        <c:axId val="-1507369072"/>
        <c:scaling>
          <c:orientation val="minMax"/>
          <c:min val="2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Precipitacion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507373424"/>
        <c:crosses val="max"/>
        <c:crossBetween val="midCat"/>
      </c:valAx>
      <c:valAx>
        <c:axId val="-1507373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507369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Varadero!$L$2</c:f>
              <c:strCache>
                <c:ptCount val="1"/>
                <c:pt idx="0">
                  <c:v>Extension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Varadero!$L$3:$L$68</c:f>
              <c:numCache>
                <c:formatCode>General</c:formatCode>
                <c:ptCount val="66"/>
                <c:pt idx="0" formatCode="0.000">
                  <c:v>1.1880557499999997</c:v>
                </c:pt>
                <c:pt idx="1">
                  <c:v>1.1502877083333332</c:v>
                </c:pt>
                <c:pt idx="2">
                  <c:v>1.1274808928571427</c:v>
                </c:pt>
                <c:pt idx="3">
                  <c:v>1.1175364062499997</c:v>
                </c:pt>
                <c:pt idx="4" formatCode="0.000">
                  <c:v>1.1124448611111108</c:v>
                </c:pt>
                <c:pt idx="5">
                  <c:v>1.0843738888888887</c:v>
                </c:pt>
                <c:pt idx="6">
                  <c:v>1.1054669444444447</c:v>
                </c:pt>
                <c:pt idx="7">
                  <c:v>1.0662159722222222</c:v>
                </c:pt>
                <c:pt idx="8">
                  <c:v>1.0734090277777777</c:v>
                </c:pt>
                <c:pt idx="9">
                  <c:v>1.0789761111111107</c:v>
                </c:pt>
                <c:pt idx="10">
                  <c:v>1.1190848611111106</c:v>
                </c:pt>
                <c:pt idx="11">
                  <c:v>1.152029166666666</c:v>
                </c:pt>
                <c:pt idx="12">
                  <c:v>1.1588638888888878</c:v>
                </c:pt>
                <c:pt idx="13">
                  <c:v>1.1713401388888842</c:v>
                </c:pt>
                <c:pt idx="14">
                  <c:v>1.186386805555548</c:v>
                </c:pt>
                <c:pt idx="15">
                  <c:v>1.1693086111111004</c:v>
                </c:pt>
                <c:pt idx="16">
                  <c:v>1.1740138888888758</c:v>
                </c:pt>
                <c:pt idx="17">
                  <c:v>1.1745995833333249</c:v>
                </c:pt>
                <c:pt idx="18">
                  <c:v>1.1798204166666659</c:v>
                </c:pt>
                <c:pt idx="19">
                  <c:v>1.137599166666672</c:v>
                </c:pt>
                <c:pt idx="20">
                  <c:v>1.1126895833333448</c:v>
                </c:pt>
                <c:pt idx="21">
                  <c:v>1.0900872222222389</c:v>
                </c:pt>
                <c:pt idx="22">
                  <c:v>1.0800947222222479</c:v>
                </c:pt>
                <c:pt idx="23">
                  <c:v>1.0541616666667009</c:v>
                </c:pt>
                <c:pt idx="24">
                  <c:v>1.0388813888889297</c:v>
                </c:pt>
                <c:pt idx="25">
                  <c:v>1.0548358333333856</c:v>
                </c:pt>
                <c:pt idx="26">
                  <c:v>1.0414043055556088</c:v>
                </c:pt>
                <c:pt idx="27">
                  <c:v>1.0148584722222731</c:v>
                </c:pt>
                <c:pt idx="28">
                  <c:v>1.0228600000000501</c:v>
                </c:pt>
                <c:pt idx="29">
                  <c:v>1.0118147222222698</c:v>
                </c:pt>
                <c:pt idx="30">
                  <c:v>1.0106158796296727</c:v>
                </c:pt>
                <c:pt idx="31">
                  <c:v>1.0155348148148524</c:v>
                </c:pt>
                <c:pt idx="32">
                  <c:v>1.0141754166666985</c:v>
                </c:pt>
                <c:pt idx="33">
                  <c:v>1.0249488888889173</c:v>
                </c:pt>
                <c:pt idx="34">
                  <c:v>0.99329800925927947</c:v>
                </c:pt>
                <c:pt idx="35">
                  <c:v>0.97711328703705247</c:v>
                </c:pt>
                <c:pt idx="36">
                  <c:v>0.97097967592593681</c:v>
                </c:pt>
                <c:pt idx="37">
                  <c:v>0.96738259259259962</c:v>
                </c:pt>
                <c:pt idx="38">
                  <c:v>0.95660703703704142</c:v>
                </c:pt>
                <c:pt idx="39">
                  <c:v>0.95670129629630141</c:v>
                </c:pt>
                <c:pt idx="40">
                  <c:v>0.9401416666666722</c:v>
                </c:pt>
                <c:pt idx="41">
                  <c:v>0.94629037037037633</c:v>
                </c:pt>
                <c:pt idx="42">
                  <c:v>0.94232814814815469</c:v>
                </c:pt>
                <c:pt idx="43">
                  <c:v>0.92973055555556294</c:v>
                </c:pt>
                <c:pt idx="44">
                  <c:v>0.9352894444444515</c:v>
                </c:pt>
                <c:pt idx="45">
                  <c:v>0.95773111111111908</c:v>
                </c:pt>
                <c:pt idx="46">
                  <c:v>0.96534111111111942</c:v>
                </c:pt>
                <c:pt idx="47">
                  <c:v>1.0107600000000083</c:v>
                </c:pt>
                <c:pt idx="48">
                  <c:v>1.0532055555555639</c:v>
                </c:pt>
                <c:pt idx="49">
                  <c:v>1.0395411111111195</c:v>
                </c:pt>
                <c:pt idx="50">
                  <c:v>1.0569844444444538</c:v>
                </c:pt>
                <c:pt idx="51">
                  <c:v>1.0705950000000093</c:v>
                </c:pt>
                <c:pt idx="52">
                  <c:v>1.1044894444444533</c:v>
                </c:pt>
                <c:pt idx="53">
                  <c:v>1.1145733333333425</c:v>
                </c:pt>
                <c:pt idx="54">
                  <c:v>1.1171322222222324</c:v>
                </c:pt>
                <c:pt idx="55">
                  <c:v>1.1089094444444558</c:v>
                </c:pt>
                <c:pt idx="56">
                  <c:v>1.0961011111111243</c:v>
                </c:pt>
                <c:pt idx="57">
                  <c:v>1.0734911111111258</c:v>
                </c:pt>
                <c:pt idx="58">
                  <c:v>1.0992944444444612</c:v>
                </c:pt>
                <c:pt idx="59">
                  <c:v>1.0923505555555728</c:v>
                </c:pt>
                <c:pt idx="60">
                  <c:v>1.0943266666666862</c:v>
                </c:pt>
                <c:pt idx="61">
                  <c:v>1.1042461111111328</c:v>
                </c:pt>
                <c:pt idx="62">
                  <c:v>1.1165781250000233</c:v>
                </c:pt>
                <c:pt idx="63">
                  <c:v>1.1156128571428809</c:v>
                </c:pt>
                <c:pt idx="64">
                  <c:v>1.1387883333333577</c:v>
                </c:pt>
                <c:pt idx="65">
                  <c:v>1.1345340000000241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C3-4128-ACBC-B7C67D822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7372880"/>
        <c:axId val="-1507366352"/>
      </c:scatterChart>
      <c:scatterChart>
        <c:scatterStyle val="lineMarker"/>
        <c:varyColors val="0"/>
        <c:ser>
          <c:idx val="2"/>
          <c:order val="1"/>
          <c:tx>
            <c:v>Nivel de canal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Varadero!$AF$3:$AF$68</c:f>
              <c:numCache>
                <c:formatCode>General</c:formatCode>
                <c:ptCount val="66"/>
                <c:pt idx="1">
                  <c:v>683</c:v>
                </c:pt>
                <c:pt idx="2">
                  <c:v>683</c:v>
                </c:pt>
                <c:pt idx="3">
                  <c:v>683</c:v>
                </c:pt>
                <c:pt idx="4">
                  <c:v>687</c:v>
                </c:pt>
                <c:pt idx="5">
                  <c:v>692.66666666666663</c:v>
                </c:pt>
                <c:pt idx="6">
                  <c:v>692.75</c:v>
                </c:pt>
                <c:pt idx="7">
                  <c:v>692.2</c:v>
                </c:pt>
                <c:pt idx="8">
                  <c:v>690.6</c:v>
                </c:pt>
                <c:pt idx="9">
                  <c:v>689.2</c:v>
                </c:pt>
                <c:pt idx="10">
                  <c:v>685</c:v>
                </c:pt>
                <c:pt idx="11">
                  <c:v>680.6</c:v>
                </c:pt>
                <c:pt idx="12">
                  <c:v>675.4</c:v>
                </c:pt>
                <c:pt idx="13">
                  <c:v>676</c:v>
                </c:pt>
                <c:pt idx="14">
                  <c:v>678.4</c:v>
                </c:pt>
                <c:pt idx="15">
                  <c:v>677.2</c:v>
                </c:pt>
                <c:pt idx="16">
                  <c:v>674.4</c:v>
                </c:pt>
                <c:pt idx="17">
                  <c:v>678</c:v>
                </c:pt>
                <c:pt idx="18">
                  <c:v>674.8</c:v>
                </c:pt>
                <c:pt idx="19">
                  <c:v>672</c:v>
                </c:pt>
                <c:pt idx="20">
                  <c:v>671.2</c:v>
                </c:pt>
                <c:pt idx="21">
                  <c:v>670.8</c:v>
                </c:pt>
                <c:pt idx="22">
                  <c:v>665.4</c:v>
                </c:pt>
                <c:pt idx="23">
                  <c:v>662.6</c:v>
                </c:pt>
                <c:pt idx="24">
                  <c:v>658.8</c:v>
                </c:pt>
                <c:pt idx="25">
                  <c:v>657</c:v>
                </c:pt>
                <c:pt idx="26">
                  <c:v>657.4</c:v>
                </c:pt>
                <c:pt idx="27">
                  <c:v>657</c:v>
                </c:pt>
                <c:pt idx="28">
                  <c:v>655.6</c:v>
                </c:pt>
                <c:pt idx="29">
                  <c:v>655.6</c:v>
                </c:pt>
                <c:pt idx="30">
                  <c:v>652.6</c:v>
                </c:pt>
                <c:pt idx="31">
                  <c:v>651.6</c:v>
                </c:pt>
                <c:pt idx="32">
                  <c:v>653</c:v>
                </c:pt>
                <c:pt idx="33">
                  <c:v>653.75</c:v>
                </c:pt>
                <c:pt idx="34">
                  <c:v>651.66666666666663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C3-4128-ACBC-B7C67D822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7371248"/>
        <c:axId val="-1507372336"/>
      </c:scatterChart>
      <c:valAx>
        <c:axId val="-1507372880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507366352"/>
        <c:crosses val="autoZero"/>
        <c:crossBetween val="midCat"/>
      </c:valAx>
      <c:valAx>
        <c:axId val="-1507366352"/>
        <c:scaling>
          <c:orientation val="minMax"/>
          <c:max val="1.2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507372880"/>
        <c:crosses val="autoZero"/>
        <c:crossBetween val="midCat"/>
      </c:valAx>
      <c:valAx>
        <c:axId val="-1507372336"/>
        <c:scaling>
          <c:orientation val="minMax"/>
          <c:min val="6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Nivel del canal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507371248"/>
        <c:crosses val="max"/>
        <c:crossBetween val="midCat"/>
      </c:valAx>
      <c:valAx>
        <c:axId val="-1507371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507372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Varadero!$K$2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Varadero!$K$3:$K$68</c:f>
              <c:numCache>
                <c:formatCode>General</c:formatCode>
                <c:ptCount val="66"/>
                <c:pt idx="0">
                  <c:v>0.69635225112986576</c:v>
                </c:pt>
                <c:pt idx="1">
                  <c:v>0.71792658429669876</c:v>
                </c:pt>
                <c:pt idx="2">
                  <c:v>0.72271797965998219</c:v>
                </c:pt>
                <c:pt idx="3">
                  <c:v>0.7226144614629576</c:v>
                </c:pt>
                <c:pt idx="4">
                  <c:v>0.71558062552543311</c:v>
                </c:pt>
                <c:pt idx="5">
                  <c:v>0.71531997928677404</c:v>
                </c:pt>
                <c:pt idx="6">
                  <c:v>0.71014746741020685</c:v>
                </c:pt>
                <c:pt idx="7">
                  <c:v>0.71681602170451775</c:v>
                </c:pt>
                <c:pt idx="8">
                  <c:v>0.7133354581914898</c:v>
                </c:pt>
                <c:pt idx="9">
                  <c:v>0.70015104941403394</c:v>
                </c:pt>
                <c:pt idx="10">
                  <c:v>0.67687555738380267</c:v>
                </c:pt>
                <c:pt idx="11">
                  <c:v>0.66557516832944053</c:v>
                </c:pt>
                <c:pt idx="12">
                  <c:v>0.66333480770678555</c:v>
                </c:pt>
                <c:pt idx="13">
                  <c:v>0.66421153914980147</c:v>
                </c:pt>
                <c:pt idx="14">
                  <c:v>0.66396141320914148</c:v>
                </c:pt>
                <c:pt idx="15">
                  <c:v>0.66842005556216433</c:v>
                </c:pt>
                <c:pt idx="16">
                  <c:v>0.67196469050827456</c:v>
                </c:pt>
                <c:pt idx="17">
                  <c:v>0.68472838041705308</c:v>
                </c:pt>
                <c:pt idx="18">
                  <c:v>0.70184242311488343</c:v>
                </c:pt>
                <c:pt idx="19">
                  <c:v>0.7163432917105812</c:v>
                </c:pt>
                <c:pt idx="20">
                  <c:v>0.72331397058111335</c:v>
                </c:pt>
                <c:pt idx="21">
                  <c:v>0.72144222538150993</c:v>
                </c:pt>
                <c:pt idx="22">
                  <c:v>0.72076673385918888</c:v>
                </c:pt>
                <c:pt idx="23">
                  <c:v>0.71986496090414043</c:v>
                </c:pt>
                <c:pt idx="24">
                  <c:v>0.7129714034455723</c:v>
                </c:pt>
                <c:pt idx="25">
                  <c:v>0.70824756345490925</c:v>
                </c:pt>
                <c:pt idx="26">
                  <c:v>0.71424586492438413</c:v>
                </c:pt>
                <c:pt idx="27">
                  <c:v>0.71655638209816053</c:v>
                </c:pt>
                <c:pt idx="28">
                  <c:v>0.71066863967725424</c:v>
                </c:pt>
                <c:pt idx="29">
                  <c:v>0.71123060203796273</c:v>
                </c:pt>
                <c:pt idx="30">
                  <c:v>0.71297749307830083</c:v>
                </c:pt>
                <c:pt idx="31">
                  <c:v>0.72580510177044255</c:v>
                </c:pt>
                <c:pt idx="32">
                  <c:v>0.74210585145187313</c:v>
                </c:pt>
                <c:pt idx="33">
                  <c:v>0.77097107521880714</c:v>
                </c:pt>
                <c:pt idx="34">
                  <c:v>0.78207391505782986</c:v>
                </c:pt>
                <c:pt idx="35">
                  <c:v>0.78404907670473967</c:v>
                </c:pt>
                <c:pt idx="36">
                  <c:v>0.78163772539751575</c:v>
                </c:pt>
                <c:pt idx="37">
                  <c:v>0.79403367790321633</c:v>
                </c:pt>
                <c:pt idx="38">
                  <c:v>0.81262405848187813</c:v>
                </c:pt>
                <c:pt idx="39">
                  <c:v>0.83226104796503142</c:v>
                </c:pt>
                <c:pt idx="40">
                  <c:v>0.82666457467779131</c:v>
                </c:pt>
                <c:pt idx="41">
                  <c:v>0.82056295955458658</c:v>
                </c:pt>
                <c:pt idx="42">
                  <c:v>0.81408726969263923</c:v>
                </c:pt>
                <c:pt idx="43">
                  <c:v>0.8089845614076181</c:v>
                </c:pt>
                <c:pt idx="44">
                  <c:v>0.79874647743255456</c:v>
                </c:pt>
                <c:pt idx="45">
                  <c:v>0.79190214629019662</c:v>
                </c:pt>
                <c:pt idx="46">
                  <c:v>0.77666909096102132</c:v>
                </c:pt>
                <c:pt idx="47">
                  <c:v>0.74501549079256535</c:v>
                </c:pt>
                <c:pt idx="48">
                  <c:v>0.72080928218920681</c:v>
                </c:pt>
                <c:pt idx="49">
                  <c:v>0.72933189141281329</c:v>
                </c:pt>
                <c:pt idx="50">
                  <c:v>0.73270027559173867</c:v>
                </c:pt>
                <c:pt idx="51">
                  <c:v>0.72511274926564129</c:v>
                </c:pt>
                <c:pt idx="52">
                  <c:v>0.72823539086977163</c:v>
                </c:pt>
                <c:pt idx="53">
                  <c:v>0.73626911467035638</c:v>
                </c:pt>
                <c:pt idx="54">
                  <c:v>0.74547743888238094</c:v>
                </c:pt>
                <c:pt idx="55">
                  <c:v>0.76492611757717022</c:v>
                </c:pt>
                <c:pt idx="56">
                  <c:v>0.78907035756043165</c:v>
                </c:pt>
                <c:pt idx="57">
                  <c:v>0.80488810848714332</c:v>
                </c:pt>
                <c:pt idx="58">
                  <c:v>0.80836745104468166</c:v>
                </c:pt>
                <c:pt idx="59">
                  <c:v>0.81019572540174012</c:v>
                </c:pt>
                <c:pt idx="60">
                  <c:v>0.81599174656497253</c:v>
                </c:pt>
                <c:pt idx="61">
                  <c:v>0.81047193185134314</c:v>
                </c:pt>
                <c:pt idx="62">
                  <c:v>0.8100116510159644</c:v>
                </c:pt>
                <c:pt idx="63">
                  <c:v>0.8134593378440611</c:v>
                </c:pt>
                <c:pt idx="64">
                  <c:v>0.80847903743911553</c:v>
                </c:pt>
                <c:pt idx="65">
                  <c:v>0.80671768393237886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EA-48F3-AE92-5F45637BC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290416"/>
        <c:axId val="-1427299664"/>
      </c:scatterChart>
      <c:scatterChart>
        <c:scatterStyle val="lineMarker"/>
        <c:varyColors val="0"/>
        <c:ser>
          <c:idx val="2"/>
          <c:order val="1"/>
          <c:tx>
            <c:v>Nivel de canal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Varadero!$AF$3:$AF$68</c:f>
              <c:numCache>
                <c:formatCode>General</c:formatCode>
                <c:ptCount val="66"/>
                <c:pt idx="1">
                  <c:v>683</c:v>
                </c:pt>
                <c:pt idx="2">
                  <c:v>683</c:v>
                </c:pt>
                <c:pt idx="3">
                  <c:v>683</c:v>
                </c:pt>
                <c:pt idx="4">
                  <c:v>687</c:v>
                </c:pt>
                <c:pt idx="5">
                  <c:v>692.66666666666663</c:v>
                </c:pt>
                <c:pt idx="6">
                  <c:v>692.75</c:v>
                </c:pt>
                <c:pt idx="7">
                  <c:v>692.2</c:v>
                </c:pt>
                <c:pt idx="8">
                  <c:v>690.6</c:v>
                </c:pt>
                <c:pt idx="9">
                  <c:v>689.2</c:v>
                </c:pt>
                <c:pt idx="10">
                  <c:v>685</c:v>
                </c:pt>
                <c:pt idx="11">
                  <c:v>680.6</c:v>
                </c:pt>
                <c:pt idx="12">
                  <c:v>675.4</c:v>
                </c:pt>
                <c:pt idx="13">
                  <c:v>676</c:v>
                </c:pt>
                <c:pt idx="14">
                  <c:v>678.4</c:v>
                </c:pt>
                <c:pt idx="15">
                  <c:v>677.2</c:v>
                </c:pt>
                <c:pt idx="16">
                  <c:v>674.4</c:v>
                </c:pt>
                <c:pt idx="17">
                  <c:v>678</c:v>
                </c:pt>
                <c:pt idx="18">
                  <c:v>674.8</c:v>
                </c:pt>
                <c:pt idx="19">
                  <c:v>672</c:v>
                </c:pt>
                <c:pt idx="20">
                  <c:v>671.2</c:v>
                </c:pt>
                <c:pt idx="21">
                  <c:v>670.8</c:v>
                </c:pt>
                <c:pt idx="22">
                  <c:v>665.4</c:v>
                </c:pt>
                <c:pt idx="23">
                  <c:v>662.6</c:v>
                </c:pt>
                <c:pt idx="24">
                  <c:v>658.8</c:v>
                </c:pt>
                <c:pt idx="25">
                  <c:v>657</c:v>
                </c:pt>
                <c:pt idx="26">
                  <c:v>657.4</c:v>
                </c:pt>
                <c:pt idx="27">
                  <c:v>657</c:v>
                </c:pt>
                <c:pt idx="28">
                  <c:v>655.6</c:v>
                </c:pt>
                <c:pt idx="29">
                  <c:v>655.6</c:v>
                </c:pt>
                <c:pt idx="30">
                  <c:v>652.6</c:v>
                </c:pt>
                <c:pt idx="31">
                  <c:v>651.6</c:v>
                </c:pt>
                <c:pt idx="32">
                  <c:v>653</c:v>
                </c:pt>
                <c:pt idx="33">
                  <c:v>653.75</c:v>
                </c:pt>
                <c:pt idx="34">
                  <c:v>651.66666666666663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EA-48F3-AE92-5F45637BC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290960"/>
        <c:axId val="-1427299120"/>
      </c:scatterChart>
      <c:valAx>
        <c:axId val="-1427290416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99664"/>
        <c:crosses val="autoZero"/>
        <c:crossBetween val="midCat"/>
      </c:valAx>
      <c:valAx>
        <c:axId val="-1427299664"/>
        <c:scaling>
          <c:orientation val="minMax"/>
          <c:max val="0.8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90416"/>
        <c:crosses val="autoZero"/>
        <c:crossBetween val="midCat"/>
        <c:majorUnit val="5.000000000000001E-2"/>
      </c:valAx>
      <c:valAx>
        <c:axId val="-1427299120"/>
        <c:scaling>
          <c:orientation val="minMax"/>
          <c:min val="6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Nivel del canal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90960"/>
        <c:crosses val="max"/>
        <c:crossBetween val="midCat"/>
      </c:valAx>
      <c:valAx>
        <c:axId val="-1427290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7299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Varadero!$L$2</c:f>
              <c:strCache>
                <c:ptCount val="1"/>
                <c:pt idx="0">
                  <c:v>Extension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Varadero!$L$3:$L$68</c:f>
              <c:numCache>
                <c:formatCode>General</c:formatCode>
                <c:ptCount val="66"/>
                <c:pt idx="0" formatCode="0.000">
                  <c:v>1.1880557499999997</c:v>
                </c:pt>
                <c:pt idx="1">
                  <c:v>1.1502877083333332</c:v>
                </c:pt>
                <c:pt idx="2">
                  <c:v>1.1274808928571427</c:v>
                </c:pt>
                <c:pt idx="3">
                  <c:v>1.1175364062499997</c:v>
                </c:pt>
                <c:pt idx="4" formatCode="0.000">
                  <c:v>1.1124448611111108</c:v>
                </c:pt>
                <c:pt idx="5">
                  <c:v>1.0843738888888887</c:v>
                </c:pt>
                <c:pt idx="6">
                  <c:v>1.1054669444444447</c:v>
                </c:pt>
                <c:pt idx="7">
                  <c:v>1.0662159722222222</c:v>
                </c:pt>
                <c:pt idx="8">
                  <c:v>1.0734090277777777</c:v>
                </c:pt>
                <c:pt idx="9">
                  <c:v>1.0789761111111107</c:v>
                </c:pt>
                <c:pt idx="10">
                  <c:v>1.1190848611111106</c:v>
                </c:pt>
                <c:pt idx="11">
                  <c:v>1.152029166666666</c:v>
                </c:pt>
                <c:pt idx="12">
                  <c:v>1.1588638888888878</c:v>
                </c:pt>
                <c:pt idx="13">
                  <c:v>1.1713401388888842</c:v>
                </c:pt>
                <c:pt idx="14">
                  <c:v>1.186386805555548</c:v>
                </c:pt>
                <c:pt idx="15">
                  <c:v>1.1693086111111004</c:v>
                </c:pt>
                <c:pt idx="16">
                  <c:v>1.1740138888888758</c:v>
                </c:pt>
                <c:pt idx="17">
                  <c:v>1.1745995833333249</c:v>
                </c:pt>
                <c:pt idx="18">
                  <c:v>1.1798204166666659</c:v>
                </c:pt>
                <c:pt idx="19">
                  <c:v>1.137599166666672</c:v>
                </c:pt>
                <c:pt idx="20">
                  <c:v>1.1126895833333448</c:v>
                </c:pt>
                <c:pt idx="21">
                  <c:v>1.0900872222222389</c:v>
                </c:pt>
                <c:pt idx="22">
                  <c:v>1.0800947222222479</c:v>
                </c:pt>
                <c:pt idx="23">
                  <c:v>1.0541616666667009</c:v>
                </c:pt>
                <c:pt idx="24">
                  <c:v>1.0388813888889297</c:v>
                </c:pt>
                <c:pt idx="25">
                  <c:v>1.0548358333333856</c:v>
                </c:pt>
                <c:pt idx="26">
                  <c:v>1.0414043055556088</c:v>
                </c:pt>
                <c:pt idx="27">
                  <c:v>1.0148584722222731</c:v>
                </c:pt>
                <c:pt idx="28">
                  <c:v>1.0228600000000501</c:v>
                </c:pt>
                <c:pt idx="29">
                  <c:v>1.0118147222222698</c:v>
                </c:pt>
                <c:pt idx="30">
                  <c:v>1.0106158796296727</c:v>
                </c:pt>
                <c:pt idx="31">
                  <c:v>1.0155348148148524</c:v>
                </c:pt>
                <c:pt idx="32">
                  <c:v>1.0141754166666985</c:v>
                </c:pt>
                <c:pt idx="33">
                  <c:v>1.0249488888889173</c:v>
                </c:pt>
                <c:pt idx="34">
                  <c:v>0.99329800925927947</c:v>
                </c:pt>
                <c:pt idx="35">
                  <c:v>0.97711328703705247</c:v>
                </c:pt>
                <c:pt idx="36">
                  <c:v>0.97097967592593681</c:v>
                </c:pt>
                <c:pt idx="37">
                  <c:v>0.96738259259259962</c:v>
                </c:pt>
                <c:pt idx="38">
                  <c:v>0.95660703703704142</c:v>
                </c:pt>
                <c:pt idx="39">
                  <c:v>0.95670129629630141</c:v>
                </c:pt>
                <c:pt idx="40">
                  <c:v>0.9401416666666722</c:v>
                </c:pt>
                <c:pt idx="41">
                  <c:v>0.94629037037037633</c:v>
                </c:pt>
                <c:pt idx="42">
                  <c:v>0.94232814814815469</c:v>
                </c:pt>
                <c:pt idx="43">
                  <c:v>0.92973055555556294</c:v>
                </c:pt>
                <c:pt idx="44">
                  <c:v>0.9352894444444515</c:v>
                </c:pt>
                <c:pt idx="45">
                  <c:v>0.95773111111111908</c:v>
                </c:pt>
                <c:pt idx="46">
                  <c:v>0.96534111111111942</c:v>
                </c:pt>
                <c:pt idx="47">
                  <c:v>1.0107600000000083</c:v>
                </c:pt>
                <c:pt idx="48">
                  <c:v>1.0532055555555639</c:v>
                </c:pt>
                <c:pt idx="49">
                  <c:v>1.0395411111111195</c:v>
                </c:pt>
                <c:pt idx="50">
                  <c:v>1.0569844444444538</c:v>
                </c:pt>
                <c:pt idx="51">
                  <c:v>1.0705950000000093</c:v>
                </c:pt>
                <c:pt idx="52">
                  <c:v>1.1044894444444533</c:v>
                </c:pt>
                <c:pt idx="53">
                  <c:v>1.1145733333333425</c:v>
                </c:pt>
                <c:pt idx="54">
                  <c:v>1.1171322222222324</c:v>
                </c:pt>
                <c:pt idx="55">
                  <c:v>1.1089094444444558</c:v>
                </c:pt>
                <c:pt idx="56">
                  <c:v>1.0961011111111243</c:v>
                </c:pt>
                <c:pt idx="57">
                  <c:v>1.0734911111111258</c:v>
                </c:pt>
                <c:pt idx="58">
                  <c:v>1.0992944444444612</c:v>
                </c:pt>
                <c:pt idx="59">
                  <c:v>1.0923505555555728</c:v>
                </c:pt>
                <c:pt idx="60">
                  <c:v>1.0943266666666862</c:v>
                </c:pt>
                <c:pt idx="61">
                  <c:v>1.1042461111111328</c:v>
                </c:pt>
                <c:pt idx="62">
                  <c:v>1.1165781250000233</c:v>
                </c:pt>
                <c:pt idx="63">
                  <c:v>1.1156128571428809</c:v>
                </c:pt>
                <c:pt idx="64">
                  <c:v>1.1387883333333577</c:v>
                </c:pt>
                <c:pt idx="65">
                  <c:v>1.1345340000000241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5B-43C4-A70E-502DDF5E3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287152"/>
        <c:axId val="-1427289328"/>
      </c:scatterChart>
      <c:scatterChart>
        <c:scatterStyle val="lineMarker"/>
        <c:varyColors val="0"/>
        <c:ser>
          <c:idx val="2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Varadero!$AK$3:$AK$34</c:f>
              <c:numCache>
                <c:formatCode>General</c:formatCode>
                <c:ptCount val="32"/>
                <c:pt idx="1">
                  <c:v>6466.87</c:v>
                </c:pt>
                <c:pt idx="2">
                  <c:v>6514.375</c:v>
                </c:pt>
                <c:pt idx="3">
                  <c:v>6761.4214285714279</c:v>
                </c:pt>
                <c:pt idx="4">
                  <c:v>6907.4562499999993</c:v>
                </c:pt>
                <c:pt idx="5">
                  <c:v>7026.4166666666661</c:v>
                </c:pt>
                <c:pt idx="6">
                  <c:v>6857.15</c:v>
                </c:pt>
                <c:pt idx="7">
                  <c:v>6723.5333333333338</c:v>
                </c:pt>
                <c:pt idx="8">
                  <c:v>6713.5444444444447</c:v>
                </c:pt>
                <c:pt idx="9">
                  <c:v>6411.5888888888894</c:v>
                </c:pt>
                <c:pt idx="10">
                  <c:v>6021.3444444444449</c:v>
                </c:pt>
                <c:pt idx="11">
                  <c:v>6221.1888888888889</c:v>
                </c:pt>
                <c:pt idx="12">
                  <c:v>6094.3111111111102</c:v>
                </c:pt>
                <c:pt idx="13">
                  <c:v>5841.355555555554</c:v>
                </c:pt>
                <c:pt idx="14">
                  <c:v>5279.8777777777777</c:v>
                </c:pt>
                <c:pt idx="15">
                  <c:v>5661.7666666666664</c:v>
                </c:pt>
                <c:pt idx="16">
                  <c:v>5970.4444444444453</c:v>
                </c:pt>
                <c:pt idx="17">
                  <c:v>6082.8888888888887</c:v>
                </c:pt>
                <c:pt idx="18">
                  <c:v>5942.1888888888889</c:v>
                </c:pt>
                <c:pt idx="19">
                  <c:v>5856.188888888888</c:v>
                </c:pt>
                <c:pt idx="20">
                  <c:v>5362.2555555555546</c:v>
                </c:pt>
                <c:pt idx="21">
                  <c:v>5088.9555555555544</c:v>
                </c:pt>
                <c:pt idx="22">
                  <c:v>5050.6222222222214</c:v>
                </c:pt>
                <c:pt idx="23">
                  <c:v>5407.7222222222217</c:v>
                </c:pt>
                <c:pt idx="24">
                  <c:v>5134.1222222222214</c:v>
                </c:pt>
                <c:pt idx="25">
                  <c:v>4880.3666666666659</c:v>
                </c:pt>
                <c:pt idx="26">
                  <c:v>4649.0222222222219</c:v>
                </c:pt>
                <c:pt idx="27">
                  <c:v>4683.4777777777772</c:v>
                </c:pt>
                <c:pt idx="28">
                  <c:v>4822.8999999999996</c:v>
                </c:pt>
                <c:pt idx="29">
                  <c:v>4925.4428571428571</c:v>
                </c:pt>
                <c:pt idx="30">
                  <c:v>4972.666666666667</c:v>
                </c:pt>
                <c:pt idx="31">
                  <c:v>4905.58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5B-43C4-A70E-502DDF5E3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293136"/>
        <c:axId val="-1427295856"/>
      </c:scatterChart>
      <c:valAx>
        <c:axId val="-1427287152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89328"/>
        <c:crosses val="autoZero"/>
        <c:crossBetween val="midCat"/>
      </c:valAx>
      <c:valAx>
        <c:axId val="-1427289328"/>
        <c:scaling>
          <c:orientation val="minMax"/>
          <c:max val="1.2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87152"/>
        <c:crosses val="autoZero"/>
        <c:crossBetween val="midCat"/>
      </c:valAx>
      <c:valAx>
        <c:axId val="-1427295856"/>
        <c:scaling>
          <c:orientation val="minMax"/>
          <c:min val="45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Sedimentos (kton)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93136"/>
        <c:crosses val="max"/>
        <c:crossBetween val="midCat"/>
      </c:valAx>
      <c:valAx>
        <c:axId val="-1427293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729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Varadero!$K$2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Varadero!$K$3:$K$68</c:f>
              <c:numCache>
                <c:formatCode>General</c:formatCode>
                <c:ptCount val="66"/>
                <c:pt idx="0">
                  <c:v>0.69635225112986576</c:v>
                </c:pt>
                <c:pt idx="1">
                  <c:v>0.71792658429669876</c:v>
                </c:pt>
                <c:pt idx="2">
                  <c:v>0.72271797965998219</c:v>
                </c:pt>
                <c:pt idx="3">
                  <c:v>0.7226144614629576</c:v>
                </c:pt>
                <c:pt idx="4">
                  <c:v>0.71558062552543311</c:v>
                </c:pt>
                <c:pt idx="5">
                  <c:v>0.71531997928677404</c:v>
                </c:pt>
                <c:pt idx="6">
                  <c:v>0.71014746741020685</c:v>
                </c:pt>
                <c:pt idx="7">
                  <c:v>0.71681602170451775</c:v>
                </c:pt>
                <c:pt idx="8">
                  <c:v>0.7133354581914898</c:v>
                </c:pt>
                <c:pt idx="9">
                  <c:v>0.70015104941403394</c:v>
                </c:pt>
                <c:pt idx="10">
                  <c:v>0.67687555738380267</c:v>
                </c:pt>
                <c:pt idx="11">
                  <c:v>0.66557516832944053</c:v>
                </c:pt>
                <c:pt idx="12">
                  <c:v>0.66333480770678555</c:v>
                </c:pt>
                <c:pt idx="13">
                  <c:v>0.66421153914980147</c:v>
                </c:pt>
                <c:pt idx="14">
                  <c:v>0.66396141320914148</c:v>
                </c:pt>
                <c:pt idx="15">
                  <c:v>0.66842005556216433</c:v>
                </c:pt>
                <c:pt idx="16">
                  <c:v>0.67196469050827456</c:v>
                </c:pt>
                <c:pt idx="17">
                  <c:v>0.68472838041705308</c:v>
                </c:pt>
                <c:pt idx="18">
                  <c:v>0.70184242311488343</c:v>
                </c:pt>
                <c:pt idx="19">
                  <c:v>0.7163432917105812</c:v>
                </c:pt>
                <c:pt idx="20">
                  <c:v>0.72331397058111335</c:v>
                </c:pt>
                <c:pt idx="21">
                  <c:v>0.72144222538150993</c:v>
                </c:pt>
                <c:pt idx="22">
                  <c:v>0.72076673385918888</c:v>
                </c:pt>
                <c:pt idx="23">
                  <c:v>0.71986496090414043</c:v>
                </c:pt>
                <c:pt idx="24">
                  <c:v>0.7129714034455723</c:v>
                </c:pt>
                <c:pt idx="25">
                  <c:v>0.70824756345490925</c:v>
                </c:pt>
                <c:pt idx="26">
                  <c:v>0.71424586492438413</c:v>
                </c:pt>
                <c:pt idx="27">
                  <c:v>0.71655638209816053</c:v>
                </c:pt>
                <c:pt idx="28">
                  <c:v>0.71066863967725424</c:v>
                </c:pt>
                <c:pt idx="29">
                  <c:v>0.71123060203796273</c:v>
                </c:pt>
                <c:pt idx="30">
                  <c:v>0.71297749307830083</c:v>
                </c:pt>
                <c:pt idx="31">
                  <c:v>0.72580510177044255</c:v>
                </c:pt>
                <c:pt idx="32">
                  <c:v>0.74210585145187313</c:v>
                </c:pt>
                <c:pt idx="33">
                  <c:v>0.77097107521880714</c:v>
                </c:pt>
                <c:pt idx="34">
                  <c:v>0.78207391505782986</c:v>
                </c:pt>
                <c:pt idx="35">
                  <c:v>0.78404907670473967</c:v>
                </c:pt>
                <c:pt idx="36">
                  <c:v>0.78163772539751575</c:v>
                </c:pt>
                <c:pt idx="37">
                  <c:v>0.79403367790321633</c:v>
                </c:pt>
                <c:pt idx="38">
                  <c:v>0.81262405848187813</c:v>
                </c:pt>
                <c:pt idx="39">
                  <c:v>0.83226104796503142</c:v>
                </c:pt>
                <c:pt idx="40">
                  <c:v>0.82666457467779131</c:v>
                </c:pt>
                <c:pt idx="41">
                  <c:v>0.82056295955458658</c:v>
                </c:pt>
                <c:pt idx="42">
                  <c:v>0.81408726969263923</c:v>
                </c:pt>
                <c:pt idx="43">
                  <c:v>0.8089845614076181</c:v>
                </c:pt>
                <c:pt idx="44">
                  <c:v>0.79874647743255456</c:v>
                </c:pt>
                <c:pt idx="45">
                  <c:v>0.79190214629019662</c:v>
                </c:pt>
                <c:pt idx="46">
                  <c:v>0.77666909096102132</c:v>
                </c:pt>
                <c:pt idx="47">
                  <c:v>0.74501549079256535</c:v>
                </c:pt>
                <c:pt idx="48">
                  <c:v>0.72080928218920681</c:v>
                </c:pt>
                <c:pt idx="49">
                  <c:v>0.72933189141281329</c:v>
                </c:pt>
                <c:pt idx="50">
                  <c:v>0.73270027559173867</c:v>
                </c:pt>
                <c:pt idx="51">
                  <c:v>0.72511274926564129</c:v>
                </c:pt>
                <c:pt idx="52">
                  <c:v>0.72823539086977163</c:v>
                </c:pt>
                <c:pt idx="53">
                  <c:v>0.73626911467035638</c:v>
                </c:pt>
                <c:pt idx="54">
                  <c:v>0.74547743888238094</c:v>
                </c:pt>
                <c:pt idx="55">
                  <c:v>0.76492611757717022</c:v>
                </c:pt>
                <c:pt idx="56">
                  <c:v>0.78907035756043165</c:v>
                </c:pt>
                <c:pt idx="57">
                  <c:v>0.80488810848714332</c:v>
                </c:pt>
                <c:pt idx="58">
                  <c:v>0.80836745104468166</c:v>
                </c:pt>
                <c:pt idx="59">
                  <c:v>0.81019572540174012</c:v>
                </c:pt>
                <c:pt idx="60">
                  <c:v>0.81599174656497253</c:v>
                </c:pt>
                <c:pt idx="61">
                  <c:v>0.81047193185134314</c:v>
                </c:pt>
                <c:pt idx="62">
                  <c:v>0.8100116510159644</c:v>
                </c:pt>
                <c:pt idx="63">
                  <c:v>0.8134593378440611</c:v>
                </c:pt>
                <c:pt idx="64">
                  <c:v>0.80847903743911553</c:v>
                </c:pt>
                <c:pt idx="65">
                  <c:v>0.80671768393237886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2E-45E5-B10F-2EBDD1F98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297488"/>
        <c:axId val="-1427289872"/>
      </c:scatterChart>
      <c:scatterChart>
        <c:scatterStyle val="lineMarker"/>
        <c:varyColors val="0"/>
        <c:ser>
          <c:idx val="2"/>
          <c:order val="1"/>
          <c:tx>
            <c:v>Transporte sedimentos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Varadero!$AK$3:$AK$34</c:f>
              <c:numCache>
                <c:formatCode>General</c:formatCode>
                <c:ptCount val="32"/>
                <c:pt idx="1">
                  <c:v>6466.87</c:v>
                </c:pt>
                <c:pt idx="2">
                  <c:v>6514.375</c:v>
                </c:pt>
                <c:pt idx="3">
                  <c:v>6761.4214285714279</c:v>
                </c:pt>
                <c:pt idx="4">
                  <c:v>6907.4562499999993</c:v>
                </c:pt>
                <c:pt idx="5">
                  <c:v>7026.4166666666661</c:v>
                </c:pt>
                <c:pt idx="6">
                  <c:v>6857.15</c:v>
                </c:pt>
                <c:pt idx="7">
                  <c:v>6723.5333333333338</c:v>
                </c:pt>
                <c:pt idx="8">
                  <c:v>6713.5444444444447</c:v>
                </c:pt>
                <c:pt idx="9">
                  <c:v>6411.5888888888894</c:v>
                </c:pt>
                <c:pt idx="10">
                  <c:v>6021.3444444444449</c:v>
                </c:pt>
                <c:pt idx="11">
                  <c:v>6221.1888888888889</c:v>
                </c:pt>
                <c:pt idx="12">
                  <c:v>6094.3111111111102</c:v>
                </c:pt>
                <c:pt idx="13">
                  <c:v>5841.355555555554</c:v>
                </c:pt>
                <c:pt idx="14">
                  <c:v>5279.8777777777777</c:v>
                </c:pt>
                <c:pt idx="15">
                  <c:v>5661.7666666666664</c:v>
                </c:pt>
                <c:pt idx="16">
                  <c:v>5970.4444444444453</c:v>
                </c:pt>
                <c:pt idx="17">
                  <c:v>6082.8888888888887</c:v>
                </c:pt>
                <c:pt idx="18">
                  <c:v>5942.1888888888889</c:v>
                </c:pt>
                <c:pt idx="19">
                  <c:v>5856.188888888888</c:v>
                </c:pt>
                <c:pt idx="20">
                  <c:v>5362.2555555555546</c:v>
                </c:pt>
                <c:pt idx="21">
                  <c:v>5088.9555555555544</c:v>
                </c:pt>
                <c:pt idx="22">
                  <c:v>5050.6222222222214</c:v>
                </c:pt>
                <c:pt idx="23">
                  <c:v>5407.7222222222217</c:v>
                </c:pt>
                <c:pt idx="24">
                  <c:v>5134.1222222222214</c:v>
                </c:pt>
                <c:pt idx="25">
                  <c:v>4880.3666666666659</c:v>
                </c:pt>
                <c:pt idx="26">
                  <c:v>4649.0222222222219</c:v>
                </c:pt>
                <c:pt idx="27">
                  <c:v>4683.4777777777772</c:v>
                </c:pt>
                <c:pt idx="28">
                  <c:v>4822.8999999999996</c:v>
                </c:pt>
                <c:pt idx="29">
                  <c:v>4925.4428571428571</c:v>
                </c:pt>
                <c:pt idx="30">
                  <c:v>4972.666666666667</c:v>
                </c:pt>
                <c:pt idx="31">
                  <c:v>4905.58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2E-45E5-B10F-2EBDD1F98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288240"/>
        <c:axId val="-1427296400"/>
      </c:scatterChart>
      <c:valAx>
        <c:axId val="-1427297488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89872"/>
        <c:crosses val="autoZero"/>
        <c:crossBetween val="midCat"/>
      </c:valAx>
      <c:valAx>
        <c:axId val="-1427289872"/>
        <c:scaling>
          <c:orientation val="minMax"/>
          <c:max val="0.8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97488"/>
        <c:crosses val="autoZero"/>
        <c:crossBetween val="midCat"/>
        <c:majorUnit val="5.000000000000001E-2"/>
      </c:valAx>
      <c:valAx>
        <c:axId val="-1427296400"/>
        <c:scaling>
          <c:orientation val="minMax"/>
          <c:min val="45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Sedimentos (kton)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88240"/>
        <c:crosses val="max"/>
        <c:crossBetween val="midCat"/>
      </c:valAx>
      <c:valAx>
        <c:axId val="-1427288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7296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Varadero!$L$2</c:f>
              <c:strCache>
                <c:ptCount val="1"/>
                <c:pt idx="0">
                  <c:v>Extension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Varadero!$L$3:$L$68</c:f>
              <c:numCache>
                <c:formatCode>General</c:formatCode>
                <c:ptCount val="66"/>
                <c:pt idx="0" formatCode="0.000">
                  <c:v>1.1880557499999997</c:v>
                </c:pt>
                <c:pt idx="1">
                  <c:v>1.1502877083333332</c:v>
                </c:pt>
                <c:pt idx="2">
                  <c:v>1.1274808928571427</c:v>
                </c:pt>
                <c:pt idx="3">
                  <c:v>1.1175364062499997</c:v>
                </c:pt>
                <c:pt idx="4" formatCode="0.000">
                  <c:v>1.1124448611111108</c:v>
                </c:pt>
                <c:pt idx="5">
                  <c:v>1.0843738888888887</c:v>
                </c:pt>
                <c:pt idx="6">
                  <c:v>1.1054669444444447</c:v>
                </c:pt>
                <c:pt idx="7">
                  <c:v>1.0662159722222222</c:v>
                </c:pt>
                <c:pt idx="8">
                  <c:v>1.0734090277777777</c:v>
                </c:pt>
                <c:pt idx="9">
                  <c:v>1.0789761111111107</c:v>
                </c:pt>
                <c:pt idx="10">
                  <c:v>1.1190848611111106</c:v>
                </c:pt>
                <c:pt idx="11">
                  <c:v>1.152029166666666</c:v>
                </c:pt>
                <c:pt idx="12">
                  <c:v>1.1588638888888878</c:v>
                </c:pt>
                <c:pt idx="13">
                  <c:v>1.1713401388888842</c:v>
                </c:pt>
                <c:pt idx="14">
                  <c:v>1.186386805555548</c:v>
                </c:pt>
                <c:pt idx="15">
                  <c:v>1.1693086111111004</c:v>
                </c:pt>
                <c:pt idx="16">
                  <c:v>1.1740138888888758</c:v>
                </c:pt>
                <c:pt idx="17">
                  <c:v>1.1745995833333249</c:v>
                </c:pt>
                <c:pt idx="18">
                  <c:v>1.1798204166666659</c:v>
                </c:pt>
                <c:pt idx="19">
                  <c:v>1.137599166666672</c:v>
                </c:pt>
                <c:pt idx="20">
                  <c:v>1.1126895833333448</c:v>
                </c:pt>
                <c:pt idx="21">
                  <c:v>1.0900872222222389</c:v>
                </c:pt>
                <c:pt idx="22">
                  <c:v>1.0800947222222479</c:v>
                </c:pt>
                <c:pt idx="23">
                  <c:v>1.0541616666667009</c:v>
                </c:pt>
                <c:pt idx="24">
                  <c:v>1.0388813888889297</c:v>
                </c:pt>
                <c:pt idx="25">
                  <c:v>1.0548358333333856</c:v>
                </c:pt>
                <c:pt idx="26">
                  <c:v>1.0414043055556088</c:v>
                </c:pt>
                <c:pt idx="27">
                  <c:v>1.0148584722222731</c:v>
                </c:pt>
                <c:pt idx="28">
                  <c:v>1.0228600000000501</c:v>
                </c:pt>
                <c:pt idx="29">
                  <c:v>1.0118147222222698</c:v>
                </c:pt>
                <c:pt idx="30">
                  <c:v>1.0106158796296727</c:v>
                </c:pt>
                <c:pt idx="31">
                  <c:v>1.0155348148148524</c:v>
                </c:pt>
                <c:pt idx="32">
                  <c:v>1.0141754166666985</c:v>
                </c:pt>
                <c:pt idx="33">
                  <c:v>1.0249488888889173</c:v>
                </c:pt>
                <c:pt idx="34">
                  <c:v>0.99329800925927947</c:v>
                </c:pt>
                <c:pt idx="35">
                  <c:v>0.97711328703705247</c:v>
                </c:pt>
                <c:pt idx="36">
                  <c:v>0.97097967592593681</c:v>
                </c:pt>
                <c:pt idx="37">
                  <c:v>0.96738259259259962</c:v>
                </c:pt>
                <c:pt idx="38">
                  <c:v>0.95660703703704142</c:v>
                </c:pt>
                <c:pt idx="39">
                  <c:v>0.95670129629630141</c:v>
                </c:pt>
                <c:pt idx="40">
                  <c:v>0.9401416666666722</c:v>
                </c:pt>
                <c:pt idx="41">
                  <c:v>0.94629037037037633</c:v>
                </c:pt>
                <c:pt idx="42">
                  <c:v>0.94232814814815469</c:v>
                </c:pt>
                <c:pt idx="43">
                  <c:v>0.92973055555556294</c:v>
                </c:pt>
                <c:pt idx="44">
                  <c:v>0.9352894444444515</c:v>
                </c:pt>
                <c:pt idx="45">
                  <c:v>0.95773111111111908</c:v>
                </c:pt>
                <c:pt idx="46">
                  <c:v>0.96534111111111942</c:v>
                </c:pt>
                <c:pt idx="47">
                  <c:v>1.0107600000000083</c:v>
                </c:pt>
                <c:pt idx="48">
                  <c:v>1.0532055555555639</c:v>
                </c:pt>
                <c:pt idx="49">
                  <c:v>1.0395411111111195</c:v>
                </c:pt>
                <c:pt idx="50">
                  <c:v>1.0569844444444538</c:v>
                </c:pt>
                <c:pt idx="51">
                  <c:v>1.0705950000000093</c:v>
                </c:pt>
                <c:pt idx="52">
                  <c:v>1.1044894444444533</c:v>
                </c:pt>
                <c:pt idx="53">
                  <c:v>1.1145733333333425</c:v>
                </c:pt>
                <c:pt idx="54">
                  <c:v>1.1171322222222324</c:v>
                </c:pt>
                <c:pt idx="55">
                  <c:v>1.1089094444444558</c:v>
                </c:pt>
                <c:pt idx="56">
                  <c:v>1.0961011111111243</c:v>
                </c:pt>
                <c:pt idx="57">
                  <c:v>1.0734911111111258</c:v>
                </c:pt>
                <c:pt idx="58">
                  <c:v>1.0992944444444612</c:v>
                </c:pt>
                <c:pt idx="59">
                  <c:v>1.0923505555555728</c:v>
                </c:pt>
                <c:pt idx="60">
                  <c:v>1.0943266666666862</c:v>
                </c:pt>
                <c:pt idx="61">
                  <c:v>1.1042461111111328</c:v>
                </c:pt>
                <c:pt idx="62">
                  <c:v>1.1165781250000233</c:v>
                </c:pt>
                <c:pt idx="63">
                  <c:v>1.1156128571428809</c:v>
                </c:pt>
                <c:pt idx="64">
                  <c:v>1.1387883333333577</c:v>
                </c:pt>
                <c:pt idx="65">
                  <c:v>1.1345340000000241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A7-46CF-A5DE-6E790B5E3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220464"/>
        <c:axId val="-1427228624"/>
      </c:scatterChart>
      <c:scatterChart>
        <c:scatterStyle val="lineMarker"/>
        <c:varyColors val="0"/>
        <c:ser>
          <c:idx val="2"/>
          <c:order val="1"/>
          <c:tx>
            <c:v>Caudal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Varadero!$AO$3:$AO$68</c:f>
              <c:numCache>
                <c:formatCode>0.0</c:formatCode>
                <c:ptCount val="66"/>
                <c:pt idx="0">
                  <c:v>350.49333333333328</c:v>
                </c:pt>
                <c:pt idx="1">
                  <c:v>369.63472222222225</c:v>
                </c:pt>
                <c:pt idx="2">
                  <c:v>376.72380952380951</c:v>
                </c:pt>
                <c:pt idx="3">
                  <c:v>399.69583333333333</c:v>
                </c:pt>
                <c:pt idx="4">
                  <c:v>413.68821548821546</c:v>
                </c:pt>
                <c:pt idx="5">
                  <c:v>438.42895622895617</c:v>
                </c:pt>
                <c:pt idx="6">
                  <c:v>446.81691919191917</c:v>
                </c:pt>
                <c:pt idx="7">
                  <c:v>455.34284511784506</c:v>
                </c:pt>
                <c:pt idx="8">
                  <c:v>457.70521885521885</c:v>
                </c:pt>
                <c:pt idx="9">
                  <c:v>440.55707070707075</c:v>
                </c:pt>
                <c:pt idx="10">
                  <c:v>420.50244107744112</c:v>
                </c:pt>
                <c:pt idx="11">
                  <c:v>430.78207070707072</c:v>
                </c:pt>
                <c:pt idx="12">
                  <c:v>428.26355218855213</c:v>
                </c:pt>
                <c:pt idx="13">
                  <c:v>409.6762626262626</c:v>
                </c:pt>
                <c:pt idx="14">
                  <c:v>379.92163299663304</c:v>
                </c:pt>
                <c:pt idx="15">
                  <c:v>380.54663299663304</c:v>
                </c:pt>
                <c:pt idx="16">
                  <c:v>382.85126262626267</c:v>
                </c:pt>
                <c:pt idx="17">
                  <c:v>383.65833333333336</c:v>
                </c:pt>
                <c:pt idx="18">
                  <c:v>379.50370370370371</c:v>
                </c:pt>
                <c:pt idx="19">
                  <c:v>375.50277777777774</c:v>
                </c:pt>
                <c:pt idx="20">
                  <c:v>345.61666666666662</c:v>
                </c:pt>
                <c:pt idx="21">
                  <c:v>320.98055555555555</c:v>
                </c:pt>
                <c:pt idx="22">
                  <c:v>322.19907407407413</c:v>
                </c:pt>
                <c:pt idx="23">
                  <c:v>346.92870370370366</c:v>
                </c:pt>
                <c:pt idx="24">
                  <c:v>336.38611111111112</c:v>
                </c:pt>
                <c:pt idx="25">
                  <c:v>328.13611111111112</c:v>
                </c:pt>
                <c:pt idx="26">
                  <c:v>319.13981481481483</c:v>
                </c:pt>
                <c:pt idx="27">
                  <c:v>323.40833333333336</c:v>
                </c:pt>
                <c:pt idx="28">
                  <c:v>313.20555555555563</c:v>
                </c:pt>
                <c:pt idx="29">
                  <c:v>312.86203703703711</c:v>
                </c:pt>
                <c:pt idx="30">
                  <c:v>306.21064814814821</c:v>
                </c:pt>
                <c:pt idx="31">
                  <c:v>298.32343750000001</c:v>
                </c:pt>
                <c:pt idx="32">
                  <c:v>278.48630952380955</c:v>
                </c:pt>
                <c:pt idx="33">
                  <c:v>272.81041666666664</c:v>
                </c:pt>
                <c:pt idx="34">
                  <c:v>263.91750000000002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A7-46CF-A5DE-6E790B5E3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232976"/>
        <c:axId val="-1427230800"/>
      </c:scatterChart>
      <c:valAx>
        <c:axId val="-1427220464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28624"/>
        <c:crosses val="autoZero"/>
        <c:crossBetween val="midCat"/>
      </c:valAx>
      <c:valAx>
        <c:axId val="-1427228624"/>
        <c:scaling>
          <c:orientation val="minMax"/>
          <c:max val="1.2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20464"/>
        <c:crosses val="autoZero"/>
        <c:crossBetween val="midCat"/>
      </c:valAx>
      <c:valAx>
        <c:axId val="-1427230800"/>
        <c:scaling>
          <c:orientation val="minMax"/>
          <c:min val="2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Caudal (m3/s)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32976"/>
        <c:crosses val="max"/>
        <c:crossBetween val="midCat"/>
      </c:valAx>
      <c:valAx>
        <c:axId val="-1427232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7230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Varadero!$K$2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Varadero!$K$3:$K$68</c:f>
              <c:numCache>
                <c:formatCode>General</c:formatCode>
                <c:ptCount val="66"/>
                <c:pt idx="0">
                  <c:v>0.69635225112986576</c:v>
                </c:pt>
                <c:pt idx="1">
                  <c:v>0.71792658429669876</c:v>
                </c:pt>
                <c:pt idx="2">
                  <c:v>0.72271797965998219</c:v>
                </c:pt>
                <c:pt idx="3">
                  <c:v>0.7226144614629576</c:v>
                </c:pt>
                <c:pt idx="4">
                  <c:v>0.71558062552543311</c:v>
                </c:pt>
                <c:pt idx="5">
                  <c:v>0.71531997928677404</c:v>
                </c:pt>
                <c:pt idx="6">
                  <c:v>0.71014746741020685</c:v>
                </c:pt>
                <c:pt idx="7">
                  <c:v>0.71681602170451775</c:v>
                </c:pt>
                <c:pt idx="8">
                  <c:v>0.7133354581914898</c:v>
                </c:pt>
                <c:pt idx="9">
                  <c:v>0.70015104941403394</c:v>
                </c:pt>
                <c:pt idx="10">
                  <c:v>0.67687555738380267</c:v>
                </c:pt>
                <c:pt idx="11">
                  <c:v>0.66557516832944053</c:v>
                </c:pt>
                <c:pt idx="12">
                  <c:v>0.66333480770678555</c:v>
                </c:pt>
                <c:pt idx="13">
                  <c:v>0.66421153914980147</c:v>
                </c:pt>
                <c:pt idx="14">
                  <c:v>0.66396141320914148</c:v>
                </c:pt>
                <c:pt idx="15">
                  <c:v>0.66842005556216433</c:v>
                </c:pt>
                <c:pt idx="16">
                  <c:v>0.67196469050827456</c:v>
                </c:pt>
                <c:pt idx="17">
                  <c:v>0.68472838041705308</c:v>
                </c:pt>
                <c:pt idx="18">
                  <c:v>0.70184242311488343</c:v>
                </c:pt>
                <c:pt idx="19">
                  <c:v>0.7163432917105812</c:v>
                </c:pt>
                <c:pt idx="20">
                  <c:v>0.72331397058111335</c:v>
                </c:pt>
                <c:pt idx="21">
                  <c:v>0.72144222538150993</c:v>
                </c:pt>
                <c:pt idx="22">
                  <c:v>0.72076673385918888</c:v>
                </c:pt>
                <c:pt idx="23">
                  <c:v>0.71986496090414043</c:v>
                </c:pt>
                <c:pt idx="24">
                  <c:v>0.7129714034455723</c:v>
                </c:pt>
                <c:pt idx="25">
                  <c:v>0.70824756345490925</c:v>
                </c:pt>
                <c:pt idx="26">
                  <c:v>0.71424586492438413</c:v>
                </c:pt>
                <c:pt idx="27">
                  <c:v>0.71655638209816053</c:v>
                </c:pt>
                <c:pt idx="28">
                  <c:v>0.71066863967725424</c:v>
                </c:pt>
                <c:pt idx="29">
                  <c:v>0.71123060203796273</c:v>
                </c:pt>
                <c:pt idx="30">
                  <c:v>0.71297749307830083</c:v>
                </c:pt>
                <c:pt idx="31">
                  <c:v>0.72580510177044255</c:v>
                </c:pt>
                <c:pt idx="32">
                  <c:v>0.74210585145187313</c:v>
                </c:pt>
                <c:pt idx="33">
                  <c:v>0.77097107521880714</c:v>
                </c:pt>
                <c:pt idx="34">
                  <c:v>0.78207391505782986</c:v>
                </c:pt>
                <c:pt idx="35">
                  <c:v>0.78404907670473967</c:v>
                </c:pt>
                <c:pt idx="36">
                  <c:v>0.78163772539751575</c:v>
                </c:pt>
                <c:pt idx="37">
                  <c:v>0.79403367790321633</c:v>
                </c:pt>
                <c:pt idx="38">
                  <c:v>0.81262405848187813</c:v>
                </c:pt>
                <c:pt idx="39">
                  <c:v>0.83226104796503142</c:v>
                </c:pt>
                <c:pt idx="40">
                  <c:v>0.82666457467779131</c:v>
                </c:pt>
                <c:pt idx="41">
                  <c:v>0.82056295955458658</c:v>
                </c:pt>
                <c:pt idx="42">
                  <c:v>0.81408726969263923</c:v>
                </c:pt>
                <c:pt idx="43">
                  <c:v>0.8089845614076181</c:v>
                </c:pt>
                <c:pt idx="44">
                  <c:v>0.79874647743255456</c:v>
                </c:pt>
                <c:pt idx="45">
                  <c:v>0.79190214629019662</c:v>
                </c:pt>
                <c:pt idx="46">
                  <c:v>0.77666909096102132</c:v>
                </c:pt>
                <c:pt idx="47">
                  <c:v>0.74501549079256535</c:v>
                </c:pt>
                <c:pt idx="48">
                  <c:v>0.72080928218920681</c:v>
                </c:pt>
                <c:pt idx="49">
                  <c:v>0.72933189141281329</c:v>
                </c:pt>
                <c:pt idx="50">
                  <c:v>0.73270027559173867</c:v>
                </c:pt>
                <c:pt idx="51">
                  <c:v>0.72511274926564129</c:v>
                </c:pt>
                <c:pt idx="52">
                  <c:v>0.72823539086977163</c:v>
                </c:pt>
                <c:pt idx="53">
                  <c:v>0.73626911467035638</c:v>
                </c:pt>
                <c:pt idx="54">
                  <c:v>0.74547743888238094</c:v>
                </c:pt>
                <c:pt idx="55">
                  <c:v>0.76492611757717022</c:v>
                </c:pt>
                <c:pt idx="56">
                  <c:v>0.78907035756043165</c:v>
                </c:pt>
                <c:pt idx="57">
                  <c:v>0.80488810848714332</c:v>
                </c:pt>
                <c:pt idx="58">
                  <c:v>0.80836745104468166</c:v>
                </c:pt>
                <c:pt idx="59">
                  <c:v>0.81019572540174012</c:v>
                </c:pt>
                <c:pt idx="60">
                  <c:v>0.81599174656497253</c:v>
                </c:pt>
                <c:pt idx="61">
                  <c:v>0.81047193185134314</c:v>
                </c:pt>
                <c:pt idx="62">
                  <c:v>0.8100116510159644</c:v>
                </c:pt>
                <c:pt idx="63">
                  <c:v>0.8134593378440611</c:v>
                </c:pt>
                <c:pt idx="64">
                  <c:v>0.80847903743911553</c:v>
                </c:pt>
                <c:pt idx="65">
                  <c:v>0.80671768393237886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9E-4FFA-AE65-6E4680B11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234608"/>
        <c:axId val="-1427229168"/>
      </c:scatterChart>
      <c:scatterChart>
        <c:scatterStyle val="lineMarker"/>
        <c:varyColors val="0"/>
        <c:ser>
          <c:idx val="2"/>
          <c:order val="1"/>
          <c:tx>
            <c:v>Caudal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Varadero!$AO$3:$AO$68</c:f>
              <c:numCache>
                <c:formatCode>0.0</c:formatCode>
                <c:ptCount val="66"/>
                <c:pt idx="0">
                  <c:v>350.49333333333328</c:v>
                </c:pt>
                <c:pt idx="1">
                  <c:v>369.63472222222225</c:v>
                </c:pt>
                <c:pt idx="2">
                  <c:v>376.72380952380951</c:v>
                </c:pt>
                <c:pt idx="3">
                  <c:v>399.69583333333333</c:v>
                </c:pt>
                <c:pt idx="4">
                  <c:v>413.68821548821546</c:v>
                </c:pt>
                <c:pt idx="5">
                  <c:v>438.42895622895617</c:v>
                </c:pt>
                <c:pt idx="6">
                  <c:v>446.81691919191917</c:v>
                </c:pt>
                <c:pt idx="7">
                  <c:v>455.34284511784506</c:v>
                </c:pt>
                <c:pt idx="8">
                  <c:v>457.70521885521885</c:v>
                </c:pt>
                <c:pt idx="9">
                  <c:v>440.55707070707075</c:v>
                </c:pt>
                <c:pt idx="10">
                  <c:v>420.50244107744112</c:v>
                </c:pt>
                <c:pt idx="11">
                  <c:v>430.78207070707072</c:v>
                </c:pt>
                <c:pt idx="12">
                  <c:v>428.26355218855213</c:v>
                </c:pt>
                <c:pt idx="13">
                  <c:v>409.6762626262626</c:v>
                </c:pt>
                <c:pt idx="14">
                  <c:v>379.92163299663304</c:v>
                </c:pt>
                <c:pt idx="15">
                  <c:v>380.54663299663304</c:v>
                </c:pt>
                <c:pt idx="16">
                  <c:v>382.85126262626267</c:v>
                </c:pt>
                <c:pt idx="17">
                  <c:v>383.65833333333336</c:v>
                </c:pt>
                <c:pt idx="18">
                  <c:v>379.50370370370371</c:v>
                </c:pt>
                <c:pt idx="19">
                  <c:v>375.50277777777774</c:v>
                </c:pt>
                <c:pt idx="20">
                  <c:v>345.61666666666662</c:v>
                </c:pt>
                <c:pt idx="21">
                  <c:v>320.98055555555555</c:v>
                </c:pt>
                <c:pt idx="22">
                  <c:v>322.19907407407413</c:v>
                </c:pt>
                <c:pt idx="23">
                  <c:v>346.92870370370366</c:v>
                </c:pt>
                <c:pt idx="24">
                  <c:v>336.38611111111112</c:v>
                </c:pt>
                <c:pt idx="25">
                  <c:v>328.13611111111112</c:v>
                </c:pt>
                <c:pt idx="26">
                  <c:v>319.13981481481483</c:v>
                </c:pt>
                <c:pt idx="27">
                  <c:v>323.40833333333336</c:v>
                </c:pt>
                <c:pt idx="28">
                  <c:v>313.20555555555563</c:v>
                </c:pt>
                <c:pt idx="29">
                  <c:v>312.86203703703711</c:v>
                </c:pt>
                <c:pt idx="30">
                  <c:v>306.21064814814821</c:v>
                </c:pt>
                <c:pt idx="31">
                  <c:v>298.32343750000001</c:v>
                </c:pt>
                <c:pt idx="32">
                  <c:v>278.48630952380955</c:v>
                </c:pt>
                <c:pt idx="33">
                  <c:v>272.81041666666664</c:v>
                </c:pt>
                <c:pt idx="34">
                  <c:v>263.91750000000002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9E-4FFA-AE65-6E4680B11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234064"/>
        <c:axId val="-1427219376"/>
      </c:scatterChart>
      <c:valAx>
        <c:axId val="-1427234608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29168"/>
        <c:crosses val="autoZero"/>
        <c:crossBetween val="midCat"/>
      </c:valAx>
      <c:valAx>
        <c:axId val="-1427229168"/>
        <c:scaling>
          <c:orientation val="minMax"/>
          <c:max val="0.85000000000000009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34608"/>
        <c:crosses val="autoZero"/>
        <c:crossBetween val="midCat"/>
        <c:majorUnit val="5.000000000000001E-2"/>
      </c:valAx>
      <c:valAx>
        <c:axId val="-1427219376"/>
        <c:scaling>
          <c:orientation val="minMax"/>
          <c:min val="2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Caudal (m3/s)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34064"/>
        <c:crosses val="max"/>
        <c:crossBetween val="midCat"/>
      </c:valAx>
      <c:valAx>
        <c:axId val="-1427234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721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69991251093613E-4"/>
                  <c:y val="-0.461831802274715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Varadero!$B$3:$B$68</c:f>
              <c:numCache>
                <c:formatCode>0.000</c:formatCode>
                <c:ptCount val="66"/>
                <c:pt idx="0">
                  <c:v>0.69275594099254056</c:v>
                </c:pt>
                <c:pt idx="1">
                  <c:v>0.71124144819945578</c:v>
                </c:pt>
                <c:pt idx="2">
                  <c:v>0.66893704445192248</c:v>
                </c:pt>
                <c:pt idx="3">
                  <c:v>0.6786841144954634</c:v>
                </c:pt>
                <c:pt idx="4">
                  <c:v>0.7301427075099467</c:v>
                </c:pt>
                <c:pt idx="5">
                  <c:v>0.82579825013086317</c:v>
                </c:pt>
                <c:pt idx="6">
                  <c:v>0.75146635183968336</c:v>
                </c:pt>
                <c:pt idx="7">
                  <c:v>0.72188983408378515</c:v>
                </c:pt>
                <c:pt idx="8">
                  <c:v>0.65930993802523696</c:v>
                </c:pt>
                <c:pt idx="9">
                  <c:v>0.69041012484460884</c:v>
                </c:pt>
                <c:pt idx="10">
                  <c:v>0.66468884131035</c:v>
                </c:pt>
                <c:pt idx="11">
                  <c:v>0.72895403310072071</c:v>
                </c:pt>
                <c:pt idx="12">
                  <c:v>0.64735904287821244</c:v>
                </c:pt>
                <c:pt idx="13">
                  <c:v>0.61148302851284342</c:v>
                </c:pt>
                <c:pt idx="14">
                  <c:v>0.61631882185878306</c:v>
                </c:pt>
                <c:pt idx="15">
                  <c:v>0.64976285035042358</c:v>
                </c:pt>
                <c:pt idx="16">
                  <c:v>0.70172658847989</c:v>
                </c:pt>
                <c:pt idx="17">
                  <c:v>0.66720052101238081</c:v>
                </c:pt>
                <c:pt idx="18">
                  <c:v>0.68815899137866954</c:v>
                </c:pt>
                <c:pt idx="19">
                  <c:v>0.70481662248755617</c:v>
                </c:pt>
                <c:pt idx="20">
                  <c:v>0.76085574761571295</c:v>
                </c:pt>
                <c:pt idx="21">
                  <c:v>0.76223225205721878</c:v>
                </c:pt>
                <c:pt idx="22">
                  <c:v>0.76550941279331686</c:v>
                </c:pt>
                <c:pt idx="23">
                  <c:v>0.74682663922006209</c:v>
                </c:pt>
                <c:pt idx="24">
                  <c:v>0.71249896018521353</c:v>
                </c:pt>
                <c:pt idx="25">
                  <c:v>0.68488088168345862</c:v>
                </c:pt>
                <c:pt idx="26">
                  <c:v>0.66112109731149205</c:v>
                </c:pt>
                <c:pt idx="27">
                  <c:v>0.68004303478323336</c:v>
                </c:pt>
                <c:pt idx="28">
                  <c:v>0.64277460536044184</c:v>
                </c:pt>
                <c:pt idx="29">
                  <c:v>0.71834118769974631</c:v>
                </c:pt>
                <c:pt idx="30">
                  <c:v>0.81621696528249332</c:v>
                </c:pt>
                <c:pt idx="31">
                  <c:v>0.78630406735730318</c:v>
                </c:pt>
                <c:pt idx="32">
                  <c:v>0.69383695743190543</c:v>
                </c:pt>
                <c:pt idx="33">
                  <c:v>0.71755662143159182</c:v>
                </c:pt>
                <c:pt idx="34">
                  <c:v>0.70060290104650136</c:v>
                </c:pt>
                <c:pt idx="35">
                  <c:v>0.77656957554076655</c:v>
                </c:pt>
                <c:pt idx="36">
                  <c:v>0.82674978191610815</c:v>
                </c:pt>
                <c:pt idx="37">
                  <c:v>0.90256161926284884</c:v>
                </c:pt>
                <c:pt idx="38">
                  <c:v>0.81826674625094997</c:v>
                </c:pt>
                <c:pt idx="39">
                  <c:v>0.83399342010468247</c:v>
                </c:pt>
                <c:pt idx="40">
                  <c:v>0.76460190559228713</c:v>
                </c:pt>
                <c:pt idx="41">
                  <c:v>0.80540052998320955</c:v>
                </c:pt>
                <c:pt idx="42">
                  <c:v>0.88487004663954949</c:v>
                </c:pt>
                <c:pt idx="43">
                  <c:v>0.87733580639488029</c:v>
                </c:pt>
                <c:pt idx="44">
                  <c:v>0.72620131595560655</c:v>
                </c:pt>
                <c:pt idx="45">
                  <c:v>0.77183524580726504</c:v>
                </c:pt>
                <c:pt idx="46">
                  <c:v>0.8442804105053231</c:v>
                </c:pt>
                <c:pt idx="47">
                  <c:v>0.77234237168575959</c:v>
                </c:pt>
                <c:pt idx="48">
                  <c:v>0.7418506643291094</c:v>
                </c:pt>
                <c:pt idx="49">
                  <c:v>0.70300292531106556</c:v>
                </c:pt>
                <c:pt idx="50">
                  <c:v>0.66830303202063268</c:v>
                </c:pt>
                <c:pt idx="51">
                  <c:v>0.59998764512344638</c:v>
                </c:pt>
                <c:pt idx="52">
                  <c:v>0.65947992896465391</c:v>
                </c:pt>
                <c:pt idx="53">
                  <c:v>0.80290479896806366</c:v>
                </c:pt>
                <c:pt idx="54">
                  <c:v>0.80215070341759287</c:v>
                </c:pt>
                <c:pt idx="55">
                  <c:v>0.77599267357044788</c:v>
                </c:pt>
                <c:pt idx="56">
                  <c:v>0.80044614612293197</c:v>
                </c:pt>
                <c:pt idx="57">
                  <c:v>0.81415417853437244</c:v>
                </c:pt>
                <c:pt idx="58">
                  <c:v>0.78587784321928833</c:v>
                </c:pt>
                <c:pt idx="59">
                  <c:v>0.84334114027373452</c:v>
                </c:pt>
                <c:pt idx="60">
                  <c:v>0.81728580497279879</c:v>
                </c:pt>
                <c:pt idx="61">
                  <c:v>0.80183968730505883</c:v>
                </c:pt>
                <c:pt idx="62">
                  <c:v>0.83421888198590821</c:v>
                </c:pt>
                <c:pt idx="63">
                  <c:v>0.81860517263111987</c:v>
                </c:pt>
                <c:pt idx="64">
                  <c:v>0.82815686403954059</c:v>
                </c:pt>
                <c:pt idx="65">
                  <c:v>0.75076781370026691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C8-49D9-8885-70847539D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223728"/>
        <c:axId val="-1427229712"/>
      </c:scatterChart>
      <c:valAx>
        <c:axId val="-142722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29712"/>
        <c:crosses val="autoZero"/>
        <c:crossBetween val="midCat"/>
      </c:valAx>
      <c:valAx>
        <c:axId val="-1427229712"/>
        <c:scaling>
          <c:orientation val="minMax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23728"/>
        <c:crosses val="autoZero"/>
        <c:crossBetween val="midCat"/>
        <c:majorUnit val="0.1500000000000000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800765529308837"/>
                  <c:y val="-0.317846310877806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Varadero!$C$3:$C$68</c:f>
              <c:numCache>
                <c:formatCode>0.000</c:formatCode>
                <c:ptCount val="66"/>
                <c:pt idx="0">
                  <c:v>1.3288425000000001</c:v>
                </c:pt>
                <c:pt idx="1">
                  <c:v>1.0056375000000002</c:v>
                </c:pt>
                <c:pt idx="2">
                  <c:v>1.4491025000000002</c:v>
                </c:pt>
                <c:pt idx="3">
                  <c:v>1.0613424999999994</c:v>
                </c:pt>
                <c:pt idx="4">
                  <c:v>1.0953537499999997</c:v>
                </c:pt>
                <c:pt idx="5">
                  <c:v>0.96144750000000012</c:v>
                </c:pt>
                <c:pt idx="6">
                  <c:v>0.99063999999999952</c:v>
                </c:pt>
                <c:pt idx="7">
                  <c:v>1.0479249999999998</c:v>
                </c:pt>
                <c:pt idx="8">
                  <c:v>1.0717125000000007</c:v>
                </c:pt>
                <c:pt idx="9">
                  <c:v>1.0762037500000015</c:v>
                </c:pt>
                <c:pt idx="10">
                  <c:v>1.1954750000000021</c:v>
                </c:pt>
                <c:pt idx="11">
                  <c:v>1.0958437499999982</c:v>
                </c:pt>
                <c:pt idx="12">
                  <c:v>1.1260799999999973</c:v>
                </c:pt>
                <c:pt idx="13">
                  <c:v>1.145457499999998</c:v>
                </c:pt>
                <c:pt idx="14">
                  <c:v>1.3224262499999979</c:v>
                </c:pt>
                <c:pt idx="15">
                  <c:v>1.2871387499999967</c:v>
                </c:pt>
                <c:pt idx="16">
                  <c:v>1.1094374999999963</c:v>
                </c:pt>
                <c:pt idx="17">
                  <c:v>1.1839987499999702</c:v>
                </c:pt>
                <c:pt idx="18">
                  <c:v>1.2116237499999751</c:v>
                </c:pt>
                <c:pt idx="19">
                  <c:v>1.0417712499999732</c:v>
                </c:pt>
                <c:pt idx="20">
                  <c:v>1.138191249999978</c:v>
                </c:pt>
                <c:pt idx="21">
                  <c:v>1.1313512500000416</c:v>
                </c:pt>
                <c:pt idx="22">
                  <c:v>1.1924450000000646</c:v>
                </c:pt>
                <c:pt idx="23">
                  <c:v>0.9424350000000512</c:v>
                </c:pt>
                <c:pt idx="24">
                  <c:v>1.0629525000000521</c:v>
                </c:pt>
                <c:pt idx="25">
                  <c:v>0.90601625000004438</c:v>
                </c:pt>
                <c:pt idx="26">
                  <c:v>1.0940662500000502</c:v>
                </c:pt>
                <c:pt idx="27">
                  <c:v>0.97822625000005248</c:v>
                </c:pt>
                <c:pt idx="28">
                  <c:v>0.90424875000003224</c:v>
                </c:pt>
                <c:pt idx="29">
                  <c:v>1.2817812500000807</c:v>
                </c:pt>
                <c:pt idx="30">
                  <c:v>1.0104675000000496</c:v>
                </c:pt>
                <c:pt idx="31">
                  <c:v>0.95353250000004541</c:v>
                </c:pt>
                <c:pt idx="32">
                  <c:v>1.0144487500000432</c:v>
                </c:pt>
                <c:pt idx="33">
                  <c:v>0.96354500000003052</c:v>
                </c:pt>
                <c:pt idx="34">
                  <c:v>0.8952266666666695</c:v>
                </c:pt>
                <c:pt idx="35">
                  <c:v>1.1383366666666674</c:v>
                </c:pt>
                <c:pt idx="36">
                  <c:v>0.9659916666666698</c:v>
                </c:pt>
                <c:pt idx="37">
                  <c:v>1.0012100000000015</c:v>
                </c:pt>
                <c:pt idx="38">
                  <c:v>0.99692333333333849</c:v>
                </c:pt>
                <c:pt idx="39">
                  <c:v>0.8648050000000076</c:v>
                </c:pt>
                <c:pt idx="40">
                  <c:v>0.89833000000000374</c:v>
                </c:pt>
                <c:pt idx="41">
                  <c:v>0.98207500000000769</c:v>
                </c:pt>
                <c:pt idx="42">
                  <c:v>0.86656500000000725</c:v>
                </c:pt>
                <c:pt idx="43">
                  <c:v>0.89607500000000806</c:v>
                </c:pt>
                <c:pt idx="44">
                  <c:v>0.98930000000000595</c:v>
                </c:pt>
                <c:pt idx="45">
                  <c:v>1.0213300000000072</c:v>
                </c:pt>
                <c:pt idx="46">
                  <c:v>0.96555000000000746</c:v>
                </c:pt>
                <c:pt idx="47">
                  <c:v>0.88354500000001224</c:v>
                </c:pt>
                <c:pt idx="48">
                  <c:v>0.91483500000000484</c:v>
                </c:pt>
                <c:pt idx="49">
                  <c:v>1.1003050000000119</c:v>
                </c:pt>
                <c:pt idx="50">
                  <c:v>1.0505650000000095</c:v>
                </c:pt>
                <c:pt idx="51">
                  <c:v>1.2753350000000079</c:v>
                </c:pt>
                <c:pt idx="52">
                  <c:v>1.2780850000000104</c:v>
                </c:pt>
                <c:pt idx="53">
                  <c:v>0.86632000000000531</c:v>
                </c:pt>
                <c:pt idx="54">
                  <c:v>1.1783200000000147</c:v>
                </c:pt>
                <c:pt idx="55">
                  <c:v>1.088045000000007</c:v>
                </c:pt>
                <c:pt idx="56">
                  <c:v>1.1885950000000089</c:v>
                </c:pt>
                <c:pt idx="57">
                  <c:v>1.0055900000000075</c:v>
                </c:pt>
                <c:pt idx="58">
                  <c:v>1.1233350000000211</c:v>
                </c:pt>
                <c:pt idx="59">
                  <c:v>0.9765600000000193</c:v>
                </c:pt>
                <c:pt idx="60">
                  <c:v>1.1600600000000252</c:v>
                </c:pt>
                <c:pt idx="61">
                  <c:v>1.0745950000000235</c:v>
                </c:pt>
                <c:pt idx="62">
                  <c:v>1.0985500000000208</c:v>
                </c:pt>
                <c:pt idx="63">
                  <c:v>1.1158250000000223</c:v>
                </c:pt>
                <c:pt idx="64">
                  <c:v>1.1058300000000283</c:v>
                </c:pt>
                <c:pt idx="65">
                  <c:v>1.277870000000026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D4-4E0A-AC4C-872579103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223184"/>
        <c:axId val="-1427221552"/>
      </c:scatterChart>
      <c:valAx>
        <c:axId val="-142722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21552"/>
        <c:crosses val="autoZero"/>
        <c:crossBetween val="midCat"/>
      </c:valAx>
      <c:valAx>
        <c:axId val="-1427221552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23184"/>
        <c:crosses val="autoZero"/>
        <c:crossBetween val="midCat"/>
        <c:majorUnit val="0.1500000000000000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Varadero!$D$3:$D$68</c:f>
              <c:numCache>
                <c:formatCode>0.000</c:formatCode>
                <c:ptCount val="66"/>
                <c:pt idx="0">
                  <c:v>0.89861944250262771</c:v>
                </c:pt>
                <c:pt idx="1">
                  <c:v>0.67616338076530669</c:v>
                </c:pt>
                <c:pt idx="2">
                  <c:v>0.95513204826260956</c:v>
                </c:pt>
                <c:pt idx="3">
                  <c:v>0.67846523020100968</c:v>
                </c:pt>
                <c:pt idx="4">
                  <c:v>0.76858001397364628</c:v>
                </c:pt>
                <c:pt idx="5">
                  <c:v>0.74785460141996563</c:v>
                </c:pt>
                <c:pt idx="6">
                  <c:v>0.73541377516793471</c:v>
                </c:pt>
                <c:pt idx="7">
                  <c:v>0.74468853428749215</c:v>
                </c:pt>
                <c:pt idx="8">
                  <c:v>0.70509187374558735</c:v>
                </c:pt>
                <c:pt idx="9">
                  <c:v>0.73922673930687277</c:v>
                </c:pt>
                <c:pt idx="10">
                  <c:v>0.77421518688815294</c:v>
                </c:pt>
                <c:pt idx="11">
                  <c:v>0.7750602035828873</c:v>
                </c:pt>
                <c:pt idx="12">
                  <c:v>0.71772243332640207</c:v>
                </c:pt>
                <c:pt idx="13">
                  <c:v>0.69238432336862221</c:v>
                </c:pt>
                <c:pt idx="14">
                  <c:v>0.81042461768659557</c:v>
                </c:pt>
                <c:pt idx="15">
                  <c:v>0.83971216191400699</c:v>
                </c:pt>
                <c:pt idx="16">
                  <c:v>0.76805074968800469</c:v>
                </c:pt>
                <c:pt idx="17">
                  <c:v>0.77952071045551719</c:v>
                </c:pt>
                <c:pt idx="18">
                  <c:v>0.78794392532763657</c:v>
                </c:pt>
                <c:pt idx="19">
                  <c:v>0.70046371859259748</c:v>
                </c:pt>
                <c:pt idx="20">
                  <c:v>0.84499156276491139</c:v>
                </c:pt>
                <c:pt idx="21">
                  <c:v>0.83750460615343214</c:v>
                </c:pt>
                <c:pt idx="22">
                  <c:v>0.88512751861105299</c:v>
                </c:pt>
                <c:pt idx="23">
                  <c:v>0.70065189883432588</c:v>
                </c:pt>
                <c:pt idx="24">
                  <c:v>0.76389599747968673</c:v>
                </c:pt>
                <c:pt idx="25">
                  <c:v>0.62155443750787687</c:v>
                </c:pt>
                <c:pt idx="26">
                  <c:v>0.7009571357665586</c:v>
                </c:pt>
                <c:pt idx="27">
                  <c:v>0.68067041264212103</c:v>
                </c:pt>
                <c:pt idx="28">
                  <c:v>0.57937830623980902</c:v>
                </c:pt>
                <c:pt idx="29">
                  <c:v>0.9137244591727095</c:v>
                </c:pt>
                <c:pt idx="30">
                  <c:v>0.81014162339068374</c:v>
                </c:pt>
                <c:pt idx="31">
                  <c:v>0.77041309484309028</c:v>
                </c:pt>
                <c:pt idx="32">
                  <c:v>0.71444404689772989</c:v>
                </c:pt>
                <c:pt idx="33">
                  <c:v>0.70922706035852245</c:v>
                </c:pt>
                <c:pt idx="34">
                  <c:v>0.63348785973737709</c:v>
                </c:pt>
                <c:pt idx="35">
                  <c:v>0.90178868215234875</c:v>
                </c:pt>
                <c:pt idx="36">
                  <c:v>0.786159508504094</c:v>
                </c:pt>
                <c:pt idx="37">
                  <c:v>0.89223852881270493</c:v>
                </c:pt>
                <c:pt idx="38">
                  <c:v>0.80933512622206105</c:v>
                </c:pt>
                <c:pt idx="39">
                  <c:v>0.73485435226570228</c:v>
                </c:pt>
                <c:pt idx="40">
                  <c:v>0.6842354122105565</c:v>
                </c:pt>
                <c:pt idx="41">
                  <c:v>0.81270513306733816</c:v>
                </c:pt>
                <c:pt idx="42">
                  <c:v>0.79573819637984344</c:v>
                </c:pt>
                <c:pt idx="43">
                  <c:v>0.79908125881827008</c:v>
                </c:pt>
                <c:pt idx="44">
                  <c:v>0.71810590356935666</c:v>
                </c:pt>
                <c:pt idx="45">
                  <c:v>0.78036292505424976</c:v>
                </c:pt>
                <c:pt idx="46">
                  <c:v>0.82660274716993065</c:v>
                </c:pt>
                <c:pt idx="47">
                  <c:v>0.67177069010627954</c:v>
                </c:pt>
                <c:pt idx="48">
                  <c:v>0.68057633577569776</c:v>
                </c:pt>
                <c:pt idx="49">
                  <c:v>0.72445656719533391</c:v>
                </c:pt>
                <c:pt idx="50">
                  <c:v>0.69175240506210889</c:v>
                </c:pt>
                <c:pt idx="51">
                  <c:v>0.74994636451518948</c:v>
                </c:pt>
                <c:pt idx="52">
                  <c:v>0.83596477949238868</c:v>
                </c:pt>
                <c:pt idx="53">
                  <c:v>0.70601604526680173</c:v>
                </c:pt>
                <c:pt idx="54">
                  <c:v>0.91887644077568664</c:v>
                </c:pt>
                <c:pt idx="55">
                  <c:v>0.85866745940204925</c:v>
                </c:pt>
                <c:pt idx="56">
                  <c:v>0.94995259889336625</c:v>
                </c:pt>
                <c:pt idx="57">
                  <c:v>0.81772522287197125</c:v>
                </c:pt>
                <c:pt idx="58">
                  <c:v>0.88231775076977448</c:v>
                </c:pt>
                <c:pt idx="59">
                  <c:v>0.82042625994662455</c:v>
                </c:pt>
                <c:pt idx="60">
                  <c:v>0.92327817498446618</c:v>
                </c:pt>
                <c:pt idx="61">
                  <c:v>0.86085402325627969</c:v>
                </c:pt>
                <c:pt idx="62">
                  <c:v>0.89161416792168025</c:v>
                </c:pt>
                <c:pt idx="63">
                  <c:v>0.89946540041670453</c:v>
                </c:pt>
                <c:pt idx="64">
                  <c:v>0.91613175379229406</c:v>
                </c:pt>
                <c:pt idx="65">
                  <c:v>0.92777402393217656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06-4E21-9319-56C0A414B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843280"/>
        <c:axId val="1506879888"/>
      </c:scatterChart>
      <c:scatterChart>
        <c:scatterStyle val="lineMarker"/>
        <c:varyColors val="0"/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[2]Transporte!$B$5:$B$47</c:f>
              <c:numCache>
                <c:formatCode>General</c:formatCode>
                <c:ptCount val="43"/>
                <c:pt idx="0">
                  <c:v>2014</c:v>
                </c:pt>
                <c:pt idx="1">
                  <c:v>2013</c:v>
                </c:pt>
                <c:pt idx="2">
                  <c:v>2012</c:v>
                </c:pt>
                <c:pt idx="3">
                  <c:v>2011</c:v>
                </c:pt>
                <c:pt idx="4">
                  <c:v>2010</c:v>
                </c:pt>
                <c:pt idx="5">
                  <c:v>2009</c:v>
                </c:pt>
                <c:pt idx="6">
                  <c:v>2008</c:v>
                </c:pt>
                <c:pt idx="7">
                  <c:v>2007</c:v>
                </c:pt>
                <c:pt idx="8">
                  <c:v>2006</c:v>
                </c:pt>
                <c:pt idx="9">
                  <c:v>2005</c:v>
                </c:pt>
                <c:pt idx="10">
                  <c:v>2004</c:v>
                </c:pt>
                <c:pt idx="11">
                  <c:v>2003</c:v>
                </c:pt>
                <c:pt idx="12">
                  <c:v>2002</c:v>
                </c:pt>
                <c:pt idx="13">
                  <c:v>2001</c:v>
                </c:pt>
                <c:pt idx="14">
                  <c:v>2000</c:v>
                </c:pt>
                <c:pt idx="15">
                  <c:v>1999</c:v>
                </c:pt>
                <c:pt idx="16">
                  <c:v>1998</c:v>
                </c:pt>
                <c:pt idx="17">
                  <c:v>1997</c:v>
                </c:pt>
                <c:pt idx="18">
                  <c:v>1996</c:v>
                </c:pt>
                <c:pt idx="19">
                  <c:v>1995</c:v>
                </c:pt>
                <c:pt idx="20">
                  <c:v>1994</c:v>
                </c:pt>
                <c:pt idx="21">
                  <c:v>1993</c:v>
                </c:pt>
                <c:pt idx="22">
                  <c:v>1992</c:v>
                </c:pt>
                <c:pt idx="23">
                  <c:v>1991</c:v>
                </c:pt>
                <c:pt idx="24">
                  <c:v>1990</c:v>
                </c:pt>
                <c:pt idx="25">
                  <c:v>1989</c:v>
                </c:pt>
                <c:pt idx="26">
                  <c:v>1988</c:v>
                </c:pt>
                <c:pt idx="27">
                  <c:v>1987</c:v>
                </c:pt>
                <c:pt idx="28">
                  <c:v>1986</c:v>
                </c:pt>
                <c:pt idx="29">
                  <c:v>1985</c:v>
                </c:pt>
                <c:pt idx="30">
                  <c:v>1984</c:v>
                </c:pt>
                <c:pt idx="31">
                  <c:v>1983</c:v>
                </c:pt>
                <c:pt idx="32">
                  <c:v>1982</c:v>
                </c:pt>
                <c:pt idx="33">
                  <c:v>1981</c:v>
                </c:pt>
                <c:pt idx="34">
                  <c:v>1980</c:v>
                </c:pt>
                <c:pt idx="35">
                  <c:v>1979</c:v>
                </c:pt>
                <c:pt idx="36">
                  <c:v>1978</c:v>
                </c:pt>
                <c:pt idx="37">
                  <c:v>1977</c:v>
                </c:pt>
                <c:pt idx="38">
                  <c:v>1976</c:v>
                </c:pt>
                <c:pt idx="39">
                  <c:v>1975</c:v>
                </c:pt>
                <c:pt idx="40">
                  <c:v>1974</c:v>
                </c:pt>
                <c:pt idx="41">
                  <c:v>1973</c:v>
                </c:pt>
                <c:pt idx="42">
                  <c:v>1972</c:v>
                </c:pt>
              </c:numCache>
            </c:numRef>
          </c:xVal>
          <c:yVal>
            <c:numRef>
              <c:f>[2]Transporte!$C$5:$C$47</c:f>
              <c:numCache>
                <c:formatCode>General</c:formatCode>
                <c:ptCount val="43"/>
                <c:pt idx="0">
                  <c:v>94645</c:v>
                </c:pt>
                <c:pt idx="2">
                  <c:v>134527</c:v>
                </c:pt>
                <c:pt idx="3">
                  <c:v>243089</c:v>
                </c:pt>
                <c:pt idx="4">
                  <c:v>223722</c:v>
                </c:pt>
                <c:pt idx="5">
                  <c:v>120418</c:v>
                </c:pt>
                <c:pt idx="6">
                  <c:v>211787</c:v>
                </c:pt>
                <c:pt idx="7">
                  <c:v>183852</c:v>
                </c:pt>
                <c:pt idx="8">
                  <c:v>153246</c:v>
                </c:pt>
                <c:pt idx="9">
                  <c:v>63845</c:v>
                </c:pt>
                <c:pt idx="10">
                  <c:v>118954</c:v>
                </c:pt>
                <c:pt idx="11">
                  <c:v>110361</c:v>
                </c:pt>
                <c:pt idx="12">
                  <c:v>86462</c:v>
                </c:pt>
                <c:pt idx="13">
                  <c:v>80383</c:v>
                </c:pt>
                <c:pt idx="14">
                  <c:v>163876</c:v>
                </c:pt>
                <c:pt idx="16">
                  <c:v>169574</c:v>
                </c:pt>
                <c:pt idx="17">
                  <c:v>68259</c:v>
                </c:pt>
                <c:pt idx="18">
                  <c:v>239286</c:v>
                </c:pt>
                <c:pt idx="19">
                  <c:v>151604</c:v>
                </c:pt>
                <c:pt idx="20">
                  <c:v>184925</c:v>
                </c:pt>
                <c:pt idx="21">
                  <c:v>156803</c:v>
                </c:pt>
                <c:pt idx="22">
                  <c:v>86396</c:v>
                </c:pt>
                <c:pt idx="23">
                  <c:v>131608</c:v>
                </c:pt>
                <c:pt idx="24">
                  <c:v>162392</c:v>
                </c:pt>
                <c:pt idx="25">
                  <c:v>232773</c:v>
                </c:pt>
                <c:pt idx="26">
                  <c:v>260352</c:v>
                </c:pt>
                <c:pt idx="27">
                  <c:v>166905</c:v>
                </c:pt>
                <c:pt idx="28">
                  <c:v>172504</c:v>
                </c:pt>
                <c:pt idx="29">
                  <c:v>100487</c:v>
                </c:pt>
                <c:pt idx="30">
                  <c:v>154890</c:v>
                </c:pt>
                <c:pt idx="31">
                  <c:v>87455</c:v>
                </c:pt>
                <c:pt idx="32">
                  <c:v>126180</c:v>
                </c:pt>
                <c:pt idx="33">
                  <c:v>167499</c:v>
                </c:pt>
                <c:pt idx="34">
                  <c:v>93183</c:v>
                </c:pt>
                <c:pt idx="35">
                  <c:v>120627</c:v>
                </c:pt>
                <c:pt idx="36">
                  <c:v>109356</c:v>
                </c:pt>
                <c:pt idx="37">
                  <c:v>86443</c:v>
                </c:pt>
                <c:pt idx="38">
                  <c:v>111133</c:v>
                </c:pt>
                <c:pt idx="39">
                  <c:v>159657</c:v>
                </c:pt>
                <c:pt idx="40">
                  <c:v>156240</c:v>
                </c:pt>
                <c:pt idx="41">
                  <c:v>112422</c:v>
                </c:pt>
                <c:pt idx="42">
                  <c:v>112947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06-4E21-9319-56C0A414B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917744"/>
        <c:axId val="1506889456"/>
      </c:scatterChart>
      <c:valAx>
        <c:axId val="1506843280"/>
        <c:scaling>
          <c:orientation val="minMax"/>
          <c:min val="19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06879888"/>
        <c:crosses val="autoZero"/>
        <c:crossBetween val="midCat"/>
      </c:valAx>
      <c:valAx>
        <c:axId val="1506879888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06843280"/>
        <c:crosses val="autoZero"/>
        <c:crossBetween val="midCat"/>
      </c:valAx>
      <c:valAx>
        <c:axId val="15068894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506917744"/>
        <c:crosses val="max"/>
        <c:crossBetween val="midCat"/>
      </c:valAx>
      <c:valAx>
        <c:axId val="1506917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688945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601640419947505"/>
                  <c:y val="-0.299301910177894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Varadero!$A$34:$A$68</c:f>
              <c:numCache>
                <c:formatCode>General</c:formatCode>
                <c:ptCount val="35"/>
                <c:pt idx="0">
                  <c:v>1984</c:v>
                </c:pt>
                <c:pt idx="1">
                  <c:v>1983</c:v>
                </c:pt>
                <c:pt idx="2">
                  <c:v>1982</c:v>
                </c:pt>
                <c:pt idx="3">
                  <c:v>1981</c:v>
                </c:pt>
                <c:pt idx="4">
                  <c:v>1980</c:v>
                </c:pt>
                <c:pt idx="5">
                  <c:v>1979</c:v>
                </c:pt>
                <c:pt idx="6">
                  <c:v>1978</c:v>
                </c:pt>
                <c:pt idx="7">
                  <c:v>1977</c:v>
                </c:pt>
                <c:pt idx="8">
                  <c:v>1976</c:v>
                </c:pt>
                <c:pt idx="9">
                  <c:v>1975</c:v>
                </c:pt>
                <c:pt idx="10">
                  <c:v>1974</c:v>
                </c:pt>
                <c:pt idx="11">
                  <c:v>1973</c:v>
                </c:pt>
                <c:pt idx="12">
                  <c:v>1972</c:v>
                </c:pt>
                <c:pt idx="13">
                  <c:v>1971</c:v>
                </c:pt>
                <c:pt idx="14">
                  <c:v>1970</c:v>
                </c:pt>
                <c:pt idx="15">
                  <c:v>1969</c:v>
                </c:pt>
                <c:pt idx="16">
                  <c:v>1968</c:v>
                </c:pt>
                <c:pt idx="17">
                  <c:v>1967</c:v>
                </c:pt>
                <c:pt idx="18">
                  <c:v>1966</c:v>
                </c:pt>
                <c:pt idx="19">
                  <c:v>1965</c:v>
                </c:pt>
                <c:pt idx="20">
                  <c:v>1964</c:v>
                </c:pt>
                <c:pt idx="21">
                  <c:v>1963</c:v>
                </c:pt>
                <c:pt idx="22">
                  <c:v>1962</c:v>
                </c:pt>
                <c:pt idx="23">
                  <c:v>1961</c:v>
                </c:pt>
                <c:pt idx="24">
                  <c:v>1960</c:v>
                </c:pt>
                <c:pt idx="25">
                  <c:v>1959</c:v>
                </c:pt>
                <c:pt idx="26">
                  <c:v>1958</c:v>
                </c:pt>
                <c:pt idx="27">
                  <c:v>1957</c:v>
                </c:pt>
                <c:pt idx="28">
                  <c:v>1956</c:v>
                </c:pt>
                <c:pt idx="29">
                  <c:v>1955</c:v>
                </c:pt>
                <c:pt idx="30">
                  <c:v>1954</c:v>
                </c:pt>
                <c:pt idx="31">
                  <c:v>1953</c:v>
                </c:pt>
                <c:pt idx="32">
                  <c:v>1952</c:v>
                </c:pt>
                <c:pt idx="33">
                  <c:v>1951</c:v>
                </c:pt>
                <c:pt idx="34">
                  <c:v>1950</c:v>
                </c:pt>
              </c:numCache>
            </c:numRef>
          </c:xVal>
          <c:yVal>
            <c:numRef>
              <c:f>Varadero!$B$34:$B$68</c:f>
              <c:numCache>
                <c:formatCode>0.000</c:formatCode>
                <c:ptCount val="35"/>
                <c:pt idx="0">
                  <c:v>0.78630406735730318</c:v>
                </c:pt>
                <c:pt idx="1">
                  <c:v>0.69383695743190543</c:v>
                </c:pt>
                <c:pt idx="2">
                  <c:v>0.71755662143159182</c:v>
                </c:pt>
                <c:pt idx="3">
                  <c:v>0.70060290104650136</c:v>
                </c:pt>
                <c:pt idx="4">
                  <c:v>0.77656957554076655</c:v>
                </c:pt>
                <c:pt idx="5">
                  <c:v>0.82674978191610815</c:v>
                </c:pt>
                <c:pt idx="6">
                  <c:v>0.90256161926284884</c:v>
                </c:pt>
                <c:pt idx="7">
                  <c:v>0.81826674625094997</c:v>
                </c:pt>
                <c:pt idx="8">
                  <c:v>0.83399342010468247</c:v>
                </c:pt>
                <c:pt idx="9">
                  <c:v>0.76460190559228713</c:v>
                </c:pt>
                <c:pt idx="10">
                  <c:v>0.80540052998320955</c:v>
                </c:pt>
                <c:pt idx="11">
                  <c:v>0.88487004663954949</c:v>
                </c:pt>
                <c:pt idx="12">
                  <c:v>0.87733580639488029</c:v>
                </c:pt>
                <c:pt idx="13">
                  <c:v>0.72620131595560655</c:v>
                </c:pt>
                <c:pt idx="14">
                  <c:v>0.77183524580726504</c:v>
                </c:pt>
                <c:pt idx="15">
                  <c:v>0.8442804105053231</c:v>
                </c:pt>
                <c:pt idx="16">
                  <c:v>0.77234237168575959</c:v>
                </c:pt>
                <c:pt idx="17">
                  <c:v>0.7418506643291094</c:v>
                </c:pt>
                <c:pt idx="18">
                  <c:v>0.70300292531106556</c:v>
                </c:pt>
                <c:pt idx="19">
                  <c:v>0.66830303202063268</c:v>
                </c:pt>
                <c:pt idx="20">
                  <c:v>0.59998764512344638</c:v>
                </c:pt>
                <c:pt idx="21">
                  <c:v>0.65947992896465391</c:v>
                </c:pt>
                <c:pt idx="22">
                  <c:v>0.80290479896806366</c:v>
                </c:pt>
                <c:pt idx="23">
                  <c:v>0.80215070341759287</c:v>
                </c:pt>
                <c:pt idx="24">
                  <c:v>0.77599267357044788</c:v>
                </c:pt>
                <c:pt idx="25">
                  <c:v>0.80044614612293197</c:v>
                </c:pt>
                <c:pt idx="26">
                  <c:v>0.81415417853437244</c:v>
                </c:pt>
                <c:pt idx="27">
                  <c:v>0.78587784321928833</c:v>
                </c:pt>
                <c:pt idx="28">
                  <c:v>0.84334114027373452</c:v>
                </c:pt>
                <c:pt idx="29">
                  <c:v>0.81728580497279879</c:v>
                </c:pt>
                <c:pt idx="30">
                  <c:v>0.80183968730505883</c:v>
                </c:pt>
                <c:pt idx="31">
                  <c:v>0.83421888198590821</c:v>
                </c:pt>
                <c:pt idx="32">
                  <c:v>0.81860517263111987</c:v>
                </c:pt>
                <c:pt idx="33">
                  <c:v>0.82815686403954059</c:v>
                </c:pt>
                <c:pt idx="34">
                  <c:v>0.75076781370026691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67-4F00-8C5B-3BA8566CCDFB}"/>
            </c:ext>
          </c:extLst>
        </c:ser>
        <c:ser>
          <c:idx val="1"/>
          <c:order val="1"/>
          <c:tx>
            <c:v>pos 1984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72790901137358E-2"/>
                  <c:y val="-0.382220399533391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Varadero!$A$3:$A$34</c:f>
              <c:numCache>
                <c:formatCode>General</c:formatCode>
                <c:ptCount val="3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</c:numCache>
            </c:numRef>
          </c:xVal>
          <c:yVal>
            <c:numRef>
              <c:f>Varadero!$B$3:$B$34</c:f>
              <c:numCache>
                <c:formatCode>0.000</c:formatCode>
                <c:ptCount val="32"/>
                <c:pt idx="0">
                  <c:v>0.69275594099254056</c:v>
                </c:pt>
                <c:pt idx="1">
                  <c:v>0.71124144819945578</c:v>
                </c:pt>
                <c:pt idx="2">
                  <c:v>0.66893704445192248</c:v>
                </c:pt>
                <c:pt idx="3">
                  <c:v>0.6786841144954634</c:v>
                </c:pt>
                <c:pt idx="4">
                  <c:v>0.7301427075099467</c:v>
                </c:pt>
                <c:pt idx="5">
                  <c:v>0.82579825013086317</c:v>
                </c:pt>
                <c:pt idx="6">
                  <c:v>0.75146635183968336</c:v>
                </c:pt>
                <c:pt idx="7">
                  <c:v>0.72188983408378515</c:v>
                </c:pt>
                <c:pt idx="8">
                  <c:v>0.65930993802523696</c:v>
                </c:pt>
                <c:pt idx="9">
                  <c:v>0.69041012484460884</c:v>
                </c:pt>
                <c:pt idx="10">
                  <c:v>0.66468884131035</c:v>
                </c:pt>
                <c:pt idx="11">
                  <c:v>0.72895403310072071</c:v>
                </c:pt>
                <c:pt idx="12">
                  <c:v>0.64735904287821244</c:v>
                </c:pt>
                <c:pt idx="13">
                  <c:v>0.61148302851284342</c:v>
                </c:pt>
                <c:pt idx="14">
                  <c:v>0.61631882185878306</c:v>
                </c:pt>
                <c:pt idx="15">
                  <c:v>0.64976285035042358</c:v>
                </c:pt>
                <c:pt idx="16">
                  <c:v>0.70172658847989</c:v>
                </c:pt>
                <c:pt idx="17">
                  <c:v>0.66720052101238081</c:v>
                </c:pt>
                <c:pt idx="18">
                  <c:v>0.68815899137866954</c:v>
                </c:pt>
                <c:pt idx="19">
                  <c:v>0.70481662248755617</c:v>
                </c:pt>
                <c:pt idx="20">
                  <c:v>0.76085574761571295</c:v>
                </c:pt>
                <c:pt idx="21">
                  <c:v>0.76223225205721878</c:v>
                </c:pt>
                <c:pt idx="22">
                  <c:v>0.76550941279331686</c:v>
                </c:pt>
                <c:pt idx="23">
                  <c:v>0.74682663922006209</c:v>
                </c:pt>
                <c:pt idx="24">
                  <c:v>0.71249896018521353</c:v>
                </c:pt>
                <c:pt idx="25">
                  <c:v>0.68488088168345862</c:v>
                </c:pt>
                <c:pt idx="26">
                  <c:v>0.66112109731149205</c:v>
                </c:pt>
                <c:pt idx="27">
                  <c:v>0.68004303478323336</c:v>
                </c:pt>
                <c:pt idx="28">
                  <c:v>0.64277460536044184</c:v>
                </c:pt>
                <c:pt idx="29">
                  <c:v>0.71834118769974631</c:v>
                </c:pt>
                <c:pt idx="30">
                  <c:v>0.81621696528249332</c:v>
                </c:pt>
                <c:pt idx="31">
                  <c:v>0.78630406735730318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67-4F00-8C5B-3BA8566CC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186032"/>
        <c:axId val="-1427178960"/>
      </c:scatterChart>
      <c:valAx>
        <c:axId val="-142718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78960"/>
        <c:crosses val="autoZero"/>
        <c:crossBetween val="midCat"/>
      </c:valAx>
      <c:valAx>
        <c:axId val="-1427178960"/>
        <c:scaling>
          <c:orientation val="minMax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86032"/>
        <c:crosses val="autoZero"/>
        <c:crossBetween val="midCat"/>
        <c:majorUnit val="0.1500000000000000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323862642169729"/>
                  <c:y val="-0.565713764946048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Varadero!$A$34:$A$68</c:f>
              <c:numCache>
                <c:formatCode>General</c:formatCode>
                <c:ptCount val="35"/>
                <c:pt idx="0">
                  <c:v>1984</c:v>
                </c:pt>
                <c:pt idx="1">
                  <c:v>1983</c:v>
                </c:pt>
                <c:pt idx="2">
                  <c:v>1982</c:v>
                </c:pt>
                <c:pt idx="3">
                  <c:v>1981</c:v>
                </c:pt>
                <c:pt idx="4">
                  <c:v>1980</c:v>
                </c:pt>
                <c:pt idx="5">
                  <c:v>1979</c:v>
                </c:pt>
                <c:pt idx="6">
                  <c:v>1978</c:v>
                </c:pt>
                <c:pt idx="7">
                  <c:v>1977</c:v>
                </c:pt>
                <c:pt idx="8">
                  <c:v>1976</c:v>
                </c:pt>
                <c:pt idx="9">
                  <c:v>1975</c:v>
                </c:pt>
                <c:pt idx="10">
                  <c:v>1974</c:v>
                </c:pt>
                <c:pt idx="11">
                  <c:v>1973</c:v>
                </c:pt>
                <c:pt idx="12">
                  <c:v>1972</c:v>
                </c:pt>
                <c:pt idx="13">
                  <c:v>1971</c:v>
                </c:pt>
                <c:pt idx="14">
                  <c:v>1970</c:v>
                </c:pt>
                <c:pt idx="15">
                  <c:v>1969</c:v>
                </c:pt>
                <c:pt idx="16">
                  <c:v>1968</c:v>
                </c:pt>
                <c:pt idx="17">
                  <c:v>1967</c:v>
                </c:pt>
                <c:pt idx="18">
                  <c:v>1966</c:v>
                </c:pt>
                <c:pt idx="19">
                  <c:v>1965</c:v>
                </c:pt>
                <c:pt idx="20">
                  <c:v>1964</c:v>
                </c:pt>
                <c:pt idx="21">
                  <c:v>1963</c:v>
                </c:pt>
                <c:pt idx="22">
                  <c:v>1962</c:v>
                </c:pt>
                <c:pt idx="23">
                  <c:v>1961</c:v>
                </c:pt>
                <c:pt idx="24">
                  <c:v>1960</c:v>
                </c:pt>
                <c:pt idx="25">
                  <c:v>1959</c:v>
                </c:pt>
                <c:pt idx="26">
                  <c:v>1958</c:v>
                </c:pt>
                <c:pt idx="27">
                  <c:v>1957</c:v>
                </c:pt>
                <c:pt idx="28">
                  <c:v>1956</c:v>
                </c:pt>
                <c:pt idx="29">
                  <c:v>1955</c:v>
                </c:pt>
                <c:pt idx="30">
                  <c:v>1954</c:v>
                </c:pt>
                <c:pt idx="31">
                  <c:v>1953</c:v>
                </c:pt>
                <c:pt idx="32">
                  <c:v>1952</c:v>
                </c:pt>
                <c:pt idx="33">
                  <c:v>1951</c:v>
                </c:pt>
                <c:pt idx="34">
                  <c:v>1950</c:v>
                </c:pt>
              </c:numCache>
            </c:numRef>
          </c:xVal>
          <c:yVal>
            <c:numRef>
              <c:f>Varadero!$C$34:$C$68</c:f>
              <c:numCache>
                <c:formatCode>0.000</c:formatCode>
                <c:ptCount val="35"/>
                <c:pt idx="0">
                  <c:v>0.95353250000004541</c:v>
                </c:pt>
                <c:pt idx="1">
                  <c:v>1.0144487500000432</c:v>
                </c:pt>
                <c:pt idx="2">
                  <c:v>0.96354500000003052</c:v>
                </c:pt>
                <c:pt idx="3">
                  <c:v>0.8952266666666695</c:v>
                </c:pt>
                <c:pt idx="4">
                  <c:v>1.1383366666666674</c:v>
                </c:pt>
                <c:pt idx="5">
                  <c:v>0.9659916666666698</c:v>
                </c:pt>
                <c:pt idx="6">
                  <c:v>1.0012100000000015</c:v>
                </c:pt>
                <c:pt idx="7">
                  <c:v>0.99692333333333849</c:v>
                </c:pt>
                <c:pt idx="8">
                  <c:v>0.8648050000000076</c:v>
                </c:pt>
                <c:pt idx="9">
                  <c:v>0.89833000000000374</c:v>
                </c:pt>
                <c:pt idx="10">
                  <c:v>0.98207500000000769</c:v>
                </c:pt>
                <c:pt idx="11">
                  <c:v>0.86656500000000725</c:v>
                </c:pt>
                <c:pt idx="12">
                  <c:v>0.89607500000000806</c:v>
                </c:pt>
                <c:pt idx="13">
                  <c:v>0.98930000000000595</c:v>
                </c:pt>
                <c:pt idx="14">
                  <c:v>1.0213300000000072</c:v>
                </c:pt>
                <c:pt idx="15">
                  <c:v>0.96555000000000746</c:v>
                </c:pt>
                <c:pt idx="16">
                  <c:v>0.88354500000001224</c:v>
                </c:pt>
                <c:pt idx="17">
                  <c:v>0.91483500000000484</c:v>
                </c:pt>
                <c:pt idx="18">
                  <c:v>1.1003050000000119</c:v>
                </c:pt>
                <c:pt idx="19">
                  <c:v>1.0505650000000095</c:v>
                </c:pt>
                <c:pt idx="20">
                  <c:v>1.2753350000000079</c:v>
                </c:pt>
                <c:pt idx="21">
                  <c:v>1.2780850000000104</c:v>
                </c:pt>
                <c:pt idx="22">
                  <c:v>0.86632000000000531</c:v>
                </c:pt>
                <c:pt idx="23">
                  <c:v>1.1783200000000147</c:v>
                </c:pt>
                <c:pt idx="24">
                  <c:v>1.088045000000007</c:v>
                </c:pt>
                <c:pt idx="25">
                  <c:v>1.1885950000000089</c:v>
                </c:pt>
                <c:pt idx="26">
                  <c:v>1.0055900000000075</c:v>
                </c:pt>
                <c:pt idx="27">
                  <c:v>1.1233350000000211</c:v>
                </c:pt>
                <c:pt idx="28">
                  <c:v>0.9765600000000193</c:v>
                </c:pt>
                <c:pt idx="29">
                  <c:v>1.1600600000000252</c:v>
                </c:pt>
                <c:pt idx="30">
                  <c:v>1.0745950000000235</c:v>
                </c:pt>
                <c:pt idx="31">
                  <c:v>1.0985500000000208</c:v>
                </c:pt>
                <c:pt idx="32">
                  <c:v>1.1158250000000223</c:v>
                </c:pt>
                <c:pt idx="33">
                  <c:v>1.1058300000000283</c:v>
                </c:pt>
                <c:pt idx="34">
                  <c:v>1.277870000000026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32-4AB1-96E5-FCA1F12E7978}"/>
            </c:ext>
          </c:extLst>
        </c:ser>
        <c:ser>
          <c:idx val="1"/>
          <c:order val="1"/>
          <c:tx>
            <c:v>pos 1984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4438320209973758E-2"/>
                  <c:y val="-0.318189340915718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Varadero!$A$3:$A$34</c:f>
              <c:numCache>
                <c:formatCode>General</c:formatCode>
                <c:ptCount val="3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</c:numCache>
            </c:numRef>
          </c:xVal>
          <c:yVal>
            <c:numRef>
              <c:f>Varadero!$C$3:$C$34</c:f>
              <c:numCache>
                <c:formatCode>0.000</c:formatCode>
                <c:ptCount val="32"/>
                <c:pt idx="0">
                  <c:v>1.3288425000000001</c:v>
                </c:pt>
                <c:pt idx="1">
                  <c:v>1.0056375000000002</c:v>
                </c:pt>
                <c:pt idx="2">
                  <c:v>1.4491025000000002</c:v>
                </c:pt>
                <c:pt idx="3">
                  <c:v>1.0613424999999994</c:v>
                </c:pt>
                <c:pt idx="4">
                  <c:v>1.0953537499999997</c:v>
                </c:pt>
                <c:pt idx="5">
                  <c:v>0.96144750000000012</c:v>
                </c:pt>
                <c:pt idx="6">
                  <c:v>0.99063999999999952</c:v>
                </c:pt>
                <c:pt idx="7">
                  <c:v>1.0479249999999998</c:v>
                </c:pt>
                <c:pt idx="8">
                  <c:v>1.0717125000000007</c:v>
                </c:pt>
                <c:pt idx="9">
                  <c:v>1.0762037500000015</c:v>
                </c:pt>
                <c:pt idx="10">
                  <c:v>1.1954750000000021</c:v>
                </c:pt>
                <c:pt idx="11">
                  <c:v>1.0958437499999982</c:v>
                </c:pt>
                <c:pt idx="12">
                  <c:v>1.1260799999999973</c:v>
                </c:pt>
                <c:pt idx="13">
                  <c:v>1.145457499999998</c:v>
                </c:pt>
                <c:pt idx="14">
                  <c:v>1.3224262499999979</c:v>
                </c:pt>
                <c:pt idx="15">
                  <c:v>1.2871387499999967</c:v>
                </c:pt>
                <c:pt idx="16">
                  <c:v>1.1094374999999963</c:v>
                </c:pt>
                <c:pt idx="17">
                  <c:v>1.1839987499999702</c:v>
                </c:pt>
                <c:pt idx="18">
                  <c:v>1.2116237499999751</c:v>
                </c:pt>
                <c:pt idx="19">
                  <c:v>1.0417712499999732</c:v>
                </c:pt>
                <c:pt idx="20">
                  <c:v>1.138191249999978</c:v>
                </c:pt>
                <c:pt idx="21">
                  <c:v>1.1313512500000416</c:v>
                </c:pt>
                <c:pt idx="22">
                  <c:v>1.1924450000000646</c:v>
                </c:pt>
                <c:pt idx="23">
                  <c:v>0.9424350000000512</c:v>
                </c:pt>
                <c:pt idx="24">
                  <c:v>1.0629525000000521</c:v>
                </c:pt>
                <c:pt idx="25">
                  <c:v>0.90601625000004438</c:v>
                </c:pt>
                <c:pt idx="26">
                  <c:v>1.0940662500000502</c:v>
                </c:pt>
                <c:pt idx="27">
                  <c:v>0.97822625000005248</c:v>
                </c:pt>
                <c:pt idx="28">
                  <c:v>0.90424875000003224</c:v>
                </c:pt>
                <c:pt idx="29">
                  <c:v>1.2817812500000807</c:v>
                </c:pt>
                <c:pt idx="30">
                  <c:v>1.0104675000000496</c:v>
                </c:pt>
                <c:pt idx="31">
                  <c:v>0.95353250000004541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32-4AB1-96E5-FCA1F12E7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174608"/>
        <c:axId val="-1427199088"/>
      </c:scatterChart>
      <c:valAx>
        <c:axId val="-142717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99088"/>
        <c:crosses val="autoZero"/>
        <c:crossBetween val="midCat"/>
      </c:valAx>
      <c:valAx>
        <c:axId val="-1427199088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74608"/>
        <c:crosses val="autoZero"/>
        <c:crossBetween val="midCat"/>
        <c:majorUnit val="0.1500000000000000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768307086614176"/>
                  <c:y val="0.177034485272674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Varadero!$A$34:$A$68</c:f>
              <c:numCache>
                <c:formatCode>General</c:formatCode>
                <c:ptCount val="35"/>
                <c:pt idx="0">
                  <c:v>1984</c:v>
                </c:pt>
                <c:pt idx="1">
                  <c:v>1983</c:v>
                </c:pt>
                <c:pt idx="2">
                  <c:v>1982</c:v>
                </c:pt>
                <c:pt idx="3">
                  <c:v>1981</c:v>
                </c:pt>
                <c:pt idx="4">
                  <c:v>1980</c:v>
                </c:pt>
                <c:pt idx="5">
                  <c:v>1979</c:v>
                </c:pt>
                <c:pt idx="6">
                  <c:v>1978</c:v>
                </c:pt>
                <c:pt idx="7">
                  <c:v>1977</c:v>
                </c:pt>
                <c:pt idx="8">
                  <c:v>1976</c:v>
                </c:pt>
                <c:pt idx="9">
                  <c:v>1975</c:v>
                </c:pt>
                <c:pt idx="10">
                  <c:v>1974</c:v>
                </c:pt>
                <c:pt idx="11">
                  <c:v>1973</c:v>
                </c:pt>
                <c:pt idx="12">
                  <c:v>1972</c:v>
                </c:pt>
                <c:pt idx="13">
                  <c:v>1971</c:v>
                </c:pt>
                <c:pt idx="14">
                  <c:v>1970</c:v>
                </c:pt>
                <c:pt idx="15">
                  <c:v>1969</c:v>
                </c:pt>
                <c:pt idx="16">
                  <c:v>1968</c:v>
                </c:pt>
                <c:pt idx="17">
                  <c:v>1967</c:v>
                </c:pt>
                <c:pt idx="18">
                  <c:v>1966</c:v>
                </c:pt>
                <c:pt idx="19">
                  <c:v>1965</c:v>
                </c:pt>
                <c:pt idx="20">
                  <c:v>1964</c:v>
                </c:pt>
                <c:pt idx="21">
                  <c:v>1963</c:v>
                </c:pt>
                <c:pt idx="22">
                  <c:v>1962</c:v>
                </c:pt>
                <c:pt idx="23">
                  <c:v>1961</c:v>
                </c:pt>
                <c:pt idx="24">
                  <c:v>1960</c:v>
                </c:pt>
                <c:pt idx="25">
                  <c:v>1959</c:v>
                </c:pt>
                <c:pt idx="26">
                  <c:v>1958</c:v>
                </c:pt>
                <c:pt idx="27">
                  <c:v>1957</c:v>
                </c:pt>
                <c:pt idx="28">
                  <c:v>1956</c:v>
                </c:pt>
                <c:pt idx="29">
                  <c:v>1955</c:v>
                </c:pt>
                <c:pt idx="30">
                  <c:v>1954</c:v>
                </c:pt>
                <c:pt idx="31">
                  <c:v>1953</c:v>
                </c:pt>
                <c:pt idx="32">
                  <c:v>1952</c:v>
                </c:pt>
                <c:pt idx="33">
                  <c:v>1951</c:v>
                </c:pt>
                <c:pt idx="34">
                  <c:v>1950</c:v>
                </c:pt>
              </c:numCache>
            </c:numRef>
          </c:xVal>
          <c:yVal>
            <c:numRef>
              <c:f>Varadero!$D$34:$D$68</c:f>
              <c:numCache>
                <c:formatCode>0.000</c:formatCode>
                <c:ptCount val="35"/>
                <c:pt idx="0">
                  <c:v>0.77041309484309028</c:v>
                </c:pt>
                <c:pt idx="1">
                  <c:v>0.71444404689772989</c:v>
                </c:pt>
                <c:pt idx="2">
                  <c:v>0.70922706035852245</c:v>
                </c:pt>
                <c:pt idx="3">
                  <c:v>0.63348785973737709</c:v>
                </c:pt>
                <c:pt idx="4">
                  <c:v>0.90178868215234875</c:v>
                </c:pt>
                <c:pt idx="5">
                  <c:v>0.786159508504094</c:v>
                </c:pt>
                <c:pt idx="6">
                  <c:v>0.89223852881270493</c:v>
                </c:pt>
                <c:pt idx="7">
                  <c:v>0.80933512622206105</c:v>
                </c:pt>
                <c:pt idx="8">
                  <c:v>0.73485435226570228</c:v>
                </c:pt>
                <c:pt idx="9">
                  <c:v>0.6842354122105565</c:v>
                </c:pt>
                <c:pt idx="10">
                  <c:v>0.81270513306733816</c:v>
                </c:pt>
                <c:pt idx="11">
                  <c:v>0.79573819637984344</c:v>
                </c:pt>
                <c:pt idx="12">
                  <c:v>0.79908125881827008</c:v>
                </c:pt>
                <c:pt idx="13">
                  <c:v>0.71810590356935666</c:v>
                </c:pt>
                <c:pt idx="14">
                  <c:v>0.78036292505424976</c:v>
                </c:pt>
                <c:pt idx="15">
                  <c:v>0.82660274716993065</c:v>
                </c:pt>
                <c:pt idx="16">
                  <c:v>0.67177069010627954</c:v>
                </c:pt>
                <c:pt idx="17">
                  <c:v>0.68057633577569776</c:v>
                </c:pt>
                <c:pt idx="18">
                  <c:v>0.72445656719533391</c:v>
                </c:pt>
                <c:pt idx="19">
                  <c:v>0.69175240506210889</c:v>
                </c:pt>
                <c:pt idx="20">
                  <c:v>0.74994636451518948</c:v>
                </c:pt>
                <c:pt idx="21">
                  <c:v>0.83596477949238868</c:v>
                </c:pt>
                <c:pt idx="22">
                  <c:v>0.70601604526680173</c:v>
                </c:pt>
                <c:pt idx="23">
                  <c:v>0.91887644077568664</c:v>
                </c:pt>
                <c:pt idx="24">
                  <c:v>0.85866745940204925</c:v>
                </c:pt>
                <c:pt idx="25">
                  <c:v>0.94995259889336625</c:v>
                </c:pt>
                <c:pt idx="26">
                  <c:v>0.81772522287197125</c:v>
                </c:pt>
                <c:pt idx="27">
                  <c:v>0.88231775076977448</c:v>
                </c:pt>
                <c:pt idx="28">
                  <c:v>0.82042625994662455</c:v>
                </c:pt>
                <c:pt idx="29">
                  <c:v>0.92327817498446618</c:v>
                </c:pt>
                <c:pt idx="30">
                  <c:v>0.86085402325627969</c:v>
                </c:pt>
                <c:pt idx="31">
                  <c:v>0.89161416792168025</c:v>
                </c:pt>
                <c:pt idx="32">
                  <c:v>0.89946540041670453</c:v>
                </c:pt>
                <c:pt idx="33">
                  <c:v>0.91613175379229406</c:v>
                </c:pt>
                <c:pt idx="34">
                  <c:v>0.92777402393217656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9F-4962-8E02-10B923B2D5F5}"/>
            </c:ext>
          </c:extLst>
        </c:ser>
        <c:ser>
          <c:idx val="1"/>
          <c:order val="1"/>
          <c:tx>
            <c:v>pos 1984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8327209098862643E-2"/>
                  <c:y val="-0.291435185185185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Varadero!$A$3:$A$34</c:f>
              <c:numCache>
                <c:formatCode>General</c:formatCode>
                <c:ptCount val="3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</c:numCache>
            </c:numRef>
          </c:xVal>
          <c:yVal>
            <c:numRef>
              <c:f>Varadero!$D$3:$D$34</c:f>
              <c:numCache>
                <c:formatCode>0.000</c:formatCode>
                <c:ptCount val="32"/>
                <c:pt idx="0">
                  <c:v>0.89861944250262771</c:v>
                </c:pt>
                <c:pt idx="1">
                  <c:v>0.67616338076530669</c:v>
                </c:pt>
                <c:pt idx="2">
                  <c:v>0.95513204826260956</c:v>
                </c:pt>
                <c:pt idx="3">
                  <c:v>0.67846523020100968</c:v>
                </c:pt>
                <c:pt idx="4">
                  <c:v>0.76858001397364628</c:v>
                </c:pt>
                <c:pt idx="5">
                  <c:v>0.74785460141996563</c:v>
                </c:pt>
                <c:pt idx="6">
                  <c:v>0.73541377516793471</c:v>
                </c:pt>
                <c:pt idx="7">
                  <c:v>0.74468853428749215</c:v>
                </c:pt>
                <c:pt idx="8">
                  <c:v>0.70509187374558735</c:v>
                </c:pt>
                <c:pt idx="9">
                  <c:v>0.73922673930687277</c:v>
                </c:pt>
                <c:pt idx="10">
                  <c:v>0.77421518688815294</c:v>
                </c:pt>
                <c:pt idx="11">
                  <c:v>0.7750602035828873</c:v>
                </c:pt>
                <c:pt idx="12">
                  <c:v>0.71772243332640207</c:v>
                </c:pt>
                <c:pt idx="13">
                  <c:v>0.69238432336862221</c:v>
                </c:pt>
                <c:pt idx="14">
                  <c:v>0.81042461768659557</c:v>
                </c:pt>
                <c:pt idx="15">
                  <c:v>0.83971216191400699</c:v>
                </c:pt>
                <c:pt idx="16">
                  <c:v>0.76805074968800469</c:v>
                </c:pt>
                <c:pt idx="17">
                  <c:v>0.77952071045551719</c:v>
                </c:pt>
                <c:pt idx="18">
                  <c:v>0.78794392532763657</c:v>
                </c:pt>
                <c:pt idx="19">
                  <c:v>0.70046371859259748</c:v>
                </c:pt>
                <c:pt idx="20">
                  <c:v>0.84499156276491139</c:v>
                </c:pt>
                <c:pt idx="21">
                  <c:v>0.83750460615343214</c:v>
                </c:pt>
                <c:pt idx="22">
                  <c:v>0.88512751861105299</c:v>
                </c:pt>
                <c:pt idx="23">
                  <c:v>0.70065189883432588</c:v>
                </c:pt>
                <c:pt idx="24">
                  <c:v>0.76389599747968673</c:v>
                </c:pt>
                <c:pt idx="25">
                  <c:v>0.62155443750787687</c:v>
                </c:pt>
                <c:pt idx="26">
                  <c:v>0.7009571357665586</c:v>
                </c:pt>
                <c:pt idx="27">
                  <c:v>0.68067041264212103</c:v>
                </c:pt>
                <c:pt idx="28">
                  <c:v>0.57937830623980902</c:v>
                </c:pt>
                <c:pt idx="29">
                  <c:v>0.9137244591727095</c:v>
                </c:pt>
                <c:pt idx="30">
                  <c:v>0.81014162339068374</c:v>
                </c:pt>
                <c:pt idx="31">
                  <c:v>0.77041309484309028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9F-4962-8E02-10B923B2D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181136"/>
        <c:axId val="-1427200720"/>
      </c:scatterChart>
      <c:valAx>
        <c:axId val="-142718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200720"/>
        <c:crosses val="autoZero"/>
        <c:crossBetween val="midCat"/>
      </c:valAx>
      <c:valAx>
        <c:axId val="-142720072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81136"/>
        <c:crosses val="autoZero"/>
        <c:crossBetween val="midCat"/>
        <c:majorUnit val="0.1500000000000000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'CVAR-var'!$B$98</c:f>
              <c:strCache>
                <c:ptCount val="1"/>
                <c:pt idx="0">
                  <c:v>Densidad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'CVAR-var'!$A$99:$A$105</c:f>
              <c:strCache>
                <c:ptCount val="7"/>
                <c:pt idx="0">
                  <c:v>1950-1959</c:v>
                </c:pt>
                <c:pt idx="1">
                  <c:v>1960-1969</c:v>
                </c:pt>
                <c:pt idx="2">
                  <c:v>1970-1979</c:v>
                </c:pt>
                <c:pt idx="3">
                  <c:v>1980-1989</c:v>
                </c:pt>
                <c:pt idx="4">
                  <c:v>1990-1999</c:v>
                </c:pt>
                <c:pt idx="5">
                  <c:v>2000-2010</c:v>
                </c:pt>
                <c:pt idx="6">
                  <c:v>2011-2015</c:v>
                </c:pt>
              </c:strCache>
            </c:strRef>
          </c:cat>
          <c:val>
            <c:numRef>
              <c:f>'CVAR-var'!$B$99:$B$105</c:f>
              <c:numCache>
                <c:formatCode>0.000</c:formatCode>
                <c:ptCount val="7"/>
                <c:pt idx="0">
                  <c:v>0.91058964716831958</c:v>
                </c:pt>
                <c:pt idx="1">
                  <c:v>-9.9306108349359365E-2</c:v>
                </c:pt>
                <c:pt idx="2">
                  <c:v>1.0738725975532781</c:v>
                </c:pt>
                <c:pt idx="3">
                  <c:v>-0.34596455414648331</c:v>
                </c:pt>
                <c:pt idx="4">
                  <c:v>-0.3440969905270439</c:v>
                </c:pt>
                <c:pt idx="5">
                  <c:v>-0.97572065445021983</c:v>
                </c:pt>
                <c:pt idx="6">
                  <c:v>-0.36562322874749209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E-48E4-A5C9-8F6D43AAF1D0}"/>
            </c:ext>
          </c:extLst>
        </c:ser>
        <c:ser>
          <c:idx val="1"/>
          <c:order val="1"/>
          <c:tx>
            <c:strRef>
              <c:f>'CVAR-var'!$C$98</c:f>
              <c:strCache>
                <c:ptCount val="1"/>
                <c:pt idx="0">
                  <c:v>Extensión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'CVAR-var'!$C$99:$C$105</c:f>
              <c:numCache>
                <c:formatCode>0.000</c:formatCode>
                <c:ptCount val="7"/>
                <c:pt idx="0">
                  <c:v>0.32802563961690595</c:v>
                </c:pt>
                <c:pt idx="1">
                  <c:v>-7.6885664301923048E-2</c:v>
                </c:pt>
                <c:pt idx="2">
                  <c:v>-0.93790107805981549</c:v>
                </c:pt>
                <c:pt idx="3">
                  <c:v>-0.35947042777384386</c:v>
                </c:pt>
                <c:pt idx="4">
                  <c:v>0.16896722792974794</c:v>
                </c:pt>
                <c:pt idx="5">
                  <c:v>0.50672117741304001</c:v>
                </c:pt>
                <c:pt idx="6">
                  <c:v>0.61757187529319002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E-48E4-A5C9-8F6D43AAF1D0}"/>
            </c:ext>
          </c:extLst>
        </c:ser>
        <c:ser>
          <c:idx val="2"/>
          <c:order val="2"/>
          <c:tx>
            <c:strRef>
              <c:f>'CVAR-var'!$D$98</c:f>
              <c:strCache>
                <c:ptCount val="1"/>
                <c:pt idx="0">
                  <c:v>Calcificación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'CVAR-var'!$D$99:$D$105</c:f>
              <c:numCache>
                <c:formatCode>0.000</c:formatCode>
                <c:ptCount val="7"/>
                <c:pt idx="0">
                  <c:v>1.1911667686603757</c:v>
                </c:pt>
                <c:pt idx="1">
                  <c:v>-0.19616661302668081</c:v>
                </c:pt>
                <c:pt idx="2">
                  <c:v>-2.8330470696521535E-2</c:v>
                </c:pt>
                <c:pt idx="3">
                  <c:v>-0.47976659971627506</c:v>
                </c:pt>
                <c:pt idx="4">
                  <c:v>-0.16776632175151376</c:v>
                </c:pt>
                <c:pt idx="5">
                  <c:v>-0.34418617961330417</c:v>
                </c:pt>
                <c:pt idx="6">
                  <c:v>4.1749026906540511E-2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4E-48E4-A5C9-8F6D43AAF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427185488"/>
        <c:axId val="-1427179504"/>
      </c:barChart>
      <c:catAx>
        <c:axId val="-142718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79504"/>
        <c:crossesAt val="0"/>
        <c:auto val="1"/>
        <c:lblAlgn val="ctr"/>
        <c:lblOffset val="100"/>
        <c:noMultiLvlLbl val="0"/>
      </c:catAx>
      <c:valAx>
        <c:axId val="-1427179504"/>
        <c:scaling>
          <c:orientation val="minMax"/>
        </c:scaling>
        <c:delete val="0"/>
        <c:axPos val="l"/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8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'CVAR-var'!$B$98</c:f>
              <c:strCache>
                <c:ptCount val="1"/>
                <c:pt idx="0">
                  <c:v>Densidad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('CVAR-var'!$H$74,'CVAR-var'!$H$76,'CVAR-var'!$H$78,'CVAR-var'!$H$80,'CVAR-var'!$H$82,'CVAR-var'!$H$84,'CVAR-var'!$H$86)</c:f>
                <c:numCache>
                  <c:formatCode>General</c:formatCode>
                  <c:ptCount val="7"/>
                  <c:pt idx="0">
                    <c:v>0.37227604711897827</c:v>
                  </c:pt>
                  <c:pt idx="1">
                    <c:v>1.0753389592635034</c:v>
                  </c:pt>
                  <c:pt idx="2">
                    <c:v>0.79057983760310468</c:v>
                  </c:pt>
                  <c:pt idx="3">
                    <c:v>0.79063016993793778</c:v>
                  </c:pt>
                  <c:pt idx="4">
                    <c:v>0.50685789979296492</c:v>
                  </c:pt>
                  <c:pt idx="5">
                    <c:v>0.66403483437174682</c:v>
                  </c:pt>
                  <c:pt idx="6">
                    <c:v>0.79851920262036646</c:v>
                  </c:pt>
                </c:numCache>
              </c:numRef>
            </c:plus>
            <c:minus>
              <c:numRef>
                <c:f>('CVAR-var'!$H$74,'CVAR-var'!$H$76,'CVAR-var'!$H$78,'CVAR-var'!$H$80,'CVAR-var'!$H$82,'CVAR-var'!$H$84,'CVAR-var'!$H$86)</c:f>
                <c:numCache>
                  <c:formatCode>General</c:formatCode>
                  <c:ptCount val="7"/>
                  <c:pt idx="0">
                    <c:v>0.37227604711897827</c:v>
                  </c:pt>
                  <c:pt idx="1">
                    <c:v>1.0753389592635034</c:v>
                  </c:pt>
                  <c:pt idx="2">
                    <c:v>0.79057983760310468</c:v>
                  </c:pt>
                  <c:pt idx="3">
                    <c:v>0.79063016993793778</c:v>
                  </c:pt>
                  <c:pt idx="4">
                    <c:v>0.50685789979296492</c:v>
                  </c:pt>
                  <c:pt idx="5">
                    <c:v>0.66403483437174682</c:v>
                  </c:pt>
                  <c:pt idx="6">
                    <c:v>0.79851920262036646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'CVAR-var'!$A$99:$A$105</c:f>
              <c:strCache>
                <c:ptCount val="7"/>
                <c:pt idx="0">
                  <c:v>1950-1959</c:v>
                </c:pt>
                <c:pt idx="1">
                  <c:v>1960-1969</c:v>
                </c:pt>
                <c:pt idx="2">
                  <c:v>1970-1979</c:v>
                </c:pt>
                <c:pt idx="3">
                  <c:v>1980-1989</c:v>
                </c:pt>
                <c:pt idx="4">
                  <c:v>1990-1999</c:v>
                </c:pt>
                <c:pt idx="5">
                  <c:v>2000-2010</c:v>
                </c:pt>
                <c:pt idx="6">
                  <c:v>2011-2015</c:v>
                </c:pt>
              </c:strCache>
            </c:strRef>
          </c:cat>
          <c:val>
            <c:numRef>
              <c:f>('CVAR-var'!$H$73,'CVAR-var'!$H$75,'CVAR-var'!$H$77,'CVAR-var'!$H$79,'CVAR-var'!$H$81,'CVAR-var'!$H$83,'CVAR-var'!$H$85)</c:f>
              <c:numCache>
                <c:formatCode>0.000</c:formatCode>
                <c:ptCount val="7"/>
                <c:pt idx="0">
                  <c:v>0.91058964716832169</c:v>
                </c:pt>
                <c:pt idx="1">
                  <c:v>-9.93061083493606E-2</c:v>
                </c:pt>
                <c:pt idx="2">
                  <c:v>1.0738725975532784</c:v>
                </c:pt>
                <c:pt idx="3">
                  <c:v>-0.34596455414648175</c:v>
                </c:pt>
                <c:pt idx="4">
                  <c:v>-0.34409699052704312</c:v>
                </c:pt>
                <c:pt idx="5">
                  <c:v>-0.97572065445022038</c:v>
                </c:pt>
                <c:pt idx="6">
                  <c:v>-0.3656232287474932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6-49CA-8087-FDA253E76993}"/>
            </c:ext>
          </c:extLst>
        </c:ser>
        <c:ser>
          <c:idx val="1"/>
          <c:order val="1"/>
          <c:tx>
            <c:strRef>
              <c:f>'CVAR-var'!$C$98</c:f>
              <c:strCache>
                <c:ptCount val="1"/>
                <c:pt idx="0">
                  <c:v>Extensión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('CVAR-var'!$I$74,'CVAR-var'!$I$76,'CVAR-var'!$I$78,'CVAR-var'!$I$80,'CVAR-var'!$I$82,'CVAR-var'!$I$84,'CVAR-var'!$I$86)</c:f>
                <c:numCache>
                  <c:formatCode>General</c:formatCode>
                  <c:ptCount val="7"/>
                  <c:pt idx="0">
                    <c:v>0.66486722029935386</c:v>
                  </c:pt>
                  <c:pt idx="1">
                    <c:v>1.1734891239189795</c:v>
                  </c:pt>
                  <c:pt idx="2">
                    <c:v>0.4627307618758828</c:v>
                  </c:pt>
                  <c:pt idx="3">
                    <c:v>0.91223391941205501</c:v>
                  </c:pt>
                  <c:pt idx="4">
                    <c:v>0.8000357776085063</c:v>
                  </c:pt>
                  <c:pt idx="5">
                    <c:v>0.80967222042284803</c:v>
                  </c:pt>
                  <c:pt idx="6">
                    <c:v>1.4956732842543976</c:v>
                  </c:pt>
                </c:numCache>
              </c:numRef>
            </c:plus>
            <c:minus>
              <c:numRef>
                <c:f>('CVAR-var'!$I$74,'CVAR-var'!$I$76,'CVAR-var'!$I$78,'CVAR-var'!$I$80,'CVAR-var'!$I$82,'CVAR-var'!$I$84,'CVAR-var'!$I$86)</c:f>
                <c:numCache>
                  <c:formatCode>General</c:formatCode>
                  <c:ptCount val="7"/>
                  <c:pt idx="0">
                    <c:v>0.66486722029935386</c:v>
                  </c:pt>
                  <c:pt idx="1">
                    <c:v>1.1734891239189795</c:v>
                  </c:pt>
                  <c:pt idx="2">
                    <c:v>0.4627307618758828</c:v>
                  </c:pt>
                  <c:pt idx="3">
                    <c:v>0.91223391941205501</c:v>
                  </c:pt>
                  <c:pt idx="4">
                    <c:v>0.8000357776085063</c:v>
                  </c:pt>
                  <c:pt idx="5">
                    <c:v>0.80967222042284803</c:v>
                  </c:pt>
                  <c:pt idx="6">
                    <c:v>1.4956732842543976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('CVAR-var'!$I$73,'CVAR-var'!$I$75,'CVAR-var'!$I$77,'CVAR-var'!$I$79,'CVAR-var'!$I$81,'CVAR-var'!$I$83,'CVAR-var'!$I$85)</c:f>
              <c:numCache>
                <c:formatCode>0.000</c:formatCode>
                <c:ptCount val="7"/>
                <c:pt idx="0">
                  <c:v>0.32802563961690634</c:v>
                </c:pt>
                <c:pt idx="1">
                  <c:v>-7.6885664301923354E-2</c:v>
                </c:pt>
                <c:pt idx="2">
                  <c:v>-0.93790107805981626</c:v>
                </c:pt>
                <c:pt idx="3">
                  <c:v>-0.35947042777384314</c:v>
                </c:pt>
                <c:pt idx="4">
                  <c:v>0.16896722792974567</c:v>
                </c:pt>
                <c:pt idx="5">
                  <c:v>0.50672117741303968</c:v>
                </c:pt>
                <c:pt idx="6">
                  <c:v>0.61757187529319102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36-49CA-8087-FDA253E76993}"/>
            </c:ext>
          </c:extLst>
        </c:ser>
        <c:ser>
          <c:idx val="2"/>
          <c:order val="2"/>
          <c:tx>
            <c:strRef>
              <c:f>'CVAR-var'!$D$98</c:f>
              <c:strCache>
                <c:ptCount val="1"/>
                <c:pt idx="0">
                  <c:v>Calcificación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('CVAR-var'!$J$74,'CVAR-var'!$J$76,'CVAR-var'!$J$78,'CVAR-var'!$J$80,'CVAR-var'!$J$82,'CVAR-var'!$J$84,'CVAR-var'!$J$86)</c:f>
                <c:numCache>
                  <c:formatCode>General</c:formatCode>
                  <c:ptCount val="7"/>
                  <c:pt idx="0">
                    <c:v>0.50461716683459457</c:v>
                  </c:pt>
                  <c:pt idx="1">
                    <c:v>0.98300057775444383</c:v>
                  </c:pt>
                  <c:pt idx="2">
                    <c:v>0.65609378791428741</c:v>
                  </c:pt>
                  <c:pt idx="3">
                    <c:v>1.2289799049536039</c:v>
                  </c:pt>
                  <c:pt idx="4">
                    <c:v>0.88987934778657951</c:v>
                  </c:pt>
                  <c:pt idx="5">
                    <c:v>0.52765341948095257</c:v>
                  </c:pt>
                  <c:pt idx="6">
                    <c:v>1.3077705653817042</c:v>
                  </c:pt>
                </c:numCache>
              </c:numRef>
            </c:plus>
            <c:minus>
              <c:numRef>
                <c:f>('CVAR-var'!$J$74,'CVAR-var'!$J$76,'CVAR-var'!$J$78,'CVAR-var'!$J$80,'CVAR-var'!$J$82,'CVAR-var'!$J$84,'CVAR-var'!$J$86)</c:f>
                <c:numCache>
                  <c:formatCode>General</c:formatCode>
                  <c:ptCount val="7"/>
                  <c:pt idx="0">
                    <c:v>0.50461716683459457</c:v>
                  </c:pt>
                  <c:pt idx="1">
                    <c:v>0.98300057775444383</c:v>
                  </c:pt>
                  <c:pt idx="2">
                    <c:v>0.65609378791428741</c:v>
                  </c:pt>
                  <c:pt idx="3">
                    <c:v>1.2289799049536039</c:v>
                  </c:pt>
                  <c:pt idx="4">
                    <c:v>0.88987934778657951</c:v>
                  </c:pt>
                  <c:pt idx="5">
                    <c:v>0.52765341948095257</c:v>
                  </c:pt>
                  <c:pt idx="6">
                    <c:v>1.3077705653817042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('CVAR-var'!$J$73,'CVAR-var'!$J$75,'CVAR-var'!$J$77,'CVAR-var'!$J$79,'CVAR-var'!$J$81,'CVAR-var'!$J$83,'CVAR-var'!$J$85)</c:f>
              <c:numCache>
                <c:formatCode>0.000</c:formatCode>
                <c:ptCount val="7"/>
                <c:pt idx="0">
                  <c:v>1.191166768660378</c:v>
                </c:pt>
                <c:pt idx="1">
                  <c:v>-0.19616661302668156</c:v>
                </c:pt>
                <c:pt idx="2">
                  <c:v>-2.8330470696521132E-2</c:v>
                </c:pt>
                <c:pt idx="3">
                  <c:v>-0.47976659971627422</c:v>
                </c:pt>
                <c:pt idx="4">
                  <c:v>-0.16776632175151354</c:v>
                </c:pt>
                <c:pt idx="5">
                  <c:v>-0.34418617961330356</c:v>
                </c:pt>
                <c:pt idx="6">
                  <c:v>4.1749026906540039E-2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36-49CA-8087-FDA253E76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427183312"/>
        <c:axId val="-1427180592"/>
      </c:barChart>
      <c:catAx>
        <c:axId val="-142718331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80592"/>
        <c:crossesAt val="0"/>
        <c:auto val="1"/>
        <c:lblAlgn val="ctr"/>
        <c:lblOffset val="100"/>
        <c:noMultiLvlLbl val="0"/>
      </c:catAx>
      <c:valAx>
        <c:axId val="-1427180592"/>
        <c:scaling>
          <c:orientation val="minMax"/>
          <c:max val="2.3499999999999996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833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Temperatura</c:v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('CVAR-var'!$L$74,'CVAR-var'!$L$76,'CVAR-var'!$L$78,'CVAR-var'!$L$80,'CVAR-var'!$L$82,'CVAR-var'!$L$84,'CVAR-var'!$L$86)</c:f>
                <c:numCache>
                  <c:formatCode>General</c:formatCode>
                  <c:ptCount val="7"/>
                  <c:pt idx="0">
                    <c:v>1.1091519491762813</c:v>
                  </c:pt>
                  <c:pt idx="1">
                    <c:v>0.61956451885828923</c:v>
                  </c:pt>
                  <c:pt idx="2">
                    <c:v>1.2998693254143037</c:v>
                  </c:pt>
                  <c:pt idx="3">
                    <c:v>0.76213902489143748</c:v>
                  </c:pt>
                  <c:pt idx="4">
                    <c:v>0.69492509524631763</c:v>
                  </c:pt>
                  <c:pt idx="5">
                    <c:v>0.6231877340662324</c:v>
                  </c:pt>
                  <c:pt idx="6">
                    <c:v>0.66258508064528954</c:v>
                  </c:pt>
                </c:numCache>
              </c:numRef>
            </c:plus>
            <c:minus>
              <c:numRef>
                <c:f>('CVAR-var'!$L$74,'CVAR-var'!$L$76,'CVAR-var'!$L$78,'CVAR-var'!$L$80,'CVAR-var'!$L$82,'CVAR-var'!$L$84,'CVAR-var'!$L$86)</c:f>
                <c:numCache>
                  <c:formatCode>General</c:formatCode>
                  <c:ptCount val="7"/>
                  <c:pt idx="0">
                    <c:v>1.1091519491762813</c:v>
                  </c:pt>
                  <c:pt idx="1">
                    <c:v>0.61956451885828923</c:v>
                  </c:pt>
                  <c:pt idx="2">
                    <c:v>1.2998693254143037</c:v>
                  </c:pt>
                  <c:pt idx="3">
                    <c:v>0.76213902489143748</c:v>
                  </c:pt>
                  <c:pt idx="4">
                    <c:v>0.69492509524631763</c:v>
                  </c:pt>
                  <c:pt idx="5">
                    <c:v>0.6231877340662324</c:v>
                  </c:pt>
                  <c:pt idx="6">
                    <c:v>0.66258508064528954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'CVAR-var'!$A$99:$A$105</c:f>
              <c:strCache>
                <c:ptCount val="7"/>
                <c:pt idx="0">
                  <c:v>1950-1959</c:v>
                </c:pt>
                <c:pt idx="1">
                  <c:v>1960-1969</c:v>
                </c:pt>
                <c:pt idx="2">
                  <c:v>1970-1979</c:v>
                </c:pt>
                <c:pt idx="3">
                  <c:v>1980-1989</c:v>
                </c:pt>
                <c:pt idx="4">
                  <c:v>1990-1999</c:v>
                </c:pt>
                <c:pt idx="5">
                  <c:v>2000-2010</c:v>
                </c:pt>
                <c:pt idx="6">
                  <c:v>2011-2015</c:v>
                </c:pt>
              </c:strCache>
            </c:strRef>
          </c:cat>
          <c:val>
            <c:numRef>
              <c:f>('CVAR-var'!$L$73,'CVAR-var'!$L$75,'CVAR-var'!$L$77,'CVAR-var'!$L$79,'CVAR-var'!$L$81,'CVAR-var'!$L$83,'CVAR-var'!$L$85)</c:f>
              <c:numCache>
                <c:formatCode>0.000</c:formatCode>
                <c:ptCount val="7"/>
                <c:pt idx="0">
                  <c:v>7.1237581543141706E-2</c:v>
                </c:pt>
                <c:pt idx="1">
                  <c:v>-0.61537144907462982</c:v>
                </c:pt>
                <c:pt idx="2">
                  <c:v>0.21219705140506684</c:v>
                </c:pt>
                <c:pt idx="3">
                  <c:v>-0.26524631425629697</c:v>
                </c:pt>
                <c:pt idx="4">
                  <c:v>-0.23341675654553901</c:v>
                </c:pt>
                <c:pt idx="5">
                  <c:v>0.59415174393415882</c:v>
                </c:pt>
                <c:pt idx="6">
                  <c:v>0.85939805819047255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1-4C15-9425-ABC8F0B22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427171888"/>
        <c:axId val="-1427183856"/>
      </c:barChart>
      <c:catAx>
        <c:axId val="-14271718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83856"/>
        <c:crossesAt val="0"/>
        <c:auto val="1"/>
        <c:lblAlgn val="ctr"/>
        <c:lblOffset val="100"/>
        <c:noMultiLvlLbl val="0"/>
      </c:catAx>
      <c:valAx>
        <c:axId val="-1427183856"/>
        <c:scaling>
          <c:orientation val="minMax"/>
          <c:max val="2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7188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'CVAR-var'!$B$98</c:f>
              <c:strCache>
                <c:ptCount val="1"/>
                <c:pt idx="0">
                  <c:v>Densidad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'CVAR-var'!$A$99:$A$105</c:f>
              <c:strCache>
                <c:ptCount val="7"/>
                <c:pt idx="0">
                  <c:v>1950-1959</c:v>
                </c:pt>
                <c:pt idx="1">
                  <c:v>1960-1969</c:v>
                </c:pt>
                <c:pt idx="2">
                  <c:v>1970-1979</c:v>
                </c:pt>
                <c:pt idx="3">
                  <c:v>1980-1989</c:v>
                </c:pt>
                <c:pt idx="4">
                  <c:v>1990-1999</c:v>
                </c:pt>
                <c:pt idx="5">
                  <c:v>2000-2010</c:v>
                </c:pt>
                <c:pt idx="6">
                  <c:v>2011-2015</c:v>
                </c:pt>
              </c:strCache>
            </c:strRef>
          </c:cat>
          <c:val>
            <c:numRef>
              <c:f>'CVAR-var'!$B$99:$B$105</c:f>
              <c:numCache>
                <c:formatCode>0.000</c:formatCode>
                <c:ptCount val="7"/>
                <c:pt idx="0">
                  <c:v>0.91058964716831958</c:v>
                </c:pt>
                <c:pt idx="1">
                  <c:v>-9.9306108349359365E-2</c:v>
                </c:pt>
                <c:pt idx="2">
                  <c:v>1.0738725975532781</c:v>
                </c:pt>
                <c:pt idx="3">
                  <c:v>-0.34596455414648331</c:v>
                </c:pt>
                <c:pt idx="4">
                  <c:v>-0.3440969905270439</c:v>
                </c:pt>
                <c:pt idx="5">
                  <c:v>-0.97572065445021983</c:v>
                </c:pt>
                <c:pt idx="6">
                  <c:v>-0.36562322874749209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E-4CB5-8450-663F84867D84}"/>
            </c:ext>
          </c:extLst>
        </c:ser>
        <c:ser>
          <c:idx val="1"/>
          <c:order val="1"/>
          <c:tx>
            <c:strRef>
              <c:f>'CVAR-var'!$C$98</c:f>
              <c:strCache>
                <c:ptCount val="1"/>
                <c:pt idx="0">
                  <c:v>Extensión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'CVAR-var'!$C$99:$C$105</c:f>
              <c:numCache>
                <c:formatCode>0.000</c:formatCode>
                <c:ptCount val="7"/>
                <c:pt idx="0">
                  <c:v>0.32802563961690595</c:v>
                </c:pt>
                <c:pt idx="1">
                  <c:v>-7.6885664301923048E-2</c:v>
                </c:pt>
                <c:pt idx="2">
                  <c:v>-0.93790107805981549</c:v>
                </c:pt>
                <c:pt idx="3">
                  <c:v>-0.35947042777384386</c:v>
                </c:pt>
                <c:pt idx="4">
                  <c:v>0.16896722792974794</c:v>
                </c:pt>
                <c:pt idx="5">
                  <c:v>0.50672117741304001</c:v>
                </c:pt>
                <c:pt idx="6">
                  <c:v>0.61757187529319002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4E-4CB5-8450-663F84867D84}"/>
            </c:ext>
          </c:extLst>
        </c:ser>
        <c:ser>
          <c:idx val="2"/>
          <c:order val="2"/>
          <c:tx>
            <c:strRef>
              <c:f>'CVAR-var'!$D$98</c:f>
              <c:strCache>
                <c:ptCount val="1"/>
                <c:pt idx="0">
                  <c:v>Calcificación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'CVAR-var'!$D$99:$D$105</c:f>
              <c:numCache>
                <c:formatCode>0.000</c:formatCode>
                <c:ptCount val="7"/>
                <c:pt idx="0">
                  <c:v>1.1911667686603757</c:v>
                </c:pt>
                <c:pt idx="1">
                  <c:v>-0.19616661302668081</c:v>
                </c:pt>
                <c:pt idx="2">
                  <c:v>-2.8330470696521535E-2</c:v>
                </c:pt>
                <c:pt idx="3">
                  <c:v>-0.47976659971627506</c:v>
                </c:pt>
                <c:pt idx="4">
                  <c:v>-0.16776632175151376</c:v>
                </c:pt>
                <c:pt idx="5">
                  <c:v>-0.34418617961330417</c:v>
                </c:pt>
                <c:pt idx="6">
                  <c:v>4.1749026906540511E-2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4E-4CB5-8450-663F84867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427193648"/>
        <c:axId val="-1427175152"/>
      </c:barChart>
      <c:catAx>
        <c:axId val="-14271936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75152"/>
        <c:crossesAt val="0"/>
        <c:auto val="1"/>
        <c:lblAlgn val="ctr"/>
        <c:lblOffset val="100"/>
        <c:noMultiLvlLbl val="0"/>
      </c:catAx>
      <c:valAx>
        <c:axId val="-1427175152"/>
        <c:scaling>
          <c:orientation val="minMax"/>
        </c:scaling>
        <c:delete val="0"/>
        <c:axPos val="l"/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9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Varadero!$K$2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Varadero!$K$3:$K$68</c:f>
              <c:numCache>
                <c:formatCode>General</c:formatCode>
                <c:ptCount val="66"/>
                <c:pt idx="0">
                  <c:v>0.69635225112986576</c:v>
                </c:pt>
                <c:pt idx="1">
                  <c:v>0.71792658429669876</c:v>
                </c:pt>
                <c:pt idx="2">
                  <c:v>0.72271797965998219</c:v>
                </c:pt>
                <c:pt idx="3">
                  <c:v>0.7226144614629576</c:v>
                </c:pt>
                <c:pt idx="4">
                  <c:v>0.71558062552543311</c:v>
                </c:pt>
                <c:pt idx="5">
                  <c:v>0.71531997928677404</c:v>
                </c:pt>
                <c:pt idx="6">
                  <c:v>0.71014746741020685</c:v>
                </c:pt>
                <c:pt idx="7">
                  <c:v>0.71681602170451775</c:v>
                </c:pt>
                <c:pt idx="8">
                  <c:v>0.7133354581914898</c:v>
                </c:pt>
                <c:pt idx="9">
                  <c:v>0.70015104941403394</c:v>
                </c:pt>
                <c:pt idx="10">
                  <c:v>0.67687555738380267</c:v>
                </c:pt>
                <c:pt idx="11">
                  <c:v>0.66557516832944053</c:v>
                </c:pt>
                <c:pt idx="12">
                  <c:v>0.66333480770678555</c:v>
                </c:pt>
                <c:pt idx="13">
                  <c:v>0.66421153914980147</c:v>
                </c:pt>
                <c:pt idx="14">
                  <c:v>0.66396141320914148</c:v>
                </c:pt>
                <c:pt idx="15">
                  <c:v>0.66842005556216433</c:v>
                </c:pt>
                <c:pt idx="16">
                  <c:v>0.67196469050827456</c:v>
                </c:pt>
                <c:pt idx="17">
                  <c:v>0.68472838041705308</c:v>
                </c:pt>
                <c:pt idx="18">
                  <c:v>0.70184242311488343</c:v>
                </c:pt>
                <c:pt idx="19">
                  <c:v>0.7163432917105812</c:v>
                </c:pt>
                <c:pt idx="20">
                  <c:v>0.72331397058111335</c:v>
                </c:pt>
                <c:pt idx="21">
                  <c:v>0.72144222538150993</c:v>
                </c:pt>
                <c:pt idx="22">
                  <c:v>0.72076673385918888</c:v>
                </c:pt>
                <c:pt idx="23">
                  <c:v>0.71986496090414043</c:v>
                </c:pt>
                <c:pt idx="24">
                  <c:v>0.7129714034455723</c:v>
                </c:pt>
                <c:pt idx="25">
                  <c:v>0.70824756345490925</c:v>
                </c:pt>
                <c:pt idx="26">
                  <c:v>0.71424586492438413</c:v>
                </c:pt>
                <c:pt idx="27">
                  <c:v>0.71655638209816053</c:v>
                </c:pt>
                <c:pt idx="28">
                  <c:v>0.71066863967725424</c:v>
                </c:pt>
                <c:pt idx="29">
                  <c:v>0.71123060203796273</c:v>
                </c:pt>
                <c:pt idx="30">
                  <c:v>0.71297749307830083</c:v>
                </c:pt>
                <c:pt idx="31">
                  <c:v>0.72580510177044255</c:v>
                </c:pt>
                <c:pt idx="32">
                  <c:v>0.74210585145187313</c:v>
                </c:pt>
                <c:pt idx="33">
                  <c:v>0.77097107521880714</c:v>
                </c:pt>
                <c:pt idx="34">
                  <c:v>0.78207391505782986</c:v>
                </c:pt>
                <c:pt idx="35">
                  <c:v>0.78404907670473967</c:v>
                </c:pt>
                <c:pt idx="36">
                  <c:v>0.78163772539751575</c:v>
                </c:pt>
                <c:pt idx="37">
                  <c:v>0.79403367790321633</c:v>
                </c:pt>
                <c:pt idx="38">
                  <c:v>0.81262405848187813</c:v>
                </c:pt>
                <c:pt idx="39">
                  <c:v>0.83226104796503142</c:v>
                </c:pt>
                <c:pt idx="40">
                  <c:v>0.82666457467779131</c:v>
                </c:pt>
                <c:pt idx="41">
                  <c:v>0.82056295955458658</c:v>
                </c:pt>
                <c:pt idx="42">
                  <c:v>0.81408726969263923</c:v>
                </c:pt>
                <c:pt idx="43">
                  <c:v>0.8089845614076181</c:v>
                </c:pt>
                <c:pt idx="44">
                  <c:v>0.79874647743255456</c:v>
                </c:pt>
                <c:pt idx="45">
                  <c:v>0.79190214629019662</c:v>
                </c:pt>
                <c:pt idx="46">
                  <c:v>0.77666909096102132</c:v>
                </c:pt>
                <c:pt idx="47">
                  <c:v>0.74501549079256535</c:v>
                </c:pt>
                <c:pt idx="48">
                  <c:v>0.72080928218920681</c:v>
                </c:pt>
                <c:pt idx="49">
                  <c:v>0.72933189141281329</c:v>
                </c:pt>
                <c:pt idx="50">
                  <c:v>0.73270027559173867</c:v>
                </c:pt>
                <c:pt idx="51">
                  <c:v>0.72511274926564129</c:v>
                </c:pt>
                <c:pt idx="52">
                  <c:v>0.72823539086977163</c:v>
                </c:pt>
                <c:pt idx="53">
                  <c:v>0.73626911467035638</c:v>
                </c:pt>
                <c:pt idx="54">
                  <c:v>0.74547743888238094</c:v>
                </c:pt>
                <c:pt idx="55">
                  <c:v>0.76492611757717022</c:v>
                </c:pt>
                <c:pt idx="56">
                  <c:v>0.78907035756043165</c:v>
                </c:pt>
                <c:pt idx="57">
                  <c:v>0.80488810848714332</c:v>
                </c:pt>
                <c:pt idx="58">
                  <c:v>0.80836745104468166</c:v>
                </c:pt>
                <c:pt idx="59">
                  <c:v>0.81019572540174012</c:v>
                </c:pt>
                <c:pt idx="60">
                  <c:v>0.81599174656497253</c:v>
                </c:pt>
                <c:pt idx="61">
                  <c:v>0.81047193185134314</c:v>
                </c:pt>
                <c:pt idx="62">
                  <c:v>0.8100116510159644</c:v>
                </c:pt>
                <c:pt idx="63">
                  <c:v>0.8134593378440611</c:v>
                </c:pt>
                <c:pt idx="64">
                  <c:v>0.80847903743911553</c:v>
                </c:pt>
                <c:pt idx="65">
                  <c:v>0.80671768393237886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58-4060-B9F6-F0F71DB7D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172432"/>
        <c:axId val="-1427170256"/>
      </c:scatterChart>
      <c:scatterChart>
        <c:scatterStyle val="lineMarker"/>
        <c:varyColors val="0"/>
        <c:ser>
          <c:idx val="1"/>
          <c:order val="1"/>
          <c:tx>
            <c:v>T° aire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Varadero!$U$3:$U$65</c:f>
              <c:numCache>
                <c:formatCode>General</c:formatCode>
                <c:ptCount val="63"/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</c:numCache>
            </c:numRef>
          </c:xVal>
          <c:yVal>
            <c:numRef>
              <c:f>Varadero!$W$3:$W$65</c:f>
              <c:numCache>
                <c:formatCode>General</c:formatCode>
                <c:ptCount val="63"/>
                <c:pt idx="2">
                  <c:v>28.15</c:v>
                </c:pt>
                <c:pt idx="3">
                  <c:v>28.033333333333331</c:v>
                </c:pt>
                <c:pt idx="4">
                  <c:v>28</c:v>
                </c:pt>
                <c:pt idx="5">
                  <c:v>28.033333333333335</c:v>
                </c:pt>
                <c:pt idx="6">
                  <c:v>27.966666666666669</c:v>
                </c:pt>
                <c:pt idx="7">
                  <c:v>27.866666666666664</c:v>
                </c:pt>
                <c:pt idx="8">
                  <c:v>27.8</c:v>
                </c:pt>
                <c:pt idx="9">
                  <c:v>27.966666666666669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27.933333333333334</c:v>
                </c:pt>
                <c:pt idx="14">
                  <c:v>27.733333333333331</c:v>
                </c:pt>
                <c:pt idx="15">
                  <c:v>27.5</c:v>
                </c:pt>
                <c:pt idx="16">
                  <c:v>27.633333333333336</c:v>
                </c:pt>
                <c:pt idx="17">
                  <c:v>27.766666666666666</c:v>
                </c:pt>
                <c:pt idx="18">
                  <c:v>27.866666666666671</c:v>
                </c:pt>
                <c:pt idx="19">
                  <c:v>27.766666666666666</c:v>
                </c:pt>
                <c:pt idx="20">
                  <c:v>27.666666666666668</c:v>
                </c:pt>
                <c:pt idx="21">
                  <c:v>27.7</c:v>
                </c:pt>
                <c:pt idx="22">
                  <c:v>27.7</c:v>
                </c:pt>
                <c:pt idx="23">
                  <c:v>27.733333333333334</c:v>
                </c:pt>
                <c:pt idx="24">
                  <c:v>27.633333333333336</c:v>
                </c:pt>
                <c:pt idx="25">
                  <c:v>27.566666666666666</c:v>
                </c:pt>
                <c:pt idx="26">
                  <c:v>27.533333333333331</c:v>
                </c:pt>
                <c:pt idx="27">
                  <c:v>27.7</c:v>
                </c:pt>
                <c:pt idx="28">
                  <c:v>27.733333333333334</c:v>
                </c:pt>
                <c:pt idx="29">
                  <c:v>27.733333333333334</c:v>
                </c:pt>
                <c:pt idx="30">
                  <c:v>27.533333333333331</c:v>
                </c:pt>
                <c:pt idx="31">
                  <c:v>27.666666666666668</c:v>
                </c:pt>
                <c:pt idx="32">
                  <c:v>27.7</c:v>
                </c:pt>
                <c:pt idx="33">
                  <c:v>27.866666666666664</c:v>
                </c:pt>
                <c:pt idx="34">
                  <c:v>27.866666666666664</c:v>
                </c:pt>
                <c:pt idx="35">
                  <c:v>28.033333333333331</c:v>
                </c:pt>
                <c:pt idx="36">
                  <c:v>28.100000000000005</c:v>
                </c:pt>
                <c:pt idx="37">
                  <c:v>27.966666666666669</c:v>
                </c:pt>
                <c:pt idx="38">
                  <c:v>27.666666666666668</c:v>
                </c:pt>
                <c:pt idx="39">
                  <c:v>27.333333333333332</c:v>
                </c:pt>
                <c:pt idx="40">
                  <c:v>27.366666666666664</c:v>
                </c:pt>
                <c:pt idx="41">
                  <c:v>27.600000000000005</c:v>
                </c:pt>
                <c:pt idx="42">
                  <c:v>28.033333333333331</c:v>
                </c:pt>
                <c:pt idx="43">
                  <c:v>28.066666666666663</c:v>
                </c:pt>
                <c:pt idx="44">
                  <c:v>27.966666666666669</c:v>
                </c:pt>
                <c:pt idx="45">
                  <c:v>27.666666666666668</c:v>
                </c:pt>
                <c:pt idx="46">
                  <c:v>27.466666666666669</c:v>
                </c:pt>
                <c:pt idx="47">
                  <c:v>27.5</c:v>
                </c:pt>
                <c:pt idx="48">
                  <c:v>27.5</c:v>
                </c:pt>
                <c:pt idx="49">
                  <c:v>27.600000000000005</c:v>
                </c:pt>
                <c:pt idx="50">
                  <c:v>27.533333333333331</c:v>
                </c:pt>
                <c:pt idx="51">
                  <c:v>27.633333333333336</c:v>
                </c:pt>
                <c:pt idx="52">
                  <c:v>27.733333333333331</c:v>
                </c:pt>
                <c:pt idx="53">
                  <c:v>27.666666666666668</c:v>
                </c:pt>
                <c:pt idx="54">
                  <c:v>27.7</c:v>
                </c:pt>
                <c:pt idx="55">
                  <c:v>27.566666666666666</c:v>
                </c:pt>
                <c:pt idx="56">
                  <c:v>27.900000000000002</c:v>
                </c:pt>
                <c:pt idx="57">
                  <c:v>27.966666666666669</c:v>
                </c:pt>
                <c:pt idx="58">
                  <c:v>27.900000000000002</c:v>
                </c:pt>
                <c:pt idx="59">
                  <c:v>27.666666666666668</c:v>
                </c:pt>
                <c:pt idx="60">
                  <c:v>27.566666666666666</c:v>
                </c:pt>
                <c:pt idx="61">
                  <c:v>28.033333333333335</c:v>
                </c:pt>
                <c:pt idx="62">
                  <c:v>28.25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58-4060-B9F6-F0F71DB7D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187120"/>
        <c:axId val="-1427196368"/>
      </c:scatterChart>
      <c:valAx>
        <c:axId val="-1427172432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70256"/>
        <c:crosses val="autoZero"/>
        <c:crossBetween val="midCat"/>
      </c:valAx>
      <c:valAx>
        <c:axId val="-1427170256"/>
        <c:scaling>
          <c:orientation val="minMax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72432"/>
        <c:crosses val="autoZero"/>
        <c:crossBetween val="midCat"/>
        <c:majorUnit val="5.000000000000001E-2"/>
      </c:valAx>
      <c:valAx>
        <c:axId val="-14271963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Temperatura</a:t>
                </a:r>
                <a:r>
                  <a:rPr lang="es-CO" sz="1050" baseline="0">
                    <a:solidFill>
                      <a:schemeClr val="tx1"/>
                    </a:solidFill>
                  </a:rPr>
                  <a:t> (°C)</a:t>
                </a:r>
                <a:endParaRPr lang="es-CO" sz="105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87120"/>
        <c:crosses val="max"/>
        <c:crossBetween val="midCat"/>
      </c:valAx>
      <c:valAx>
        <c:axId val="-1427187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7196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Varadero!$L$2</c:f>
              <c:strCache>
                <c:ptCount val="1"/>
                <c:pt idx="0">
                  <c:v>Extension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Varadero!$L$3:$L$68</c:f>
              <c:numCache>
                <c:formatCode>General</c:formatCode>
                <c:ptCount val="66"/>
                <c:pt idx="0" formatCode="0.000">
                  <c:v>1.1880557499999997</c:v>
                </c:pt>
                <c:pt idx="1">
                  <c:v>1.1502877083333332</c:v>
                </c:pt>
                <c:pt idx="2">
                  <c:v>1.1274808928571427</c:v>
                </c:pt>
                <c:pt idx="3">
                  <c:v>1.1175364062499997</c:v>
                </c:pt>
                <c:pt idx="4" formatCode="0.000">
                  <c:v>1.1124448611111108</c:v>
                </c:pt>
                <c:pt idx="5">
                  <c:v>1.0843738888888887</c:v>
                </c:pt>
                <c:pt idx="6">
                  <c:v>1.1054669444444447</c:v>
                </c:pt>
                <c:pt idx="7">
                  <c:v>1.0662159722222222</c:v>
                </c:pt>
                <c:pt idx="8">
                  <c:v>1.0734090277777777</c:v>
                </c:pt>
                <c:pt idx="9">
                  <c:v>1.0789761111111107</c:v>
                </c:pt>
                <c:pt idx="10">
                  <c:v>1.1190848611111106</c:v>
                </c:pt>
                <c:pt idx="11">
                  <c:v>1.152029166666666</c:v>
                </c:pt>
                <c:pt idx="12">
                  <c:v>1.1588638888888878</c:v>
                </c:pt>
                <c:pt idx="13">
                  <c:v>1.1713401388888842</c:v>
                </c:pt>
                <c:pt idx="14">
                  <c:v>1.186386805555548</c:v>
                </c:pt>
                <c:pt idx="15">
                  <c:v>1.1693086111111004</c:v>
                </c:pt>
                <c:pt idx="16">
                  <c:v>1.1740138888888758</c:v>
                </c:pt>
                <c:pt idx="17">
                  <c:v>1.1745995833333249</c:v>
                </c:pt>
                <c:pt idx="18">
                  <c:v>1.1798204166666659</c:v>
                </c:pt>
                <c:pt idx="19">
                  <c:v>1.137599166666672</c:v>
                </c:pt>
                <c:pt idx="20">
                  <c:v>1.1126895833333448</c:v>
                </c:pt>
                <c:pt idx="21">
                  <c:v>1.0900872222222389</c:v>
                </c:pt>
                <c:pt idx="22">
                  <c:v>1.0800947222222479</c:v>
                </c:pt>
                <c:pt idx="23">
                  <c:v>1.0541616666667009</c:v>
                </c:pt>
                <c:pt idx="24">
                  <c:v>1.0388813888889297</c:v>
                </c:pt>
                <c:pt idx="25">
                  <c:v>1.0548358333333856</c:v>
                </c:pt>
                <c:pt idx="26">
                  <c:v>1.0414043055556088</c:v>
                </c:pt>
                <c:pt idx="27">
                  <c:v>1.0148584722222731</c:v>
                </c:pt>
                <c:pt idx="28">
                  <c:v>1.0228600000000501</c:v>
                </c:pt>
                <c:pt idx="29">
                  <c:v>1.0118147222222698</c:v>
                </c:pt>
                <c:pt idx="30">
                  <c:v>1.0106158796296727</c:v>
                </c:pt>
                <c:pt idx="31">
                  <c:v>1.0155348148148524</c:v>
                </c:pt>
                <c:pt idx="32">
                  <c:v>1.0141754166666985</c:v>
                </c:pt>
                <c:pt idx="33">
                  <c:v>1.0249488888889173</c:v>
                </c:pt>
                <c:pt idx="34">
                  <c:v>0.99329800925927947</c:v>
                </c:pt>
                <c:pt idx="35">
                  <c:v>0.97711328703705247</c:v>
                </c:pt>
                <c:pt idx="36">
                  <c:v>0.97097967592593681</c:v>
                </c:pt>
                <c:pt idx="37">
                  <c:v>0.96738259259259962</c:v>
                </c:pt>
                <c:pt idx="38">
                  <c:v>0.95660703703704142</c:v>
                </c:pt>
                <c:pt idx="39">
                  <c:v>0.95670129629630141</c:v>
                </c:pt>
                <c:pt idx="40">
                  <c:v>0.9401416666666722</c:v>
                </c:pt>
                <c:pt idx="41">
                  <c:v>0.94629037037037633</c:v>
                </c:pt>
                <c:pt idx="42">
                  <c:v>0.94232814814815469</c:v>
                </c:pt>
                <c:pt idx="43">
                  <c:v>0.92973055555556294</c:v>
                </c:pt>
                <c:pt idx="44">
                  <c:v>0.9352894444444515</c:v>
                </c:pt>
                <c:pt idx="45">
                  <c:v>0.95773111111111908</c:v>
                </c:pt>
                <c:pt idx="46">
                  <c:v>0.96534111111111942</c:v>
                </c:pt>
                <c:pt idx="47">
                  <c:v>1.0107600000000083</c:v>
                </c:pt>
                <c:pt idx="48">
                  <c:v>1.0532055555555639</c:v>
                </c:pt>
                <c:pt idx="49">
                  <c:v>1.0395411111111195</c:v>
                </c:pt>
                <c:pt idx="50">
                  <c:v>1.0569844444444538</c:v>
                </c:pt>
                <c:pt idx="51">
                  <c:v>1.0705950000000093</c:v>
                </c:pt>
                <c:pt idx="52">
                  <c:v>1.1044894444444533</c:v>
                </c:pt>
                <c:pt idx="53">
                  <c:v>1.1145733333333425</c:v>
                </c:pt>
                <c:pt idx="54">
                  <c:v>1.1171322222222324</c:v>
                </c:pt>
                <c:pt idx="55">
                  <c:v>1.1089094444444558</c:v>
                </c:pt>
                <c:pt idx="56">
                  <c:v>1.0961011111111243</c:v>
                </c:pt>
                <c:pt idx="57">
                  <c:v>1.0734911111111258</c:v>
                </c:pt>
                <c:pt idx="58">
                  <c:v>1.0992944444444612</c:v>
                </c:pt>
                <c:pt idx="59">
                  <c:v>1.0923505555555728</c:v>
                </c:pt>
                <c:pt idx="60">
                  <c:v>1.0943266666666862</c:v>
                </c:pt>
                <c:pt idx="61">
                  <c:v>1.1042461111111328</c:v>
                </c:pt>
                <c:pt idx="62">
                  <c:v>1.1165781250000233</c:v>
                </c:pt>
                <c:pt idx="63">
                  <c:v>1.1156128571428809</c:v>
                </c:pt>
                <c:pt idx="64">
                  <c:v>1.1387883333333577</c:v>
                </c:pt>
                <c:pt idx="65">
                  <c:v>1.1345340000000241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01-4571-B77D-3F844A7E8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177872"/>
        <c:axId val="-1427180048"/>
      </c:scatterChart>
      <c:scatterChart>
        <c:scatterStyle val="lineMarker"/>
        <c:varyColors val="0"/>
        <c:ser>
          <c:idx val="1"/>
          <c:order val="1"/>
          <c:tx>
            <c:v>T° aire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Varadero!$U$3:$U$65</c:f>
              <c:numCache>
                <c:formatCode>General</c:formatCode>
                <c:ptCount val="63"/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</c:numCache>
            </c:numRef>
          </c:xVal>
          <c:yVal>
            <c:numRef>
              <c:f>Varadero!$W$3:$W$65</c:f>
              <c:numCache>
                <c:formatCode>General</c:formatCode>
                <c:ptCount val="63"/>
                <c:pt idx="2">
                  <c:v>28.15</c:v>
                </c:pt>
                <c:pt idx="3">
                  <c:v>28.033333333333331</c:v>
                </c:pt>
                <c:pt idx="4">
                  <c:v>28</c:v>
                </c:pt>
                <c:pt idx="5">
                  <c:v>28.033333333333335</c:v>
                </c:pt>
                <c:pt idx="6">
                  <c:v>27.966666666666669</c:v>
                </c:pt>
                <c:pt idx="7">
                  <c:v>27.866666666666664</c:v>
                </c:pt>
                <c:pt idx="8">
                  <c:v>27.8</c:v>
                </c:pt>
                <c:pt idx="9">
                  <c:v>27.966666666666669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27.933333333333334</c:v>
                </c:pt>
                <c:pt idx="14">
                  <c:v>27.733333333333331</c:v>
                </c:pt>
                <c:pt idx="15">
                  <c:v>27.5</c:v>
                </c:pt>
                <c:pt idx="16">
                  <c:v>27.633333333333336</c:v>
                </c:pt>
                <c:pt idx="17">
                  <c:v>27.766666666666666</c:v>
                </c:pt>
                <c:pt idx="18">
                  <c:v>27.866666666666671</c:v>
                </c:pt>
                <c:pt idx="19">
                  <c:v>27.766666666666666</c:v>
                </c:pt>
                <c:pt idx="20">
                  <c:v>27.666666666666668</c:v>
                </c:pt>
                <c:pt idx="21">
                  <c:v>27.7</c:v>
                </c:pt>
                <c:pt idx="22">
                  <c:v>27.7</c:v>
                </c:pt>
                <c:pt idx="23">
                  <c:v>27.733333333333334</c:v>
                </c:pt>
                <c:pt idx="24">
                  <c:v>27.633333333333336</c:v>
                </c:pt>
                <c:pt idx="25">
                  <c:v>27.566666666666666</c:v>
                </c:pt>
                <c:pt idx="26">
                  <c:v>27.533333333333331</c:v>
                </c:pt>
                <c:pt idx="27">
                  <c:v>27.7</c:v>
                </c:pt>
                <c:pt idx="28">
                  <c:v>27.733333333333334</c:v>
                </c:pt>
                <c:pt idx="29">
                  <c:v>27.733333333333334</c:v>
                </c:pt>
                <c:pt idx="30">
                  <c:v>27.533333333333331</c:v>
                </c:pt>
                <c:pt idx="31">
                  <c:v>27.666666666666668</c:v>
                </c:pt>
                <c:pt idx="32">
                  <c:v>27.7</c:v>
                </c:pt>
                <c:pt idx="33">
                  <c:v>27.866666666666664</c:v>
                </c:pt>
                <c:pt idx="34">
                  <c:v>27.866666666666664</c:v>
                </c:pt>
                <c:pt idx="35">
                  <c:v>28.033333333333331</c:v>
                </c:pt>
                <c:pt idx="36">
                  <c:v>28.100000000000005</c:v>
                </c:pt>
                <c:pt idx="37">
                  <c:v>27.966666666666669</c:v>
                </c:pt>
                <c:pt idx="38">
                  <c:v>27.666666666666668</c:v>
                </c:pt>
                <c:pt idx="39">
                  <c:v>27.333333333333332</c:v>
                </c:pt>
                <c:pt idx="40">
                  <c:v>27.366666666666664</c:v>
                </c:pt>
                <c:pt idx="41">
                  <c:v>27.600000000000005</c:v>
                </c:pt>
                <c:pt idx="42">
                  <c:v>28.033333333333331</c:v>
                </c:pt>
                <c:pt idx="43">
                  <c:v>28.066666666666663</c:v>
                </c:pt>
                <c:pt idx="44">
                  <c:v>27.966666666666669</c:v>
                </c:pt>
                <c:pt idx="45">
                  <c:v>27.666666666666668</c:v>
                </c:pt>
                <c:pt idx="46">
                  <c:v>27.466666666666669</c:v>
                </c:pt>
                <c:pt idx="47">
                  <c:v>27.5</c:v>
                </c:pt>
                <c:pt idx="48">
                  <c:v>27.5</c:v>
                </c:pt>
                <c:pt idx="49">
                  <c:v>27.600000000000005</c:v>
                </c:pt>
                <c:pt idx="50">
                  <c:v>27.533333333333331</c:v>
                </c:pt>
                <c:pt idx="51">
                  <c:v>27.633333333333336</c:v>
                </c:pt>
                <c:pt idx="52">
                  <c:v>27.733333333333331</c:v>
                </c:pt>
                <c:pt idx="53">
                  <c:v>27.666666666666668</c:v>
                </c:pt>
                <c:pt idx="54">
                  <c:v>27.7</c:v>
                </c:pt>
                <c:pt idx="55">
                  <c:v>27.566666666666666</c:v>
                </c:pt>
                <c:pt idx="56">
                  <c:v>27.900000000000002</c:v>
                </c:pt>
                <c:pt idx="57">
                  <c:v>27.966666666666669</c:v>
                </c:pt>
                <c:pt idx="58">
                  <c:v>27.900000000000002</c:v>
                </c:pt>
                <c:pt idx="59">
                  <c:v>27.666666666666668</c:v>
                </c:pt>
                <c:pt idx="60">
                  <c:v>27.566666666666666</c:v>
                </c:pt>
                <c:pt idx="61">
                  <c:v>28.033333333333335</c:v>
                </c:pt>
                <c:pt idx="62">
                  <c:v>28.25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01-4571-B77D-3F844A7E8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194736"/>
        <c:axId val="-1427177328"/>
      </c:scatterChart>
      <c:valAx>
        <c:axId val="-1427177872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80048"/>
        <c:crosses val="autoZero"/>
        <c:crossBetween val="midCat"/>
      </c:valAx>
      <c:valAx>
        <c:axId val="-1427180048"/>
        <c:scaling>
          <c:orientation val="minMax"/>
          <c:max val="1.2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77872"/>
        <c:crosses val="autoZero"/>
        <c:crossBetween val="midCat"/>
        <c:majorUnit val="5.000000000000001E-2"/>
      </c:valAx>
      <c:valAx>
        <c:axId val="-14271773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Temperatura</a:t>
                </a:r>
                <a:r>
                  <a:rPr lang="es-CO" sz="1050" baseline="0">
                    <a:solidFill>
                      <a:schemeClr val="tx1"/>
                    </a:solidFill>
                  </a:rPr>
                  <a:t> (°C)</a:t>
                </a:r>
                <a:endParaRPr lang="es-CO" sz="105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94736"/>
        <c:crosses val="max"/>
        <c:crossBetween val="midCat"/>
      </c:valAx>
      <c:valAx>
        <c:axId val="-1427194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7177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Varadero!$M$2</c:f>
              <c:strCache>
                <c:ptCount val="1"/>
                <c:pt idx="0">
                  <c:v>Calcificacion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Varadero!$M$3:$M$68</c:f>
              <c:numCache>
                <c:formatCode>General</c:formatCode>
                <c:ptCount val="66"/>
                <c:pt idx="0">
                  <c:v>0.7873914116339672</c:v>
                </c:pt>
                <c:pt idx="1">
                  <c:v>0.84330495717684795</c:v>
                </c:pt>
                <c:pt idx="2">
                  <c:v>0.76992021974297531</c:v>
                </c:pt>
                <c:pt idx="3">
                  <c:v>0.80072576414575514</c:v>
                </c:pt>
                <c:pt idx="4">
                  <c:v>0.73163328186487375</c:v>
                </c:pt>
                <c:pt idx="5">
                  <c:v>0.75061613018718221</c:v>
                </c:pt>
                <c:pt idx="6">
                  <c:v>0.74265230362513079</c:v>
                </c:pt>
                <c:pt idx="7">
                  <c:v>0.72839806106700478</c:v>
                </c:pt>
                <c:pt idx="8">
                  <c:v>0.72966904911331731</c:v>
                </c:pt>
                <c:pt idx="9">
                  <c:v>0.73951126664687106</c:v>
                </c:pt>
                <c:pt idx="10">
                  <c:v>0.76283404325930437</c:v>
                </c:pt>
                <c:pt idx="11">
                  <c:v>0.7556659412658141</c:v>
                </c:pt>
                <c:pt idx="12">
                  <c:v>0.72838898675930386</c:v>
                </c:pt>
                <c:pt idx="13">
                  <c:v>0.74017712479387321</c:v>
                </c:pt>
                <c:pt idx="14">
                  <c:v>0.7808403676564083</c:v>
                </c:pt>
                <c:pt idx="15">
                  <c:v>0.80606250976286908</c:v>
                </c:pt>
                <c:pt idx="16">
                  <c:v>0.79576120735250966</c:v>
                </c:pt>
                <c:pt idx="17">
                  <c:v>0.77850512849038622</c:v>
                </c:pt>
                <c:pt idx="18">
                  <c:v>0.75597611812525045</c:v>
                </c:pt>
                <c:pt idx="19">
                  <c:v>0.77779973556171511</c:v>
                </c:pt>
                <c:pt idx="20">
                  <c:v>0.79431996250364689</c:v>
                </c:pt>
                <c:pt idx="21">
                  <c:v>0.85587456250979876</c:v>
                </c:pt>
                <c:pt idx="22">
                  <c:v>0.80776134119960374</c:v>
                </c:pt>
                <c:pt idx="23">
                  <c:v>0.78322513830835516</c:v>
                </c:pt>
                <c:pt idx="24">
                  <c:v>0.69536744460729649</c:v>
                </c:pt>
                <c:pt idx="25">
                  <c:v>0.69546919025137399</c:v>
                </c:pt>
                <c:pt idx="26">
                  <c:v>0.6677273286388522</c:v>
                </c:pt>
                <c:pt idx="27">
                  <c:v>0.65366861821616296</c:v>
                </c:pt>
                <c:pt idx="28">
                  <c:v>0.72459105935154655</c:v>
                </c:pt>
                <c:pt idx="29">
                  <c:v>0.76774812960106742</c:v>
                </c:pt>
                <c:pt idx="30">
                  <c:v>0.83142639246882777</c:v>
                </c:pt>
                <c:pt idx="31">
                  <c:v>0.76499958837716797</c:v>
                </c:pt>
                <c:pt idx="32">
                  <c:v>0.73136140069978095</c:v>
                </c:pt>
                <c:pt idx="33">
                  <c:v>0.68571965566454318</c:v>
                </c:pt>
                <c:pt idx="34">
                  <c:v>0.74816786741608265</c:v>
                </c:pt>
                <c:pt idx="35">
                  <c:v>0.77381201679793998</c:v>
                </c:pt>
                <c:pt idx="36">
                  <c:v>0.86006223982304919</c:v>
                </c:pt>
                <c:pt idx="37">
                  <c:v>0.82924438784628673</c:v>
                </c:pt>
                <c:pt idx="38">
                  <c:v>0.81214266910015598</c:v>
                </c:pt>
                <c:pt idx="39">
                  <c:v>0.74280829689943995</c:v>
                </c:pt>
                <c:pt idx="40">
                  <c:v>0.74393163251453231</c:v>
                </c:pt>
                <c:pt idx="41">
                  <c:v>0.76422624721924615</c:v>
                </c:pt>
                <c:pt idx="42">
                  <c:v>0.802508196088484</c:v>
                </c:pt>
                <c:pt idx="43">
                  <c:v>0.77097511958915677</c:v>
                </c:pt>
                <c:pt idx="44">
                  <c:v>0.76585002914729217</c:v>
                </c:pt>
                <c:pt idx="45">
                  <c:v>0.77502385859784573</c:v>
                </c:pt>
                <c:pt idx="46">
                  <c:v>0.75957878744348672</c:v>
                </c:pt>
                <c:pt idx="47">
                  <c:v>0.72631659101730273</c:v>
                </c:pt>
                <c:pt idx="48">
                  <c:v>0.6922678643591037</c:v>
                </c:pt>
                <c:pt idx="49">
                  <c:v>0.69892843601104682</c:v>
                </c:pt>
                <c:pt idx="50">
                  <c:v>0.7220517789242108</c:v>
                </c:pt>
                <c:pt idx="51">
                  <c:v>0.75922118302322905</c:v>
                </c:pt>
                <c:pt idx="52">
                  <c:v>0.76397572975812666</c:v>
                </c:pt>
                <c:pt idx="53">
                  <c:v>0.82028575517829239</c:v>
                </c:pt>
                <c:pt idx="54">
                  <c:v>0.82785331514817928</c:v>
                </c:pt>
                <c:pt idx="55">
                  <c:v>0.90916549969036742</c:v>
                </c:pt>
                <c:pt idx="56">
                  <c:v>0.87544842705579562</c:v>
                </c:pt>
                <c:pt idx="57">
                  <c:v>0.88333185751170396</c:v>
                </c:pt>
                <c:pt idx="58">
                  <c:v>0.84015641119612339</c:v>
                </c:pt>
                <c:pt idx="59">
                  <c:v>0.87534072856695511</c:v>
                </c:pt>
                <c:pt idx="60">
                  <c:v>0.86818615272912358</c:v>
                </c:pt>
                <c:pt idx="61">
                  <c:v>0.8919154553874753</c:v>
                </c:pt>
                <c:pt idx="62">
                  <c:v>0.88397786386488819</c:v>
                </c:pt>
                <c:pt idx="63">
                  <c:v>0.90240377404355954</c:v>
                </c:pt>
                <c:pt idx="64">
                  <c:v>0.91445705938039179</c:v>
                </c:pt>
                <c:pt idx="65">
                  <c:v>0.92195288886223525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5F-4BEF-91CD-08F369E38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176784"/>
        <c:axId val="-1427175696"/>
      </c:scatterChart>
      <c:scatterChart>
        <c:scatterStyle val="lineMarker"/>
        <c:varyColors val="0"/>
        <c:ser>
          <c:idx val="1"/>
          <c:order val="1"/>
          <c:tx>
            <c:v>T° aire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Varadero!$U$3:$U$65</c:f>
              <c:numCache>
                <c:formatCode>General</c:formatCode>
                <c:ptCount val="63"/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</c:numCache>
            </c:numRef>
          </c:xVal>
          <c:yVal>
            <c:numRef>
              <c:f>Varadero!$W$3:$W$65</c:f>
              <c:numCache>
                <c:formatCode>General</c:formatCode>
                <c:ptCount val="63"/>
                <c:pt idx="2">
                  <c:v>28.15</c:v>
                </c:pt>
                <c:pt idx="3">
                  <c:v>28.033333333333331</c:v>
                </c:pt>
                <c:pt idx="4">
                  <c:v>28</c:v>
                </c:pt>
                <c:pt idx="5">
                  <c:v>28.033333333333335</c:v>
                </c:pt>
                <c:pt idx="6">
                  <c:v>27.966666666666669</c:v>
                </c:pt>
                <c:pt idx="7">
                  <c:v>27.866666666666664</c:v>
                </c:pt>
                <c:pt idx="8">
                  <c:v>27.8</c:v>
                </c:pt>
                <c:pt idx="9">
                  <c:v>27.966666666666669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27.933333333333334</c:v>
                </c:pt>
                <c:pt idx="14">
                  <c:v>27.733333333333331</c:v>
                </c:pt>
                <c:pt idx="15">
                  <c:v>27.5</c:v>
                </c:pt>
                <c:pt idx="16">
                  <c:v>27.633333333333336</c:v>
                </c:pt>
                <c:pt idx="17">
                  <c:v>27.766666666666666</c:v>
                </c:pt>
                <c:pt idx="18">
                  <c:v>27.866666666666671</c:v>
                </c:pt>
                <c:pt idx="19">
                  <c:v>27.766666666666666</c:v>
                </c:pt>
                <c:pt idx="20">
                  <c:v>27.666666666666668</c:v>
                </c:pt>
                <c:pt idx="21">
                  <c:v>27.7</c:v>
                </c:pt>
                <c:pt idx="22">
                  <c:v>27.7</c:v>
                </c:pt>
                <c:pt idx="23">
                  <c:v>27.733333333333334</c:v>
                </c:pt>
                <c:pt idx="24">
                  <c:v>27.633333333333336</c:v>
                </c:pt>
                <c:pt idx="25">
                  <c:v>27.566666666666666</c:v>
                </c:pt>
                <c:pt idx="26">
                  <c:v>27.533333333333331</c:v>
                </c:pt>
                <c:pt idx="27">
                  <c:v>27.7</c:v>
                </c:pt>
                <c:pt idx="28">
                  <c:v>27.733333333333334</c:v>
                </c:pt>
                <c:pt idx="29">
                  <c:v>27.733333333333334</c:v>
                </c:pt>
                <c:pt idx="30">
                  <c:v>27.533333333333331</c:v>
                </c:pt>
                <c:pt idx="31">
                  <c:v>27.666666666666668</c:v>
                </c:pt>
                <c:pt idx="32">
                  <c:v>27.7</c:v>
                </c:pt>
                <c:pt idx="33">
                  <c:v>27.866666666666664</c:v>
                </c:pt>
                <c:pt idx="34">
                  <c:v>27.866666666666664</c:v>
                </c:pt>
                <c:pt idx="35">
                  <c:v>28.033333333333331</c:v>
                </c:pt>
                <c:pt idx="36">
                  <c:v>28.100000000000005</c:v>
                </c:pt>
                <c:pt idx="37">
                  <c:v>27.966666666666669</c:v>
                </c:pt>
                <c:pt idx="38">
                  <c:v>27.666666666666668</c:v>
                </c:pt>
                <c:pt idx="39">
                  <c:v>27.333333333333332</c:v>
                </c:pt>
                <c:pt idx="40">
                  <c:v>27.366666666666664</c:v>
                </c:pt>
                <c:pt idx="41">
                  <c:v>27.600000000000005</c:v>
                </c:pt>
                <c:pt idx="42">
                  <c:v>28.033333333333331</c:v>
                </c:pt>
                <c:pt idx="43">
                  <c:v>28.066666666666663</c:v>
                </c:pt>
                <c:pt idx="44">
                  <c:v>27.966666666666669</c:v>
                </c:pt>
                <c:pt idx="45">
                  <c:v>27.666666666666668</c:v>
                </c:pt>
                <c:pt idx="46">
                  <c:v>27.466666666666669</c:v>
                </c:pt>
                <c:pt idx="47">
                  <c:v>27.5</c:v>
                </c:pt>
                <c:pt idx="48">
                  <c:v>27.5</c:v>
                </c:pt>
                <c:pt idx="49">
                  <c:v>27.600000000000005</c:v>
                </c:pt>
                <c:pt idx="50">
                  <c:v>27.533333333333331</c:v>
                </c:pt>
                <c:pt idx="51">
                  <c:v>27.633333333333336</c:v>
                </c:pt>
                <c:pt idx="52">
                  <c:v>27.733333333333331</c:v>
                </c:pt>
                <c:pt idx="53">
                  <c:v>27.666666666666668</c:v>
                </c:pt>
                <c:pt idx="54">
                  <c:v>27.7</c:v>
                </c:pt>
                <c:pt idx="55">
                  <c:v>27.566666666666666</c:v>
                </c:pt>
                <c:pt idx="56">
                  <c:v>27.900000000000002</c:v>
                </c:pt>
                <c:pt idx="57">
                  <c:v>27.966666666666669</c:v>
                </c:pt>
                <c:pt idx="58">
                  <c:v>27.900000000000002</c:v>
                </c:pt>
                <c:pt idx="59">
                  <c:v>27.666666666666668</c:v>
                </c:pt>
                <c:pt idx="60">
                  <c:v>27.566666666666666</c:v>
                </c:pt>
                <c:pt idx="61">
                  <c:v>28.033333333333335</c:v>
                </c:pt>
                <c:pt idx="62">
                  <c:v>28.25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5F-4BEF-91CD-08F369E38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7189296"/>
        <c:axId val="-1427171344"/>
      </c:scatterChart>
      <c:valAx>
        <c:axId val="-1427176784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75696"/>
        <c:crosses val="autoZero"/>
        <c:crossBetween val="midCat"/>
      </c:valAx>
      <c:valAx>
        <c:axId val="-1427175696"/>
        <c:scaling>
          <c:orientation val="minMax"/>
          <c:max val="0.95000000000000007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76784"/>
        <c:crosses val="autoZero"/>
        <c:crossBetween val="midCat"/>
        <c:majorUnit val="5.000000000000001E-2"/>
      </c:valAx>
      <c:valAx>
        <c:axId val="-142717134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Temperatura</a:t>
                </a:r>
                <a:r>
                  <a:rPr lang="es-CO" sz="1050" baseline="0">
                    <a:solidFill>
                      <a:schemeClr val="tx1"/>
                    </a:solidFill>
                  </a:rPr>
                  <a:t> (°C)</a:t>
                </a:r>
                <a:endParaRPr lang="es-CO" sz="105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7189296"/>
        <c:crosses val="max"/>
        <c:crossBetween val="midCat"/>
      </c:valAx>
      <c:valAx>
        <c:axId val="-1427189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7171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Varadero!$M$2</c:f>
              <c:strCache>
                <c:ptCount val="1"/>
                <c:pt idx="0">
                  <c:v>Calcificacion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Varadero!$M$3:$M$68</c:f>
              <c:numCache>
                <c:formatCode>General</c:formatCode>
                <c:ptCount val="66"/>
                <c:pt idx="0">
                  <c:v>0.7873914116339672</c:v>
                </c:pt>
                <c:pt idx="1">
                  <c:v>0.84330495717684795</c:v>
                </c:pt>
                <c:pt idx="2">
                  <c:v>0.76992021974297531</c:v>
                </c:pt>
                <c:pt idx="3">
                  <c:v>0.80072576414575514</c:v>
                </c:pt>
                <c:pt idx="4">
                  <c:v>0.73163328186487375</c:v>
                </c:pt>
                <c:pt idx="5">
                  <c:v>0.75061613018718221</c:v>
                </c:pt>
                <c:pt idx="6">
                  <c:v>0.74265230362513079</c:v>
                </c:pt>
                <c:pt idx="7">
                  <c:v>0.72839806106700478</c:v>
                </c:pt>
                <c:pt idx="8">
                  <c:v>0.72966904911331731</c:v>
                </c:pt>
                <c:pt idx="9">
                  <c:v>0.73951126664687106</c:v>
                </c:pt>
                <c:pt idx="10">
                  <c:v>0.76283404325930437</c:v>
                </c:pt>
                <c:pt idx="11">
                  <c:v>0.7556659412658141</c:v>
                </c:pt>
                <c:pt idx="12">
                  <c:v>0.72838898675930386</c:v>
                </c:pt>
                <c:pt idx="13">
                  <c:v>0.74017712479387321</c:v>
                </c:pt>
                <c:pt idx="14">
                  <c:v>0.7808403676564083</c:v>
                </c:pt>
                <c:pt idx="15">
                  <c:v>0.80606250976286908</c:v>
                </c:pt>
                <c:pt idx="16">
                  <c:v>0.79576120735250966</c:v>
                </c:pt>
                <c:pt idx="17">
                  <c:v>0.77850512849038622</c:v>
                </c:pt>
                <c:pt idx="18">
                  <c:v>0.75597611812525045</c:v>
                </c:pt>
                <c:pt idx="19">
                  <c:v>0.77779973556171511</c:v>
                </c:pt>
                <c:pt idx="20">
                  <c:v>0.79431996250364689</c:v>
                </c:pt>
                <c:pt idx="21">
                  <c:v>0.85587456250979876</c:v>
                </c:pt>
                <c:pt idx="22">
                  <c:v>0.80776134119960374</c:v>
                </c:pt>
                <c:pt idx="23">
                  <c:v>0.78322513830835516</c:v>
                </c:pt>
                <c:pt idx="24">
                  <c:v>0.69536744460729649</c:v>
                </c:pt>
                <c:pt idx="25">
                  <c:v>0.69546919025137399</c:v>
                </c:pt>
                <c:pt idx="26">
                  <c:v>0.6677273286388522</c:v>
                </c:pt>
                <c:pt idx="27">
                  <c:v>0.65366861821616296</c:v>
                </c:pt>
                <c:pt idx="28">
                  <c:v>0.72459105935154655</c:v>
                </c:pt>
                <c:pt idx="29">
                  <c:v>0.76774812960106742</c:v>
                </c:pt>
                <c:pt idx="30">
                  <c:v>0.83142639246882777</c:v>
                </c:pt>
                <c:pt idx="31">
                  <c:v>0.76499958837716797</c:v>
                </c:pt>
                <c:pt idx="32">
                  <c:v>0.73136140069978095</c:v>
                </c:pt>
                <c:pt idx="33">
                  <c:v>0.68571965566454318</c:v>
                </c:pt>
                <c:pt idx="34">
                  <c:v>0.74816786741608265</c:v>
                </c:pt>
                <c:pt idx="35">
                  <c:v>0.77381201679793998</c:v>
                </c:pt>
                <c:pt idx="36">
                  <c:v>0.86006223982304919</c:v>
                </c:pt>
                <c:pt idx="37">
                  <c:v>0.82924438784628673</c:v>
                </c:pt>
                <c:pt idx="38">
                  <c:v>0.81214266910015598</c:v>
                </c:pt>
                <c:pt idx="39">
                  <c:v>0.74280829689943995</c:v>
                </c:pt>
                <c:pt idx="40">
                  <c:v>0.74393163251453231</c:v>
                </c:pt>
                <c:pt idx="41">
                  <c:v>0.76422624721924615</c:v>
                </c:pt>
                <c:pt idx="42">
                  <c:v>0.802508196088484</c:v>
                </c:pt>
                <c:pt idx="43">
                  <c:v>0.77097511958915677</c:v>
                </c:pt>
                <c:pt idx="44">
                  <c:v>0.76585002914729217</c:v>
                </c:pt>
                <c:pt idx="45">
                  <c:v>0.77502385859784573</c:v>
                </c:pt>
                <c:pt idx="46">
                  <c:v>0.75957878744348672</c:v>
                </c:pt>
                <c:pt idx="47">
                  <c:v>0.72631659101730273</c:v>
                </c:pt>
                <c:pt idx="48">
                  <c:v>0.6922678643591037</c:v>
                </c:pt>
                <c:pt idx="49">
                  <c:v>0.69892843601104682</c:v>
                </c:pt>
                <c:pt idx="50">
                  <c:v>0.7220517789242108</c:v>
                </c:pt>
                <c:pt idx="51">
                  <c:v>0.75922118302322905</c:v>
                </c:pt>
                <c:pt idx="52">
                  <c:v>0.76397572975812666</c:v>
                </c:pt>
                <c:pt idx="53">
                  <c:v>0.82028575517829239</c:v>
                </c:pt>
                <c:pt idx="54">
                  <c:v>0.82785331514817928</c:v>
                </c:pt>
                <c:pt idx="55">
                  <c:v>0.90916549969036742</c:v>
                </c:pt>
                <c:pt idx="56">
                  <c:v>0.87544842705579562</c:v>
                </c:pt>
                <c:pt idx="57">
                  <c:v>0.88333185751170396</c:v>
                </c:pt>
                <c:pt idx="58">
                  <c:v>0.84015641119612339</c:v>
                </c:pt>
                <c:pt idx="59">
                  <c:v>0.87534072856695511</c:v>
                </c:pt>
                <c:pt idx="60">
                  <c:v>0.86818615272912358</c:v>
                </c:pt>
                <c:pt idx="61">
                  <c:v>0.8919154553874753</c:v>
                </c:pt>
                <c:pt idx="62">
                  <c:v>0.88397786386488819</c:v>
                </c:pt>
                <c:pt idx="63">
                  <c:v>0.90240377404355954</c:v>
                </c:pt>
                <c:pt idx="64">
                  <c:v>0.91445705938039179</c:v>
                </c:pt>
                <c:pt idx="65">
                  <c:v>0.92195288886223525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5C-44BC-BB26-B0D274CD3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318560"/>
        <c:axId val="-1428327808"/>
      </c:scatterChart>
      <c:scatterChart>
        <c:scatterStyle val="lineMarker"/>
        <c:varyColors val="0"/>
        <c:ser>
          <c:idx val="2"/>
          <c:order val="1"/>
          <c:tx>
            <c:v>Precipitacion (mm)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Varadero!$AB$3:$AB$68</c:f>
              <c:numCache>
                <c:formatCode>General</c:formatCode>
                <c:ptCount val="66"/>
                <c:pt idx="2">
                  <c:v>1330.6799999999998</c:v>
                </c:pt>
                <c:pt idx="3">
                  <c:v>1274.3333333333333</c:v>
                </c:pt>
                <c:pt idx="4">
                  <c:v>1254.2</c:v>
                </c:pt>
                <c:pt idx="5">
                  <c:v>1202.5999999999999</c:v>
                </c:pt>
                <c:pt idx="6">
                  <c:v>1151.5666666666666</c:v>
                </c:pt>
                <c:pt idx="7">
                  <c:v>1213.5333333333333</c:v>
                </c:pt>
                <c:pt idx="8">
                  <c:v>1213.8</c:v>
                </c:pt>
                <c:pt idx="9">
                  <c:v>1082.2222222222222</c:v>
                </c:pt>
                <c:pt idx="10">
                  <c:v>886.47777777777776</c:v>
                </c:pt>
                <c:pt idx="11">
                  <c:v>906.26666666666665</c:v>
                </c:pt>
                <c:pt idx="12">
                  <c:v>961.01111111111118</c:v>
                </c:pt>
                <c:pt idx="13">
                  <c:v>931.06666666666672</c:v>
                </c:pt>
                <c:pt idx="14">
                  <c:v>945.32222222222219</c:v>
                </c:pt>
                <c:pt idx="15">
                  <c:v>963.17777777777758</c:v>
                </c:pt>
                <c:pt idx="16">
                  <c:v>959.62222222222226</c:v>
                </c:pt>
                <c:pt idx="17">
                  <c:v>938.43333333333328</c:v>
                </c:pt>
                <c:pt idx="18">
                  <c:v>948.12222222222226</c:v>
                </c:pt>
                <c:pt idx="19">
                  <c:v>899.58888888888885</c:v>
                </c:pt>
                <c:pt idx="20">
                  <c:v>851.98888888888882</c:v>
                </c:pt>
                <c:pt idx="21">
                  <c:v>772.82499999999993</c:v>
                </c:pt>
                <c:pt idx="22">
                  <c:v>759.81428571428569</c:v>
                </c:pt>
                <c:pt idx="23">
                  <c:v>724.83333333333337</c:v>
                </c:pt>
                <c:pt idx="24">
                  <c:v>630.18333333333339</c:v>
                </c:pt>
                <c:pt idx="25">
                  <c:v>486.25</c:v>
                </c:pt>
                <c:pt idx="26">
                  <c:v>495.83333333333331</c:v>
                </c:pt>
                <c:pt idx="27">
                  <c:v>499.38333333333327</c:v>
                </c:pt>
                <c:pt idx="28">
                  <c:v>514.08333333333337</c:v>
                </c:pt>
                <c:pt idx="29">
                  <c:v>473.16666666666669</c:v>
                </c:pt>
                <c:pt idx="30">
                  <c:v>574.02857142857135</c:v>
                </c:pt>
                <c:pt idx="31">
                  <c:v>574.02857142857135</c:v>
                </c:pt>
                <c:pt idx="32">
                  <c:v>574.02857142857135</c:v>
                </c:pt>
                <c:pt idx="33">
                  <c:v>613.68333333333339</c:v>
                </c:pt>
                <c:pt idx="34">
                  <c:v>616.83333333333337</c:v>
                </c:pt>
                <c:pt idx="35">
                  <c:v>575.48333333333335</c:v>
                </c:pt>
                <c:pt idx="36">
                  <c:v>587.28333333333342</c:v>
                </c:pt>
                <c:pt idx="37">
                  <c:v>635.31666666666672</c:v>
                </c:pt>
                <c:pt idx="38">
                  <c:v>641.44999999999993</c:v>
                </c:pt>
                <c:pt idx="39">
                  <c:v>563.91666666666663</c:v>
                </c:pt>
                <c:pt idx="40">
                  <c:v>494.75714285714287</c:v>
                </c:pt>
                <c:pt idx="41">
                  <c:v>595.625</c:v>
                </c:pt>
                <c:pt idx="42">
                  <c:v>607.28888888888889</c:v>
                </c:pt>
                <c:pt idx="43">
                  <c:v>627.5777777777779</c:v>
                </c:pt>
                <c:pt idx="44">
                  <c:v>631.20000000000005</c:v>
                </c:pt>
                <c:pt idx="45">
                  <c:v>615.83333333333337</c:v>
                </c:pt>
                <c:pt idx="46">
                  <c:v>639.98888888888894</c:v>
                </c:pt>
                <c:pt idx="47">
                  <c:v>733.66666666666674</c:v>
                </c:pt>
                <c:pt idx="48">
                  <c:v>748.6444444444445</c:v>
                </c:pt>
                <c:pt idx="49">
                  <c:v>820.25</c:v>
                </c:pt>
                <c:pt idx="50">
                  <c:v>742.25</c:v>
                </c:pt>
                <c:pt idx="51">
                  <c:v>772.8944444444445</c:v>
                </c:pt>
                <c:pt idx="52">
                  <c:v>716.17222222222222</c:v>
                </c:pt>
                <c:pt idx="53">
                  <c:v>698.26111111111106</c:v>
                </c:pt>
                <c:pt idx="54">
                  <c:v>645.15</c:v>
                </c:pt>
                <c:pt idx="55">
                  <c:v>601.7833333333333</c:v>
                </c:pt>
                <c:pt idx="56">
                  <c:v>562.12777777777774</c:v>
                </c:pt>
                <c:pt idx="57">
                  <c:v>590.86111111111109</c:v>
                </c:pt>
                <c:pt idx="58">
                  <c:v>535.56666666666672</c:v>
                </c:pt>
                <c:pt idx="59">
                  <c:v>527.55000000000007</c:v>
                </c:pt>
                <c:pt idx="60">
                  <c:v>463.42857142857144</c:v>
                </c:pt>
                <c:pt idx="61">
                  <c:v>523.58333333333337</c:v>
                </c:pt>
                <c:pt idx="62">
                  <c:v>529.29999999999995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5C-44BC-BB26-B0D274CD3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307136"/>
        <c:axId val="-1428314752"/>
      </c:scatterChart>
      <c:valAx>
        <c:axId val="-1428318560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327808"/>
        <c:crosses val="autoZero"/>
        <c:crossBetween val="midCat"/>
      </c:valAx>
      <c:valAx>
        <c:axId val="-1428327808"/>
        <c:scaling>
          <c:orientation val="minMax"/>
          <c:max val="0.95000000000000007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318560"/>
        <c:crosses val="autoZero"/>
        <c:crossBetween val="midCat"/>
      </c:valAx>
      <c:valAx>
        <c:axId val="-1428314752"/>
        <c:scaling>
          <c:orientation val="minMax"/>
          <c:min val="4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Precipitacion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307136"/>
        <c:crosses val="max"/>
        <c:crossBetween val="midCat"/>
      </c:valAx>
      <c:valAx>
        <c:axId val="-1428307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831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Varadero!$L$2</c:f>
              <c:strCache>
                <c:ptCount val="1"/>
                <c:pt idx="0">
                  <c:v>Extension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Varadero!$L$3:$L$68</c:f>
              <c:numCache>
                <c:formatCode>General</c:formatCode>
                <c:ptCount val="66"/>
                <c:pt idx="0" formatCode="0.000">
                  <c:v>1.1880557499999997</c:v>
                </c:pt>
                <c:pt idx="1">
                  <c:v>1.1502877083333332</c:v>
                </c:pt>
                <c:pt idx="2">
                  <c:v>1.1274808928571427</c:v>
                </c:pt>
                <c:pt idx="3">
                  <c:v>1.1175364062499997</c:v>
                </c:pt>
                <c:pt idx="4" formatCode="0.000">
                  <c:v>1.1124448611111108</c:v>
                </c:pt>
                <c:pt idx="5">
                  <c:v>1.0843738888888887</c:v>
                </c:pt>
                <c:pt idx="6">
                  <c:v>1.1054669444444447</c:v>
                </c:pt>
                <c:pt idx="7">
                  <c:v>1.0662159722222222</c:v>
                </c:pt>
                <c:pt idx="8">
                  <c:v>1.0734090277777777</c:v>
                </c:pt>
                <c:pt idx="9">
                  <c:v>1.0789761111111107</c:v>
                </c:pt>
                <c:pt idx="10">
                  <c:v>1.1190848611111106</c:v>
                </c:pt>
                <c:pt idx="11">
                  <c:v>1.152029166666666</c:v>
                </c:pt>
                <c:pt idx="12">
                  <c:v>1.1588638888888878</c:v>
                </c:pt>
                <c:pt idx="13">
                  <c:v>1.1713401388888842</c:v>
                </c:pt>
                <c:pt idx="14">
                  <c:v>1.186386805555548</c:v>
                </c:pt>
                <c:pt idx="15">
                  <c:v>1.1693086111111004</c:v>
                </c:pt>
                <c:pt idx="16">
                  <c:v>1.1740138888888758</c:v>
                </c:pt>
                <c:pt idx="17">
                  <c:v>1.1745995833333249</c:v>
                </c:pt>
                <c:pt idx="18">
                  <c:v>1.1798204166666659</c:v>
                </c:pt>
                <c:pt idx="19">
                  <c:v>1.137599166666672</c:v>
                </c:pt>
                <c:pt idx="20">
                  <c:v>1.1126895833333448</c:v>
                </c:pt>
                <c:pt idx="21">
                  <c:v>1.0900872222222389</c:v>
                </c:pt>
                <c:pt idx="22">
                  <c:v>1.0800947222222479</c:v>
                </c:pt>
                <c:pt idx="23">
                  <c:v>1.0541616666667009</c:v>
                </c:pt>
                <c:pt idx="24">
                  <c:v>1.0388813888889297</c:v>
                </c:pt>
                <c:pt idx="25">
                  <c:v>1.0548358333333856</c:v>
                </c:pt>
                <c:pt idx="26">
                  <c:v>1.0414043055556088</c:v>
                </c:pt>
                <c:pt idx="27">
                  <c:v>1.0148584722222731</c:v>
                </c:pt>
                <c:pt idx="28">
                  <c:v>1.0228600000000501</c:v>
                </c:pt>
                <c:pt idx="29">
                  <c:v>1.0118147222222698</c:v>
                </c:pt>
                <c:pt idx="30">
                  <c:v>1.0106158796296727</c:v>
                </c:pt>
                <c:pt idx="31">
                  <c:v>1.0155348148148524</c:v>
                </c:pt>
                <c:pt idx="32">
                  <c:v>1.0141754166666985</c:v>
                </c:pt>
                <c:pt idx="33">
                  <c:v>1.0249488888889173</c:v>
                </c:pt>
                <c:pt idx="34">
                  <c:v>0.99329800925927947</c:v>
                </c:pt>
                <c:pt idx="35">
                  <c:v>0.97711328703705247</c:v>
                </c:pt>
                <c:pt idx="36">
                  <c:v>0.97097967592593681</c:v>
                </c:pt>
                <c:pt idx="37">
                  <c:v>0.96738259259259962</c:v>
                </c:pt>
                <c:pt idx="38">
                  <c:v>0.95660703703704142</c:v>
                </c:pt>
                <c:pt idx="39">
                  <c:v>0.95670129629630141</c:v>
                </c:pt>
                <c:pt idx="40">
                  <c:v>0.9401416666666722</c:v>
                </c:pt>
                <c:pt idx="41">
                  <c:v>0.94629037037037633</c:v>
                </c:pt>
                <c:pt idx="42">
                  <c:v>0.94232814814815469</c:v>
                </c:pt>
                <c:pt idx="43">
                  <c:v>0.92973055555556294</c:v>
                </c:pt>
                <c:pt idx="44">
                  <c:v>0.9352894444444515</c:v>
                </c:pt>
                <c:pt idx="45">
                  <c:v>0.95773111111111908</c:v>
                </c:pt>
                <c:pt idx="46">
                  <c:v>0.96534111111111942</c:v>
                </c:pt>
                <c:pt idx="47">
                  <c:v>1.0107600000000083</c:v>
                </c:pt>
                <c:pt idx="48">
                  <c:v>1.0532055555555639</c:v>
                </c:pt>
                <c:pt idx="49">
                  <c:v>1.0395411111111195</c:v>
                </c:pt>
                <c:pt idx="50">
                  <c:v>1.0569844444444538</c:v>
                </c:pt>
                <c:pt idx="51">
                  <c:v>1.0705950000000093</c:v>
                </c:pt>
                <c:pt idx="52">
                  <c:v>1.1044894444444533</c:v>
                </c:pt>
                <c:pt idx="53">
                  <c:v>1.1145733333333425</c:v>
                </c:pt>
                <c:pt idx="54">
                  <c:v>1.1171322222222324</c:v>
                </c:pt>
                <c:pt idx="55">
                  <c:v>1.1089094444444558</c:v>
                </c:pt>
                <c:pt idx="56">
                  <c:v>1.0961011111111243</c:v>
                </c:pt>
                <c:pt idx="57">
                  <c:v>1.0734911111111258</c:v>
                </c:pt>
                <c:pt idx="58">
                  <c:v>1.0992944444444612</c:v>
                </c:pt>
                <c:pt idx="59">
                  <c:v>1.0923505555555728</c:v>
                </c:pt>
                <c:pt idx="60">
                  <c:v>1.0943266666666862</c:v>
                </c:pt>
                <c:pt idx="61">
                  <c:v>1.1042461111111328</c:v>
                </c:pt>
                <c:pt idx="62">
                  <c:v>1.1165781250000233</c:v>
                </c:pt>
                <c:pt idx="63">
                  <c:v>1.1156128571428809</c:v>
                </c:pt>
                <c:pt idx="64">
                  <c:v>1.1387883333333577</c:v>
                </c:pt>
                <c:pt idx="65">
                  <c:v>1.1345340000000241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84-4DEC-9848-AA1910B22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328352"/>
        <c:axId val="-1428314208"/>
      </c:scatterChart>
      <c:scatterChart>
        <c:scatterStyle val="lineMarker"/>
        <c:varyColors val="0"/>
        <c:ser>
          <c:idx val="2"/>
          <c:order val="1"/>
          <c:tx>
            <c:v>Precipitacion (mm)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Varadero!$AB$3:$AB$68</c:f>
              <c:numCache>
                <c:formatCode>General</c:formatCode>
                <c:ptCount val="66"/>
                <c:pt idx="2">
                  <c:v>1330.6799999999998</c:v>
                </c:pt>
                <c:pt idx="3">
                  <c:v>1274.3333333333333</c:v>
                </c:pt>
                <c:pt idx="4">
                  <c:v>1254.2</c:v>
                </c:pt>
                <c:pt idx="5">
                  <c:v>1202.5999999999999</c:v>
                </c:pt>
                <c:pt idx="6">
                  <c:v>1151.5666666666666</c:v>
                </c:pt>
                <c:pt idx="7">
                  <c:v>1213.5333333333333</c:v>
                </c:pt>
                <c:pt idx="8">
                  <c:v>1213.8</c:v>
                </c:pt>
                <c:pt idx="9">
                  <c:v>1082.2222222222222</c:v>
                </c:pt>
                <c:pt idx="10">
                  <c:v>886.47777777777776</c:v>
                </c:pt>
                <c:pt idx="11">
                  <c:v>906.26666666666665</c:v>
                </c:pt>
                <c:pt idx="12">
                  <c:v>961.01111111111118</c:v>
                </c:pt>
                <c:pt idx="13">
                  <c:v>931.06666666666672</c:v>
                </c:pt>
                <c:pt idx="14">
                  <c:v>945.32222222222219</c:v>
                </c:pt>
                <c:pt idx="15">
                  <c:v>963.17777777777758</c:v>
                </c:pt>
                <c:pt idx="16">
                  <c:v>959.62222222222226</c:v>
                </c:pt>
                <c:pt idx="17">
                  <c:v>938.43333333333328</c:v>
                </c:pt>
                <c:pt idx="18">
                  <c:v>948.12222222222226</c:v>
                </c:pt>
                <c:pt idx="19">
                  <c:v>899.58888888888885</c:v>
                </c:pt>
                <c:pt idx="20">
                  <c:v>851.98888888888882</c:v>
                </c:pt>
                <c:pt idx="21">
                  <c:v>772.82499999999993</c:v>
                </c:pt>
                <c:pt idx="22">
                  <c:v>759.81428571428569</c:v>
                </c:pt>
                <c:pt idx="23">
                  <c:v>724.83333333333337</c:v>
                </c:pt>
                <c:pt idx="24">
                  <c:v>630.18333333333339</c:v>
                </c:pt>
                <c:pt idx="25">
                  <c:v>486.25</c:v>
                </c:pt>
                <c:pt idx="26">
                  <c:v>495.83333333333331</c:v>
                </c:pt>
                <c:pt idx="27">
                  <c:v>499.38333333333327</c:v>
                </c:pt>
                <c:pt idx="28">
                  <c:v>514.08333333333337</c:v>
                </c:pt>
                <c:pt idx="29">
                  <c:v>473.16666666666669</c:v>
                </c:pt>
                <c:pt idx="30">
                  <c:v>574.02857142857135</c:v>
                </c:pt>
                <c:pt idx="31">
                  <c:v>574.02857142857135</c:v>
                </c:pt>
                <c:pt idx="32">
                  <c:v>574.02857142857135</c:v>
                </c:pt>
                <c:pt idx="33">
                  <c:v>613.68333333333339</c:v>
                </c:pt>
                <c:pt idx="34">
                  <c:v>616.83333333333337</c:v>
                </c:pt>
                <c:pt idx="35">
                  <c:v>575.48333333333335</c:v>
                </c:pt>
                <c:pt idx="36">
                  <c:v>587.28333333333342</c:v>
                </c:pt>
                <c:pt idx="37">
                  <c:v>635.31666666666672</c:v>
                </c:pt>
                <c:pt idx="38">
                  <c:v>641.44999999999993</c:v>
                </c:pt>
                <c:pt idx="39">
                  <c:v>563.91666666666663</c:v>
                </c:pt>
                <c:pt idx="40">
                  <c:v>494.75714285714287</c:v>
                </c:pt>
                <c:pt idx="41">
                  <c:v>595.625</c:v>
                </c:pt>
                <c:pt idx="42">
                  <c:v>607.28888888888889</c:v>
                </c:pt>
                <c:pt idx="43">
                  <c:v>627.5777777777779</c:v>
                </c:pt>
                <c:pt idx="44">
                  <c:v>631.20000000000005</c:v>
                </c:pt>
                <c:pt idx="45">
                  <c:v>615.83333333333337</c:v>
                </c:pt>
                <c:pt idx="46">
                  <c:v>639.98888888888894</c:v>
                </c:pt>
                <c:pt idx="47">
                  <c:v>733.66666666666674</c:v>
                </c:pt>
                <c:pt idx="48">
                  <c:v>748.6444444444445</c:v>
                </c:pt>
                <c:pt idx="49">
                  <c:v>820.25</c:v>
                </c:pt>
                <c:pt idx="50">
                  <c:v>742.25</c:v>
                </c:pt>
                <c:pt idx="51">
                  <c:v>772.8944444444445</c:v>
                </c:pt>
                <c:pt idx="52">
                  <c:v>716.17222222222222</c:v>
                </c:pt>
                <c:pt idx="53">
                  <c:v>698.26111111111106</c:v>
                </c:pt>
                <c:pt idx="54">
                  <c:v>645.15</c:v>
                </c:pt>
                <c:pt idx="55">
                  <c:v>601.7833333333333</c:v>
                </c:pt>
                <c:pt idx="56">
                  <c:v>562.12777777777774</c:v>
                </c:pt>
                <c:pt idx="57">
                  <c:v>590.86111111111109</c:v>
                </c:pt>
                <c:pt idx="58">
                  <c:v>535.56666666666672</c:v>
                </c:pt>
                <c:pt idx="59">
                  <c:v>527.55000000000007</c:v>
                </c:pt>
                <c:pt idx="60">
                  <c:v>463.42857142857144</c:v>
                </c:pt>
                <c:pt idx="61">
                  <c:v>523.58333333333337</c:v>
                </c:pt>
                <c:pt idx="62">
                  <c:v>529.29999999999995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84-4DEC-9848-AA1910B22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317472"/>
        <c:axId val="-1428327264"/>
      </c:scatterChart>
      <c:valAx>
        <c:axId val="-1428328352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314208"/>
        <c:crosses val="autoZero"/>
        <c:crossBetween val="midCat"/>
      </c:valAx>
      <c:valAx>
        <c:axId val="-1428314208"/>
        <c:scaling>
          <c:orientation val="minMax"/>
          <c:max val="1.2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328352"/>
        <c:crosses val="autoZero"/>
        <c:crossBetween val="midCat"/>
      </c:valAx>
      <c:valAx>
        <c:axId val="-1428327264"/>
        <c:scaling>
          <c:orientation val="minMax"/>
          <c:min val="2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Precipitacion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317472"/>
        <c:crosses val="max"/>
        <c:crossBetween val="midCat"/>
      </c:valAx>
      <c:valAx>
        <c:axId val="-1428317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8327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Varadero!$K$2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Varadero!$K$3:$K$68</c:f>
              <c:numCache>
                <c:formatCode>General</c:formatCode>
                <c:ptCount val="66"/>
                <c:pt idx="0">
                  <c:v>0.69635225112986576</c:v>
                </c:pt>
                <c:pt idx="1">
                  <c:v>0.71792658429669876</c:v>
                </c:pt>
                <c:pt idx="2">
                  <c:v>0.72271797965998219</c:v>
                </c:pt>
                <c:pt idx="3">
                  <c:v>0.7226144614629576</c:v>
                </c:pt>
                <c:pt idx="4">
                  <c:v>0.71558062552543311</c:v>
                </c:pt>
                <c:pt idx="5">
                  <c:v>0.71531997928677404</c:v>
                </c:pt>
                <c:pt idx="6">
                  <c:v>0.71014746741020685</c:v>
                </c:pt>
                <c:pt idx="7">
                  <c:v>0.71681602170451775</c:v>
                </c:pt>
                <c:pt idx="8">
                  <c:v>0.7133354581914898</c:v>
                </c:pt>
                <c:pt idx="9">
                  <c:v>0.70015104941403394</c:v>
                </c:pt>
                <c:pt idx="10">
                  <c:v>0.67687555738380267</c:v>
                </c:pt>
                <c:pt idx="11">
                  <c:v>0.66557516832944053</c:v>
                </c:pt>
                <c:pt idx="12">
                  <c:v>0.66333480770678555</c:v>
                </c:pt>
                <c:pt idx="13">
                  <c:v>0.66421153914980147</c:v>
                </c:pt>
                <c:pt idx="14">
                  <c:v>0.66396141320914148</c:v>
                </c:pt>
                <c:pt idx="15">
                  <c:v>0.66842005556216433</c:v>
                </c:pt>
                <c:pt idx="16">
                  <c:v>0.67196469050827456</c:v>
                </c:pt>
                <c:pt idx="17">
                  <c:v>0.68472838041705308</c:v>
                </c:pt>
                <c:pt idx="18">
                  <c:v>0.70184242311488343</c:v>
                </c:pt>
                <c:pt idx="19">
                  <c:v>0.7163432917105812</c:v>
                </c:pt>
                <c:pt idx="20">
                  <c:v>0.72331397058111335</c:v>
                </c:pt>
                <c:pt idx="21">
                  <c:v>0.72144222538150993</c:v>
                </c:pt>
                <c:pt idx="22">
                  <c:v>0.72076673385918888</c:v>
                </c:pt>
                <c:pt idx="23">
                  <c:v>0.71986496090414043</c:v>
                </c:pt>
                <c:pt idx="24">
                  <c:v>0.7129714034455723</c:v>
                </c:pt>
                <c:pt idx="25">
                  <c:v>0.70824756345490925</c:v>
                </c:pt>
                <c:pt idx="26">
                  <c:v>0.71424586492438413</c:v>
                </c:pt>
                <c:pt idx="27">
                  <c:v>0.71655638209816053</c:v>
                </c:pt>
                <c:pt idx="28">
                  <c:v>0.71066863967725424</c:v>
                </c:pt>
                <c:pt idx="29">
                  <c:v>0.71123060203796273</c:v>
                </c:pt>
                <c:pt idx="30">
                  <c:v>0.71297749307830083</c:v>
                </c:pt>
                <c:pt idx="31">
                  <c:v>0.72580510177044255</c:v>
                </c:pt>
                <c:pt idx="32">
                  <c:v>0.74210585145187313</c:v>
                </c:pt>
                <c:pt idx="33">
                  <c:v>0.77097107521880714</c:v>
                </c:pt>
                <c:pt idx="34">
                  <c:v>0.78207391505782986</c:v>
                </c:pt>
                <c:pt idx="35">
                  <c:v>0.78404907670473967</c:v>
                </c:pt>
                <c:pt idx="36">
                  <c:v>0.78163772539751575</c:v>
                </c:pt>
                <c:pt idx="37">
                  <c:v>0.79403367790321633</c:v>
                </c:pt>
                <c:pt idx="38">
                  <c:v>0.81262405848187813</c:v>
                </c:pt>
                <c:pt idx="39">
                  <c:v>0.83226104796503142</c:v>
                </c:pt>
                <c:pt idx="40">
                  <c:v>0.82666457467779131</c:v>
                </c:pt>
                <c:pt idx="41">
                  <c:v>0.82056295955458658</c:v>
                </c:pt>
                <c:pt idx="42">
                  <c:v>0.81408726969263923</c:v>
                </c:pt>
                <c:pt idx="43">
                  <c:v>0.8089845614076181</c:v>
                </c:pt>
                <c:pt idx="44">
                  <c:v>0.79874647743255456</c:v>
                </c:pt>
                <c:pt idx="45">
                  <c:v>0.79190214629019662</c:v>
                </c:pt>
                <c:pt idx="46">
                  <c:v>0.77666909096102132</c:v>
                </c:pt>
                <c:pt idx="47">
                  <c:v>0.74501549079256535</c:v>
                </c:pt>
                <c:pt idx="48">
                  <c:v>0.72080928218920681</c:v>
                </c:pt>
                <c:pt idx="49">
                  <c:v>0.72933189141281329</c:v>
                </c:pt>
                <c:pt idx="50">
                  <c:v>0.73270027559173867</c:v>
                </c:pt>
                <c:pt idx="51">
                  <c:v>0.72511274926564129</c:v>
                </c:pt>
                <c:pt idx="52">
                  <c:v>0.72823539086977163</c:v>
                </c:pt>
                <c:pt idx="53">
                  <c:v>0.73626911467035638</c:v>
                </c:pt>
                <c:pt idx="54">
                  <c:v>0.74547743888238094</c:v>
                </c:pt>
                <c:pt idx="55">
                  <c:v>0.76492611757717022</c:v>
                </c:pt>
                <c:pt idx="56">
                  <c:v>0.78907035756043165</c:v>
                </c:pt>
                <c:pt idx="57">
                  <c:v>0.80488810848714332</c:v>
                </c:pt>
                <c:pt idx="58">
                  <c:v>0.80836745104468166</c:v>
                </c:pt>
                <c:pt idx="59">
                  <c:v>0.81019572540174012</c:v>
                </c:pt>
                <c:pt idx="60">
                  <c:v>0.81599174656497253</c:v>
                </c:pt>
                <c:pt idx="61">
                  <c:v>0.81047193185134314</c:v>
                </c:pt>
                <c:pt idx="62">
                  <c:v>0.8100116510159644</c:v>
                </c:pt>
                <c:pt idx="63">
                  <c:v>0.8134593378440611</c:v>
                </c:pt>
                <c:pt idx="64">
                  <c:v>0.80847903743911553</c:v>
                </c:pt>
                <c:pt idx="65">
                  <c:v>0.80671768393237886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88-4EAD-A6DD-E8B527BE7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322368"/>
        <c:axId val="-1428312032"/>
      </c:scatterChart>
      <c:scatterChart>
        <c:scatterStyle val="lineMarker"/>
        <c:varyColors val="0"/>
        <c:ser>
          <c:idx val="2"/>
          <c:order val="1"/>
          <c:tx>
            <c:v>Precipitacion (mm)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Varadero!$AB$3:$AB$68</c:f>
              <c:numCache>
                <c:formatCode>General</c:formatCode>
                <c:ptCount val="66"/>
                <c:pt idx="2">
                  <c:v>1330.6799999999998</c:v>
                </c:pt>
                <c:pt idx="3">
                  <c:v>1274.3333333333333</c:v>
                </c:pt>
                <c:pt idx="4">
                  <c:v>1254.2</c:v>
                </c:pt>
                <c:pt idx="5">
                  <c:v>1202.5999999999999</c:v>
                </c:pt>
                <c:pt idx="6">
                  <c:v>1151.5666666666666</c:v>
                </c:pt>
                <c:pt idx="7">
                  <c:v>1213.5333333333333</c:v>
                </c:pt>
                <c:pt idx="8">
                  <c:v>1213.8</c:v>
                </c:pt>
                <c:pt idx="9">
                  <c:v>1082.2222222222222</c:v>
                </c:pt>
                <c:pt idx="10">
                  <c:v>886.47777777777776</c:v>
                </c:pt>
                <c:pt idx="11">
                  <c:v>906.26666666666665</c:v>
                </c:pt>
                <c:pt idx="12">
                  <c:v>961.01111111111118</c:v>
                </c:pt>
                <c:pt idx="13">
                  <c:v>931.06666666666672</c:v>
                </c:pt>
                <c:pt idx="14">
                  <c:v>945.32222222222219</c:v>
                </c:pt>
                <c:pt idx="15">
                  <c:v>963.17777777777758</c:v>
                </c:pt>
                <c:pt idx="16">
                  <c:v>959.62222222222226</c:v>
                </c:pt>
                <c:pt idx="17">
                  <c:v>938.43333333333328</c:v>
                </c:pt>
                <c:pt idx="18">
                  <c:v>948.12222222222226</c:v>
                </c:pt>
                <c:pt idx="19">
                  <c:v>899.58888888888885</c:v>
                </c:pt>
                <c:pt idx="20">
                  <c:v>851.98888888888882</c:v>
                </c:pt>
                <c:pt idx="21">
                  <c:v>772.82499999999993</c:v>
                </c:pt>
                <c:pt idx="22">
                  <c:v>759.81428571428569</c:v>
                </c:pt>
                <c:pt idx="23">
                  <c:v>724.83333333333337</c:v>
                </c:pt>
                <c:pt idx="24">
                  <c:v>630.18333333333339</c:v>
                </c:pt>
                <c:pt idx="25">
                  <c:v>486.25</c:v>
                </c:pt>
                <c:pt idx="26">
                  <c:v>495.83333333333331</c:v>
                </c:pt>
                <c:pt idx="27">
                  <c:v>499.38333333333327</c:v>
                </c:pt>
                <c:pt idx="28">
                  <c:v>514.08333333333337</c:v>
                </c:pt>
                <c:pt idx="29">
                  <c:v>473.16666666666669</c:v>
                </c:pt>
                <c:pt idx="30">
                  <c:v>574.02857142857135</c:v>
                </c:pt>
                <c:pt idx="31">
                  <c:v>574.02857142857135</c:v>
                </c:pt>
                <c:pt idx="32">
                  <c:v>574.02857142857135</c:v>
                </c:pt>
                <c:pt idx="33">
                  <c:v>613.68333333333339</c:v>
                </c:pt>
                <c:pt idx="34">
                  <c:v>616.83333333333337</c:v>
                </c:pt>
                <c:pt idx="35">
                  <c:v>575.48333333333335</c:v>
                </c:pt>
                <c:pt idx="36">
                  <c:v>587.28333333333342</c:v>
                </c:pt>
                <c:pt idx="37">
                  <c:v>635.31666666666672</c:v>
                </c:pt>
                <c:pt idx="38">
                  <c:v>641.44999999999993</c:v>
                </c:pt>
                <c:pt idx="39">
                  <c:v>563.91666666666663</c:v>
                </c:pt>
                <c:pt idx="40">
                  <c:v>494.75714285714287</c:v>
                </c:pt>
                <c:pt idx="41">
                  <c:v>595.625</c:v>
                </c:pt>
                <c:pt idx="42">
                  <c:v>607.28888888888889</c:v>
                </c:pt>
                <c:pt idx="43">
                  <c:v>627.5777777777779</c:v>
                </c:pt>
                <c:pt idx="44">
                  <c:v>631.20000000000005</c:v>
                </c:pt>
                <c:pt idx="45">
                  <c:v>615.83333333333337</c:v>
                </c:pt>
                <c:pt idx="46">
                  <c:v>639.98888888888894</c:v>
                </c:pt>
                <c:pt idx="47">
                  <c:v>733.66666666666674</c:v>
                </c:pt>
                <c:pt idx="48">
                  <c:v>748.6444444444445</c:v>
                </c:pt>
                <c:pt idx="49">
                  <c:v>820.25</c:v>
                </c:pt>
                <c:pt idx="50">
                  <c:v>742.25</c:v>
                </c:pt>
                <c:pt idx="51">
                  <c:v>772.8944444444445</c:v>
                </c:pt>
                <c:pt idx="52">
                  <c:v>716.17222222222222</c:v>
                </c:pt>
                <c:pt idx="53">
                  <c:v>698.26111111111106</c:v>
                </c:pt>
                <c:pt idx="54">
                  <c:v>645.15</c:v>
                </c:pt>
                <c:pt idx="55">
                  <c:v>601.7833333333333</c:v>
                </c:pt>
                <c:pt idx="56">
                  <c:v>562.12777777777774</c:v>
                </c:pt>
                <c:pt idx="57">
                  <c:v>590.86111111111109</c:v>
                </c:pt>
                <c:pt idx="58">
                  <c:v>535.56666666666672</c:v>
                </c:pt>
                <c:pt idx="59">
                  <c:v>527.55000000000007</c:v>
                </c:pt>
                <c:pt idx="60">
                  <c:v>463.42857142857144</c:v>
                </c:pt>
                <c:pt idx="61">
                  <c:v>523.58333333333337</c:v>
                </c:pt>
                <c:pt idx="62">
                  <c:v>529.29999999999995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88-4EAD-A6DD-E8B527BE7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326176"/>
        <c:axId val="-1428324544"/>
      </c:scatterChart>
      <c:valAx>
        <c:axId val="-1428322368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312032"/>
        <c:crosses val="autoZero"/>
        <c:crossBetween val="midCat"/>
      </c:valAx>
      <c:valAx>
        <c:axId val="-1428312032"/>
        <c:scaling>
          <c:orientation val="minMax"/>
          <c:max val="0.85000000000000009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322368"/>
        <c:crosses val="autoZero"/>
        <c:crossBetween val="midCat"/>
        <c:majorUnit val="5.000000000000001E-2"/>
      </c:valAx>
      <c:valAx>
        <c:axId val="-1428324544"/>
        <c:scaling>
          <c:orientation val="minMax"/>
          <c:min val="2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Precipitacion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326176"/>
        <c:crosses val="max"/>
        <c:crossBetween val="midCat"/>
      </c:valAx>
      <c:valAx>
        <c:axId val="-1428326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8324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Varadero!$M$2</c:f>
              <c:strCache>
                <c:ptCount val="1"/>
                <c:pt idx="0">
                  <c:v>Calcificacion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Varadero!$M$3:$M$68</c:f>
              <c:numCache>
                <c:formatCode>General</c:formatCode>
                <c:ptCount val="66"/>
                <c:pt idx="0">
                  <c:v>0.7873914116339672</c:v>
                </c:pt>
                <c:pt idx="1">
                  <c:v>0.84330495717684795</c:v>
                </c:pt>
                <c:pt idx="2">
                  <c:v>0.76992021974297531</c:v>
                </c:pt>
                <c:pt idx="3">
                  <c:v>0.80072576414575514</c:v>
                </c:pt>
                <c:pt idx="4">
                  <c:v>0.73163328186487375</c:v>
                </c:pt>
                <c:pt idx="5">
                  <c:v>0.75061613018718221</c:v>
                </c:pt>
                <c:pt idx="6">
                  <c:v>0.74265230362513079</c:v>
                </c:pt>
                <c:pt idx="7">
                  <c:v>0.72839806106700478</c:v>
                </c:pt>
                <c:pt idx="8">
                  <c:v>0.72966904911331731</c:v>
                </c:pt>
                <c:pt idx="9">
                  <c:v>0.73951126664687106</c:v>
                </c:pt>
                <c:pt idx="10">
                  <c:v>0.76283404325930437</c:v>
                </c:pt>
                <c:pt idx="11">
                  <c:v>0.7556659412658141</c:v>
                </c:pt>
                <c:pt idx="12">
                  <c:v>0.72838898675930386</c:v>
                </c:pt>
                <c:pt idx="13">
                  <c:v>0.74017712479387321</c:v>
                </c:pt>
                <c:pt idx="14">
                  <c:v>0.7808403676564083</c:v>
                </c:pt>
                <c:pt idx="15">
                  <c:v>0.80606250976286908</c:v>
                </c:pt>
                <c:pt idx="16">
                  <c:v>0.79576120735250966</c:v>
                </c:pt>
                <c:pt idx="17">
                  <c:v>0.77850512849038622</c:v>
                </c:pt>
                <c:pt idx="18">
                  <c:v>0.75597611812525045</c:v>
                </c:pt>
                <c:pt idx="19">
                  <c:v>0.77779973556171511</c:v>
                </c:pt>
                <c:pt idx="20">
                  <c:v>0.79431996250364689</c:v>
                </c:pt>
                <c:pt idx="21">
                  <c:v>0.85587456250979876</c:v>
                </c:pt>
                <c:pt idx="22">
                  <c:v>0.80776134119960374</c:v>
                </c:pt>
                <c:pt idx="23">
                  <c:v>0.78322513830835516</c:v>
                </c:pt>
                <c:pt idx="24">
                  <c:v>0.69536744460729649</c:v>
                </c:pt>
                <c:pt idx="25">
                  <c:v>0.69546919025137399</c:v>
                </c:pt>
                <c:pt idx="26">
                  <c:v>0.6677273286388522</c:v>
                </c:pt>
                <c:pt idx="27">
                  <c:v>0.65366861821616296</c:v>
                </c:pt>
                <c:pt idx="28">
                  <c:v>0.72459105935154655</c:v>
                </c:pt>
                <c:pt idx="29">
                  <c:v>0.76774812960106742</c:v>
                </c:pt>
                <c:pt idx="30">
                  <c:v>0.83142639246882777</c:v>
                </c:pt>
                <c:pt idx="31">
                  <c:v>0.76499958837716797</c:v>
                </c:pt>
                <c:pt idx="32">
                  <c:v>0.73136140069978095</c:v>
                </c:pt>
                <c:pt idx="33">
                  <c:v>0.68571965566454318</c:v>
                </c:pt>
                <c:pt idx="34">
                  <c:v>0.74816786741608265</c:v>
                </c:pt>
                <c:pt idx="35">
                  <c:v>0.77381201679793998</c:v>
                </c:pt>
                <c:pt idx="36">
                  <c:v>0.86006223982304919</c:v>
                </c:pt>
                <c:pt idx="37">
                  <c:v>0.82924438784628673</c:v>
                </c:pt>
                <c:pt idx="38">
                  <c:v>0.81214266910015598</c:v>
                </c:pt>
                <c:pt idx="39">
                  <c:v>0.74280829689943995</c:v>
                </c:pt>
                <c:pt idx="40">
                  <c:v>0.74393163251453231</c:v>
                </c:pt>
                <c:pt idx="41">
                  <c:v>0.76422624721924615</c:v>
                </c:pt>
                <c:pt idx="42">
                  <c:v>0.802508196088484</c:v>
                </c:pt>
                <c:pt idx="43">
                  <c:v>0.77097511958915677</c:v>
                </c:pt>
                <c:pt idx="44">
                  <c:v>0.76585002914729217</c:v>
                </c:pt>
                <c:pt idx="45">
                  <c:v>0.77502385859784573</c:v>
                </c:pt>
                <c:pt idx="46">
                  <c:v>0.75957878744348672</c:v>
                </c:pt>
                <c:pt idx="47">
                  <c:v>0.72631659101730273</c:v>
                </c:pt>
                <c:pt idx="48">
                  <c:v>0.6922678643591037</c:v>
                </c:pt>
                <c:pt idx="49">
                  <c:v>0.69892843601104682</c:v>
                </c:pt>
                <c:pt idx="50">
                  <c:v>0.7220517789242108</c:v>
                </c:pt>
                <c:pt idx="51">
                  <c:v>0.75922118302322905</c:v>
                </c:pt>
                <c:pt idx="52">
                  <c:v>0.76397572975812666</c:v>
                </c:pt>
                <c:pt idx="53">
                  <c:v>0.82028575517829239</c:v>
                </c:pt>
                <c:pt idx="54">
                  <c:v>0.82785331514817928</c:v>
                </c:pt>
                <c:pt idx="55">
                  <c:v>0.90916549969036742</c:v>
                </c:pt>
                <c:pt idx="56">
                  <c:v>0.87544842705579562</c:v>
                </c:pt>
                <c:pt idx="57">
                  <c:v>0.88333185751170396</c:v>
                </c:pt>
                <c:pt idx="58">
                  <c:v>0.84015641119612339</c:v>
                </c:pt>
                <c:pt idx="59">
                  <c:v>0.87534072856695511</c:v>
                </c:pt>
                <c:pt idx="60">
                  <c:v>0.86818615272912358</c:v>
                </c:pt>
                <c:pt idx="61">
                  <c:v>0.8919154553874753</c:v>
                </c:pt>
                <c:pt idx="62">
                  <c:v>0.88397786386488819</c:v>
                </c:pt>
                <c:pt idx="63">
                  <c:v>0.90240377404355954</c:v>
                </c:pt>
                <c:pt idx="64">
                  <c:v>0.91445705938039179</c:v>
                </c:pt>
                <c:pt idx="65">
                  <c:v>0.92195288886223525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B2-4CE1-922A-20D7DEBB7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315296"/>
        <c:axId val="-1428306592"/>
      </c:scatterChart>
      <c:scatterChart>
        <c:scatterStyle val="lineMarker"/>
        <c:varyColors val="0"/>
        <c:ser>
          <c:idx val="2"/>
          <c:order val="1"/>
          <c:tx>
            <c:v>Nivel de canal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Varadero!$AF$3:$AF$68</c:f>
              <c:numCache>
                <c:formatCode>General</c:formatCode>
                <c:ptCount val="66"/>
                <c:pt idx="1">
                  <c:v>683</c:v>
                </c:pt>
                <c:pt idx="2">
                  <c:v>683</c:v>
                </c:pt>
                <c:pt idx="3">
                  <c:v>683</c:v>
                </c:pt>
                <c:pt idx="4">
                  <c:v>687</c:v>
                </c:pt>
                <c:pt idx="5">
                  <c:v>692.66666666666663</c:v>
                </c:pt>
                <c:pt idx="6">
                  <c:v>692.75</c:v>
                </c:pt>
                <c:pt idx="7">
                  <c:v>692.2</c:v>
                </c:pt>
                <c:pt idx="8">
                  <c:v>690.6</c:v>
                </c:pt>
                <c:pt idx="9">
                  <c:v>689.2</c:v>
                </c:pt>
                <c:pt idx="10">
                  <c:v>685</c:v>
                </c:pt>
                <c:pt idx="11">
                  <c:v>680.6</c:v>
                </c:pt>
                <c:pt idx="12">
                  <c:v>675.4</c:v>
                </c:pt>
                <c:pt idx="13">
                  <c:v>676</c:v>
                </c:pt>
                <c:pt idx="14">
                  <c:v>678.4</c:v>
                </c:pt>
                <c:pt idx="15">
                  <c:v>677.2</c:v>
                </c:pt>
                <c:pt idx="16">
                  <c:v>674.4</c:v>
                </c:pt>
                <c:pt idx="17">
                  <c:v>678</c:v>
                </c:pt>
                <c:pt idx="18">
                  <c:v>674.8</c:v>
                </c:pt>
                <c:pt idx="19">
                  <c:v>672</c:v>
                </c:pt>
                <c:pt idx="20">
                  <c:v>671.2</c:v>
                </c:pt>
                <c:pt idx="21">
                  <c:v>670.8</c:v>
                </c:pt>
                <c:pt idx="22">
                  <c:v>665.4</c:v>
                </c:pt>
                <c:pt idx="23">
                  <c:v>662.6</c:v>
                </c:pt>
                <c:pt idx="24">
                  <c:v>658.8</c:v>
                </c:pt>
                <c:pt idx="25">
                  <c:v>657</c:v>
                </c:pt>
                <c:pt idx="26">
                  <c:v>657.4</c:v>
                </c:pt>
                <c:pt idx="27">
                  <c:v>657</c:v>
                </c:pt>
                <c:pt idx="28">
                  <c:v>655.6</c:v>
                </c:pt>
                <c:pt idx="29">
                  <c:v>655.6</c:v>
                </c:pt>
                <c:pt idx="30">
                  <c:v>652.6</c:v>
                </c:pt>
                <c:pt idx="31">
                  <c:v>651.6</c:v>
                </c:pt>
                <c:pt idx="32">
                  <c:v>653</c:v>
                </c:pt>
                <c:pt idx="33">
                  <c:v>653.75</c:v>
                </c:pt>
                <c:pt idx="34">
                  <c:v>651.66666666666663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B2-4CE1-922A-20D7DEBB7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325088"/>
        <c:axId val="-1428336512"/>
      </c:scatterChart>
      <c:valAx>
        <c:axId val="-1428315296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306592"/>
        <c:crosses val="autoZero"/>
        <c:crossBetween val="midCat"/>
      </c:valAx>
      <c:valAx>
        <c:axId val="-1428306592"/>
        <c:scaling>
          <c:orientation val="minMax"/>
          <c:max val="0.95000000000000007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315296"/>
        <c:crosses val="autoZero"/>
        <c:crossBetween val="midCat"/>
      </c:valAx>
      <c:valAx>
        <c:axId val="-1428336512"/>
        <c:scaling>
          <c:orientation val="minMax"/>
          <c:min val="6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Nivel del canal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325088"/>
        <c:crosses val="max"/>
        <c:crossBetween val="midCat"/>
      </c:valAx>
      <c:valAx>
        <c:axId val="-1428325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8336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Varadero!$L$2</c:f>
              <c:strCache>
                <c:ptCount val="1"/>
                <c:pt idx="0">
                  <c:v>Extension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Varadero!$L$3:$L$68</c:f>
              <c:numCache>
                <c:formatCode>General</c:formatCode>
                <c:ptCount val="66"/>
                <c:pt idx="0" formatCode="0.000">
                  <c:v>1.1880557499999997</c:v>
                </c:pt>
                <c:pt idx="1">
                  <c:v>1.1502877083333332</c:v>
                </c:pt>
                <c:pt idx="2">
                  <c:v>1.1274808928571427</c:v>
                </c:pt>
                <c:pt idx="3">
                  <c:v>1.1175364062499997</c:v>
                </c:pt>
                <c:pt idx="4" formatCode="0.000">
                  <c:v>1.1124448611111108</c:v>
                </c:pt>
                <c:pt idx="5">
                  <c:v>1.0843738888888887</c:v>
                </c:pt>
                <c:pt idx="6">
                  <c:v>1.1054669444444447</c:v>
                </c:pt>
                <c:pt idx="7">
                  <c:v>1.0662159722222222</c:v>
                </c:pt>
                <c:pt idx="8">
                  <c:v>1.0734090277777777</c:v>
                </c:pt>
                <c:pt idx="9">
                  <c:v>1.0789761111111107</c:v>
                </c:pt>
                <c:pt idx="10">
                  <c:v>1.1190848611111106</c:v>
                </c:pt>
                <c:pt idx="11">
                  <c:v>1.152029166666666</c:v>
                </c:pt>
                <c:pt idx="12">
                  <c:v>1.1588638888888878</c:v>
                </c:pt>
                <c:pt idx="13">
                  <c:v>1.1713401388888842</c:v>
                </c:pt>
                <c:pt idx="14">
                  <c:v>1.186386805555548</c:v>
                </c:pt>
                <c:pt idx="15">
                  <c:v>1.1693086111111004</c:v>
                </c:pt>
                <c:pt idx="16">
                  <c:v>1.1740138888888758</c:v>
                </c:pt>
                <c:pt idx="17">
                  <c:v>1.1745995833333249</c:v>
                </c:pt>
                <c:pt idx="18">
                  <c:v>1.1798204166666659</c:v>
                </c:pt>
                <c:pt idx="19">
                  <c:v>1.137599166666672</c:v>
                </c:pt>
                <c:pt idx="20">
                  <c:v>1.1126895833333448</c:v>
                </c:pt>
                <c:pt idx="21">
                  <c:v>1.0900872222222389</c:v>
                </c:pt>
                <c:pt idx="22">
                  <c:v>1.0800947222222479</c:v>
                </c:pt>
                <c:pt idx="23">
                  <c:v>1.0541616666667009</c:v>
                </c:pt>
                <c:pt idx="24">
                  <c:v>1.0388813888889297</c:v>
                </c:pt>
                <c:pt idx="25">
                  <c:v>1.0548358333333856</c:v>
                </c:pt>
                <c:pt idx="26">
                  <c:v>1.0414043055556088</c:v>
                </c:pt>
                <c:pt idx="27">
                  <c:v>1.0148584722222731</c:v>
                </c:pt>
                <c:pt idx="28">
                  <c:v>1.0228600000000501</c:v>
                </c:pt>
                <c:pt idx="29">
                  <c:v>1.0118147222222698</c:v>
                </c:pt>
                <c:pt idx="30">
                  <c:v>1.0106158796296727</c:v>
                </c:pt>
                <c:pt idx="31">
                  <c:v>1.0155348148148524</c:v>
                </c:pt>
                <c:pt idx="32">
                  <c:v>1.0141754166666985</c:v>
                </c:pt>
                <c:pt idx="33">
                  <c:v>1.0249488888889173</c:v>
                </c:pt>
                <c:pt idx="34">
                  <c:v>0.99329800925927947</c:v>
                </c:pt>
                <c:pt idx="35">
                  <c:v>0.97711328703705247</c:v>
                </c:pt>
                <c:pt idx="36">
                  <c:v>0.97097967592593681</c:v>
                </c:pt>
                <c:pt idx="37">
                  <c:v>0.96738259259259962</c:v>
                </c:pt>
                <c:pt idx="38">
                  <c:v>0.95660703703704142</c:v>
                </c:pt>
                <c:pt idx="39">
                  <c:v>0.95670129629630141</c:v>
                </c:pt>
                <c:pt idx="40">
                  <c:v>0.9401416666666722</c:v>
                </c:pt>
                <c:pt idx="41">
                  <c:v>0.94629037037037633</c:v>
                </c:pt>
                <c:pt idx="42">
                  <c:v>0.94232814814815469</c:v>
                </c:pt>
                <c:pt idx="43">
                  <c:v>0.92973055555556294</c:v>
                </c:pt>
                <c:pt idx="44">
                  <c:v>0.9352894444444515</c:v>
                </c:pt>
                <c:pt idx="45">
                  <c:v>0.95773111111111908</c:v>
                </c:pt>
                <c:pt idx="46">
                  <c:v>0.96534111111111942</c:v>
                </c:pt>
                <c:pt idx="47">
                  <c:v>1.0107600000000083</c:v>
                </c:pt>
                <c:pt idx="48">
                  <c:v>1.0532055555555639</c:v>
                </c:pt>
                <c:pt idx="49">
                  <c:v>1.0395411111111195</c:v>
                </c:pt>
                <c:pt idx="50">
                  <c:v>1.0569844444444538</c:v>
                </c:pt>
                <c:pt idx="51">
                  <c:v>1.0705950000000093</c:v>
                </c:pt>
                <c:pt idx="52">
                  <c:v>1.1044894444444533</c:v>
                </c:pt>
                <c:pt idx="53">
                  <c:v>1.1145733333333425</c:v>
                </c:pt>
                <c:pt idx="54">
                  <c:v>1.1171322222222324</c:v>
                </c:pt>
                <c:pt idx="55">
                  <c:v>1.1089094444444558</c:v>
                </c:pt>
                <c:pt idx="56">
                  <c:v>1.0961011111111243</c:v>
                </c:pt>
                <c:pt idx="57">
                  <c:v>1.0734911111111258</c:v>
                </c:pt>
                <c:pt idx="58">
                  <c:v>1.0992944444444612</c:v>
                </c:pt>
                <c:pt idx="59">
                  <c:v>1.0923505555555728</c:v>
                </c:pt>
                <c:pt idx="60">
                  <c:v>1.0943266666666862</c:v>
                </c:pt>
                <c:pt idx="61">
                  <c:v>1.1042461111111328</c:v>
                </c:pt>
                <c:pt idx="62">
                  <c:v>1.1165781250000233</c:v>
                </c:pt>
                <c:pt idx="63">
                  <c:v>1.1156128571428809</c:v>
                </c:pt>
                <c:pt idx="64">
                  <c:v>1.1387883333333577</c:v>
                </c:pt>
                <c:pt idx="65">
                  <c:v>1.1345340000000241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5E-4FAB-9066-E9B0E721E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321824"/>
        <c:axId val="-1428310400"/>
      </c:scatterChart>
      <c:scatterChart>
        <c:scatterStyle val="lineMarker"/>
        <c:varyColors val="0"/>
        <c:ser>
          <c:idx val="2"/>
          <c:order val="1"/>
          <c:tx>
            <c:v>Nivel de canal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Varadero!$AF$3:$AF$68</c:f>
              <c:numCache>
                <c:formatCode>General</c:formatCode>
                <c:ptCount val="66"/>
                <c:pt idx="1">
                  <c:v>683</c:v>
                </c:pt>
                <c:pt idx="2">
                  <c:v>683</c:v>
                </c:pt>
                <c:pt idx="3">
                  <c:v>683</c:v>
                </c:pt>
                <c:pt idx="4">
                  <c:v>687</c:v>
                </c:pt>
                <c:pt idx="5">
                  <c:v>692.66666666666663</c:v>
                </c:pt>
                <c:pt idx="6">
                  <c:v>692.75</c:v>
                </c:pt>
                <c:pt idx="7">
                  <c:v>692.2</c:v>
                </c:pt>
                <c:pt idx="8">
                  <c:v>690.6</c:v>
                </c:pt>
                <c:pt idx="9">
                  <c:v>689.2</c:v>
                </c:pt>
                <c:pt idx="10">
                  <c:v>685</c:v>
                </c:pt>
                <c:pt idx="11">
                  <c:v>680.6</c:v>
                </c:pt>
                <c:pt idx="12">
                  <c:v>675.4</c:v>
                </c:pt>
                <c:pt idx="13">
                  <c:v>676</c:v>
                </c:pt>
                <c:pt idx="14">
                  <c:v>678.4</c:v>
                </c:pt>
                <c:pt idx="15">
                  <c:v>677.2</c:v>
                </c:pt>
                <c:pt idx="16">
                  <c:v>674.4</c:v>
                </c:pt>
                <c:pt idx="17">
                  <c:v>678</c:v>
                </c:pt>
                <c:pt idx="18">
                  <c:v>674.8</c:v>
                </c:pt>
                <c:pt idx="19">
                  <c:v>672</c:v>
                </c:pt>
                <c:pt idx="20">
                  <c:v>671.2</c:v>
                </c:pt>
                <c:pt idx="21">
                  <c:v>670.8</c:v>
                </c:pt>
                <c:pt idx="22">
                  <c:v>665.4</c:v>
                </c:pt>
                <c:pt idx="23">
                  <c:v>662.6</c:v>
                </c:pt>
                <c:pt idx="24">
                  <c:v>658.8</c:v>
                </c:pt>
                <c:pt idx="25">
                  <c:v>657</c:v>
                </c:pt>
                <c:pt idx="26">
                  <c:v>657.4</c:v>
                </c:pt>
                <c:pt idx="27">
                  <c:v>657</c:v>
                </c:pt>
                <c:pt idx="28">
                  <c:v>655.6</c:v>
                </c:pt>
                <c:pt idx="29">
                  <c:v>655.6</c:v>
                </c:pt>
                <c:pt idx="30">
                  <c:v>652.6</c:v>
                </c:pt>
                <c:pt idx="31">
                  <c:v>651.6</c:v>
                </c:pt>
                <c:pt idx="32">
                  <c:v>653</c:v>
                </c:pt>
                <c:pt idx="33">
                  <c:v>653.75</c:v>
                </c:pt>
                <c:pt idx="34">
                  <c:v>651.66666666666663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5E-4FAB-9066-E9B0E721E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309856"/>
        <c:axId val="-1428306048"/>
      </c:scatterChart>
      <c:valAx>
        <c:axId val="-1428321824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310400"/>
        <c:crosses val="autoZero"/>
        <c:crossBetween val="midCat"/>
      </c:valAx>
      <c:valAx>
        <c:axId val="-1428310400"/>
        <c:scaling>
          <c:orientation val="minMax"/>
          <c:max val="1.2"/>
          <c:min val="0.95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321824"/>
        <c:crosses val="autoZero"/>
        <c:crossBetween val="midCat"/>
      </c:valAx>
      <c:valAx>
        <c:axId val="-1428306048"/>
        <c:scaling>
          <c:orientation val="minMax"/>
          <c:min val="6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Nivel del canal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309856"/>
        <c:crosses val="max"/>
        <c:crossBetween val="midCat"/>
      </c:valAx>
      <c:valAx>
        <c:axId val="-142830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830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Varadero!$K$2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Varadero!$K$3:$K$68</c:f>
              <c:numCache>
                <c:formatCode>General</c:formatCode>
                <c:ptCount val="66"/>
                <c:pt idx="0">
                  <c:v>0.69635225112986576</c:v>
                </c:pt>
                <c:pt idx="1">
                  <c:v>0.71792658429669876</c:v>
                </c:pt>
                <c:pt idx="2">
                  <c:v>0.72271797965998219</c:v>
                </c:pt>
                <c:pt idx="3">
                  <c:v>0.7226144614629576</c:v>
                </c:pt>
                <c:pt idx="4">
                  <c:v>0.71558062552543311</c:v>
                </c:pt>
                <c:pt idx="5">
                  <c:v>0.71531997928677404</c:v>
                </c:pt>
                <c:pt idx="6">
                  <c:v>0.71014746741020685</c:v>
                </c:pt>
                <c:pt idx="7">
                  <c:v>0.71681602170451775</c:v>
                </c:pt>
                <c:pt idx="8">
                  <c:v>0.7133354581914898</c:v>
                </c:pt>
                <c:pt idx="9">
                  <c:v>0.70015104941403394</c:v>
                </c:pt>
                <c:pt idx="10">
                  <c:v>0.67687555738380267</c:v>
                </c:pt>
                <c:pt idx="11">
                  <c:v>0.66557516832944053</c:v>
                </c:pt>
                <c:pt idx="12">
                  <c:v>0.66333480770678555</c:v>
                </c:pt>
                <c:pt idx="13">
                  <c:v>0.66421153914980147</c:v>
                </c:pt>
                <c:pt idx="14">
                  <c:v>0.66396141320914148</c:v>
                </c:pt>
                <c:pt idx="15">
                  <c:v>0.66842005556216433</c:v>
                </c:pt>
                <c:pt idx="16">
                  <c:v>0.67196469050827456</c:v>
                </c:pt>
                <c:pt idx="17">
                  <c:v>0.68472838041705308</c:v>
                </c:pt>
                <c:pt idx="18">
                  <c:v>0.70184242311488343</c:v>
                </c:pt>
                <c:pt idx="19">
                  <c:v>0.7163432917105812</c:v>
                </c:pt>
                <c:pt idx="20">
                  <c:v>0.72331397058111335</c:v>
                </c:pt>
                <c:pt idx="21">
                  <c:v>0.72144222538150993</c:v>
                </c:pt>
                <c:pt idx="22">
                  <c:v>0.72076673385918888</c:v>
                </c:pt>
                <c:pt idx="23">
                  <c:v>0.71986496090414043</c:v>
                </c:pt>
                <c:pt idx="24">
                  <c:v>0.7129714034455723</c:v>
                </c:pt>
                <c:pt idx="25">
                  <c:v>0.70824756345490925</c:v>
                </c:pt>
                <c:pt idx="26">
                  <c:v>0.71424586492438413</c:v>
                </c:pt>
                <c:pt idx="27">
                  <c:v>0.71655638209816053</c:v>
                </c:pt>
                <c:pt idx="28">
                  <c:v>0.71066863967725424</c:v>
                </c:pt>
                <c:pt idx="29">
                  <c:v>0.71123060203796273</c:v>
                </c:pt>
                <c:pt idx="30">
                  <c:v>0.71297749307830083</c:v>
                </c:pt>
                <c:pt idx="31">
                  <c:v>0.72580510177044255</c:v>
                </c:pt>
                <c:pt idx="32">
                  <c:v>0.74210585145187313</c:v>
                </c:pt>
                <c:pt idx="33">
                  <c:v>0.77097107521880714</c:v>
                </c:pt>
                <c:pt idx="34">
                  <c:v>0.78207391505782986</c:v>
                </c:pt>
                <c:pt idx="35">
                  <c:v>0.78404907670473967</c:v>
                </c:pt>
                <c:pt idx="36">
                  <c:v>0.78163772539751575</c:v>
                </c:pt>
                <c:pt idx="37">
                  <c:v>0.79403367790321633</c:v>
                </c:pt>
                <c:pt idx="38">
                  <c:v>0.81262405848187813</c:v>
                </c:pt>
                <c:pt idx="39">
                  <c:v>0.83226104796503142</c:v>
                </c:pt>
                <c:pt idx="40">
                  <c:v>0.82666457467779131</c:v>
                </c:pt>
                <c:pt idx="41">
                  <c:v>0.82056295955458658</c:v>
                </c:pt>
                <c:pt idx="42">
                  <c:v>0.81408726969263923</c:v>
                </c:pt>
                <c:pt idx="43">
                  <c:v>0.8089845614076181</c:v>
                </c:pt>
                <c:pt idx="44">
                  <c:v>0.79874647743255456</c:v>
                </c:pt>
                <c:pt idx="45">
                  <c:v>0.79190214629019662</c:v>
                </c:pt>
                <c:pt idx="46">
                  <c:v>0.77666909096102132</c:v>
                </c:pt>
                <c:pt idx="47">
                  <c:v>0.74501549079256535</c:v>
                </c:pt>
                <c:pt idx="48">
                  <c:v>0.72080928218920681</c:v>
                </c:pt>
                <c:pt idx="49">
                  <c:v>0.72933189141281329</c:v>
                </c:pt>
                <c:pt idx="50">
                  <c:v>0.73270027559173867</c:v>
                </c:pt>
                <c:pt idx="51">
                  <c:v>0.72511274926564129</c:v>
                </c:pt>
                <c:pt idx="52">
                  <c:v>0.72823539086977163</c:v>
                </c:pt>
                <c:pt idx="53">
                  <c:v>0.73626911467035638</c:v>
                </c:pt>
                <c:pt idx="54">
                  <c:v>0.74547743888238094</c:v>
                </c:pt>
                <c:pt idx="55">
                  <c:v>0.76492611757717022</c:v>
                </c:pt>
                <c:pt idx="56">
                  <c:v>0.78907035756043165</c:v>
                </c:pt>
                <c:pt idx="57">
                  <c:v>0.80488810848714332</c:v>
                </c:pt>
                <c:pt idx="58">
                  <c:v>0.80836745104468166</c:v>
                </c:pt>
                <c:pt idx="59">
                  <c:v>0.81019572540174012</c:v>
                </c:pt>
                <c:pt idx="60">
                  <c:v>0.81599174656497253</c:v>
                </c:pt>
                <c:pt idx="61">
                  <c:v>0.81047193185134314</c:v>
                </c:pt>
                <c:pt idx="62">
                  <c:v>0.8100116510159644</c:v>
                </c:pt>
                <c:pt idx="63">
                  <c:v>0.8134593378440611</c:v>
                </c:pt>
                <c:pt idx="64">
                  <c:v>0.80847903743911553</c:v>
                </c:pt>
                <c:pt idx="65">
                  <c:v>0.80671768393237886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15-43BA-9C06-6030FED7A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307680"/>
        <c:axId val="-1428331072"/>
      </c:scatterChart>
      <c:scatterChart>
        <c:scatterStyle val="lineMarker"/>
        <c:varyColors val="0"/>
        <c:ser>
          <c:idx val="2"/>
          <c:order val="1"/>
          <c:tx>
            <c:v>Nivel de canal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Varadero!$AF$3:$AF$68</c:f>
              <c:numCache>
                <c:formatCode>General</c:formatCode>
                <c:ptCount val="66"/>
                <c:pt idx="1">
                  <c:v>683</c:v>
                </c:pt>
                <c:pt idx="2">
                  <c:v>683</c:v>
                </c:pt>
                <c:pt idx="3">
                  <c:v>683</c:v>
                </c:pt>
                <c:pt idx="4">
                  <c:v>687</c:v>
                </c:pt>
                <c:pt idx="5">
                  <c:v>692.66666666666663</c:v>
                </c:pt>
                <c:pt idx="6">
                  <c:v>692.75</c:v>
                </c:pt>
                <c:pt idx="7">
                  <c:v>692.2</c:v>
                </c:pt>
                <c:pt idx="8">
                  <c:v>690.6</c:v>
                </c:pt>
                <c:pt idx="9">
                  <c:v>689.2</c:v>
                </c:pt>
                <c:pt idx="10">
                  <c:v>685</c:v>
                </c:pt>
                <c:pt idx="11">
                  <c:v>680.6</c:v>
                </c:pt>
                <c:pt idx="12">
                  <c:v>675.4</c:v>
                </c:pt>
                <c:pt idx="13">
                  <c:v>676</c:v>
                </c:pt>
                <c:pt idx="14">
                  <c:v>678.4</c:v>
                </c:pt>
                <c:pt idx="15">
                  <c:v>677.2</c:v>
                </c:pt>
                <c:pt idx="16">
                  <c:v>674.4</c:v>
                </c:pt>
                <c:pt idx="17">
                  <c:v>678</c:v>
                </c:pt>
                <c:pt idx="18">
                  <c:v>674.8</c:v>
                </c:pt>
                <c:pt idx="19">
                  <c:v>672</c:v>
                </c:pt>
                <c:pt idx="20">
                  <c:v>671.2</c:v>
                </c:pt>
                <c:pt idx="21">
                  <c:v>670.8</c:v>
                </c:pt>
                <c:pt idx="22">
                  <c:v>665.4</c:v>
                </c:pt>
                <c:pt idx="23">
                  <c:v>662.6</c:v>
                </c:pt>
                <c:pt idx="24">
                  <c:v>658.8</c:v>
                </c:pt>
                <c:pt idx="25">
                  <c:v>657</c:v>
                </c:pt>
                <c:pt idx="26">
                  <c:v>657.4</c:v>
                </c:pt>
                <c:pt idx="27">
                  <c:v>657</c:v>
                </c:pt>
                <c:pt idx="28">
                  <c:v>655.6</c:v>
                </c:pt>
                <c:pt idx="29">
                  <c:v>655.6</c:v>
                </c:pt>
                <c:pt idx="30">
                  <c:v>652.6</c:v>
                </c:pt>
                <c:pt idx="31">
                  <c:v>651.6</c:v>
                </c:pt>
                <c:pt idx="32">
                  <c:v>653</c:v>
                </c:pt>
                <c:pt idx="33">
                  <c:v>653.75</c:v>
                </c:pt>
                <c:pt idx="34">
                  <c:v>651.66666666666663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15-43BA-9C06-6030FED7A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8329984"/>
        <c:axId val="-1428330528"/>
      </c:scatterChart>
      <c:valAx>
        <c:axId val="-1428307680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331072"/>
        <c:crosses val="autoZero"/>
        <c:crossBetween val="midCat"/>
      </c:valAx>
      <c:valAx>
        <c:axId val="-1428331072"/>
        <c:scaling>
          <c:orientation val="minMax"/>
          <c:max val="0.8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307680"/>
        <c:crosses val="autoZero"/>
        <c:crossBetween val="midCat"/>
      </c:valAx>
      <c:valAx>
        <c:axId val="-1428330528"/>
        <c:scaling>
          <c:orientation val="minMax"/>
          <c:min val="6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Nivel del canal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8329984"/>
        <c:crosses val="max"/>
        <c:crossBetween val="midCat"/>
      </c:valAx>
      <c:valAx>
        <c:axId val="-1428329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8330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Varadero!$M$2</c:f>
              <c:strCache>
                <c:ptCount val="1"/>
                <c:pt idx="0">
                  <c:v>Calcificacion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Varadero!$M$3:$M$68</c:f>
              <c:numCache>
                <c:formatCode>General</c:formatCode>
                <c:ptCount val="66"/>
                <c:pt idx="0">
                  <c:v>0.7873914116339672</c:v>
                </c:pt>
                <c:pt idx="1">
                  <c:v>0.84330495717684795</c:v>
                </c:pt>
                <c:pt idx="2">
                  <c:v>0.76992021974297531</c:v>
                </c:pt>
                <c:pt idx="3">
                  <c:v>0.80072576414575514</c:v>
                </c:pt>
                <c:pt idx="4">
                  <c:v>0.73163328186487375</c:v>
                </c:pt>
                <c:pt idx="5">
                  <c:v>0.75061613018718221</c:v>
                </c:pt>
                <c:pt idx="6">
                  <c:v>0.74265230362513079</c:v>
                </c:pt>
                <c:pt idx="7">
                  <c:v>0.72839806106700478</c:v>
                </c:pt>
                <c:pt idx="8">
                  <c:v>0.72966904911331731</c:v>
                </c:pt>
                <c:pt idx="9">
                  <c:v>0.73951126664687106</c:v>
                </c:pt>
                <c:pt idx="10">
                  <c:v>0.76283404325930437</c:v>
                </c:pt>
                <c:pt idx="11">
                  <c:v>0.7556659412658141</c:v>
                </c:pt>
                <c:pt idx="12">
                  <c:v>0.72838898675930386</c:v>
                </c:pt>
                <c:pt idx="13">
                  <c:v>0.74017712479387321</c:v>
                </c:pt>
                <c:pt idx="14">
                  <c:v>0.7808403676564083</c:v>
                </c:pt>
                <c:pt idx="15">
                  <c:v>0.80606250976286908</c:v>
                </c:pt>
                <c:pt idx="16">
                  <c:v>0.79576120735250966</c:v>
                </c:pt>
                <c:pt idx="17">
                  <c:v>0.77850512849038622</c:v>
                </c:pt>
                <c:pt idx="18">
                  <c:v>0.75597611812525045</c:v>
                </c:pt>
                <c:pt idx="19">
                  <c:v>0.77779973556171511</c:v>
                </c:pt>
                <c:pt idx="20">
                  <c:v>0.79431996250364689</c:v>
                </c:pt>
                <c:pt idx="21">
                  <c:v>0.85587456250979876</c:v>
                </c:pt>
                <c:pt idx="22">
                  <c:v>0.80776134119960374</c:v>
                </c:pt>
                <c:pt idx="23">
                  <c:v>0.78322513830835516</c:v>
                </c:pt>
                <c:pt idx="24">
                  <c:v>0.69536744460729649</c:v>
                </c:pt>
                <c:pt idx="25">
                  <c:v>0.69546919025137399</c:v>
                </c:pt>
                <c:pt idx="26">
                  <c:v>0.6677273286388522</c:v>
                </c:pt>
                <c:pt idx="27">
                  <c:v>0.65366861821616296</c:v>
                </c:pt>
                <c:pt idx="28">
                  <c:v>0.72459105935154655</c:v>
                </c:pt>
                <c:pt idx="29">
                  <c:v>0.76774812960106742</c:v>
                </c:pt>
                <c:pt idx="30">
                  <c:v>0.83142639246882777</c:v>
                </c:pt>
                <c:pt idx="31">
                  <c:v>0.76499958837716797</c:v>
                </c:pt>
                <c:pt idx="32">
                  <c:v>0.73136140069978095</c:v>
                </c:pt>
                <c:pt idx="33">
                  <c:v>0.68571965566454318</c:v>
                </c:pt>
                <c:pt idx="34">
                  <c:v>0.74816786741608265</c:v>
                </c:pt>
                <c:pt idx="35">
                  <c:v>0.77381201679793998</c:v>
                </c:pt>
                <c:pt idx="36">
                  <c:v>0.86006223982304919</c:v>
                </c:pt>
                <c:pt idx="37">
                  <c:v>0.82924438784628673</c:v>
                </c:pt>
                <c:pt idx="38">
                  <c:v>0.81214266910015598</c:v>
                </c:pt>
                <c:pt idx="39">
                  <c:v>0.74280829689943995</c:v>
                </c:pt>
                <c:pt idx="40">
                  <c:v>0.74393163251453231</c:v>
                </c:pt>
                <c:pt idx="41">
                  <c:v>0.76422624721924615</c:v>
                </c:pt>
                <c:pt idx="42">
                  <c:v>0.802508196088484</c:v>
                </c:pt>
                <c:pt idx="43">
                  <c:v>0.77097511958915677</c:v>
                </c:pt>
                <c:pt idx="44">
                  <c:v>0.76585002914729217</c:v>
                </c:pt>
                <c:pt idx="45">
                  <c:v>0.77502385859784573</c:v>
                </c:pt>
                <c:pt idx="46">
                  <c:v>0.75957878744348672</c:v>
                </c:pt>
                <c:pt idx="47">
                  <c:v>0.72631659101730273</c:v>
                </c:pt>
                <c:pt idx="48">
                  <c:v>0.6922678643591037</c:v>
                </c:pt>
                <c:pt idx="49">
                  <c:v>0.69892843601104682</c:v>
                </c:pt>
                <c:pt idx="50">
                  <c:v>0.7220517789242108</c:v>
                </c:pt>
                <c:pt idx="51">
                  <c:v>0.75922118302322905</c:v>
                </c:pt>
                <c:pt idx="52">
                  <c:v>0.76397572975812666</c:v>
                </c:pt>
                <c:pt idx="53">
                  <c:v>0.82028575517829239</c:v>
                </c:pt>
                <c:pt idx="54">
                  <c:v>0.82785331514817928</c:v>
                </c:pt>
                <c:pt idx="55">
                  <c:v>0.90916549969036742</c:v>
                </c:pt>
                <c:pt idx="56">
                  <c:v>0.87544842705579562</c:v>
                </c:pt>
                <c:pt idx="57">
                  <c:v>0.88333185751170396</c:v>
                </c:pt>
                <c:pt idx="58">
                  <c:v>0.84015641119612339</c:v>
                </c:pt>
                <c:pt idx="59">
                  <c:v>0.87534072856695511</c:v>
                </c:pt>
                <c:pt idx="60">
                  <c:v>0.86818615272912358</c:v>
                </c:pt>
                <c:pt idx="61">
                  <c:v>0.8919154553874753</c:v>
                </c:pt>
                <c:pt idx="62">
                  <c:v>0.88397786386488819</c:v>
                </c:pt>
                <c:pt idx="63">
                  <c:v>0.90240377404355954</c:v>
                </c:pt>
                <c:pt idx="64">
                  <c:v>0.91445705938039179</c:v>
                </c:pt>
                <c:pt idx="65">
                  <c:v>0.92195288886223525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F7-43AC-968F-201F7D5CB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5091136"/>
        <c:axId val="-1425078624"/>
      </c:scatterChart>
      <c:scatterChart>
        <c:scatterStyle val="lineMarker"/>
        <c:varyColors val="0"/>
        <c:ser>
          <c:idx val="2"/>
          <c:order val="1"/>
          <c:tx>
            <c:v>Transporte sedimentos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Varadero!$AK$3:$AK$34</c:f>
              <c:numCache>
                <c:formatCode>General</c:formatCode>
                <c:ptCount val="32"/>
                <c:pt idx="1">
                  <c:v>6466.87</c:v>
                </c:pt>
                <c:pt idx="2">
                  <c:v>6514.375</c:v>
                </c:pt>
                <c:pt idx="3">
                  <c:v>6761.4214285714279</c:v>
                </c:pt>
                <c:pt idx="4">
                  <c:v>6907.4562499999993</c:v>
                </c:pt>
                <c:pt idx="5">
                  <c:v>7026.4166666666661</c:v>
                </c:pt>
                <c:pt idx="6">
                  <c:v>6857.15</c:v>
                </c:pt>
                <c:pt idx="7">
                  <c:v>6723.5333333333338</c:v>
                </c:pt>
                <c:pt idx="8">
                  <c:v>6713.5444444444447</c:v>
                </c:pt>
                <c:pt idx="9">
                  <c:v>6411.5888888888894</c:v>
                </c:pt>
                <c:pt idx="10">
                  <c:v>6021.3444444444449</c:v>
                </c:pt>
                <c:pt idx="11">
                  <c:v>6221.1888888888889</c:v>
                </c:pt>
                <c:pt idx="12">
                  <c:v>6094.3111111111102</c:v>
                </c:pt>
                <c:pt idx="13">
                  <c:v>5841.355555555554</c:v>
                </c:pt>
                <c:pt idx="14">
                  <c:v>5279.8777777777777</c:v>
                </c:pt>
                <c:pt idx="15">
                  <c:v>5661.7666666666664</c:v>
                </c:pt>
                <c:pt idx="16">
                  <c:v>5970.4444444444453</c:v>
                </c:pt>
                <c:pt idx="17">
                  <c:v>6082.8888888888887</c:v>
                </c:pt>
                <c:pt idx="18">
                  <c:v>5942.1888888888889</c:v>
                </c:pt>
                <c:pt idx="19">
                  <c:v>5856.188888888888</c:v>
                </c:pt>
                <c:pt idx="20">
                  <c:v>5362.2555555555546</c:v>
                </c:pt>
                <c:pt idx="21">
                  <c:v>5088.9555555555544</c:v>
                </c:pt>
                <c:pt idx="22">
                  <c:v>5050.6222222222214</c:v>
                </c:pt>
                <c:pt idx="23">
                  <c:v>5407.7222222222217</c:v>
                </c:pt>
                <c:pt idx="24">
                  <c:v>5134.1222222222214</c:v>
                </c:pt>
                <c:pt idx="25">
                  <c:v>4880.3666666666659</c:v>
                </c:pt>
                <c:pt idx="26">
                  <c:v>4649.0222222222219</c:v>
                </c:pt>
                <c:pt idx="27">
                  <c:v>4683.4777777777772</c:v>
                </c:pt>
                <c:pt idx="28">
                  <c:v>4822.8999999999996</c:v>
                </c:pt>
                <c:pt idx="29">
                  <c:v>4925.4428571428571</c:v>
                </c:pt>
                <c:pt idx="30">
                  <c:v>4972.666666666667</c:v>
                </c:pt>
                <c:pt idx="31">
                  <c:v>4905.58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F7-43AC-968F-201F7D5CB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5091680"/>
        <c:axId val="-1425080256"/>
      </c:scatterChart>
      <c:valAx>
        <c:axId val="-1425091136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78624"/>
        <c:crosses val="autoZero"/>
        <c:crossBetween val="midCat"/>
      </c:valAx>
      <c:valAx>
        <c:axId val="-1425078624"/>
        <c:scaling>
          <c:orientation val="minMax"/>
          <c:max val="0.82000000000000006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91136"/>
        <c:crosses val="autoZero"/>
        <c:crossBetween val="midCat"/>
      </c:valAx>
      <c:valAx>
        <c:axId val="-1425080256"/>
        <c:scaling>
          <c:orientation val="minMax"/>
          <c:min val="45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Sedimentos (kton)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91680"/>
        <c:crosses val="max"/>
        <c:crossBetween val="midCat"/>
      </c:valAx>
      <c:valAx>
        <c:axId val="-14250916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508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Varadero!$L$2</c:f>
              <c:strCache>
                <c:ptCount val="1"/>
                <c:pt idx="0">
                  <c:v>Extension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Varadero!$L$3:$L$68</c:f>
              <c:numCache>
                <c:formatCode>General</c:formatCode>
                <c:ptCount val="66"/>
                <c:pt idx="0" formatCode="0.000">
                  <c:v>1.1880557499999997</c:v>
                </c:pt>
                <c:pt idx="1">
                  <c:v>1.1502877083333332</c:v>
                </c:pt>
                <c:pt idx="2">
                  <c:v>1.1274808928571427</c:v>
                </c:pt>
                <c:pt idx="3">
                  <c:v>1.1175364062499997</c:v>
                </c:pt>
                <c:pt idx="4" formatCode="0.000">
                  <c:v>1.1124448611111108</c:v>
                </c:pt>
                <c:pt idx="5">
                  <c:v>1.0843738888888887</c:v>
                </c:pt>
                <c:pt idx="6">
                  <c:v>1.1054669444444447</c:v>
                </c:pt>
                <c:pt idx="7">
                  <c:v>1.0662159722222222</c:v>
                </c:pt>
                <c:pt idx="8">
                  <c:v>1.0734090277777777</c:v>
                </c:pt>
                <c:pt idx="9">
                  <c:v>1.0789761111111107</c:v>
                </c:pt>
                <c:pt idx="10">
                  <c:v>1.1190848611111106</c:v>
                </c:pt>
                <c:pt idx="11">
                  <c:v>1.152029166666666</c:v>
                </c:pt>
                <c:pt idx="12">
                  <c:v>1.1588638888888878</c:v>
                </c:pt>
                <c:pt idx="13">
                  <c:v>1.1713401388888842</c:v>
                </c:pt>
                <c:pt idx="14">
                  <c:v>1.186386805555548</c:v>
                </c:pt>
                <c:pt idx="15">
                  <c:v>1.1693086111111004</c:v>
                </c:pt>
                <c:pt idx="16">
                  <c:v>1.1740138888888758</c:v>
                </c:pt>
                <c:pt idx="17">
                  <c:v>1.1745995833333249</c:v>
                </c:pt>
                <c:pt idx="18">
                  <c:v>1.1798204166666659</c:v>
                </c:pt>
                <c:pt idx="19">
                  <c:v>1.137599166666672</c:v>
                </c:pt>
                <c:pt idx="20">
                  <c:v>1.1126895833333448</c:v>
                </c:pt>
                <c:pt idx="21">
                  <c:v>1.0900872222222389</c:v>
                </c:pt>
                <c:pt idx="22">
                  <c:v>1.0800947222222479</c:v>
                </c:pt>
                <c:pt idx="23">
                  <c:v>1.0541616666667009</c:v>
                </c:pt>
                <c:pt idx="24">
                  <c:v>1.0388813888889297</c:v>
                </c:pt>
                <c:pt idx="25">
                  <c:v>1.0548358333333856</c:v>
                </c:pt>
                <c:pt idx="26">
                  <c:v>1.0414043055556088</c:v>
                </c:pt>
                <c:pt idx="27">
                  <c:v>1.0148584722222731</c:v>
                </c:pt>
                <c:pt idx="28">
                  <c:v>1.0228600000000501</c:v>
                </c:pt>
                <c:pt idx="29">
                  <c:v>1.0118147222222698</c:v>
                </c:pt>
                <c:pt idx="30">
                  <c:v>1.0106158796296727</c:v>
                </c:pt>
                <c:pt idx="31">
                  <c:v>1.0155348148148524</c:v>
                </c:pt>
                <c:pt idx="32">
                  <c:v>1.0141754166666985</c:v>
                </c:pt>
                <c:pt idx="33">
                  <c:v>1.0249488888889173</c:v>
                </c:pt>
                <c:pt idx="34">
                  <c:v>0.99329800925927947</c:v>
                </c:pt>
                <c:pt idx="35">
                  <c:v>0.97711328703705247</c:v>
                </c:pt>
                <c:pt idx="36">
                  <c:v>0.97097967592593681</c:v>
                </c:pt>
                <c:pt idx="37">
                  <c:v>0.96738259259259962</c:v>
                </c:pt>
                <c:pt idx="38">
                  <c:v>0.95660703703704142</c:v>
                </c:pt>
                <c:pt idx="39">
                  <c:v>0.95670129629630141</c:v>
                </c:pt>
                <c:pt idx="40">
                  <c:v>0.9401416666666722</c:v>
                </c:pt>
                <c:pt idx="41">
                  <c:v>0.94629037037037633</c:v>
                </c:pt>
                <c:pt idx="42">
                  <c:v>0.94232814814815469</c:v>
                </c:pt>
                <c:pt idx="43">
                  <c:v>0.92973055555556294</c:v>
                </c:pt>
                <c:pt idx="44">
                  <c:v>0.9352894444444515</c:v>
                </c:pt>
                <c:pt idx="45">
                  <c:v>0.95773111111111908</c:v>
                </c:pt>
                <c:pt idx="46">
                  <c:v>0.96534111111111942</c:v>
                </c:pt>
                <c:pt idx="47">
                  <c:v>1.0107600000000083</c:v>
                </c:pt>
                <c:pt idx="48">
                  <c:v>1.0532055555555639</c:v>
                </c:pt>
                <c:pt idx="49">
                  <c:v>1.0395411111111195</c:v>
                </c:pt>
                <c:pt idx="50">
                  <c:v>1.0569844444444538</c:v>
                </c:pt>
                <c:pt idx="51">
                  <c:v>1.0705950000000093</c:v>
                </c:pt>
                <c:pt idx="52">
                  <c:v>1.1044894444444533</c:v>
                </c:pt>
                <c:pt idx="53">
                  <c:v>1.1145733333333425</c:v>
                </c:pt>
                <c:pt idx="54">
                  <c:v>1.1171322222222324</c:v>
                </c:pt>
                <c:pt idx="55">
                  <c:v>1.1089094444444558</c:v>
                </c:pt>
                <c:pt idx="56">
                  <c:v>1.0961011111111243</c:v>
                </c:pt>
                <c:pt idx="57">
                  <c:v>1.0734911111111258</c:v>
                </c:pt>
                <c:pt idx="58">
                  <c:v>1.0992944444444612</c:v>
                </c:pt>
                <c:pt idx="59">
                  <c:v>1.0923505555555728</c:v>
                </c:pt>
                <c:pt idx="60">
                  <c:v>1.0943266666666862</c:v>
                </c:pt>
                <c:pt idx="61">
                  <c:v>1.1042461111111328</c:v>
                </c:pt>
                <c:pt idx="62">
                  <c:v>1.1165781250000233</c:v>
                </c:pt>
                <c:pt idx="63">
                  <c:v>1.1156128571428809</c:v>
                </c:pt>
                <c:pt idx="64">
                  <c:v>1.1387883333333577</c:v>
                </c:pt>
                <c:pt idx="65">
                  <c:v>1.1345340000000241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2C-4CC2-A657-0019438A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5073184"/>
        <c:axId val="-1425087328"/>
      </c:scatterChart>
      <c:scatterChart>
        <c:scatterStyle val="lineMarker"/>
        <c:varyColors val="0"/>
        <c:ser>
          <c:idx val="2"/>
          <c:order val="1"/>
          <c:tx>
            <c:v>Transporte sedimentos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Varadero!$AK$3:$AK$34</c:f>
              <c:numCache>
                <c:formatCode>General</c:formatCode>
                <c:ptCount val="32"/>
                <c:pt idx="1">
                  <c:v>6466.87</c:v>
                </c:pt>
                <c:pt idx="2">
                  <c:v>6514.375</c:v>
                </c:pt>
                <c:pt idx="3">
                  <c:v>6761.4214285714279</c:v>
                </c:pt>
                <c:pt idx="4">
                  <c:v>6907.4562499999993</c:v>
                </c:pt>
                <c:pt idx="5">
                  <c:v>7026.4166666666661</c:v>
                </c:pt>
                <c:pt idx="6">
                  <c:v>6857.15</c:v>
                </c:pt>
                <c:pt idx="7">
                  <c:v>6723.5333333333338</c:v>
                </c:pt>
                <c:pt idx="8">
                  <c:v>6713.5444444444447</c:v>
                </c:pt>
                <c:pt idx="9">
                  <c:v>6411.5888888888894</c:v>
                </c:pt>
                <c:pt idx="10">
                  <c:v>6021.3444444444449</c:v>
                </c:pt>
                <c:pt idx="11">
                  <c:v>6221.1888888888889</c:v>
                </c:pt>
                <c:pt idx="12">
                  <c:v>6094.3111111111102</c:v>
                </c:pt>
                <c:pt idx="13">
                  <c:v>5841.355555555554</c:v>
                </c:pt>
                <c:pt idx="14">
                  <c:v>5279.8777777777777</c:v>
                </c:pt>
                <c:pt idx="15">
                  <c:v>5661.7666666666664</c:v>
                </c:pt>
                <c:pt idx="16">
                  <c:v>5970.4444444444453</c:v>
                </c:pt>
                <c:pt idx="17">
                  <c:v>6082.8888888888887</c:v>
                </c:pt>
                <c:pt idx="18">
                  <c:v>5942.1888888888889</c:v>
                </c:pt>
                <c:pt idx="19">
                  <c:v>5856.188888888888</c:v>
                </c:pt>
                <c:pt idx="20">
                  <c:v>5362.2555555555546</c:v>
                </c:pt>
                <c:pt idx="21">
                  <c:v>5088.9555555555544</c:v>
                </c:pt>
                <c:pt idx="22">
                  <c:v>5050.6222222222214</c:v>
                </c:pt>
                <c:pt idx="23">
                  <c:v>5407.7222222222217</c:v>
                </c:pt>
                <c:pt idx="24">
                  <c:v>5134.1222222222214</c:v>
                </c:pt>
                <c:pt idx="25">
                  <c:v>4880.3666666666659</c:v>
                </c:pt>
                <c:pt idx="26">
                  <c:v>4649.0222222222219</c:v>
                </c:pt>
                <c:pt idx="27">
                  <c:v>4683.4777777777772</c:v>
                </c:pt>
                <c:pt idx="28">
                  <c:v>4822.8999999999996</c:v>
                </c:pt>
                <c:pt idx="29">
                  <c:v>4925.4428571428571</c:v>
                </c:pt>
                <c:pt idx="30">
                  <c:v>4972.666666666667</c:v>
                </c:pt>
                <c:pt idx="31">
                  <c:v>4905.58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2C-4CC2-A657-0019438A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5078080"/>
        <c:axId val="-1425093856"/>
      </c:scatterChart>
      <c:valAx>
        <c:axId val="-1425073184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87328"/>
        <c:crosses val="autoZero"/>
        <c:crossBetween val="midCat"/>
      </c:valAx>
      <c:valAx>
        <c:axId val="-1425087328"/>
        <c:scaling>
          <c:orientation val="minMax"/>
          <c:max val="1.2"/>
          <c:min val="0.95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Extensión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73184"/>
        <c:crosses val="autoZero"/>
        <c:crossBetween val="midCat"/>
      </c:valAx>
      <c:valAx>
        <c:axId val="-1425093856"/>
        <c:scaling>
          <c:orientation val="minMax"/>
          <c:min val="45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Sedimentos (kton)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78080"/>
        <c:crosses val="max"/>
        <c:crossBetween val="midCat"/>
      </c:valAx>
      <c:valAx>
        <c:axId val="-1425078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5093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Varadero!$K$2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Varadero!$K$3:$K$68</c:f>
              <c:numCache>
                <c:formatCode>General</c:formatCode>
                <c:ptCount val="66"/>
                <c:pt idx="0">
                  <c:v>0.69635225112986576</c:v>
                </c:pt>
                <c:pt idx="1">
                  <c:v>0.71792658429669876</c:v>
                </c:pt>
                <c:pt idx="2">
                  <c:v>0.72271797965998219</c:v>
                </c:pt>
                <c:pt idx="3">
                  <c:v>0.7226144614629576</c:v>
                </c:pt>
                <c:pt idx="4">
                  <c:v>0.71558062552543311</c:v>
                </c:pt>
                <c:pt idx="5">
                  <c:v>0.71531997928677404</c:v>
                </c:pt>
                <c:pt idx="6">
                  <c:v>0.71014746741020685</c:v>
                </c:pt>
                <c:pt idx="7">
                  <c:v>0.71681602170451775</c:v>
                </c:pt>
                <c:pt idx="8">
                  <c:v>0.7133354581914898</c:v>
                </c:pt>
                <c:pt idx="9">
                  <c:v>0.70015104941403394</c:v>
                </c:pt>
                <c:pt idx="10">
                  <c:v>0.67687555738380267</c:v>
                </c:pt>
                <c:pt idx="11">
                  <c:v>0.66557516832944053</c:v>
                </c:pt>
                <c:pt idx="12">
                  <c:v>0.66333480770678555</c:v>
                </c:pt>
                <c:pt idx="13">
                  <c:v>0.66421153914980147</c:v>
                </c:pt>
                <c:pt idx="14">
                  <c:v>0.66396141320914148</c:v>
                </c:pt>
                <c:pt idx="15">
                  <c:v>0.66842005556216433</c:v>
                </c:pt>
                <c:pt idx="16">
                  <c:v>0.67196469050827456</c:v>
                </c:pt>
                <c:pt idx="17">
                  <c:v>0.68472838041705308</c:v>
                </c:pt>
                <c:pt idx="18">
                  <c:v>0.70184242311488343</c:v>
                </c:pt>
                <c:pt idx="19">
                  <c:v>0.7163432917105812</c:v>
                </c:pt>
                <c:pt idx="20">
                  <c:v>0.72331397058111335</c:v>
                </c:pt>
                <c:pt idx="21">
                  <c:v>0.72144222538150993</c:v>
                </c:pt>
                <c:pt idx="22">
                  <c:v>0.72076673385918888</c:v>
                </c:pt>
                <c:pt idx="23">
                  <c:v>0.71986496090414043</c:v>
                </c:pt>
                <c:pt idx="24">
                  <c:v>0.7129714034455723</c:v>
                </c:pt>
                <c:pt idx="25">
                  <c:v>0.70824756345490925</c:v>
                </c:pt>
                <c:pt idx="26">
                  <c:v>0.71424586492438413</c:v>
                </c:pt>
                <c:pt idx="27">
                  <c:v>0.71655638209816053</c:v>
                </c:pt>
                <c:pt idx="28">
                  <c:v>0.71066863967725424</c:v>
                </c:pt>
                <c:pt idx="29">
                  <c:v>0.71123060203796273</c:v>
                </c:pt>
                <c:pt idx="30">
                  <c:v>0.71297749307830083</c:v>
                </c:pt>
                <c:pt idx="31">
                  <c:v>0.72580510177044255</c:v>
                </c:pt>
                <c:pt idx="32">
                  <c:v>0.74210585145187313</c:v>
                </c:pt>
                <c:pt idx="33">
                  <c:v>0.77097107521880714</c:v>
                </c:pt>
                <c:pt idx="34">
                  <c:v>0.78207391505782986</c:v>
                </c:pt>
                <c:pt idx="35">
                  <c:v>0.78404907670473967</c:v>
                </c:pt>
                <c:pt idx="36">
                  <c:v>0.78163772539751575</c:v>
                </c:pt>
                <c:pt idx="37">
                  <c:v>0.79403367790321633</c:v>
                </c:pt>
                <c:pt idx="38">
                  <c:v>0.81262405848187813</c:v>
                </c:pt>
                <c:pt idx="39">
                  <c:v>0.83226104796503142</c:v>
                </c:pt>
                <c:pt idx="40">
                  <c:v>0.82666457467779131</c:v>
                </c:pt>
                <c:pt idx="41">
                  <c:v>0.82056295955458658</c:v>
                </c:pt>
                <c:pt idx="42">
                  <c:v>0.81408726969263923</c:v>
                </c:pt>
                <c:pt idx="43">
                  <c:v>0.8089845614076181</c:v>
                </c:pt>
                <c:pt idx="44">
                  <c:v>0.79874647743255456</c:v>
                </c:pt>
                <c:pt idx="45">
                  <c:v>0.79190214629019662</c:v>
                </c:pt>
                <c:pt idx="46">
                  <c:v>0.77666909096102132</c:v>
                </c:pt>
                <c:pt idx="47">
                  <c:v>0.74501549079256535</c:v>
                </c:pt>
                <c:pt idx="48">
                  <c:v>0.72080928218920681</c:v>
                </c:pt>
                <c:pt idx="49">
                  <c:v>0.72933189141281329</c:v>
                </c:pt>
                <c:pt idx="50">
                  <c:v>0.73270027559173867</c:v>
                </c:pt>
                <c:pt idx="51">
                  <c:v>0.72511274926564129</c:v>
                </c:pt>
                <c:pt idx="52">
                  <c:v>0.72823539086977163</c:v>
                </c:pt>
                <c:pt idx="53">
                  <c:v>0.73626911467035638</c:v>
                </c:pt>
                <c:pt idx="54">
                  <c:v>0.74547743888238094</c:v>
                </c:pt>
                <c:pt idx="55">
                  <c:v>0.76492611757717022</c:v>
                </c:pt>
                <c:pt idx="56">
                  <c:v>0.78907035756043165</c:v>
                </c:pt>
                <c:pt idx="57">
                  <c:v>0.80488810848714332</c:v>
                </c:pt>
                <c:pt idx="58">
                  <c:v>0.80836745104468166</c:v>
                </c:pt>
                <c:pt idx="59">
                  <c:v>0.81019572540174012</c:v>
                </c:pt>
                <c:pt idx="60">
                  <c:v>0.81599174656497253</c:v>
                </c:pt>
                <c:pt idx="61">
                  <c:v>0.81047193185134314</c:v>
                </c:pt>
                <c:pt idx="62">
                  <c:v>0.8100116510159644</c:v>
                </c:pt>
                <c:pt idx="63">
                  <c:v>0.8134593378440611</c:v>
                </c:pt>
                <c:pt idx="64">
                  <c:v>0.80847903743911553</c:v>
                </c:pt>
                <c:pt idx="65">
                  <c:v>0.80671768393237886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18-4A01-8244-2C784EAAD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5076448"/>
        <c:axId val="-1425075904"/>
      </c:scatterChart>
      <c:scatterChart>
        <c:scatterStyle val="lineMarker"/>
        <c:varyColors val="0"/>
        <c:ser>
          <c:idx val="2"/>
          <c:order val="1"/>
          <c:tx>
            <c:v>Transporte sedimentos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Varadero!$AK$3:$AK$34</c:f>
              <c:numCache>
                <c:formatCode>General</c:formatCode>
                <c:ptCount val="32"/>
                <c:pt idx="1">
                  <c:v>6466.87</c:v>
                </c:pt>
                <c:pt idx="2">
                  <c:v>6514.375</c:v>
                </c:pt>
                <c:pt idx="3">
                  <c:v>6761.4214285714279</c:v>
                </c:pt>
                <c:pt idx="4">
                  <c:v>6907.4562499999993</c:v>
                </c:pt>
                <c:pt idx="5">
                  <c:v>7026.4166666666661</c:v>
                </c:pt>
                <c:pt idx="6">
                  <c:v>6857.15</c:v>
                </c:pt>
                <c:pt idx="7">
                  <c:v>6723.5333333333338</c:v>
                </c:pt>
                <c:pt idx="8">
                  <c:v>6713.5444444444447</c:v>
                </c:pt>
                <c:pt idx="9">
                  <c:v>6411.5888888888894</c:v>
                </c:pt>
                <c:pt idx="10">
                  <c:v>6021.3444444444449</c:v>
                </c:pt>
                <c:pt idx="11">
                  <c:v>6221.1888888888889</c:v>
                </c:pt>
                <c:pt idx="12">
                  <c:v>6094.3111111111102</c:v>
                </c:pt>
                <c:pt idx="13">
                  <c:v>5841.355555555554</c:v>
                </c:pt>
                <c:pt idx="14">
                  <c:v>5279.8777777777777</c:v>
                </c:pt>
                <c:pt idx="15">
                  <c:v>5661.7666666666664</c:v>
                </c:pt>
                <c:pt idx="16">
                  <c:v>5970.4444444444453</c:v>
                </c:pt>
                <c:pt idx="17">
                  <c:v>6082.8888888888887</c:v>
                </c:pt>
                <c:pt idx="18">
                  <c:v>5942.1888888888889</c:v>
                </c:pt>
                <c:pt idx="19">
                  <c:v>5856.188888888888</c:v>
                </c:pt>
                <c:pt idx="20">
                  <c:v>5362.2555555555546</c:v>
                </c:pt>
                <c:pt idx="21">
                  <c:v>5088.9555555555544</c:v>
                </c:pt>
                <c:pt idx="22">
                  <c:v>5050.6222222222214</c:v>
                </c:pt>
                <c:pt idx="23">
                  <c:v>5407.7222222222217</c:v>
                </c:pt>
                <c:pt idx="24">
                  <c:v>5134.1222222222214</c:v>
                </c:pt>
                <c:pt idx="25">
                  <c:v>4880.3666666666659</c:v>
                </c:pt>
                <c:pt idx="26">
                  <c:v>4649.0222222222219</c:v>
                </c:pt>
                <c:pt idx="27">
                  <c:v>4683.4777777777772</c:v>
                </c:pt>
                <c:pt idx="28">
                  <c:v>4822.8999999999996</c:v>
                </c:pt>
                <c:pt idx="29">
                  <c:v>4925.4428571428571</c:v>
                </c:pt>
                <c:pt idx="30">
                  <c:v>4972.666666666667</c:v>
                </c:pt>
                <c:pt idx="31">
                  <c:v>4905.58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18-4A01-8244-2C784EAAD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5072640"/>
        <c:axId val="-1425066112"/>
      </c:scatterChart>
      <c:valAx>
        <c:axId val="-1425076448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75904"/>
        <c:crosses val="autoZero"/>
        <c:crossBetween val="midCat"/>
      </c:valAx>
      <c:valAx>
        <c:axId val="-1425075904"/>
        <c:scaling>
          <c:orientation val="minMax"/>
          <c:max val="0.8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76448"/>
        <c:crosses val="autoZero"/>
        <c:crossBetween val="midCat"/>
      </c:valAx>
      <c:valAx>
        <c:axId val="-1425066112"/>
        <c:scaling>
          <c:orientation val="minMax"/>
          <c:min val="45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Sedimentos (kton)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72640"/>
        <c:crosses val="max"/>
        <c:crossBetween val="midCat"/>
      </c:valAx>
      <c:valAx>
        <c:axId val="-1425072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5066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Varadero!$M$2</c:f>
              <c:strCache>
                <c:ptCount val="1"/>
                <c:pt idx="0">
                  <c:v>Calcificacion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Varadero!$M$3:$M$68</c:f>
              <c:numCache>
                <c:formatCode>General</c:formatCode>
                <c:ptCount val="66"/>
                <c:pt idx="0">
                  <c:v>0.7873914116339672</c:v>
                </c:pt>
                <c:pt idx="1">
                  <c:v>0.84330495717684795</c:v>
                </c:pt>
                <c:pt idx="2">
                  <c:v>0.76992021974297531</c:v>
                </c:pt>
                <c:pt idx="3">
                  <c:v>0.80072576414575514</c:v>
                </c:pt>
                <c:pt idx="4">
                  <c:v>0.73163328186487375</c:v>
                </c:pt>
                <c:pt idx="5">
                  <c:v>0.75061613018718221</c:v>
                </c:pt>
                <c:pt idx="6">
                  <c:v>0.74265230362513079</c:v>
                </c:pt>
                <c:pt idx="7">
                  <c:v>0.72839806106700478</c:v>
                </c:pt>
                <c:pt idx="8">
                  <c:v>0.72966904911331731</c:v>
                </c:pt>
                <c:pt idx="9">
                  <c:v>0.73951126664687106</c:v>
                </c:pt>
                <c:pt idx="10">
                  <c:v>0.76283404325930437</c:v>
                </c:pt>
                <c:pt idx="11">
                  <c:v>0.7556659412658141</c:v>
                </c:pt>
                <c:pt idx="12">
                  <c:v>0.72838898675930386</c:v>
                </c:pt>
                <c:pt idx="13">
                  <c:v>0.74017712479387321</c:v>
                </c:pt>
                <c:pt idx="14">
                  <c:v>0.7808403676564083</c:v>
                </c:pt>
                <c:pt idx="15">
                  <c:v>0.80606250976286908</c:v>
                </c:pt>
                <c:pt idx="16">
                  <c:v>0.79576120735250966</c:v>
                </c:pt>
                <c:pt idx="17">
                  <c:v>0.77850512849038622</c:v>
                </c:pt>
                <c:pt idx="18">
                  <c:v>0.75597611812525045</c:v>
                </c:pt>
                <c:pt idx="19">
                  <c:v>0.77779973556171511</c:v>
                </c:pt>
                <c:pt idx="20">
                  <c:v>0.79431996250364689</c:v>
                </c:pt>
                <c:pt idx="21">
                  <c:v>0.85587456250979876</c:v>
                </c:pt>
                <c:pt idx="22">
                  <c:v>0.80776134119960374</c:v>
                </c:pt>
                <c:pt idx="23">
                  <c:v>0.78322513830835516</c:v>
                </c:pt>
                <c:pt idx="24">
                  <c:v>0.69536744460729649</c:v>
                </c:pt>
                <c:pt idx="25">
                  <c:v>0.69546919025137399</c:v>
                </c:pt>
                <c:pt idx="26">
                  <c:v>0.6677273286388522</c:v>
                </c:pt>
                <c:pt idx="27">
                  <c:v>0.65366861821616296</c:v>
                </c:pt>
                <c:pt idx="28">
                  <c:v>0.72459105935154655</c:v>
                </c:pt>
                <c:pt idx="29">
                  <c:v>0.76774812960106742</c:v>
                </c:pt>
                <c:pt idx="30">
                  <c:v>0.83142639246882777</c:v>
                </c:pt>
                <c:pt idx="31">
                  <c:v>0.76499958837716797</c:v>
                </c:pt>
                <c:pt idx="32">
                  <c:v>0.73136140069978095</c:v>
                </c:pt>
                <c:pt idx="33">
                  <c:v>0.68571965566454318</c:v>
                </c:pt>
                <c:pt idx="34">
                  <c:v>0.74816786741608265</c:v>
                </c:pt>
                <c:pt idx="35">
                  <c:v>0.77381201679793998</c:v>
                </c:pt>
                <c:pt idx="36">
                  <c:v>0.86006223982304919</c:v>
                </c:pt>
                <c:pt idx="37">
                  <c:v>0.82924438784628673</c:v>
                </c:pt>
                <c:pt idx="38">
                  <c:v>0.81214266910015598</c:v>
                </c:pt>
                <c:pt idx="39">
                  <c:v>0.74280829689943995</c:v>
                </c:pt>
                <c:pt idx="40">
                  <c:v>0.74393163251453231</c:v>
                </c:pt>
                <c:pt idx="41">
                  <c:v>0.76422624721924615</c:v>
                </c:pt>
                <c:pt idx="42">
                  <c:v>0.802508196088484</c:v>
                </c:pt>
                <c:pt idx="43">
                  <c:v>0.77097511958915677</c:v>
                </c:pt>
                <c:pt idx="44">
                  <c:v>0.76585002914729217</c:v>
                </c:pt>
                <c:pt idx="45">
                  <c:v>0.77502385859784573</c:v>
                </c:pt>
                <c:pt idx="46">
                  <c:v>0.75957878744348672</c:v>
                </c:pt>
                <c:pt idx="47">
                  <c:v>0.72631659101730273</c:v>
                </c:pt>
                <c:pt idx="48">
                  <c:v>0.6922678643591037</c:v>
                </c:pt>
                <c:pt idx="49">
                  <c:v>0.69892843601104682</c:v>
                </c:pt>
                <c:pt idx="50">
                  <c:v>0.7220517789242108</c:v>
                </c:pt>
                <c:pt idx="51">
                  <c:v>0.75922118302322905</c:v>
                </c:pt>
                <c:pt idx="52">
                  <c:v>0.76397572975812666</c:v>
                </c:pt>
                <c:pt idx="53">
                  <c:v>0.82028575517829239</c:v>
                </c:pt>
                <c:pt idx="54">
                  <c:v>0.82785331514817928</c:v>
                </c:pt>
                <c:pt idx="55">
                  <c:v>0.90916549969036742</c:v>
                </c:pt>
                <c:pt idx="56">
                  <c:v>0.87544842705579562</c:v>
                </c:pt>
                <c:pt idx="57">
                  <c:v>0.88333185751170396</c:v>
                </c:pt>
                <c:pt idx="58">
                  <c:v>0.84015641119612339</c:v>
                </c:pt>
                <c:pt idx="59">
                  <c:v>0.87534072856695511</c:v>
                </c:pt>
                <c:pt idx="60">
                  <c:v>0.86818615272912358</c:v>
                </c:pt>
                <c:pt idx="61">
                  <c:v>0.8919154553874753</c:v>
                </c:pt>
                <c:pt idx="62">
                  <c:v>0.88397786386488819</c:v>
                </c:pt>
                <c:pt idx="63">
                  <c:v>0.90240377404355954</c:v>
                </c:pt>
                <c:pt idx="64">
                  <c:v>0.91445705938039179</c:v>
                </c:pt>
                <c:pt idx="65">
                  <c:v>0.92195288886223525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93-438B-9725-E684E4D27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5076992"/>
        <c:axId val="-1425067744"/>
      </c:scatterChart>
      <c:scatterChart>
        <c:scatterStyle val="lineMarker"/>
        <c:varyColors val="0"/>
        <c:ser>
          <c:idx val="2"/>
          <c:order val="1"/>
          <c:tx>
            <c:v>Caudal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Varadero!$AO$3:$AO$68</c:f>
              <c:numCache>
                <c:formatCode>0.0</c:formatCode>
                <c:ptCount val="66"/>
                <c:pt idx="0">
                  <c:v>350.49333333333328</c:v>
                </c:pt>
                <c:pt idx="1">
                  <c:v>369.63472222222225</c:v>
                </c:pt>
                <c:pt idx="2">
                  <c:v>376.72380952380951</c:v>
                </c:pt>
                <c:pt idx="3">
                  <c:v>399.69583333333333</c:v>
                </c:pt>
                <c:pt idx="4">
                  <c:v>413.68821548821546</c:v>
                </c:pt>
                <c:pt idx="5">
                  <c:v>438.42895622895617</c:v>
                </c:pt>
                <c:pt idx="6">
                  <c:v>446.81691919191917</c:v>
                </c:pt>
                <c:pt idx="7">
                  <c:v>455.34284511784506</c:v>
                </c:pt>
                <c:pt idx="8">
                  <c:v>457.70521885521885</c:v>
                </c:pt>
                <c:pt idx="9">
                  <c:v>440.55707070707075</c:v>
                </c:pt>
                <c:pt idx="10">
                  <c:v>420.50244107744112</c:v>
                </c:pt>
                <c:pt idx="11">
                  <c:v>430.78207070707072</c:v>
                </c:pt>
                <c:pt idx="12">
                  <c:v>428.26355218855213</c:v>
                </c:pt>
                <c:pt idx="13">
                  <c:v>409.6762626262626</c:v>
                </c:pt>
                <c:pt idx="14">
                  <c:v>379.92163299663304</c:v>
                </c:pt>
                <c:pt idx="15">
                  <c:v>380.54663299663304</c:v>
                </c:pt>
                <c:pt idx="16">
                  <c:v>382.85126262626267</c:v>
                </c:pt>
                <c:pt idx="17">
                  <c:v>383.65833333333336</c:v>
                </c:pt>
                <c:pt idx="18">
                  <c:v>379.50370370370371</c:v>
                </c:pt>
                <c:pt idx="19">
                  <c:v>375.50277777777774</c:v>
                </c:pt>
                <c:pt idx="20">
                  <c:v>345.61666666666662</c:v>
                </c:pt>
                <c:pt idx="21">
                  <c:v>320.98055555555555</c:v>
                </c:pt>
                <c:pt idx="22">
                  <c:v>322.19907407407413</c:v>
                </c:pt>
                <c:pt idx="23">
                  <c:v>346.92870370370366</c:v>
                </c:pt>
                <c:pt idx="24">
                  <c:v>336.38611111111112</c:v>
                </c:pt>
                <c:pt idx="25">
                  <c:v>328.13611111111112</c:v>
                </c:pt>
                <c:pt idx="26">
                  <c:v>319.13981481481483</c:v>
                </c:pt>
                <c:pt idx="27">
                  <c:v>323.40833333333336</c:v>
                </c:pt>
                <c:pt idx="28">
                  <c:v>313.20555555555563</c:v>
                </c:pt>
                <c:pt idx="29">
                  <c:v>312.86203703703711</c:v>
                </c:pt>
                <c:pt idx="30">
                  <c:v>306.21064814814821</c:v>
                </c:pt>
                <c:pt idx="31">
                  <c:v>298.32343750000001</c:v>
                </c:pt>
                <c:pt idx="32">
                  <c:v>278.48630952380955</c:v>
                </c:pt>
                <c:pt idx="33">
                  <c:v>272.81041666666664</c:v>
                </c:pt>
                <c:pt idx="34">
                  <c:v>263.91750000000002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93-438B-9725-E684E4D27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5072096"/>
        <c:axId val="-1425092224"/>
      </c:scatterChart>
      <c:valAx>
        <c:axId val="-1425076992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67744"/>
        <c:crosses val="autoZero"/>
        <c:crossBetween val="midCat"/>
      </c:valAx>
      <c:valAx>
        <c:axId val="-1425067744"/>
        <c:scaling>
          <c:orientation val="minMax"/>
          <c:max val="0.82000000000000006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76992"/>
        <c:crosses val="autoZero"/>
        <c:crossBetween val="midCat"/>
      </c:valAx>
      <c:valAx>
        <c:axId val="-1425092224"/>
        <c:scaling>
          <c:orientation val="minMax"/>
          <c:min val="2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Caudal (m3/s)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72096"/>
        <c:crosses val="max"/>
        <c:crossBetween val="midCat"/>
      </c:valAx>
      <c:valAx>
        <c:axId val="-1425072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509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Extensio-9yr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Varadero!$L$3:$L$68</c:f>
              <c:numCache>
                <c:formatCode>General</c:formatCode>
                <c:ptCount val="66"/>
                <c:pt idx="0" formatCode="0.000">
                  <c:v>1.1880557499999997</c:v>
                </c:pt>
                <c:pt idx="1">
                  <c:v>1.1502877083333332</c:v>
                </c:pt>
                <c:pt idx="2">
                  <c:v>1.1274808928571427</c:v>
                </c:pt>
                <c:pt idx="3">
                  <c:v>1.1175364062499997</c:v>
                </c:pt>
                <c:pt idx="4" formatCode="0.000">
                  <c:v>1.1124448611111108</c:v>
                </c:pt>
                <c:pt idx="5">
                  <c:v>1.0843738888888887</c:v>
                </c:pt>
                <c:pt idx="6">
                  <c:v>1.1054669444444447</c:v>
                </c:pt>
                <c:pt idx="7">
                  <c:v>1.0662159722222222</c:v>
                </c:pt>
                <c:pt idx="8">
                  <c:v>1.0734090277777777</c:v>
                </c:pt>
                <c:pt idx="9">
                  <c:v>1.0789761111111107</c:v>
                </c:pt>
                <c:pt idx="10">
                  <c:v>1.1190848611111106</c:v>
                </c:pt>
                <c:pt idx="11">
                  <c:v>1.152029166666666</c:v>
                </c:pt>
                <c:pt idx="12">
                  <c:v>1.1588638888888878</c:v>
                </c:pt>
                <c:pt idx="13">
                  <c:v>1.1713401388888842</c:v>
                </c:pt>
                <c:pt idx="14">
                  <c:v>1.186386805555548</c:v>
                </c:pt>
                <c:pt idx="15">
                  <c:v>1.1693086111111004</c:v>
                </c:pt>
                <c:pt idx="16">
                  <c:v>1.1740138888888758</c:v>
                </c:pt>
                <c:pt idx="17">
                  <c:v>1.1745995833333249</c:v>
                </c:pt>
                <c:pt idx="18">
                  <c:v>1.1798204166666659</c:v>
                </c:pt>
                <c:pt idx="19">
                  <c:v>1.137599166666672</c:v>
                </c:pt>
                <c:pt idx="20">
                  <c:v>1.1126895833333448</c:v>
                </c:pt>
                <c:pt idx="21">
                  <c:v>1.0900872222222389</c:v>
                </c:pt>
                <c:pt idx="22">
                  <c:v>1.0800947222222479</c:v>
                </c:pt>
                <c:pt idx="23">
                  <c:v>1.0541616666667009</c:v>
                </c:pt>
                <c:pt idx="24">
                  <c:v>1.0388813888889297</c:v>
                </c:pt>
                <c:pt idx="25">
                  <c:v>1.0548358333333856</c:v>
                </c:pt>
                <c:pt idx="26">
                  <c:v>1.0414043055556088</c:v>
                </c:pt>
                <c:pt idx="27">
                  <c:v>1.0148584722222731</c:v>
                </c:pt>
                <c:pt idx="28">
                  <c:v>1.0228600000000501</c:v>
                </c:pt>
                <c:pt idx="29">
                  <c:v>1.0118147222222698</c:v>
                </c:pt>
                <c:pt idx="30">
                  <c:v>1.0106158796296727</c:v>
                </c:pt>
                <c:pt idx="31">
                  <c:v>1.0155348148148524</c:v>
                </c:pt>
                <c:pt idx="32">
                  <c:v>1.0141754166666985</c:v>
                </c:pt>
                <c:pt idx="33">
                  <c:v>1.0249488888889173</c:v>
                </c:pt>
                <c:pt idx="34">
                  <c:v>0.99329800925927947</c:v>
                </c:pt>
                <c:pt idx="35">
                  <c:v>0.97711328703705247</c:v>
                </c:pt>
                <c:pt idx="36">
                  <c:v>0.97097967592593681</c:v>
                </c:pt>
                <c:pt idx="37">
                  <c:v>0.96738259259259962</c:v>
                </c:pt>
                <c:pt idx="38">
                  <c:v>0.95660703703704142</c:v>
                </c:pt>
                <c:pt idx="39">
                  <c:v>0.95670129629630141</c:v>
                </c:pt>
                <c:pt idx="40">
                  <c:v>0.9401416666666722</c:v>
                </c:pt>
                <c:pt idx="41">
                  <c:v>0.94629037037037633</c:v>
                </c:pt>
                <c:pt idx="42">
                  <c:v>0.94232814814815469</c:v>
                </c:pt>
                <c:pt idx="43">
                  <c:v>0.92973055555556294</c:v>
                </c:pt>
                <c:pt idx="44">
                  <c:v>0.9352894444444515</c:v>
                </c:pt>
                <c:pt idx="45">
                  <c:v>0.95773111111111908</c:v>
                </c:pt>
                <c:pt idx="46">
                  <c:v>0.96534111111111942</c:v>
                </c:pt>
                <c:pt idx="47">
                  <c:v>1.0107600000000083</c:v>
                </c:pt>
                <c:pt idx="48">
                  <c:v>1.0532055555555639</c:v>
                </c:pt>
                <c:pt idx="49">
                  <c:v>1.0395411111111195</c:v>
                </c:pt>
                <c:pt idx="50">
                  <c:v>1.0569844444444538</c:v>
                </c:pt>
                <c:pt idx="51">
                  <c:v>1.0705950000000093</c:v>
                </c:pt>
                <c:pt idx="52">
                  <c:v>1.1044894444444533</c:v>
                </c:pt>
                <c:pt idx="53">
                  <c:v>1.1145733333333425</c:v>
                </c:pt>
                <c:pt idx="54">
                  <c:v>1.1171322222222324</c:v>
                </c:pt>
                <c:pt idx="55">
                  <c:v>1.1089094444444558</c:v>
                </c:pt>
                <c:pt idx="56">
                  <c:v>1.0961011111111243</c:v>
                </c:pt>
                <c:pt idx="57">
                  <c:v>1.0734911111111258</c:v>
                </c:pt>
                <c:pt idx="58">
                  <c:v>1.0992944444444612</c:v>
                </c:pt>
                <c:pt idx="59">
                  <c:v>1.0923505555555728</c:v>
                </c:pt>
                <c:pt idx="60">
                  <c:v>1.0943266666666862</c:v>
                </c:pt>
                <c:pt idx="61">
                  <c:v>1.1042461111111328</c:v>
                </c:pt>
                <c:pt idx="62">
                  <c:v>1.1165781250000233</c:v>
                </c:pt>
                <c:pt idx="63">
                  <c:v>1.1156128571428809</c:v>
                </c:pt>
                <c:pt idx="64">
                  <c:v>1.1387883333333577</c:v>
                </c:pt>
                <c:pt idx="65">
                  <c:v>1.1345340000000241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8C-42AE-AF21-2059514D3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5071008"/>
        <c:axId val="-1425070464"/>
      </c:scatterChart>
      <c:scatterChart>
        <c:scatterStyle val="lineMarker"/>
        <c:varyColors val="0"/>
        <c:ser>
          <c:idx val="2"/>
          <c:order val="1"/>
          <c:tx>
            <c:v>Caudal-9yr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Varadero!$AO$3:$AO$68</c:f>
              <c:numCache>
                <c:formatCode>0.0</c:formatCode>
                <c:ptCount val="66"/>
                <c:pt idx="0">
                  <c:v>350.49333333333328</c:v>
                </c:pt>
                <c:pt idx="1">
                  <c:v>369.63472222222225</c:v>
                </c:pt>
                <c:pt idx="2">
                  <c:v>376.72380952380951</c:v>
                </c:pt>
                <c:pt idx="3">
                  <c:v>399.69583333333333</c:v>
                </c:pt>
                <c:pt idx="4">
                  <c:v>413.68821548821546</c:v>
                </c:pt>
                <c:pt idx="5">
                  <c:v>438.42895622895617</c:v>
                </c:pt>
                <c:pt idx="6">
                  <c:v>446.81691919191917</c:v>
                </c:pt>
                <c:pt idx="7">
                  <c:v>455.34284511784506</c:v>
                </c:pt>
                <c:pt idx="8">
                  <c:v>457.70521885521885</c:v>
                </c:pt>
                <c:pt idx="9">
                  <c:v>440.55707070707075</c:v>
                </c:pt>
                <c:pt idx="10">
                  <c:v>420.50244107744112</c:v>
                </c:pt>
                <c:pt idx="11">
                  <c:v>430.78207070707072</c:v>
                </c:pt>
                <c:pt idx="12">
                  <c:v>428.26355218855213</c:v>
                </c:pt>
                <c:pt idx="13">
                  <c:v>409.6762626262626</c:v>
                </c:pt>
                <c:pt idx="14">
                  <c:v>379.92163299663304</c:v>
                </c:pt>
                <c:pt idx="15">
                  <c:v>380.54663299663304</c:v>
                </c:pt>
                <c:pt idx="16">
                  <c:v>382.85126262626267</c:v>
                </c:pt>
                <c:pt idx="17">
                  <c:v>383.65833333333336</c:v>
                </c:pt>
                <c:pt idx="18">
                  <c:v>379.50370370370371</c:v>
                </c:pt>
                <c:pt idx="19">
                  <c:v>375.50277777777774</c:v>
                </c:pt>
                <c:pt idx="20">
                  <c:v>345.61666666666662</c:v>
                </c:pt>
                <c:pt idx="21">
                  <c:v>320.98055555555555</c:v>
                </c:pt>
                <c:pt idx="22">
                  <c:v>322.19907407407413</c:v>
                </c:pt>
                <c:pt idx="23">
                  <c:v>346.92870370370366</c:v>
                </c:pt>
                <c:pt idx="24">
                  <c:v>336.38611111111112</c:v>
                </c:pt>
                <c:pt idx="25">
                  <c:v>328.13611111111112</c:v>
                </c:pt>
                <c:pt idx="26">
                  <c:v>319.13981481481483</c:v>
                </c:pt>
                <c:pt idx="27">
                  <c:v>323.40833333333336</c:v>
                </c:pt>
                <c:pt idx="28">
                  <c:v>313.20555555555563</c:v>
                </c:pt>
                <c:pt idx="29">
                  <c:v>312.86203703703711</c:v>
                </c:pt>
                <c:pt idx="30">
                  <c:v>306.21064814814821</c:v>
                </c:pt>
                <c:pt idx="31">
                  <c:v>298.32343750000001</c:v>
                </c:pt>
                <c:pt idx="32">
                  <c:v>278.48630952380955</c:v>
                </c:pt>
                <c:pt idx="33">
                  <c:v>272.81041666666664</c:v>
                </c:pt>
                <c:pt idx="34">
                  <c:v>263.91750000000002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8C-42AE-AF21-2059514D3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5096576"/>
        <c:axId val="-142506556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2"/>
                <c:tx>
                  <c:v>Caudal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Varadero!$AL$3:$AL$37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Varadero!$AM$3:$AM$37</c15:sqref>
                        </c15:formulaRef>
                      </c:ext>
                    </c:extLst>
                    <c:numCache>
                      <c:formatCode>0.0</c:formatCode>
                      <c:ptCount val="35"/>
                      <c:pt idx="0">
                        <c:v>259.74166666666667</c:v>
                      </c:pt>
                      <c:pt idx="1">
                        <c:v>326.30833333333334</c:v>
                      </c:pt>
                      <c:pt idx="2">
                        <c:v>294.05</c:v>
                      </c:pt>
                      <c:pt idx="3">
                        <c:v>356.47499999999997</c:v>
                      </c:pt>
                      <c:pt idx="4">
                        <c:v>515.89166666666665</c:v>
                      </c:pt>
                      <c:pt idx="5">
                        <c:v>465.3416666666667</c:v>
                      </c:pt>
                      <c:pt idx="6">
                        <c:v>419.25833333333338</c:v>
                      </c:pt>
                      <c:pt idx="7">
                        <c:v>560.5</c:v>
                      </c:pt>
                      <c:pt idx="8">
                        <c:v>525.62727272727273</c:v>
                      </c:pt>
                      <c:pt idx="9">
                        <c:v>482.4083333333333</c:v>
                      </c:pt>
                      <c:pt idx="10">
                        <c:v>401.8</c:v>
                      </c:pt>
                      <c:pt idx="11">
                        <c:v>370.7833333333333</c:v>
                      </c:pt>
                      <c:pt idx="12">
                        <c:v>377.73636363636365</c:v>
                      </c:pt>
                      <c:pt idx="13">
                        <c:v>361.55833333333334</c:v>
                      </c:pt>
                      <c:pt idx="14">
                        <c:v>284.85000000000002</c:v>
                      </c:pt>
                      <c:pt idx="15">
                        <c:v>511.77499999999992</c:v>
                      </c:pt>
                      <c:pt idx="16">
                        <c:v>537.83333333333326</c:v>
                      </c:pt>
                      <c:pt idx="17">
                        <c:v>358.3416666666667</c:v>
                      </c:pt>
                      <c:pt idx="18">
                        <c:v>214.61666666666667</c:v>
                      </c:pt>
                      <c:pt idx="19">
                        <c:v>407.42500000000001</c:v>
                      </c:pt>
                      <c:pt idx="20">
                        <c:v>391.52499999999992</c:v>
                      </c:pt>
                      <c:pt idx="21">
                        <c:v>384.99999999999994</c:v>
                      </c:pt>
                      <c:pt idx="22">
                        <c:v>324.16666666666663</c:v>
                      </c:pt>
                      <c:pt idx="23">
                        <c:v>248.8416666666667</c:v>
                      </c:pt>
                      <c:pt idx="24">
                        <c:v>242.79999999999998</c:v>
                      </c:pt>
                      <c:pt idx="25">
                        <c:v>316.10833333333335</c:v>
                      </c:pt>
                      <c:pt idx="26">
                        <c:v>369.30833333333334</c:v>
                      </c:pt>
                      <c:pt idx="27">
                        <c:v>437.18333333333339</c:v>
                      </c:pt>
                      <c:pt idx="28">
                        <c:v>312.54166666666669</c:v>
                      </c:pt>
                      <c:pt idx="29">
                        <c:v>317.27500000000003</c:v>
                      </c:pt>
                      <c:pt idx="30">
                        <c:v>304.03333333333336</c:v>
                      </c:pt>
                      <c:pt idx="31">
                        <c:v>362.58333333333331</c:v>
                      </c:pt>
                      <c:pt idx="32">
                        <c:v>157.01666666666668</c:v>
                      </c:pt>
                      <c:pt idx="33">
                        <c:v>239.70833333333334</c:v>
                      </c:pt>
                      <c:pt idx="34">
                        <c:v>256.24583333333334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840-43C3-893D-618667271ED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Extension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Varadero!$A$3:$A$37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Varadero!$C$3:$C$37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1.3288425000000001</c:v>
                      </c:pt>
                      <c:pt idx="1">
                        <c:v>1.0056375000000002</c:v>
                      </c:pt>
                      <c:pt idx="2">
                        <c:v>1.4491025000000002</c:v>
                      </c:pt>
                      <c:pt idx="3">
                        <c:v>1.0613424999999994</c:v>
                      </c:pt>
                      <c:pt idx="4">
                        <c:v>1.0953537499999997</c:v>
                      </c:pt>
                      <c:pt idx="5">
                        <c:v>0.96144750000000012</c:v>
                      </c:pt>
                      <c:pt idx="6">
                        <c:v>0.99063999999999952</c:v>
                      </c:pt>
                      <c:pt idx="7">
                        <c:v>1.0479249999999998</c:v>
                      </c:pt>
                      <c:pt idx="8">
                        <c:v>1.0717125000000007</c:v>
                      </c:pt>
                      <c:pt idx="9">
                        <c:v>1.0762037500000015</c:v>
                      </c:pt>
                      <c:pt idx="10">
                        <c:v>1.1954750000000021</c:v>
                      </c:pt>
                      <c:pt idx="11">
                        <c:v>1.0958437499999982</c:v>
                      </c:pt>
                      <c:pt idx="12">
                        <c:v>1.1260799999999973</c:v>
                      </c:pt>
                      <c:pt idx="13">
                        <c:v>1.145457499999998</c:v>
                      </c:pt>
                      <c:pt idx="14">
                        <c:v>1.3224262499999979</c:v>
                      </c:pt>
                      <c:pt idx="15">
                        <c:v>1.2871387499999967</c:v>
                      </c:pt>
                      <c:pt idx="16">
                        <c:v>1.1094374999999963</c:v>
                      </c:pt>
                      <c:pt idx="17">
                        <c:v>1.1839987499999702</c:v>
                      </c:pt>
                      <c:pt idx="18">
                        <c:v>1.2116237499999751</c:v>
                      </c:pt>
                      <c:pt idx="19">
                        <c:v>1.0417712499999732</c:v>
                      </c:pt>
                      <c:pt idx="20">
                        <c:v>1.138191249999978</c:v>
                      </c:pt>
                      <c:pt idx="21">
                        <c:v>1.1313512500000416</c:v>
                      </c:pt>
                      <c:pt idx="22">
                        <c:v>1.1924450000000646</c:v>
                      </c:pt>
                      <c:pt idx="23">
                        <c:v>0.9424350000000512</c:v>
                      </c:pt>
                      <c:pt idx="24">
                        <c:v>1.0629525000000521</c:v>
                      </c:pt>
                      <c:pt idx="25">
                        <c:v>0.90601625000004438</c:v>
                      </c:pt>
                      <c:pt idx="26">
                        <c:v>1.0940662500000502</c:v>
                      </c:pt>
                      <c:pt idx="27">
                        <c:v>0.97822625000005248</c:v>
                      </c:pt>
                      <c:pt idx="28">
                        <c:v>0.90424875000003224</c:v>
                      </c:pt>
                      <c:pt idx="29">
                        <c:v>1.2817812500000807</c:v>
                      </c:pt>
                      <c:pt idx="30">
                        <c:v>1.0104675000000496</c:v>
                      </c:pt>
                      <c:pt idx="31">
                        <c:v>0.95353250000004541</c:v>
                      </c:pt>
                      <c:pt idx="32">
                        <c:v>1.0144487500000432</c:v>
                      </c:pt>
                      <c:pt idx="33">
                        <c:v>0.96354500000003052</c:v>
                      </c:pt>
                      <c:pt idx="34">
                        <c:v>0.8952266666666695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F840-43C3-893D-618667271ED0}"/>
                  </c:ext>
                </c:extLst>
              </c15:ser>
            </c15:filteredScatterSeries>
          </c:ext>
        </c:extLst>
      </c:scatterChart>
      <c:valAx>
        <c:axId val="-1425071008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70464"/>
        <c:crosses val="autoZero"/>
        <c:crossBetween val="midCat"/>
      </c:valAx>
      <c:valAx>
        <c:axId val="-1425070464"/>
        <c:scaling>
          <c:orientation val="minMax"/>
          <c:max val="1.2"/>
          <c:min val="0.95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71008"/>
        <c:crosses val="autoZero"/>
        <c:crossBetween val="midCat"/>
      </c:valAx>
      <c:valAx>
        <c:axId val="-1425065568"/>
        <c:scaling>
          <c:orientation val="minMax"/>
          <c:min val="2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Caudal (m3/s)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96576"/>
        <c:crosses val="max"/>
        <c:crossBetween val="midCat"/>
      </c:valAx>
      <c:valAx>
        <c:axId val="-1425096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506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Varadero!$K$2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Varadero!$K$3:$K$68</c:f>
              <c:numCache>
                <c:formatCode>General</c:formatCode>
                <c:ptCount val="66"/>
                <c:pt idx="0">
                  <c:v>0.69635225112986576</c:v>
                </c:pt>
                <c:pt idx="1">
                  <c:v>0.71792658429669876</c:v>
                </c:pt>
                <c:pt idx="2">
                  <c:v>0.72271797965998219</c:v>
                </c:pt>
                <c:pt idx="3">
                  <c:v>0.7226144614629576</c:v>
                </c:pt>
                <c:pt idx="4">
                  <c:v>0.71558062552543311</c:v>
                </c:pt>
                <c:pt idx="5">
                  <c:v>0.71531997928677404</c:v>
                </c:pt>
                <c:pt idx="6">
                  <c:v>0.71014746741020685</c:v>
                </c:pt>
                <c:pt idx="7">
                  <c:v>0.71681602170451775</c:v>
                </c:pt>
                <c:pt idx="8">
                  <c:v>0.7133354581914898</c:v>
                </c:pt>
                <c:pt idx="9">
                  <c:v>0.70015104941403394</c:v>
                </c:pt>
                <c:pt idx="10">
                  <c:v>0.67687555738380267</c:v>
                </c:pt>
                <c:pt idx="11">
                  <c:v>0.66557516832944053</c:v>
                </c:pt>
                <c:pt idx="12">
                  <c:v>0.66333480770678555</c:v>
                </c:pt>
                <c:pt idx="13">
                  <c:v>0.66421153914980147</c:v>
                </c:pt>
                <c:pt idx="14">
                  <c:v>0.66396141320914148</c:v>
                </c:pt>
                <c:pt idx="15">
                  <c:v>0.66842005556216433</c:v>
                </c:pt>
                <c:pt idx="16">
                  <c:v>0.67196469050827456</c:v>
                </c:pt>
                <c:pt idx="17">
                  <c:v>0.68472838041705308</c:v>
                </c:pt>
                <c:pt idx="18">
                  <c:v>0.70184242311488343</c:v>
                </c:pt>
                <c:pt idx="19">
                  <c:v>0.7163432917105812</c:v>
                </c:pt>
                <c:pt idx="20">
                  <c:v>0.72331397058111335</c:v>
                </c:pt>
                <c:pt idx="21">
                  <c:v>0.72144222538150993</c:v>
                </c:pt>
                <c:pt idx="22">
                  <c:v>0.72076673385918888</c:v>
                </c:pt>
                <c:pt idx="23">
                  <c:v>0.71986496090414043</c:v>
                </c:pt>
                <c:pt idx="24">
                  <c:v>0.7129714034455723</c:v>
                </c:pt>
                <c:pt idx="25">
                  <c:v>0.70824756345490925</c:v>
                </c:pt>
                <c:pt idx="26">
                  <c:v>0.71424586492438413</c:v>
                </c:pt>
                <c:pt idx="27">
                  <c:v>0.71655638209816053</c:v>
                </c:pt>
                <c:pt idx="28">
                  <c:v>0.71066863967725424</c:v>
                </c:pt>
                <c:pt idx="29">
                  <c:v>0.71123060203796273</c:v>
                </c:pt>
                <c:pt idx="30">
                  <c:v>0.71297749307830083</c:v>
                </c:pt>
                <c:pt idx="31">
                  <c:v>0.72580510177044255</c:v>
                </c:pt>
                <c:pt idx="32">
                  <c:v>0.74210585145187313</c:v>
                </c:pt>
                <c:pt idx="33">
                  <c:v>0.77097107521880714</c:v>
                </c:pt>
                <c:pt idx="34">
                  <c:v>0.78207391505782986</c:v>
                </c:pt>
                <c:pt idx="35">
                  <c:v>0.78404907670473967</c:v>
                </c:pt>
                <c:pt idx="36">
                  <c:v>0.78163772539751575</c:v>
                </c:pt>
                <c:pt idx="37">
                  <c:v>0.79403367790321633</c:v>
                </c:pt>
                <c:pt idx="38">
                  <c:v>0.81262405848187813</c:v>
                </c:pt>
                <c:pt idx="39">
                  <c:v>0.83226104796503142</c:v>
                </c:pt>
                <c:pt idx="40">
                  <c:v>0.82666457467779131</c:v>
                </c:pt>
                <c:pt idx="41">
                  <c:v>0.82056295955458658</c:v>
                </c:pt>
                <c:pt idx="42">
                  <c:v>0.81408726969263923</c:v>
                </c:pt>
                <c:pt idx="43">
                  <c:v>0.8089845614076181</c:v>
                </c:pt>
                <c:pt idx="44">
                  <c:v>0.79874647743255456</c:v>
                </c:pt>
                <c:pt idx="45">
                  <c:v>0.79190214629019662</c:v>
                </c:pt>
                <c:pt idx="46">
                  <c:v>0.77666909096102132</c:v>
                </c:pt>
                <c:pt idx="47">
                  <c:v>0.74501549079256535</c:v>
                </c:pt>
                <c:pt idx="48">
                  <c:v>0.72080928218920681</c:v>
                </c:pt>
                <c:pt idx="49">
                  <c:v>0.72933189141281329</c:v>
                </c:pt>
                <c:pt idx="50">
                  <c:v>0.73270027559173867</c:v>
                </c:pt>
                <c:pt idx="51">
                  <c:v>0.72511274926564129</c:v>
                </c:pt>
                <c:pt idx="52">
                  <c:v>0.72823539086977163</c:v>
                </c:pt>
                <c:pt idx="53">
                  <c:v>0.73626911467035638</c:v>
                </c:pt>
                <c:pt idx="54">
                  <c:v>0.74547743888238094</c:v>
                </c:pt>
                <c:pt idx="55">
                  <c:v>0.76492611757717022</c:v>
                </c:pt>
                <c:pt idx="56">
                  <c:v>0.78907035756043165</c:v>
                </c:pt>
                <c:pt idx="57">
                  <c:v>0.80488810848714332</c:v>
                </c:pt>
                <c:pt idx="58">
                  <c:v>0.80836745104468166</c:v>
                </c:pt>
                <c:pt idx="59">
                  <c:v>0.81019572540174012</c:v>
                </c:pt>
                <c:pt idx="60">
                  <c:v>0.81599174656497253</c:v>
                </c:pt>
                <c:pt idx="61">
                  <c:v>0.81047193185134314</c:v>
                </c:pt>
                <c:pt idx="62">
                  <c:v>0.8100116510159644</c:v>
                </c:pt>
                <c:pt idx="63">
                  <c:v>0.8134593378440611</c:v>
                </c:pt>
                <c:pt idx="64">
                  <c:v>0.80847903743911553</c:v>
                </c:pt>
                <c:pt idx="65">
                  <c:v>0.80671768393237886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EF-4EA5-B0B6-A5F032F28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5093312"/>
        <c:axId val="-1425085696"/>
      </c:scatterChart>
      <c:scatterChart>
        <c:scatterStyle val="lineMarker"/>
        <c:varyColors val="0"/>
        <c:ser>
          <c:idx val="2"/>
          <c:order val="1"/>
          <c:tx>
            <c:v>Caudal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Varadero!$P$3:$P$68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Varadero!$AO$3:$AO$68</c:f>
              <c:numCache>
                <c:formatCode>0.0</c:formatCode>
                <c:ptCount val="66"/>
                <c:pt idx="0">
                  <c:v>350.49333333333328</c:v>
                </c:pt>
                <c:pt idx="1">
                  <c:v>369.63472222222225</c:v>
                </c:pt>
                <c:pt idx="2">
                  <c:v>376.72380952380951</c:v>
                </c:pt>
                <c:pt idx="3">
                  <c:v>399.69583333333333</c:v>
                </c:pt>
                <c:pt idx="4">
                  <c:v>413.68821548821546</c:v>
                </c:pt>
                <c:pt idx="5">
                  <c:v>438.42895622895617</c:v>
                </c:pt>
                <c:pt idx="6">
                  <c:v>446.81691919191917</c:v>
                </c:pt>
                <c:pt idx="7">
                  <c:v>455.34284511784506</c:v>
                </c:pt>
                <c:pt idx="8">
                  <c:v>457.70521885521885</c:v>
                </c:pt>
                <c:pt idx="9">
                  <c:v>440.55707070707075</c:v>
                </c:pt>
                <c:pt idx="10">
                  <c:v>420.50244107744112</c:v>
                </c:pt>
                <c:pt idx="11">
                  <c:v>430.78207070707072</c:v>
                </c:pt>
                <c:pt idx="12">
                  <c:v>428.26355218855213</c:v>
                </c:pt>
                <c:pt idx="13">
                  <c:v>409.6762626262626</c:v>
                </c:pt>
                <c:pt idx="14">
                  <c:v>379.92163299663304</c:v>
                </c:pt>
                <c:pt idx="15">
                  <c:v>380.54663299663304</c:v>
                </c:pt>
                <c:pt idx="16">
                  <c:v>382.85126262626267</c:v>
                </c:pt>
                <c:pt idx="17">
                  <c:v>383.65833333333336</c:v>
                </c:pt>
                <c:pt idx="18">
                  <c:v>379.50370370370371</c:v>
                </c:pt>
                <c:pt idx="19">
                  <c:v>375.50277777777774</c:v>
                </c:pt>
                <c:pt idx="20">
                  <c:v>345.61666666666662</c:v>
                </c:pt>
                <c:pt idx="21">
                  <c:v>320.98055555555555</c:v>
                </c:pt>
                <c:pt idx="22">
                  <c:v>322.19907407407413</c:v>
                </c:pt>
                <c:pt idx="23">
                  <c:v>346.92870370370366</c:v>
                </c:pt>
                <c:pt idx="24">
                  <c:v>336.38611111111112</c:v>
                </c:pt>
                <c:pt idx="25">
                  <c:v>328.13611111111112</c:v>
                </c:pt>
                <c:pt idx="26">
                  <c:v>319.13981481481483</c:v>
                </c:pt>
                <c:pt idx="27">
                  <c:v>323.40833333333336</c:v>
                </c:pt>
                <c:pt idx="28">
                  <c:v>313.20555555555563</c:v>
                </c:pt>
                <c:pt idx="29">
                  <c:v>312.86203703703711</c:v>
                </c:pt>
                <c:pt idx="30">
                  <c:v>306.21064814814821</c:v>
                </c:pt>
                <c:pt idx="31">
                  <c:v>298.32343750000001</c:v>
                </c:pt>
                <c:pt idx="32">
                  <c:v>278.48630952380955</c:v>
                </c:pt>
                <c:pt idx="33">
                  <c:v>272.81041666666664</c:v>
                </c:pt>
                <c:pt idx="34">
                  <c:v>263.91750000000002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EF-4EA5-B0B6-A5F032F28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5065024"/>
        <c:axId val="-1425085152"/>
      </c:scatterChart>
      <c:valAx>
        <c:axId val="-1425093312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85696"/>
        <c:crosses val="autoZero"/>
        <c:crossBetween val="midCat"/>
      </c:valAx>
      <c:valAx>
        <c:axId val="-1425085696"/>
        <c:scaling>
          <c:orientation val="minMax"/>
          <c:max val="0.8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93312"/>
        <c:crosses val="autoZero"/>
        <c:crossBetween val="midCat"/>
      </c:valAx>
      <c:valAx>
        <c:axId val="-1425085152"/>
        <c:scaling>
          <c:orientation val="minMax"/>
          <c:min val="2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Caudal (m3/s)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65024"/>
        <c:crosses val="max"/>
        <c:crossBetween val="midCat"/>
      </c:valAx>
      <c:valAx>
        <c:axId val="-1425065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5085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Caudal</c:v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[2]Caudales!$E$4:$E$79</c:f>
              <c:strCache>
                <c:ptCount val="76"/>
                <c:pt idx="0">
                  <c:v>Mean</c:v>
                </c:pt>
                <c:pt idx="1">
                  <c:v>SD</c:v>
                </c:pt>
                <c:pt idx="2">
                  <c:v>Año</c:v>
                </c:pt>
                <c:pt idx="3">
                  <c:v>2016</c:v>
                </c:pt>
                <c:pt idx="4">
                  <c:v>2015</c:v>
                </c:pt>
                <c:pt idx="5">
                  <c:v>2015</c:v>
                </c:pt>
                <c:pt idx="6">
                  <c:v>2015</c:v>
                </c:pt>
                <c:pt idx="7">
                  <c:v>2015</c:v>
                </c:pt>
                <c:pt idx="8">
                  <c:v>2015</c:v>
                </c:pt>
                <c:pt idx="9">
                  <c:v>2015</c:v>
                </c:pt>
                <c:pt idx="10">
                  <c:v>2015</c:v>
                </c:pt>
                <c:pt idx="11">
                  <c:v>2015</c:v>
                </c:pt>
                <c:pt idx="12">
                  <c:v>2015</c:v>
                </c:pt>
                <c:pt idx="13">
                  <c:v>2015</c:v>
                </c:pt>
                <c:pt idx="14">
                  <c:v>2015</c:v>
                </c:pt>
                <c:pt idx="15">
                  <c:v>2015</c:v>
                </c:pt>
                <c:pt idx="16">
                  <c:v>2014</c:v>
                </c:pt>
                <c:pt idx="17">
                  <c:v>2014</c:v>
                </c:pt>
                <c:pt idx="18">
                  <c:v>2014</c:v>
                </c:pt>
                <c:pt idx="19">
                  <c:v>2014</c:v>
                </c:pt>
                <c:pt idx="20">
                  <c:v>2014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2014</c:v>
                </c:pt>
                <c:pt idx="26">
                  <c:v>2014</c:v>
                </c:pt>
                <c:pt idx="27">
                  <c:v>2014</c:v>
                </c:pt>
                <c:pt idx="28">
                  <c:v>2013</c:v>
                </c:pt>
                <c:pt idx="29">
                  <c:v>2013</c:v>
                </c:pt>
                <c:pt idx="30">
                  <c:v>2013</c:v>
                </c:pt>
                <c:pt idx="31">
                  <c:v>2013</c:v>
                </c:pt>
                <c:pt idx="32">
                  <c:v>2013</c:v>
                </c:pt>
                <c:pt idx="33">
                  <c:v>2013</c:v>
                </c:pt>
                <c:pt idx="34">
                  <c:v>2013</c:v>
                </c:pt>
                <c:pt idx="35">
                  <c:v>2013</c:v>
                </c:pt>
                <c:pt idx="36">
                  <c:v>2013</c:v>
                </c:pt>
                <c:pt idx="37">
                  <c:v>2013</c:v>
                </c:pt>
                <c:pt idx="38">
                  <c:v>2013</c:v>
                </c:pt>
                <c:pt idx="39">
                  <c:v>2013</c:v>
                </c:pt>
                <c:pt idx="40">
                  <c:v>2012</c:v>
                </c:pt>
                <c:pt idx="41">
                  <c:v>2012</c:v>
                </c:pt>
                <c:pt idx="42">
                  <c:v>2012</c:v>
                </c:pt>
                <c:pt idx="43">
                  <c:v>2012</c:v>
                </c:pt>
                <c:pt idx="44">
                  <c:v>2012</c:v>
                </c:pt>
                <c:pt idx="45">
                  <c:v>2012</c:v>
                </c:pt>
                <c:pt idx="46">
                  <c:v>2012</c:v>
                </c:pt>
                <c:pt idx="47">
                  <c:v>2012</c:v>
                </c:pt>
                <c:pt idx="48">
                  <c:v>2012</c:v>
                </c:pt>
                <c:pt idx="49">
                  <c:v>2012</c:v>
                </c:pt>
                <c:pt idx="50">
                  <c:v>2012</c:v>
                </c:pt>
                <c:pt idx="51">
                  <c:v>2012</c:v>
                </c:pt>
                <c:pt idx="52">
                  <c:v>2011</c:v>
                </c:pt>
                <c:pt idx="53">
                  <c:v>2011</c:v>
                </c:pt>
                <c:pt idx="54">
                  <c:v>2011</c:v>
                </c:pt>
                <c:pt idx="55">
                  <c:v>2011</c:v>
                </c:pt>
                <c:pt idx="56">
                  <c:v>2011</c:v>
                </c:pt>
                <c:pt idx="57">
                  <c:v>2011</c:v>
                </c:pt>
                <c:pt idx="58">
                  <c:v>2011</c:v>
                </c:pt>
                <c:pt idx="59">
                  <c:v>2011</c:v>
                </c:pt>
                <c:pt idx="60">
                  <c:v>2011</c:v>
                </c:pt>
                <c:pt idx="61">
                  <c:v>2011</c:v>
                </c:pt>
                <c:pt idx="62">
                  <c:v>2011</c:v>
                </c:pt>
                <c:pt idx="63">
                  <c:v>2011</c:v>
                </c:pt>
                <c:pt idx="64">
                  <c:v>2010</c:v>
                </c:pt>
                <c:pt idx="65">
                  <c:v>2010</c:v>
                </c:pt>
                <c:pt idx="66">
                  <c:v>2010</c:v>
                </c:pt>
                <c:pt idx="67">
                  <c:v>2010</c:v>
                </c:pt>
                <c:pt idx="68">
                  <c:v>2010</c:v>
                </c:pt>
                <c:pt idx="69">
                  <c:v>2010</c:v>
                </c:pt>
                <c:pt idx="70">
                  <c:v>2010</c:v>
                </c:pt>
                <c:pt idx="71">
                  <c:v>2010</c:v>
                </c:pt>
                <c:pt idx="72">
                  <c:v>2010</c:v>
                </c:pt>
                <c:pt idx="73">
                  <c:v>2010</c:v>
                </c:pt>
                <c:pt idx="74">
                  <c:v>2010</c:v>
                </c:pt>
                <c:pt idx="75">
                  <c:v>2010</c:v>
                </c:pt>
              </c:strCache>
            </c:strRef>
          </c:xVal>
          <c:yVal>
            <c:numRef>
              <c:f>[2]Caudales!$I$4:$I$79</c:f>
              <c:numCache>
                <c:formatCode>General</c:formatCode>
                <c:ptCount val="7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C8-4C40-8D6A-7A33F43D0508}"/>
            </c:ext>
          </c:extLst>
        </c:ser>
        <c:ser>
          <c:idx val="2"/>
          <c:order val="2"/>
          <c:tx>
            <c:v>Transporte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[2]Transporte!$B$5:$B$47</c:f>
              <c:numCache>
                <c:formatCode>General</c:formatCode>
                <c:ptCount val="43"/>
                <c:pt idx="0">
                  <c:v>2014</c:v>
                </c:pt>
                <c:pt idx="1">
                  <c:v>2013</c:v>
                </c:pt>
                <c:pt idx="2">
                  <c:v>2012</c:v>
                </c:pt>
                <c:pt idx="3">
                  <c:v>2011</c:v>
                </c:pt>
                <c:pt idx="4">
                  <c:v>2010</c:v>
                </c:pt>
                <c:pt idx="5">
                  <c:v>2009</c:v>
                </c:pt>
                <c:pt idx="6">
                  <c:v>2008</c:v>
                </c:pt>
                <c:pt idx="7">
                  <c:v>2007</c:v>
                </c:pt>
                <c:pt idx="8">
                  <c:v>2006</c:v>
                </c:pt>
                <c:pt idx="9">
                  <c:v>2005</c:v>
                </c:pt>
                <c:pt idx="10">
                  <c:v>2004</c:v>
                </c:pt>
                <c:pt idx="11">
                  <c:v>2003</c:v>
                </c:pt>
                <c:pt idx="12">
                  <c:v>2002</c:v>
                </c:pt>
                <c:pt idx="13">
                  <c:v>2001</c:v>
                </c:pt>
                <c:pt idx="14">
                  <c:v>2000</c:v>
                </c:pt>
                <c:pt idx="15">
                  <c:v>1999</c:v>
                </c:pt>
                <c:pt idx="16">
                  <c:v>1998</c:v>
                </c:pt>
                <c:pt idx="17">
                  <c:v>1997</c:v>
                </c:pt>
                <c:pt idx="18">
                  <c:v>1996</c:v>
                </c:pt>
                <c:pt idx="19">
                  <c:v>1995</c:v>
                </c:pt>
                <c:pt idx="20">
                  <c:v>1994</c:v>
                </c:pt>
                <c:pt idx="21">
                  <c:v>1993</c:v>
                </c:pt>
                <c:pt idx="22">
                  <c:v>1992</c:v>
                </c:pt>
                <c:pt idx="23">
                  <c:v>1991</c:v>
                </c:pt>
                <c:pt idx="24">
                  <c:v>1990</c:v>
                </c:pt>
                <c:pt idx="25">
                  <c:v>1989</c:v>
                </c:pt>
                <c:pt idx="26">
                  <c:v>1988</c:v>
                </c:pt>
                <c:pt idx="27">
                  <c:v>1987</c:v>
                </c:pt>
                <c:pt idx="28">
                  <c:v>1986</c:v>
                </c:pt>
                <c:pt idx="29">
                  <c:v>1985</c:v>
                </c:pt>
                <c:pt idx="30">
                  <c:v>1984</c:v>
                </c:pt>
                <c:pt idx="31">
                  <c:v>1983</c:v>
                </c:pt>
                <c:pt idx="32">
                  <c:v>1982</c:v>
                </c:pt>
                <c:pt idx="33">
                  <c:v>1981</c:v>
                </c:pt>
                <c:pt idx="34">
                  <c:v>1980</c:v>
                </c:pt>
                <c:pt idx="35">
                  <c:v>1979</c:v>
                </c:pt>
                <c:pt idx="36">
                  <c:v>1978</c:v>
                </c:pt>
                <c:pt idx="37">
                  <c:v>1977</c:v>
                </c:pt>
                <c:pt idx="38">
                  <c:v>1976</c:v>
                </c:pt>
                <c:pt idx="39">
                  <c:v>1975</c:v>
                </c:pt>
                <c:pt idx="40">
                  <c:v>1974</c:v>
                </c:pt>
                <c:pt idx="41">
                  <c:v>1973</c:v>
                </c:pt>
                <c:pt idx="42">
                  <c:v>1972</c:v>
                </c:pt>
              </c:numCache>
            </c:numRef>
          </c:xVal>
          <c:yVal>
            <c:numRef>
              <c:f>[2]Transporte!$G$5:$G$47</c:f>
              <c:numCache>
                <c:formatCode>General</c:formatCode>
                <c:ptCount val="4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C8-4C40-8D6A-7A33F43D0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5088960"/>
        <c:axId val="-142422945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Nivel</c:v>
                </c:tx>
                <c:spPr>
                  <a:ln w="19050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[2]Nivel!$B$4:$B$48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  <c:pt idx="35">
                        <c:v>1980</c:v>
                      </c:pt>
                      <c:pt idx="36">
                        <c:v>1979</c:v>
                      </c:pt>
                      <c:pt idx="37">
                        <c:v>1978</c:v>
                      </c:pt>
                      <c:pt idx="38">
                        <c:v>1977</c:v>
                      </c:pt>
                      <c:pt idx="39">
                        <c:v>1976</c:v>
                      </c:pt>
                      <c:pt idx="40">
                        <c:v>1975</c:v>
                      </c:pt>
                      <c:pt idx="41">
                        <c:v>1974</c:v>
                      </c:pt>
                      <c:pt idx="42">
                        <c:v>1973</c:v>
                      </c:pt>
                      <c:pt idx="43">
                        <c:v>1972</c:v>
                      </c:pt>
                      <c:pt idx="44">
                        <c:v>1971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[2]Nivel!$F$4:$F$48</c15:sqref>
                        </c15:formulaRef>
                      </c:ext>
                    </c:extLst>
                    <c:numCache>
                      <c:formatCode>General</c:formatCode>
                      <c:ptCount val="45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2FC8-4C40-8D6A-7A33F43D0508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3"/>
          <c:order val="3"/>
          <c:tx>
            <c:strRef>
              <c:f>Varadero!$B$2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Varadero!$F$3:$F$68</c:f>
              <c:numCache>
                <c:formatCode>0.00</c:formatCode>
                <c:ptCount val="66"/>
                <c:pt idx="0">
                  <c:v>-0.32647973717932433</c:v>
                </c:pt>
                <c:pt idx="1">
                  <c:v>-0.18584939721283644</c:v>
                </c:pt>
                <c:pt idx="2">
                  <c:v>-0.58404580757717428</c:v>
                </c:pt>
                <c:pt idx="3">
                  <c:v>-0.48500742335221236</c:v>
                </c:pt>
                <c:pt idx="4">
                  <c:v>-0.10450547304341051</c:v>
                </c:pt>
                <c:pt idx="5">
                  <c:v>0.76107340821596647</c:v>
                </c:pt>
                <c:pt idx="6">
                  <c:v>3.1806869343931177E-2</c:v>
                </c:pt>
                <c:pt idx="7">
                  <c:v>-0.10119712420121116</c:v>
                </c:pt>
                <c:pt idx="8">
                  <c:v>-0.65295470758829477</c:v>
                </c:pt>
                <c:pt idx="9">
                  <c:v>-0.28053441380574623</c:v>
                </c:pt>
                <c:pt idx="10">
                  <c:v>-0.62747288444335581</c:v>
                </c:pt>
                <c:pt idx="11">
                  <c:v>-9.2487508060765916E-2</c:v>
                </c:pt>
                <c:pt idx="12">
                  <c:v>-0.73120595137247391</c:v>
                </c:pt>
                <c:pt idx="13">
                  <c:v>-0.96893112011572435</c:v>
                </c:pt>
                <c:pt idx="14">
                  <c:v>-0.93994974354173177</c:v>
                </c:pt>
                <c:pt idx="15">
                  <c:v>-0.71932356101533013</c:v>
                </c:pt>
                <c:pt idx="16">
                  <c:v>-0.24799829009780441</c:v>
                </c:pt>
                <c:pt idx="17">
                  <c:v>-0.52448953261493791</c:v>
                </c:pt>
                <c:pt idx="18">
                  <c:v>-0.32240980570482802</c:v>
                </c:pt>
                <c:pt idx="19">
                  <c:v>-0.24200810845739065</c:v>
                </c:pt>
                <c:pt idx="20">
                  <c:v>0.34708784042719748</c:v>
                </c:pt>
                <c:pt idx="21">
                  <c:v>0.27961971368355265</c:v>
                </c:pt>
                <c:pt idx="22">
                  <c:v>0.23100569511494115</c:v>
                </c:pt>
                <c:pt idx="23">
                  <c:v>0.17256613323854886</c:v>
                </c:pt>
                <c:pt idx="24">
                  <c:v>-7.9264462541473416E-2</c:v>
                </c:pt>
                <c:pt idx="25">
                  <c:v>-0.32714917159986129</c:v>
                </c:pt>
                <c:pt idx="26">
                  <c:v>-0.61797347665525826</c:v>
                </c:pt>
                <c:pt idx="27">
                  <c:v>-0.29746644317460647</c:v>
                </c:pt>
                <c:pt idx="28">
                  <c:v>-0.64319782829875494</c:v>
                </c:pt>
                <c:pt idx="29">
                  <c:v>-2.9439161900054994E-2</c:v>
                </c:pt>
                <c:pt idx="30">
                  <c:v>0.82559502030647347</c:v>
                </c:pt>
                <c:pt idx="31">
                  <c:v>0.53197471926042916</c:v>
                </c:pt>
                <c:pt idx="32">
                  <c:v>-0.22760896871032521</c:v>
                </c:pt>
                <c:pt idx="33">
                  <c:v>-2.0665475459710397E-2</c:v>
                </c:pt>
                <c:pt idx="34">
                  <c:v>-0.3880584451834494</c:v>
                </c:pt>
                <c:pt idx="35">
                  <c:v>0.1534961725233969</c:v>
                </c:pt>
                <c:pt idx="36">
                  <c:v>0.59275097498935736</c:v>
                </c:pt>
                <c:pt idx="37">
                  <c:v>1.2528895923306795</c:v>
                </c:pt>
                <c:pt idx="38">
                  <c:v>0.46811371458811973</c:v>
                </c:pt>
                <c:pt idx="39">
                  <c:v>0.6164053429105173</c:v>
                </c:pt>
                <c:pt idx="40">
                  <c:v>9.0551204285363049E-2</c:v>
                </c:pt>
                <c:pt idx="41">
                  <c:v>0.37992788939927413</c:v>
                </c:pt>
                <c:pt idx="42">
                  <c:v>0.98450375261072665</c:v>
                </c:pt>
                <c:pt idx="43">
                  <c:v>0.92078777270885814</c:v>
                </c:pt>
                <c:pt idx="44">
                  <c:v>-0.19336462967428422</c:v>
                </c:pt>
                <c:pt idx="45">
                  <c:v>0.17192684708931735</c:v>
                </c:pt>
                <c:pt idx="46">
                  <c:v>0.81000906093509872</c:v>
                </c:pt>
                <c:pt idx="47">
                  <c:v>0.22047024918373329</c:v>
                </c:pt>
                <c:pt idx="48">
                  <c:v>-4.5610417551819493E-2</c:v>
                </c:pt>
                <c:pt idx="49">
                  <c:v>-0.33426305078567414</c:v>
                </c:pt>
                <c:pt idx="50">
                  <c:v>-0.60099596370358699</c:v>
                </c:pt>
                <c:pt idx="51">
                  <c:v>-1.1272282882648021</c:v>
                </c:pt>
                <c:pt idx="52">
                  <c:v>-0.69310577406718599</c:v>
                </c:pt>
                <c:pt idx="53">
                  <c:v>0.43191058816083583</c:v>
                </c:pt>
                <c:pt idx="54">
                  <c:v>0.39870066025426515</c:v>
                </c:pt>
                <c:pt idx="55">
                  <c:v>0.215741156915254</c:v>
                </c:pt>
                <c:pt idx="56">
                  <c:v>0.44839355306007206</c:v>
                </c:pt>
                <c:pt idx="57">
                  <c:v>0.525248533157603</c:v>
                </c:pt>
                <c:pt idx="58">
                  <c:v>0.35189162454861184</c:v>
                </c:pt>
                <c:pt idx="59">
                  <c:v>0.8161203668271263</c:v>
                </c:pt>
                <c:pt idx="60">
                  <c:v>0.62352597794052411</c:v>
                </c:pt>
                <c:pt idx="61">
                  <c:v>0.45092512568164539</c:v>
                </c:pt>
                <c:pt idx="62">
                  <c:v>0.75611815727624776</c:v>
                </c:pt>
                <c:pt idx="63">
                  <c:v>0.6180291849241667</c:v>
                </c:pt>
                <c:pt idx="64">
                  <c:v>0.68095344393912882</c:v>
                </c:pt>
                <c:pt idx="65">
                  <c:v>1.7505271690568442E-3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C8-4C40-8D6A-7A33F43D0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4258832"/>
        <c:axId val="-1424244144"/>
      </c:scatterChart>
      <c:valAx>
        <c:axId val="-1425088960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4229456"/>
        <c:crosses val="autoZero"/>
        <c:crossBetween val="midCat"/>
      </c:valAx>
      <c:valAx>
        <c:axId val="-142422945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400">
                    <a:solidFill>
                      <a:schemeClr val="tx1"/>
                    </a:solidFill>
                  </a:rPr>
                  <a:t>Anomalias estandarizadas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88960"/>
        <c:crosses val="autoZero"/>
        <c:crossBetween val="midCat"/>
      </c:valAx>
      <c:valAx>
        <c:axId val="-1424244144"/>
        <c:scaling>
          <c:orientation val="minMax"/>
          <c:max val="2"/>
          <c:min val="-2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4258832"/>
        <c:crosses val="max"/>
        <c:crossBetween val="midCat"/>
        <c:majorUnit val="1"/>
      </c:valAx>
      <c:valAx>
        <c:axId val="-1424258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4244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Caudal</c:v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[2]Caudales!$E$4:$E$79</c:f>
              <c:strCache>
                <c:ptCount val="76"/>
                <c:pt idx="0">
                  <c:v>Mean</c:v>
                </c:pt>
                <c:pt idx="1">
                  <c:v>SD</c:v>
                </c:pt>
                <c:pt idx="2">
                  <c:v>Año</c:v>
                </c:pt>
                <c:pt idx="3">
                  <c:v>2016</c:v>
                </c:pt>
                <c:pt idx="4">
                  <c:v>2015</c:v>
                </c:pt>
                <c:pt idx="5">
                  <c:v>2015</c:v>
                </c:pt>
                <c:pt idx="6">
                  <c:v>2015</c:v>
                </c:pt>
                <c:pt idx="7">
                  <c:v>2015</c:v>
                </c:pt>
                <c:pt idx="8">
                  <c:v>2015</c:v>
                </c:pt>
                <c:pt idx="9">
                  <c:v>2015</c:v>
                </c:pt>
                <c:pt idx="10">
                  <c:v>2015</c:v>
                </c:pt>
                <c:pt idx="11">
                  <c:v>2015</c:v>
                </c:pt>
                <c:pt idx="12">
                  <c:v>2015</c:v>
                </c:pt>
                <c:pt idx="13">
                  <c:v>2015</c:v>
                </c:pt>
                <c:pt idx="14">
                  <c:v>2015</c:v>
                </c:pt>
                <c:pt idx="15">
                  <c:v>2015</c:v>
                </c:pt>
                <c:pt idx="16">
                  <c:v>2014</c:v>
                </c:pt>
                <c:pt idx="17">
                  <c:v>2014</c:v>
                </c:pt>
                <c:pt idx="18">
                  <c:v>2014</c:v>
                </c:pt>
                <c:pt idx="19">
                  <c:v>2014</c:v>
                </c:pt>
                <c:pt idx="20">
                  <c:v>2014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2014</c:v>
                </c:pt>
                <c:pt idx="26">
                  <c:v>2014</c:v>
                </c:pt>
                <c:pt idx="27">
                  <c:v>2014</c:v>
                </c:pt>
                <c:pt idx="28">
                  <c:v>2013</c:v>
                </c:pt>
                <c:pt idx="29">
                  <c:v>2013</c:v>
                </c:pt>
                <c:pt idx="30">
                  <c:v>2013</c:v>
                </c:pt>
                <c:pt idx="31">
                  <c:v>2013</c:v>
                </c:pt>
                <c:pt idx="32">
                  <c:v>2013</c:v>
                </c:pt>
                <c:pt idx="33">
                  <c:v>2013</c:v>
                </c:pt>
                <c:pt idx="34">
                  <c:v>2013</c:v>
                </c:pt>
                <c:pt idx="35">
                  <c:v>2013</c:v>
                </c:pt>
                <c:pt idx="36">
                  <c:v>2013</c:v>
                </c:pt>
                <c:pt idx="37">
                  <c:v>2013</c:v>
                </c:pt>
                <c:pt idx="38">
                  <c:v>2013</c:v>
                </c:pt>
                <c:pt idx="39">
                  <c:v>2013</c:v>
                </c:pt>
                <c:pt idx="40">
                  <c:v>2012</c:v>
                </c:pt>
                <c:pt idx="41">
                  <c:v>2012</c:v>
                </c:pt>
                <c:pt idx="42">
                  <c:v>2012</c:v>
                </c:pt>
                <c:pt idx="43">
                  <c:v>2012</c:v>
                </c:pt>
                <c:pt idx="44">
                  <c:v>2012</c:v>
                </c:pt>
                <c:pt idx="45">
                  <c:v>2012</c:v>
                </c:pt>
                <c:pt idx="46">
                  <c:v>2012</c:v>
                </c:pt>
                <c:pt idx="47">
                  <c:v>2012</c:v>
                </c:pt>
                <c:pt idx="48">
                  <c:v>2012</c:v>
                </c:pt>
                <c:pt idx="49">
                  <c:v>2012</c:v>
                </c:pt>
                <c:pt idx="50">
                  <c:v>2012</c:v>
                </c:pt>
                <c:pt idx="51">
                  <c:v>2012</c:v>
                </c:pt>
                <c:pt idx="52">
                  <c:v>2011</c:v>
                </c:pt>
                <c:pt idx="53">
                  <c:v>2011</c:v>
                </c:pt>
                <c:pt idx="54">
                  <c:v>2011</c:v>
                </c:pt>
                <c:pt idx="55">
                  <c:v>2011</c:v>
                </c:pt>
                <c:pt idx="56">
                  <c:v>2011</c:v>
                </c:pt>
                <c:pt idx="57">
                  <c:v>2011</c:v>
                </c:pt>
                <c:pt idx="58">
                  <c:v>2011</c:v>
                </c:pt>
                <c:pt idx="59">
                  <c:v>2011</c:v>
                </c:pt>
                <c:pt idx="60">
                  <c:v>2011</c:v>
                </c:pt>
                <c:pt idx="61">
                  <c:v>2011</c:v>
                </c:pt>
                <c:pt idx="62">
                  <c:v>2011</c:v>
                </c:pt>
                <c:pt idx="63">
                  <c:v>2011</c:v>
                </c:pt>
                <c:pt idx="64">
                  <c:v>2010</c:v>
                </c:pt>
                <c:pt idx="65">
                  <c:v>2010</c:v>
                </c:pt>
                <c:pt idx="66">
                  <c:v>2010</c:v>
                </c:pt>
                <c:pt idx="67">
                  <c:v>2010</c:v>
                </c:pt>
                <c:pt idx="68">
                  <c:v>2010</c:v>
                </c:pt>
                <c:pt idx="69">
                  <c:v>2010</c:v>
                </c:pt>
                <c:pt idx="70">
                  <c:v>2010</c:v>
                </c:pt>
                <c:pt idx="71">
                  <c:v>2010</c:v>
                </c:pt>
                <c:pt idx="72">
                  <c:v>2010</c:v>
                </c:pt>
                <c:pt idx="73">
                  <c:v>2010</c:v>
                </c:pt>
                <c:pt idx="74">
                  <c:v>2010</c:v>
                </c:pt>
                <c:pt idx="75">
                  <c:v>2010</c:v>
                </c:pt>
              </c:strCache>
            </c:strRef>
          </c:xVal>
          <c:yVal>
            <c:numRef>
              <c:f>[2]Caudales!$I$4:$I$79</c:f>
              <c:numCache>
                <c:formatCode>General</c:formatCode>
                <c:ptCount val="7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88-4DE8-8E6E-0793D5A778DB}"/>
            </c:ext>
          </c:extLst>
        </c:ser>
        <c:ser>
          <c:idx val="2"/>
          <c:order val="2"/>
          <c:tx>
            <c:v>Transporte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[2]Transporte!$B$5:$B$47</c:f>
              <c:numCache>
                <c:formatCode>General</c:formatCode>
                <c:ptCount val="43"/>
                <c:pt idx="0">
                  <c:v>2014</c:v>
                </c:pt>
                <c:pt idx="1">
                  <c:v>2013</c:v>
                </c:pt>
                <c:pt idx="2">
                  <c:v>2012</c:v>
                </c:pt>
                <c:pt idx="3">
                  <c:v>2011</c:v>
                </c:pt>
                <c:pt idx="4">
                  <c:v>2010</c:v>
                </c:pt>
                <c:pt idx="5">
                  <c:v>2009</c:v>
                </c:pt>
                <c:pt idx="6">
                  <c:v>2008</c:v>
                </c:pt>
                <c:pt idx="7">
                  <c:v>2007</c:v>
                </c:pt>
                <c:pt idx="8">
                  <c:v>2006</c:v>
                </c:pt>
                <c:pt idx="9">
                  <c:v>2005</c:v>
                </c:pt>
                <c:pt idx="10">
                  <c:v>2004</c:v>
                </c:pt>
                <c:pt idx="11">
                  <c:v>2003</c:v>
                </c:pt>
                <c:pt idx="12">
                  <c:v>2002</c:v>
                </c:pt>
                <c:pt idx="13">
                  <c:v>2001</c:v>
                </c:pt>
                <c:pt idx="14">
                  <c:v>2000</c:v>
                </c:pt>
                <c:pt idx="15">
                  <c:v>1999</c:v>
                </c:pt>
                <c:pt idx="16">
                  <c:v>1998</c:v>
                </c:pt>
                <c:pt idx="17">
                  <c:v>1997</c:v>
                </c:pt>
                <c:pt idx="18">
                  <c:v>1996</c:v>
                </c:pt>
                <c:pt idx="19">
                  <c:v>1995</c:v>
                </c:pt>
                <c:pt idx="20">
                  <c:v>1994</c:v>
                </c:pt>
                <c:pt idx="21">
                  <c:v>1993</c:v>
                </c:pt>
                <c:pt idx="22">
                  <c:v>1992</c:v>
                </c:pt>
                <c:pt idx="23">
                  <c:v>1991</c:v>
                </c:pt>
                <c:pt idx="24">
                  <c:v>1990</c:v>
                </c:pt>
                <c:pt idx="25">
                  <c:v>1989</c:v>
                </c:pt>
                <c:pt idx="26">
                  <c:v>1988</c:v>
                </c:pt>
                <c:pt idx="27">
                  <c:v>1987</c:v>
                </c:pt>
                <c:pt idx="28">
                  <c:v>1986</c:v>
                </c:pt>
                <c:pt idx="29">
                  <c:v>1985</c:v>
                </c:pt>
                <c:pt idx="30">
                  <c:v>1984</c:v>
                </c:pt>
                <c:pt idx="31">
                  <c:v>1983</c:v>
                </c:pt>
                <c:pt idx="32">
                  <c:v>1982</c:v>
                </c:pt>
                <c:pt idx="33">
                  <c:v>1981</c:v>
                </c:pt>
                <c:pt idx="34">
                  <c:v>1980</c:v>
                </c:pt>
                <c:pt idx="35">
                  <c:v>1979</c:v>
                </c:pt>
                <c:pt idx="36">
                  <c:v>1978</c:v>
                </c:pt>
                <c:pt idx="37">
                  <c:v>1977</c:v>
                </c:pt>
                <c:pt idx="38">
                  <c:v>1976</c:v>
                </c:pt>
                <c:pt idx="39">
                  <c:v>1975</c:v>
                </c:pt>
                <c:pt idx="40">
                  <c:v>1974</c:v>
                </c:pt>
                <c:pt idx="41">
                  <c:v>1973</c:v>
                </c:pt>
                <c:pt idx="42">
                  <c:v>1972</c:v>
                </c:pt>
              </c:numCache>
            </c:numRef>
          </c:xVal>
          <c:yVal>
            <c:numRef>
              <c:f>[2]Transporte!$G$5:$G$47</c:f>
              <c:numCache>
                <c:formatCode>General</c:formatCode>
                <c:ptCount val="4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88-4DE8-8E6E-0793D5A77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4238160"/>
        <c:axId val="-142425665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Nivel</c:v>
                </c:tx>
                <c:spPr>
                  <a:ln w="19050" cap="rnd">
                    <a:solidFill>
                      <a:srgbClr val="FF000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[2]Nivel!$B$4:$B$48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  <c:pt idx="35">
                        <c:v>1980</c:v>
                      </c:pt>
                      <c:pt idx="36">
                        <c:v>1979</c:v>
                      </c:pt>
                      <c:pt idx="37">
                        <c:v>1978</c:v>
                      </c:pt>
                      <c:pt idx="38">
                        <c:v>1977</c:v>
                      </c:pt>
                      <c:pt idx="39">
                        <c:v>1976</c:v>
                      </c:pt>
                      <c:pt idx="40">
                        <c:v>1975</c:v>
                      </c:pt>
                      <c:pt idx="41">
                        <c:v>1974</c:v>
                      </c:pt>
                      <c:pt idx="42">
                        <c:v>1973</c:v>
                      </c:pt>
                      <c:pt idx="43">
                        <c:v>1972</c:v>
                      </c:pt>
                      <c:pt idx="44">
                        <c:v>1971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[2]Nivel!$F$4:$F$48</c15:sqref>
                        </c15:formulaRef>
                      </c:ext>
                    </c:extLst>
                    <c:numCache>
                      <c:formatCode>General</c:formatCode>
                      <c:ptCount val="45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F088-4DE8-8E6E-0793D5A778DB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3"/>
          <c:order val="3"/>
          <c:tx>
            <c:strRef>
              <c:f>Varadero!$C$2</c:f>
              <c:strCache>
                <c:ptCount val="1"/>
                <c:pt idx="0">
                  <c:v>Extension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Varadero!$G$3:$G$68</c:f>
              <c:numCache>
                <c:formatCode>0.00</c:formatCode>
                <c:ptCount val="66"/>
                <c:pt idx="0">
                  <c:v>0.93460471504703824</c:v>
                </c:pt>
                <c:pt idx="1">
                  <c:v>-0.55522908593821463</c:v>
                </c:pt>
                <c:pt idx="2">
                  <c:v>1.448343228277118</c:v>
                </c:pt>
                <c:pt idx="3">
                  <c:v>-0.27729465068158743</c:v>
                </c:pt>
                <c:pt idx="4">
                  <c:v>-7.0173794790395261E-2</c:v>
                </c:pt>
                <c:pt idx="5">
                  <c:v>-0.68306187970666632</c:v>
                </c:pt>
                <c:pt idx="6">
                  <c:v>-0.50548194053356799</c:v>
                </c:pt>
                <c:pt idx="7">
                  <c:v>-0.24094463436337366</c:v>
                </c:pt>
                <c:pt idx="8">
                  <c:v>-0.15086672822432939</c:v>
                </c:pt>
                <c:pt idx="9">
                  <c:v>-1.2045841514107092E-2</c:v>
                </c:pt>
                <c:pt idx="10">
                  <c:v>0.24306748765088926</c:v>
                </c:pt>
                <c:pt idx="11">
                  <c:v>2.0655232173091009E-3</c:v>
                </c:pt>
                <c:pt idx="12">
                  <c:v>1.0923505028684888E-2</c:v>
                </c:pt>
                <c:pt idx="13">
                  <c:v>0.25565469877480762</c:v>
                </c:pt>
                <c:pt idx="14">
                  <c:v>0.85052659065499581</c:v>
                </c:pt>
                <c:pt idx="15">
                  <c:v>0.68525830425184076</c:v>
                </c:pt>
                <c:pt idx="16">
                  <c:v>-6.1735278634770005E-2</c:v>
                </c:pt>
                <c:pt idx="17">
                  <c:v>0.30694686500229929</c:v>
                </c:pt>
                <c:pt idx="18">
                  <c:v>0.54383198533823029</c:v>
                </c:pt>
                <c:pt idx="19">
                  <c:v>-0.30329958333475637</c:v>
                </c:pt>
                <c:pt idx="20">
                  <c:v>0.24130812831205029</c:v>
                </c:pt>
                <c:pt idx="21">
                  <c:v>6.7132185568030078E-2</c:v>
                </c:pt>
                <c:pt idx="22">
                  <c:v>0.33053859386019535</c:v>
                </c:pt>
                <c:pt idx="23">
                  <c:v>-0.72662834854221658</c:v>
                </c:pt>
                <c:pt idx="24">
                  <c:v>-0.19984622486473727</c:v>
                </c:pt>
                <c:pt idx="25">
                  <c:v>-0.87829972378736998</c:v>
                </c:pt>
                <c:pt idx="26">
                  <c:v>-3.3075536880756568E-2</c:v>
                </c:pt>
                <c:pt idx="27">
                  <c:v>-0.56354621132565796</c:v>
                </c:pt>
                <c:pt idx="28">
                  <c:v>-0.78606471653595933</c:v>
                </c:pt>
                <c:pt idx="29">
                  <c:v>0.67558602578526616</c:v>
                </c:pt>
                <c:pt idx="30">
                  <c:v>-0.45048445073946497</c:v>
                </c:pt>
                <c:pt idx="31">
                  <c:v>-0.62234862717853467</c:v>
                </c:pt>
                <c:pt idx="32">
                  <c:v>-0.33261154555231798</c:v>
                </c:pt>
                <c:pt idx="33">
                  <c:v>-0.48004011519532175</c:v>
                </c:pt>
                <c:pt idx="34">
                  <c:v>-0.60747743718294844</c:v>
                </c:pt>
                <c:pt idx="35">
                  <c:v>0.55657791748035568</c:v>
                </c:pt>
                <c:pt idx="36">
                  <c:v>-0.26628548556567205</c:v>
                </c:pt>
                <c:pt idx="37">
                  <c:v>-4.6321719125182757E-2</c:v>
                </c:pt>
                <c:pt idx="38">
                  <c:v>-0.15203465595159382</c:v>
                </c:pt>
                <c:pt idx="39">
                  <c:v>-0.75184784373915547</c:v>
                </c:pt>
                <c:pt idx="40">
                  <c:v>-0.55745001401754346</c:v>
                </c:pt>
                <c:pt idx="41">
                  <c:v>-0.2194784667841769</c:v>
                </c:pt>
                <c:pt idx="42">
                  <c:v>-0.72033713260924692</c:v>
                </c:pt>
                <c:pt idx="43">
                  <c:v>-0.58825781569976454</c:v>
                </c:pt>
                <c:pt idx="44">
                  <c:v>-0.18761933036122547</c:v>
                </c:pt>
                <c:pt idx="45">
                  <c:v>-4.8379575208136703E-2</c:v>
                </c:pt>
                <c:pt idx="46">
                  <c:v>-0.24159792908076538</c:v>
                </c:pt>
                <c:pt idx="47">
                  <c:v>-0.64482039256955348</c:v>
                </c:pt>
                <c:pt idx="48">
                  <c:v>-0.48655851933966909</c:v>
                </c:pt>
                <c:pt idx="49">
                  <c:v>0.30216345261982586</c:v>
                </c:pt>
                <c:pt idx="50">
                  <c:v>7.974683521585775E-2</c:v>
                </c:pt>
                <c:pt idx="51">
                  <c:v>1.0878091379170576</c:v>
                </c:pt>
                <c:pt idx="52">
                  <c:v>1.1216796102210522</c:v>
                </c:pt>
                <c:pt idx="53">
                  <c:v>-0.7039007140147957</c:v>
                </c:pt>
                <c:pt idx="54">
                  <c:v>0.65153938344909335</c:v>
                </c:pt>
                <c:pt idx="55">
                  <c:v>0.34349179957238568</c:v>
                </c:pt>
                <c:pt idx="56">
                  <c:v>0.78021080895686046</c:v>
                </c:pt>
                <c:pt idx="57">
                  <c:v>-0.10203746485753129</c:v>
                </c:pt>
                <c:pt idx="58">
                  <c:v>0.44979042395302199</c:v>
                </c:pt>
                <c:pt idx="59">
                  <c:v>-0.26244275151643515</c:v>
                </c:pt>
                <c:pt idx="60">
                  <c:v>0.61368329653012577</c:v>
                </c:pt>
                <c:pt idx="61">
                  <c:v>0.22789635844379919</c:v>
                </c:pt>
                <c:pt idx="62">
                  <c:v>0.35816110135270396</c:v>
                </c:pt>
                <c:pt idx="63">
                  <c:v>0.3872049792458257</c:v>
                </c:pt>
                <c:pt idx="64">
                  <c:v>0.34434644998218472</c:v>
                </c:pt>
                <c:pt idx="65">
                  <c:v>1.065600468090292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88-4DE8-8E6E-0793D5A77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4237616"/>
        <c:axId val="-1424235984"/>
      </c:scatterChart>
      <c:valAx>
        <c:axId val="-1424238160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4256656"/>
        <c:crosses val="autoZero"/>
        <c:crossBetween val="midCat"/>
      </c:valAx>
      <c:valAx>
        <c:axId val="-142425665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400">
                    <a:solidFill>
                      <a:schemeClr val="tx1"/>
                    </a:solidFill>
                  </a:rPr>
                  <a:t>Anomalias estandarizadas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4238160"/>
        <c:crosses val="autoZero"/>
        <c:crossBetween val="midCat"/>
      </c:valAx>
      <c:valAx>
        <c:axId val="-1424235984"/>
        <c:scaling>
          <c:orientation val="minMax"/>
          <c:max val="2.5"/>
          <c:min val="-2.5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4237616"/>
        <c:crosses val="max"/>
        <c:crossBetween val="midCat"/>
        <c:majorUnit val="1"/>
      </c:valAx>
      <c:valAx>
        <c:axId val="-1424237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4235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Caudal</c:v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[2]Caudales!$E$4:$E$79</c:f>
              <c:strCache>
                <c:ptCount val="76"/>
                <c:pt idx="0">
                  <c:v>Mean</c:v>
                </c:pt>
                <c:pt idx="1">
                  <c:v>SD</c:v>
                </c:pt>
                <c:pt idx="2">
                  <c:v>Año</c:v>
                </c:pt>
                <c:pt idx="3">
                  <c:v>2016</c:v>
                </c:pt>
                <c:pt idx="4">
                  <c:v>2015</c:v>
                </c:pt>
                <c:pt idx="5">
                  <c:v>2015</c:v>
                </c:pt>
                <c:pt idx="6">
                  <c:v>2015</c:v>
                </c:pt>
                <c:pt idx="7">
                  <c:v>2015</c:v>
                </c:pt>
                <c:pt idx="8">
                  <c:v>2015</c:v>
                </c:pt>
                <c:pt idx="9">
                  <c:v>2015</c:v>
                </c:pt>
                <c:pt idx="10">
                  <c:v>2015</c:v>
                </c:pt>
                <c:pt idx="11">
                  <c:v>2015</c:v>
                </c:pt>
                <c:pt idx="12">
                  <c:v>2015</c:v>
                </c:pt>
                <c:pt idx="13">
                  <c:v>2015</c:v>
                </c:pt>
                <c:pt idx="14">
                  <c:v>2015</c:v>
                </c:pt>
                <c:pt idx="15">
                  <c:v>2015</c:v>
                </c:pt>
                <c:pt idx="16">
                  <c:v>2014</c:v>
                </c:pt>
                <c:pt idx="17">
                  <c:v>2014</c:v>
                </c:pt>
                <c:pt idx="18">
                  <c:v>2014</c:v>
                </c:pt>
                <c:pt idx="19">
                  <c:v>2014</c:v>
                </c:pt>
                <c:pt idx="20">
                  <c:v>2014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2014</c:v>
                </c:pt>
                <c:pt idx="26">
                  <c:v>2014</c:v>
                </c:pt>
                <c:pt idx="27">
                  <c:v>2014</c:v>
                </c:pt>
                <c:pt idx="28">
                  <c:v>2013</c:v>
                </c:pt>
                <c:pt idx="29">
                  <c:v>2013</c:v>
                </c:pt>
                <c:pt idx="30">
                  <c:v>2013</c:v>
                </c:pt>
                <c:pt idx="31">
                  <c:v>2013</c:v>
                </c:pt>
                <c:pt idx="32">
                  <c:v>2013</c:v>
                </c:pt>
                <c:pt idx="33">
                  <c:v>2013</c:v>
                </c:pt>
                <c:pt idx="34">
                  <c:v>2013</c:v>
                </c:pt>
                <c:pt idx="35">
                  <c:v>2013</c:v>
                </c:pt>
                <c:pt idx="36">
                  <c:v>2013</c:v>
                </c:pt>
                <c:pt idx="37">
                  <c:v>2013</c:v>
                </c:pt>
                <c:pt idx="38">
                  <c:v>2013</c:v>
                </c:pt>
                <c:pt idx="39">
                  <c:v>2013</c:v>
                </c:pt>
                <c:pt idx="40">
                  <c:v>2012</c:v>
                </c:pt>
                <c:pt idx="41">
                  <c:v>2012</c:v>
                </c:pt>
                <c:pt idx="42">
                  <c:v>2012</c:v>
                </c:pt>
                <c:pt idx="43">
                  <c:v>2012</c:v>
                </c:pt>
                <c:pt idx="44">
                  <c:v>2012</c:v>
                </c:pt>
                <c:pt idx="45">
                  <c:v>2012</c:v>
                </c:pt>
                <c:pt idx="46">
                  <c:v>2012</c:v>
                </c:pt>
                <c:pt idx="47">
                  <c:v>2012</c:v>
                </c:pt>
                <c:pt idx="48">
                  <c:v>2012</c:v>
                </c:pt>
                <c:pt idx="49">
                  <c:v>2012</c:v>
                </c:pt>
                <c:pt idx="50">
                  <c:v>2012</c:v>
                </c:pt>
                <c:pt idx="51">
                  <c:v>2012</c:v>
                </c:pt>
                <c:pt idx="52">
                  <c:v>2011</c:v>
                </c:pt>
                <c:pt idx="53">
                  <c:v>2011</c:v>
                </c:pt>
                <c:pt idx="54">
                  <c:v>2011</c:v>
                </c:pt>
                <c:pt idx="55">
                  <c:v>2011</c:v>
                </c:pt>
                <c:pt idx="56">
                  <c:v>2011</c:v>
                </c:pt>
                <c:pt idx="57">
                  <c:v>2011</c:v>
                </c:pt>
                <c:pt idx="58">
                  <c:v>2011</c:v>
                </c:pt>
                <c:pt idx="59">
                  <c:v>2011</c:v>
                </c:pt>
                <c:pt idx="60">
                  <c:v>2011</c:v>
                </c:pt>
                <c:pt idx="61">
                  <c:v>2011</c:v>
                </c:pt>
                <c:pt idx="62">
                  <c:v>2011</c:v>
                </c:pt>
                <c:pt idx="63">
                  <c:v>2011</c:v>
                </c:pt>
                <c:pt idx="64">
                  <c:v>2010</c:v>
                </c:pt>
                <c:pt idx="65">
                  <c:v>2010</c:v>
                </c:pt>
                <c:pt idx="66">
                  <c:v>2010</c:v>
                </c:pt>
                <c:pt idx="67">
                  <c:v>2010</c:v>
                </c:pt>
                <c:pt idx="68">
                  <c:v>2010</c:v>
                </c:pt>
                <c:pt idx="69">
                  <c:v>2010</c:v>
                </c:pt>
                <c:pt idx="70">
                  <c:v>2010</c:v>
                </c:pt>
                <c:pt idx="71">
                  <c:v>2010</c:v>
                </c:pt>
                <c:pt idx="72">
                  <c:v>2010</c:v>
                </c:pt>
                <c:pt idx="73">
                  <c:v>2010</c:v>
                </c:pt>
                <c:pt idx="74">
                  <c:v>2010</c:v>
                </c:pt>
                <c:pt idx="75">
                  <c:v>2010</c:v>
                </c:pt>
              </c:strCache>
            </c:strRef>
          </c:xVal>
          <c:yVal>
            <c:numRef>
              <c:f>[2]Caudales!$I$4:$I$79</c:f>
              <c:numCache>
                <c:formatCode>General</c:formatCode>
                <c:ptCount val="7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DA-4EDE-8CA5-3868D4E04274}"/>
            </c:ext>
          </c:extLst>
        </c:ser>
        <c:ser>
          <c:idx val="2"/>
          <c:order val="2"/>
          <c:tx>
            <c:v>Transporte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[2]Transporte!$B$5:$B$47</c:f>
              <c:numCache>
                <c:formatCode>General</c:formatCode>
                <c:ptCount val="43"/>
                <c:pt idx="0">
                  <c:v>2014</c:v>
                </c:pt>
                <c:pt idx="1">
                  <c:v>2013</c:v>
                </c:pt>
                <c:pt idx="2">
                  <c:v>2012</c:v>
                </c:pt>
                <c:pt idx="3">
                  <c:v>2011</c:v>
                </c:pt>
                <c:pt idx="4">
                  <c:v>2010</c:v>
                </c:pt>
                <c:pt idx="5">
                  <c:v>2009</c:v>
                </c:pt>
                <c:pt idx="6">
                  <c:v>2008</c:v>
                </c:pt>
                <c:pt idx="7">
                  <c:v>2007</c:v>
                </c:pt>
                <c:pt idx="8">
                  <c:v>2006</c:v>
                </c:pt>
                <c:pt idx="9">
                  <c:v>2005</c:v>
                </c:pt>
                <c:pt idx="10">
                  <c:v>2004</c:v>
                </c:pt>
                <c:pt idx="11">
                  <c:v>2003</c:v>
                </c:pt>
                <c:pt idx="12">
                  <c:v>2002</c:v>
                </c:pt>
                <c:pt idx="13">
                  <c:v>2001</c:v>
                </c:pt>
                <c:pt idx="14">
                  <c:v>2000</c:v>
                </c:pt>
                <c:pt idx="15">
                  <c:v>1999</c:v>
                </c:pt>
                <c:pt idx="16">
                  <c:v>1998</c:v>
                </c:pt>
                <c:pt idx="17">
                  <c:v>1997</c:v>
                </c:pt>
                <c:pt idx="18">
                  <c:v>1996</c:v>
                </c:pt>
                <c:pt idx="19">
                  <c:v>1995</c:v>
                </c:pt>
                <c:pt idx="20">
                  <c:v>1994</c:v>
                </c:pt>
                <c:pt idx="21">
                  <c:v>1993</c:v>
                </c:pt>
                <c:pt idx="22">
                  <c:v>1992</c:v>
                </c:pt>
                <c:pt idx="23">
                  <c:v>1991</c:v>
                </c:pt>
                <c:pt idx="24">
                  <c:v>1990</c:v>
                </c:pt>
                <c:pt idx="25">
                  <c:v>1989</c:v>
                </c:pt>
                <c:pt idx="26">
                  <c:v>1988</c:v>
                </c:pt>
                <c:pt idx="27">
                  <c:v>1987</c:v>
                </c:pt>
                <c:pt idx="28">
                  <c:v>1986</c:v>
                </c:pt>
                <c:pt idx="29">
                  <c:v>1985</c:v>
                </c:pt>
                <c:pt idx="30">
                  <c:v>1984</c:v>
                </c:pt>
                <c:pt idx="31">
                  <c:v>1983</c:v>
                </c:pt>
                <c:pt idx="32">
                  <c:v>1982</c:v>
                </c:pt>
                <c:pt idx="33">
                  <c:v>1981</c:v>
                </c:pt>
                <c:pt idx="34">
                  <c:v>1980</c:v>
                </c:pt>
                <c:pt idx="35">
                  <c:v>1979</c:v>
                </c:pt>
                <c:pt idx="36">
                  <c:v>1978</c:v>
                </c:pt>
                <c:pt idx="37">
                  <c:v>1977</c:v>
                </c:pt>
                <c:pt idx="38">
                  <c:v>1976</c:v>
                </c:pt>
                <c:pt idx="39">
                  <c:v>1975</c:v>
                </c:pt>
                <c:pt idx="40">
                  <c:v>1974</c:v>
                </c:pt>
                <c:pt idx="41">
                  <c:v>1973</c:v>
                </c:pt>
                <c:pt idx="42">
                  <c:v>1972</c:v>
                </c:pt>
              </c:numCache>
            </c:numRef>
          </c:xVal>
          <c:yVal>
            <c:numRef>
              <c:f>[2]Transporte!$G$5:$G$47</c:f>
              <c:numCache>
                <c:formatCode>General</c:formatCode>
                <c:ptCount val="4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DA-4EDE-8CA5-3868D4E04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4260464"/>
        <c:axId val="-142425393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Nivel</c:v>
                </c:tx>
                <c:spPr>
                  <a:ln w="19050" cap="rnd">
                    <a:solidFill>
                      <a:srgbClr val="FF000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[2]Nivel!$B$4:$B$48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  <c:pt idx="35">
                        <c:v>1980</c:v>
                      </c:pt>
                      <c:pt idx="36">
                        <c:v>1979</c:v>
                      </c:pt>
                      <c:pt idx="37">
                        <c:v>1978</c:v>
                      </c:pt>
                      <c:pt idx="38">
                        <c:v>1977</c:v>
                      </c:pt>
                      <c:pt idx="39">
                        <c:v>1976</c:v>
                      </c:pt>
                      <c:pt idx="40">
                        <c:v>1975</c:v>
                      </c:pt>
                      <c:pt idx="41">
                        <c:v>1974</c:v>
                      </c:pt>
                      <c:pt idx="42">
                        <c:v>1973</c:v>
                      </c:pt>
                      <c:pt idx="43">
                        <c:v>1972</c:v>
                      </c:pt>
                      <c:pt idx="44">
                        <c:v>1971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[2]Nivel!$F$4:$F$48</c15:sqref>
                        </c15:formulaRef>
                      </c:ext>
                    </c:extLst>
                    <c:numCache>
                      <c:formatCode>General</c:formatCode>
                      <c:ptCount val="45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26DA-4EDE-8CA5-3868D4E04274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3"/>
          <c:order val="3"/>
          <c:tx>
            <c:strRef>
              <c:f>Varadero!$D$2</c:f>
              <c:strCache>
                <c:ptCount val="1"/>
                <c:pt idx="0">
                  <c:v>Calcificacion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Varadero!$A$3:$A$68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Varadero!$H$3:$H$68</c:f>
              <c:numCache>
                <c:formatCode>0.00</c:formatCode>
                <c:ptCount val="66"/>
                <c:pt idx="0">
                  <c:v>0.61778993317907505</c:v>
                </c:pt>
                <c:pt idx="1">
                  <c:v>-0.64403136145640749</c:v>
                </c:pt>
                <c:pt idx="2">
                  <c:v>0.82773723643001196</c:v>
                </c:pt>
                <c:pt idx="3">
                  <c:v>-0.55620611850496038</c:v>
                </c:pt>
                <c:pt idx="4">
                  <c:v>-0.16929475092855975</c:v>
                </c:pt>
                <c:pt idx="5">
                  <c:v>-0.11776760615201032</c:v>
                </c:pt>
                <c:pt idx="6">
                  <c:v>-0.27231331549386179</c:v>
                </c:pt>
                <c:pt idx="7">
                  <c:v>-0.21916829050730102</c:v>
                </c:pt>
                <c:pt idx="8">
                  <c:v>-0.44393706959138068</c:v>
                </c:pt>
                <c:pt idx="9">
                  <c:v>-0.32156386602924553</c:v>
                </c:pt>
                <c:pt idx="10">
                  <c:v>-0.14575277943927017</c:v>
                </c:pt>
                <c:pt idx="11">
                  <c:v>-0.10933224398836335</c:v>
                </c:pt>
                <c:pt idx="12">
                  <c:v>-0.33997889432191547</c:v>
                </c:pt>
                <c:pt idx="13">
                  <c:v>-0.51790517409296877</c:v>
                </c:pt>
                <c:pt idx="14">
                  <c:v>8.9055283126800971E-2</c:v>
                </c:pt>
                <c:pt idx="15">
                  <c:v>0.2919405087005249</c:v>
                </c:pt>
                <c:pt idx="16">
                  <c:v>-0.17156408278633936</c:v>
                </c:pt>
                <c:pt idx="17">
                  <c:v>-4.4950418598687814E-2</c:v>
                </c:pt>
                <c:pt idx="18">
                  <c:v>4.3329680178626706E-2</c:v>
                </c:pt>
                <c:pt idx="19">
                  <c:v>-0.48745007515862149</c:v>
                </c:pt>
                <c:pt idx="20">
                  <c:v>0.29448778686028837</c:v>
                </c:pt>
                <c:pt idx="21">
                  <c:v>0.23439575833459342</c:v>
                </c:pt>
                <c:pt idx="22">
                  <c:v>0.51545253642144284</c:v>
                </c:pt>
                <c:pt idx="23">
                  <c:v>-0.49296893355441973</c:v>
                </c:pt>
                <c:pt idx="24">
                  <c:v>-0.12060886145555499</c:v>
                </c:pt>
                <c:pt idx="25">
                  <c:v>-0.88852329830333765</c:v>
                </c:pt>
                <c:pt idx="26">
                  <c:v>-0.50633042631145686</c:v>
                </c:pt>
                <c:pt idx="27">
                  <c:v>-0.68708122212048461</c:v>
                </c:pt>
                <c:pt idx="28">
                  <c:v>-1.1707654089299149</c:v>
                </c:pt>
                <c:pt idx="29">
                  <c:v>0.62571698833976208</c:v>
                </c:pt>
                <c:pt idx="30">
                  <c:v>0.1110824392187964</c:v>
                </c:pt>
                <c:pt idx="31">
                  <c:v>-0.14929410776905211</c:v>
                </c:pt>
                <c:pt idx="32">
                  <c:v>-0.48074690420273769</c:v>
                </c:pt>
                <c:pt idx="33">
                  <c:v>-0.54437528362540866</c:v>
                </c:pt>
                <c:pt idx="34">
                  <c:v>-0.69415921978381745</c:v>
                </c:pt>
                <c:pt idx="35">
                  <c:v>0.66458546833762344</c:v>
                </c:pt>
                <c:pt idx="36">
                  <c:v>0.1869617139839895</c:v>
                </c:pt>
                <c:pt idx="37">
                  <c:v>0.66919745820225263</c:v>
                </c:pt>
                <c:pt idx="38">
                  <c:v>0.30011270366774201</c:v>
                </c:pt>
                <c:pt idx="39">
                  <c:v>-6.331288623851801E-2</c:v>
                </c:pt>
                <c:pt idx="40">
                  <c:v>-0.4357998870076723</c:v>
                </c:pt>
                <c:pt idx="41">
                  <c:v>0.3019328299007325</c:v>
                </c:pt>
                <c:pt idx="42">
                  <c:v>0.12745510974729846</c:v>
                </c:pt>
                <c:pt idx="43">
                  <c:v>0.13592545250243374</c:v>
                </c:pt>
                <c:pt idx="44">
                  <c:v>-0.25031776635114589</c:v>
                </c:pt>
                <c:pt idx="45">
                  <c:v>9.2537706794425967E-2</c:v>
                </c:pt>
                <c:pt idx="46">
                  <c:v>0.25679579033161204</c:v>
                </c:pt>
                <c:pt idx="47">
                  <c:v>-0.52934996617512053</c:v>
                </c:pt>
                <c:pt idx="48">
                  <c:v>-0.57778539263062267</c:v>
                </c:pt>
                <c:pt idx="49">
                  <c:v>-0.17319199844872937</c:v>
                </c:pt>
                <c:pt idx="50">
                  <c:v>-0.43063536981641959</c:v>
                </c:pt>
                <c:pt idx="51">
                  <c:v>-9.7864881463099171E-2</c:v>
                </c:pt>
                <c:pt idx="52">
                  <c:v>0.37895719934784405</c:v>
                </c:pt>
                <c:pt idx="53">
                  <c:v>-0.40414837243678647</c:v>
                </c:pt>
                <c:pt idx="54">
                  <c:v>0.83899097462080796</c:v>
                </c:pt>
                <c:pt idx="55">
                  <c:v>0.36357874922626626</c:v>
                </c:pt>
                <c:pt idx="56">
                  <c:v>1.0007409053505494</c:v>
                </c:pt>
                <c:pt idx="57">
                  <c:v>0.29235218263668206</c:v>
                </c:pt>
                <c:pt idx="58">
                  <c:v>0.68705162638552764</c:v>
                </c:pt>
                <c:pt idx="59">
                  <c:v>0.41277564921319915</c:v>
                </c:pt>
                <c:pt idx="60">
                  <c:v>0.96003256324602759</c:v>
                </c:pt>
                <c:pt idx="61">
                  <c:v>0.57380148036637957</c:v>
                </c:pt>
                <c:pt idx="62">
                  <c:v>0.72632267930145555</c:v>
                </c:pt>
                <c:pt idx="63">
                  <c:v>0.82435975212759016</c:v>
                </c:pt>
                <c:pt idx="64">
                  <c:v>0.84291656557616312</c:v>
                </c:pt>
                <c:pt idx="65">
                  <c:v>0.95374430286185208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DA-4EDE-8CA5-3868D4E04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4243600"/>
        <c:axId val="-1424259920"/>
      </c:scatterChart>
      <c:valAx>
        <c:axId val="-1424260464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4253936"/>
        <c:crosses val="autoZero"/>
        <c:crossBetween val="midCat"/>
      </c:valAx>
      <c:valAx>
        <c:axId val="-142425393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400">
                    <a:solidFill>
                      <a:schemeClr val="tx1"/>
                    </a:solidFill>
                  </a:rPr>
                  <a:t>Anomalias estandarizadas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4260464"/>
        <c:crosses val="autoZero"/>
        <c:crossBetween val="midCat"/>
      </c:valAx>
      <c:valAx>
        <c:axId val="-1424259920"/>
        <c:scaling>
          <c:orientation val="minMax"/>
          <c:max val="2.5"/>
          <c:min val="-2.5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4243600"/>
        <c:crosses val="max"/>
        <c:crossBetween val="midCat"/>
        <c:majorUnit val="1"/>
      </c:valAx>
      <c:valAx>
        <c:axId val="-14242436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4259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3"/>
          <c:tx>
            <c:v>Extension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Varadero!$A$3:$A$37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</c:numCache>
            </c:numRef>
          </c:xVal>
          <c:yVal>
            <c:numRef>
              <c:f>Varadero!$C$3:$C$37</c:f>
              <c:numCache>
                <c:formatCode>0.000</c:formatCode>
                <c:ptCount val="35"/>
                <c:pt idx="0">
                  <c:v>1.3288425000000001</c:v>
                </c:pt>
                <c:pt idx="1">
                  <c:v>1.0056375000000002</c:v>
                </c:pt>
                <c:pt idx="2">
                  <c:v>1.4491025000000002</c:v>
                </c:pt>
                <c:pt idx="3">
                  <c:v>1.0613424999999994</c:v>
                </c:pt>
                <c:pt idx="4">
                  <c:v>1.0953537499999997</c:v>
                </c:pt>
                <c:pt idx="5">
                  <c:v>0.96144750000000012</c:v>
                </c:pt>
                <c:pt idx="6">
                  <c:v>0.99063999999999952</c:v>
                </c:pt>
                <c:pt idx="7">
                  <c:v>1.0479249999999998</c:v>
                </c:pt>
                <c:pt idx="8">
                  <c:v>1.0717125000000007</c:v>
                </c:pt>
                <c:pt idx="9">
                  <c:v>1.0762037500000015</c:v>
                </c:pt>
                <c:pt idx="10">
                  <c:v>1.1954750000000021</c:v>
                </c:pt>
                <c:pt idx="11">
                  <c:v>1.0958437499999982</c:v>
                </c:pt>
                <c:pt idx="12">
                  <c:v>1.1260799999999973</c:v>
                </c:pt>
                <c:pt idx="13">
                  <c:v>1.145457499999998</c:v>
                </c:pt>
                <c:pt idx="14">
                  <c:v>1.3224262499999979</c:v>
                </c:pt>
                <c:pt idx="15">
                  <c:v>1.2871387499999967</c:v>
                </c:pt>
                <c:pt idx="16">
                  <c:v>1.1094374999999963</c:v>
                </c:pt>
                <c:pt idx="17">
                  <c:v>1.1839987499999702</c:v>
                </c:pt>
                <c:pt idx="18">
                  <c:v>1.2116237499999751</c:v>
                </c:pt>
                <c:pt idx="19">
                  <c:v>1.0417712499999732</c:v>
                </c:pt>
                <c:pt idx="20">
                  <c:v>1.138191249999978</c:v>
                </c:pt>
                <c:pt idx="21">
                  <c:v>1.1313512500000416</c:v>
                </c:pt>
                <c:pt idx="22">
                  <c:v>1.1924450000000646</c:v>
                </c:pt>
                <c:pt idx="23">
                  <c:v>0.9424350000000512</c:v>
                </c:pt>
                <c:pt idx="24">
                  <c:v>1.0629525000000521</c:v>
                </c:pt>
                <c:pt idx="25">
                  <c:v>0.90601625000004438</c:v>
                </c:pt>
                <c:pt idx="26">
                  <c:v>1.0940662500000502</c:v>
                </c:pt>
                <c:pt idx="27">
                  <c:v>0.97822625000005248</c:v>
                </c:pt>
                <c:pt idx="28">
                  <c:v>0.90424875000003224</c:v>
                </c:pt>
                <c:pt idx="29">
                  <c:v>1.2817812500000807</c:v>
                </c:pt>
                <c:pt idx="30">
                  <c:v>1.0104675000000496</c:v>
                </c:pt>
                <c:pt idx="31">
                  <c:v>0.95353250000004541</c:v>
                </c:pt>
                <c:pt idx="32">
                  <c:v>1.0144487500000432</c:v>
                </c:pt>
                <c:pt idx="33">
                  <c:v>0.96354500000003052</c:v>
                </c:pt>
                <c:pt idx="34">
                  <c:v>0.8952266666666695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92-49A8-8BA8-DB2B13D2C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5071008"/>
        <c:axId val="-142507046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Extensio-9yr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Varadero!$A$3:$A$68</c15:sqref>
                        </c15:formulaRef>
                      </c:ext>
                    </c:extLst>
                    <c:numCache>
                      <c:formatCode>General</c:formatCode>
                      <c:ptCount val="66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  <c:pt idx="35">
                        <c:v>1980</c:v>
                      </c:pt>
                      <c:pt idx="36">
                        <c:v>1979</c:v>
                      </c:pt>
                      <c:pt idx="37">
                        <c:v>1978</c:v>
                      </c:pt>
                      <c:pt idx="38">
                        <c:v>1977</c:v>
                      </c:pt>
                      <c:pt idx="39">
                        <c:v>1976</c:v>
                      </c:pt>
                      <c:pt idx="40">
                        <c:v>1975</c:v>
                      </c:pt>
                      <c:pt idx="41">
                        <c:v>1974</c:v>
                      </c:pt>
                      <c:pt idx="42">
                        <c:v>1973</c:v>
                      </c:pt>
                      <c:pt idx="43">
                        <c:v>1972</c:v>
                      </c:pt>
                      <c:pt idx="44">
                        <c:v>1971</c:v>
                      </c:pt>
                      <c:pt idx="45">
                        <c:v>1970</c:v>
                      </c:pt>
                      <c:pt idx="46">
                        <c:v>1969</c:v>
                      </c:pt>
                      <c:pt idx="47">
                        <c:v>1968</c:v>
                      </c:pt>
                      <c:pt idx="48">
                        <c:v>1967</c:v>
                      </c:pt>
                      <c:pt idx="49">
                        <c:v>1966</c:v>
                      </c:pt>
                      <c:pt idx="50">
                        <c:v>1965</c:v>
                      </c:pt>
                      <c:pt idx="51">
                        <c:v>1964</c:v>
                      </c:pt>
                      <c:pt idx="52">
                        <c:v>1963</c:v>
                      </c:pt>
                      <c:pt idx="53">
                        <c:v>1962</c:v>
                      </c:pt>
                      <c:pt idx="54">
                        <c:v>1961</c:v>
                      </c:pt>
                      <c:pt idx="55">
                        <c:v>1960</c:v>
                      </c:pt>
                      <c:pt idx="56">
                        <c:v>1959</c:v>
                      </c:pt>
                      <c:pt idx="57">
                        <c:v>1958</c:v>
                      </c:pt>
                      <c:pt idx="58">
                        <c:v>1957</c:v>
                      </c:pt>
                      <c:pt idx="59">
                        <c:v>1956</c:v>
                      </c:pt>
                      <c:pt idx="60">
                        <c:v>1955</c:v>
                      </c:pt>
                      <c:pt idx="61">
                        <c:v>1954</c:v>
                      </c:pt>
                      <c:pt idx="62">
                        <c:v>1953</c:v>
                      </c:pt>
                      <c:pt idx="63">
                        <c:v>1952</c:v>
                      </c:pt>
                      <c:pt idx="64">
                        <c:v>1951</c:v>
                      </c:pt>
                      <c:pt idx="65">
                        <c:v>1950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Varadero!$L$3:$L$68</c15:sqref>
                        </c15:formulaRef>
                      </c:ext>
                    </c:extLst>
                    <c:numCache>
                      <c:formatCode>General</c:formatCode>
                      <c:ptCount val="66"/>
                      <c:pt idx="0" formatCode="0.000">
                        <c:v>1.1880557499999997</c:v>
                      </c:pt>
                      <c:pt idx="1">
                        <c:v>1.1502877083333332</c:v>
                      </c:pt>
                      <c:pt idx="2">
                        <c:v>1.1274808928571427</c:v>
                      </c:pt>
                      <c:pt idx="3">
                        <c:v>1.1175364062499997</c:v>
                      </c:pt>
                      <c:pt idx="4" formatCode="0.000">
                        <c:v>1.1124448611111108</c:v>
                      </c:pt>
                      <c:pt idx="5">
                        <c:v>1.0843738888888887</c:v>
                      </c:pt>
                      <c:pt idx="6">
                        <c:v>1.1054669444444447</c:v>
                      </c:pt>
                      <c:pt idx="7">
                        <c:v>1.0662159722222222</c:v>
                      </c:pt>
                      <c:pt idx="8">
                        <c:v>1.0734090277777777</c:v>
                      </c:pt>
                      <c:pt idx="9">
                        <c:v>1.0789761111111107</c:v>
                      </c:pt>
                      <c:pt idx="10">
                        <c:v>1.1190848611111106</c:v>
                      </c:pt>
                      <c:pt idx="11">
                        <c:v>1.152029166666666</c:v>
                      </c:pt>
                      <c:pt idx="12">
                        <c:v>1.1588638888888878</c:v>
                      </c:pt>
                      <c:pt idx="13">
                        <c:v>1.1713401388888842</c:v>
                      </c:pt>
                      <c:pt idx="14">
                        <c:v>1.186386805555548</c:v>
                      </c:pt>
                      <c:pt idx="15">
                        <c:v>1.1693086111111004</c:v>
                      </c:pt>
                      <c:pt idx="16">
                        <c:v>1.1740138888888758</c:v>
                      </c:pt>
                      <c:pt idx="17">
                        <c:v>1.1745995833333249</c:v>
                      </c:pt>
                      <c:pt idx="18">
                        <c:v>1.1798204166666659</c:v>
                      </c:pt>
                      <c:pt idx="19">
                        <c:v>1.137599166666672</c:v>
                      </c:pt>
                      <c:pt idx="20">
                        <c:v>1.1126895833333448</c:v>
                      </c:pt>
                      <c:pt idx="21">
                        <c:v>1.0900872222222389</c:v>
                      </c:pt>
                      <c:pt idx="22">
                        <c:v>1.0800947222222479</c:v>
                      </c:pt>
                      <c:pt idx="23">
                        <c:v>1.0541616666667009</c:v>
                      </c:pt>
                      <c:pt idx="24">
                        <c:v>1.0388813888889297</c:v>
                      </c:pt>
                      <c:pt idx="25">
                        <c:v>1.0548358333333856</c:v>
                      </c:pt>
                      <c:pt idx="26">
                        <c:v>1.0414043055556088</c:v>
                      </c:pt>
                      <c:pt idx="27">
                        <c:v>1.0148584722222731</c:v>
                      </c:pt>
                      <c:pt idx="28">
                        <c:v>1.0228600000000501</c:v>
                      </c:pt>
                      <c:pt idx="29">
                        <c:v>1.0118147222222698</c:v>
                      </c:pt>
                      <c:pt idx="30">
                        <c:v>1.0106158796296727</c:v>
                      </c:pt>
                      <c:pt idx="31">
                        <c:v>1.0155348148148524</c:v>
                      </c:pt>
                      <c:pt idx="32">
                        <c:v>1.0141754166666985</c:v>
                      </c:pt>
                      <c:pt idx="33">
                        <c:v>1.0249488888889173</c:v>
                      </c:pt>
                      <c:pt idx="34">
                        <c:v>0.99329800925927947</c:v>
                      </c:pt>
                      <c:pt idx="35">
                        <c:v>0.97711328703705247</c:v>
                      </c:pt>
                      <c:pt idx="36">
                        <c:v>0.97097967592593681</c:v>
                      </c:pt>
                      <c:pt idx="37">
                        <c:v>0.96738259259259962</c:v>
                      </c:pt>
                      <c:pt idx="38">
                        <c:v>0.95660703703704142</c:v>
                      </c:pt>
                      <c:pt idx="39">
                        <c:v>0.95670129629630141</c:v>
                      </c:pt>
                      <c:pt idx="40">
                        <c:v>0.9401416666666722</c:v>
                      </c:pt>
                      <c:pt idx="41">
                        <c:v>0.94629037037037633</c:v>
                      </c:pt>
                      <c:pt idx="42">
                        <c:v>0.94232814814815469</c:v>
                      </c:pt>
                      <c:pt idx="43">
                        <c:v>0.92973055555556294</c:v>
                      </c:pt>
                      <c:pt idx="44">
                        <c:v>0.9352894444444515</c:v>
                      </c:pt>
                      <c:pt idx="45">
                        <c:v>0.95773111111111908</c:v>
                      </c:pt>
                      <c:pt idx="46">
                        <c:v>0.96534111111111942</c:v>
                      </c:pt>
                      <c:pt idx="47">
                        <c:v>1.0107600000000083</c:v>
                      </c:pt>
                      <c:pt idx="48">
                        <c:v>1.0532055555555639</c:v>
                      </c:pt>
                      <c:pt idx="49">
                        <c:v>1.0395411111111195</c:v>
                      </c:pt>
                      <c:pt idx="50">
                        <c:v>1.0569844444444538</c:v>
                      </c:pt>
                      <c:pt idx="51">
                        <c:v>1.0705950000000093</c:v>
                      </c:pt>
                      <c:pt idx="52">
                        <c:v>1.1044894444444533</c:v>
                      </c:pt>
                      <c:pt idx="53">
                        <c:v>1.1145733333333425</c:v>
                      </c:pt>
                      <c:pt idx="54">
                        <c:v>1.1171322222222324</c:v>
                      </c:pt>
                      <c:pt idx="55">
                        <c:v>1.1089094444444558</c:v>
                      </c:pt>
                      <c:pt idx="56">
                        <c:v>1.0961011111111243</c:v>
                      </c:pt>
                      <c:pt idx="57">
                        <c:v>1.0734911111111258</c:v>
                      </c:pt>
                      <c:pt idx="58">
                        <c:v>1.0992944444444612</c:v>
                      </c:pt>
                      <c:pt idx="59">
                        <c:v>1.0923505555555728</c:v>
                      </c:pt>
                      <c:pt idx="60">
                        <c:v>1.0943266666666862</c:v>
                      </c:pt>
                      <c:pt idx="61">
                        <c:v>1.1042461111111328</c:v>
                      </c:pt>
                      <c:pt idx="62">
                        <c:v>1.1165781250000233</c:v>
                      </c:pt>
                      <c:pt idx="63">
                        <c:v>1.1156128571428809</c:v>
                      </c:pt>
                      <c:pt idx="64">
                        <c:v>1.1387883333333577</c:v>
                      </c:pt>
                      <c:pt idx="65">
                        <c:v>1.1345340000000241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4892-49A8-8BA8-DB2B13D2CC76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1"/>
          <c:order val="2"/>
          <c:tx>
            <c:v>Caudal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Varadero!$AL$3:$AL$37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</c:numCache>
            </c:numRef>
          </c:xVal>
          <c:yVal>
            <c:numRef>
              <c:f>Varadero!$AM$3:$AM$37</c:f>
              <c:numCache>
                <c:formatCode>0.0</c:formatCode>
                <c:ptCount val="35"/>
                <c:pt idx="0">
                  <c:v>259.74166666666667</c:v>
                </c:pt>
                <c:pt idx="1">
                  <c:v>326.30833333333334</c:v>
                </c:pt>
                <c:pt idx="2">
                  <c:v>294.05</c:v>
                </c:pt>
                <c:pt idx="3">
                  <c:v>356.47499999999997</c:v>
                </c:pt>
                <c:pt idx="4">
                  <c:v>515.89166666666665</c:v>
                </c:pt>
                <c:pt idx="5">
                  <c:v>465.3416666666667</c:v>
                </c:pt>
                <c:pt idx="6">
                  <c:v>419.25833333333338</c:v>
                </c:pt>
                <c:pt idx="7">
                  <c:v>560.5</c:v>
                </c:pt>
                <c:pt idx="8">
                  <c:v>525.62727272727273</c:v>
                </c:pt>
                <c:pt idx="9">
                  <c:v>482.4083333333333</c:v>
                </c:pt>
                <c:pt idx="10">
                  <c:v>401.8</c:v>
                </c:pt>
                <c:pt idx="11">
                  <c:v>370.7833333333333</c:v>
                </c:pt>
                <c:pt idx="12">
                  <c:v>377.73636363636365</c:v>
                </c:pt>
                <c:pt idx="13">
                  <c:v>361.55833333333334</c:v>
                </c:pt>
                <c:pt idx="14">
                  <c:v>284.85000000000002</c:v>
                </c:pt>
                <c:pt idx="15">
                  <c:v>511.77499999999992</c:v>
                </c:pt>
                <c:pt idx="16">
                  <c:v>537.83333333333326</c:v>
                </c:pt>
                <c:pt idx="17">
                  <c:v>358.3416666666667</c:v>
                </c:pt>
                <c:pt idx="18">
                  <c:v>214.61666666666667</c:v>
                </c:pt>
                <c:pt idx="19">
                  <c:v>407.42500000000001</c:v>
                </c:pt>
                <c:pt idx="20">
                  <c:v>391.52499999999992</c:v>
                </c:pt>
                <c:pt idx="21">
                  <c:v>384.99999999999994</c:v>
                </c:pt>
                <c:pt idx="22">
                  <c:v>324.16666666666663</c:v>
                </c:pt>
                <c:pt idx="23">
                  <c:v>248.8416666666667</c:v>
                </c:pt>
                <c:pt idx="24">
                  <c:v>242.79999999999998</c:v>
                </c:pt>
                <c:pt idx="25">
                  <c:v>316.10833333333335</c:v>
                </c:pt>
                <c:pt idx="26">
                  <c:v>369.30833333333334</c:v>
                </c:pt>
                <c:pt idx="27">
                  <c:v>437.18333333333339</c:v>
                </c:pt>
                <c:pt idx="28">
                  <c:v>312.54166666666669</c:v>
                </c:pt>
                <c:pt idx="29">
                  <c:v>317.27500000000003</c:v>
                </c:pt>
                <c:pt idx="30">
                  <c:v>304.03333333333336</c:v>
                </c:pt>
                <c:pt idx="31">
                  <c:v>362.58333333333331</c:v>
                </c:pt>
                <c:pt idx="32">
                  <c:v>157.01666666666668</c:v>
                </c:pt>
                <c:pt idx="33">
                  <c:v>239.70833333333334</c:v>
                </c:pt>
                <c:pt idx="34">
                  <c:v>256.24583333333334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92-49A8-8BA8-DB2B13D2C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5096576"/>
        <c:axId val="-1425065568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1"/>
                <c:tx>
                  <c:v>Caudal-9yr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Varadero!$P$3:$P$68</c15:sqref>
                        </c15:formulaRef>
                      </c:ext>
                    </c:extLst>
                    <c:numCache>
                      <c:formatCode>General</c:formatCode>
                      <c:ptCount val="66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  <c:pt idx="35">
                        <c:v>1980</c:v>
                      </c:pt>
                      <c:pt idx="36">
                        <c:v>1979</c:v>
                      </c:pt>
                      <c:pt idx="37">
                        <c:v>1978</c:v>
                      </c:pt>
                      <c:pt idx="38">
                        <c:v>1977</c:v>
                      </c:pt>
                      <c:pt idx="39">
                        <c:v>1976</c:v>
                      </c:pt>
                      <c:pt idx="40">
                        <c:v>1975</c:v>
                      </c:pt>
                      <c:pt idx="41">
                        <c:v>1974</c:v>
                      </c:pt>
                      <c:pt idx="42">
                        <c:v>1973</c:v>
                      </c:pt>
                      <c:pt idx="43">
                        <c:v>1972</c:v>
                      </c:pt>
                      <c:pt idx="44">
                        <c:v>1971</c:v>
                      </c:pt>
                      <c:pt idx="45">
                        <c:v>1970</c:v>
                      </c:pt>
                      <c:pt idx="46">
                        <c:v>1969</c:v>
                      </c:pt>
                      <c:pt idx="47">
                        <c:v>1968</c:v>
                      </c:pt>
                      <c:pt idx="48">
                        <c:v>1967</c:v>
                      </c:pt>
                      <c:pt idx="49">
                        <c:v>1966</c:v>
                      </c:pt>
                      <c:pt idx="50">
                        <c:v>1965</c:v>
                      </c:pt>
                      <c:pt idx="51">
                        <c:v>1964</c:v>
                      </c:pt>
                      <c:pt idx="52">
                        <c:v>1963</c:v>
                      </c:pt>
                      <c:pt idx="53">
                        <c:v>1962</c:v>
                      </c:pt>
                      <c:pt idx="54">
                        <c:v>1961</c:v>
                      </c:pt>
                      <c:pt idx="55">
                        <c:v>1960</c:v>
                      </c:pt>
                      <c:pt idx="56">
                        <c:v>1959</c:v>
                      </c:pt>
                      <c:pt idx="57">
                        <c:v>1958</c:v>
                      </c:pt>
                      <c:pt idx="58">
                        <c:v>1957</c:v>
                      </c:pt>
                      <c:pt idx="59">
                        <c:v>1956</c:v>
                      </c:pt>
                      <c:pt idx="60">
                        <c:v>1955</c:v>
                      </c:pt>
                      <c:pt idx="61">
                        <c:v>1954</c:v>
                      </c:pt>
                      <c:pt idx="62">
                        <c:v>1953</c:v>
                      </c:pt>
                      <c:pt idx="63">
                        <c:v>1952</c:v>
                      </c:pt>
                      <c:pt idx="64">
                        <c:v>1951</c:v>
                      </c:pt>
                      <c:pt idx="65">
                        <c:v>1950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Varadero!$AO$3:$AO$68</c15:sqref>
                        </c15:formulaRef>
                      </c:ext>
                    </c:extLst>
                    <c:numCache>
                      <c:formatCode>0.0</c:formatCode>
                      <c:ptCount val="66"/>
                      <c:pt idx="0">
                        <c:v>350.49333333333328</c:v>
                      </c:pt>
                      <c:pt idx="1">
                        <c:v>369.63472222222225</c:v>
                      </c:pt>
                      <c:pt idx="2">
                        <c:v>376.72380952380951</c:v>
                      </c:pt>
                      <c:pt idx="3">
                        <c:v>399.69583333333333</c:v>
                      </c:pt>
                      <c:pt idx="4">
                        <c:v>413.68821548821546</c:v>
                      </c:pt>
                      <c:pt idx="5">
                        <c:v>438.42895622895617</c:v>
                      </c:pt>
                      <c:pt idx="6">
                        <c:v>446.81691919191917</c:v>
                      </c:pt>
                      <c:pt idx="7">
                        <c:v>455.34284511784506</c:v>
                      </c:pt>
                      <c:pt idx="8">
                        <c:v>457.70521885521885</c:v>
                      </c:pt>
                      <c:pt idx="9">
                        <c:v>440.55707070707075</c:v>
                      </c:pt>
                      <c:pt idx="10">
                        <c:v>420.50244107744112</c:v>
                      </c:pt>
                      <c:pt idx="11">
                        <c:v>430.78207070707072</c:v>
                      </c:pt>
                      <c:pt idx="12">
                        <c:v>428.26355218855213</c:v>
                      </c:pt>
                      <c:pt idx="13">
                        <c:v>409.6762626262626</c:v>
                      </c:pt>
                      <c:pt idx="14">
                        <c:v>379.92163299663304</c:v>
                      </c:pt>
                      <c:pt idx="15">
                        <c:v>380.54663299663304</c:v>
                      </c:pt>
                      <c:pt idx="16">
                        <c:v>382.85126262626267</c:v>
                      </c:pt>
                      <c:pt idx="17">
                        <c:v>383.65833333333336</c:v>
                      </c:pt>
                      <c:pt idx="18">
                        <c:v>379.50370370370371</c:v>
                      </c:pt>
                      <c:pt idx="19">
                        <c:v>375.50277777777774</c:v>
                      </c:pt>
                      <c:pt idx="20">
                        <c:v>345.61666666666662</c:v>
                      </c:pt>
                      <c:pt idx="21">
                        <c:v>320.98055555555555</c:v>
                      </c:pt>
                      <c:pt idx="22">
                        <c:v>322.19907407407413</c:v>
                      </c:pt>
                      <c:pt idx="23">
                        <c:v>346.92870370370366</c:v>
                      </c:pt>
                      <c:pt idx="24">
                        <c:v>336.38611111111112</c:v>
                      </c:pt>
                      <c:pt idx="25">
                        <c:v>328.13611111111112</c:v>
                      </c:pt>
                      <c:pt idx="26">
                        <c:v>319.13981481481483</c:v>
                      </c:pt>
                      <c:pt idx="27">
                        <c:v>323.40833333333336</c:v>
                      </c:pt>
                      <c:pt idx="28">
                        <c:v>313.20555555555563</c:v>
                      </c:pt>
                      <c:pt idx="29">
                        <c:v>312.86203703703711</c:v>
                      </c:pt>
                      <c:pt idx="30">
                        <c:v>306.21064814814821</c:v>
                      </c:pt>
                      <c:pt idx="31">
                        <c:v>298.32343750000001</c:v>
                      </c:pt>
                      <c:pt idx="32">
                        <c:v>278.48630952380955</c:v>
                      </c:pt>
                      <c:pt idx="33">
                        <c:v>272.81041666666664</c:v>
                      </c:pt>
                      <c:pt idx="34">
                        <c:v>263.91750000000002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4892-49A8-8BA8-DB2B13D2CC76}"/>
                  </c:ext>
                </c:extLst>
              </c15:ser>
            </c15:filteredScatterSeries>
          </c:ext>
        </c:extLst>
      </c:scatterChart>
      <c:valAx>
        <c:axId val="-1425071008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70464"/>
        <c:crosses val="autoZero"/>
        <c:crossBetween val="midCat"/>
      </c:valAx>
      <c:valAx>
        <c:axId val="-1425070464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71008"/>
        <c:crosses val="autoZero"/>
        <c:crossBetween val="midCat"/>
      </c:valAx>
      <c:valAx>
        <c:axId val="-1425065568"/>
        <c:scaling>
          <c:orientation val="minMax"/>
          <c:min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>
                    <a:solidFill>
                      <a:schemeClr val="tx1"/>
                    </a:solidFill>
                  </a:rPr>
                  <a:t>Caudal (m3/s)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5096576"/>
        <c:crosses val="max"/>
        <c:crossBetween val="midCat"/>
      </c:valAx>
      <c:valAx>
        <c:axId val="-1425096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2506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Suavizado!$I$3</c:f>
              <c:strCache>
                <c:ptCount val="1"/>
                <c:pt idx="0">
                  <c:v>Densidad</c:v>
                </c:pt>
              </c:strCache>
            </c:strRef>
          </c:tx>
          <c:spPr>
            <a:ln w="25400" cap="rnd">
              <a:solidFill>
                <a:schemeClr val="accent1">
                  <a:alpha val="9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Suavizado!$A$4:$A$69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Suavizado!$I$4:$I$69</c:f>
              <c:numCache>
                <c:formatCode>0.00</c:formatCode>
                <c:ptCount val="66"/>
                <c:pt idx="0">
                  <c:v>-0.74131588230925816</c:v>
                </c:pt>
                <c:pt idx="1">
                  <c:v>-0.78416415865161848</c:v>
                </c:pt>
                <c:pt idx="2">
                  <c:v>-0.66639457402199309</c:v>
                </c:pt>
                <c:pt idx="3">
                  <c:v>-0.29544160886174092</c:v>
                </c:pt>
                <c:pt idx="4">
                  <c:v>-0.18328520256309441</c:v>
                </c:pt>
                <c:pt idx="5">
                  <c:v>-3.5640483716370873E-2</c:v>
                </c:pt>
                <c:pt idx="6">
                  <c:v>-8.9660203125302207E-2</c:v>
                </c:pt>
                <c:pt idx="7">
                  <c:v>-0.20044390380399396</c:v>
                </c:pt>
                <c:pt idx="8">
                  <c:v>-0.64965448428969985</c:v>
                </c:pt>
                <c:pt idx="9">
                  <c:v>-0.71242407572973154</c:v>
                </c:pt>
                <c:pt idx="10">
                  <c:v>-0.9202332920046995</c:v>
                </c:pt>
                <c:pt idx="11">
                  <c:v>-1.0535858624236916</c:v>
                </c:pt>
                <c:pt idx="12">
                  <c:v>-1.2601696831134206</c:v>
                </c:pt>
                <c:pt idx="13">
                  <c:v>-1.3017868246107411</c:v>
                </c:pt>
                <c:pt idx="14">
                  <c:v>-1.3777032859323251</c:v>
                </c:pt>
                <c:pt idx="15">
                  <c:v>-1.3223806205734454</c:v>
                </c:pt>
                <c:pt idx="16">
                  <c:v>-1.1085901657488562</c:v>
                </c:pt>
                <c:pt idx="17">
                  <c:v>-0.86183767200438288</c:v>
                </c:pt>
                <c:pt idx="18">
                  <c:v>-0.55208478274900674</c:v>
                </c:pt>
                <c:pt idx="19">
                  <c:v>-0.38338089104442707</c:v>
                </c:pt>
                <c:pt idx="20">
                  <c:v>-0.10927278856222186</c:v>
                </c:pt>
                <c:pt idx="21">
                  <c:v>5.4306286896513276E-2</c:v>
                </c:pt>
                <c:pt idx="22">
                  <c:v>7.5726434868730819E-2</c:v>
                </c:pt>
                <c:pt idx="23">
                  <c:v>-0.13610919830507942</c:v>
                </c:pt>
                <c:pt idx="24">
                  <c:v>-0.41803066303783842</c:v>
                </c:pt>
                <c:pt idx="25">
                  <c:v>-0.65633084400797737</c:v>
                </c:pt>
                <c:pt idx="26">
                  <c:v>-0.94645216512132913</c:v>
                </c:pt>
                <c:pt idx="27">
                  <c:v>-0.93016267320185586</c:v>
                </c:pt>
                <c:pt idx="28">
                  <c:v>-0.56396706250373163</c:v>
                </c:pt>
                <c:pt idx="29">
                  <c:v>-0.21492776645708359</c:v>
                </c:pt>
                <c:pt idx="30">
                  <c:v>-0.17646709525514215</c:v>
                </c:pt>
                <c:pt idx="31">
                  <c:v>3.2042594496357255E-2</c:v>
                </c:pt>
                <c:pt idx="32">
                  <c:v>-1.7415882836913598E-2</c:v>
                </c:pt>
                <c:pt idx="33">
                  <c:v>-0.12796204578923182</c:v>
                </c:pt>
                <c:pt idx="34">
                  <c:v>-1.5189967186665187E-2</c:v>
                </c:pt>
                <c:pt idx="35">
                  <c:v>0.5667830360611914</c:v>
                </c:pt>
                <c:pt idx="36">
                  <c:v>0.84758633589386767</c:v>
                </c:pt>
                <c:pt idx="37">
                  <c:v>1.2195101914656461</c:v>
                </c:pt>
                <c:pt idx="38">
                  <c:v>1.1861415384243643</c:v>
                </c:pt>
                <c:pt idx="39">
                  <c:v>1.1266148483078531</c:v>
                </c:pt>
                <c:pt idx="40">
                  <c:v>1.0772866205773979</c:v>
                </c:pt>
                <c:pt idx="41">
                  <c:v>1.2419849270900931</c:v>
                </c:pt>
                <c:pt idx="42">
                  <c:v>0.94143541833653066</c:v>
                </c:pt>
                <c:pt idx="43">
                  <c:v>0.96160365668219272</c:v>
                </c:pt>
                <c:pt idx="44">
                  <c:v>1.0700098250519807</c:v>
                </c:pt>
                <c:pt idx="45">
                  <c:v>0.75625644120700974</c:v>
                </c:pt>
                <c:pt idx="46">
                  <c:v>0.37849228851027328</c:v>
                </c:pt>
                <c:pt idx="47">
                  <c:v>0.31380976869929139</c:v>
                </c:pt>
                <c:pt idx="48">
                  <c:v>2.5137827100423317E-2</c:v>
                </c:pt>
                <c:pt idx="49">
                  <c:v>-0.65600733846782611</c:v>
                </c:pt>
                <c:pt idx="50">
                  <c:v>-0.9706941328701616</c:v>
                </c:pt>
                <c:pt idx="51">
                  <c:v>-0.80046097601728206</c:v>
                </c:pt>
                <c:pt idx="52">
                  <c:v>-0.52401386294569396</c:v>
                </c:pt>
                <c:pt idx="53">
                  <c:v>-0.22375004379914451</c:v>
                </c:pt>
                <c:pt idx="54">
                  <c:v>0.33517497651169953</c:v>
                </c:pt>
                <c:pt idx="55">
                  <c:v>0.76644283320659401</c:v>
                </c:pt>
                <c:pt idx="56">
                  <c:v>0.71896771222012845</c:v>
                </c:pt>
                <c:pt idx="57">
                  <c:v>0.83381625015512273</c:v>
                </c:pt>
                <c:pt idx="58">
                  <c:v>0.94895112441928053</c:v>
                </c:pt>
                <c:pt idx="59">
                  <c:v>0.95283664201838847</c:v>
                </c:pt>
                <c:pt idx="60">
                  <c:v>1.0087817115877227</c:v>
                </c:pt>
                <c:pt idx="61">
                  <c:v>1.1000331335280402</c:v>
                </c:pt>
                <c:pt idx="62">
                  <c:v>1.0576958324892378</c:v>
                </c:pt>
                <c:pt idx="63">
                  <c:v>0.87222816991736285</c:v>
                </c:pt>
                <c:pt idx="64">
                  <c:v>0.88922940926619998</c:v>
                </c:pt>
                <c:pt idx="65">
                  <c:v>0.7670969062260915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E-407D-AE0C-C2BA6F27E646}"/>
            </c:ext>
          </c:extLst>
        </c:ser>
        <c:ser>
          <c:idx val="1"/>
          <c:order val="1"/>
          <c:tx>
            <c:strRef>
              <c:f>Suavizado!$L$3</c:f>
              <c:strCache>
                <c:ptCount val="1"/>
                <c:pt idx="0">
                  <c:v>Caudal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Suavizado!$A$4:$A$69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Suavizado!$L$4:$L$69</c:f>
              <c:numCache>
                <c:formatCode>0.00</c:formatCode>
                <c:ptCount val="66"/>
                <c:pt idx="0">
                  <c:v>1.2400184402887584</c:v>
                </c:pt>
                <c:pt idx="1">
                  <c:v>0.8967185659364304</c:v>
                </c:pt>
                <c:pt idx="2">
                  <c:v>0.26430882325448446</c:v>
                </c:pt>
                <c:pt idx="3">
                  <c:v>-0.39174106157310229</c:v>
                </c:pt>
                <c:pt idx="4">
                  <c:v>-0.56264103236564567</c:v>
                </c:pt>
                <c:pt idx="5">
                  <c:v>-1.1186167735354562</c:v>
                </c:pt>
                <c:pt idx="6">
                  <c:v>-1.3484483851886517</c:v>
                </c:pt>
                <c:pt idx="7">
                  <c:v>-1.0204793085044774</c:v>
                </c:pt>
                <c:pt idx="8">
                  <c:v>-0.75202585577457426</c:v>
                </c:pt>
                <c:pt idx="9">
                  <c:v>-0.70905840580989121</c:v>
                </c:pt>
                <c:pt idx="10">
                  <c:v>-0.17501927447053475</c:v>
                </c:pt>
                <c:pt idx="11">
                  <c:v>0.3361149077249691</c:v>
                </c:pt>
                <c:pt idx="12">
                  <c:v>0.76219761339548453</c:v>
                </c:pt>
                <c:pt idx="13">
                  <c:v>0.58149059998739761</c:v>
                </c:pt>
                <c:pt idx="14">
                  <c:v>6.5191444869504428E-2</c:v>
                </c:pt>
                <c:pt idx="15">
                  <c:v>-1.8730799040782169E-2</c:v>
                </c:pt>
                <c:pt idx="16">
                  <c:v>0.1012568701588398</c:v>
                </c:pt>
                <c:pt idx="17">
                  <c:v>-0.4076680086493254</c:v>
                </c:pt>
                <c:pt idx="18">
                  <c:v>-0.16801594660547772</c:v>
                </c:pt>
                <c:pt idx="19">
                  <c:v>0.20820920244732594</c:v>
                </c:pt>
                <c:pt idx="20">
                  <c:v>0.20747624407472259</c:v>
                </c:pt>
                <c:pt idx="21">
                  <c:v>0.14455802474844776</c:v>
                </c:pt>
                <c:pt idx="22">
                  <c:v>0.47628872722697829</c:v>
                </c:pt>
                <c:pt idx="23">
                  <c:v>0.4373316917725556</c:v>
                </c:pt>
                <c:pt idx="24">
                  <c:v>0.32195033819913155</c:v>
                </c:pt>
                <c:pt idx="25">
                  <c:v>8.6520235561702144E-2</c:v>
                </c:pt>
                <c:pt idx="26">
                  <c:v>-0.18924492386075581</c:v>
                </c:pt>
                <c:pt idx="27">
                  <c:v>-0.37448376525554844</c:v>
                </c:pt>
                <c:pt idx="28">
                  <c:v>-0.28805277764716442</c:v>
                </c:pt>
                <c:pt idx="29">
                  <c:v>-0.35532852388373326</c:v>
                </c:pt>
                <c:pt idx="30">
                  <c:v>2.051077919650075E-2</c:v>
                </c:pt>
                <c:pt idx="31">
                  <c:v>-9.9402402363628947E-2</c:v>
                </c:pt>
                <c:pt idx="32">
                  <c:v>-0.34672520152238373</c:v>
                </c:pt>
                <c:pt idx="33">
                  <c:v>-0.30390821658947503</c:v>
                </c:pt>
                <c:pt idx="34">
                  <c:v>-8.0829654332642747E-2</c:v>
                </c:pt>
                <c:pt idx="35">
                  <c:v>-0.22702356485841188</c:v>
                </c:pt>
                <c:pt idx="36">
                  <c:v>7.5123626719394904E-2</c:v>
                </c:pt>
                <c:pt idx="37">
                  <c:v>0.40011319782388099</c:v>
                </c:pt>
                <c:pt idx="38">
                  <c:v>7.9238578751080983E-3</c:v>
                </c:pt>
                <c:pt idx="39">
                  <c:v>-0.22743175712282918</c:v>
                </c:pt>
                <c:pt idx="40">
                  <c:v>-0.2102504381975574</c:v>
                </c:pt>
                <c:pt idx="41">
                  <c:v>-0.42712120057910929</c:v>
                </c:pt>
                <c:pt idx="42">
                  <c:v>-0.91088117526122814</c:v>
                </c:pt>
                <c:pt idx="43">
                  <c:v>-0.84351902336284845</c:v>
                </c:pt>
                <c:pt idx="44">
                  <c:v>-0.62290004296204882</c:v>
                </c:pt>
                <c:pt idx="45">
                  <c:v>-0.6834078422743558</c:v>
                </c:pt>
                <c:pt idx="46">
                  <c:v>-0.69855415888870076</c:v>
                </c:pt>
                <c:pt idx="47">
                  <c:v>-0.22318745142456337</c:v>
                </c:pt>
                <c:pt idx="48">
                  <c:v>0.16119260439984676</c:v>
                </c:pt>
                <c:pt idx="49">
                  <c:v>0.18125510522067698</c:v>
                </c:pt>
                <c:pt idx="50">
                  <c:v>0.13632565083176934</c:v>
                </c:pt>
                <c:pt idx="51">
                  <c:v>5.1062629410623117E-2</c:v>
                </c:pt>
                <c:pt idx="52">
                  <c:v>0.15000754045369741</c:v>
                </c:pt>
                <c:pt idx="53">
                  <c:v>-3.951285045910706E-2</c:v>
                </c:pt>
                <c:pt idx="54">
                  <c:v>0.19997682853064752</c:v>
                </c:pt>
                <c:pt idx="55">
                  <c:v>0.59384363012078478</c:v>
                </c:pt>
                <c:pt idx="56">
                  <c:v>0.88175027478047208</c:v>
                </c:pt>
                <c:pt idx="57">
                  <c:v>0.56884259880162147</c:v>
                </c:pt>
                <c:pt idx="58">
                  <c:v>0.36612150841800856</c:v>
                </c:pt>
                <c:pt idx="59">
                  <c:v>3.7656344054816306E-2</c:v>
                </c:pt>
                <c:pt idx="60">
                  <c:v>-0.14559665687111414</c:v>
                </c:pt>
                <c:pt idx="61">
                  <c:v>-0.1848754789281431</c:v>
                </c:pt>
                <c:pt idx="62">
                  <c:v>4.1824672360799967E-2</c:v>
                </c:pt>
                <c:pt idx="63">
                  <c:v>-3.7713229088975363E-2</c:v>
                </c:pt>
                <c:pt idx="64">
                  <c:v>0.15691105488183493</c:v>
                </c:pt>
                <c:pt idx="65">
                  <c:v>0.21829780834015006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DE-407D-AE0C-C2BA6F27E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4230544"/>
        <c:axId val="-1424257744"/>
      </c:scatterChart>
      <c:valAx>
        <c:axId val="-1424230544"/>
        <c:scaling>
          <c:orientation val="minMax"/>
          <c:max val="2015"/>
          <c:min val="1950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4257744"/>
        <c:crosses val="autoZero"/>
        <c:crossBetween val="midCat"/>
      </c:valAx>
      <c:valAx>
        <c:axId val="-1424257744"/>
        <c:scaling>
          <c:orientation val="minMax"/>
          <c:min val="-1.5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423054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Suavizado!$J$3</c:f>
              <c:strCache>
                <c:ptCount val="1"/>
                <c:pt idx="0">
                  <c:v>Extension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Suavizado!$A$4:$A$69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Suavizado!$J$4:$J$69</c:f>
              <c:numCache>
                <c:formatCode>0.00</c:formatCode>
                <c:ptCount val="66"/>
                <c:pt idx="0">
                  <c:v>1.4714766424423891</c:v>
                </c:pt>
                <c:pt idx="1">
                  <c:v>1.0867959541986263</c:v>
                </c:pt>
                <c:pt idx="2">
                  <c:v>0.90836026859060071</c:v>
                </c:pt>
                <c:pt idx="3">
                  <c:v>0.34262163327347384</c:v>
                </c:pt>
                <c:pt idx="4">
                  <c:v>0.31952751064477986</c:v>
                </c:pt>
                <c:pt idx="5">
                  <c:v>-0.29823160793314557</c:v>
                </c:pt>
                <c:pt idx="6">
                  <c:v>-0.28226320975614433</c:v>
                </c:pt>
                <c:pt idx="7">
                  <c:v>-0.31175162104732135</c:v>
                </c:pt>
                <c:pt idx="8">
                  <c:v>4.8619092970779085E-2</c:v>
                </c:pt>
                <c:pt idx="9">
                  <c:v>0.21061864646291548</c:v>
                </c:pt>
                <c:pt idx="10">
                  <c:v>0.33096678142177083</c:v>
                </c:pt>
                <c:pt idx="11">
                  <c:v>0.4445241125271478</c:v>
                </c:pt>
                <c:pt idx="12">
                  <c:v>0.82367347801761248</c:v>
                </c:pt>
                <c:pt idx="13">
                  <c:v>0.9648232618553001</c:v>
                </c:pt>
                <c:pt idx="14">
                  <c:v>0.98575579924378154</c:v>
                </c:pt>
                <c:pt idx="15">
                  <c:v>1.0749428447513647</c:v>
                </c:pt>
                <c:pt idx="16">
                  <c:v>1.1768299253568135</c:v>
                </c:pt>
                <c:pt idx="17">
                  <c:v>0.74465916447290859</c:v>
                </c:pt>
                <c:pt idx="18">
                  <c:v>0.51530014928786705</c:v>
                </c:pt>
                <c:pt idx="19">
                  <c:v>0.54904436197368578</c:v>
                </c:pt>
                <c:pt idx="20">
                  <c:v>0.5620504452045425</c:v>
                </c:pt>
                <c:pt idx="21">
                  <c:v>0.14753615930604039</c:v>
                </c:pt>
                <c:pt idx="22">
                  <c:v>0.18015242101171297</c:v>
                </c:pt>
                <c:pt idx="23">
                  <c:v>-0.17736569342837574</c:v>
                </c:pt>
                <c:pt idx="24">
                  <c:v>-0.23477955321904836</c:v>
                </c:pt>
                <c:pt idx="25">
                  <c:v>-0.5646474699962164</c:v>
                </c:pt>
                <c:pt idx="26">
                  <c:v>-0.62344913295540016</c:v>
                </c:pt>
                <c:pt idx="27">
                  <c:v>-0.28648243936085238</c:v>
                </c:pt>
                <c:pt idx="28">
                  <c:v>-0.12564163414529159</c:v>
                </c:pt>
                <c:pt idx="29">
                  <c:v>-0.34204461170623002</c:v>
                </c:pt>
                <c:pt idx="30">
                  <c:v>-0.28626685828615256</c:v>
                </c:pt>
                <c:pt idx="31">
                  <c:v>-0.19495864898983056</c:v>
                </c:pt>
                <c:pt idx="32">
                  <c:v>-0.7902004526361095</c:v>
                </c:pt>
                <c:pt idx="33">
                  <c:v>-0.59329922140239477</c:v>
                </c:pt>
                <c:pt idx="34">
                  <c:v>-0.57411378897363352</c:v>
                </c:pt>
                <c:pt idx="35">
                  <c:v>-0.59449967435130124</c:v>
                </c:pt>
                <c:pt idx="36">
                  <c:v>-0.5431015531217096</c:v>
                </c:pt>
                <c:pt idx="37">
                  <c:v>-0.58994680736869132</c:v>
                </c:pt>
                <c:pt idx="38">
                  <c:v>-0.95952462978601027</c:v>
                </c:pt>
                <c:pt idx="39">
                  <c:v>-0.9347584706075972</c:v>
                </c:pt>
                <c:pt idx="40">
                  <c:v>-1.1420935692133791</c:v>
                </c:pt>
                <c:pt idx="41">
                  <c:v>-1.29738636980676</c:v>
                </c:pt>
                <c:pt idx="42">
                  <c:v>-1.1056808991177065</c:v>
                </c:pt>
                <c:pt idx="43">
                  <c:v>-0.91627752633362236</c:v>
                </c:pt>
                <c:pt idx="44">
                  <c:v>-0.94172379247392279</c:v>
                </c:pt>
                <c:pt idx="45">
                  <c:v>-0.91557688784079594</c:v>
                </c:pt>
                <c:pt idx="46">
                  <c:v>-0.88668902382918058</c:v>
                </c:pt>
                <c:pt idx="47">
                  <c:v>-0.7157563295535887</c:v>
                </c:pt>
                <c:pt idx="48">
                  <c:v>-0.6707383815589304</c:v>
                </c:pt>
                <c:pt idx="49">
                  <c:v>-0.19371135848644333</c:v>
                </c:pt>
                <c:pt idx="50">
                  <c:v>0.41382690735282557</c:v>
                </c:pt>
                <c:pt idx="51">
                  <c:v>0.33912036564047204</c:v>
                </c:pt>
                <c:pt idx="52">
                  <c:v>0.45925291952462188</c:v>
                </c:pt>
                <c:pt idx="53">
                  <c:v>0.51696705295508372</c:v>
                </c:pt>
                <c:pt idx="54">
                  <c:v>0.38339917852182526</c:v>
                </c:pt>
                <c:pt idx="55">
                  <c:v>-3.6206285435882626E-2</c:v>
                </c:pt>
                <c:pt idx="56">
                  <c:v>0.3595620711178002</c:v>
                </c:pt>
                <c:pt idx="57">
                  <c:v>4.8878945159142838E-2</c:v>
                </c:pt>
                <c:pt idx="58">
                  <c:v>0.15977231012701981</c:v>
                </c:pt>
                <c:pt idx="59">
                  <c:v>-1.5772279282591721E-2</c:v>
                </c:pt>
                <c:pt idx="60">
                  <c:v>0.12737355432724951</c:v>
                </c:pt>
                <c:pt idx="61">
                  <c:v>0.11580916953368688</c:v>
                </c:pt>
                <c:pt idx="62">
                  <c:v>0.31486749473530934</c:v>
                </c:pt>
                <c:pt idx="63">
                  <c:v>0.49627896910679292</c:v>
                </c:pt>
                <c:pt idx="64">
                  <c:v>0.61165141586802285</c:v>
                </c:pt>
                <c:pt idx="65">
                  <c:v>0.74245972422288986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03-46E3-BB14-812983E4207D}"/>
            </c:ext>
          </c:extLst>
        </c:ser>
        <c:ser>
          <c:idx val="1"/>
          <c:order val="1"/>
          <c:tx>
            <c:strRef>
              <c:f>Suavizado!$L$3</c:f>
              <c:strCache>
                <c:ptCount val="1"/>
                <c:pt idx="0">
                  <c:v>Caudal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Suavizado!$A$4:$A$69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Suavizado!$L$4:$L$69</c:f>
              <c:numCache>
                <c:formatCode>0.00</c:formatCode>
                <c:ptCount val="66"/>
                <c:pt idx="0">
                  <c:v>1.2400184402887584</c:v>
                </c:pt>
                <c:pt idx="1">
                  <c:v>0.8967185659364304</c:v>
                </c:pt>
                <c:pt idx="2">
                  <c:v>0.26430882325448446</c:v>
                </c:pt>
                <c:pt idx="3">
                  <c:v>-0.39174106157310229</c:v>
                </c:pt>
                <c:pt idx="4">
                  <c:v>-0.56264103236564567</c:v>
                </c:pt>
                <c:pt idx="5">
                  <c:v>-1.1186167735354562</c:v>
                </c:pt>
                <c:pt idx="6">
                  <c:v>-1.3484483851886517</c:v>
                </c:pt>
                <c:pt idx="7">
                  <c:v>-1.0204793085044774</c:v>
                </c:pt>
                <c:pt idx="8">
                  <c:v>-0.75202585577457426</c:v>
                </c:pt>
                <c:pt idx="9">
                  <c:v>-0.70905840580989121</c:v>
                </c:pt>
                <c:pt idx="10">
                  <c:v>-0.17501927447053475</c:v>
                </c:pt>
                <c:pt idx="11">
                  <c:v>0.3361149077249691</c:v>
                </c:pt>
                <c:pt idx="12">
                  <c:v>0.76219761339548453</c:v>
                </c:pt>
                <c:pt idx="13">
                  <c:v>0.58149059998739761</c:v>
                </c:pt>
                <c:pt idx="14">
                  <c:v>6.5191444869504428E-2</c:v>
                </c:pt>
                <c:pt idx="15">
                  <c:v>-1.8730799040782169E-2</c:v>
                </c:pt>
                <c:pt idx="16">
                  <c:v>0.1012568701588398</c:v>
                </c:pt>
                <c:pt idx="17">
                  <c:v>-0.4076680086493254</c:v>
                </c:pt>
                <c:pt idx="18">
                  <c:v>-0.16801594660547772</c:v>
                </c:pt>
                <c:pt idx="19">
                  <c:v>0.20820920244732594</c:v>
                </c:pt>
                <c:pt idx="20">
                  <c:v>0.20747624407472259</c:v>
                </c:pt>
                <c:pt idx="21">
                  <c:v>0.14455802474844776</c:v>
                </c:pt>
                <c:pt idx="22">
                  <c:v>0.47628872722697829</c:v>
                </c:pt>
                <c:pt idx="23">
                  <c:v>0.4373316917725556</c:v>
                </c:pt>
                <c:pt idx="24">
                  <c:v>0.32195033819913155</c:v>
                </c:pt>
                <c:pt idx="25">
                  <c:v>8.6520235561702144E-2</c:v>
                </c:pt>
                <c:pt idx="26">
                  <c:v>-0.18924492386075581</c:v>
                </c:pt>
                <c:pt idx="27">
                  <c:v>-0.37448376525554844</c:v>
                </c:pt>
                <c:pt idx="28">
                  <c:v>-0.28805277764716442</c:v>
                </c:pt>
                <c:pt idx="29">
                  <c:v>-0.35532852388373326</c:v>
                </c:pt>
                <c:pt idx="30">
                  <c:v>2.051077919650075E-2</c:v>
                </c:pt>
                <c:pt idx="31">
                  <c:v>-9.9402402363628947E-2</c:v>
                </c:pt>
                <c:pt idx="32">
                  <c:v>-0.34672520152238373</c:v>
                </c:pt>
                <c:pt idx="33">
                  <c:v>-0.30390821658947503</c:v>
                </c:pt>
                <c:pt idx="34">
                  <c:v>-8.0829654332642747E-2</c:v>
                </c:pt>
                <c:pt idx="35">
                  <c:v>-0.22702356485841188</c:v>
                </c:pt>
                <c:pt idx="36">
                  <c:v>7.5123626719394904E-2</c:v>
                </c:pt>
                <c:pt idx="37">
                  <c:v>0.40011319782388099</c:v>
                </c:pt>
                <c:pt idx="38">
                  <c:v>7.9238578751080983E-3</c:v>
                </c:pt>
                <c:pt idx="39">
                  <c:v>-0.22743175712282918</c:v>
                </c:pt>
                <c:pt idx="40">
                  <c:v>-0.2102504381975574</c:v>
                </c:pt>
                <c:pt idx="41">
                  <c:v>-0.42712120057910929</c:v>
                </c:pt>
                <c:pt idx="42">
                  <c:v>-0.91088117526122814</c:v>
                </c:pt>
                <c:pt idx="43">
                  <c:v>-0.84351902336284845</c:v>
                </c:pt>
                <c:pt idx="44">
                  <c:v>-0.62290004296204882</c:v>
                </c:pt>
                <c:pt idx="45">
                  <c:v>-0.6834078422743558</c:v>
                </c:pt>
                <c:pt idx="46">
                  <c:v>-0.69855415888870076</c:v>
                </c:pt>
                <c:pt idx="47">
                  <c:v>-0.22318745142456337</c:v>
                </c:pt>
                <c:pt idx="48">
                  <c:v>0.16119260439984676</c:v>
                </c:pt>
                <c:pt idx="49">
                  <c:v>0.18125510522067698</c:v>
                </c:pt>
                <c:pt idx="50">
                  <c:v>0.13632565083176934</c:v>
                </c:pt>
                <c:pt idx="51">
                  <c:v>5.1062629410623117E-2</c:v>
                </c:pt>
                <c:pt idx="52">
                  <c:v>0.15000754045369741</c:v>
                </c:pt>
                <c:pt idx="53">
                  <c:v>-3.951285045910706E-2</c:v>
                </c:pt>
                <c:pt idx="54">
                  <c:v>0.19997682853064752</c:v>
                </c:pt>
                <c:pt idx="55">
                  <c:v>0.59384363012078478</c:v>
                </c:pt>
                <c:pt idx="56">
                  <c:v>0.88175027478047208</c:v>
                </c:pt>
                <c:pt idx="57">
                  <c:v>0.56884259880162147</c:v>
                </c:pt>
                <c:pt idx="58">
                  <c:v>0.36612150841800856</c:v>
                </c:pt>
                <c:pt idx="59">
                  <c:v>3.7656344054816306E-2</c:v>
                </c:pt>
                <c:pt idx="60">
                  <c:v>-0.14559665687111414</c:v>
                </c:pt>
                <c:pt idx="61">
                  <c:v>-0.1848754789281431</c:v>
                </c:pt>
                <c:pt idx="62">
                  <c:v>4.1824672360799967E-2</c:v>
                </c:pt>
                <c:pt idx="63">
                  <c:v>-3.7713229088975363E-2</c:v>
                </c:pt>
                <c:pt idx="64">
                  <c:v>0.15691105488183493</c:v>
                </c:pt>
                <c:pt idx="65">
                  <c:v>0.21829780834015006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03-46E3-BB14-812983E42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4234896"/>
        <c:axId val="-1424246864"/>
      </c:scatterChart>
      <c:valAx>
        <c:axId val="-1424234896"/>
        <c:scaling>
          <c:orientation val="minMax"/>
          <c:max val="2015"/>
          <c:min val="1950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4246864"/>
        <c:crosses val="autoZero"/>
        <c:crossBetween val="midCat"/>
      </c:valAx>
      <c:valAx>
        <c:axId val="-1424246864"/>
        <c:scaling>
          <c:orientation val="minMax"/>
          <c:max val="1.5"/>
          <c:min val="-1.5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423489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Suavizado!$K$3</c:f>
              <c:strCache>
                <c:ptCount val="1"/>
                <c:pt idx="0">
                  <c:v>Calcificacion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Suavizado!$A$4:$A$69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Suavizado!$K$4:$K$69</c:f>
              <c:numCache>
                <c:formatCode>0.00</c:formatCode>
                <c:ptCount val="66"/>
                <c:pt idx="0">
                  <c:v>0.67414610454397239</c:v>
                </c:pt>
                <c:pt idx="1">
                  <c:v>0.207402136895738</c:v>
                </c:pt>
                <c:pt idx="2">
                  <c:v>0.1314838872783719</c:v>
                </c:pt>
                <c:pt idx="3">
                  <c:v>-0.21002883613977175</c:v>
                </c:pt>
                <c:pt idx="4">
                  <c:v>-7.5814762017899912E-2</c:v>
                </c:pt>
                <c:pt idx="5">
                  <c:v>-0.55251169657654653</c:v>
                </c:pt>
                <c:pt idx="6">
                  <c:v>-0.49219698734399342</c:v>
                </c:pt>
                <c:pt idx="7">
                  <c:v>-0.55868806510922864</c:v>
                </c:pt>
                <c:pt idx="8">
                  <c:v>-0.49897603099378485</c:v>
                </c:pt>
                <c:pt idx="9">
                  <c:v>-0.40916888733507661</c:v>
                </c:pt>
                <c:pt idx="10">
                  <c:v>-0.47025253596998084</c:v>
                </c:pt>
                <c:pt idx="11">
                  <c:v>-0.4990376963962847</c:v>
                </c:pt>
                <c:pt idx="12">
                  <c:v>-0.33776016529258801</c:v>
                </c:pt>
                <c:pt idx="13">
                  <c:v>-0.18939632823282224</c:v>
                </c:pt>
                <c:pt idx="14">
                  <c:v>-0.20527415274498942</c:v>
                </c:pt>
                <c:pt idx="15">
                  <c:v>-6.5288611199916621E-2</c:v>
                </c:pt>
                <c:pt idx="16">
                  <c:v>0.15117312934530505</c:v>
                </c:pt>
                <c:pt idx="17">
                  <c:v>-9.7910449089996132E-2</c:v>
                </c:pt>
                <c:pt idx="18">
                  <c:v>-8.5951543090023147E-2</c:v>
                </c:pt>
                <c:pt idx="19">
                  <c:v>7.1375427197406166E-2</c:v>
                </c:pt>
                <c:pt idx="20">
                  <c:v>0.31059611290701394</c:v>
                </c:pt>
                <c:pt idx="21">
                  <c:v>0.11286209557021201</c:v>
                </c:pt>
                <c:pt idx="22">
                  <c:v>0.25654898012356492</c:v>
                </c:pt>
                <c:pt idx="23">
                  <c:v>-0.24958110041300388</c:v>
                </c:pt>
                <c:pt idx="24">
                  <c:v>-0.55888861636170906</c:v>
                </c:pt>
                <c:pt idx="25">
                  <c:v>-1.0220251313490338</c:v>
                </c:pt>
                <c:pt idx="26">
                  <c:v>-1.2967342385137994</c:v>
                </c:pt>
                <c:pt idx="27">
                  <c:v>-0.95734260296476315</c:v>
                </c:pt>
                <c:pt idx="28">
                  <c:v>-0.53015465257725325</c:v>
                </c:pt>
                <c:pt idx="29">
                  <c:v>-0.37282291945228607</c:v>
                </c:pt>
                <c:pt idx="30">
                  <c:v>-0.29631883712424972</c:v>
                </c:pt>
                <c:pt idx="31">
                  <c:v>-2.1852623923197976E-3</c:v>
                </c:pt>
                <c:pt idx="32">
                  <c:v>-0.63697758921954439</c:v>
                </c:pt>
                <c:pt idx="33">
                  <c:v>-0.42937854685529508</c:v>
                </c:pt>
                <c:pt idx="34">
                  <c:v>-0.39370974917792695</c:v>
                </c:pt>
                <c:pt idx="35">
                  <c:v>9.0305534779798972E-3</c:v>
                </c:pt>
                <c:pt idx="36">
                  <c:v>0.23579548065642669</c:v>
                </c:pt>
                <c:pt idx="37">
                  <c:v>0.46541099763039251</c:v>
                </c:pt>
                <c:pt idx="38">
                  <c:v>-2.7390965830093726E-2</c:v>
                </c:pt>
                <c:pt idx="39">
                  <c:v>3.2740219095564869E-2</c:v>
                </c:pt>
                <c:pt idx="40">
                  <c:v>-0.18585246540063957</c:v>
                </c:pt>
                <c:pt idx="41">
                  <c:v>-0.20907953981328192</c:v>
                </c:pt>
                <c:pt idx="42">
                  <c:v>-0.24701814861785035</c:v>
                </c:pt>
                <c:pt idx="43">
                  <c:v>-2.9269975562948542E-2</c:v>
                </c:pt>
                <c:pt idx="44">
                  <c:v>2.2109188359550223E-3</c:v>
                </c:pt>
                <c:pt idx="45">
                  <c:v>-0.27860044526469874</c:v>
                </c:pt>
                <c:pt idx="46">
                  <c:v>-0.54703795838844349</c:v>
                </c:pt>
                <c:pt idx="47">
                  <c:v>-0.53265242649091782</c:v>
                </c:pt>
                <c:pt idx="48">
                  <c:v>-0.7333730970975475</c:v>
                </c:pt>
                <c:pt idx="49">
                  <c:v>-0.9070152395215253</c:v>
                </c:pt>
                <c:pt idx="50">
                  <c:v>-0.53508256455079051</c:v>
                </c:pt>
                <c:pt idx="51">
                  <c:v>-0.47745649995321093</c:v>
                </c:pt>
                <c:pt idx="52">
                  <c:v>-3.7056337446933617E-2</c:v>
                </c:pt>
                <c:pt idx="53">
                  <c:v>0.34103987104418437</c:v>
                </c:pt>
                <c:pt idx="54">
                  <c:v>0.79409426564039065</c:v>
                </c:pt>
                <c:pt idx="55">
                  <c:v>0.75277799713477189</c:v>
                </c:pt>
                <c:pt idx="56">
                  <c:v>1.1521368606284956</c:v>
                </c:pt>
                <c:pt idx="57">
                  <c:v>0.92912737688879987</c:v>
                </c:pt>
                <c:pt idx="58">
                  <c:v>1.0754836578498774</c:v>
                </c:pt>
                <c:pt idx="59">
                  <c:v>0.87365744293140379</c:v>
                </c:pt>
                <c:pt idx="60">
                  <c:v>1.0410307819221849</c:v>
                </c:pt>
                <c:pt idx="61">
                  <c:v>1.0798736612638773</c:v>
                </c:pt>
                <c:pt idx="62">
                  <c:v>1.2966658763095089</c:v>
                </c:pt>
                <c:pt idx="63">
                  <c:v>1.3068498794708785</c:v>
                </c:pt>
                <c:pt idx="64">
                  <c:v>1.4153356127132635</c:v>
                </c:pt>
                <c:pt idx="65">
                  <c:v>1.4800152987792305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8D-4399-AABA-F1084E95AD9C}"/>
            </c:ext>
          </c:extLst>
        </c:ser>
        <c:ser>
          <c:idx val="1"/>
          <c:order val="1"/>
          <c:tx>
            <c:strRef>
              <c:f>Suavizado!$L$3</c:f>
              <c:strCache>
                <c:ptCount val="1"/>
                <c:pt idx="0">
                  <c:v>Caudal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Suavizado!$A$4:$A$69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Suavizado!$L$4:$L$69</c:f>
              <c:numCache>
                <c:formatCode>0.00</c:formatCode>
                <c:ptCount val="66"/>
                <c:pt idx="0">
                  <c:v>1.2400184402887584</c:v>
                </c:pt>
                <c:pt idx="1">
                  <c:v>0.8967185659364304</c:v>
                </c:pt>
                <c:pt idx="2">
                  <c:v>0.26430882325448446</c:v>
                </c:pt>
                <c:pt idx="3">
                  <c:v>-0.39174106157310229</c:v>
                </c:pt>
                <c:pt idx="4">
                  <c:v>-0.56264103236564567</c:v>
                </c:pt>
                <c:pt idx="5">
                  <c:v>-1.1186167735354562</c:v>
                </c:pt>
                <c:pt idx="6">
                  <c:v>-1.3484483851886517</c:v>
                </c:pt>
                <c:pt idx="7">
                  <c:v>-1.0204793085044774</c:v>
                </c:pt>
                <c:pt idx="8">
                  <c:v>-0.75202585577457426</c:v>
                </c:pt>
                <c:pt idx="9">
                  <c:v>-0.70905840580989121</c:v>
                </c:pt>
                <c:pt idx="10">
                  <c:v>-0.17501927447053475</c:v>
                </c:pt>
                <c:pt idx="11">
                  <c:v>0.3361149077249691</c:v>
                </c:pt>
                <c:pt idx="12">
                  <c:v>0.76219761339548453</c:v>
                </c:pt>
                <c:pt idx="13">
                  <c:v>0.58149059998739761</c:v>
                </c:pt>
                <c:pt idx="14">
                  <c:v>6.5191444869504428E-2</c:v>
                </c:pt>
                <c:pt idx="15">
                  <c:v>-1.8730799040782169E-2</c:v>
                </c:pt>
                <c:pt idx="16">
                  <c:v>0.1012568701588398</c:v>
                </c:pt>
                <c:pt idx="17">
                  <c:v>-0.4076680086493254</c:v>
                </c:pt>
                <c:pt idx="18">
                  <c:v>-0.16801594660547772</c:v>
                </c:pt>
                <c:pt idx="19">
                  <c:v>0.20820920244732594</c:v>
                </c:pt>
                <c:pt idx="20">
                  <c:v>0.20747624407472259</c:v>
                </c:pt>
                <c:pt idx="21">
                  <c:v>0.14455802474844776</c:v>
                </c:pt>
                <c:pt idx="22">
                  <c:v>0.47628872722697829</c:v>
                </c:pt>
                <c:pt idx="23">
                  <c:v>0.4373316917725556</c:v>
                </c:pt>
                <c:pt idx="24">
                  <c:v>0.32195033819913155</c:v>
                </c:pt>
                <c:pt idx="25">
                  <c:v>8.6520235561702144E-2</c:v>
                </c:pt>
                <c:pt idx="26">
                  <c:v>-0.18924492386075581</c:v>
                </c:pt>
                <c:pt idx="27">
                  <c:v>-0.37448376525554844</c:v>
                </c:pt>
                <c:pt idx="28">
                  <c:v>-0.28805277764716442</c:v>
                </c:pt>
                <c:pt idx="29">
                  <c:v>-0.35532852388373326</c:v>
                </c:pt>
                <c:pt idx="30">
                  <c:v>2.051077919650075E-2</c:v>
                </c:pt>
                <c:pt idx="31">
                  <c:v>-9.9402402363628947E-2</c:v>
                </c:pt>
                <c:pt idx="32">
                  <c:v>-0.34672520152238373</c:v>
                </c:pt>
                <c:pt idx="33">
                  <c:v>-0.30390821658947503</c:v>
                </c:pt>
                <c:pt idx="34">
                  <c:v>-8.0829654332642747E-2</c:v>
                </c:pt>
                <c:pt idx="35">
                  <c:v>-0.22702356485841188</c:v>
                </c:pt>
                <c:pt idx="36">
                  <c:v>7.5123626719394904E-2</c:v>
                </c:pt>
                <c:pt idx="37">
                  <c:v>0.40011319782388099</c:v>
                </c:pt>
                <c:pt idx="38">
                  <c:v>7.9238578751080983E-3</c:v>
                </c:pt>
                <c:pt idx="39">
                  <c:v>-0.22743175712282918</c:v>
                </c:pt>
                <c:pt idx="40">
                  <c:v>-0.2102504381975574</c:v>
                </c:pt>
                <c:pt idx="41">
                  <c:v>-0.42712120057910929</c:v>
                </c:pt>
                <c:pt idx="42">
                  <c:v>-0.91088117526122814</c:v>
                </c:pt>
                <c:pt idx="43">
                  <c:v>-0.84351902336284845</c:v>
                </c:pt>
                <c:pt idx="44">
                  <c:v>-0.62290004296204882</c:v>
                </c:pt>
                <c:pt idx="45">
                  <c:v>-0.6834078422743558</c:v>
                </c:pt>
                <c:pt idx="46">
                  <c:v>-0.69855415888870076</c:v>
                </c:pt>
                <c:pt idx="47">
                  <c:v>-0.22318745142456337</c:v>
                </c:pt>
                <c:pt idx="48">
                  <c:v>0.16119260439984676</c:v>
                </c:pt>
                <c:pt idx="49">
                  <c:v>0.18125510522067698</c:v>
                </c:pt>
                <c:pt idx="50">
                  <c:v>0.13632565083176934</c:v>
                </c:pt>
                <c:pt idx="51">
                  <c:v>5.1062629410623117E-2</c:v>
                </c:pt>
                <c:pt idx="52">
                  <c:v>0.15000754045369741</c:v>
                </c:pt>
                <c:pt idx="53">
                  <c:v>-3.951285045910706E-2</c:v>
                </c:pt>
                <c:pt idx="54">
                  <c:v>0.19997682853064752</c:v>
                </c:pt>
                <c:pt idx="55">
                  <c:v>0.59384363012078478</c:v>
                </c:pt>
                <c:pt idx="56">
                  <c:v>0.88175027478047208</c:v>
                </c:pt>
                <c:pt idx="57">
                  <c:v>0.56884259880162147</c:v>
                </c:pt>
                <c:pt idx="58">
                  <c:v>0.36612150841800856</c:v>
                </c:pt>
                <c:pt idx="59">
                  <c:v>3.7656344054816306E-2</c:v>
                </c:pt>
                <c:pt idx="60">
                  <c:v>-0.14559665687111414</c:v>
                </c:pt>
                <c:pt idx="61">
                  <c:v>-0.1848754789281431</c:v>
                </c:pt>
                <c:pt idx="62">
                  <c:v>4.1824672360799967E-2</c:v>
                </c:pt>
                <c:pt idx="63">
                  <c:v>-3.7713229088975363E-2</c:v>
                </c:pt>
                <c:pt idx="64">
                  <c:v>0.15691105488183493</c:v>
                </c:pt>
                <c:pt idx="65">
                  <c:v>0.21829780834015006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8D-4399-AABA-F1084E95A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4254480"/>
        <c:axId val="-1424251760"/>
      </c:scatterChart>
      <c:valAx>
        <c:axId val="-1424254480"/>
        <c:scaling>
          <c:orientation val="minMax"/>
          <c:max val="2015"/>
          <c:min val="1950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4251760"/>
        <c:crosses val="autoZero"/>
        <c:crossBetween val="midCat"/>
      </c:valAx>
      <c:valAx>
        <c:axId val="-1424251760"/>
        <c:scaling>
          <c:orientation val="minMax"/>
          <c:max val="1.5"/>
          <c:min val="-1.5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425448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Suavizado!$I$3</c:f>
              <c:strCache>
                <c:ptCount val="1"/>
                <c:pt idx="0">
                  <c:v>Densidad</c:v>
                </c:pt>
              </c:strCache>
            </c:strRef>
          </c:tx>
          <c:spPr>
            <a:ln w="25400" cap="rnd">
              <a:solidFill>
                <a:schemeClr val="accent1">
                  <a:alpha val="9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Suavizado!$A$4:$A$69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Suavizado!$I$4:$I$69</c:f>
              <c:numCache>
                <c:formatCode>0.00</c:formatCode>
                <c:ptCount val="66"/>
                <c:pt idx="0">
                  <c:v>-0.74131588230925816</c:v>
                </c:pt>
                <c:pt idx="1">
                  <c:v>-0.78416415865161848</c:v>
                </c:pt>
                <c:pt idx="2">
                  <c:v>-0.66639457402199309</c:v>
                </c:pt>
                <c:pt idx="3">
                  <c:v>-0.29544160886174092</c:v>
                </c:pt>
                <c:pt idx="4">
                  <c:v>-0.18328520256309441</c:v>
                </c:pt>
                <c:pt idx="5">
                  <c:v>-3.5640483716370873E-2</c:v>
                </c:pt>
                <c:pt idx="6">
                  <c:v>-8.9660203125302207E-2</c:v>
                </c:pt>
                <c:pt idx="7">
                  <c:v>-0.20044390380399396</c:v>
                </c:pt>
                <c:pt idx="8">
                  <c:v>-0.64965448428969985</c:v>
                </c:pt>
                <c:pt idx="9">
                  <c:v>-0.71242407572973154</c:v>
                </c:pt>
                <c:pt idx="10">
                  <c:v>-0.9202332920046995</c:v>
                </c:pt>
                <c:pt idx="11">
                  <c:v>-1.0535858624236916</c:v>
                </c:pt>
                <c:pt idx="12">
                  <c:v>-1.2601696831134206</c:v>
                </c:pt>
                <c:pt idx="13">
                  <c:v>-1.3017868246107411</c:v>
                </c:pt>
                <c:pt idx="14">
                  <c:v>-1.3777032859323251</c:v>
                </c:pt>
                <c:pt idx="15">
                  <c:v>-1.3223806205734454</c:v>
                </c:pt>
                <c:pt idx="16">
                  <c:v>-1.1085901657488562</c:v>
                </c:pt>
                <c:pt idx="17">
                  <c:v>-0.86183767200438288</c:v>
                </c:pt>
                <c:pt idx="18">
                  <c:v>-0.55208478274900674</c:v>
                </c:pt>
                <c:pt idx="19">
                  <c:v>-0.38338089104442707</c:v>
                </c:pt>
                <c:pt idx="20">
                  <c:v>-0.10927278856222186</c:v>
                </c:pt>
                <c:pt idx="21">
                  <c:v>5.4306286896513276E-2</c:v>
                </c:pt>
                <c:pt idx="22">
                  <c:v>7.5726434868730819E-2</c:v>
                </c:pt>
                <c:pt idx="23">
                  <c:v>-0.13610919830507942</c:v>
                </c:pt>
                <c:pt idx="24">
                  <c:v>-0.41803066303783842</c:v>
                </c:pt>
                <c:pt idx="25">
                  <c:v>-0.65633084400797737</c:v>
                </c:pt>
                <c:pt idx="26">
                  <c:v>-0.94645216512132913</c:v>
                </c:pt>
                <c:pt idx="27">
                  <c:v>-0.93016267320185586</c:v>
                </c:pt>
                <c:pt idx="28">
                  <c:v>-0.56396706250373163</c:v>
                </c:pt>
                <c:pt idx="29">
                  <c:v>-0.21492776645708359</c:v>
                </c:pt>
                <c:pt idx="30">
                  <c:v>-0.17646709525514215</c:v>
                </c:pt>
                <c:pt idx="31">
                  <c:v>3.2042594496357255E-2</c:v>
                </c:pt>
                <c:pt idx="32">
                  <c:v>-1.7415882836913598E-2</c:v>
                </c:pt>
                <c:pt idx="33">
                  <c:v>-0.12796204578923182</c:v>
                </c:pt>
                <c:pt idx="34">
                  <c:v>-1.5189967186665187E-2</c:v>
                </c:pt>
                <c:pt idx="35">
                  <c:v>0.5667830360611914</c:v>
                </c:pt>
                <c:pt idx="36">
                  <c:v>0.84758633589386767</c:v>
                </c:pt>
                <c:pt idx="37">
                  <c:v>1.2195101914656461</c:v>
                </c:pt>
                <c:pt idx="38">
                  <c:v>1.1861415384243643</c:v>
                </c:pt>
                <c:pt idx="39">
                  <c:v>1.1266148483078531</c:v>
                </c:pt>
                <c:pt idx="40">
                  <c:v>1.0772866205773979</c:v>
                </c:pt>
                <c:pt idx="41">
                  <c:v>1.2419849270900931</c:v>
                </c:pt>
                <c:pt idx="42">
                  <c:v>0.94143541833653066</c:v>
                </c:pt>
                <c:pt idx="43">
                  <c:v>0.96160365668219272</c:v>
                </c:pt>
                <c:pt idx="44">
                  <c:v>1.0700098250519807</c:v>
                </c:pt>
                <c:pt idx="45">
                  <c:v>0.75625644120700974</c:v>
                </c:pt>
                <c:pt idx="46">
                  <c:v>0.37849228851027328</c:v>
                </c:pt>
                <c:pt idx="47">
                  <c:v>0.31380976869929139</c:v>
                </c:pt>
                <c:pt idx="48">
                  <c:v>2.5137827100423317E-2</c:v>
                </c:pt>
                <c:pt idx="49">
                  <c:v>-0.65600733846782611</c:v>
                </c:pt>
                <c:pt idx="50">
                  <c:v>-0.9706941328701616</c:v>
                </c:pt>
                <c:pt idx="51">
                  <c:v>-0.80046097601728206</c:v>
                </c:pt>
                <c:pt idx="52">
                  <c:v>-0.52401386294569396</c:v>
                </c:pt>
                <c:pt idx="53">
                  <c:v>-0.22375004379914451</c:v>
                </c:pt>
                <c:pt idx="54">
                  <c:v>0.33517497651169953</c:v>
                </c:pt>
                <c:pt idx="55">
                  <c:v>0.76644283320659401</c:v>
                </c:pt>
                <c:pt idx="56">
                  <c:v>0.71896771222012845</c:v>
                </c:pt>
                <c:pt idx="57">
                  <c:v>0.83381625015512273</c:v>
                </c:pt>
                <c:pt idx="58">
                  <c:v>0.94895112441928053</c:v>
                </c:pt>
                <c:pt idx="59">
                  <c:v>0.95283664201838847</c:v>
                </c:pt>
                <c:pt idx="60">
                  <c:v>1.0087817115877227</c:v>
                </c:pt>
                <c:pt idx="61">
                  <c:v>1.1000331335280402</c:v>
                </c:pt>
                <c:pt idx="62">
                  <c:v>1.0576958324892378</c:v>
                </c:pt>
                <c:pt idx="63">
                  <c:v>0.87222816991736285</c:v>
                </c:pt>
                <c:pt idx="64">
                  <c:v>0.88922940926619998</c:v>
                </c:pt>
                <c:pt idx="65">
                  <c:v>0.7670969062260915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CB-4542-9C37-FFD45B2A9FBD}"/>
            </c:ext>
          </c:extLst>
        </c:ser>
        <c:ser>
          <c:idx val="1"/>
          <c:order val="1"/>
          <c:tx>
            <c:strRef>
              <c:f>Suavizado!$M$3</c:f>
              <c:strCache>
                <c:ptCount val="1"/>
                <c:pt idx="0">
                  <c:v>Nivel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Suavizado!$A$4:$A$69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Suavizado!$M$4:$M$69</c:f>
              <c:numCache>
                <c:formatCode>0.00</c:formatCode>
                <c:ptCount val="66"/>
                <c:pt idx="0">
                  <c:v>1.1776607642434209</c:v>
                </c:pt>
                <c:pt idx="1">
                  <c:v>0.84740535553271013</c:v>
                </c:pt>
                <c:pt idx="2">
                  <c:v>0.28221825835278913</c:v>
                </c:pt>
                <c:pt idx="3">
                  <c:v>-0.26720664886593892</c:v>
                </c:pt>
                <c:pt idx="4">
                  <c:v>-0.52840865393713743</c:v>
                </c:pt>
                <c:pt idx="5">
                  <c:v>-1.0575678883486173</c:v>
                </c:pt>
                <c:pt idx="6">
                  <c:v>-1.2782385478053198</c:v>
                </c:pt>
                <c:pt idx="7">
                  <c:v>-1.0755818197328382</c:v>
                </c:pt>
                <c:pt idx="8">
                  <c:v>-0.97650519711962469</c:v>
                </c:pt>
                <c:pt idx="9">
                  <c:v>-0.90670121300576978</c:v>
                </c:pt>
                <c:pt idx="10">
                  <c:v>-0.45860466982328268</c:v>
                </c:pt>
                <c:pt idx="11">
                  <c:v>-6.6801662216484842E-2</c:v>
                </c:pt>
                <c:pt idx="12">
                  <c:v>0.31599437969820265</c:v>
                </c:pt>
                <c:pt idx="13">
                  <c:v>0.15837248008627253</c:v>
                </c:pt>
                <c:pt idx="14">
                  <c:v>-0.26495490744291134</c:v>
                </c:pt>
                <c:pt idx="15">
                  <c:v>-0.32350018444162837</c:v>
                </c:pt>
                <c:pt idx="16">
                  <c:v>-0.2176683375593324</c:v>
                </c:pt>
                <c:pt idx="17">
                  <c:v>-0.66576488074181961</c:v>
                </c:pt>
                <c:pt idx="18">
                  <c:v>-0.46761163551539298</c:v>
                </c:pt>
                <c:pt idx="19">
                  <c:v>-0.10057778356189846</c:v>
                </c:pt>
                <c:pt idx="20">
                  <c:v>-3.3025540871071235E-2</c:v>
                </c:pt>
                <c:pt idx="21">
                  <c:v>7.7309788857279876E-2</c:v>
                </c:pt>
                <c:pt idx="22">
                  <c:v>0.59295857473059432</c:v>
                </c:pt>
                <c:pt idx="23">
                  <c:v>0.7821048542649105</c:v>
                </c:pt>
                <c:pt idx="24">
                  <c:v>0.77534962999582768</c:v>
                </c:pt>
                <c:pt idx="25">
                  <c:v>0.66501430026747665</c:v>
                </c:pt>
                <c:pt idx="26">
                  <c:v>0.46235757219499496</c:v>
                </c:pt>
                <c:pt idx="27">
                  <c:v>0.30923915542911995</c:v>
                </c:pt>
                <c:pt idx="28">
                  <c:v>0.32049786254425783</c:v>
                </c:pt>
                <c:pt idx="29">
                  <c:v>0.25294561985343061</c:v>
                </c:pt>
                <c:pt idx="30">
                  <c:v>0.46010583077196737</c:v>
                </c:pt>
                <c:pt idx="31">
                  <c:v>0.21466601566196189</c:v>
                </c:pt>
                <c:pt idx="32">
                  <c:v>7.5058047434251041E-3</c:v>
                </c:pt>
                <c:pt idx="33">
                  <c:v>5.0288891780948995E-2</c:v>
                </c:pt>
                <c:pt idx="34">
                  <c:v>0.23718342989223765</c:v>
                </c:pt>
                <c:pt idx="35">
                  <c:v>0.15612073866324497</c:v>
                </c:pt>
                <c:pt idx="36">
                  <c:v>0.5344132977318774</c:v>
                </c:pt>
                <c:pt idx="37">
                  <c:v>0.70554564588197299</c:v>
                </c:pt>
                <c:pt idx="38">
                  <c:v>0.4173227437344435</c:v>
                </c:pt>
                <c:pt idx="39">
                  <c:v>0.20115556712379642</c:v>
                </c:pt>
                <c:pt idx="40">
                  <c:v>0.23943517131526521</c:v>
                </c:pt>
                <c:pt idx="41">
                  <c:v>-2.85220580250161E-2</c:v>
                </c:pt>
                <c:pt idx="42">
                  <c:v>-0.47211511836144815</c:v>
                </c:pt>
                <c:pt idx="43">
                  <c:v>-0.4754927304959895</c:v>
                </c:pt>
                <c:pt idx="44">
                  <c:v>-0.36478211053046711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CB-4542-9C37-FFD45B2A9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4248496"/>
        <c:axId val="-1424246320"/>
      </c:scatterChart>
      <c:valAx>
        <c:axId val="-1424248496"/>
        <c:scaling>
          <c:orientation val="minMax"/>
          <c:max val="2015"/>
          <c:min val="1950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4246320"/>
        <c:crosses val="autoZero"/>
        <c:crossBetween val="midCat"/>
      </c:valAx>
      <c:valAx>
        <c:axId val="-1424246320"/>
        <c:scaling>
          <c:orientation val="minMax"/>
          <c:min val="-1.5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424849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Suavizado!$J$3</c:f>
              <c:strCache>
                <c:ptCount val="1"/>
                <c:pt idx="0">
                  <c:v>Extension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Suavizado!$A$4:$A$69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Suavizado!$J$4:$J$69</c:f>
              <c:numCache>
                <c:formatCode>0.00</c:formatCode>
                <c:ptCount val="66"/>
                <c:pt idx="0">
                  <c:v>1.4714766424423891</c:v>
                </c:pt>
                <c:pt idx="1">
                  <c:v>1.0867959541986263</c:v>
                </c:pt>
                <c:pt idx="2">
                  <c:v>0.90836026859060071</c:v>
                </c:pt>
                <c:pt idx="3">
                  <c:v>0.34262163327347384</c:v>
                </c:pt>
                <c:pt idx="4">
                  <c:v>0.31952751064477986</c:v>
                </c:pt>
                <c:pt idx="5">
                  <c:v>-0.29823160793314557</c:v>
                </c:pt>
                <c:pt idx="6">
                  <c:v>-0.28226320975614433</c:v>
                </c:pt>
                <c:pt idx="7">
                  <c:v>-0.31175162104732135</c:v>
                </c:pt>
                <c:pt idx="8">
                  <c:v>4.8619092970779085E-2</c:v>
                </c:pt>
                <c:pt idx="9">
                  <c:v>0.21061864646291548</c:v>
                </c:pt>
                <c:pt idx="10">
                  <c:v>0.33096678142177083</c:v>
                </c:pt>
                <c:pt idx="11">
                  <c:v>0.4445241125271478</c:v>
                </c:pt>
                <c:pt idx="12">
                  <c:v>0.82367347801761248</c:v>
                </c:pt>
                <c:pt idx="13">
                  <c:v>0.9648232618553001</c:v>
                </c:pt>
                <c:pt idx="14">
                  <c:v>0.98575579924378154</c:v>
                </c:pt>
                <c:pt idx="15">
                  <c:v>1.0749428447513647</c:v>
                </c:pt>
                <c:pt idx="16">
                  <c:v>1.1768299253568135</c:v>
                </c:pt>
                <c:pt idx="17">
                  <c:v>0.74465916447290859</c:v>
                </c:pt>
                <c:pt idx="18">
                  <c:v>0.51530014928786705</c:v>
                </c:pt>
                <c:pt idx="19">
                  <c:v>0.54904436197368578</c:v>
                </c:pt>
                <c:pt idx="20">
                  <c:v>0.5620504452045425</c:v>
                </c:pt>
                <c:pt idx="21">
                  <c:v>0.14753615930604039</c:v>
                </c:pt>
                <c:pt idx="22">
                  <c:v>0.18015242101171297</c:v>
                </c:pt>
                <c:pt idx="23">
                  <c:v>-0.17736569342837574</c:v>
                </c:pt>
                <c:pt idx="24">
                  <c:v>-0.23477955321904836</c:v>
                </c:pt>
                <c:pt idx="25">
                  <c:v>-0.5646474699962164</c:v>
                </c:pt>
                <c:pt idx="26">
                  <c:v>-0.62344913295540016</c:v>
                </c:pt>
                <c:pt idx="27">
                  <c:v>-0.28648243936085238</c:v>
                </c:pt>
                <c:pt idx="28">
                  <c:v>-0.12564163414529159</c:v>
                </c:pt>
                <c:pt idx="29">
                  <c:v>-0.34204461170623002</c:v>
                </c:pt>
                <c:pt idx="30">
                  <c:v>-0.28626685828615256</c:v>
                </c:pt>
                <c:pt idx="31">
                  <c:v>-0.19495864898983056</c:v>
                </c:pt>
                <c:pt idx="32">
                  <c:v>-0.7902004526361095</c:v>
                </c:pt>
                <c:pt idx="33">
                  <c:v>-0.59329922140239477</c:v>
                </c:pt>
                <c:pt idx="34">
                  <c:v>-0.57411378897363352</c:v>
                </c:pt>
                <c:pt idx="35">
                  <c:v>-0.59449967435130124</c:v>
                </c:pt>
                <c:pt idx="36">
                  <c:v>-0.5431015531217096</c:v>
                </c:pt>
                <c:pt idx="37">
                  <c:v>-0.58994680736869132</c:v>
                </c:pt>
                <c:pt idx="38">
                  <c:v>-0.95952462978601027</c:v>
                </c:pt>
                <c:pt idx="39">
                  <c:v>-0.9347584706075972</c:v>
                </c:pt>
                <c:pt idx="40">
                  <c:v>-1.1420935692133791</c:v>
                </c:pt>
                <c:pt idx="41">
                  <c:v>-1.29738636980676</c:v>
                </c:pt>
                <c:pt idx="42">
                  <c:v>-1.1056808991177065</c:v>
                </c:pt>
                <c:pt idx="43">
                  <c:v>-0.91627752633362236</c:v>
                </c:pt>
                <c:pt idx="44">
                  <c:v>-0.94172379247392279</c:v>
                </c:pt>
                <c:pt idx="45">
                  <c:v>-0.91557688784079594</c:v>
                </c:pt>
                <c:pt idx="46">
                  <c:v>-0.88668902382918058</c:v>
                </c:pt>
                <c:pt idx="47">
                  <c:v>-0.7157563295535887</c:v>
                </c:pt>
                <c:pt idx="48">
                  <c:v>-0.6707383815589304</c:v>
                </c:pt>
                <c:pt idx="49">
                  <c:v>-0.19371135848644333</c:v>
                </c:pt>
                <c:pt idx="50">
                  <c:v>0.41382690735282557</c:v>
                </c:pt>
                <c:pt idx="51">
                  <c:v>0.33912036564047204</c:v>
                </c:pt>
                <c:pt idx="52">
                  <c:v>0.45925291952462188</c:v>
                </c:pt>
                <c:pt idx="53">
                  <c:v>0.51696705295508372</c:v>
                </c:pt>
                <c:pt idx="54">
                  <c:v>0.38339917852182526</c:v>
                </c:pt>
                <c:pt idx="55">
                  <c:v>-3.6206285435882626E-2</c:v>
                </c:pt>
                <c:pt idx="56">
                  <c:v>0.3595620711178002</c:v>
                </c:pt>
                <c:pt idx="57">
                  <c:v>4.8878945159142838E-2</c:v>
                </c:pt>
                <c:pt idx="58">
                  <c:v>0.15977231012701981</c:v>
                </c:pt>
                <c:pt idx="59">
                  <c:v>-1.5772279282591721E-2</c:v>
                </c:pt>
                <c:pt idx="60">
                  <c:v>0.12737355432724951</c:v>
                </c:pt>
                <c:pt idx="61">
                  <c:v>0.11580916953368688</c:v>
                </c:pt>
                <c:pt idx="62">
                  <c:v>0.31486749473530934</c:v>
                </c:pt>
                <c:pt idx="63">
                  <c:v>0.49627896910679292</c:v>
                </c:pt>
                <c:pt idx="64">
                  <c:v>0.61165141586802285</c:v>
                </c:pt>
                <c:pt idx="65">
                  <c:v>0.74245972422288986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B9-45C8-9537-5950DFD97F58}"/>
            </c:ext>
          </c:extLst>
        </c:ser>
        <c:ser>
          <c:idx val="1"/>
          <c:order val="1"/>
          <c:tx>
            <c:strRef>
              <c:f>Suavizado!$M$3</c:f>
              <c:strCache>
                <c:ptCount val="1"/>
                <c:pt idx="0">
                  <c:v>Nivel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Suavizado!$A$4:$A$69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Suavizado!$M$4:$M$69</c:f>
              <c:numCache>
                <c:formatCode>0.00</c:formatCode>
                <c:ptCount val="66"/>
                <c:pt idx="0">
                  <c:v>1.1776607642434209</c:v>
                </c:pt>
                <c:pt idx="1">
                  <c:v>0.84740535553271013</c:v>
                </c:pt>
                <c:pt idx="2">
                  <c:v>0.28221825835278913</c:v>
                </c:pt>
                <c:pt idx="3">
                  <c:v>-0.26720664886593892</c:v>
                </c:pt>
                <c:pt idx="4">
                  <c:v>-0.52840865393713743</c:v>
                </c:pt>
                <c:pt idx="5">
                  <c:v>-1.0575678883486173</c:v>
                </c:pt>
                <c:pt idx="6">
                  <c:v>-1.2782385478053198</c:v>
                </c:pt>
                <c:pt idx="7">
                  <c:v>-1.0755818197328382</c:v>
                </c:pt>
                <c:pt idx="8">
                  <c:v>-0.97650519711962469</c:v>
                </c:pt>
                <c:pt idx="9">
                  <c:v>-0.90670121300576978</c:v>
                </c:pt>
                <c:pt idx="10">
                  <c:v>-0.45860466982328268</c:v>
                </c:pt>
                <c:pt idx="11">
                  <c:v>-6.6801662216484842E-2</c:v>
                </c:pt>
                <c:pt idx="12">
                  <c:v>0.31599437969820265</c:v>
                </c:pt>
                <c:pt idx="13">
                  <c:v>0.15837248008627253</c:v>
                </c:pt>
                <c:pt idx="14">
                  <c:v>-0.26495490744291134</c:v>
                </c:pt>
                <c:pt idx="15">
                  <c:v>-0.32350018444162837</c:v>
                </c:pt>
                <c:pt idx="16">
                  <c:v>-0.2176683375593324</c:v>
                </c:pt>
                <c:pt idx="17">
                  <c:v>-0.66576488074181961</c:v>
                </c:pt>
                <c:pt idx="18">
                  <c:v>-0.46761163551539298</c:v>
                </c:pt>
                <c:pt idx="19">
                  <c:v>-0.10057778356189846</c:v>
                </c:pt>
                <c:pt idx="20">
                  <c:v>-3.3025540871071235E-2</c:v>
                </c:pt>
                <c:pt idx="21">
                  <c:v>7.7309788857279876E-2</c:v>
                </c:pt>
                <c:pt idx="22">
                  <c:v>0.59295857473059432</c:v>
                </c:pt>
                <c:pt idx="23">
                  <c:v>0.7821048542649105</c:v>
                </c:pt>
                <c:pt idx="24">
                  <c:v>0.77534962999582768</c:v>
                </c:pt>
                <c:pt idx="25">
                  <c:v>0.66501430026747665</c:v>
                </c:pt>
                <c:pt idx="26">
                  <c:v>0.46235757219499496</c:v>
                </c:pt>
                <c:pt idx="27">
                  <c:v>0.30923915542911995</c:v>
                </c:pt>
                <c:pt idx="28">
                  <c:v>0.32049786254425783</c:v>
                </c:pt>
                <c:pt idx="29">
                  <c:v>0.25294561985343061</c:v>
                </c:pt>
                <c:pt idx="30">
                  <c:v>0.46010583077196737</c:v>
                </c:pt>
                <c:pt idx="31">
                  <c:v>0.21466601566196189</c:v>
                </c:pt>
                <c:pt idx="32">
                  <c:v>7.5058047434251041E-3</c:v>
                </c:pt>
                <c:pt idx="33">
                  <c:v>5.0288891780948995E-2</c:v>
                </c:pt>
                <c:pt idx="34">
                  <c:v>0.23718342989223765</c:v>
                </c:pt>
                <c:pt idx="35">
                  <c:v>0.15612073866324497</c:v>
                </c:pt>
                <c:pt idx="36">
                  <c:v>0.5344132977318774</c:v>
                </c:pt>
                <c:pt idx="37">
                  <c:v>0.70554564588197299</c:v>
                </c:pt>
                <c:pt idx="38">
                  <c:v>0.4173227437344435</c:v>
                </c:pt>
                <c:pt idx="39">
                  <c:v>0.20115556712379642</c:v>
                </c:pt>
                <c:pt idx="40">
                  <c:v>0.23943517131526521</c:v>
                </c:pt>
                <c:pt idx="41">
                  <c:v>-2.85220580250161E-2</c:v>
                </c:pt>
                <c:pt idx="42">
                  <c:v>-0.47211511836144815</c:v>
                </c:pt>
                <c:pt idx="43">
                  <c:v>-0.4754927304959895</c:v>
                </c:pt>
                <c:pt idx="44">
                  <c:v>-0.36478211053046711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B9-45C8-9537-5950DFD97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4231632"/>
        <c:axId val="-1424238704"/>
      </c:scatterChart>
      <c:valAx>
        <c:axId val="-1424231632"/>
        <c:scaling>
          <c:orientation val="minMax"/>
          <c:max val="2015"/>
          <c:min val="1950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4238704"/>
        <c:crosses val="autoZero"/>
        <c:crossBetween val="midCat"/>
      </c:valAx>
      <c:valAx>
        <c:axId val="-1424238704"/>
        <c:scaling>
          <c:orientation val="minMax"/>
          <c:max val="1.5"/>
          <c:min val="-1.5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423163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Suavizado!$K$3</c:f>
              <c:strCache>
                <c:ptCount val="1"/>
                <c:pt idx="0">
                  <c:v>Calcificacion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Suavizado!$A$4:$A$69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Suavizado!$K$4:$K$69</c:f>
              <c:numCache>
                <c:formatCode>0.00</c:formatCode>
                <c:ptCount val="66"/>
                <c:pt idx="0">
                  <c:v>0.67414610454397239</c:v>
                </c:pt>
                <c:pt idx="1">
                  <c:v>0.207402136895738</c:v>
                </c:pt>
                <c:pt idx="2">
                  <c:v>0.1314838872783719</c:v>
                </c:pt>
                <c:pt idx="3">
                  <c:v>-0.21002883613977175</c:v>
                </c:pt>
                <c:pt idx="4">
                  <c:v>-7.5814762017899912E-2</c:v>
                </c:pt>
                <c:pt idx="5">
                  <c:v>-0.55251169657654653</c:v>
                </c:pt>
                <c:pt idx="6">
                  <c:v>-0.49219698734399342</c:v>
                </c:pt>
                <c:pt idx="7">
                  <c:v>-0.55868806510922864</c:v>
                </c:pt>
                <c:pt idx="8">
                  <c:v>-0.49897603099378485</c:v>
                </c:pt>
                <c:pt idx="9">
                  <c:v>-0.40916888733507661</c:v>
                </c:pt>
                <c:pt idx="10">
                  <c:v>-0.47025253596998084</c:v>
                </c:pt>
                <c:pt idx="11">
                  <c:v>-0.4990376963962847</c:v>
                </c:pt>
                <c:pt idx="12">
                  <c:v>-0.33776016529258801</c:v>
                </c:pt>
                <c:pt idx="13">
                  <c:v>-0.18939632823282224</c:v>
                </c:pt>
                <c:pt idx="14">
                  <c:v>-0.20527415274498942</c:v>
                </c:pt>
                <c:pt idx="15">
                  <c:v>-6.5288611199916621E-2</c:v>
                </c:pt>
                <c:pt idx="16">
                  <c:v>0.15117312934530505</c:v>
                </c:pt>
                <c:pt idx="17">
                  <c:v>-9.7910449089996132E-2</c:v>
                </c:pt>
                <c:pt idx="18">
                  <c:v>-8.5951543090023147E-2</c:v>
                </c:pt>
                <c:pt idx="19">
                  <c:v>7.1375427197406166E-2</c:v>
                </c:pt>
                <c:pt idx="20">
                  <c:v>0.31059611290701394</c:v>
                </c:pt>
                <c:pt idx="21">
                  <c:v>0.11286209557021201</c:v>
                </c:pt>
                <c:pt idx="22">
                  <c:v>0.25654898012356492</c:v>
                </c:pt>
                <c:pt idx="23">
                  <c:v>-0.24958110041300388</c:v>
                </c:pt>
                <c:pt idx="24">
                  <c:v>-0.55888861636170906</c:v>
                </c:pt>
                <c:pt idx="25">
                  <c:v>-1.0220251313490338</c:v>
                </c:pt>
                <c:pt idx="26">
                  <c:v>-1.2967342385137994</c:v>
                </c:pt>
                <c:pt idx="27">
                  <c:v>-0.95734260296476315</c:v>
                </c:pt>
                <c:pt idx="28">
                  <c:v>-0.53015465257725325</c:v>
                </c:pt>
                <c:pt idx="29">
                  <c:v>-0.37282291945228607</c:v>
                </c:pt>
                <c:pt idx="30">
                  <c:v>-0.29631883712424972</c:v>
                </c:pt>
                <c:pt idx="31">
                  <c:v>-2.1852623923197976E-3</c:v>
                </c:pt>
                <c:pt idx="32">
                  <c:v>-0.63697758921954439</c:v>
                </c:pt>
                <c:pt idx="33">
                  <c:v>-0.42937854685529508</c:v>
                </c:pt>
                <c:pt idx="34">
                  <c:v>-0.39370974917792695</c:v>
                </c:pt>
                <c:pt idx="35">
                  <c:v>9.0305534779798972E-3</c:v>
                </c:pt>
                <c:pt idx="36">
                  <c:v>0.23579548065642669</c:v>
                </c:pt>
                <c:pt idx="37">
                  <c:v>0.46541099763039251</c:v>
                </c:pt>
                <c:pt idx="38">
                  <c:v>-2.7390965830093726E-2</c:v>
                </c:pt>
                <c:pt idx="39">
                  <c:v>3.2740219095564869E-2</c:v>
                </c:pt>
                <c:pt idx="40">
                  <c:v>-0.18585246540063957</c:v>
                </c:pt>
                <c:pt idx="41">
                  <c:v>-0.20907953981328192</c:v>
                </c:pt>
                <c:pt idx="42">
                  <c:v>-0.24701814861785035</c:v>
                </c:pt>
                <c:pt idx="43">
                  <c:v>-2.9269975562948542E-2</c:v>
                </c:pt>
                <c:pt idx="44">
                  <c:v>2.2109188359550223E-3</c:v>
                </c:pt>
                <c:pt idx="45">
                  <c:v>-0.27860044526469874</c:v>
                </c:pt>
                <c:pt idx="46">
                  <c:v>-0.54703795838844349</c:v>
                </c:pt>
                <c:pt idx="47">
                  <c:v>-0.53265242649091782</c:v>
                </c:pt>
                <c:pt idx="48">
                  <c:v>-0.7333730970975475</c:v>
                </c:pt>
                <c:pt idx="49">
                  <c:v>-0.9070152395215253</c:v>
                </c:pt>
                <c:pt idx="50">
                  <c:v>-0.53508256455079051</c:v>
                </c:pt>
                <c:pt idx="51">
                  <c:v>-0.47745649995321093</c:v>
                </c:pt>
                <c:pt idx="52">
                  <c:v>-3.7056337446933617E-2</c:v>
                </c:pt>
                <c:pt idx="53">
                  <c:v>0.34103987104418437</c:v>
                </c:pt>
                <c:pt idx="54">
                  <c:v>0.79409426564039065</c:v>
                </c:pt>
                <c:pt idx="55">
                  <c:v>0.75277799713477189</c:v>
                </c:pt>
                <c:pt idx="56">
                  <c:v>1.1521368606284956</c:v>
                </c:pt>
                <c:pt idx="57">
                  <c:v>0.92912737688879987</c:v>
                </c:pt>
                <c:pt idx="58">
                  <c:v>1.0754836578498774</c:v>
                </c:pt>
                <c:pt idx="59">
                  <c:v>0.87365744293140379</c:v>
                </c:pt>
                <c:pt idx="60">
                  <c:v>1.0410307819221849</c:v>
                </c:pt>
                <c:pt idx="61">
                  <c:v>1.0798736612638773</c:v>
                </c:pt>
                <c:pt idx="62">
                  <c:v>1.2966658763095089</c:v>
                </c:pt>
                <c:pt idx="63">
                  <c:v>1.3068498794708785</c:v>
                </c:pt>
                <c:pt idx="64">
                  <c:v>1.4153356127132635</c:v>
                </c:pt>
                <c:pt idx="65">
                  <c:v>1.4800152987792305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B7-41A2-92CF-46406FD54D95}"/>
            </c:ext>
          </c:extLst>
        </c:ser>
        <c:ser>
          <c:idx val="1"/>
          <c:order val="1"/>
          <c:tx>
            <c:strRef>
              <c:f>Suavizado!$M$3</c:f>
              <c:strCache>
                <c:ptCount val="1"/>
                <c:pt idx="0">
                  <c:v>Nivel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Suavizado!$A$4:$A$69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Suavizado!$M$4:$M$69</c:f>
              <c:numCache>
                <c:formatCode>0.00</c:formatCode>
                <c:ptCount val="66"/>
                <c:pt idx="0">
                  <c:v>1.1776607642434209</c:v>
                </c:pt>
                <c:pt idx="1">
                  <c:v>0.84740535553271013</c:v>
                </c:pt>
                <c:pt idx="2">
                  <c:v>0.28221825835278913</c:v>
                </c:pt>
                <c:pt idx="3">
                  <c:v>-0.26720664886593892</c:v>
                </c:pt>
                <c:pt idx="4">
                  <c:v>-0.52840865393713743</c:v>
                </c:pt>
                <c:pt idx="5">
                  <c:v>-1.0575678883486173</c:v>
                </c:pt>
                <c:pt idx="6">
                  <c:v>-1.2782385478053198</c:v>
                </c:pt>
                <c:pt idx="7">
                  <c:v>-1.0755818197328382</c:v>
                </c:pt>
                <c:pt idx="8">
                  <c:v>-0.97650519711962469</c:v>
                </c:pt>
                <c:pt idx="9">
                  <c:v>-0.90670121300576978</c:v>
                </c:pt>
                <c:pt idx="10">
                  <c:v>-0.45860466982328268</c:v>
                </c:pt>
                <c:pt idx="11">
                  <c:v>-6.6801662216484842E-2</c:v>
                </c:pt>
                <c:pt idx="12">
                  <c:v>0.31599437969820265</c:v>
                </c:pt>
                <c:pt idx="13">
                  <c:v>0.15837248008627253</c:v>
                </c:pt>
                <c:pt idx="14">
                  <c:v>-0.26495490744291134</c:v>
                </c:pt>
                <c:pt idx="15">
                  <c:v>-0.32350018444162837</c:v>
                </c:pt>
                <c:pt idx="16">
                  <c:v>-0.2176683375593324</c:v>
                </c:pt>
                <c:pt idx="17">
                  <c:v>-0.66576488074181961</c:v>
                </c:pt>
                <c:pt idx="18">
                  <c:v>-0.46761163551539298</c:v>
                </c:pt>
                <c:pt idx="19">
                  <c:v>-0.10057778356189846</c:v>
                </c:pt>
                <c:pt idx="20">
                  <c:v>-3.3025540871071235E-2</c:v>
                </c:pt>
                <c:pt idx="21">
                  <c:v>7.7309788857279876E-2</c:v>
                </c:pt>
                <c:pt idx="22">
                  <c:v>0.59295857473059432</c:v>
                </c:pt>
                <c:pt idx="23">
                  <c:v>0.7821048542649105</c:v>
                </c:pt>
                <c:pt idx="24">
                  <c:v>0.77534962999582768</c:v>
                </c:pt>
                <c:pt idx="25">
                  <c:v>0.66501430026747665</c:v>
                </c:pt>
                <c:pt idx="26">
                  <c:v>0.46235757219499496</c:v>
                </c:pt>
                <c:pt idx="27">
                  <c:v>0.30923915542911995</c:v>
                </c:pt>
                <c:pt idx="28">
                  <c:v>0.32049786254425783</c:v>
                </c:pt>
                <c:pt idx="29">
                  <c:v>0.25294561985343061</c:v>
                </c:pt>
                <c:pt idx="30">
                  <c:v>0.46010583077196737</c:v>
                </c:pt>
                <c:pt idx="31">
                  <c:v>0.21466601566196189</c:v>
                </c:pt>
                <c:pt idx="32">
                  <c:v>7.5058047434251041E-3</c:v>
                </c:pt>
                <c:pt idx="33">
                  <c:v>5.0288891780948995E-2</c:v>
                </c:pt>
                <c:pt idx="34">
                  <c:v>0.23718342989223765</c:v>
                </c:pt>
                <c:pt idx="35">
                  <c:v>0.15612073866324497</c:v>
                </c:pt>
                <c:pt idx="36">
                  <c:v>0.5344132977318774</c:v>
                </c:pt>
                <c:pt idx="37">
                  <c:v>0.70554564588197299</c:v>
                </c:pt>
                <c:pt idx="38">
                  <c:v>0.4173227437344435</c:v>
                </c:pt>
                <c:pt idx="39">
                  <c:v>0.20115556712379642</c:v>
                </c:pt>
                <c:pt idx="40">
                  <c:v>0.23943517131526521</c:v>
                </c:pt>
                <c:pt idx="41">
                  <c:v>-2.85220580250161E-2</c:v>
                </c:pt>
                <c:pt idx="42">
                  <c:v>-0.47211511836144815</c:v>
                </c:pt>
                <c:pt idx="43">
                  <c:v>-0.4754927304959895</c:v>
                </c:pt>
                <c:pt idx="44">
                  <c:v>-0.36478211053046711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B7-41A2-92CF-46406FD54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3563808"/>
        <c:axId val="-1423581760"/>
      </c:scatterChart>
      <c:valAx>
        <c:axId val="-1423563808"/>
        <c:scaling>
          <c:orientation val="minMax"/>
          <c:max val="2015"/>
          <c:min val="1950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3581760"/>
        <c:crosses val="autoZero"/>
        <c:crossBetween val="midCat"/>
      </c:valAx>
      <c:valAx>
        <c:axId val="-1423581760"/>
        <c:scaling>
          <c:orientation val="minMax"/>
          <c:max val="1.5"/>
          <c:min val="-1.5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356380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Suavizado!$I$3</c:f>
              <c:strCache>
                <c:ptCount val="1"/>
                <c:pt idx="0">
                  <c:v>Densidad</c:v>
                </c:pt>
              </c:strCache>
            </c:strRef>
          </c:tx>
          <c:spPr>
            <a:ln w="25400" cap="rnd">
              <a:solidFill>
                <a:schemeClr val="accent1">
                  <a:alpha val="9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Suavizado!$A$4:$A$69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Suavizado!$I$4:$I$69</c:f>
              <c:numCache>
                <c:formatCode>0.00</c:formatCode>
                <c:ptCount val="66"/>
                <c:pt idx="0">
                  <c:v>-0.74131588230925816</c:v>
                </c:pt>
                <c:pt idx="1">
                  <c:v>-0.78416415865161848</c:v>
                </c:pt>
                <c:pt idx="2">
                  <c:v>-0.66639457402199309</c:v>
                </c:pt>
                <c:pt idx="3">
                  <c:v>-0.29544160886174092</c:v>
                </c:pt>
                <c:pt idx="4">
                  <c:v>-0.18328520256309441</c:v>
                </c:pt>
                <c:pt idx="5">
                  <c:v>-3.5640483716370873E-2</c:v>
                </c:pt>
                <c:pt idx="6">
                  <c:v>-8.9660203125302207E-2</c:v>
                </c:pt>
                <c:pt idx="7">
                  <c:v>-0.20044390380399396</c:v>
                </c:pt>
                <c:pt idx="8">
                  <c:v>-0.64965448428969985</c:v>
                </c:pt>
                <c:pt idx="9">
                  <c:v>-0.71242407572973154</c:v>
                </c:pt>
                <c:pt idx="10">
                  <c:v>-0.9202332920046995</c:v>
                </c:pt>
                <c:pt idx="11">
                  <c:v>-1.0535858624236916</c:v>
                </c:pt>
                <c:pt idx="12">
                  <c:v>-1.2601696831134206</c:v>
                </c:pt>
                <c:pt idx="13">
                  <c:v>-1.3017868246107411</c:v>
                </c:pt>
                <c:pt idx="14">
                  <c:v>-1.3777032859323251</c:v>
                </c:pt>
                <c:pt idx="15">
                  <c:v>-1.3223806205734454</c:v>
                </c:pt>
                <c:pt idx="16">
                  <c:v>-1.1085901657488562</c:v>
                </c:pt>
                <c:pt idx="17">
                  <c:v>-0.86183767200438288</c:v>
                </c:pt>
                <c:pt idx="18">
                  <c:v>-0.55208478274900674</c:v>
                </c:pt>
                <c:pt idx="19">
                  <c:v>-0.38338089104442707</c:v>
                </c:pt>
                <c:pt idx="20">
                  <c:v>-0.10927278856222186</c:v>
                </c:pt>
                <c:pt idx="21">
                  <c:v>5.4306286896513276E-2</c:v>
                </c:pt>
                <c:pt idx="22">
                  <c:v>7.5726434868730819E-2</c:v>
                </c:pt>
                <c:pt idx="23">
                  <c:v>-0.13610919830507942</c:v>
                </c:pt>
                <c:pt idx="24">
                  <c:v>-0.41803066303783842</c:v>
                </c:pt>
                <c:pt idx="25">
                  <c:v>-0.65633084400797737</c:v>
                </c:pt>
                <c:pt idx="26">
                  <c:v>-0.94645216512132913</c:v>
                </c:pt>
                <c:pt idx="27">
                  <c:v>-0.93016267320185586</c:v>
                </c:pt>
                <c:pt idx="28">
                  <c:v>-0.56396706250373163</c:v>
                </c:pt>
                <c:pt idx="29">
                  <c:v>-0.21492776645708359</c:v>
                </c:pt>
                <c:pt idx="30">
                  <c:v>-0.17646709525514215</c:v>
                </c:pt>
                <c:pt idx="31">
                  <c:v>3.2042594496357255E-2</c:v>
                </c:pt>
                <c:pt idx="32">
                  <c:v>-1.7415882836913598E-2</c:v>
                </c:pt>
                <c:pt idx="33">
                  <c:v>-0.12796204578923182</c:v>
                </c:pt>
                <c:pt idx="34">
                  <c:v>-1.5189967186665187E-2</c:v>
                </c:pt>
                <c:pt idx="35">
                  <c:v>0.5667830360611914</c:v>
                </c:pt>
                <c:pt idx="36">
                  <c:v>0.84758633589386767</c:v>
                </c:pt>
                <c:pt idx="37">
                  <c:v>1.2195101914656461</c:v>
                </c:pt>
                <c:pt idx="38">
                  <c:v>1.1861415384243643</c:v>
                </c:pt>
                <c:pt idx="39">
                  <c:v>1.1266148483078531</c:v>
                </c:pt>
                <c:pt idx="40">
                  <c:v>1.0772866205773979</c:v>
                </c:pt>
                <c:pt idx="41">
                  <c:v>1.2419849270900931</c:v>
                </c:pt>
                <c:pt idx="42">
                  <c:v>0.94143541833653066</c:v>
                </c:pt>
                <c:pt idx="43">
                  <c:v>0.96160365668219272</c:v>
                </c:pt>
                <c:pt idx="44">
                  <c:v>1.0700098250519807</c:v>
                </c:pt>
                <c:pt idx="45">
                  <c:v>0.75625644120700974</c:v>
                </c:pt>
                <c:pt idx="46">
                  <c:v>0.37849228851027328</c:v>
                </c:pt>
                <c:pt idx="47">
                  <c:v>0.31380976869929139</c:v>
                </c:pt>
                <c:pt idx="48">
                  <c:v>2.5137827100423317E-2</c:v>
                </c:pt>
                <c:pt idx="49">
                  <c:v>-0.65600733846782611</c:v>
                </c:pt>
                <c:pt idx="50">
                  <c:v>-0.9706941328701616</c:v>
                </c:pt>
                <c:pt idx="51">
                  <c:v>-0.80046097601728206</c:v>
                </c:pt>
                <c:pt idx="52">
                  <c:v>-0.52401386294569396</c:v>
                </c:pt>
                <c:pt idx="53">
                  <c:v>-0.22375004379914451</c:v>
                </c:pt>
                <c:pt idx="54">
                  <c:v>0.33517497651169953</c:v>
                </c:pt>
                <c:pt idx="55">
                  <c:v>0.76644283320659401</c:v>
                </c:pt>
                <c:pt idx="56">
                  <c:v>0.71896771222012845</c:v>
                </c:pt>
                <c:pt idx="57">
                  <c:v>0.83381625015512273</c:v>
                </c:pt>
                <c:pt idx="58">
                  <c:v>0.94895112441928053</c:v>
                </c:pt>
                <c:pt idx="59">
                  <c:v>0.95283664201838847</c:v>
                </c:pt>
                <c:pt idx="60">
                  <c:v>1.0087817115877227</c:v>
                </c:pt>
                <c:pt idx="61">
                  <c:v>1.1000331335280402</c:v>
                </c:pt>
                <c:pt idx="62">
                  <c:v>1.0576958324892378</c:v>
                </c:pt>
                <c:pt idx="63">
                  <c:v>0.87222816991736285</c:v>
                </c:pt>
                <c:pt idx="64">
                  <c:v>0.88922940926619998</c:v>
                </c:pt>
                <c:pt idx="65">
                  <c:v>0.7670969062260915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26-45CE-80FC-966A771AAD03}"/>
            </c:ext>
          </c:extLst>
        </c:ser>
        <c:ser>
          <c:idx val="1"/>
          <c:order val="1"/>
          <c:tx>
            <c:strRef>
              <c:f>Suavizado!$N$3</c:f>
              <c:strCache>
                <c:ptCount val="1"/>
                <c:pt idx="0">
                  <c:v>Transporte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Suavizado!$A$4:$A$69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Suavizado!$N$4:$N$69</c:f>
              <c:numCache>
                <c:formatCode>0.00</c:formatCode>
                <c:ptCount val="66"/>
                <c:pt idx="0">
                  <c:v>-0.50047721625785646</c:v>
                </c:pt>
                <c:pt idx="1">
                  <c:v>-0.24563004489114423</c:v>
                </c:pt>
                <c:pt idx="2">
                  <c:v>5.3990539252198738E-2</c:v>
                </c:pt>
                <c:pt idx="3">
                  <c:v>0.71396196511523602</c:v>
                </c:pt>
                <c:pt idx="4">
                  <c:v>0.84663376416622671</c:v>
                </c:pt>
                <c:pt idx="5">
                  <c:v>0.49578471375929334</c:v>
                </c:pt>
                <c:pt idx="6">
                  <c:v>0.42353790575152395</c:v>
                </c:pt>
                <c:pt idx="7">
                  <c:v>0.13814274205203297</c:v>
                </c:pt>
                <c:pt idx="8">
                  <c:v>0.14855618371033513</c:v>
                </c:pt>
                <c:pt idx="9">
                  <c:v>0.15869933111794365</c:v>
                </c:pt>
                <c:pt idx="10">
                  <c:v>0.14013438389924934</c:v>
                </c:pt>
                <c:pt idx="11">
                  <c:v>-5.2891276128990986E-2</c:v>
                </c:pt>
                <c:pt idx="12">
                  <c:v>-5.3111779333504236E-2</c:v>
                </c:pt>
                <c:pt idx="13">
                  <c:v>-0.41317217328381284</c:v>
                </c:pt>
                <c:pt idx="14">
                  <c:v>-0.82500102924854946</c:v>
                </c:pt>
                <c:pt idx="15">
                  <c:v>-0.48943783001900076</c:v>
                </c:pt>
                <c:pt idx="16">
                  <c:v>-0.28473261315815657</c:v>
                </c:pt>
                <c:pt idx="17">
                  <c:v>-0.43445428902263794</c:v>
                </c:pt>
                <c:pt idx="18">
                  <c:v>-0.34361408176978547</c:v>
                </c:pt>
                <c:pt idx="19">
                  <c:v>-0.47262268242321781</c:v>
                </c:pt>
                <c:pt idx="20">
                  <c:v>-0.41800901776990945</c:v>
                </c:pt>
                <c:pt idx="21">
                  <c:v>-0.49474413294051256</c:v>
                </c:pt>
                <c:pt idx="22">
                  <c:v>-0.12378661288329218</c:v>
                </c:pt>
                <c:pt idx="23">
                  <c:v>-9.8814624972169168E-2</c:v>
                </c:pt>
                <c:pt idx="24">
                  <c:v>0.13274930479970554</c:v>
                </c:pt>
                <c:pt idx="25">
                  <c:v>-0.18108543752704387</c:v>
                </c:pt>
                <c:pt idx="26">
                  <c:v>-0.27099384091566303</c:v>
                </c:pt>
                <c:pt idx="27">
                  <c:v>1.606932283087148E-2</c:v>
                </c:pt>
                <c:pt idx="28">
                  <c:v>-1.8272273020414363E-2</c:v>
                </c:pt>
                <c:pt idx="29">
                  <c:v>-0.21105609082434987</c:v>
                </c:pt>
                <c:pt idx="30">
                  <c:v>7.8621102846656091E-2</c:v>
                </c:pt>
                <c:pt idx="31">
                  <c:v>0.11422170086564651</c:v>
                </c:pt>
                <c:pt idx="32">
                  <c:v>-0.54512555866848644</c:v>
                </c:pt>
                <c:pt idx="33">
                  <c:v>-0.30141261362859251</c:v>
                </c:pt>
                <c:pt idx="34">
                  <c:v>0.2541060886061991</c:v>
                </c:pt>
                <c:pt idx="35">
                  <c:v>-0.17454502796091767</c:v>
                </c:pt>
                <c:pt idx="36">
                  <c:v>0.22638670189690724</c:v>
                </c:pt>
                <c:pt idx="37">
                  <c:v>0.46485736107466397</c:v>
                </c:pt>
                <c:pt idx="38">
                  <c:v>0.211541857128549</c:v>
                </c:pt>
                <c:pt idx="39">
                  <c:v>0.18973337890153111</c:v>
                </c:pt>
                <c:pt idx="40">
                  <c:v>0.71251091176940695</c:v>
                </c:pt>
                <c:pt idx="41">
                  <c:v>0.54049351672599955</c:v>
                </c:pt>
                <c:pt idx="42">
                  <c:v>0.82905041185794637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26-45CE-80FC-966A771AA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3561088"/>
        <c:axId val="-1423578496"/>
      </c:scatterChart>
      <c:valAx>
        <c:axId val="-1423561088"/>
        <c:scaling>
          <c:orientation val="minMax"/>
          <c:max val="2015"/>
          <c:min val="1950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3578496"/>
        <c:crosses val="autoZero"/>
        <c:crossBetween val="midCat"/>
      </c:valAx>
      <c:valAx>
        <c:axId val="-1423578496"/>
        <c:scaling>
          <c:orientation val="minMax"/>
          <c:min val="-1.5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35610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Suavizado!$J$3</c:f>
              <c:strCache>
                <c:ptCount val="1"/>
                <c:pt idx="0">
                  <c:v>Extension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Suavizado!$A$4:$A$69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Suavizado!$J$4:$J$69</c:f>
              <c:numCache>
                <c:formatCode>0.00</c:formatCode>
                <c:ptCount val="66"/>
                <c:pt idx="0">
                  <c:v>1.4714766424423891</c:v>
                </c:pt>
                <c:pt idx="1">
                  <c:v>1.0867959541986263</c:v>
                </c:pt>
                <c:pt idx="2">
                  <c:v>0.90836026859060071</c:v>
                </c:pt>
                <c:pt idx="3">
                  <c:v>0.34262163327347384</c:v>
                </c:pt>
                <c:pt idx="4">
                  <c:v>0.31952751064477986</c:v>
                </c:pt>
                <c:pt idx="5">
                  <c:v>-0.29823160793314557</c:v>
                </c:pt>
                <c:pt idx="6">
                  <c:v>-0.28226320975614433</c:v>
                </c:pt>
                <c:pt idx="7">
                  <c:v>-0.31175162104732135</c:v>
                </c:pt>
                <c:pt idx="8">
                  <c:v>4.8619092970779085E-2</c:v>
                </c:pt>
                <c:pt idx="9">
                  <c:v>0.21061864646291548</c:v>
                </c:pt>
                <c:pt idx="10">
                  <c:v>0.33096678142177083</c:v>
                </c:pt>
                <c:pt idx="11">
                  <c:v>0.4445241125271478</c:v>
                </c:pt>
                <c:pt idx="12">
                  <c:v>0.82367347801761248</c:v>
                </c:pt>
                <c:pt idx="13">
                  <c:v>0.9648232618553001</c:v>
                </c:pt>
                <c:pt idx="14">
                  <c:v>0.98575579924378154</c:v>
                </c:pt>
                <c:pt idx="15">
                  <c:v>1.0749428447513647</c:v>
                </c:pt>
                <c:pt idx="16">
                  <c:v>1.1768299253568135</c:v>
                </c:pt>
                <c:pt idx="17">
                  <c:v>0.74465916447290859</c:v>
                </c:pt>
                <c:pt idx="18">
                  <c:v>0.51530014928786705</c:v>
                </c:pt>
                <c:pt idx="19">
                  <c:v>0.54904436197368578</c:v>
                </c:pt>
                <c:pt idx="20">
                  <c:v>0.5620504452045425</c:v>
                </c:pt>
                <c:pt idx="21">
                  <c:v>0.14753615930604039</c:v>
                </c:pt>
                <c:pt idx="22">
                  <c:v>0.18015242101171297</c:v>
                </c:pt>
                <c:pt idx="23">
                  <c:v>-0.17736569342837574</c:v>
                </c:pt>
                <c:pt idx="24">
                  <c:v>-0.23477955321904836</c:v>
                </c:pt>
                <c:pt idx="25">
                  <c:v>-0.5646474699962164</c:v>
                </c:pt>
                <c:pt idx="26">
                  <c:v>-0.62344913295540016</c:v>
                </c:pt>
                <c:pt idx="27">
                  <c:v>-0.28648243936085238</c:v>
                </c:pt>
                <c:pt idx="28">
                  <c:v>-0.12564163414529159</c:v>
                </c:pt>
                <c:pt idx="29">
                  <c:v>-0.34204461170623002</c:v>
                </c:pt>
                <c:pt idx="30">
                  <c:v>-0.28626685828615256</c:v>
                </c:pt>
                <c:pt idx="31">
                  <c:v>-0.19495864898983056</c:v>
                </c:pt>
                <c:pt idx="32">
                  <c:v>-0.7902004526361095</c:v>
                </c:pt>
                <c:pt idx="33">
                  <c:v>-0.59329922140239477</c:v>
                </c:pt>
                <c:pt idx="34">
                  <c:v>-0.57411378897363352</c:v>
                </c:pt>
                <c:pt idx="35">
                  <c:v>-0.59449967435130124</c:v>
                </c:pt>
                <c:pt idx="36">
                  <c:v>-0.5431015531217096</c:v>
                </c:pt>
                <c:pt idx="37">
                  <c:v>-0.58994680736869132</c:v>
                </c:pt>
                <c:pt idx="38">
                  <c:v>-0.95952462978601027</c:v>
                </c:pt>
                <c:pt idx="39">
                  <c:v>-0.9347584706075972</c:v>
                </c:pt>
                <c:pt idx="40">
                  <c:v>-1.1420935692133791</c:v>
                </c:pt>
                <c:pt idx="41">
                  <c:v>-1.29738636980676</c:v>
                </c:pt>
                <c:pt idx="42">
                  <c:v>-1.1056808991177065</c:v>
                </c:pt>
                <c:pt idx="43">
                  <c:v>-0.91627752633362236</c:v>
                </c:pt>
                <c:pt idx="44">
                  <c:v>-0.94172379247392279</c:v>
                </c:pt>
                <c:pt idx="45">
                  <c:v>-0.91557688784079594</c:v>
                </c:pt>
                <c:pt idx="46">
                  <c:v>-0.88668902382918058</c:v>
                </c:pt>
                <c:pt idx="47">
                  <c:v>-0.7157563295535887</c:v>
                </c:pt>
                <c:pt idx="48">
                  <c:v>-0.6707383815589304</c:v>
                </c:pt>
                <c:pt idx="49">
                  <c:v>-0.19371135848644333</c:v>
                </c:pt>
                <c:pt idx="50">
                  <c:v>0.41382690735282557</c:v>
                </c:pt>
                <c:pt idx="51">
                  <c:v>0.33912036564047204</c:v>
                </c:pt>
                <c:pt idx="52">
                  <c:v>0.45925291952462188</c:v>
                </c:pt>
                <c:pt idx="53">
                  <c:v>0.51696705295508372</c:v>
                </c:pt>
                <c:pt idx="54">
                  <c:v>0.38339917852182526</c:v>
                </c:pt>
                <c:pt idx="55">
                  <c:v>-3.6206285435882626E-2</c:v>
                </c:pt>
                <c:pt idx="56">
                  <c:v>0.3595620711178002</c:v>
                </c:pt>
                <c:pt idx="57">
                  <c:v>4.8878945159142838E-2</c:v>
                </c:pt>
                <c:pt idx="58">
                  <c:v>0.15977231012701981</c:v>
                </c:pt>
                <c:pt idx="59">
                  <c:v>-1.5772279282591721E-2</c:v>
                </c:pt>
                <c:pt idx="60">
                  <c:v>0.12737355432724951</c:v>
                </c:pt>
                <c:pt idx="61">
                  <c:v>0.11580916953368688</c:v>
                </c:pt>
                <c:pt idx="62">
                  <c:v>0.31486749473530934</c:v>
                </c:pt>
                <c:pt idx="63">
                  <c:v>0.49627896910679292</c:v>
                </c:pt>
                <c:pt idx="64">
                  <c:v>0.61165141586802285</c:v>
                </c:pt>
                <c:pt idx="65">
                  <c:v>0.74245972422288986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21-490E-A62E-A1E457900C53}"/>
            </c:ext>
          </c:extLst>
        </c:ser>
        <c:ser>
          <c:idx val="1"/>
          <c:order val="1"/>
          <c:tx>
            <c:strRef>
              <c:f>Suavizado!$N$3</c:f>
              <c:strCache>
                <c:ptCount val="1"/>
                <c:pt idx="0">
                  <c:v>Transporte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Suavizado!$A$4:$A$69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Suavizado!$N$4:$N$69</c:f>
              <c:numCache>
                <c:formatCode>0.00</c:formatCode>
                <c:ptCount val="66"/>
                <c:pt idx="0">
                  <c:v>-0.50047721625785646</c:v>
                </c:pt>
                <c:pt idx="1">
                  <c:v>-0.24563004489114423</c:v>
                </c:pt>
                <c:pt idx="2">
                  <c:v>5.3990539252198738E-2</c:v>
                </c:pt>
                <c:pt idx="3">
                  <c:v>0.71396196511523602</c:v>
                </c:pt>
                <c:pt idx="4">
                  <c:v>0.84663376416622671</c:v>
                </c:pt>
                <c:pt idx="5">
                  <c:v>0.49578471375929334</c:v>
                </c:pt>
                <c:pt idx="6">
                  <c:v>0.42353790575152395</c:v>
                </c:pt>
                <c:pt idx="7">
                  <c:v>0.13814274205203297</c:v>
                </c:pt>
                <c:pt idx="8">
                  <c:v>0.14855618371033513</c:v>
                </c:pt>
                <c:pt idx="9">
                  <c:v>0.15869933111794365</c:v>
                </c:pt>
                <c:pt idx="10">
                  <c:v>0.14013438389924934</c:v>
                </c:pt>
                <c:pt idx="11">
                  <c:v>-5.2891276128990986E-2</c:v>
                </c:pt>
                <c:pt idx="12">
                  <c:v>-5.3111779333504236E-2</c:v>
                </c:pt>
                <c:pt idx="13">
                  <c:v>-0.41317217328381284</c:v>
                </c:pt>
                <c:pt idx="14">
                  <c:v>-0.82500102924854946</c:v>
                </c:pt>
                <c:pt idx="15">
                  <c:v>-0.48943783001900076</c:v>
                </c:pt>
                <c:pt idx="16">
                  <c:v>-0.28473261315815657</c:v>
                </c:pt>
                <c:pt idx="17">
                  <c:v>-0.43445428902263794</c:v>
                </c:pt>
                <c:pt idx="18">
                  <c:v>-0.34361408176978547</c:v>
                </c:pt>
                <c:pt idx="19">
                  <c:v>-0.47262268242321781</c:v>
                </c:pt>
                <c:pt idx="20">
                  <c:v>-0.41800901776990945</c:v>
                </c:pt>
                <c:pt idx="21">
                  <c:v>-0.49474413294051256</c:v>
                </c:pt>
                <c:pt idx="22">
                  <c:v>-0.12378661288329218</c:v>
                </c:pt>
                <c:pt idx="23">
                  <c:v>-9.8814624972169168E-2</c:v>
                </c:pt>
                <c:pt idx="24">
                  <c:v>0.13274930479970554</c:v>
                </c:pt>
                <c:pt idx="25">
                  <c:v>-0.18108543752704387</c:v>
                </c:pt>
                <c:pt idx="26">
                  <c:v>-0.27099384091566303</c:v>
                </c:pt>
                <c:pt idx="27">
                  <c:v>1.606932283087148E-2</c:v>
                </c:pt>
                <c:pt idx="28">
                  <c:v>-1.8272273020414363E-2</c:v>
                </c:pt>
                <c:pt idx="29">
                  <c:v>-0.21105609082434987</c:v>
                </c:pt>
                <c:pt idx="30">
                  <c:v>7.8621102846656091E-2</c:v>
                </c:pt>
                <c:pt idx="31">
                  <c:v>0.11422170086564651</c:v>
                </c:pt>
                <c:pt idx="32">
                  <c:v>-0.54512555866848644</c:v>
                </c:pt>
                <c:pt idx="33">
                  <c:v>-0.30141261362859251</c:v>
                </c:pt>
                <c:pt idx="34">
                  <c:v>0.2541060886061991</c:v>
                </c:pt>
                <c:pt idx="35">
                  <c:v>-0.17454502796091767</c:v>
                </c:pt>
                <c:pt idx="36">
                  <c:v>0.22638670189690724</c:v>
                </c:pt>
                <c:pt idx="37">
                  <c:v>0.46485736107466397</c:v>
                </c:pt>
                <c:pt idx="38">
                  <c:v>0.211541857128549</c:v>
                </c:pt>
                <c:pt idx="39">
                  <c:v>0.18973337890153111</c:v>
                </c:pt>
                <c:pt idx="40">
                  <c:v>0.71251091176940695</c:v>
                </c:pt>
                <c:pt idx="41">
                  <c:v>0.54049351672599955</c:v>
                </c:pt>
                <c:pt idx="42">
                  <c:v>0.82905041185794637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21-490E-A62E-A1E457900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3560000"/>
        <c:axId val="-1423563264"/>
      </c:scatterChart>
      <c:valAx>
        <c:axId val="-1423560000"/>
        <c:scaling>
          <c:orientation val="minMax"/>
          <c:max val="2015"/>
          <c:min val="1950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3563264"/>
        <c:crosses val="autoZero"/>
        <c:crossBetween val="midCat"/>
      </c:valAx>
      <c:valAx>
        <c:axId val="-1423563264"/>
        <c:scaling>
          <c:orientation val="minMax"/>
          <c:max val="1.5"/>
          <c:min val="-1.5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356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Suavizado!$K$3</c:f>
              <c:strCache>
                <c:ptCount val="1"/>
                <c:pt idx="0">
                  <c:v>Calcificacion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Suavizado!$A$4:$A$69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Suavizado!$K$4:$K$69</c:f>
              <c:numCache>
                <c:formatCode>0.00</c:formatCode>
                <c:ptCount val="66"/>
                <c:pt idx="0">
                  <c:v>0.67414610454397239</c:v>
                </c:pt>
                <c:pt idx="1">
                  <c:v>0.207402136895738</c:v>
                </c:pt>
                <c:pt idx="2">
                  <c:v>0.1314838872783719</c:v>
                </c:pt>
                <c:pt idx="3">
                  <c:v>-0.21002883613977175</c:v>
                </c:pt>
                <c:pt idx="4">
                  <c:v>-7.5814762017899912E-2</c:v>
                </c:pt>
                <c:pt idx="5">
                  <c:v>-0.55251169657654653</c:v>
                </c:pt>
                <c:pt idx="6">
                  <c:v>-0.49219698734399342</c:v>
                </c:pt>
                <c:pt idx="7">
                  <c:v>-0.55868806510922864</c:v>
                </c:pt>
                <c:pt idx="8">
                  <c:v>-0.49897603099378485</c:v>
                </c:pt>
                <c:pt idx="9">
                  <c:v>-0.40916888733507661</c:v>
                </c:pt>
                <c:pt idx="10">
                  <c:v>-0.47025253596998084</c:v>
                </c:pt>
                <c:pt idx="11">
                  <c:v>-0.4990376963962847</c:v>
                </c:pt>
                <c:pt idx="12">
                  <c:v>-0.33776016529258801</c:v>
                </c:pt>
                <c:pt idx="13">
                  <c:v>-0.18939632823282224</c:v>
                </c:pt>
                <c:pt idx="14">
                  <c:v>-0.20527415274498942</c:v>
                </c:pt>
                <c:pt idx="15">
                  <c:v>-6.5288611199916621E-2</c:v>
                </c:pt>
                <c:pt idx="16">
                  <c:v>0.15117312934530505</c:v>
                </c:pt>
                <c:pt idx="17">
                  <c:v>-9.7910449089996132E-2</c:v>
                </c:pt>
                <c:pt idx="18">
                  <c:v>-8.5951543090023147E-2</c:v>
                </c:pt>
                <c:pt idx="19">
                  <c:v>7.1375427197406166E-2</c:v>
                </c:pt>
                <c:pt idx="20">
                  <c:v>0.31059611290701394</c:v>
                </c:pt>
                <c:pt idx="21">
                  <c:v>0.11286209557021201</c:v>
                </c:pt>
                <c:pt idx="22">
                  <c:v>0.25654898012356492</c:v>
                </c:pt>
                <c:pt idx="23">
                  <c:v>-0.24958110041300388</c:v>
                </c:pt>
                <c:pt idx="24">
                  <c:v>-0.55888861636170906</c:v>
                </c:pt>
                <c:pt idx="25">
                  <c:v>-1.0220251313490338</c:v>
                </c:pt>
                <c:pt idx="26">
                  <c:v>-1.2967342385137994</c:v>
                </c:pt>
                <c:pt idx="27">
                  <c:v>-0.95734260296476315</c:v>
                </c:pt>
                <c:pt idx="28">
                  <c:v>-0.53015465257725325</c:v>
                </c:pt>
                <c:pt idx="29">
                  <c:v>-0.37282291945228607</c:v>
                </c:pt>
                <c:pt idx="30">
                  <c:v>-0.29631883712424972</c:v>
                </c:pt>
                <c:pt idx="31">
                  <c:v>-2.1852623923197976E-3</c:v>
                </c:pt>
                <c:pt idx="32">
                  <c:v>-0.63697758921954439</c:v>
                </c:pt>
                <c:pt idx="33">
                  <c:v>-0.42937854685529508</c:v>
                </c:pt>
                <c:pt idx="34">
                  <c:v>-0.39370974917792695</c:v>
                </c:pt>
                <c:pt idx="35">
                  <c:v>9.0305534779798972E-3</c:v>
                </c:pt>
                <c:pt idx="36">
                  <c:v>0.23579548065642669</c:v>
                </c:pt>
                <c:pt idx="37">
                  <c:v>0.46541099763039251</c:v>
                </c:pt>
                <c:pt idx="38">
                  <c:v>-2.7390965830093726E-2</c:v>
                </c:pt>
                <c:pt idx="39">
                  <c:v>3.2740219095564869E-2</c:v>
                </c:pt>
                <c:pt idx="40">
                  <c:v>-0.18585246540063957</c:v>
                </c:pt>
                <c:pt idx="41">
                  <c:v>-0.20907953981328192</c:v>
                </c:pt>
                <c:pt idx="42">
                  <c:v>-0.24701814861785035</c:v>
                </c:pt>
                <c:pt idx="43">
                  <c:v>-2.9269975562948542E-2</c:v>
                </c:pt>
                <c:pt idx="44">
                  <c:v>2.2109188359550223E-3</c:v>
                </c:pt>
                <c:pt idx="45">
                  <c:v>-0.27860044526469874</c:v>
                </c:pt>
                <c:pt idx="46">
                  <c:v>-0.54703795838844349</c:v>
                </c:pt>
                <c:pt idx="47">
                  <c:v>-0.53265242649091782</c:v>
                </c:pt>
                <c:pt idx="48">
                  <c:v>-0.7333730970975475</c:v>
                </c:pt>
                <c:pt idx="49">
                  <c:v>-0.9070152395215253</c:v>
                </c:pt>
                <c:pt idx="50">
                  <c:v>-0.53508256455079051</c:v>
                </c:pt>
                <c:pt idx="51">
                  <c:v>-0.47745649995321093</c:v>
                </c:pt>
                <c:pt idx="52">
                  <c:v>-3.7056337446933617E-2</c:v>
                </c:pt>
                <c:pt idx="53">
                  <c:v>0.34103987104418437</c:v>
                </c:pt>
                <c:pt idx="54">
                  <c:v>0.79409426564039065</c:v>
                </c:pt>
                <c:pt idx="55">
                  <c:v>0.75277799713477189</c:v>
                </c:pt>
                <c:pt idx="56">
                  <c:v>1.1521368606284956</c:v>
                </c:pt>
                <c:pt idx="57">
                  <c:v>0.92912737688879987</c:v>
                </c:pt>
                <c:pt idx="58">
                  <c:v>1.0754836578498774</c:v>
                </c:pt>
                <c:pt idx="59">
                  <c:v>0.87365744293140379</c:v>
                </c:pt>
                <c:pt idx="60">
                  <c:v>1.0410307819221849</c:v>
                </c:pt>
                <c:pt idx="61">
                  <c:v>1.0798736612638773</c:v>
                </c:pt>
                <c:pt idx="62">
                  <c:v>1.2966658763095089</c:v>
                </c:pt>
                <c:pt idx="63">
                  <c:v>1.3068498794708785</c:v>
                </c:pt>
                <c:pt idx="64">
                  <c:v>1.4153356127132635</c:v>
                </c:pt>
                <c:pt idx="65">
                  <c:v>1.4800152987792305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2B-44A7-9436-0BADAF8683C5}"/>
            </c:ext>
          </c:extLst>
        </c:ser>
        <c:ser>
          <c:idx val="1"/>
          <c:order val="1"/>
          <c:tx>
            <c:strRef>
              <c:f>Suavizado!$N$3</c:f>
              <c:strCache>
                <c:ptCount val="1"/>
                <c:pt idx="0">
                  <c:v>Transporte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Suavizado!$A$4:$A$69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Suavizado!$N$4:$N$69</c:f>
              <c:numCache>
                <c:formatCode>0.00</c:formatCode>
                <c:ptCount val="66"/>
                <c:pt idx="0">
                  <c:v>-0.50047721625785646</c:v>
                </c:pt>
                <c:pt idx="1">
                  <c:v>-0.24563004489114423</c:v>
                </c:pt>
                <c:pt idx="2">
                  <c:v>5.3990539252198738E-2</c:v>
                </c:pt>
                <c:pt idx="3">
                  <c:v>0.71396196511523602</c:v>
                </c:pt>
                <c:pt idx="4">
                  <c:v>0.84663376416622671</c:v>
                </c:pt>
                <c:pt idx="5">
                  <c:v>0.49578471375929334</c:v>
                </c:pt>
                <c:pt idx="6">
                  <c:v>0.42353790575152395</c:v>
                </c:pt>
                <c:pt idx="7">
                  <c:v>0.13814274205203297</c:v>
                </c:pt>
                <c:pt idx="8">
                  <c:v>0.14855618371033513</c:v>
                </c:pt>
                <c:pt idx="9">
                  <c:v>0.15869933111794365</c:v>
                </c:pt>
                <c:pt idx="10">
                  <c:v>0.14013438389924934</c:v>
                </c:pt>
                <c:pt idx="11">
                  <c:v>-5.2891276128990986E-2</c:v>
                </c:pt>
                <c:pt idx="12">
                  <c:v>-5.3111779333504236E-2</c:v>
                </c:pt>
                <c:pt idx="13">
                  <c:v>-0.41317217328381284</c:v>
                </c:pt>
                <c:pt idx="14">
                  <c:v>-0.82500102924854946</c:v>
                </c:pt>
                <c:pt idx="15">
                  <c:v>-0.48943783001900076</c:v>
                </c:pt>
                <c:pt idx="16">
                  <c:v>-0.28473261315815657</c:v>
                </c:pt>
                <c:pt idx="17">
                  <c:v>-0.43445428902263794</c:v>
                </c:pt>
                <c:pt idx="18">
                  <c:v>-0.34361408176978547</c:v>
                </c:pt>
                <c:pt idx="19">
                  <c:v>-0.47262268242321781</c:v>
                </c:pt>
                <c:pt idx="20">
                  <c:v>-0.41800901776990945</c:v>
                </c:pt>
                <c:pt idx="21">
                  <c:v>-0.49474413294051256</c:v>
                </c:pt>
                <c:pt idx="22">
                  <c:v>-0.12378661288329218</c:v>
                </c:pt>
                <c:pt idx="23">
                  <c:v>-9.8814624972169168E-2</c:v>
                </c:pt>
                <c:pt idx="24">
                  <c:v>0.13274930479970554</c:v>
                </c:pt>
                <c:pt idx="25">
                  <c:v>-0.18108543752704387</c:v>
                </c:pt>
                <c:pt idx="26">
                  <c:v>-0.27099384091566303</c:v>
                </c:pt>
                <c:pt idx="27">
                  <c:v>1.606932283087148E-2</c:v>
                </c:pt>
                <c:pt idx="28">
                  <c:v>-1.8272273020414363E-2</c:v>
                </c:pt>
                <c:pt idx="29">
                  <c:v>-0.21105609082434987</c:v>
                </c:pt>
                <c:pt idx="30">
                  <c:v>7.8621102846656091E-2</c:v>
                </c:pt>
                <c:pt idx="31">
                  <c:v>0.11422170086564651</c:v>
                </c:pt>
                <c:pt idx="32">
                  <c:v>-0.54512555866848644</c:v>
                </c:pt>
                <c:pt idx="33">
                  <c:v>-0.30141261362859251</c:v>
                </c:pt>
                <c:pt idx="34">
                  <c:v>0.2541060886061991</c:v>
                </c:pt>
                <c:pt idx="35">
                  <c:v>-0.17454502796091767</c:v>
                </c:pt>
                <c:pt idx="36">
                  <c:v>0.22638670189690724</c:v>
                </c:pt>
                <c:pt idx="37">
                  <c:v>0.46485736107466397</c:v>
                </c:pt>
                <c:pt idx="38">
                  <c:v>0.211541857128549</c:v>
                </c:pt>
                <c:pt idx="39">
                  <c:v>0.18973337890153111</c:v>
                </c:pt>
                <c:pt idx="40">
                  <c:v>0.71251091176940695</c:v>
                </c:pt>
                <c:pt idx="41">
                  <c:v>0.54049351672599955</c:v>
                </c:pt>
                <c:pt idx="42">
                  <c:v>0.82905041185794637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2B-44A7-9436-0BADAF868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3574688"/>
        <c:axId val="-1423570880"/>
      </c:scatterChart>
      <c:valAx>
        <c:axId val="-1423574688"/>
        <c:scaling>
          <c:orientation val="minMax"/>
          <c:max val="2015"/>
          <c:min val="1950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3570880"/>
        <c:crosses val="autoZero"/>
        <c:crossBetween val="midCat"/>
      </c:valAx>
      <c:valAx>
        <c:axId val="-1423570880"/>
        <c:scaling>
          <c:orientation val="minMax"/>
          <c:max val="1.5"/>
          <c:min val="-1.5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4235746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4" Type="http://schemas.openxmlformats.org/officeDocument/2006/relationships/chart" Target="../charts/chart4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1.xml"/><Relationship Id="rId13" Type="http://schemas.openxmlformats.org/officeDocument/2006/relationships/chart" Target="../charts/chart56.xml"/><Relationship Id="rId18" Type="http://schemas.openxmlformats.org/officeDocument/2006/relationships/chart" Target="../charts/chart61.xml"/><Relationship Id="rId3" Type="http://schemas.openxmlformats.org/officeDocument/2006/relationships/chart" Target="../charts/chart46.xml"/><Relationship Id="rId7" Type="http://schemas.openxmlformats.org/officeDocument/2006/relationships/chart" Target="../charts/chart50.xml"/><Relationship Id="rId12" Type="http://schemas.openxmlformats.org/officeDocument/2006/relationships/chart" Target="../charts/chart55.xml"/><Relationship Id="rId17" Type="http://schemas.openxmlformats.org/officeDocument/2006/relationships/chart" Target="../charts/chart60.xml"/><Relationship Id="rId2" Type="http://schemas.openxmlformats.org/officeDocument/2006/relationships/chart" Target="../charts/chart45.xml"/><Relationship Id="rId16" Type="http://schemas.openxmlformats.org/officeDocument/2006/relationships/chart" Target="../charts/chart59.xml"/><Relationship Id="rId1" Type="http://schemas.openxmlformats.org/officeDocument/2006/relationships/chart" Target="../charts/chart44.xml"/><Relationship Id="rId6" Type="http://schemas.openxmlformats.org/officeDocument/2006/relationships/chart" Target="../charts/chart49.xml"/><Relationship Id="rId11" Type="http://schemas.openxmlformats.org/officeDocument/2006/relationships/chart" Target="../charts/chart54.xml"/><Relationship Id="rId5" Type="http://schemas.openxmlformats.org/officeDocument/2006/relationships/chart" Target="../charts/chart48.xml"/><Relationship Id="rId15" Type="http://schemas.openxmlformats.org/officeDocument/2006/relationships/chart" Target="../charts/chart58.xml"/><Relationship Id="rId10" Type="http://schemas.openxmlformats.org/officeDocument/2006/relationships/chart" Target="../charts/chart53.xml"/><Relationship Id="rId19" Type="http://schemas.openxmlformats.org/officeDocument/2006/relationships/chart" Target="../charts/chart62.xml"/><Relationship Id="rId4" Type="http://schemas.openxmlformats.org/officeDocument/2006/relationships/chart" Target="../charts/chart47.xml"/><Relationship Id="rId9" Type="http://schemas.openxmlformats.org/officeDocument/2006/relationships/chart" Target="../charts/chart52.xml"/><Relationship Id="rId14" Type="http://schemas.openxmlformats.org/officeDocument/2006/relationships/chart" Target="../charts/chart5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0.xml"/><Relationship Id="rId3" Type="http://schemas.openxmlformats.org/officeDocument/2006/relationships/chart" Target="../charts/chart65.xml"/><Relationship Id="rId7" Type="http://schemas.openxmlformats.org/officeDocument/2006/relationships/chart" Target="../charts/chart69.xml"/><Relationship Id="rId2" Type="http://schemas.openxmlformats.org/officeDocument/2006/relationships/chart" Target="../charts/chart64.xml"/><Relationship Id="rId1" Type="http://schemas.openxmlformats.org/officeDocument/2006/relationships/chart" Target="../charts/chart63.xml"/><Relationship Id="rId6" Type="http://schemas.openxmlformats.org/officeDocument/2006/relationships/chart" Target="../charts/chart68.xml"/><Relationship Id="rId5" Type="http://schemas.openxmlformats.org/officeDocument/2006/relationships/chart" Target="../charts/chart67.xml"/><Relationship Id="rId4" Type="http://schemas.openxmlformats.org/officeDocument/2006/relationships/chart" Target="../charts/chart66.xml"/><Relationship Id="rId9" Type="http://schemas.openxmlformats.org/officeDocument/2006/relationships/chart" Target="../charts/chart7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224118</xdr:colOff>
      <xdr:row>71</xdr:row>
      <xdr:rowOff>12325</xdr:rowOff>
    </xdr:from>
    <xdr:to>
      <xdr:col>27</xdr:col>
      <xdr:colOff>224118</xdr:colOff>
      <xdr:row>85</xdr:row>
      <xdr:rowOff>88525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593912</xdr:colOff>
      <xdr:row>70</xdr:row>
      <xdr:rowOff>180413</xdr:rowOff>
    </xdr:from>
    <xdr:to>
      <xdr:col>15</xdr:col>
      <xdr:colOff>78441</xdr:colOff>
      <xdr:row>85</xdr:row>
      <xdr:rowOff>66113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515471</xdr:colOff>
      <xdr:row>70</xdr:row>
      <xdr:rowOff>158002</xdr:rowOff>
    </xdr:from>
    <xdr:to>
      <xdr:col>7</xdr:col>
      <xdr:colOff>168089</xdr:colOff>
      <xdr:row>85</xdr:row>
      <xdr:rowOff>43702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605117</xdr:colOff>
      <xdr:row>100</xdr:row>
      <xdr:rowOff>56030</xdr:rowOff>
    </xdr:from>
    <xdr:to>
      <xdr:col>7</xdr:col>
      <xdr:colOff>168088</xdr:colOff>
      <xdr:row>114</xdr:row>
      <xdr:rowOff>132230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537882</xdr:colOff>
      <xdr:row>85</xdr:row>
      <xdr:rowOff>89647</xdr:rowOff>
    </xdr:from>
    <xdr:to>
      <xdr:col>7</xdr:col>
      <xdr:colOff>190500</xdr:colOff>
      <xdr:row>99</xdr:row>
      <xdr:rowOff>165847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212910</xdr:colOff>
      <xdr:row>71</xdr:row>
      <xdr:rowOff>11205</xdr:rowOff>
    </xdr:from>
    <xdr:to>
      <xdr:col>21</xdr:col>
      <xdr:colOff>179292</xdr:colOff>
      <xdr:row>85</xdr:row>
      <xdr:rowOff>87405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616324</xdr:colOff>
      <xdr:row>85</xdr:row>
      <xdr:rowOff>145677</xdr:rowOff>
    </xdr:from>
    <xdr:to>
      <xdr:col>15</xdr:col>
      <xdr:colOff>100853</xdr:colOff>
      <xdr:row>100</xdr:row>
      <xdr:rowOff>31377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627531</xdr:colOff>
      <xdr:row>100</xdr:row>
      <xdr:rowOff>89647</xdr:rowOff>
    </xdr:from>
    <xdr:to>
      <xdr:col>15</xdr:col>
      <xdr:colOff>112060</xdr:colOff>
      <xdr:row>114</xdr:row>
      <xdr:rowOff>165847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515472</xdr:colOff>
      <xdr:row>133</xdr:row>
      <xdr:rowOff>44823</xdr:rowOff>
    </xdr:from>
    <xdr:to>
      <xdr:col>14</xdr:col>
      <xdr:colOff>201707</xdr:colOff>
      <xdr:row>147</xdr:row>
      <xdr:rowOff>121023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728382</xdr:colOff>
      <xdr:row>133</xdr:row>
      <xdr:rowOff>33618</xdr:rowOff>
    </xdr:from>
    <xdr:to>
      <xdr:col>7</xdr:col>
      <xdr:colOff>381000</xdr:colOff>
      <xdr:row>147</xdr:row>
      <xdr:rowOff>109818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515471</xdr:colOff>
      <xdr:row>118</xdr:row>
      <xdr:rowOff>22412</xdr:rowOff>
    </xdr:from>
    <xdr:to>
      <xdr:col>14</xdr:col>
      <xdr:colOff>201706</xdr:colOff>
      <xdr:row>132</xdr:row>
      <xdr:rowOff>98612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705971</xdr:colOff>
      <xdr:row>118</xdr:row>
      <xdr:rowOff>33617</xdr:rowOff>
    </xdr:from>
    <xdr:to>
      <xdr:col>7</xdr:col>
      <xdr:colOff>358589</xdr:colOff>
      <xdr:row>132</xdr:row>
      <xdr:rowOff>109817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537882</xdr:colOff>
      <xdr:row>147</xdr:row>
      <xdr:rowOff>145676</xdr:rowOff>
    </xdr:from>
    <xdr:to>
      <xdr:col>14</xdr:col>
      <xdr:colOff>134470</xdr:colOff>
      <xdr:row>162</xdr:row>
      <xdr:rowOff>31376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56029</xdr:colOff>
      <xdr:row>147</xdr:row>
      <xdr:rowOff>145676</xdr:rowOff>
    </xdr:from>
    <xdr:to>
      <xdr:col>7</xdr:col>
      <xdr:colOff>381000</xdr:colOff>
      <xdr:row>162</xdr:row>
      <xdr:rowOff>31376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oneCellAnchor>
    <xdr:from>
      <xdr:col>24</xdr:col>
      <xdr:colOff>336177</xdr:colOff>
      <xdr:row>79</xdr:row>
      <xdr:rowOff>134471</xdr:rowOff>
    </xdr:from>
    <xdr:ext cx="1262461" cy="436786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6506265" y="14993471"/>
          <a:ext cx="126246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/>
            <a:t>No hay</a:t>
          </a:r>
          <a:r>
            <a:rPr lang="es-CO" sz="1100" baseline="0"/>
            <a:t> correlación</a:t>
          </a:r>
        </a:p>
        <a:p>
          <a:r>
            <a:rPr lang="es-CO" sz="1100" baseline="0"/>
            <a:t>p = 0.43</a:t>
          </a:r>
          <a:endParaRPr lang="es-CO" sz="1100"/>
        </a:p>
      </xdr:txBody>
    </xdr:sp>
    <xdr:clientData/>
  </xdr:oneCellAnchor>
  <xdr:oneCellAnchor>
    <xdr:from>
      <xdr:col>10</xdr:col>
      <xdr:colOff>246530</xdr:colOff>
      <xdr:row>142</xdr:row>
      <xdr:rowOff>100853</xdr:rowOff>
    </xdr:from>
    <xdr:ext cx="1262461" cy="436786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7003677" y="26961353"/>
          <a:ext cx="126246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/>
            <a:t>No hay</a:t>
          </a:r>
          <a:r>
            <a:rPr lang="es-CO" sz="1100" baseline="0"/>
            <a:t> correlación</a:t>
          </a:r>
        </a:p>
        <a:p>
          <a:r>
            <a:rPr lang="es-CO" sz="1100" baseline="0"/>
            <a:t>p = 0.94</a:t>
          </a:r>
          <a:endParaRPr lang="es-CO" sz="1100"/>
        </a:p>
      </xdr:txBody>
    </xdr:sp>
    <xdr:clientData/>
  </xdr:oneCellAnchor>
  <xdr:twoCellAnchor>
    <xdr:from>
      <xdr:col>15</xdr:col>
      <xdr:colOff>212913</xdr:colOff>
      <xdr:row>85</xdr:row>
      <xdr:rowOff>156882</xdr:rowOff>
    </xdr:from>
    <xdr:to>
      <xdr:col>21</xdr:col>
      <xdr:colOff>179295</xdr:colOff>
      <xdr:row>100</xdr:row>
      <xdr:rowOff>42582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291353</xdr:colOff>
      <xdr:row>86</xdr:row>
      <xdr:rowOff>44824</xdr:rowOff>
    </xdr:from>
    <xdr:to>
      <xdr:col>27</xdr:col>
      <xdr:colOff>291353</xdr:colOff>
      <xdr:row>100</xdr:row>
      <xdr:rowOff>121024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257735</xdr:colOff>
      <xdr:row>100</xdr:row>
      <xdr:rowOff>100853</xdr:rowOff>
    </xdr:from>
    <xdr:to>
      <xdr:col>21</xdr:col>
      <xdr:colOff>224117</xdr:colOff>
      <xdr:row>114</xdr:row>
      <xdr:rowOff>177053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21</xdr:col>
      <xdr:colOff>302558</xdr:colOff>
      <xdr:row>101</xdr:row>
      <xdr:rowOff>22411</xdr:rowOff>
    </xdr:from>
    <xdr:to>
      <xdr:col>27</xdr:col>
      <xdr:colOff>302558</xdr:colOff>
      <xdr:row>115</xdr:row>
      <xdr:rowOff>98611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459440</xdr:colOff>
      <xdr:row>70</xdr:row>
      <xdr:rowOff>78441</xdr:rowOff>
    </xdr:from>
    <xdr:to>
      <xdr:col>7</xdr:col>
      <xdr:colOff>257735</xdr:colOff>
      <xdr:row>115</xdr:row>
      <xdr:rowOff>22412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59440" y="13222941"/>
          <a:ext cx="4717677" cy="8516471"/>
        </a:xfrm>
        <a:prstGeom prst="rect">
          <a:avLst/>
        </a:prstGeom>
        <a:noFill/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649941</xdr:colOff>
      <xdr:row>117</xdr:row>
      <xdr:rowOff>78441</xdr:rowOff>
    </xdr:from>
    <xdr:to>
      <xdr:col>15</xdr:col>
      <xdr:colOff>22412</xdr:colOff>
      <xdr:row>162</xdr:row>
      <xdr:rowOff>134471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649941" y="22176441"/>
          <a:ext cx="9480177" cy="8628530"/>
        </a:xfrm>
        <a:prstGeom prst="rect">
          <a:avLst/>
        </a:prstGeom>
        <a:noFill/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560294</xdr:colOff>
      <xdr:row>70</xdr:row>
      <xdr:rowOff>134471</xdr:rowOff>
    </xdr:from>
    <xdr:to>
      <xdr:col>15</xdr:col>
      <xdr:colOff>89647</xdr:colOff>
      <xdr:row>115</xdr:row>
      <xdr:rowOff>11207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479676" y="13278971"/>
          <a:ext cx="4717677" cy="8449236"/>
        </a:xfrm>
        <a:prstGeom prst="rect">
          <a:avLst/>
        </a:prstGeom>
        <a:noFill/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112060</xdr:colOff>
      <xdr:row>70</xdr:row>
      <xdr:rowOff>156882</xdr:rowOff>
    </xdr:from>
    <xdr:to>
      <xdr:col>27</xdr:col>
      <xdr:colOff>291354</xdr:colOff>
      <xdr:row>115</xdr:row>
      <xdr:rowOff>123265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0219766" y="13301382"/>
          <a:ext cx="8314764" cy="8538883"/>
        </a:xfrm>
        <a:prstGeom prst="rect">
          <a:avLst/>
        </a:prstGeom>
        <a:noFill/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27</xdr:col>
      <xdr:colOff>616324</xdr:colOff>
      <xdr:row>71</xdr:row>
      <xdr:rowOff>11206</xdr:rowOff>
    </xdr:from>
    <xdr:to>
      <xdr:col>33</xdr:col>
      <xdr:colOff>201706</xdr:colOff>
      <xdr:row>85</xdr:row>
      <xdr:rowOff>87406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27</xdr:col>
      <xdr:colOff>605118</xdr:colOff>
      <xdr:row>86</xdr:row>
      <xdr:rowOff>33618</xdr:rowOff>
    </xdr:from>
    <xdr:to>
      <xdr:col>33</xdr:col>
      <xdr:colOff>190500</xdr:colOff>
      <xdr:row>100</xdr:row>
      <xdr:rowOff>109818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27</xdr:col>
      <xdr:colOff>638736</xdr:colOff>
      <xdr:row>101</xdr:row>
      <xdr:rowOff>33618</xdr:rowOff>
    </xdr:from>
    <xdr:to>
      <xdr:col>33</xdr:col>
      <xdr:colOff>224118</xdr:colOff>
      <xdr:row>115</xdr:row>
      <xdr:rowOff>109818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oneCellAnchor>
    <xdr:from>
      <xdr:col>29</xdr:col>
      <xdr:colOff>477371</xdr:colOff>
      <xdr:row>79</xdr:row>
      <xdr:rowOff>107577</xdr:rowOff>
    </xdr:from>
    <xdr:ext cx="1262461" cy="436786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20457459" y="14966577"/>
          <a:ext cx="126246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/>
            <a:t>No hay</a:t>
          </a:r>
          <a:r>
            <a:rPr lang="es-CO" sz="1100" baseline="0"/>
            <a:t> correlación</a:t>
          </a:r>
        </a:p>
        <a:p>
          <a:r>
            <a:rPr lang="es-CO" sz="1100" baseline="0"/>
            <a:t>p = 0.07</a:t>
          </a:r>
          <a:endParaRPr lang="es-CO" sz="1100"/>
        </a:p>
      </xdr:txBody>
    </xdr:sp>
    <xdr:clientData/>
  </xdr:oneCellAnchor>
  <xdr:oneCellAnchor>
    <xdr:from>
      <xdr:col>33</xdr:col>
      <xdr:colOff>672354</xdr:colOff>
      <xdr:row>105</xdr:row>
      <xdr:rowOff>145676</xdr:rowOff>
    </xdr:from>
    <xdr:ext cx="3731559" cy="109817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3700442" y="19957676"/>
          <a:ext cx="3731559" cy="109817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CO" sz="1100"/>
            <a:t>Los cambios en extension explican más  que la calcificacion </a:t>
          </a:r>
        </a:p>
        <a:p>
          <a:r>
            <a:rPr lang="es-CO" sz="1100"/>
            <a:t>el crecimiento de estos corales despues de 1984, debido a los </a:t>
          </a:r>
        </a:p>
        <a:p>
          <a:r>
            <a:rPr lang="es-CO" sz="1100"/>
            <a:t>cambios en las estrategias de crecimiento entre los periodos </a:t>
          </a:r>
        </a:p>
        <a:p>
          <a:r>
            <a:rPr lang="es-CO" sz="1100"/>
            <a:t>antes y despues. Probablemente el coral cambió a habitos más </a:t>
          </a:r>
        </a:p>
        <a:p>
          <a:r>
            <a:rPr lang="es-CO" sz="1100"/>
            <a:t>autótrofos</a:t>
          </a:r>
        </a:p>
      </xdr:txBody>
    </xdr:sp>
    <xdr:clientData/>
  </xdr:oneCellAnchor>
  <xdr:twoCellAnchor>
    <xdr:from>
      <xdr:col>27</xdr:col>
      <xdr:colOff>571500</xdr:colOff>
      <xdr:row>70</xdr:row>
      <xdr:rowOff>134471</xdr:rowOff>
    </xdr:from>
    <xdr:to>
      <xdr:col>33</xdr:col>
      <xdr:colOff>268941</xdr:colOff>
      <xdr:row>115</xdr:row>
      <xdr:rowOff>78442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9027588" y="13278971"/>
          <a:ext cx="4269441" cy="8516471"/>
        </a:xfrm>
        <a:prstGeom prst="rect">
          <a:avLst/>
        </a:prstGeom>
        <a:noFill/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739588</xdr:colOff>
      <xdr:row>107</xdr:row>
      <xdr:rowOff>134471</xdr:rowOff>
    </xdr:from>
    <xdr:to>
      <xdr:col>33</xdr:col>
      <xdr:colOff>560294</xdr:colOff>
      <xdr:row>109</xdr:row>
      <xdr:rowOff>44824</xdr:rowOff>
    </xdr:to>
    <xdr:sp macro="" textlink="">
      <xdr:nvSpPr>
        <xdr:cNvPr id="9" name="Flecha der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3005676" y="20327471"/>
          <a:ext cx="582706" cy="29135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16</xdr:col>
      <xdr:colOff>313765</xdr:colOff>
      <xdr:row>132</xdr:row>
      <xdr:rowOff>134470</xdr:rowOff>
    </xdr:from>
    <xdr:ext cx="3731559" cy="717176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11183471" y="25089970"/>
          <a:ext cx="3731559" cy="71717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CO" sz="1100"/>
            <a:t>La</a:t>
          </a:r>
          <a:r>
            <a:rPr lang="es-CO" sz="1100" baseline="0"/>
            <a:t> estrategia de crecimiento antes de 1984, es como la que se </a:t>
          </a:r>
        </a:p>
        <a:p>
          <a:r>
            <a:rPr lang="es-CO" sz="1100" baseline="0"/>
            <a:t>ve con los corales de Serrana (asumiendo que Densidad vs</a:t>
          </a:r>
        </a:p>
        <a:p>
          <a:r>
            <a:rPr lang="es-CO" sz="1100" baseline="0"/>
            <a:t>Extension no explica mucho)</a:t>
          </a:r>
          <a:endParaRPr lang="es-CO" sz="1100"/>
        </a:p>
      </xdr:txBody>
    </xdr:sp>
    <xdr:clientData/>
  </xdr:oneCellAnchor>
  <xdr:twoCellAnchor>
    <xdr:from>
      <xdr:col>15</xdr:col>
      <xdr:colOff>510863</xdr:colOff>
      <xdr:row>111</xdr:row>
      <xdr:rowOff>163395</xdr:rowOff>
    </xdr:from>
    <xdr:to>
      <xdr:col>15</xdr:col>
      <xdr:colOff>718822</xdr:colOff>
      <xdr:row>126</xdr:row>
      <xdr:rowOff>51337</xdr:rowOff>
    </xdr:to>
    <xdr:sp macro="" textlink="">
      <xdr:nvSpPr>
        <xdr:cNvPr id="11" name="Flecha der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 rot="2761687">
          <a:off x="9349828" y="22387136"/>
          <a:ext cx="2745442" cy="20795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16</xdr:col>
      <xdr:colOff>89647</xdr:colOff>
      <xdr:row>124</xdr:row>
      <xdr:rowOff>134471</xdr:rowOff>
    </xdr:from>
    <xdr:ext cx="3731559" cy="717176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10959353" y="23565971"/>
          <a:ext cx="3731559" cy="71717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CO" sz="1100"/>
            <a:t>La gráfica de calcificación y temperatura muestra que despues</a:t>
          </a:r>
        </a:p>
        <a:p>
          <a:r>
            <a:rPr lang="es-CO" sz="1100"/>
            <a:t>de</a:t>
          </a:r>
          <a:r>
            <a:rPr lang="es-CO" sz="1100" baseline="0"/>
            <a:t> 1984 las tendencias ya no parecen estar correlacionadas.</a:t>
          </a:r>
        </a:p>
        <a:p>
          <a:r>
            <a:rPr lang="es-CO" sz="1100" baseline="0"/>
            <a:t>La temperatura del aire es mejor que la de HadISST</a:t>
          </a:r>
          <a:endParaRPr lang="es-CO" sz="1100"/>
        </a:p>
      </xdr:txBody>
    </xdr:sp>
    <xdr:clientData/>
  </xdr:oneCellAnchor>
  <xdr:twoCellAnchor>
    <xdr:from>
      <xdr:col>22</xdr:col>
      <xdr:colOff>212912</xdr:colOff>
      <xdr:row>109</xdr:row>
      <xdr:rowOff>112060</xdr:rowOff>
    </xdr:from>
    <xdr:to>
      <xdr:col>23</xdr:col>
      <xdr:colOff>73489</xdr:colOff>
      <xdr:row>124</xdr:row>
      <xdr:rowOff>2</xdr:rowOff>
    </xdr:to>
    <xdr:sp macro="" textlink="">
      <xdr:nvSpPr>
        <xdr:cNvPr id="45" name="Flecha derecha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 rot="3003860">
          <a:off x="14004877" y="21954801"/>
          <a:ext cx="2745442" cy="20795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23</xdr:col>
      <xdr:colOff>67235</xdr:colOff>
      <xdr:row>122</xdr:row>
      <xdr:rowOff>179294</xdr:rowOff>
    </xdr:from>
    <xdr:ext cx="3731559" cy="1042147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15475323" y="23229794"/>
          <a:ext cx="3731559" cy="104214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CO" sz="1100"/>
            <a:t>Efectivamente,</a:t>
          </a:r>
          <a:r>
            <a:rPr lang="es-CO" sz="1100" baseline="0"/>
            <a:t> la temperatura explicó los cambios en</a:t>
          </a:r>
        </a:p>
        <a:p>
          <a:r>
            <a:rPr lang="es-CO" sz="1100" baseline="0"/>
            <a:t>calcificación hasta 1983. Despues de 1984, parece que la </a:t>
          </a:r>
        </a:p>
        <a:p>
          <a:r>
            <a:rPr lang="es-CO" sz="1100" baseline="0"/>
            <a:t>calcificación no explica mucho, tal vez por que el aumento </a:t>
          </a:r>
        </a:p>
        <a:p>
          <a:r>
            <a:rPr lang="es-CO" sz="1100" baseline="0"/>
            <a:t>de materia órganica disuelta es mayor, el coral come más y </a:t>
          </a:r>
        </a:p>
        <a:p>
          <a:r>
            <a:rPr lang="es-CO" sz="1100" baseline="0"/>
            <a:t>los cambios se ven en la extensión???</a:t>
          </a:r>
          <a:endParaRPr lang="es-CO" sz="1100"/>
        </a:p>
      </xdr:txBody>
    </xdr:sp>
    <xdr:clientData/>
  </xdr:oneCellAnchor>
  <xdr:twoCellAnchor>
    <xdr:from>
      <xdr:col>14</xdr:col>
      <xdr:colOff>246529</xdr:colOff>
      <xdr:row>133</xdr:row>
      <xdr:rowOff>78442</xdr:rowOff>
    </xdr:from>
    <xdr:to>
      <xdr:col>16</xdr:col>
      <xdr:colOff>179294</xdr:colOff>
      <xdr:row>134</xdr:row>
      <xdr:rowOff>179295</xdr:rowOff>
    </xdr:to>
    <xdr:sp macro="" textlink="">
      <xdr:nvSpPr>
        <xdr:cNvPr id="47" name="Flecha derecha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10051676" y="25224442"/>
          <a:ext cx="997324" cy="29135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36</xdr:col>
      <xdr:colOff>571502</xdr:colOff>
      <xdr:row>125</xdr:row>
      <xdr:rowOff>44824</xdr:rowOff>
    </xdr:from>
    <xdr:to>
      <xdr:col>42</xdr:col>
      <xdr:colOff>459443</xdr:colOff>
      <xdr:row>139</xdr:row>
      <xdr:rowOff>121024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42</xdr:col>
      <xdr:colOff>560294</xdr:colOff>
      <xdr:row>125</xdr:row>
      <xdr:rowOff>33618</xdr:rowOff>
    </xdr:from>
    <xdr:to>
      <xdr:col>48</xdr:col>
      <xdr:colOff>661147</xdr:colOff>
      <xdr:row>139</xdr:row>
      <xdr:rowOff>109818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16</xdr:col>
      <xdr:colOff>22411</xdr:colOff>
      <xdr:row>140</xdr:row>
      <xdr:rowOff>22411</xdr:rowOff>
    </xdr:from>
    <xdr:to>
      <xdr:col>23</xdr:col>
      <xdr:colOff>481853</xdr:colOff>
      <xdr:row>154</xdr:row>
      <xdr:rowOff>98611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16</xdr:col>
      <xdr:colOff>0</xdr:colOff>
      <xdr:row>154</xdr:row>
      <xdr:rowOff>179294</xdr:rowOff>
    </xdr:from>
    <xdr:to>
      <xdr:col>23</xdr:col>
      <xdr:colOff>459442</xdr:colOff>
      <xdr:row>169</xdr:row>
      <xdr:rowOff>64994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23</xdr:col>
      <xdr:colOff>649941</xdr:colOff>
      <xdr:row>140</xdr:row>
      <xdr:rowOff>33617</xdr:rowOff>
    </xdr:from>
    <xdr:to>
      <xdr:col>30</xdr:col>
      <xdr:colOff>100853</xdr:colOff>
      <xdr:row>154</xdr:row>
      <xdr:rowOff>109817</xdr:rowOff>
    </xdr:to>
    <xdr:graphicFrame macro="">
      <xdr:nvGraphicFramePr>
        <xdr:cNvPr id="58" name="Gráfico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23</xdr:col>
      <xdr:colOff>728382</xdr:colOff>
      <xdr:row>154</xdr:row>
      <xdr:rowOff>168089</xdr:rowOff>
    </xdr:from>
    <xdr:to>
      <xdr:col>30</xdr:col>
      <xdr:colOff>179294</xdr:colOff>
      <xdr:row>169</xdr:row>
      <xdr:rowOff>53789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30</xdr:col>
      <xdr:colOff>224118</xdr:colOff>
      <xdr:row>140</xdr:row>
      <xdr:rowOff>11206</xdr:rowOff>
    </xdr:from>
    <xdr:to>
      <xdr:col>36</xdr:col>
      <xdr:colOff>437030</xdr:colOff>
      <xdr:row>154</xdr:row>
      <xdr:rowOff>87406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30</xdr:col>
      <xdr:colOff>235323</xdr:colOff>
      <xdr:row>154</xdr:row>
      <xdr:rowOff>134471</xdr:rowOff>
    </xdr:from>
    <xdr:to>
      <xdr:col>36</xdr:col>
      <xdr:colOff>448235</xdr:colOff>
      <xdr:row>169</xdr:row>
      <xdr:rowOff>20171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36</xdr:col>
      <xdr:colOff>571500</xdr:colOff>
      <xdr:row>139</xdr:row>
      <xdr:rowOff>168088</xdr:rowOff>
    </xdr:from>
    <xdr:to>
      <xdr:col>42</xdr:col>
      <xdr:colOff>459441</xdr:colOff>
      <xdr:row>154</xdr:row>
      <xdr:rowOff>53788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36</xdr:col>
      <xdr:colOff>593912</xdr:colOff>
      <xdr:row>154</xdr:row>
      <xdr:rowOff>123264</xdr:rowOff>
    </xdr:from>
    <xdr:to>
      <xdr:col>42</xdr:col>
      <xdr:colOff>481853</xdr:colOff>
      <xdr:row>169</xdr:row>
      <xdr:rowOff>8964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42</xdr:col>
      <xdr:colOff>571500</xdr:colOff>
      <xdr:row>139</xdr:row>
      <xdr:rowOff>145676</xdr:rowOff>
    </xdr:from>
    <xdr:to>
      <xdr:col>48</xdr:col>
      <xdr:colOff>672353</xdr:colOff>
      <xdr:row>154</xdr:row>
      <xdr:rowOff>31376</xdr:rowOff>
    </xdr:to>
    <xdr:graphicFrame macro="">
      <xdr:nvGraphicFramePr>
        <xdr:cNvPr id="64" name="Gráfico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42</xdr:col>
      <xdr:colOff>593912</xdr:colOff>
      <xdr:row>154</xdr:row>
      <xdr:rowOff>100853</xdr:rowOff>
    </xdr:from>
    <xdr:to>
      <xdr:col>48</xdr:col>
      <xdr:colOff>694765</xdr:colOff>
      <xdr:row>168</xdr:row>
      <xdr:rowOff>177053</xdr:rowOff>
    </xdr:to>
    <xdr:graphicFrame macro="">
      <xdr:nvGraphicFramePr>
        <xdr:cNvPr id="65" name="Gráfico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</xdr:col>
      <xdr:colOff>591672</xdr:colOff>
      <xdr:row>4</xdr:row>
      <xdr:rowOff>10085</xdr:rowOff>
    </xdr:from>
    <xdr:to>
      <xdr:col>11</xdr:col>
      <xdr:colOff>94131</xdr:colOff>
      <xdr:row>18</xdr:row>
      <xdr:rowOff>75079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</xdr:col>
      <xdr:colOff>56030</xdr:colOff>
      <xdr:row>18</xdr:row>
      <xdr:rowOff>179294</xdr:rowOff>
    </xdr:from>
    <xdr:to>
      <xdr:col>11</xdr:col>
      <xdr:colOff>347383</xdr:colOff>
      <xdr:row>33</xdr:row>
      <xdr:rowOff>64994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</xdr:col>
      <xdr:colOff>100853</xdr:colOff>
      <xdr:row>33</xdr:row>
      <xdr:rowOff>134470</xdr:rowOff>
    </xdr:from>
    <xdr:to>
      <xdr:col>12</xdr:col>
      <xdr:colOff>33618</xdr:colOff>
      <xdr:row>48</xdr:row>
      <xdr:rowOff>20170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13</xdr:col>
      <xdr:colOff>443752</xdr:colOff>
      <xdr:row>3</xdr:row>
      <xdr:rowOff>170329</xdr:rowOff>
    </xdr:from>
    <xdr:to>
      <xdr:col>21</xdr:col>
      <xdr:colOff>141192</xdr:colOff>
      <xdr:row>18</xdr:row>
      <xdr:rowOff>67235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168088</xdr:colOff>
      <xdr:row>18</xdr:row>
      <xdr:rowOff>179294</xdr:rowOff>
    </xdr:from>
    <xdr:to>
      <xdr:col>19</xdr:col>
      <xdr:colOff>358588</xdr:colOff>
      <xdr:row>33</xdr:row>
      <xdr:rowOff>64994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12</xdr:col>
      <xdr:colOff>201707</xdr:colOff>
      <xdr:row>33</xdr:row>
      <xdr:rowOff>134470</xdr:rowOff>
    </xdr:from>
    <xdr:to>
      <xdr:col>20</xdr:col>
      <xdr:colOff>22412</xdr:colOff>
      <xdr:row>48</xdr:row>
      <xdr:rowOff>20170</xdr:rowOff>
    </xdr:to>
    <xdr:graphicFrame macro="">
      <xdr:nvGraphicFramePr>
        <xdr:cNvPr id="66" name="Gráfico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0.33297</cdr:x>
      <cdr:y>0.59041</cdr:y>
    </cdr:from>
    <cdr:to>
      <cdr:x>0.63664</cdr:x>
      <cdr:y>0.74964</cdr:y>
    </cdr:to>
    <cdr:sp macro="" textlink="">
      <cdr:nvSpPr>
        <cdr:cNvPr id="2" name="CuadroTexto 30"/>
        <cdr:cNvSpPr txBox="1"/>
      </cdr:nvSpPr>
      <cdr:spPr>
        <a:xfrm xmlns:a="http://schemas.openxmlformats.org/drawingml/2006/main">
          <a:off x="1384300" y="1619623"/>
          <a:ext cx="1262461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/>
            <a:t>No hay</a:t>
          </a:r>
          <a:r>
            <a:rPr lang="es-CO" sz="1100" baseline="0"/>
            <a:t> correlación</a:t>
          </a:r>
        </a:p>
        <a:p xmlns:a="http://schemas.openxmlformats.org/drawingml/2006/main">
          <a:r>
            <a:rPr lang="es-CO" sz="1100" baseline="0"/>
            <a:t>p = 0.45</a:t>
          </a:r>
          <a:endParaRPr lang="es-CO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0.2372</cdr:x>
      <cdr:y>0.20425</cdr:y>
    </cdr:from>
    <cdr:to>
      <cdr:x>0.72237</cdr:x>
      <cdr:y>0.42484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986118" y="560294"/>
          <a:ext cx="2017059" cy="605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>
              <a:solidFill>
                <a:schemeClr val="tx1"/>
              </a:solidFill>
            </a:rPr>
            <a:t>No hay suficientes datos</a:t>
          </a:r>
          <a:r>
            <a:rPr lang="es-CO" sz="1100" baseline="0">
              <a:solidFill>
                <a:schemeClr val="tx1"/>
              </a:solidFill>
            </a:rPr>
            <a:t> </a:t>
          </a:r>
        </a:p>
        <a:p xmlns:a="http://schemas.openxmlformats.org/drawingml/2006/main">
          <a:r>
            <a:rPr lang="es-CO" sz="1100" baseline="0">
              <a:solidFill>
                <a:schemeClr val="tx1"/>
              </a:solidFill>
            </a:rPr>
            <a:t>para saber si el nivel del canal </a:t>
          </a:r>
        </a:p>
        <a:p xmlns:a="http://schemas.openxmlformats.org/drawingml/2006/main">
          <a:r>
            <a:rPr lang="es-CO" sz="1100" baseline="0">
              <a:solidFill>
                <a:schemeClr val="tx1"/>
              </a:solidFill>
            </a:rPr>
            <a:t>se correlacionaba</a:t>
          </a:r>
          <a:endParaRPr lang="es-CO" sz="1100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0.33297</cdr:x>
      <cdr:y>0.59041</cdr:y>
    </cdr:from>
    <cdr:to>
      <cdr:x>0.63664</cdr:x>
      <cdr:y>0.74964</cdr:y>
    </cdr:to>
    <cdr:sp macro="" textlink="">
      <cdr:nvSpPr>
        <cdr:cNvPr id="2" name="CuadroTexto 30"/>
        <cdr:cNvSpPr txBox="1"/>
      </cdr:nvSpPr>
      <cdr:spPr>
        <a:xfrm xmlns:a="http://schemas.openxmlformats.org/drawingml/2006/main">
          <a:off x="1384300" y="1619623"/>
          <a:ext cx="1262461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/>
            <a:t>No hay</a:t>
          </a:r>
          <a:r>
            <a:rPr lang="es-CO" sz="1100" baseline="0"/>
            <a:t> correlación</a:t>
          </a:r>
        </a:p>
        <a:p xmlns:a="http://schemas.openxmlformats.org/drawingml/2006/main">
          <a:r>
            <a:rPr lang="es-CO" sz="1100" baseline="0"/>
            <a:t>p = 0.09</a:t>
          </a:r>
          <a:endParaRPr lang="es-CO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257737</xdr:colOff>
      <xdr:row>105</xdr:row>
      <xdr:rowOff>169207</xdr:rowOff>
    </xdr:from>
    <xdr:to>
      <xdr:col>7</xdr:col>
      <xdr:colOff>123265</xdr:colOff>
      <xdr:row>123</xdr:row>
      <xdr:rowOff>134470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705969</xdr:colOff>
      <xdr:row>106</xdr:row>
      <xdr:rowOff>33617</xdr:rowOff>
    </xdr:from>
    <xdr:to>
      <xdr:col>14</xdr:col>
      <xdr:colOff>425821</xdr:colOff>
      <xdr:row>123</xdr:row>
      <xdr:rowOff>189380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571500</xdr:colOff>
      <xdr:row>106</xdr:row>
      <xdr:rowOff>56029</xdr:rowOff>
    </xdr:from>
    <xdr:to>
      <xdr:col>21</xdr:col>
      <xdr:colOff>291352</xdr:colOff>
      <xdr:row>124</xdr:row>
      <xdr:rowOff>21292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291353</xdr:colOff>
      <xdr:row>124</xdr:row>
      <xdr:rowOff>67235</xdr:rowOff>
    </xdr:from>
    <xdr:to>
      <xdr:col>7</xdr:col>
      <xdr:colOff>156881</xdr:colOff>
      <xdr:row>142</xdr:row>
      <xdr:rowOff>32498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297657</xdr:colOff>
      <xdr:row>1</xdr:row>
      <xdr:rowOff>23813</xdr:rowOff>
    </xdr:from>
    <xdr:to>
      <xdr:col>6</xdr:col>
      <xdr:colOff>398510</xdr:colOff>
      <xdr:row>15</xdr:row>
      <xdr:rowOff>100013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414337</xdr:colOff>
      <xdr:row>1</xdr:row>
      <xdr:rowOff>21432</xdr:rowOff>
    </xdr:from>
    <xdr:to>
      <xdr:col>12</xdr:col>
      <xdr:colOff>515190</xdr:colOff>
      <xdr:row>15</xdr:row>
      <xdr:rowOff>97632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559594</xdr:colOff>
      <xdr:row>1</xdr:row>
      <xdr:rowOff>11906</xdr:rowOff>
    </xdr:from>
    <xdr:to>
      <xdr:col>18</xdr:col>
      <xdr:colOff>660447</xdr:colOff>
      <xdr:row>15</xdr:row>
      <xdr:rowOff>88106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583407</xdr:colOff>
      <xdr:row>16</xdr:row>
      <xdr:rowOff>119062</xdr:rowOff>
    </xdr:from>
    <xdr:to>
      <xdr:col>18</xdr:col>
      <xdr:colOff>684260</xdr:colOff>
      <xdr:row>31</xdr:row>
      <xdr:rowOff>4762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440531</xdr:colOff>
      <xdr:row>16</xdr:row>
      <xdr:rowOff>130968</xdr:rowOff>
    </xdr:from>
    <xdr:to>
      <xdr:col>12</xdr:col>
      <xdr:colOff>541384</xdr:colOff>
      <xdr:row>31</xdr:row>
      <xdr:rowOff>16668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309563</xdr:colOff>
      <xdr:row>16</xdr:row>
      <xdr:rowOff>119062</xdr:rowOff>
    </xdr:from>
    <xdr:to>
      <xdr:col>6</xdr:col>
      <xdr:colOff>410416</xdr:colOff>
      <xdr:row>31</xdr:row>
      <xdr:rowOff>4762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571500</xdr:colOff>
      <xdr:row>31</xdr:row>
      <xdr:rowOff>142875</xdr:rowOff>
    </xdr:from>
    <xdr:to>
      <xdr:col>18</xdr:col>
      <xdr:colOff>672353</xdr:colOff>
      <xdr:row>46</xdr:row>
      <xdr:rowOff>28575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452438</xdr:colOff>
      <xdr:row>31</xdr:row>
      <xdr:rowOff>130969</xdr:rowOff>
    </xdr:from>
    <xdr:to>
      <xdr:col>12</xdr:col>
      <xdr:colOff>553291</xdr:colOff>
      <xdr:row>46</xdr:row>
      <xdr:rowOff>16669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321468</xdr:colOff>
      <xdr:row>31</xdr:row>
      <xdr:rowOff>130969</xdr:rowOff>
    </xdr:from>
    <xdr:to>
      <xdr:col>6</xdr:col>
      <xdr:colOff>422321</xdr:colOff>
      <xdr:row>46</xdr:row>
      <xdr:rowOff>16669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535782</xdr:colOff>
      <xdr:row>47</xdr:row>
      <xdr:rowOff>178592</xdr:rowOff>
    </xdr:from>
    <xdr:to>
      <xdr:col>18</xdr:col>
      <xdr:colOff>423723</xdr:colOff>
      <xdr:row>62</xdr:row>
      <xdr:rowOff>64292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535782</xdr:colOff>
      <xdr:row>47</xdr:row>
      <xdr:rowOff>154781</xdr:rowOff>
    </xdr:from>
    <xdr:to>
      <xdr:col>12</xdr:col>
      <xdr:colOff>423723</xdr:colOff>
      <xdr:row>62</xdr:row>
      <xdr:rowOff>40481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523875</xdr:colOff>
      <xdr:row>47</xdr:row>
      <xdr:rowOff>142876</xdr:rowOff>
    </xdr:from>
    <xdr:to>
      <xdr:col>6</xdr:col>
      <xdr:colOff>411816</xdr:colOff>
      <xdr:row>62</xdr:row>
      <xdr:rowOff>28576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452437</xdr:colOff>
      <xdr:row>64</xdr:row>
      <xdr:rowOff>107156</xdr:rowOff>
    </xdr:from>
    <xdr:to>
      <xdr:col>18</xdr:col>
      <xdr:colOff>553290</xdr:colOff>
      <xdr:row>78</xdr:row>
      <xdr:rowOff>183356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285750</xdr:colOff>
      <xdr:row>64</xdr:row>
      <xdr:rowOff>107157</xdr:rowOff>
    </xdr:from>
    <xdr:to>
      <xdr:col>12</xdr:col>
      <xdr:colOff>386603</xdr:colOff>
      <xdr:row>78</xdr:row>
      <xdr:rowOff>183357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142875</xdr:colOff>
      <xdr:row>64</xdr:row>
      <xdr:rowOff>59531</xdr:rowOff>
    </xdr:from>
    <xdr:to>
      <xdr:col>6</xdr:col>
      <xdr:colOff>243728</xdr:colOff>
      <xdr:row>78</xdr:row>
      <xdr:rowOff>135731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583406</xdr:colOff>
      <xdr:row>80</xdr:row>
      <xdr:rowOff>83344</xdr:rowOff>
    </xdr:from>
    <xdr:to>
      <xdr:col>14</xdr:col>
      <xdr:colOff>483536</xdr:colOff>
      <xdr:row>97</xdr:row>
      <xdr:rowOff>76200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607218</xdr:colOff>
      <xdr:row>97</xdr:row>
      <xdr:rowOff>178594</xdr:rowOff>
    </xdr:from>
    <xdr:to>
      <xdr:col>14</xdr:col>
      <xdr:colOff>507348</xdr:colOff>
      <xdr:row>114</xdr:row>
      <xdr:rowOff>171450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619125</xdr:colOff>
      <xdr:row>115</xdr:row>
      <xdr:rowOff>83344</xdr:rowOff>
    </xdr:from>
    <xdr:to>
      <xdr:col>14</xdr:col>
      <xdr:colOff>519255</xdr:colOff>
      <xdr:row>132</xdr:row>
      <xdr:rowOff>76200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257175</xdr:colOff>
      <xdr:row>79</xdr:row>
      <xdr:rowOff>95250</xdr:rowOff>
    </xdr:from>
    <xdr:to>
      <xdr:col>21</xdr:col>
      <xdr:colOff>358028</xdr:colOff>
      <xdr:row>93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FE0B110-6DE4-4B74-A06E-0EBEF8C16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394607</xdr:colOff>
      <xdr:row>1</xdr:row>
      <xdr:rowOff>131989</xdr:rowOff>
    </xdr:from>
    <xdr:to>
      <xdr:col>22</xdr:col>
      <xdr:colOff>530679</xdr:colOff>
      <xdr:row>20</xdr:row>
      <xdr:rowOff>27215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421821</xdr:colOff>
      <xdr:row>20</xdr:row>
      <xdr:rowOff>136071</xdr:rowOff>
    </xdr:from>
    <xdr:to>
      <xdr:col>22</xdr:col>
      <xdr:colOff>557893</xdr:colOff>
      <xdr:row>39</xdr:row>
      <xdr:rowOff>31297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435429</xdr:colOff>
      <xdr:row>39</xdr:row>
      <xdr:rowOff>95250</xdr:rowOff>
    </xdr:from>
    <xdr:to>
      <xdr:col>22</xdr:col>
      <xdr:colOff>571501</xdr:colOff>
      <xdr:row>57</xdr:row>
      <xdr:rowOff>180976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31</xdr:col>
      <xdr:colOff>136072</xdr:colOff>
      <xdr:row>20</xdr:row>
      <xdr:rowOff>85726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27214</xdr:colOff>
      <xdr:row>21</xdr:row>
      <xdr:rowOff>4082</xdr:rowOff>
    </xdr:from>
    <xdr:to>
      <xdr:col>31</xdr:col>
      <xdr:colOff>163286</xdr:colOff>
      <xdr:row>39</xdr:row>
      <xdr:rowOff>89808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40822</xdr:colOff>
      <xdr:row>39</xdr:row>
      <xdr:rowOff>153761</xdr:rowOff>
    </xdr:from>
    <xdr:to>
      <xdr:col>31</xdr:col>
      <xdr:colOff>176894</xdr:colOff>
      <xdr:row>58</xdr:row>
      <xdr:rowOff>48987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367393</xdr:colOff>
      <xdr:row>2</xdr:row>
      <xdr:rowOff>0</xdr:rowOff>
    </xdr:from>
    <xdr:to>
      <xdr:col>39</xdr:col>
      <xdr:colOff>503465</xdr:colOff>
      <xdr:row>20</xdr:row>
      <xdr:rowOff>85726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394607</xdr:colOff>
      <xdr:row>21</xdr:row>
      <xdr:rowOff>4082</xdr:rowOff>
    </xdr:from>
    <xdr:to>
      <xdr:col>39</xdr:col>
      <xdr:colOff>530679</xdr:colOff>
      <xdr:row>39</xdr:row>
      <xdr:rowOff>89808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408215</xdr:colOff>
      <xdr:row>39</xdr:row>
      <xdr:rowOff>153761</xdr:rowOff>
    </xdr:from>
    <xdr:to>
      <xdr:col>39</xdr:col>
      <xdr:colOff>544287</xdr:colOff>
      <xdr:row>58</xdr:row>
      <xdr:rowOff>48987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izca\Desktop\VAR2_CUB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IOLOGIA\Cartagena\Parametros%20Ambientales\Calamar%20comple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VAR2_CUBOS"/>
    </sheetNames>
    <definedNames>
      <definedName name="xdata1"/>
      <definedName name="xdata11"/>
      <definedName name="xdata3"/>
      <definedName name="xdata5"/>
      <definedName name="xdata7"/>
      <definedName name="xdata9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amar completo"/>
      <sheetName val="Caudales"/>
      <sheetName val="Nivel"/>
      <sheetName val="Transporte"/>
      <sheetName val="Precipitacion"/>
    </sheetNames>
    <sheetDataSet>
      <sheetData sheetId="0"/>
      <sheetData sheetId="1">
        <row r="4">
          <cell r="E4" t="str">
            <v>Mean</v>
          </cell>
        </row>
        <row r="5">
          <cell r="E5" t="str">
            <v>SD</v>
          </cell>
        </row>
        <row r="6">
          <cell r="E6" t="str">
            <v>Año</v>
          </cell>
        </row>
        <row r="7">
          <cell r="E7">
            <v>2016</v>
          </cell>
        </row>
        <row r="8">
          <cell r="E8">
            <v>2015</v>
          </cell>
        </row>
        <row r="9">
          <cell r="E9">
            <v>2015</v>
          </cell>
        </row>
        <row r="10">
          <cell r="E10">
            <v>2015</v>
          </cell>
        </row>
        <row r="11">
          <cell r="E11">
            <v>2015</v>
          </cell>
        </row>
        <row r="12">
          <cell r="E12">
            <v>2015</v>
          </cell>
        </row>
        <row r="13">
          <cell r="E13">
            <v>2015</v>
          </cell>
        </row>
        <row r="14">
          <cell r="E14">
            <v>2015</v>
          </cell>
        </row>
        <row r="15">
          <cell r="E15">
            <v>2015</v>
          </cell>
        </row>
        <row r="16">
          <cell r="E16">
            <v>2015</v>
          </cell>
        </row>
        <row r="17">
          <cell r="E17">
            <v>2015</v>
          </cell>
        </row>
        <row r="18">
          <cell r="E18">
            <v>2015</v>
          </cell>
        </row>
        <row r="19">
          <cell r="E19">
            <v>2015</v>
          </cell>
        </row>
        <row r="20">
          <cell r="E20">
            <v>2014</v>
          </cell>
        </row>
        <row r="21">
          <cell r="E21">
            <v>2014</v>
          </cell>
        </row>
        <row r="22">
          <cell r="E22">
            <v>2014</v>
          </cell>
        </row>
        <row r="23">
          <cell r="E23">
            <v>2014</v>
          </cell>
        </row>
        <row r="24">
          <cell r="E24">
            <v>2014</v>
          </cell>
        </row>
        <row r="25">
          <cell r="E25">
            <v>2014</v>
          </cell>
        </row>
        <row r="26">
          <cell r="E26">
            <v>2014</v>
          </cell>
        </row>
        <row r="27">
          <cell r="E27">
            <v>2014</v>
          </cell>
        </row>
        <row r="28">
          <cell r="E28">
            <v>2014</v>
          </cell>
        </row>
        <row r="29">
          <cell r="E29">
            <v>2014</v>
          </cell>
        </row>
        <row r="30">
          <cell r="E30">
            <v>2014</v>
          </cell>
        </row>
        <row r="31">
          <cell r="E31">
            <v>2014</v>
          </cell>
        </row>
        <row r="32">
          <cell r="E32">
            <v>2013</v>
          </cell>
        </row>
        <row r="33">
          <cell r="E33">
            <v>2013</v>
          </cell>
        </row>
        <row r="34">
          <cell r="E34">
            <v>2013</v>
          </cell>
        </row>
        <row r="35">
          <cell r="E35">
            <v>2013</v>
          </cell>
        </row>
        <row r="36">
          <cell r="E36">
            <v>2013</v>
          </cell>
        </row>
        <row r="37">
          <cell r="E37">
            <v>2013</v>
          </cell>
        </row>
        <row r="38">
          <cell r="E38">
            <v>2013</v>
          </cell>
        </row>
        <row r="39">
          <cell r="E39">
            <v>2013</v>
          </cell>
        </row>
        <row r="40">
          <cell r="E40">
            <v>2013</v>
          </cell>
        </row>
        <row r="41">
          <cell r="E41">
            <v>2013</v>
          </cell>
        </row>
        <row r="42">
          <cell r="E42">
            <v>2013</v>
          </cell>
        </row>
        <row r="43">
          <cell r="E43">
            <v>2013</v>
          </cell>
        </row>
        <row r="44">
          <cell r="E44">
            <v>2012</v>
          </cell>
        </row>
        <row r="45">
          <cell r="E45">
            <v>2012</v>
          </cell>
        </row>
        <row r="46">
          <cell r="E46">
            <v>2012</v>
          </cell>
        </row>
        <row r="47">
          <cell r="E47">
            <v>2012</v>
          </cell>
        </row>
        <row r="48">
          <cell r="E48">
            <v>2012</v>
          </cell>
        </row>
        <row r="49">
          <cell r="E49">
            <v>2012</v>
          </cell>
        </row>
        <row r="50">
          <cell r="E50">
            <v>2012</v>
          </cell>
        </row>
        <row r="51">
          <cell r="E51">
            <v>2012</v>
          </cell>
        </row>
        <row r="52">
          <cell r="E52">
            <v>2012</v>
          </cell>
        </row>
        <row r="53">
          <cell r="E53">
            <v>2012</v>
          </cell>
        </row>
        <row r="54">
          <cell r="E54">
            <v>2012</v>
          </cell>
        </row>
        <row r="55">
          <cell r="E55">
            <v>2012</v>
          </cell>
        </row>
        <row r="56">
          <cell r="E56">
            <v>2011</v>
          </cell>
        </row>
        <row r="57">
          <cell r="E57">
            <v>2011</v>
          </cell>
        </row>
        <row r="58">
          <cell r="E58">
            <v>2011</v>
          </cell>
        </row>
        <row r="59">
          <cell r="E59">
            <v>2011</v>
          </cell>
        </row>
        <row r="60">
          <cell r="E60">
            <v>2011</v>
          </cell>
        </row>
        <row r="61">
          <cell r="E61">
            <v>2011</v>
          </cell>
        </row>
        <row r="62">
          <cell r="E62">
            <v>2011</v>
          </cell>
        </row>
        <row r="63">
          <cell r="E63">
            <v>2011</v>
          </cell>
        </row>
        <row r="64">
          <cell r="E64">
            <v>2011</v>
          </cell>
        </row>
        <row r="65">
          <cell r="E65">
            <v>2011</v>
          </cell>
        </row>
        <row r="66">
          <cell r="E66">
            <v>2011</v>
          </cell>
        </row>
        <row r="67">
          <cell r="E67">
            <v>2011</v>
          </cell>
        </row>
        <row r="68">
          <cell r="E68">
            <v>2010</v>
          </cell>
        </row>
        <row r="69">
          <cell r="E69">
            <v>2010</v>
          </cell>
        </row>
        <row r="70">
          <cell r="E70">
            <v>2010</v>
          </cell>
        </row>
        <row r="71">
          <cell r="E71">
            <v>2010</v>
          </cell>
        </row>
        <row r="72">
          <cell r="E72">
            <v>2010</v>
          </cell>
        </row>
        <row r="73">
          <cell r="E73">
            <v>2010</v>
          </cell>
        </row>
        <row r="74">
          <cell r="E74">
            <v>2010</v>
          </cell>
        </row>
        <row r="75">
          <cell r="E75">
            <v>2010</v>
          </cell>
        </row>
        <row r="76">
          <cell r="E76">
            <v>2010</v>
          </cell>
        </row>
        <row r="77">
          <cell r="E77">
            <v>2010</v>
          </cell>
        </row>
        <row r="78">
          <cell r="E78">
            <v>2010</v>
          </cell>
        </row>
        <row r="79">
          <cell r="E79">
            <v>2010</v>
          </cell>
        </row>
      </sheetData>
      <sheetData sheetId="2">
        <row r="4">
          <cell r="B4">
            <v>2015</v>
          </cell>
          <cell r="F4"/>
        </row>
        <row r="5">
          <cell r="B5">
            <v>2014</v>
          </cell>
          <cell r="F5"/>
        </row>
        <row r="6">
          <cell r="B6">
            <v>2013</v>
          </cell>
          <cell r="F6"/>
        </row>
        <row r="7">
          <cell r="B7">
            <v>2012</v>
          </cell>
          <cell r="F7"/>
        </row>
        <row r="8">
          <cell r="B8">
            <v>2011</v>
          </cell>
          <cell r="F8"/>
        </row>
        <row r="9">
          <cell r="B9">
            <v>2010</v>
          </cell>
          <cell r="F9"/>
        </row>
        <row r="10">
          <cell r="B10">
            <v>2009</v>
          </cell>
          <cell r="F10"/>
        </row>
        <row r="11">
          <cell r="B11">
            <v>2008</v>
          </cell>
          <cell r="F11"/>
        </row>
        <row r="12">
          <cell r="B12">
            <v>2007</v>
          </cell>
          <cell r="F12"/>
        </row>
        <row r="13">
          <cell r="B13">
            <v>2006</v>
          </cell>
          <cell r="F13"/>
        </row>
        <row r="14">
          <cell r="B14">
            <v>2005</v>
          </cell>
          <cell r="F14"/>
        </row>
        <row r="15">
          <cell r="B15">
            <v>2004</v>
          </cell>
          <cell r="F15"/>
        </row>
        <row r="16">
          <cell r="B16">
            <v>2003</v>
          </cell>
          <cell r="F16"/>
        </row>
        <row r="17">
          <cell r="B17">
            <v>2002</v>
          </cell>
          <cell r="F17"/>
        </row>
        <row r="18">
          <cell r="B18">
            <v>2001</v>
          </cell>
          <cell r="F18"/>
        </row>
        <row r="19">
          <cell r="B19">
            <v>2000</v>
          </cell>
          <cell r="F19"/>
        </row>
        <row r="20">
          <cell r="B20">
            <v>1999</v>
          </cell>
          <cell r="F20"/>
        </row>
        <row r="21">
          <cell r="B21">
            <v>1998</v>
          </cell>
          <cell r="F21"/>
        </row>
        <row r="22">
          <cell r="B22">
            <v>1997</v>
          </cell>
          <cell r="F22"/>
        </row>
        <row r="23">
          <cell r="B23">
            <v>1996</v>
          </cell>
          <cell r="F23"/>
        </row>
        <row r="24">
          <cell r="B24">
            <v>1995</v>
          </cell>
          <cell r="F24"/>
        </row>
        <row r="25">
          <cell r="B25">
            <v>1994</v>
          </cell>
          <cell r="F25"/>
        </row>
        <row r="26">
          <cell r="B26">
            <v>1993</v>
          </cell>
          <cell r="F26"/>
        </row>
        <row r="27">
          <cell r="B27">
            <v>1992</v>
          </cell>
          <cell r="F27"/>
        </row>
        <row r="28">
          <cell r="B28">
            <v>1991</v>
          </cell>
          <cell r="F28"/>
        </row>
        <row r="29">
          <cell r="B29">
            <v>1990</v>
          </cell>
          <cell r="F29"/>
        </row>
        <row r="30">
          <cell r="B30">
            <v>1989</v>
          </cell>
          <cell r="F30"/>
        </row>
        <row r="31">
          <cell r="B31">
            <v>1988</v>
          </cell>
          <cell r="F31"/>
        </row>
        <row r="32">
          <cell r="B32">
            <v>1987</v>
          </cell>
          <cell r="F32"/>
        </row>
        <row r="33">
          <cell r="B33">
            <v>1986</v>
          </cell>
          <cell r="F33"/>
        </row>
        <row r="34">
          <cell r="B34">
            <v>1985</v>
          </cell>
          <cell r="F34"/>
        </row>
        <row r="35">
          <cell r="B35">
            <v>1984</v>
          </cell>
          <cell r="F35"/>
        </row>
        <row r="36">
          <cell r="B36">
            <v>1983</v>
          </cell>
          <cell r="F36"/>
        </row>
        <row r="37">
          <cell r="B37">
            <v>1982</v>
          </cell>
          <cell r="F37"/>
        </row>
        <row r="38">
          <cell r="B38">
            <v>1981</v>
          </cell>
          <cell r="F38"/>
        </row>
        <row r="39">
          <cell r="B39">
            <v>1980</v>
          </cell>
          <cell r="F39"/>
        </row>
        <row r="40">
          <cell r="B40">
            <v>1979</v>
          </cell>
          <cell r="F40"/>
        </row>
        <row r="41">
          <cell r="B41">
            <v>1978</v>
          </cell>
          <cell r="F41"/>
        </row>
        <row r="42">
          <cell r="B42">
            <v>1977</v>
          </cell>
          <cell r="F42"/>
        </row>
        <row r="43">
          <cell r="B43">
            <v>1976</v>
          </cell>
          <cell r="F43"/>
        </row>
        <row r="44">
          <cell r="B44">
            <v>1975</v>
          </cell>
          <cell r="F44"/>
        </row>
        <row r="45">
          <cell r="B45">
            <v>1974</v>
          </cell>
          <cell r="F45"/>
        </row>
        <row r="46">
          <cell r="B46">
            <v>1973</v>
          </cell>
          <cell r="F46"/>
        </row>
        <row r="47">
          <cell r="B47">
            <v>1972</v>
          </cell>
          <cell r="F47"/>
        </row>
        <row r="48">
          <cell r="B48">
            <v>1971</v>
          </cell>
          <cell r="F48"/>
        </row>
      </sheetData>
      <sheetData sheetId="3">
        <row r="5">
          <cell r="B5">
            <v>2014</v>
          </cell>
          <cell r="C5">
            <v>94645</v>
          </cell>
          <cell r="G5"/>
        </row>
        <row r="6">
          <cell r="B6">
            <v>2013</v>
          </cell>
          <cell r="G6"/>
        </row>
        <row r="7">
          <cell r="B7">
            <v>2012</v>
          </cell>
          <cell r="C7">
            <v>134527</v>
          </cell>
          <cell r="G7"/>
        </row>
        <row r="8">
          <cell r="B8">
            <v>2011</v>
          </cell>
          <cell r="C8">
            <v>243089</v>
          </cell>
          <cell r="G8"/>
        </row>
        <row r="9">
          <cell r="B9">
            <v>2010</v>
          </cell>
          <cell r="C9">
            <v>223722</v>
          </cell>
          <cell r="G9"/>
        </row>
        <row r="10">
          <cell r="B10">
            <v>2009</v>
          </cell>
          <cell r="C10">
            <v>120418</v>
          </cell>
          <cell r="G10"/>
        </row>
        <row r="11">
          <cell r="B11">
            <v>2008</v>
          </cell>
          <cell r="C11">
            <v>211787</v>
          </cell>
          <cell r="G11"/>
        </row>
        <row r="12">
          <cell r="B12">
            <v>2007</v>
          </cell>
          <cell r="C12">
            <v>183852</v>
          </cell>
          <cell r="G12"/>
        </row>
        <row r="13">
          <cell r="B13">
            <v>2006</v>
          </cell>
          <cell r="C13">
            <v>153246</v>
          </cell>
          <cell r="G13"/>
        </row>
        <row r="14">
          <cell r="B14">
            <v>2005</v>
          </cell>
          <cell r="C14">
            <v>63845</v>
          </cell>
          <cell r="G14"/>
        </row>
        <row r="15">
          <cell r="B15">
            <v>2004</v>
          </cell>
          <cell r="C15">
            <v>118954</v>
          </cell>
          <cell r="G15"/>
        </row>
        <row r="16">
          <cell r="B16">
            <v>2003</v>
          </cell>
          <cell r="C16">
            <v>110361</v>
          </cell>
          <cell r="G16"/>
        </row>
        <row r="17">
          <cell r="B17">
            <v>2002</v>
          </cell>
          <cell r="C17">
            <v>86462</v>
          </cell>
          <cell r="G17"/>
        </row>
        <row r="18">
          <cell r="B18">
            <v>2001</v>
          </cell>
          <cell r="C18">
            <v>80383</v>
          </cell>
          <cell r="G18"/>
        </row>
        <row r="19">
          <cell r="B19">
            <v>2000</v>
          </cell>
          <cell r="C19">
            <v>163876</v>
          </cell>
          <cell r="G19"/>
        </row>
        <row r="20">
          <cell r="B20">
            <v>1999</v>
          </cell>
          <cell r="G20"/>
        </row>
        <row r="21">
          <cell r="B21">
            <v>1998</v>
          </cell>
          <cell r="C21">
            <v>169574</v>
          </cell>
          <cell r="G21"/>
        </row>
        <row r="22">
          <cell r="B22">
            <v>1997</v>
          </cell>
          <cell r="C22">
            <v>68259</v>
          </cell>
          <cell r="G22"/>
        </row>
        <row r="23">
          <cell r="B23">
            <v>1996</v>
          </cell>
          <cell r="C23">
            <v>239286</v>
          </cell>
          <cell r="G23"/>
        </row>
        <row r="24">
          <cell r="B24">
            <v>1995</v>
          </cell>
          <cell r="C24">
            <v>151604</v>
          </cell>
          <cell r="G24"/>
        </row>
        <row r="25">
          <cell r="B25">
            <v>1994</v>
          </cell>
          <cell r="C25">
            <v>184925</v>
          </cell>
          <cell r="G25"/>
        </row>
        <row r="26">
          <cell r="B26">
            <v>1993</v>
          </cell>
          <cell r="C26">
            <v>156803</v>
          </cell>
          <cell r="G26"/>
        </row>
        <row r="27">
          <cell r="B27">
            <v>1992</v>
          </cell>
          <cell r="C27">
            <v>86396</v>
          </cell>
          <cell r="G27"/>
        </row>
        <row r="28">
          <cell r="B28">
            <v>1991</v>
          </cell>
          <cell r="C28">
            <v>131608</v>
          </cell>
          <cell r="G28"/>
        </row>
        <row r="29">
          <cell r="B29">
            <v>1990</v>
          </cell>
          <cell r="C29">
            <v>162392</v>
          </cell>
          <cell r="G29"/>
        </row>
        <row r="30">
          <cell r="B30">
            <v>1989</v>
          </cell>
          <cell r="C30">
            <v>232773</v>
          </cell>
          <cell r="G30"/>
        </row>
        <row r="31">
          <cell r="B31">
            <v>1988</v>
          </cell>
          <cell r="C31">
            <v>260352</v>
          </cell>
          <cell r="G31"/>
        </row>
        <row r="32">
          <cell r="B32">
            <v>1987</v>
          </cell>
          <cell r="C32">
            <v>166905</v>
          </cell>
          <cell r="G32"/>
        </row>
        <row r="33">
          <cell r="B33">
            <v>1986</v>
          </cell>
          <cell r="C33">
            <v>172504</v>
          </cell>
          <cell r="G33"/>
        </row>
        <row r="34">
          <cell r="B34">
            <v>1985</v>
          </cell>
          <cell r="C34">
            <v>100487</v>
          </cell>
          <cell r="G34"/>
        </row>
        <row r="35">
          <cell r="B35">
            <v>1984</v>
          </cell>
          <cell r="C35">
            <v>154890</v>
          </cell>
          <cell r="G35"/>
        </row>
        <row r="36">
          <cell r="B36">
            <v>1983</v>
          </cell>
          <cell r="C36">
            <v>87455</v>
          </cell>
          <cell r="G36"/>
        </row>
        <row r="37">
          <cell r="B37">
            <v>1982</v>
          </cell>
          <cell r="C37">
            <v>126180</v>
          </cell>
          <cell r="G37"/>
        </row>
        <row r="38">
          <cell r="B38">
            <v>1981</v>
          </cell>
          <cell r="C38">
            <v>167499</v>
          </cell>
          <cell r="G38"/>
        </row>
        <row r="39">
          <cell r="B39">
            <v>1980</v>
          </cell>
          <cell r="C39">
            <v>93183</v>
          </cell>
          <cell r="G39"/>
        </row>
        <row r="40">
          <cell r="B40">
            <v>1979</v>
          </cell>
          <cell r="C40">
            <v>120627</v>
          </cell>
          <cell r="G40"/>
        </row>
        <row r="41">
          <cell r="B41">
            <v>1978</v>
          </cell>
          <cell r="C41">
            <v>109356</v>
          </cell>
          <cell r="G41"/>
        </row>
        <row r="42">
          <cell r="B42">
            <v>1977</v>
          </cell>
          <cell r="C42">
            <v>86443</v>
          </cell>
          <cell r="G42"/>
        </row>
        <row r="43">
          <cell r="B43">
            <v>1976</v>
          </cell>
          <cell r="C43">
            <v>111133</v>
          </cell>
          <cell r="G43"/>
        </row>
        <row r="44">
          <cell r="B44">
            <v>1975</v>
          </cell>
          <cell r="C44">
            <v>159657</v>
          </cell>
          <cell r="G44"/>
        </row>
        <row r="45">
          <cell r="B45">
            <v>1974</v>
          </cell>
          <cell r="C45">
            <v>156240</v>
          </cell>
          <cell r="G45"/>
        </row>
        <row r="46">
          <cell r="B46">
            <v>1973</v>
          </cell>
          <cell r="C46">
            <v>112422</v>
          </cell>
          <cell r="G46"/>
        </row>
        <row r="47">
          <cell r="B47">
            <v>1972</v>
          </cell>
          <cell r="C47">
            <v>112947</v>
          </cell>
          <cell r="G47"/>
        </row>
      </sheetData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120"/>
  <sheetViews>
    <sheetView tabSelected="1" zoomScale="85" zoomScaleNormal="85" workbookViewId="0">
      <selection activeCell="H3" sqref="H3"/>
    </sheetView>
  </sheetViews>
  <sheetFormatPr baseColWidth="10" defaultRowHeight="14.4" x14ac:dyDescent="0.3"/>
  <cols>
    <col min="1" max="1" width="9.88671875" customWidth="1"/>
    <col min="2" max="2" width="10.88671875" customWidth="1"/>
    <col min="3" max="3" width="10.44140625" customWidth="1"/>
    <col min="5" max="5" width="5.109375" customWidth="1"/>
    <col min="6" max="7" width="10.5546875" customWidth="1"/>
    <col min="9" max="9" width="5.44140625" customWidth="1"/>
    <col min="10" max="10" width="11.33203125" customWidth="1"/>
    <col min="11" max="11" width="9.6640625" customWidth="1"/>
    <col min="12" max="12" width="5.44140625" customWidth="1"/>
    <col min="13" max="13" width="9.88671875" customWidth="1"/>
    <col min="14" max="14" width="7.33203125" customWidth="1"/>
    <col min="15" max="15" width="6.6640625" customWidth="1"/>
    <col min="18" max="18" width="10.5546875" customWidth="1"/>
    <col min="19" max="19" width="8.44140625" customWidth="1"/>
    <col min="20" max="20" width="5.5546875" customWidth="1"/>
    <col min="23" max="23" width="5.109375" customWidth="1"/>
    <col min="24" max="24" width="9.44140625" customWidth="1"/>
    <col min="35" max="35" width="9.33203125" customWidth="1"/>
    <col min="36" max="36" width="8.44140625" customWidth="1"/>
    <col min="38" max="38" width="8.44140625" customWidth="1"/>
    <col min="39" max="39" width="7.6640625" customWidth="1"/>
  </cols>
  <sheetData>
    <row r="1" spans="1:45" x14ac:dyDescent="0.3">
      <c r="A1" s="55" t="s">
        <v>0</v>
      </c>
      <c r="B1" s="55"/>
      <c r="C1" s="55"/>
      <c r="D1" s="55"/>
      <c r="E1" s="2"/>
      <c r="F1" s="56" t="s">
        <v>100</v>
      </c>
      <c r="G1" s="56"/>
      <c r="H1" s="56"/>
      <c r="I1" s="2"/>
      <c r="J1" s="55" t="s">
        <v>263</v>
      </c>
      <c r="K1" s="55"/>
      <c r="L1" s="55"/>
      <c r="M1" s="55"/>
      <c r="N1" s="32"/>
      <c r="P1" s="55" t="s">
        <v>34</v>
      </c>
      <c r="Q1" s="55"/>
      <c r="R1" s="55"/>
      <c r="S1" s="55"/>
      <c r="U1" s="2" t="s">
        <v>35</v>
      </c>
      <c r="Z1" s="2" t="s">
        <v>10</v>
      </c>
      <c r="AD1" s="2" t="s">
        <v>11</v>
      </c>
      <c r="AH1" s="2" t="s">
        <v>13</v>
      </c>
      <c r="AL1" s="2" t="s">
        <v>15</v>
      </c>
      <c r="AQ1" s="2" t="s">
        <v>33</v>
      </c>
    </row>
    <row r="2" spans="1:45" x14ac:dyDescent="0.3">
      <c r="A2" s="1" t="s">
        <v>1</v>
      </c>
      <c r="B2" s="1" t="s">
        <v>2</v>
      </c>
      <c r="C2" s="1" t="s">
        <v>3</v>
      </c>
      <c r="D2" s="1" t="s">
        <v>4</v>
      </c>
      <c r="E2" s="1"/>
      <c r="F2" s="1" t="s">
        <v>2</v>
      </c>
      <c r="G2" s="1" t="s">
        <v>3</v>
      </c>
      <c r="H2" s="1" t="s">
        <v>4</v>
      </c>
      <c r="J2" s="1" t="s">
        <v>1</v>
      </c>
      <c r="K2" s="1" t="s">
        <v>2</v>
      </c>
      <c r="L2" s="1" t="s">
        <v>3</v>
      </c>
      <c r="M2" s="1" t="s">
        <v>4</v>
      </c>
      <c r="N2" s="1"/>
      <c r="P2" s="1" t="s">
        <v>1</v>
      </c>
      <c r="Q2" s="1" t="s">
        <v>5</v>
      </c>
      <c r="R2" s="1" t="s">
        <v>6</v>
      </c>
      <c r="S2" s="3" t="s">
        <v>18</v>
      </c>
      <c r="U2" s="3" t="s">
        <v>8</v>
      </c>
      <c r="V2" s="4" t="s">
        <v>9</v>
      </c>
      <c r="W2" s="3" t="s">
        <v>17</v>
      </c>
      <c r="X2" s="3" t="s">
        <v>6</v>
      </c>
      <c r="Z2" s="3" t="s">
        <v>8</v>
      </c>
      <c r="AA2" s="4" t="s">
        <v>9</v>
      </c>
      <c r="AB2" s="3" t="s">
        <v>18</v>
      </c>
      <c r="AD2" s="3" t="s">
        <v>8</v>
      </c>
      <c r="AE2" s="4" t="s">
        <v>9</v>
      </c>
      <c r="AF2" s="3" t="s">
        <v>18</v>
      </c>
      <c r="AH2" s="3" t="s">
        <v>1</v>
      </c>
      <c r="AI2" s="3" t="s">
        <v>12</v>
      </c>
      <c r="AJ2" s="3" t="s">
        <v>7</v>
      </c>
      <c r="AK2" s="3" t="s">
        <v>18</v>
      </c>
      <c r="AL2" s="3" t="s">
        <v>1</v>
      </c>
      <c r="AM2" s="3" t="s">
        <v>14</v>
      </c>
      <c r="AN2" s="3" t="s">
        <v>7</v>
      </c>
      <c r="AO2" s="3" t="s">
        <v>18</v>
      </c>
      <c r="AQ2" s="3" t="s">
        <v>1</v>
      </c>
      <c r="AR2" s="3" t="s">
        <v>32</v>
      </c>
      <c r="AS2" s="3" t="s">
        <v>18</v>
      </c>
    </row>
    <row r="3" spans="1:45" x14ac:dyDescent="0.3">
      <c r="A3">
        <v>2015</v>
      </c>
      <c r="B3" s="9">
        <v>0.69275594099254056</v>
      </c>
      <c r="C3" s="9">
        <v>1.3288425000000001</v>
      </c>
      <c r="D3" s="9">
        <v>0.89861944250262771</v>
      </c>
      <c r="F3" s="10">
        <v>-0.32647973717932433</v>
      </c>
      <c r="G3" s="10">
        <v>0.93460471504703824</v>
      </c>
      <c r="H3" s="10">
        <v>0.61778993317907505</v>
      </c>
      <c r="J3">
        <v>2015</v>
      </c>
      <c r="K3">
        <f>AVERAGE(B3:B7)</f>
        <v>0.69635225112986576</v>
      </c>
      <c r="L3" s="9">
        <f>AVERAGE(C3:C7)</f>
        <v>1.1880557499999997</v>
      </c>
      <c r="M3">
        <f>AVERAGE(D3:D4)</f>
        <v>0.7873914116339672</v>
      </c>
      <c r="N3" s="9">
        <f>AVERAGE(H3:H7)</f>
        <v>1.5198987743831877E-2</v>
      </c>
      <c r="P3">
        <v>2015</v>
      </c>
      <c r="Q3" s="9">
        <v>28.355173833333328</v>
      </c>
      <c r="R3" s="9">
        <f>(Q3-Q$69)/Q$70</f>
        <v>1.1477894283739065</v>
      </c>
      <c r="S3" s="9">
        <f>AVERAGE(Q3:Q7)</f>
        <v>28.336240100000005</v>
      </c>
      <c r="Y3">
        <v>0</v>
      </c>
      <c r="AH3">
        <v>2015</v>
      </c>
      <c r="AL3">
        <v>2015</v>
      </c>
      <c r="AM3" s="7">
        <v>259.74166666666667</v>
      </c>
      <c r="AN3" s="7">
        <f>AVERAGE(AM3:AM5)</f>
        <v>293.36666666666662</v>
      </c>
      <c r="AO3" s="7">
        <f>AVERAGE(AM3:AM7)</f>
        <v>350.49333333333328</v>
      </c>
      <c r="AQ3" s="13">
        <v>2015</v>
      </c>
      <c r="AR3" s="3"/>
    </row>
    <row r="4" spans="1:45" x14ac:dyDescent="0.3">
      <c r="A4">
        <v>2014</v>
      </c>
      <c r="B4" s="9">
        <v>0.71124144819945578</v>
      </c>
      <c r="C4" s="9">
        <v>1.0056375000000002</v>
      </c>
      <c r="D4" s="9">
        <v>0.67616338076530669</v>
      </c>
      <c r="F4" s="10">
        <v>-0.18584939721283644</v>
      </c>
      <c r="G4" s="10">
        <v>-0.55522908593821463</v>
      </c>
      <c r="H4" s="10">
        <v>-0.64403136145640749</v>
      </c>
      <c r="J4">
        <v>2014</v>
      </c>
      <c r="K4">
        <f>AVERAGE(B3:B8)</f>
        <v>0.71792658429669876</v>
      </c>
      <c r="L4">
        <f>AVERAGE(C3:C8)</f>
        <v>1.1502877083333332</v>
      </c>
      <c r="M4">
        <f t="shared" ref="M4:M35" si="0">AVERAGE(D3:D5)</f>
        <v>0.84330495717684795</v>
      </c>
      <c r="N4" s="9">
        <f>AVERAGE(H3:H8)</f>
        <v>-6.9621112388084895E-3</v>
      </c>
      <c r="P4">
        <v>2014</v>
      </c>
      <c r="Q4" s="9">
        <v>28.293394333333335</v>
      </c>
      <c r="R4" s="9">
        <f t="shared" ref="R4:R67" si="1">(Q4-Q$69)/Q$70</f>
        <v>0.92743003441826366</v>
      </c>
      <c r="S4" s="9">
        <f>AVERAGE(Q3:Q8)</f>
        <v>28.408496000000003</v>
      </c>
      <c r="Y4">
        <v>0</v>
      </c>
      <c r="AD4">
        <v>2014</v>
      </c>
      <c r="AE4">
        <v>681</v>
      </c>
      <c r="AF4">
        <f>AVERAGE(AE4:AE6)</f>
        <v>683</v>
      </c>
      <c r="AH4">
        <v>2014</v>
      </c>
      <c r="AI4">
        <v>5099.7</v>
      </c>
      <c r="AJ4" s="7">
        <f>AVERAGE(AI4:AI6)</f>
        <v>5363.3499999999995</v>
      </c>
      <c r="AK4">
        <f>AVERAGE(AI4:AI8)</f>
        <v>6466.87</v>
      </c>
      <c r="AL4">
        <v>2014</v>
      </c>
      <c r="AM4" s="7">
        <v>326.30833333333334</v>
      </c>
      <c r="AN4" s="7">
        <f>AVERAGE(AM3:AM6)</f>
        <v>309.14374999999995</v>
      </c>
      <c r="AO4" s="7">
        <f>AVERAGE(AM3:AM8)</f>
        <v>369.63472222222225</v>
      </c>
      <c r="AQ4">
        <v>2014</v>
      </c>
      <c r="AR4">
        <v>32.4</v>
      </c>
      <c r="AS4" s="10">
        <f>AVERAGE(AR4:AR8)</f>
        <v>34.260000000000005</v>
      </c>
    </row>
    <row r="5" spans="1:45" x14ac:dyDescent="0.3">
      <c r="A5">
        <v>2013</v>
      </c>
      <c r="B5" s="9">
        <v>0.66893704445192248</v>
      </c>
      <c r="C5" s="9">
        <v>1.4491025000000002</v>
      </c>
      <c r="D5" s="9">
        <v>0.95513204826260956</v>
      </c>
      <c r="F5" s="10">
        <v>-0.58404580757717428</v>
      </c>
      <c r="G5" s="10">
        <v>1.448343228277118</v>
      </c>
      <c r="H5" s="10">
        <v>0.82773723643001196</v>
      </c>
      <c r="J5">
        <v>2013</v>
      </c>
      <c r="K5">
        <f>AVERAGE(B3:B9)</f>
        <v>0.72271797965998219</v>
      </c>
      <c r="L5">
        <f>AVERAGE(C3:C9)</f>
        <v>1.1274808928571427</v>
      </c>
      <c r="M5">
        <f t="shared" si="0"/>
        <v>0.76992021974297531</v>
      </c>
      <c r="N5" s="9">
        <f>AVERAGE(H3:H9)</f>
        <v>-4.4869426132387535E-2</v>
      </c>
      <c r="P5">
        <v>2013</v>
      </c>
      <c r="Q5" s="9">
        <v>28.339949749999999</v>
      </c>
      <c r="R5" s="9">
        <f t="shared" si="1"/>
        <v>1.0934871148740712</v>
      </c>
      <c r="S5" s="9">
        <f>AVERAGE(Q3:Q9)</f>
        <v>28.362789726190478</v>
      </c>
      <c r="U5">
        <v>2013</v>
      </c>
      <c r="V5">
        <v>28.2</v>
      </c>
      <c r="W5">
        <f>AVERAGE(V5:V6)</f>
        <v>28.15</v>
      </c>
      <c r="X5" s="9">
        <f>(V5-V$67)/V$68</f>
        <v>1.3898906867030951</v>
      </c>
      <c r="Y5">
        <v>0</v>
      </c>
      <c r="Z5">
        <v>2013</v>
      </c>
      <c r="AA5">
        <v>749.4</v>
      </c>
      <c r="AB5">
        <f>AVERAGE(AA5:AA9)</f>
        <v>1330.6799999999998</v>
      </c>
      <c r="AD5">
        <v>2013</v>
      </c>
      <c r="AE5">
        <v>681</v>
      </c>
      <c r="AF5">
        <f>AVERAGE(AE4:AE6)</f>
        <v>683</v>
      </c>
      <c r="AH5">
        <v>2013</v>
      </c>
      <c r="AI5" s="6">
        <f>AVERAGE(AI4,AI6)</f>
        <v>5363.35</v>
      </c>
      <c r="AJ5" s="7">
        <f>AVERAGE(AI4:AI7)</f>
        <v>6120.0124999999998</v>
      </c>
      <c r="AK5">
        <f>AVERAGE(AI4:AI9)</f>
        <v>6514.375</v>
      </c>
      <c r="AL5">
        <v>2013</v>
      </c>
      <c r="AM5" s="7">
        <v>294.05</v>
      </c>
      <c r="AN5" s="7">
        <f>AVERAGE(AM3:AM7)</f>
        <v>350.49333333333328</v>
      </c>
      <c r="AO5" s="7">
        <f>AVERAGE(AM3:AM9)</f>
        <v>376.72380952380951</v>
      </c>
      <c r="AQ5">
        <v>2013</v>
      </c>
      <c r="AR5">
        <v>34.799999999999997</v>
      </c>
      <c r="AS5" s="10">
        <f>AVERAGE(AR4:AR10)</f>
        <v>34.260000000000005</v>
      </c>
    </row>
    <row r="6" spans="1:45" x14ac:dyDescent="0.3">
      <c r="A6">
        <v>2012</v>
      </c>
      <c r="B6" s="9">
        <v>0.6786841144954634</v>
      </c>
      <c r="C6" s="9">
        <v>1.0613424999999994</v>
      </c>
      <c r="D6" s="9">
        <v>0.67846523020100968</v>
      </c>
      <c r="F6" s="10">
        <v>-0.48500742335221236</v>
      </c>
      <c r="G6" s="10">
        <v>-0.27729465068158743</v>
      </c>
      <c r="H6" s="10">
        <v>-0.55620611850496038</v>
      </c>
      <c r="J6">
        <v>2012</v>
      </c>
      <c r="K6">
        <f>AVERAGE(B3:B10)</f>
        <v>0.7226144614629576</v>
      </c>
      <c r="L6">
        <f>AVERAGE(C3:C10)</f>
        <v>1.1175364062499997</v>
      </c>
      <c r="M6">
        <f t="shared" si="0"/>
        <v>0.80072576414575514</v>
      </c>
      <c r="N6" s="9">
        <f>AVERAGE(H3:H10)</f>
        <v>-6.6656784179251721E-2</v>
      </c>
      <c r="P6">
        <v>2012</v>
      </c>
      <c r="Q6" s="9">
        <v>28.264226666666669</v>
      </c>
      <c r="R6" s="9">
        <f t="shared" si="1"/>
        <v>0.82339278339215538</v>
      </c>
      <c r="S6" s="9">
        <f>AVERAGE(Q3:Q10)</f>
        <v>28.333392291666669</v>
      </c>
      <c r="U6">
        <v>2012</v>
      </c>
      <c r="V6">
        <v>28.1</v>
      </c>
      <c r="W6">
        <f>AVERAGE(V5:V7)</f>
        <v>28.033333333333331</v>
      </c>
      <c r="X6" s="9">
        <f t="shared" ref="X6:X64" si="2">(V6-V$67)/V$68</f>
        <v>1.0715951095955261</v>
      </c>
      <c r="Y6">
        <v>0</v>
      </c>
      <c r="Z6">
        <v>2012</v>
      </c>
      <c r="AA6">
        <v>1002.5</v>
      </c>
      <c r="AB6">
        <f>AVERAGE(AA5:AA10)</f>
        <v>1274.3333333333333</v>
      </c>
      <c r="AD6">
        <v>2012</v>
      </c>
      <c r="AE6">
        <v>687</v>
      </c>
      <c r="AF6">
        <f>AVERAGE(AE4:AE6)</f>
        <v>683</v>
      </c>
      <c r="AH6">
        <v>2012</v>
      </c>
      <c r="AI6">
        <v>5627</v>
      </c>
      <c r="AJ6" s="7">
        <f>AVERAGE(AI4:AI8)</f>
        <v>6466.87</v>
      </c>
      <c r="AK6">
        <f>AVERAGE(AI4:AI10)</f>
        <v>6761.4214285714279</v>
      </c>
      <c r="AL6">
        <v>2012</v>
      </c>
      <c r="AM6" s="7">
        <v>356.47499999999997</v>
      </c>
      <c r="AN6" s="7">
        <f t="shared" ref="AN6:AN37" si="3">AVERAGE(AM4:AM8)</f>
        <v>391.61333333333334</v>
      </c>
      <c r="AO6" s="7">
        <f>AVERAGE(AM3:AM10)</f>
        <v>399.69583333333333</v>
      </c>
      <c r="AQ6">
        <v>2012</v>
      </c>
      <c r="AR6">
        <v>34.799999999999997</v>
      </c>
      <c r="AS6" s="10">
        <f>AVERAGE(AR4:AR12)</f>
        <v>34.260000000000005</v>
      </c>
    </row>
    <row r="7" spans="1:45" x14ac:dyDescent="0.3">
      <c r="A7">
        <v>2011</v>
      </c>
      <c r="B7" s="9">
        <v>0.7301427075099467</v>
      </c>
      <c r="C7" s="9">
        <v>1.0953537499999997</v>
      </c>
      <c r="D7" s="9">
        <v>0.76858001397364628</v>
      </c>
      <c r="F7" s="10">
        <v>-0.10450547304341051</v>
      </c>
      <c r="G7" s="10">
        <v>-7.0173794790395261E-2</v>
      </c>
      <c r="H7" s="10">
        <v>-0.16929475092855975</v>
      </c>
      <c r="J7">
        <v>2011</v>
      </c>
      <c r="K7">
        <f t="shared" ref="K7:K38" si="4">AVERAGE(B3:B11)</f>
        <v>0.71558062552543311</v>
      </c>
      <c r="L7" s="9">
        <f>AVERAGE(C3:C11)</f>
        <v>1.1124448611111108</v>
      </c>
      <c r="M7">
        <f t="shared" si="0"/>
        <v>0.73163328186487375</v>
      </c>
      <c r="N7" s="9">
        <f t="shared" ref="N7:N38" si="5">AVERAGE(H3:H11)</f>
        <v>-0.10857681589171049</v>
      </c>
      <c r="P7">
        <v>2011</v>
      </c>
      <c r="Q7" s="9">
        <v>28.428455916666667</v>
      </c>
      <c r="R7" s="9">
        <f t="shared" si="1"/>
        <v>1.4091770322092136</v>
      </c>
      <c r="S7" s="9">
        <f>AVERAGE(Q3:Q11)</f>
        <v>28.319572675925926</v>
      </c>
      <c r="U7">
        <v>2011</v>
      </c>
      <c r="V7">
        <v>27.8</v>
      </c>
      <c r="W7">
        <f t="shared" ref="W7:W64" si="6">AVERAGE(V6:V8)</f>
        <v>28</v>
      </c>
      <c r="X7" s="9">
        <f t="shared" si="2"/>
        <v>0.11670837827279607</v>
      </c>
      <c r="Y7">
        <v>0</v>
      </c>
      <c r="Z7">
        <v>2011</v>
      </c>
      <c r="AA7">
        <v>1847.8</v>
      </c>
      <c r="AB7">
        <f>AVERAGE(AA5:AA11)</f>
        <v>1254.2</v>
      </c>
      <c r="AE7" s="6">
        <f>AVERAGE(AE6,AE8)</f>
        <v>689.5</v>
      </c>
      <c r="AF7">
        <v>687</v>
      </c>
      <c r="AH7">
        <v>2011</v>
      </c>
      <c r="AI7">
        <v>8390</v>
      </c>
      <c r="AJ7" s="7">
        <f t="shared" ref="AJ7:AJ34" si="7">AVERAGE(AI5:AI9)</f>
        <v>6797.3099999999995</v>
      </c>
      <c r="AK7">
        <f>AVERAGE(AI4:AI11)</f>
        <v>6907.4562499999993</v>
      </c>
      <c r="AL7">
        <v>2011</v>
      </c>
      <c r="AM7" s="7">
        <v>515.89166666666665</v>
      </c>
      <c r="AN7" s="7">
        <f t="shared" si="3"/>
        <v>410.20333333333326</v>
      </c>
      <c r="AO7" s="7">
        <f>AVERAGE(AM3:AM11)</f>
        <v>413.68821548821546</v>
      </c>
      <c r="AQ7">
        <v>2011</v>
      </c>
      <c r="AR7">
        <v>33.5</v>
      </c>
      <c r="AS7" s="10">
        <f>AVERAGE(AR4:AR13)</f>
        <v>34.260000000000005</v>
      </c>
    </row>
    <row r="8" spans="1:45" x14ac:dyDescent="0.3">
      <c r="A8">
        <v>2010</v>
      </c>
      <c r="B8" s="9">
        <v>0.82579825013086317</v>
      </c>
      <c r="C8" s="9">
        <v>0.96144750000000012</v>
      </c>
      <c r="D8" s="9">
        <v>0.74785460141996563</v>
      </c>
      <c r="F8" s="10">
        <v>0.76107340821596647</v>
      </c>
      <c r="G8" s="10">
        <v>-0.68306187970666632</v>
      </c>
      <c r="H8" s="10">
        <v>-0.11776760615201032</v>
      </c>
      <c r="J8">
        <v>2010</v>
      </c>
      <c r="K8">
        <f t="shared" si="4"/>
        <v>0.71531997928677404</v>
      </c>
      <c r="L8">
        <f t="shared" ref="L7:L38" si="8">AVERAGE(C4:C12)</f>
        <v>1.0843738888888887</v>
      </c>
      <c r="M8">
        <f t="shared" si="0"/>
        <v>0.75061613018718221</v>
      </c>
      <c r="N8" s="9">
        <f t="shared" si="5"/>
        <v>-0.21294946024819053</v>
      </c>
      <c r="P8">
        <v>2010</v>
      </c>
      <c r="Q8" s="9">
        <v>28.769775499999994</v>
      </c>
      <c r="R8" s="9">
        <f t="shared" si="1"/>
        <v>2.6266193314918711</v>
      </c>
      <c r="S8" s="9">
        <f>AVERAGE(Q4:Q12)</f>
        <v>28.320331888888887</v>
      </c>
      <c r="U8">
        <v>2010</v>
      </c>
      <c r="V8">
        <v>28.1</v>
      </c>
      <c r="W8">
        <f t="shared" si="6"/>
        <v>28.033333333333335</v>
      </c>
      <c r="X8" s="9">
        <f t="shared" si="2"/>
        <v>1.0715951095955261</v>
      </c>
      <c r="Y8">
        <v>0</v>
      </c>
      <c r="Z8">
        <v>2010</v>
      </c>
      <c r="AA8">
        <v>2444</v>
      </c>
      <c r="AB8">
        <f>AVERAGE(AA5:AA12)</f>
        <v>1202.5999999999999</v>
      </c>
      <c r="AD8">
        <v>2010</v>
      </c>
      <c r="AE8">
        <v>692</v>
      </c>
      <c r="AF8">
        <f>AVERAGE(AE8:AE10)</f>
        <v>692.66666666666663</v>
      </c>
      <c r="AH8">
        <v>2010</v>
      </c>
      <c r="AI8">
        <v>7854.3</v>
      </c>
      <c r="AJ8" s="7">
        <f t="shared" si="7"/>
        <v>7373.38</v>
      </c>
      <c r="AK8">
        <f>AVERAGE(AI4:AI12)</f>
        <v>7026.4166666666661</v>
      </c>
      <c r="AL8">
        <v>2010</v>
      </c>
      <c r="AM8" s="7">
        <v>465.3416666666667</v>
      </c>
      <c r="AN8" s="7">
        <f t="shared" si="3"/>
        <v>463.49333333333334</v>
      </c>
      <c r="AO8" s="7">
        <f>AVERAGE(AM4:AM12)</f>
        <v>438.42895622895617</v>
      </c>
      <c r="AQ8">
        <v>2010</v>
      </c>
      <c r="AR8">
        <v>35.799999999999997</v>
      </c>
      <c r="AS8" s="10">
        <f>AVERAGE(AR4:AR14)</f>
        <v>33.983333333333334</v>
      </c>
    </row>
    <row r="9" spans="1:45" x14ac:dyDescent="0.3">
      <c r="A9">
        <v>2009</v>
      </c>
      <c r="B9" s="9">
        <v>0.75146635183968336</v>
      </c>
      <c r="C9" s="9">
        <v>0.99063999999999952</v>
      </c>
      <c r="D9" s="9">
        <v>0.73541377516793471</v>
      </c>
      <c r="F9" s="10">
        <v>3.1806869343931177E-2</v>
      </c>
      <c r="G9" s="10">
        <v>-0.50548194053356799</v>
      </c>
      <c r="H9" s="10">
        <v>-0.27231331549386179</v>
      </c>
      <c r="J9">
        <v>2009</v>
      </c>
      <c r="K9">
        <f t="shared" si="4"/>
        <v>0.71014746741020685</v>
      </c>
      <c r="L9">
        <f t="shared" si="8"/>
        <v>1.1054669444444447</v>
      </c>
      <c r="M9">
        <f t="shared" si="0"/>
        <v>0.74265230362513079</v>
      </c>
      <c r="N9" s="9">
        <f t="shared" si="5"/>
        <v>-0.15758517335739752</v>
      </c>
      <c r="P9">
        <v>2009</v>
      </c>
      <c r="Q9" s="9">
        <v>28.08855208333333</v>
      </c>
      <c r="R9" s="9">
        <f t="shared" si="1"/>
        <v>0.19678452795549448</v>
      </c>
      <c r="S9" s="9">
        <f>AVERAGE(Q5:Q13)</f>
        <v>28.349165027777776</v>
      </c>
      <c r="U9">
        <v>2009</v>
      </c>
      <c r="V9">
        <v>28.2</v>
      </c>
      <c r="W9">
        <f t="shared" si="6"/>
        <v>27.966666666666669</v>
      </c>
      <c r="X9" s="9">
        <f t="shared" si="2"/>
        <v>1.3898906867030951</v>
      </c>
      <c r="Y9">
        <v>0</v>
      </c>
      <c r="Z9">
        <v>2009</v>
      </c>
      <c r="AA9">
        <v>609.70000000000005</v>
      </c>
      <c r="AB9">
        <f>AVERAGE(AA5:AA13)</f>
        <v>1151.5666666666666</v>
      </c>
      <c r="AD9">
        <v>2009</v>
      </c>
      <c r="AE9">
        <v>688</v>
      </c>
      <c r="AF9">
        <f>AVERAGE(AE8:AE11)</f>
        <v>692.75</v>
      </c>
      <c r="AH9">
        <v>2009</v>
      </c>
      <c r="AI9">
        <v>6751.9000000000005</v>
      </c>
      <c r="AJ9" s="7">
        <f t="shared" si="7"/>
        <v>7833.92</v>
      </c>
      <c r="AK9">
        <f>AVERAGE(AI5:AI13)</f>
        <v>6857.15</v>
      </c>
      <c r="AL9">
        <v>2009</v>
      </c>
      <c r="AM9" s="7">
        <v>419.25833333333338</v>
      </c>
      <c r="AN9" s="7">
        <f t="shared" si="3"/>
        <v>497.32378787878787</v>
      </c>
      <c r="AO9" s="7">
        <f t="shared" ref="AO9:AO37" si="9">AVERAGE(AM5:AM13)</f>
        <v>446.81691919191917</v>
      </c>
      <c r="AQ9">
        <v>2009</v>
      </c>
      <c r="AS9" s="10">
        <f>AVERAGE(AR4:AR14)</f>
        <v>33.983333333333334</v>
      </c>
    </row>
    <row r="10" spans="1:45" x14ac:dyDescent="0.3">
      <c r="A10">
        <v>2008</v>
      </c>
      <c r="B10" s="9">
        <v>0.72188983408378515</v>
      </c>
      <c r="C10" s="9">
        <v>1.0479249999999998</v>
      </c>
      <c r="D10" s="9">
        <v>0.74468853428749215</v>
      </c>
      <c r="F10" s="10">
        <v>-0.10119712420121116</v>
      </c>
      <c r="G10" s="10">
        <v>-0.24094463436337366</v>
      </c>
      <c r="H10" s="10">
        <v>-0.21916829050730102</v>
      </c>
      <c r="J10">
        <v>2008</v>
      </c>
      <c r="K10">
        <f t="shared" si="4"/>
        <v>0.71681602170451775</v>
      </c>
      <c r="L10">
        <f t="shared" si="8"/>
        <v>1.0662159722222222</v>
      </c>
      <c r="M10">
        <f t="shared" si="0"/>
        <v>0.72839806106700478</v>
      </c>
      <c r="N10" s="9">
        <f t="shared" si="5"/>
        <v>-0.26170400451499476</v>
      </c>
      <c r="P10">
        <v>2008</v>
      </c>
      <c r="Q10" s="9">
        <v>28.12761025</v>
      </c>
      <c r="R10" s="9">
        <f t="shared" si="1"/>
        <v>0.33609989851833449</v>
      </c>
      <c r="S10" s="9">
        <f t="shared" ref="S10:S62" si="10">AVERAGE(Q6:Q14)</f>
        <v>28.341022499999994</v>
      </c>
      <c r="U10">
        <v>2008</v>
      </c>
      <c r="V10">
        <v>27.6</v>
      </c>
      <c r="W10">
        <f t="shared" si="6"/>
        <v>27.866666666666664</v>
      </c>
      <c r="X10" s="9">
        <f t="shared" si="2"/>
        <v>-0.51988277594235344</v>
      </c>
      <c r="Y10">
        <v>0</v>
      </c>
      <c r="Z10">
        <v>2008</v>
      </c>
      <c r="AA10">
        <v>992.6</v>
      </c>
      <c r="AB10">
        <f t="shared" ref="AB10:AB11" si="11">AVERAGE(AA6:AA14)</f>
        <v>1213.5333333333333</v>
      </c>
      <c r="AD10">
        <v>2008</v>
      </c>
      <c r="AE10">
        <v>698</v>
      </c>
      <c r="AF10">
        <f>AVERAGE(AE8:AE12)</f>
        <v>692.2</v>
      </c>
      <c r="AH10">
        <v>2008</v>
      </c>
      <c r="AI10">
        <v>8243.7000000000007</v>
      </c>
      <c r="AJ10" s="7">
        <f t="shared" si="7"/>
        <v>7751.5399999999991</v>
      </c>
      <c r="AK10">
        <f>AVERAGE(AI6:AI14)</f>
        <v>6723.5333333333338</v>
      </c>
      <c r="AL10">
        <v>2008</v>
      </c>
      <c r="AM10" s="7">
        <v>560.5</v>
      </c>
      <c r="AN10" s="7">
        <f t="shared" si="3"/>
        <v>490.62712121212127</v>
      </c>
      <c r="AO10" s="7">
        <f t="shared" si="9"/>
        <v>455.34284511784506</v>
      </c>
      <c r="AQ10">
        <v>2008</v>
      </c>
      <c r="AS10" s="10">
        <f t="shared" ref="AS10:AS63" si="12">AVERAGE(AR5:AR15)</f>
        <v>34.166666666666664</v>
      </c>
    </row>
    <row r="11" spans="1:45" x14ac:dyDescent="0.3">
      <c r="A11">
        <v>2007</v>
      </c>
      <c r="B11" s="9">
        <v>0.65930993802523696</v>
      </c>
      <c r="C11" s="9">
        <v>1.0717125000000007</v>
      </c>
      <c r="D11" s="9">
        <v>0.70509187374558735</v>
      </c>
      <c r="F11" s="10">
        <v>-0.65295470758829477</v>
      </c>
      <c r="G11" s="10">
        <v>-0.15086672822432939</v>
      </c>
      <c r="H11" s="10">
        <v>-0.44393706959138068</v>
      </c>
      <c r="J11">
        <v>2007</v>
      </c>
      <c r="K11">
        <f t="shared" si="4"/>
        <v>0.7133354581914898</v>
      </c>
      <c r="L11">
        <f t="shared" si="8"/>
        <v>1.0734090277777777</v>
      </c>
      <c r="M11">
        <f t="shared" si="0"/>
        <v>0.72966904911331731</v>
      </c>
      <c r="N11" s="9">
        <f t="shared" si="5"/>
        <v>-0.23767875738354535</v>
      </c>
      <c r="P11">
        <v>2007</v>
      </c>
      <c r="Q11" s="9">
        <v>28.209015750000002</v>
      </c>
      <c r="R11" s="9">
        <f t="shared" si="1"/>
        <v>0.62646266682592278</v>
      </c>
      <c r="S11" s="9">
        <f t="shared" si="10"/>
        <v>28.344871666666663</v>
      </c>
      <c r="U11">
        <v>2007</v>
      </c>
      <c r="V11">
        <v>27.8</v>
      </c>
      <c r="W11">
        <f t="shared" si="6"/>
        <v>27.8</v>
      </c>
      <c r="X11" s="9">
        <f t="shared" si="2"/>
        <v>0.11670837827279607</v>
      </c>
      <c r="Y11">
        <v>0</v>
      </c>
      <c r="Z11">
        <v>2007</v>
      </c>
      <c r="AA11">
        <v>1133.4000000000001</v>
      </c>
      <c r="AB11">
        <f t="shared" si="11"/>
        <v>1213.8</v>
      </c>
      <c r="AD11">
        <v>2007</v>
      </c>
      <c r="AE11">
        <v>693</v>
      </c>
      <c r="AF11">
        <f t="shared" ref="AF11:AF35" si="13">AVERAGE(AE9:AE13)</f>
        <v>690.6</v>
      </c>
      <c r="AH11">
        <v>2007</v>
      </c>
      <c r="AI11">
        <v>7929.6999999999989</v>
      </c>
      <c r="AJ11" s="7">
        <f t="shared" si="7"/>
        <v>6895.9400000000005</v>
      </c>
      <c r="AK11">
        <f t="shared" ref="AK11:AK33" si="14">AVERAGE(AI7:AI15)</f>
        <v>6713.5444444444447</v>
      </c>
      <c r="AL11">
        <v>2007</v>
      </c>
      <c r="AM11" s="7">
        <v>525.62727272727273</v>
      </c>
      <c r="AN11" s="7">
        <f t="shared" si="3"/>
        <v>477.91878787878795</v>
      </c>
      <c r="AO11" s="7">
        <f t="shared" si="9"/>
        <v>457.70521885521885</v>
      </c>
      <c r="AQ11">
        <v>2007</v>
      </c>
      <c r="AS11" s="10">
        <f t="shared" si="12"/>
        <v>33.93333333333333</v>
      </c>
    </row>
    <row r="12" spans="1:45" x14ac:dyDescent="0.3">
      <c r="A12">
        <v>2006</v>
      </c>
      <c r="B12" s="9">
        <v>0.69041012484460884</v>
      </c>
      <c r="C12" s="9">
        <v>1.0762037500000015</v>
      </c>
      <c r="D12" s="9">
        <v>0.73922673930687277</v>
      </c>
      <c r="F12" s="10">
        <v>-0.28053441380574623</v>
      </c>
      <c r="G12" s="10">
        <v>-1.2045841514107092E-2</v>
      </c>
      <c r="H12" s="10">
        <v>-0.32156386602924553</v>
      </c>
      <c r="J12">
        <v>2006</v>
      </c>
      <c r="K12">
        <f t="shared" si="4"/>
        <v>0.70015104941403394</v>
      </c>
      <c r="L12">
        <f t="shared" si="8"/>
        <v>1.0789761111111107</v>
      </c>
      <c r="M12">
        <f t="shared" si="0"/>
        <v>0.73951126664687106</v>
      </c>
      <c r="N12" s="9">
        <f t="shared" si="5"/>
        <v>-0.27641324884625745</v>
      </c>
      <c r="P12">
        <v>2006</v>
      </c>
      <c r="Q12" s="9">
        <v>28.362006749999995</v>
      </c>
      <c r="R12" s="9">
        <f t="shared" si="1"/>
        <v>1.1721615481809033</v>
      </c>
      <c r="S12" s="9">
        <f t="shared" si="10"/>
        <v>28.305870333333335</v>
      </c>
      <c r="U12">
        <v>2006</v>
      </c>
      <c r="V12">
        <v>28</v>
      </c>
      <c r="W12">
        <f t="shared" si="6"/>
        <v>27.966666666666669</v>
      </c>
      <c r="X12" s="9">
        <f t="shared" si="2"/>
        <v>0.75329953248794557</v>
      </c>
      <c r="Y12">
        <v>0</v>
      </c>
      <c r="Z12">
        <v>2006</v>
      </c>
      <c r="AA12">
        <v>841.4</v>
      </c>
      <c r="AB12">
        <f>AVERAGE(AA8:AA16)</f>
        <v>1082.2222222222222</v>
      </c>
      <c r="AD12">
        <v>2006</v>
      </c>
      <c r="AE12">
        <v>690</v>
      </c>
      <c r="AF12">
        <f t="shared" si="13"/>
        <v>689.2</v>
      </c>
      <c r="AH12">
        <v>2006</v>
      </c>
      <c r="AI12">
        <v>7978.1</v>
      </c>
      <c r="AJ12" s="7">
        <f t="shared" si="7"/>
        <v>6377.7199999999993</v>
      </c>
      <c r="AK12">
        <f t="shared" si="14"/>
        <v>6411.5888888888894</v>
      </c>
      <c r="AL12">
        <v>2006</v>
      </c>
      <c r="AM12" s="7">
        <v>482.4083333333333</v>
      </c>
      <c r="AN12" s="7">
        <f t="shared" si="3"/>
        <v>468.2237878787879</v>
      </c>
      <c r="AO12" s="7">
        <f t="shared" si="9"/>
        <v>440.55707070707075</v>
      </c>
      <c r="AQ12">
        <v>2006</v>
      </c>
      <c r="AS12" s="10">
        <f t="shared" si="12"/>
        <v>34.033333333333339</v>
      </c>
    </row>
    <row r="13" spans="1:45" x14ac:dyDescent="0.3">
      <c r="A13">
        <v>2005</v>
      </c>
      <c r="B13" s="9">
        <v>0.66468884131035</v>
      </c>
      <c r="C13" s="9">
        <v>1.1954750000000021</v>
      </c>
      <c r="D13" s="9">
        <v>0.77421518688815294</v>
      </c>
      <c r="F13" s="10">
        <v>-0.62747288444335581</v>
      </c>
      <c r="G13" s="10">
        <v>0.24306748765088926</v>
      </c>
      <c r="H13" s="10">
        <v>-0.14575277943927017</v>
      </c>
      <c r="J13">
        <v>2005</v>
      </c>
      <c r="K13">
        <f t="shared" si="4"/>
        <v>0.67687555738380267</v>
      </c>
      <c r="L13">
        <f t="shared" si="8"/>
        <v>1.1190848611111106</v>
      </c>
      <c r="M13">
        <f t="shared" si="0"/>
        <v>0.76283404325930437</v>
      </c>
      <c r="N13" s="9">
        <f t="shared" si="5"/>
        <v>-0.25343292781527843</v>
      </c>
      <c r="P13">
        <v>2005</v>
      </c>
      <c r="Q13" s="9">
        <v>28.552892583333332</v>
      </c>
      <c r="R13" s="9">
        <f t="shared" si="1"/>
        <v>1.8530263422963718</v>
      </c>
      <c r="S13" s="9">
        <f t="shared" si="10"/>
        <v>28.223055240740738</v>
      </c>
      <c r="U13">
        <v>2005</v>
      </c>
      <c r="V13">
        <v>28.1</v>
      </c>
      <c r="W13">
        <f t="shared" si="6"/>
        <v>28</v>
      </c>
      <c r="X13" s="9">
        <f t="shared" si="2"/>
        <v>1.0715951095955261</v>
      </c>
      <c r="Y13">
        <v>0</v>
      </c>
      <c r="Z13">
        <v>2005</v>
      </c>
      <c r="AA13">
        <v>743.3</v>
      </c>
      <c r="AB13">
        <f t="shared" ref="AB13:AB21" si="15">AVERAGE(AA9:AA17)</f>
        <v>886.47777777777776</v>
      </c>
      <c r="AD13">
        <v>2005</v>
      </c>
      <c r="AE13">
        <v>684</v>
      </c>
      <c r="AF13">
        <f t="shared" si="13"/>
        <v>685</v>
      </c>
      <c r="AH13">
        <v>2005</v>
      </c>
      <c r="AI13">
        <v>3576.3</v>
      </c>
      <c r="AJ13" s="7">
        <f t="shared" si="7"/>
        <v>5836.4</v>
      </c>
      <c r="AK13">
        <f t="shared" si="14"/>
        <v>6021.3444444444449</v>
      </c>
      <c r="AL13">
        <v>2005</v>
      </c>
      <c r="AM13" s="7">
        <v>401.8</v>
      </c>
      <c r="AN13" s="7">
        <f t="shared" si="3"/>
        <v>431.67106060606056</v>
      </c>
      <c r="AO13" s="7">
        <f t="shared" si="9"/>
        <v>420.50244107744112</v>
      </c>
      <c r="AQ13">
        <v>2005</v>
      </c>
      <c r="AS13" s="10">
        <f t="shared" si="12"/>
        <v>34.033333333333339</v>
      </c>
    </row>
    <row r="14" spans="1:45" x14ac:dyDescent="0.3">
      <c r="A14">
        <v>2004</v>
      </c>
      <c r="B14" s="9">
        <v>0.72895403310072071</v>
      </c>
      <c r="C14" s="9">
        <v>1.0958437499999982</v>
      </c>
      <c r="D14" s="9">
        <v>0.7750602035828873</v>
      </c>
      <c r="F14" s="10">
        <v>-9.2487508060765916E-2</v>
      </c>
      <c r="G14" s="10">
        <v>2.0655232173091009E-3</v>
      </c>
      <c r="H14" s="10">
        <v>-0.10933224398836335</v>
      </c>
      <c r="J14">
        <v>2004</v>
      </c>
      <c r="K14">
        <f t="shared" si="4"/>
        <v>0.66557516832944053</v>
      </c>
      <c r="L14">
        <f t="shared" si="8"/>
        <v>1.152029166666666</v>
      </c>
      <c r="M14">
        <f t="shared" si="0"/>
        <v>0.7556659412658141</v>
      </c>
      <c r="N14" s="9">
        <f t="shared" si="5"/>
        <v>-0.19073805846034658</v>
      </c>
      <c r="P14">
        <v>2004</v>
      </c>
      <c r="Q14" s="9">
        <v>28.266666999999998</v>
      </c>
      <c r="R14" s="9">
        <f t="shared" si="1"/>
        <v>0.83209713312600198</v>
      </c>
      <c r="S14" s="9">
        <f t="shared" si="10"/>
        <v>28.205646314814814</v>
      </c>
      <c r="U14">
        <v>2004</v>
      </c>
      <c r="V14">
        <v>27.9</v>
      </c>
      <c r="W14">
        <f t="shared" si="6"/>
        <v>28</v>
      </c>
      <c r="X14" s="9">
        <f t="shared" si="2"/>
        <v>0.43500395538036518</v>
      </c>
      <c r="Y14">
        <v>0</v>
      </c>
      <c r="Z14">
        <v>2004</v>
      </c>
      <c r="AA14">
        <v>1307.0999999999999</v>
      </c>
      <c r="AB14">
        <f t="shared" si="15"/>
        <v>906.26666666666665</v>
      </c>
      <c r="AD14">
        <v>2004</v>
      </c>
      <c r="AE14">
        <v>681</v>
      </c>
      <c r="AF14">
        <f t="shared" si="13"/>
        <v>680.6</v>
      </c>
      <c r="AH14">
        <v>2004</v>
      </c>
      <c r="AI14">
        <v>4160.8</v>
      </c>
      <c r="AJ14" s="7">
        <f t="shared" si="7"/>
        <v>5384.9400000000005</v>
      </c>
      <c r="AK14">
        <f t="shared" si="14"/>
        <v>6221.1888888888889</v>
      </c>
      <c r="AL14">
        <v>2004</v>
      </c>
      <c r="AM14" s="7">
        <v>370.7833333333333</v>
      </c>
      <c r="AN14" s="7">
        <f t="shared" si="3"/>
        <v>398.85727272727274</v>
      </c>
      <c r="AO14" s="7">
        <f t="shared" si="9"/>
        <v>430.78207070707072</v>
      </c>
      <c r="AQ14">
        <v>2004</v>
      </c>
      <c r="AR14">
        <v>32.6</v>
      </c>
      <c r="AS14" s="10">
        <f t="shared" si="12"/>
        <v>33.68</v>
      </c>
    </row>
    <row r="15" spans="1:45" x14ac:dyDescent="0.3">
      <c r="A15">
        <v>2003</v>
      </c>
      <c r="B15" s="9">
        <v>0.64735904287821244</v>
      </c>
      <c r="C15" s="9">
        <v>1.1260799999999973</v>
      </c>
      <c r="D15" s="9">
        <v>0.71772243332640207</v>
      </c>
      <c r="F15" s="10">
        <v>-0.73120595137247391</v>
      </c>
      <c r="G15" s="10">
        <v>1.0923505028684888E-2</v>
      </c>
      <c r="H15" s="10">
        <v>-0.33997889432191547</v>
      </c>
      <c r="J15">
        <v>2003</v>
      </c>
      <c r="K15">
        <f t="shared" si="4"/>
        <v>0.66333480770678555</v>
      </c>
      <c r="L15">
        <f t="shared" si="8"/>
        <v>1.1588638888888878</v>
      </c>
      <c r="M15">
        <f t="shared" si="0"/>
        <v>0.72838898675930386</v>
      </c>
      <c r="N15" s="9">
        <f t="shared" si="5"/>
        <v>-0.18544870204690636</v>
      </c>
      <c r="P15">
        <v>2003</v>
      </c>
      <c r="Q15" s="9">
        <v>28.298869166666666</v>
      </c>
      <c r="R15" s="9">
        <f t="shared" si="1"/>
        <v>0.94695804865180488</v>
      </c>
      <c r="S15" s="9">
        <f t="shared" si="10"/>
        <v>28.197981231481478</v>
      </c>
      <c r="U15">
        <v>2003</v>
      </c>
      <c r="V15">
        <v>28</v>
      </c>
      <c r="W15">
        <f t="shared" si="6"/>
        <v>28</v>
      </c>
      <c r="X15" s="9">
        <f t="shared" si="2"/>
        <v>0.75329953248794557</v>
      </c>
      <c r="Y15">
        <v>0</v>
      </c>
      <c r="Z15">
        <v>2003</v>
      </c>
      <c r="AA15">
        <v>1004.9</v>
      </c>
      <c r="AB15">
        <f t="shared" si="15"/>
        <v>961.01111111111118</v>
      </c>
      <c r="AD15">
        <v>2003</v>
      </c>
      <c r="AE15">
        <v>677</v>
      </c>
      <c r="AF15">
        <f t="shared" si="13"/>
        <v>675.4</v>
      </c>
      <c r="AH15">
        <v>2003</v>
      </c>
      <c r="AI15">
        <v>5537.0999999999995</v>
      </c>
      <c r="AJ15" s="7">
        <f t="shared" si="7"/>
        <v>4657.74</v>
      </c>
      <c r="AK15">
        <f t="shared" si="14"/>
        <v>6094.3111111111102</v>
      </c>
      <c r="AL15">
        <v>2003</v>
      </c>
      <c r="AM15" s="7">
        <v>377.73636363636365</v>
      </c>
      <c r="AN15" s="7">
        <f t="shared" si="3"/>
        <v>359.34560606060603</v>
      </c>
      <c r="AO15" s="7">
        <f t="shared" si="9"/>
        <v>428.26355218855213</v>
      </c>
      <c r="AQ15">
        <v>2003</v>
      </c>
      <c r="AR15">
        <v>33.5</v>
      </c>
      <c r="AS15" s="10">
        <f t="shared" si="12"/>
        <v>33.68</v>
      </c>
    </row>
    <row r="16" spans="1:45" x14ac:dyDescent="0.3">
      <c r="A16">
        <v>2002</v>
      </c>
      <c r="B16" s="9">
        <v>0.61148302851284342</v>
      </c>
      <c r="C16" s="9">
        <v>1.145457499999998</v>
      </c>
      <c r="D16" s="9">
        <v>0.69238432336862221</v>
      </c>
      <c r="F16" s="10">
        <v>-0.96893112011572435</v>
      </c>
      <c r="G16" s="10">
        <v>0.25565469877480762</v>
      </c>
      <c r="H16" s="10">
        <v>-0.51790517409296877</v>
      </c>
      <c r="J16">
        <v>2002</v>
      </c>
      <c r="K16">
        <f t="shared" si="4"/>
        <v>0.66421153914980147</v>
      </c>
      <c r="L16">
        <f t="shared" si="8"/>
        <v>1.1713401388888842</v>
      </c>
      <c r="M16">
        <f t="shared" si="0"/>
        <v>0.74017712479387321</v>
      </c>
      <c r="N16" s="9">
        <f t="shared" si="5"/>
        <v>-0.14111685193660717</v>
      </c>
      <c r="P16">
        <v>2002</v>
      </c>
      <c r="Q16" s="9">
        <v>28.077443916666667</v>
      </c>
      <c r="R16" s="9">
        <f t="shared" si="1"/>
        <v>0.15716315072478904</v>
      </c>
      <c r="S16" s="9">
        <f t="shared" si="10"/>
        <v>28.231531296296296</v>
      </c>
      <c r="U16">
        <v>2002</v>
      </c>
      <c r="V16">
        <v>28.1</v>
      </c>
      <c r="W16">
        <f t="shared" si="6"/>
        <v>27.933333333333334</v>
      </c>
      <c r="X16" s="9">
        <f t="shared" si="2"/>
        <v>1.0715951095955261</v>
      </c>
      <c r="Y16">
        <v>0</v>
      </c>
      <c r="Z16">
        <v>2002</v>
      </c>
      <c r="AA16">
        <v>663.6</v>
      </c>
      <c r="AB16">
        <f t="shared" si="15"/>
        <v>931.06666666666672</v>
      </c>
      <c r="AD16">
        <v>2002</v>
      </c>
      <c r="AE16">
        <v>671</v>
      </c>
      <c r="AF16">
        <f t="shared" si="13"/>
        <v>676</v>
      </c>
      <c r="AH16">
        <v>2002</v>
      </c>
      <c r="AI16">
        <v>5672.4000000000005</v>
      </c>
      <c r="AJ16" s="7">
        <f t="shared" si="7"/>
        <v>5652.579999999999</v>
      </c>
      <c r="AK16">
        <f t="shared" si="14"/>
        <v>5841.355555555554</v>
      </c>
      <c r="AL16">
        <v>2002</v>
      </c>
      <c r="AM16" s="7">
        <v>361.55833333333334</v>
      </c>
      <c r="AN16" s="7">
        <f t="shared" si="3"/>
        <v>381.34060606060609</v>
      </c>
      <c r="AO16" s="7">
        <f t="shared" si="9"/>
        <v>409.6762626262626</v>
      </c>
      <c r="AQ16">
        <v>2002</v>
      </c>
      <c r="AR16">
        <v>33.4</v>
      </c>
      <c r="AS16" s="10">
        <f>AVERAGE(AR11:AR21)</f>
        <v>33.68</v>
      </c>
    </row>
    <row r="17" spans="1:45" x14ac:dyDescent="0.3">
      <c r="A17">
        <v>2001</v>
      </c>
      <c r="B17" s="9">
        <v>0.61631882185878306</v>
      </c>
      <c r="C17" s="9">
        <v>1.3224262499999979</v>
      </c>
      <c r="D17" s="9">
        <v>0.81042461768659557</v>
      </c>
      <c r="F17" s="10">
        <v>-0.93994974354173177</v>
      </c>
      <c r="G17" s="10">
        <v>0.85052659065499581</v>
      </c>
      <c r="H17" s="10">
        <v>8.9055283126800971E-2</v>
      </c>
      <c r="J17">
        <v>2001</v>
      </c>
      <c r="K17">
        <f t="shared" si="4"/>
        <v>0.66396141320914148</v>
      </c>
      <c r="L17">
        <f t="shared" si="8"/>
        <v>1.186386805555548</v>
      </c>
      <c r="M17">
        <f t="shared" si="0"/>
        <v>0.7808403676564083</v>
      </c>
      <c r="N17" s="9">
        <f t="shared" si="5"/>
        <v>-0.10057312458017692</v>
      </c>
      <c r="P17">
        <v>2001</v>
      </c>
      <c r="Q17" s="9">
        <v>28.024439666666666</v>
      </c>
      <c r="R17" s="9">
        <f t="shared" si="1"/>
        <v>-3.1896074537229376E-2</v>
      </c>
      <c r="S17" s="9">
        <f t="shared" si="10"/>
        <v>28.204092546296295</v>
      </c>
      <c r="U17">
        <v>2001</v>
      </c>
      <c r="V17">
        <v>27.7</v>
      </c>
      <c r="W17">
        <f t="shared" si="6"/>
        <v>27.733333333333331</v>
      </c>
      <c r="X17" s="9">
        <f t="shared" si="2"/>
        <v>-0.20158719883478435</v>
      </c>
      <c r="Y17">
        <v>0</v>
      </c>
      <c r="Z17">
        <v>2001</v>
      </c>
      <c r="AA17">
        <v>682.3</v>
      </c>
      <c r="AB17">
        <f t="shared" si="15"/>
        <v>945.32222222222219</v>
      </c>
      <c r="AD17">
        <v>2001</v>
      </c>
      <c r="AE17">
        <v>664</v>
      </c>
      <c r="AF17">
        <f t="shared" si="13"/>
        <v>678.4</v>
      </c>
      <c r="AH17">
        <v>2001</v>
      </c>
      <c r="AI17">
        <v>4342.0999999999995</v>
      </c>
      <c r="AJ17" s="7">
        <f t="shared" si="7"/>
        <v>6240.78</v>
      </c>
      <c r="AK17">
        <f t="shared" si="14"/>
        <v>5279.8777777777777</v>
      </c>
      <c r="AL17">
        <v>2001</v>
      </c>
      <c r="AM17" s="7">
        <v>284.85000000000002</v>
      </c>
      <c r="AN17" s="7">
        <f t="shared" si="3"/>
        <v>414.75060606060606</v>
      </c>
      <c r="AO17" s="7">
        <f t="shared" si="9"/>
        <v>379.92163299663304</v>
      </c>
      <c r="AQ17">
        <v>2001</v>
      </c>
      <c r="AR17">
        <v>35.4</v>
      </c>
      <c r="AS17" s="10">
        <f t="shared" si="12"/>
        <v>33.68</v>
      </c>
    </row>
    <row r="18" spans="1:45" x14ac:dyDescent="0.3">
      <c r="A18">
        <v>2000</v>
      </c>
      <c r="B18" s="9">
        <v>0.64976285035042358</v>
      </c>
      <c r="C18" s="9">
        <v>1.2871387499999967</v>
      </c>
      <c r="D18" s="9">
        <v>0.83971216191400699</v>
      </c>
      <c r="F18" s="10">
        <v>-0.71932356101533013</v>
      </c>
      <c r="G18" s="10">
        <v>0.68525830425184076</v>
      </c>
      <c r="H18" s="10">
        <v>0.2919405087005249</v>
      </c>
      <c r="J18">
        <v>2000</v>
      </c>
      <c r="K18">
        <f t="shared" si="4"/>
        <v>0.66842005556216433</v>
      </c>
      <c r="L18">
        <f t="shared" si="8"/>
        <v>1.1693086111111004</v>
      </c>
      <c r="M18">
        <f t="shared" si="0"/>
        <v>0.80606250976286908</v>
      </c>
      <c r="N18" s="9">
        <f t="shared" si="5"/>
        <v>-0.13853949077121597</v>
      </c>
      <c r="P18">
        <v>2000</v>
      </c>
      <c r="Q18" s="9">
        <v>27.931871750000003</v>
      </c>
      <c r="R18" s="9">
        <f t="shared" si="1"/>
        <v>-0.362073722728048</v>
      </c>
      <c r="S18" s="9">
        <f t="shared" si="10"/>
        <v>28.156089453703704</v>
      </c>
      <c r="U18">
        <v>2000</v>
      </c>
      <c r="V18">
        <v>27.4</v>
      </c>
      <c r="W18">
        <f t="shared" si="6"/>
        <v>27.5</v>
      </c>
      <c r="X18" s="9">
        <f t="shared" si="2"/>
        <v>-1.1564739301575142</v>
      </c>
      <c r="Y18">
        <v>0</v>
      </c>
      <c r="Z18">
        <v>2000</v>
      </c>
      <c r="AA18">
        <v>787.8</v>
      </c>
      <c r="AB18">
        <f t="shared" si="15"/>
        <v>963.17777777777758</v>
      </c>
      <c r="AD18">
        <v>2000</v>
      </c>
      <c r="AE18">
        <v>687</v>
      </c>
      <c r="AF18">
        <f t="shared" si="13"/>
        <v>677.2</v>
      </c>
      <c r="AH18">
        <v>2000</v>
      </c>
      <c r="AI18">
        <v>8550.4999999999982</v>
      </c>
      <c r="AJ18" s="7">
        <f t="shared" si="7"/>
        <v>6263.98</v>
      </c>
      <c r="AK18">
        <f t="shared" si="14"/>
        <v>5661.7666666666664</v>
      </c>
      <c r="AL18">
        <v>2000</v>
      </c>
      <c r="AM18" s="7">
        <v>511.77499999999992</v>
      </c>
      <c r="AN18" s="7">
        <f t="shared" si="3"/>
        <v>410.87166666666661</v>
      </c>
      <c r="AO18" s="7">
        <f t="shared" si="9"/>
        <v>380.54663299663304</v>
      </c>
      <c r="AQ18">
        <v>2000</v>
      </c>
      <c r="AR18">
        <v>33.5</v>
      </c>
      <c r="AS18" s="10">
        <f t="shared" si="12"/>
        <v>33.68</v>
      </c>
    </row>
    <row r="19" spans="1:45" x14ac:dyDescent="0.3">
      <c r="A19">
        <v>1999</v>
      </c>
      <c r="B19" s="9">
        <v>0.70172658847989</v>
      </c>
      <c r="C19" s="9">
        <v>1.1094374999999963</v>
      </c>
      <c r="D19" s="9">
        <v>0.76805074968800469</v>
      </c>
      <c r="F19" s="10">
        <v>-0.24799829009780441</v>
      </c>
      <c r="G19" s="10">
        <v>-6.1735278634770005E-2</v>
      </c>
      <c r="H19" s="10">
        <v>-0.17156408278633936</v>
      </c>
      <c r="J19">
        <v>1999</v>
      </c>
      <c r="K19">
        <f t="shared" si="4"/>
        <v>0.67196469050827456</v>
      </c>
      <c r="L19">
        <f t="shared" si="8"/>
        <v>1.1740138888888758</v>
      </c>
      <c r="M19">
        <f t="shared" si="0"/>
        <v>0.79576120735250966</v>
      </c>
      <c r="N19" s="9">
        <f t="shared" si="5"/>
        <v>-9.3670598454699106E-2</v>
      </c>
      <c r="P19">
        <v>1999</v>
      </c>
      <c r="Q19" s="9">
        <v>28.058624499999997</v>
      </c>
      <c r="R19" s="9">
        <f t="shared" si="1"/>
        <v>9.0036753598452007E-2</v>
      </c>
      <c r="S19" s="9">
        <f t="shared" si="10"/>
        <v>28.161657324074074</v>
      </c>
      <c r="U19">
        <v>1999</v>
      </c>
      <c r="V19">
        <v>27.4</v>
      </c>
      <c r="W19">
        <f t="shared" si="6"/>
        <v>27.633333333333336</v>
      </c>
      <c r="X19" s="9">
        <f t="shared" si="2"/>
        <v>-1.1564739301575142</v>
      </c>
      <c r="Y19">
        <v>0</v>
      </c>
      <c r="Z19">
        <v>1999</v>
      </c>
      <c r="AA19">
        <v>1485.3</v>
      </c>
      <c r="AB19">
        <f t="shared" si="15"/>
        <v>959.62222222222226</v>
      </c>
      <c r="AD19">
        <v>1999</v>
      </c>
      <c r="AE19">
        <v>693</v>
      </c>
      <c r="AF19">
        <f t="shared" si="13"/>
        <v>674.4</v>
      </c>
      <c r="AH19">
        <v>1999</v>
      </c>
      <c r="AI19" s="6">
        <f>AVERAGE(AI18,AI20)</f>
        <v>7101.7999999999993</v>
      </c>
      <c r="AJ19" s="7">
        <f t="shared" si="7"/>
        <v>5714.4599999999991</v>
      </c>
      <c r="AK19">
        <f t="shared" si="14"/>
        <v>5970.4444444444453</v>
      </c>
      <c r="AL19">
        <v>1999</v>
      </c>
      <c r="AM19" s="7">
        <v>537.83333333333326</v>
      </c>
      <c r="AN19" s="7">
        <f t="shared" si="3"/>
        <v>381.48333333333329</v>
      </c>
      <c r="AO19" s="7">
        <f t="shared" si="9"/>
        <v>382.85126262626267</v>
      </c>
      <c r="AQ19">
        <v>1999</v>
      </c>
      <c r="AS19" s="10">
        <f>AVERAGE(AR14:AR24)</f>
        <v>33.716666666666669</v>
      </c>
    </row>
    <row r="20" spans="1:45" x14ac:dyDescent="0.3">
      <c r="A20">
        <v>1998</v>
      </c>
      <c r="B20" s="9">
        <v>0.66720052101238081</v>
      </c>
      <c r="C20" s="9">
        <v>1.1839987499999702</v>
      </c>
      <c r="D20" s="9">
        <v>0.77952071045551719</v>
      </c>
      <c r="F20" s="10">
        <v>-0.52448953261493791</v>
      </c>
      <c r="G20" s="10">
        <v>0.30694686500229929</v>
      </c>
      <c r="H20" s="10">
        <v>-4.4950418598687814E-2</v>
      </c>
      <c r="J20">
        <v>1998</v>
      </c>
      <c r="K20">
        <f t="shared" si="4"/>
        <v>0.68472838041705308</v>
      </c>
      <c r="L20">
        <f t="shared" si="8"/>
        <v>1.1745995833333249</v>
      </c>
      <c r="M20">
        <f t="shared" si="0"/>
        <v>0.77850512849038622</v>
      </c>
      <c r="N20" s="9">
        <f t="shared" si="5"/>
        <v>-2.9851192603975882E-2</v>
      </c>
      <c r="P20">
        <v>1998</v>
      </c>
      <c r="Q20" s="9">
        <v>28.510966333333329</v>
      </c>
      <c r="R20" s="9">
        <f t="shared" si="1"/>
        <v>1.7034808937117363</v>
      </c>
      <c r="S20" s="9">
        <f t="shared" si="10"/>
        <v>28.116089416666668</v>
      </c>
      <c r="U20">
        <v>1998</v>
      </c>
      <c r="V20">
        <v>28.1</v>
      </c>
      <c r="W20">
        <f t="shared" si="6"/>
        <v>27.766666666666666</v>
      </c>
      <c r="X20" s="9">
        <f t="shared" si="2"/>
        <v>1.0715951095955261</v>
      </c>
      <c r="Y20">
        <v>0</v>
      </c>
      <c r="Z20">
        <v>1998</v>
      </c>
      <c r="AA20">
        <v>863.9</v>
      </c>
      <c r="AB20">
        <f t="shared" si="15"/>
        <v>938.43333333333328</v>
      </c>
      <c r="AD20">
        <v>1998</v>
      </c>
      <c r="AE20">
        <v>671</v>
      </c>
      <c r="AF20">
        <f t="shared" si="13"/>
        <v>678</v>
      </c>
      <c r="AH20">
        <v>1998</v>
      </c>
      <c r="AI20">
        <v>5653.0999999999995</v>
      </c>
      <c r="AJ20" s="7">
        <f t="shared" si="7"/>
        <v>6248.6999999999989</v>
      </c>
      <c r="AK20">
        <f t="shared" si="14"/>
        <v>6082.8888888888887</v>
      </c>
      <c r="AL20">
        <v>1998</v>
      </c>
      <c r="AM20" s="7">
        <v>358.3416666666667</v>
      </c>
      <c r="AN20" s="7">
        <f t="shared" si="3"/>
        <v>405.99833333333333</v>
      </c>
      <c r="AO20" s="7">
        <f t="shared" si="9"/>
        <v>383.65833333333336</v>
      </c>
      <c r="AQ20">
        <v>1998</v>
      </c>
      <c r="AS20" s="10">
        <f t="shared" si="12"/>
        <v>34.083333333333336</v>
      </c>
    </row>
    <row r="21" spans="1:45" x14ac:dyDescent="0.3">
      <c r="A21">
        <v>1997</v>
      </c>
      <c r="B21" s="9">
        <v>0.68815899137866954</v>
      </c>
      <c r="C21" s="9">
        <v>1.2116237499999751</v>
      </c>
      <c r="D21" s="9">
        <v>0.78794392532763657</v>
      </c>
      <c r="F21" s="10">
        <v>-0.32240980570482802</v>
      </c>
      <c r="G21" s="10">
        <v>0.54383198533823029</v>
      </c>
      <c r="H21" s="10">
        <v>4.3329680178626706E-2</v>
      </c>
      <c r="J21">
        <v>1997</v>
      </c>
      <c r="K21">
        <f t="shared" si="4"/>
        <v>0.70184242311488343</v>
      </c>
      <c r="L21">
        <f t="shared" si="8"/>
        <v>1.1798204166666659</v>
      </c>
      <c r="M21">
        <f t="shared" si="0"/>
        <v>0.75597611812525045</v>
      </c>
      <c r="N21" s="9">
        <f t="shared" si="5"/>
        <v>8.4966330786514291E-2</v>
      </c>
      <c r="P21">
        <v>1997</v>
      </c>
      <c r="Q21" s="9">
        <v>28.115058000000005</v>
      </c>
      <c r="R21" s="9">
        <f t="shared" si="1"/>
        <v>0.2913276649654733</v>
      </c>
      <c r="S21" s="9">
        <f t="shared" si="10"/>
        <v>28.119472935185186</v>
      </c>
      <c r="U21">
        <v>1997</v>
      </c>
      <c r="V21">
        <v>27.8</v>
      </c>
      <c r="W21">
        <f t="shared" si="6"/>
        <v>27.866666666666671</v>
      </c>
      <c r="X21" s="9">
        <f t="shared" si="2"/>
        <v>0.11670837827279607</v>
      </c>
      <c r="Y21">
        <v>0</v>
      </c>
      <c r="Z21">
        <v>1997</v>
      </c>
      <c r="AA21">
        <v>969.7</v>
      </c>
      <c r="AB21">
        <f t="shared" si="15"/>
        <v>948.12222222222226</v>
      </c>
      <c r="AD21">
        <v>1997</v>
      </c>
      <c r="AE21">
        <v>657</v>
      </c>
      <c r="AF21">
        <f t="shared" si="13"/>
        <v>674.8</v>
      </c>
      <c r="AH21">
        <v>1997</v>
      </c>
      <c r="AI21">
        <v>2924.8</v>
      </c>
      <c r="AJ21" s="7">
        <f t="shared" si="7"/>
        <v>5926.3799999999992</v>
      </c>
      <c r="AK21">
        <f t="shared" si="14"/>
        <v>5942.1888888888889</v>
      </c>
      <c r="AL21">
        <v>1997</v>
      </c>
      <c r="AM21" s="7">
        <v>214.61666666666667</v>
      </c>
      <c r="AN21" s="7">
        <f t="shared" si="3"/>
        <v>381.94833333333327</v>
      </c>
      <c r="AO21" s="7">
        <f t="shared" si="9"/>
        <v>379.50370370370371</v>
      </c>
      <c r="AQ21">
        <v>1997</v>
      </c>
      <c r="AS21" s="10">
        <f t="shared" si="12"/>
        <v>34.166666666666664</v>
      </c>
    </row>
    <row r="22" spans="1:45" x14ac:dyDescent="0.3">
      <c r="A22">
        <v>1996</v>
      </c>
      <c r="B22" s="9">
        <v>0.70481662248755617</v>
      </c>
      <c r="C22" s="9">
        <v>1.0417712499999732</v>
      </c>
      <c r="D22" s="9">
        <v>0.70046371859259748</v>
      </c>
      <c r="F22" s="10">
        <v>-0.24200810845739065</v>
      </c>
      <c r="G22" s="10">
        <v>-0.30329958333475637</v>
      </c>
      <c r="H22" s="10">
        <v>-0.48745007515862149</v>
      </c>
      <c r="J22">
        <v>1996</v>
      </c>
      <c r="K22">
        <f t="shared" si="4"/>
        <v>0.7163432917105812</v>
      </c>
      <c r="L22">
        <f t="shared" si="8"/>
        <v>1.137599166666672</v>
      </c>
      <c r="M22">
        <f t="shared" si="0"/>
        <v>0.77779973556171511</v>
      </c>
      <c r="N22" s="9">
        <f t="shared" si="5"/>
        <v>2.0296973377489765E-2</v>
      </c>
      <c r="P22">
        <v>1996</v>
      </c>
      <c r="Q22" s="9">
        <v>28.120864749999999</v>
      </c>
      <c r="R22" s="9">
        <f t="shared" si="1"/>
        <v>0.31203958252470931</v>
      </c>
      <c r="S22" s="9">
        <f t="shared" si="10"/>
        <v>28.103196712962966</v>
      </c>
      <c r="U22">
        <v>1996</v>
      </c>
      <c r="V22">
        <v>27.7</v>
      </c>
      <c r="W22">
        <f t="shared" si="6"/>
        <v>27.766666666666666</v>
      </c>
      <c r="X22" s="9">
        <f t="shared" si="2"/>
        <v>-0.20158719883478435</v>
      </c>
      <c r="Y22">
        <v>0</v>
      </c>
      <c r="Z22">
        <v>1996</v>
      </c>
      <c r="AA22">
        <v>904</v>
      </c>
      <c r="AB22">
        <f>AVERAGE(AA18:AA26)</f>
        <v>899.58888888888885</v>
      </c>
      <c r="AD22">
        <v>1996</v>
      </c>
      <c r="AE22">
        <v>682</v>
      </c>
      <c r="AF22">
        <f t="shared" si="13"/>
        <v>672</v>
      </c>
      <c r="AH22">
        <v>1996</v>
      </c>
      <c r="AI22">
        <v>7013.3</v>
      </c>
      <c r="AJ22" s="7">
        <f t="shared" si="7"/>
        <v>5815.8399999999992</v>
      </c>
      <c r="AK22">
        <f t="shared" si="14"/>
        <v>5856.188888888888</v>
      </c>
      <c r="AL22">
        <v>1996</v>
      </c>
      <c r="AM22" s="7">
        <v>407.42500000000001</v>
      </c>
      <c r="AN22" s="7">
        <f t="shared" si="3"/>
        <v>351.38166666666666</v>
      </c>
      <c r="AO22" s="7">
        <f t="shared" si="9"/>
        <v>375.50277777777774</v>
      </c>
      <c r="AQ22">
        <v>1996</v>
      </c>
      <c r="AS22" s="10">
        <f t="shared" si="12"/>
        <v>34.266666666666673</v>
      </c>
    </row>
    <row r="23" spans="1:45" x14ac:dyDescent="0.3">
      <c r="A23">
        <v>1995</v>
      </c>
      <c r="B23" s="9">
        <v>0.76085574761571295</v>
      </c>
      <c r="C23" s="9">
        <v>1.138191249999978</v>
      </c>
      <c r="D23" s="9">
        <v>0.84499156276491139</v>
      </c>
      <c r="F23" s="10">
        <v>0.34708784042719748</v>
      </c>
      <c r="G23" s="10">
        <v>0.24130812831205029</v>
      </c>
      <c r="H23" s="10">
        <v>0.29448778686028837</v>
      </c>
      <c r="J23">
        <v>1995</v>
      </c>
      <c r="K23">
        <f t="shared" si="4"/>
        <v>0.72331397058111335</v>
      </c>
      <c r="L23">
        <f t="shared" si="8"/>
        <v>1.1126895833333448</v>
      </c>
      <c r="M23">
        <f t="shared" si="0"/>
        <v>0.79431996250364689</v>
      </c>
      <c r="N23" s="9">
        <f t="shared" si="5"/>
        <v>-2.5541845528741336E-2</v>
      </c>
      <c r="P23">
        <v>1995</v>
      </c>
      <c r="Q23" s="9">
        <v>28.316777833333333</v>
      </c>
      <c r="R23" s="9">
        <f t="shared" si="1"/>
        <v>1.0108359196805572</v>
      </c>
      <c r="S23" s="9">
        <f t="shared" si="10"/>
        <v>28.084173638888885</v>
      </c>
      <c r="U23">
        <v>1995</v>
      </c>
      <c r="V23">
        <v>27.8</v>
      </c>
      <c r="W23">
        <f t="shared" si="6"/>
        <v>27.666666666666668</v>
      </c>
      <c r="X23" s="9">
        <f t="shared" si="2"/>
        <v>0.11670837827279607</v>
      </c>
      <c r="Y23">
        <v>0</v>
      </c>
      <c r="Z23">
        <v>1995</v>
      </c>
      <c r="AA23">
        <v>1275.0999999999999</v>
      </c>
      <c r="AB23">
        <f t="shared" ref="AB23:AB64" si="16">AVERAGE(AA19:AA27)</f>
        <v>851.98888888888882</v>
      </c>
      <c r="AD23">
        <v>1995</v>
      </c>
      <c r="AE23">
        <v>671</v>
      </c>
      <c r="AF23">
        <f t="shared" si="13"/>
        <v>671.2</v>
      </c>
      <c r="AH23">
        <v>1995</v>
      </c>
      <c r="AI23">
        <v>6938.9</v>
      </c>
      <c r="AJ23" s="7">
        <f t="shared" si="7"/>
        <v>5566.44</v>
      </c>
      <c r="AK23">
        <f t="shared" si="14"/>
        <v>5362.2555555555546</v>
      </c>
      <c r="AL23">
        <v>1995</v>
      </c>
      <c r="AM23" s="7">
        <v>391.52499999999992</v>
      </c>
      <c r="AN23" s="7">
        <f t="shared" si="3"/>
        <v>344.54666666666662</v>
      </c>
      <c r="AO23" s="7">
        <f t="shared" si="9"/>
        <v>345.61666666666662</v>
      </c>
      <c r="AQ23">
        <v>1995</v>
      </c>
      <c r="AS23" s="10">
        <f t="shared" si="12"/>
        <v>34.04</v>
      </c>
    </row>
    <row r="24" spans="1:45" x14ac:dyDescent="0.3">
      <c r="A24">
        <v>1994</v>
      </c>
      <c r="B24" s="9">
        <v>0.76223225205721878</v>
      </c>
      <c r="C24" s="9">
        <v>1.1313512500000416</v>
      </c>
      <c r="D24" s="9">
        <v>0.83750460615343214</v>
      </c>
      <c r="F24" s="10">
        <v>0.27961971368355265</v>
      </c>
      <c r="G24" s="10">
        <v>6.7132185568030078E-2</v>
      </c>
      <c r="H24" s="10">
        <v>0.23439575833459342</v>
      </c>
      <c r="J24">
        <v>1994</v>
      </c>
      <c r="K24">
        <f t="shared" si="4"/>
        <v>0.72144222538150993</v>
      </c>
      <c r="L24">
        <f t="shared" si="8"/>
        <v>1.0900872222222389</v>
      </c>
      <c r="M24">
        <f t="shared" si="0"/>
        <v>0.85587456250979876</v>
      </c>
      <c r="N24" s="9">
        <f t="shared" si="5"/>
        <v>-0.10520398058618559</v>
      </c>
      <c r="P24">
        <v>1994</v>
      </c>
      <c r="Q24" s="9">
        <v>27.888758000000006</v>
      </c>
      <c r="R24" s="9">
        <f t="shared" si="1"/>
        <v>-0.51585482845333475</v>
      </c>
      <c r="S24" s="9">
        <f t="shared" si="10"/>
        <v>28.070983962962959</v>
      </c>
      <c r="U24">
        <v>1994</v>
      </c>
      <c r="V24">
        <v>27.5</v>
      </c>
      <c r="W24">
        <f t="shared" si="6"/>
        <v>27.7</v>
      </c>
      <c r="X24" s="9">
        <f t="shared" si="2"/>
        <v>-0.83817835304993382</v>
      </c>
      <c r="Y24">
        <v>0</v>
      </c>
      <c r="Z24">
        <v>1994</v>
      </c>
      <c r="AA24">
        <v>814.2</v>
      </c>
      <c r="AB24">
        <f t="shared" si="16"/>
        <v>772.82499999999993</v>
      </c>
      <c r="AD24">
        <v>1994</v>
      </c>
      <c r="AE24">
        <v>679</v>
      </c>
      <c r="AF24">
        <f t="shared" si="13"/>
        <v>670.8</v>
      </c>
      <c r="AH24">
        <v>1994</v>
      </c>
      <c r="AI24">
        <v>6549.1</v>
      </c>
      <c r="AJ24" s="7">
        <f t="shared" si="7"/>
        <v>5695.1</v>
      </c>
      <c r="AK24">
        <f t="shared" si="14"/>
        <v>5088.9555555555544</v>
      </c>
      <c r="AL24">
        <v>1994</v>
      </c>
      <c r="AM24" s="7">
        <v>384.99999999999994</v>
      </c>
      <c r="AN24" s="7">
        <f t="shared" si="3"/>
        <v>351.39166666666659</v>
      </c>
      <c r="AO24" s="7">
        <f t="shared" si="9"/>
        <v>320.98055555555555</v>
      </c>
      <c r="AQ24">
        <v>1994</v>
      </c>
      <c r="AR24">
        <v>33.9</v>
      </c>
      <c r="AS24" s="10">
        <f>AVERAGE(AR19:AR29)</f>
        <v>34.174999999999997</v>
      </c>
    </row>
    <row r="25" spans="1:45" x14ac:dyDescent="0.3">
      <c r="A25">
        <v>1993</v>
      </c>
      <c r="B25" s="9">
        <v>0.76550941279331686</v>
      </c>
      <c r="C25" s="9">
        <v>1.1924450000000646</v>
      </c>
      <c r="D25" s="9">
        <v>0.88512751861105299</v>
      </c>
      <c r="F25" s="10">
        <v>0.23100569511494115</v>
      </c>
      <c r="G25" s="10">
        <v>0.33053859386019535</v>
      </c>
      <c r="H25" s="10">
        <v>0.51545253642144284</v>
      </c>
      <c r="J25">
        <v>1993</v>
      </c>
      <c r="K25">
        <f t="shared" si="4"/>
        <v>0.72076673385918888</v>
      </c>
      <c r="L25">
        <f t="shared" si="8"/>
        <v>1.0800947222222479</v>
      </c>
      <c r="M25">
        <f t="shared" si="0"/>
        <v>0.80776134119960374</v>
      </c>
      <c r="N25" s="9">
        <f t="shared" si="5"/>
        <v>-0.15646842588760437</v>
      </c>
      <c r="P25">
        <v>1993</v>
      </c>
      <c r="Q25" s="9">
        <v>28.107895583333331</v>
      </c>
      <c r="R25" s="9">
        <f t="shared" si="1"/>
        <v>0.26578026176657732</v>
      </c>
      <c r="S25" s="9">
        <f t="shared" si="10"/>
        <v>27.975286620370369</v>
      </c>
      <c r="U25">
        <v>1993</v>
      </c>
      <c r="V25">
        <v>27.8</v>
      </c>
      <c r="W25">
        <f t="shared" si="6"/>
        <v>27.7</v>
      </c>
      <c r="X25" s="9">
        <f t="shared" si="2"/>
        <v>0.11670837827279607</v>
      </c>
      <c r="Y25">
        <v>0</v>
      </c>
      <c r="Z25">
        <v>1993</v>
      </c>
      <c r="AA25">
        <v>750.8</v>
      </c>
      <c r="AB25">
        <f t="shared" si="16"/>
        <v>759.81428571428569</v>
      </c>
      <c r="AD25">
        <v>1993</v>
      </c>
      <c r="AE25">
        <v>667</v>
      </c>
      <c r="AF25">
        <f t="shared" si="13"/>
        <v>665.4</v>
      </c>
      <c r="AH25">
        <v>1993</v>
      </c>
      <c r="AI25">
        <v>4406.0999999999995</v>
      </c>
      <c r="AJ25" s="7">
        <f t="shared" si="7"/>
        <v>5113.4599999999991</v>
      </c>
      <c r="AK25">
        <f t="shared" si="14"/>
        <v>5050.6222222222214</v>
      </c>
      <c r="AL25">
        <v>1993</v>
      </c>
      <c r="AM25" s="7">
        <v>324.16666666666663</v>
      </c>
      <c r="AN25" s="7">
        <f t="shared" si="3"/>
        <v>318.46666666666664</v>
      </c>
      <c r="AO25" s="7">
        <f t="shared" si="9"/>
        <v>322.19907407407413</v>
      </c>
      <c r="AQ25">
        <v>1993</v>
      </c>
      <c r="AR25">
        <v>34.799999999999997</v>
      </c>
      <c r="AS25" s="10">
        <f t="shared" si="12"/>
        <v>34.174999999999997</v>
      </c>
    </row>
    <row r="26" spans="1:45" x14ac:dyDescent="0.3">
      <c r="A26">
        <v>1992</v>
      </c>
      <c r="B26" s="9">
        <v>0.74682663922006209</v>
      </c>
      <c r="C26" s="9">
        <v>0.9424350000000512</v>
      </c>
      <c r="D26" s="9">
        <v>0.70065189883432588</v>
      </c>
      <c r="F26" s="10">
        <v>0.17256613323854886</v>
      </c>
      <c r="G26" s="10">
        <v>-0.72662834854221658</v>
      </c>
      <c r="H26" s="10">
        <v>-0.49296893355441973</v>
      </c>
      <c r="J26">
        <v>1992</v>
      </c>
      <c r="K26">
        <f t="shared" si="4"/>
        <v>0.71986496090414043</v>
      </c>
      <c r="L26">
        <f t="shared" si="8"/>
        <v>1.0541616666667009</v>
      </c>
      <c r="M26">
        <f t="shared" si="0"/>
        <v>0.78322513830835516</v>
      </c>
      <c r="N26" s="9">
        <f t="shared" si="5"/>
        <v>-0.23762519280972785</v>
      </c>
      <c r="P26">
        <v>1992</v>
      </c>
      <c r="Q26" s="9">
        <v>27.87795366666667</v>
      </c>
      <c r="R26" s="9">
        <f t="shared" si="1"/>
        <v>-0.55439247193424679</v>
      </c>
      <c r="S26" s="9">
        <f t="shared" si="10"/>
        <v>27.972802851851853</v>
      </c>
      <c r="U26">
        <v>1992</v>
      </c>
      <c r="V26">
        <v>27.8</v>
      </c>
      <c r="W26">
        <f t="shared" si="6"/>
        <v>27.733333333333334</v>
      </c>
      <c r="X26" s="9">
        <f t="shared" si="2"/>
        <v>0.11670837827279607</v>
      </c>
      <c r="Y26">
        <v>0</v>
      </c>
      <c r="Z26">
        <v>1992</v>
      </c>
      <c r="AA26">
        <v>245.5</v>
      </c>
      <c r="AB26">
        <f t="shared" si="16"/>
        <v>724.83333333333337</v>
      </c>
      <c r="AD26">
        <v>1992</v>
      </c>
      <c r="AE26">
        <v>655</v>
      </c>
      <c r="AF26">
        <f t="shared" si="13"/>
        <v>662.6</v>
      </c>
      <c r="AH26">
        <v>1992</v>
      </c>
      <c r="AI26">
        <v>3568.1000000000004</v>
      </c>
      <c r="AJ26" s="7">
        <f t="shared" si="7"/>
        <v>4654.1000000000004</v>
      </c>
      <c r="AK26">
        <f t="shared" si="14"/>
        <v>5407.7222222222217</v>
      </c>
      <c r="AL26">
        <v>1992</v>
      </c>
      <c r="AM26" s="7">
        <v>248.8416666666667</v>
      </c>
      <c r="AN26" s="7">
        <f t="shared" si="3"/>
        <v>303.38333333333333</v>
      </c>
      <c r="AO26" s="7">
        <f t="shared" si="9"/>
        <v>346.92870370370366</v>
      </c>
      <c r="AQ26">
        <v>1992</v>
      </c>
      <c r="AR26">
        <v>34</v>
      </c>
      <c r="AS26" s="10">
        <f t="shared" si="12"/>
        <v>33.979999999999997</v>
      </c>
    </row>
    <row r="27" spans="1:45" x14ac:dyDescent="0.3">
      <c r="A27">
        <v>1991</v>
      </c>
      <c r="B27" s="9">
        <v>0.71249896018521353</v>
      </c>
      <c r="C27" s="9">
        <v>1.0629525000000521</v>
      </c>
      <c r="D27" s="9">
        <v>0.76389599747968673</v>
      </c>
      <c r="F27" s="10">
        <v>-7.9264462541473416E-2</v>
      </c>
      <c r="G27" s="10">
        <v>-0.19984622486473727</v>
      </c>
      <c r="H27" s="10">
        <v>-0.12060886145555499</v>
      </c>
      <c r="J27">
        <v>1991</v>
      </c>
      <c r="K27">
        <f t="shared" si="4"/>
        <v>0.7129714034455723</v>
      </c>
      <c r="L27">
        <f t="shared" si="8"/>
        <v>1.0388813888889297</v>
      </c>
      <c r="M27">
        <f t="shared" si="0"/>
        <v>0.69536744460729649</v>
      </c>
      <c r="N27" s="9">
        <f t="shared" si="5"/>
        <v>-0.31354911878431602</v>
      </c>
      <c r="P27">
        <v>1991</v>
      </c>
      <c r="Q27" s="9">
        <v>27.760664083333335</v>
      </c>
      <c r="R27" s="9">
        <f t="shared" si="1"/>
        <v>-0.97274907081650508</v>
      </c>
      <c r="S27" s="9">
        <f t="shared" si="10"/>
        <v>27.986809111111118</v>
      </c>
      <c r="U27">
        <v>1991</v>
      </c>
      <c r="V27">
        <v>27.6</v>
      </c>
      <c r="W27">
        <f t="shared" si="6"/>
        <v>27.633333333333336</v>
      </c>
      <c r="X27" s="9">
        <f t="shared" si="2"/>
        <v>-0.51988277594235344</v>
      </c>
      <c r="Y27">
        <v>0</v>
      </c>
      <c r="Z27">
        <v>1991</v>
      </c>
      <c r="AA27">
        <v>359.4</v>
      </c>
      <c r="AB27">
        <f t="shared" si="16"/>
        <v>630.18333333333339</v>
      </c>
      <c r="AD27">
        <v>1991</v>
      </c>
      <c r="AE27">
        <v>655</v>
      </c>
      <c r="AF27">
        <f t="shared" si="13"/>
        <v>658.8</v>
      </c>
      <c r="AH27">
        <v>1991</v>
      </c>
      <c r="AI27" s="6">
        <f>AVERAGE(AI26,AI28)</f>
        <v>4105.1000000000004</v>
      </c>
      <c r="AJ27" s="7">
        <f t="shared" si="7"/>
        <v>4405.8999999999996</v>
      </c>
      <c r="AK27">
        <f t="shared" si="14"/>
        <v>5134.1222222222214</v>
      </c>
      <c r="AL27">
        <v>1991</v>
      </c>
      <c r="AM27" s="7">
        <v>242.79999999999998</v>
      </c>
      <c r="AN27" s="7">
        <f t="shared" si="3"/>
        <v>300.245</v>
      </c>
      <c r="AO27" s="7">
        <f t="shared" si="9"/>
        <v>336.38611111111112</v>
      </c>
      <c r="AQ27">
        <v>1991</v>
      </c>
      <c r="AR27">
        <v>34</v>
      </c>
      <c r="AS27" s="10">
        <f t="shared" si="12"/>
        <v>33.979999999999997</v>
      </c>
    </row>
    <row r="28" spans="1:45" x14ac:dyDescent="0.3">
      <c r="A28">
        <v>1990</v>
      </c>
      <c r="B28" s="9">
        <v>0.68488088168345862</v>
      </c>
      <c r="C28" s="9">
        <v>0.90601625000004438</v>
      </c>
      <c r="D28" s="9">
        <v>0.62155443750787687</v>
      </c>
      <c r="F28" s="10">
        <v>-0.32714917159986129</v>
      </c>
      <c r="G28" s="10">
        <v>-0.87829972378736998</v>
      </c>
      <c r="H28" s="10">
        <v>-0.88852329830333765</v>
      </c>
      <c r="J28">
        <v>1990</v>
      </c>
      <c r="K28">
        <f t="shared" si="4"/>
        <v>0.70824756345490925</v>
      </c>
      <c r="L28">
        <f t="shared" si="8"/>
        <v>1.0548358333333856</v>
      </c>
      <c r="M28">
        <f t="shared" si="0"/>
        <v>0.69546919025137399</v>
      </c>
      <c r="N28" s="9">
        <f t="shared" si="5"/>
        <v>-0.27674587417548557</v>
      </c>
      <c r="P28">
        <v>1990</v>
      </c>
      <c r="Q28" s="9">
        <v>27.93991741666667</v>
      </c>
      <c r="R28" s="9">
        <f t="shared" si="1"/>
        <v>-0.33337588233380366</v>
      </c>
      <c r="S28" s="9">
        <f t="shared" si="10"/>
        <v>27.903556296296301</v>
      </c>
      <c r="U28">
        <v>1990</v>
      </c>
      <c r="V28">
        <v>27.5</v>
      </c>
      <c r="W28">
        <f t="shared" si="6"/>
        <v>27.566666666666666</v>
      </c>
      <c r="X28" s="9">
        <f t="shared" si="2"/>
        <v>-0.83817835304993382</v>
      </c>
      <c r="Y28">
        <v>0</v>
      </c>
      <c r="Z28">
        <v>1990</v>
      </c>
      <c r="AB28">
        <f t="shared" si="16"/>
        <v>486.25</v>
      </c>
      <c r="AD28">
        <v>1990</v>
      </c>
      <c r="AE28">
        <v>657</v>
      </c>
      <c r="AF28">
        <f t="shared" si="13"/>
        <v>657</v>
      </c>
      <c r="AH28">
        <v>1990</v>
      </c>
      <c r="AI28">
        <v>4642.1000000000004</v>
      </c>
      <c r="AJ28" s="7">
        <f t="shared" si="7"/>
        <v>4752.42</v>
      </c>
      <c r="AK28">
        <f t="shared" si="14"/>
        <v>4880.3666666666659</v>
      </c>
      <c r="AL28">
        <v>1990</v>
      </c>
      <c r="AM28" s="7">
        <v>316.10833333333335</v>
      </c>
      <c r="AN28" s="7">
        <f t="shared" si="3"/>
        <v>322.84833333333336</v>
      </c>
      <c r="AO28" s="7">
        <f t="shared" si="9"/>
        <v>328.13611111111112</v>
      </c>
      <c r="AQ28">
        <v>1990</v>
      </c>
      <c r="AS28" s="10">
        <f t="shared" si="12"/>
        <v>34.066666666666663</v>
      </c>
    </row>
    <row r="29" spans="1:45" x14ac:dyDescent="0.3">
      <c r="A29">
        <v>1989</v>
      </c>
      <c r="B29" s="9">
        <v>0.66112109731149205</v>
      </c>
      <c r="C29" s="9">
        <v>1.0940662500000502</v>
      </c>
      <c r="D29" s="9">
        <v>0.7009571357665586</v>
      </c>
      <c r="F29" s="10">
        <v>-0.61797347665525826</v>
      </c>
      <c r="G29" s="10">
        <v>-3.3075536880756568E-2</v>
      </c>
      <c r="H29" s="10">
        <v>-0.50633042631145686</v>
      </c>
      <c r="J29">
        <v>1989</v>
      </c>
      <c r="K29">
        <f t="shared" si="4"/>
        <v>0.71424586492438413</v>
      </c>
      <c r="L29">
        <f t="shared" si="8"/>
        <v>1.0414043055556088</v>
      </c>
      <c r="M29">
        <f t="shared" si="0"/>
        <v>0.6677273286388522</v>
      </c>
      <c r="N29" s="9">
        <f t="shared" si="5"/>
        <v>-0.29044735407724076</v>
      </c>
      <c r="P29">
        <v>1989</v>
      </c>
      <c r="Q29" s="9">
        <v>27.649690250000006</v>
      </c>
      <c r="R29" s="9">
        <f t="shared" si="1"/>
        <v>-1.3685782157313984</v>
      </c>
      <c r="S29" s="9">
        <f t="shared" si="10"/>
        <v>27.857462324074078</v>
      </c>
      <c r="U29">
        <v>1989</v>
      </c>
      <c r="V29">
        <v>27.6</v>
      </c>
      <c r="W29">
        <f t="shared" si="6"/>
        <v>27.533333333333331</v>
      </c>
      <c r="X29" s="9">
        <f t="shared" si="2"/>
        <v>-0.51988277594235344</v>
      </c>
      <c r="Y29">
        <v>0</v>
      </c>
      <c r="Z29">
        <v>1989</v>
      </c>
      <c r="AB29">
        <f t="shared" si="16"/>
        <v>495.83333333333331</v>
      </c>
      <c r="AD29">
        <v>1989</v>
      </c>
      <c r="AE29">
        <v>660</v>
      </c>
      <c r="AF29">
        <f t="shared" si="13"/>
        <v>657.4</v>
      </c>
      <c r="AH29">
        <v>1989</v>
      </c>
      <c r="AI29">
        <v>5308.1</v>
      </c>
      <c r="AJ29" s="7">
        <f t="shared" si="7"/>
        <v>4948.9800000000005</v>
      </c>
      <c r="AK29">
        <f t="shared" si="14"/>
        <v>4649.0222222222219</v>
      </c>
      <c r="AL29">
        <v>1989</v>
      </c>
      <c r="AM29" s="7">
        <v>369.30833333333334</v>
      </c>
      <c r="AN29" s="7">
        <f t="shared" si="3"/>
        <v>335.58833333333337</v>
      </c>
      <c r="AO29" s="7">
        <f t="shared" si="9"/>
        <v>319.13981481481483</v>
      </c>
      <c r="AQ29">
        <v>1989</v>
      </c>
      <c r="AS29" s="10">
        <f t="shared" si="12"/>
        <v>33.914285714285711</v>
      </c>
    </row>
    <row r="30" spans="1:45" x14ac:dyDescent="0.3">
      <c r="A30">
        <v>1988</v>
      </c>
      <c r="B30" s="9">
        <v>0.68004303478323336</v>
      </c>
      <c r="C30" s="9">
        <v>0.97822625000005248</v>
      </c>
      <c r="D30" s="9">
        <v>0.68067041264212103</v>
      </c>
      <c r="F30" s="10">
        <v>-0.29746644317460647</v>
      </c>
      <c r="G30" s="10">
        <v>-0.56354621132565796</v>
      </c>
      <c r="H30" s="10">
        <v>-0.68708122212048461</v>
      </c>
      <c r="J30">
        <v>1988</v>
      </c>
      <c r="K30">
        <f t="shared" si="4"/>
        <v>0.71655638209816053</v>
      </c>
      <c r="L30">
        <f t="shared" si="8"/>
        <v>1.0148584722222731</v>
      </c>
      <c r="M30">
        <f t="shared" si="0"/>
        <v>0.65366861821616296</v>
      </c>
      <c r="N30" s="9">
        <f t="shared" si="5"/>
        <v>-0.36430809232062911</v>
      </c>
      <c r="P30">
        <v>1988</v>
      </c>
      <c r="Q30" s="9">
        <v>28.092704083333331</v>
      </c>
      <c r="R30" s="9">
        <f t="shared" si="1"/>
        <v>0.21159416875388573</v>
      </c>
      <c r="S30" s="9">
        <f t="shared" si="10"/>
        <v>27.816149675925931</v>
      </c>
      <c r="U30">
        <v>1988</v>
      </c>
      <c r="V30">
        <v>27.5</v>
      </c>
      <c r="W30">
        <f t="shared" si="6"/>
        <v>27.7</v>
      </c>
      <c r="X30" s="9">
        <f t="shared" si="2"/>
        <v>-0.83817835304993382</v>
      </c>
      <c r="Y30">
        <v>0</v>
      </c>
      <c r="Z30">
        <v>1988</v>
      </c>
      <c r="AB30">
        <f t="shared" si="16"/>
        <v>499.38333333333327</v>
      </c>
      <c r="AD30">
        <v>1988</v>
      </c>
      <c r="AE30">
        <v>658</v>
      </c>
      <c r="AF30">
        <f t="shared" si="13"/>
        <v>657</v>
      </c>
      <c r="AH30">
        <v>1988</v>
      </c>
      <c r="AI30">
        <v>6138.6999999999989</v>
      </c>
      <c r="AJ30" s="7">
        <f t="shared" si="7"/>
        <v>5058.9800000000005</v>
      </c>
      <c r="AK30">
        <f t="shared" si="14"/>
        <v>4683.4777777777772</v>
      </c>
      <c r="AL30">
        <v>1988</v>
      </c>
      <c r="AM30" s="7">
        <v>437.18333333333339</v>
      </c>
      <c r="AN30" s="7">
        <f t="shared" si="3"/>
        <v>350.48333333333341</v>
      </c>
      <c r="AO30" s="7">
        <f t="shared" si="9"/>
        <v>323.40833333333336</v>
      </c>
      <c r="AQ30">
        <v>1988</v>
      </c>
      <c r="AS30" s="10">
        <f t="shared" si="12"/>
        <v>34.528571428571425</v>
      </c>
    </row>
    <row r="31" spans="1:45" x14ac:dyDescent="0.3">
      <c r="A31">
        <v>1987</v>
      </c>
      <c r="B31" s="9">
        <v>0.64277460536044184</v>
      </c>
      <c r="C31" s="9">
        <v>0.90424875000003224</v>
      </c>
      <c r="D31" s="9">
        <v>0.57937830623980902</v>
      </c>
      <c r="F31" s="10">
        <v>-0.64319782829875494</v>
      </c>
      <c r="G31" s="10">
        <v>-0.78606471653595933</v>
      </c>
      <c r="H31" s="10">
        <v>-1.1707654089299149</v>
      </c>
      <c r="J31">
        <v>1987</v>
      </c>
      <c r="K31">
        <f t="shared" si="4"/>
        <v>0.71066863967725424</v>
      </c>
      <c r="L31">
        <f t="shared" si="8"/>
        <v>1.0228600000000501</v>
      </c>
      <c r="M31">
        <f t="shared" si="0"/>
        <v>0.72459105935154655</v>
      </c>
      <c r="N31" s="9">
        <f t="shared" si="5"/>
        <v>-0.36295008905933113</v>
      </c>
      <c r="P31">
        <v>1987</v>
      </c>
      <c r="Q31" s="9">
        <v>28.246921083333337</v>
      </c>
      <c r="R31" s="9">
        <f t="shared" si="1"/>
        <v>0.76166603171267611</v>
      </c>
      <c r="S31" s="9">
        <f t="shared" si="10"/>
        <v>27.84741839814815</v>
      </c>
      <c r="U31">
        <v>1987</v>
      </c>
      <c r="V31">
        <v>28</v>
      </c>
      <c r="W31">
        <f t="shared" si="6"/>
        <v>27.733333333333334</v>
      </c>
      <c r="X31" s="9">
        <f t="shared" si="2"/>
        <v>0.75329953248794557</v>
      </c>
      <c r="Y31">
        <v>0</v>
      </c>
      <c r="Z31">
        <v>1987</v>
      </c>
      <c r="AA31">
        <v>336.1</v>
      </c>
      <c r="AB31">
        <f t="shared" si="16"/>
        <v>514.08333333333337</v>
      </c>
      <c r="AD31">
        <v>1987</v>
      </c>
      <c r="AE31">
        <v>657</v>
      </c>
      <c r="AF31">
        <f t="shared" si="13"/>
        <v>655.6</v>
      </c>
      <c r="AH31">
        <v>1987</v>
      </c>
      <c r="AI31">
        <v>4550.8999999999996</v>
      </c>
      <c r="AJ31" s="7">
        <f t="shared" si="7"/>
        <v>5023.96</v>
      </c>
      <c r="AK31">
        <f t="shared" si="14"/>
        <v>4822.8999999999996</v>
      </c>
      <c r="AL31">
        <v>1987</v>
      </c>
      <c r="AM31" s="7">
        <v>312.54166666666669</v>
      </c>
      <c r="AN31" s="7">
        <f t="shared" si="3"/>
        <v>348.06833333333338</v>
      </c>
      <c r="AO31" s="7">
        <f t="shared" si="9"/>
        <v>313.20555555555563</v>
      </c>
      <c r="AQ31">
        <v>1987</v>
      </c>
      <c r="AR31">
        <v>33.200000000000003</v>
      </c>
      <c r="AS31" s="10">
        <f t="shared" si="12"/>
        <v>34.483333333333327</v>
      </c>
    </row>
    <row r="32" spans="1:45" x14ac:dyDescent="0.3">
      <c r="A32">
        <v>1986</v>
      </c>
      <c r="B32" s="9">
        <v>0.71834118769974631</v>
      </c>
      <c r="C32" s="9">
        <v>1.2817812500000807</v>
      </c>
      <c r="D32" s="9">
        <v>0.9137244591727095</v>
      </c>
      <c r="F32" s="10">
        <v>-2.9439161900054994E-2</v>
      </c>
      <c r="G32" s="10">
        <v>0.67558602578526616</v>
      </c>
      <c r="H32" s="10">
        <v>0.62571698833976208</v>
      </c>
      <c r="J32">
        <v>1986</v>
      </c>
      <c r="K32">
        <f t="shared" si="4"/>
        <v>0.71123060203796273</v>
      </c>
      <c r="L32">
        <f t="shared" si="8"/>
        <v>1.0118147222222698</v>
      </c>
      <c r="M32">
        <f t="shared" si="0"/>
        <v>0.76774812960106742</v>
      </c>
      <c r="N32" s="9">
        <f t="shared" si="5"/>
        <v>-0.41003524707820377</v>
      </c>
      <c r="P32">
        <v>1986</v>
      </c>
      <c r="Q32" s="9">
        <v>27.5675025</v>
      </c>
      <c r="R32" s="9">
        <f t="shared" si="1"/>
        <v>-1.6617311674480897</v>
      </c>
      <c r="S32" s="9">
        <f t="shared" si="10"/>
        <v>27.855107027777777</v>
      </c>
      <c r="U32">
        <v>1986</v>
      </c>
      <c r="V32">
        <v>27.7</v>
      </c>
      <c r="W32">
        <f t="shared" si="6"/>
        <v>27.733333333333334</v>
      </c>
      <c r="X32" s="9">
        <f t="shared" si="2"/>
        <v>-0.20158719883478435</v>
      </c>
      <c r="Y32">
        <v>0</v>
      </c>
      <c r="Z32">
        <v>1986</v>
      </c>
      <c r="AA32">
        <v>411.5</v>
      </c>
      <c r="AB32">
        <f t="shared" si="16"/>
        <v>473.16666666666669</v>
      </c>
      <c r="AD32">
        <v>1986</v>
      </c>
      <c r="AE32">
        <v>653</v>
      </c>
      <c r="AF32">
        <f t="shared" si="13"/>
        <v>655.6</v>
      </c>
      <c r="AH32">
        <v>1986</v>
      </c>
      <c r="AI32">
        <v>4655.1000000000004</v>
      </c>
      <c r="AJ32" s="7">
        <f t="shared" si="7"/>
        <v>4905.58</v>
      </c>
      <c r="AK32">
        <f t="shared" si="14"/>
        <v>4925.4428571428571</v>
      </c>
      <c r="AL32">
        <v>1986</v>
      </c>
      <c r="AM32" s="7">
        <v>317.27500000000003</v>
      </c>
      <c r="AN32" s="7">
        <f t="shared" si="3"/>
        <v>346.72333333333336</v>
      </c>
      <c r="AO32" s="7">
        <f t="shared" si="9"/>
        <v>312.86203703703711</v>
      </c>
      <c r="AQ32">
        <v>1986</v>
      </c>
      <c r="AS32" s="10">
        <f t="shared" si="12"/>
        <v>34.58</v>
      </c>
    </row>
    <row r="33" spans="1:45" x14ac:dyDescent="0.3">
      <c r="A33">
        <v>1985</v>
      </c>
      <c r="B33" s="9">
        <v>0.81621696528249332</v>
      </c>
      <c r="C33" s="9">
        <v>1.0104675000000496</v>
      </c>
      <c r="D33" s="9">
        <v>0.81014162339068374</v>
      </c>
      <c r="F33" s="10">
        <v>0.82559502030647347</v>
      </c>
      <c r="G33" s="10">
        <v>-0.45048445073946497</v>
      </c>
      <c r="H33" s="10">
        <v>0.1110824392187964</v>
      </c>
      <c r="J33">
        <v>1985</v>
      </c>
      <c r="K33">
        <f t="shared" si="4"/>
        <v>0.71297749307830083</v>
      </c>
      <c r="L33">
        <f t="shared" si="8"/>
        <v>1.0106158796296727</v>
      </c>
      <c r="M33">
        <f t="shared" si="0"/>
        <v>0.83142639246882777</v>
      </c>
      <c r="N33" s="9">
        <f t="shared" si="5"/>
        <v>-0.38843923835381261</v>
      </c>
      <c r="P33">
        <v>1985</v>
      </c>
      <c r="Q33" s="9">
        <v>27.473912250000001</v>
      </c>
      <c r="R33" s="9">
        <f t="shared" si="1"/>
        <v>-1.9955553448881638</v>
      </c>
      <c r="S33" s="9">
        <f t="shared" si="10"/>
        <v>27.882121398148147</v>
      </c>
      <c r="U33">
        <v>1985</v>
      </c>
      <c r="V33">
        <v>27.5</v>
      </c>
      <c r="W33">
        <f t="shared" si="6"/>
        <v>27.533333333333331</v>
      </c>
      <c r="X33" s="9">
        <f t="shared" si="2"/>
        <v>-0.83817835304993382</v>
      </c>
      <c r="Y33">
        <v>0</v>
      </c>
      <c r="Z33">
        <v>1985</v>
      </c>
      <c r="AA33">
        <v>871.7</v>
      </c>
      <c r="AB33">
        <f t="shared" si="16"/>
        <v>574.02857142857135</v>
      </c>
      <c r="AD33">
        <v>1985</v>
      </c>
      <c r="AE33">
        <v>650</v>
      </c>
      <c r="AF33">
        <f t="shared" si="13"/>
        <v>652.6</v>
      </c>
      <c r="AH33">
        <v>1985</v>
      </c>
      <c r="AI33">
        <v>4467</v>
      </c>
      <c r="AJ33" s="7">
        <f t="shared" si="7"/>
        <v>4597.3</v>
      </c>
      <c r="AK33">
        <f t="shared" si="14"/>
        <v>4972.666666666667</v>
      </c>
      <c r="AL33">
        <v>1985</v>
      </c>
      <c r="AM33" s="7">
        <v>304.03333333333336</v>
      </c>
      <c r="AN33" s="7">
        <f t="shared" si="3"/>
        <v>290.69</v>
      </c>
      <c r="AO33" s="7">
        <f t="shared" si="9"/>
        <v>306.21064814814821</v>
      </c>
      <c r="AQ33">
        <v>1985</v>
      </c>
      <c r="AR33">
        <v>34.5</v>
      </c>
      <c r="AS33" s="10">
        <f t="shared" si="12"/>
        <v>34.725000000000001</v>
      </c>
    </row>
    <row r="34" spans="1:45" x14ac:dyDescent="0.3">
      <c r="A34">
        <v>1984</v>
      </c>
      <c r="B34" s="9">
        <v>0.78630406735730318</v>
      </c>
      <c r="C34" s="9">
        <v>0.95353250000004541</v>
      </c>
      <c r="D34" s="9">
        <v>0.77041309484309028</v>
      </c>
      <c r="F34" s="10">
        <v>0.53197471926042916</v>
      </c>
      <c r="G34" s="10">
        <v>-0.62234862717853467</v>
      </c>
      <c r="H34" s="10">
        <v>-0.14929410776905211</v>
      </c>
      <c r="J34">
        <v>1984</v>
      </c>
      <c r="K34">
        <f t="shared" si="4"/>
        <v>0.72580510177044255</v>
      </c>
      <c r="L34">
        <f t="shared" si="8"/>
        <v>1.0155348148148524</v>
      </c>
      <c r="M34">
        <f t="shared" si="0"/>
        <v>0.76499958837716797</v>
      </c>
      <c r="N34" s="9">
        <f t="shared" si="5"/>
        <v>-0.25833747228169257</v>
      </c>
      <c r="P34">
        <v>1984</v>
      </c>
      <c r="Q34" s="9">
        <v>27.73608175</v>
      </c>
      <c r="R34" s="9">
        <f t="shared" si="1"/>
        <v>-1.0604310377367596</v>
      </c>
      <c r="S34" s="9">
        <f t="shared" si="10"/>
        <v>27.92584751851852</v>
      </c>
      <c r="U34">
        <v>1984</v>
      </c>
      <c r="V34">
        <v>27.4</v>
      </c>
      <c r="W34">
        <f t="shared" si="6"/>
        <v>27.666666666666668</v>
      </c>
      <c r="X34" s="9">
        <f t="shared" si="2"/>
        <v>-1.1564739301575142</v>
      </c>
      <c r="Y34">
        <v>0</v>
      </c>
      <c r="Z34">
        <v>1984</v>
      </c>
      <c r="AA34">
        <v>772.1</v>
      </c>
      <c r="AB34">
        <f t="shared" si="16"/>
        <v>574.02857142857135</v>
      </c>
      <c r="AD34">
        <v>1984</v>
      </c>
      <c r="AE34">
        <v>660</v>
      </c>
      <c r="AF34">
        <f t="shared" si="13"/>
        <v>651.6</v>
      </c>
      <c r="AH34">
        <v>1984</v>
      </c>
      <c r="AI34">
        <v>4716.2</v>
      </c>
      <c r="AJ34" s="7">
        <f t="shared" si="7"/>
        <v>4612.7666666666664</v>
      </c>
      <c r="AK34">
        <f>AVERAGE(AI30:AI38)</f>
        <v>4905.58</v>
      </c>
      <c r="AL34">
        <v>1984</v>
      </c>
      <c r="AM34" s="7">
        <v>362.58333333333331</v>
      </c>
      <c r="AN34" s="7">
        <f t="shared" si="3"/>
        <v>276.12333333333333</v>
      </c>
      <c r="AO34" s="7">
        <f t="shared" si="9"/>
        <v>298.32343750000001</v>
      </c>
      <c r="AQ34">
        <v>1984</v>
      </c>
      <c r="AR34">
        <v>33</v>
      </c>
      <c r="AS34" s="10">
        <f t="shared" si="12"/>
        <v>34.725000000000001</v>
      </c>
    </row>
    <row r="35" spans="1:45" x14ac:dyDescent="0.3">
      <c r="A35">
        <v>1983</v>
      </c>
      <c r="B35" s="9">
        <v>0.69383695743190543</v>
      </c>
      <c r="C35" s="9">
        <v>1.0144487500000432</v>
      </c>
      <c r="D35" s="9">
        <v>0.71444404689772989</v>
      </c>
      <c r="F35" s="10">
        <v>-0.22760896871032521</v>
      </c>
      <c r="G35" s="10">
        <v>-0.33261154555231798</v>
      </c>
      <c r="H35" s="10">
        <v>-0.48074690420273769</v>
      </c>
      <c r="J35">
        <v>1983</v>
      </c>
      <c r="K35">
        <f t="shared" si="4"/>
        <v>0.74210585145187313</v>
      </c>
      <c r="L35">
        <f t="shared" si="8"/>
        <v>1.0141754166666985</v>
      </c>
      <c r="M35">
        <f t="shared" si="0"/>
        <v>0.73136140069978095</v>
      </c>
      <c r="N35" s="9">
        <f t="shared" si="5"/>
        <v>-0.16122159049230658</v>
      </c>
      <c r="P35">
        <v>1983</v>
      </c>
      <c r="Q35" s="9">
        <v>28.159372166666667</v>
      </c>
      <c r="R35" s="9">
        <f t="shared" si="1"/>
        <v>0.44939049989156105</v>
      </c>
      <c r="S35" s="9">
        <f t="shared" si="10"/>
        <v>27.914077555555554</v>
      </c>
      <c r="U35">
        <v>1983</v>
      </c>
      <c r="V35">
        <v>28.1</v>
      </c>
      <c r="W35">
        <f t="shared" si="6"/>
        <v>27.7</v>
      </c>
      <c r="X35" s="9">
        <f t="shared" si="2"/>
        <v>1.0715951095955261</v>
      </c>
      <c r="Y35">
        <v>0</v>
      </c>
      <c r="Z35">
        <v>1983</v>
      </c>
      <c r="AA35">
        <v>333.7</v>
      </c>
      <c r="AB35">
        <f t="shared" si="16"/>
        <v>574.02857142857135</v>
      </c>
      <c r="AD35">
        <v>1983</v>
      </c>
      <c r="AE35">
        <v>643</v>
      </c>
      <c r="AF35">
        <f t="shared" si="13"/>
        <v>653</v>
      </c>
      <c r="AL35">
        <v>1983</v>
      </c>
      <c r="AM35" s="7">
        <v>157.01666666666668</v>
      </c>
      <c r="AN35" s="7">
        <f t="shared" si="3"/>
        <v>263.91750000000002</v>
      </c>
      <c r="AO35" s="7">
        <f t="shared" si="9"/>
        <v>278.48630952380955</v>
      </c>
      <c r="AQ35">
        <v>1983</v>
      </c>
      <c r="AR35">
        <v>38.200000000000003</v>
      </c>
      <c r="AS35" s="10">
        <f t="shared" si="12"/>
        <v>34.725000000000001</v>
      </c>
    </row>
    <row r="36" spans="1:45" x14ac:dyDescent="0.3">
      <c r="A36">
        <v>1982</v>
      </c>
      <c r="B36" s="9">
        <v>0.71755662143159182</v>
      </c>
      <c r="C36" s="9">
        <v>0.96354500000003052</v>
      </c>
      <c r="D36" s="9">
        <v>0.70922706035852245</v>
      </c>
      <c r="F36" s="10">
        <v>-2.0665475459710397E-2</v>
      </c>
      <c r="G36" s="10">
        <v>-0.48004011519532175</v>
      </c>
      <c r="H36" s="10">
        <v>-0.54437528362540866</v>
      </c>
      <c r="J36">
        <v>1982</v>
      </c>
      <c r="K36">
        <f t="shared" si="4"/>
        <v>0.77097107521880714</v>
      </c>
      <c r="L36">
        <f t="shared" si="8"/>
        <v>1.0249488888889173</v>
      </c>
      <c r="M36">
        <f t="shared" ref="M36:M67" si="17">AVERAGE(D35:D37)</f>
        <v>0.68571965566454318</v>
      </c>
      <c r="N36" s="9">
        <f t="shared" si="5"/>
        <v>4.321872807793424E-2</v>
      </c>
      <c r="P36">
        <v>1982</v>
      </c>
      <c r="Q36" s="9">
        <v>27.829861749999996</v>
      </c>
      <c r="R36" s="9">
        <f t="shared" si="1"/>
        <v>-0.72593004687148099</v>
      </c>
      <c r="S36" s="9">
        <f t="shared" si="10"/>
        <v>27.883575601851849</v>
      </c>
      <c r="U36">
        <v>1982</v>
      </c>
      <c r="V36">
        <v>27.6</v>
      </c>
      <c r="W36">
        <f t="shared" si="6"/>
        <v>27.866666666666664</v>
      </c>
      <c r="X36" s="9">
        <f t="shared" si="2"/>
        <v>-0.51988277594235344</v>
      </c>
      <c r="Y36">
        <v>0</v>
      </c>
      <c r="Z36">
        <v>1982</v>
      </c>
      <c r="AA36">
        <v>113.9</v>
      </c>
      <c r="AB36">
        <f t="shared" si="16"/>
        <v>613.68333333333339</v>
      </c>
      <c r="AD36">
        <v>1982</v>
      </c>
      <c r="AE36">
        <v>652</v>
      </c>
      <c r="AF36">
        <f>AVERAGE(AE34:AE37)</f>
        <v>653.75</v>
      </c>
      <c r="AL36">
        <v>1982</v>
      </c>
      <c r="AM36" s="7">
        <v>239.70833333333334</v>
      </c>
      <c r="AN36" s="7">
        <f t="shared" si="3"/>
        <v>253.8885416666667</v>
      </c>
      <c r="AO36" s="7">
        <f t="shared" si="9"/>
        <v>272.81041666666664</v>
      </c>
      <c r="AQ36">
        <v>1982</v>
      </c>
      <c r="AS36" s="10">
        <f t="shared" si="12"/>
        <v>34.620000000000005</v>
      </c>
    </row>
    <row r="37" spans="1:45" x14ac:dyDescent="0.3">
      <c r="A37">
        <v>1981</v>
      </c>
      <c r="B37" s="9">
        <v>0.70060290104650136</v>
      </c>
      <c r="C37" s="9">
        <v>0.8952266666666695</v>
      </c>
      <c r="D37" s="9">
        <v>0.63348785973737709</v>
      </c>
      <c r="F37" s="10">
        <v>-0.3880584451834494</v>
      </c>
      <c r="G37" s="10">
        <v>-0.60747743718294844</v>
      </c>
      <c r="H37" s="10">
        <v>-0.69415921978381745</v>
      </c>
      <c r="J37">
        <v>1981</v>
      </c>
      <c r="K37">
        <f t="shared" si="4"/>
        <v>0.78207391505782986</v>
      </c>
      <c r="L37">
        <f t="shared" si="8"/>
        <v>0.99329800925927947</v>
      </c>
      <c r="M37">
        <f t="shared" si="17"/>
        <v>0.74816786741608265</v>
      </c>
      <c r="N37" s="9">
        <f t="shared" si="5"/>
        <v>7.0404742254875918E-3</v>
      </c>
      <c r="P37">
        <v>1981</v>
      </c>
      <c r="Q37" s="9">
        <v>28.183046750000003</v>
      </c>
      <c r="R37" s="9">
        <f t="shared" si="1"/>
        <v>0.53383464132175529</v>
      </c>
      <c r="S37" s="9">
        <f t="shared" si="10"/>
        <v>27.906525305555551</v>
      </c>
      <c r="U37">
        <v>1981</v>
      </c>
      <c r="V37">
        <v>27.9</v>
      </c>
      <c r="W37">
        <f t="shared" si="6"/>
        <v>27.866666666666664</v>
      </c>
      <c r="X37" s="9">
        <f t="shared" si="2"/>
        <v>0.43500395538036518</v>
      </c>
      <c r="Y37">
        <v>0</v>
      </c>
      <c r="Z37">
        <v>1981</v>
      </c>
      <c r="AA37">
        <v>1179.2</v>
      </c>
      <c r="AB37">
        <f t="shared" si="16"/>
        <v>616.83333333333337</v>
      </c>
      <c r="AD37">
        <v>1981</v>
      </c>
      <c r="AE37">
        <v>660</v>
      </c>
      <c r="AF37">
        <f>AVERAGE(AE35:AE37)</f>
        <v>651.66666666666663</v>
      </c>
      <c r="AL37">
        <v>1981</v>
      </c>
      <c r="AM37" s="7">
        <v>256.24583333333334</v>
      </c>
      <c r="AN37" s="7">
        <f t="shared" si="3"/>
        <v>217.65694444444443</v>
      </c>
      <c r="AO37" s="7">
        <f t="shared" si="9"/>
        <v>263.91750000000002</v>
      </c>
      <c r="AQ37">
        <v>1981</v>
      </c>
      <c r="AS37" s="10">
        <f t="shared" si="12"/>
        <v>35.339999999999996</v>
      </c>
    </row>
    <row r="38" spans="1:45" x14ac:dyDescent="0.3">
      <c r="A38">
        <v>1980</v>
      </c>
      <c r="B38" s="9">
        <v>0.77656957554076655</v>
      </c>
      <c r="C38" s="9">
        <v>1.1383366666666674</v>
      </c>
      <c r="D38" s="9">
        <v>0.90178868215234875</v>
      </c>
      <c r="F38" s="10">
        <v>0.1534961725233969</v>
      </c>
      <c r="G38" s="10">
        <v>0.55657791748035568</v>
      </c>
      <c r="H38" s="10">
        <v>0.66458546833762344</v>
      </c>
      <c r="J38">
        <v>1980</v>
      </c>
      <c r="K38">
        <f t="shared" si="4"/>
        <v>0.78404907670473967</v>
      </c>
      <c r="L38">
        <f t="shared" si="8"/>
        <v>0.97711328703705247</v>
      </c>
      <c r="M38">
        <f t="shared" si="17"/>
        <v>0.77381201679793998</v>
      </c>
      <c r="N38" s="9">
        <f t="shared" si="5"/>
        <v>-1.2336784158658486E-2</v>
      </c>
      <c r="P38">
        <v>1980</v>
      </c>
      <c r="Q38" s="9">
        <v>28.043225333333336</v>
      </c>
      <c r="R38" s="9">
        <f t="shared" si="1"/>
        <v>3.5109940754583013E-2</v>
      </c>
      <c r="S38" s="9">
        <f t="shared" si="10"/>
        <v>27.91103144444444</v>
      </c>
      <c r="U38">
        <v>1980</v>
      </c>
      <c r="V38">
        <v>28.1</v>
      </c>
      <c r="W38">
        <f t="shared" si="6"/>
        <v>28.033333333333331</v>
      </c>
      <c r="X38" s="9">
        <f t="shared" si="2"/>
        <v>1.0715951095955261</v>
      </c>
      <c r="Y38">
        <v>0</v>
      </c>
      <c r="Z38">
        <v>1980</v>
      </c>
      <c r="AB38">
        <f t="shared" si="16"/>
        <v>575.48333333333335</v>
      </c>
      <c r="AQ38">
        <v>1980</v>
      </c>
      <c r="AS38" s="10">
        <f t="shared" si="12"/>
        <v>34.966666666666661</v>
      </c>
    </row>
    <row r="39" spans="1:45" x14ac:dyDescent="0.3">
      <c r="A39">
        <v>1979</v>
      </c>
      <c r="B39" s="9">
        <v>0.82674978191610815</v>
      </c>
      <c r="C39" s="9">
        <v>0.9659916666666698</v>
      </c>
      <c r="D39" s="9">
        <v>0.786159508504094</v>
      </c>
      <c r="F39" s="10">
        <v>0.59275097498935736</v>
      </c>
      <c r="G39" s="10">
        <v>-0.26628548556567205</v>
      </c>
      <c r="H39" s="10">
        <v>0.1869617139839895</v>
      </c>
      <c r="J39">
        <v>1979</v>
      </c>
      <c r="K39">
        <f t="shared" ref="K39:K64" si="18">AVERAGE(B35:B43)</f>
        <v>0.78163772539751575</v>
      </c>
      <c r="L39">
        <f t="shared" ref="L39:L64" si="19">AVERAGE(C35:C43)</f>
        <v>0.97097967592593681</v>
      </c>
      <c r="M39">
        <f t="shared" si="17"/>
        <v>0.86006223982304919</v>
      </c>
      <c r="N39" s="9">
        <f t="shared" ref="N39:N64" si="20">AVERAGE(H35:H43)</f>
        <v>-4.4170759629616266E-2</v>
      </c>
      <c r="P39">
        <v>1979</v>
      </c>
      <c r="Q39" s="9">
        <v>27.986774416666673</v>
      </c>
      <c r="R39" s="9">
        <f t="shared" si="1"/>
        <v>-0.16624309358379208</v>
      </c>
      <c r="S39" s="9">
        <f t="shared" si="10"/>
        <v>27.891350648148144</v>
      </c>
      <c r="U39">
        <v>1979</v>
      </c>
      <c r="V39">
        <v>28.1</v>
      </c>
      <c r="W39">
        <f t="shared" si="6"/>
        <v>28.100000000000005</v>
      </c>
      <c r="X39" s="9">
        <f t="shared" si="2"/>
        <v>1.0715951095955261</v>
      </c>
      <c r="Y39">
        <v>0</v>
      </c>
      <c r="Z39">
        <v>1979</v>
      </c>
      <c r="AB39">
        <f>AVERAGE(AA35:AA43)</f>
        <v>587.28333333333342</v>
      </c>
      <c r="AQ39">
        <v>1979</v>
      </c>
      <c r="AS39" s="10">
        <f t="shared" si="12"/>
        <v>35.059999999999995</v>
      </c>
    </row>
    <row r="40" spans="1:45" x14ac:dyDescent="0.3">
      <c r="A40">
        <v>1978</v>
      </c>
      <c r="B40" s="9">
        <v>0.90256161926284884</v>
      </c>
      <c r="C40" s="9">
        <v>1.0012100000000015</v>
      </c>
      <c r="D40" s="9">
        <v>0.89223852881270493</v>
      </c>
      <c r="F40" s="10">
        <v>1.2528895923306795</v>
      </c>
      <c r="G40" s="10">
        <v>-4.6321719125182757E-2</v>
      </c>
      <c r="H40" s="10">
        <v>0.66919745820225263</v>
      </c>
      <c r="J40">
        <v>1978</v>
      </c>
      <c r="K40">
        <f t="shared" si="18"/>
        <v>0.79403367790321633</v>
      </c>
      <c r="L40">
        <f t="shared" si="19"/>
        <v>0.96738259259259962</v>
      </c>
      <c r="M40">
        <f t="shared" si="17"/>
        <v>0.82924438784628673</v>
      </c>
      <c r="N40" s="9">
        <f t="shared" si="20"/>
        <v>4.2793655270769296E-2</v>
      </c>
      <c r="P40">
        <v>1978</v>
      </c>
      <c r="Q40" s="9">
        <v>27.972403499999999</v>
      </c>
      <c r="R40" s="9">
        <f t="shared" si="1"/>
        <v>-0.21750227320252985</v>
      </c>
      <c r="S40" s="9">
        <f t="shared" si="10"/>
        <v>27.828397157407409</v>
      </c>
      <c r="U40">
        <v>1978</v>
      </c>
      <c r="V40">
        <v>28.1</v>
      </c>
      <c r="W40">
        <f t="shared" si="6"/>
        <v>27.966666666666669</v>
      </c>
      <c r="X40" s="9">
        <f t="shared" si="2"/>
        <v>1.0715951095955261</v>
      </c>
      <c r="Y40">
        <v>0</v>
      </c>
      <c r="Z40">
        <v>1978</v>
      </c>
      <c r="AB40">
        <f t="shared" si="16"/>
        <v>635.31666666666672</v>
      </c>
      <c r="AQ40">
        <v>1978</v>
      </c>
      <c r="AS40" s="10">
        <f t="shared" si="12"/>
        <v>35.14</v>
      </c>
    </row>
    <row r="41" spans="1:45" x14ac:dyDescent="0.3">
      <c r="A41">
        <v>1977</v>
      </c>
      <c r="B41" s="9">
        <v>0.81826674625094997</v>
      </c>
      <c r="C41" s="9">
        <v>0.99692333333333849</v>
      </c>
      <c r="D41" s="9">
        <v>0.80933512622206105</v>
      </c>
      <c r="F41" s="10">
        <v>0.46811371458811973</v>
      </c>
      <c r="G41" s="10">
        <v>-0.15203465595159382</v>
      </c>
      <c r="H41" s="10">
        <v>0.30011270366774201</v>
      </c>
      <c r="J41">
        <v>1977</v>
      </c>
      <c r="K41">
        <f t="shared" si="18"/>
        <v>0.81262405848187813</v>
      </c>
      <c r="L41">
        <f t="shared" si="19"/>
        <v>0.95660703703704142</v>
      </c>
      <c r="M41">
        <f t="shared" si="17"/>
        <v>0.81214266910015598</v>
      </c>
      <c r="N41" s="9">
        <f t="shared" si="20"/>
        <v>0.11744147675662564</v>
      </c>
      <c r="P41">
        <v>1977</v>
      </c>
      <c r="Q41" s="9">
        <v>27.774049833333336</v>
      </c>
      <c r="R41" s="9">
        <f t="shared" si="1"/>
        <v>-0.92500385180951505</v>
      </c>
      <c r="S41" s="9">
        <f t="shared" si="10"/>
        <v>27.855817138888892</v>
      </c>
      <c r="U41">
        <v>1977</v>
      </c>
      <c r="V41">
        <v>27.7</v>
      </c>
      <c r="W41">
        <f t="shared" si="6"/>
        <v>27.666666666666668</v>
      </c>
      <c r="X41" s="9">
        <f t="shared" si="2"/>
        <v>-0.20158719883478435</v>
      </c>
      <c r="Y41">
        <v>0</v>
      </c>
      <c r="Z41">
        <v>1977</v>
      </c>
      <c r="AA41">
        <v>430.4</v>
      </c>
      <c r="AB41">
        <f t="shared" si="16"/>
        <v>641.44999999999993</v>
      </c>
      <c r="AQ41">
        <v>1977</v>
      </c>
      <c r="AR41">
        <v>34.200000000000003</v>
      </c>
      <c r="AS41" s="10">
        <f t="shared" si="12"/>
        <v>34.700000000000003</v>
      </c>
    </row>
    <row r="42" spans="1:45" x14ac:dyDescent="0.3">
      <c r="A42">
        <v>1976</v>
      </c>
      <c r="B42" s="9">
        <v>0.83399342010468247</v>
      </c>
      <c r="C42" s="9">
        <v>0.8648050000000076</v>
      </c>
      <c r="D42" s="9">
        <v>0.73485435226570228</v>
      </c>
      <c r="F42" s="10">
        <v>0.6164053429105173</v>
      </c>
      <c r="G42" s="10">
        <v>-0.75184784373915547</v>
      </c>
      <c r="H42" s="10">
        <v>-6.331288623851801E-2</v>
      </c>
      <c r="J42">
        <v>1976</v>
      </c>
      <c r="K42">
        <f t="shared" si="18"/>
        <v>0.83226104796503142</v>
      </c>
      <c r="L42">
        <f t="shared" si="19"/>
        <v>0.95670129629630141</v>
      </c>
      <c r="M42">
        <f t="shared" si="17"/>
        <v>0.74280829689943995</v>
      </c>
      <c r="N42" s="9">
        <f t="shared" si="20"/>
        <v>0.20967310701065356</v>
      </c>
      <c r="P42">
        <v>1976</v>
      </c>
      <c r="Q42" s="9">
        <v>27.514467499999999</v>
      </c>
      <c r="R42" s="9">
        <f t="shared" si="1"/>
        <v>-1.8509000739371211</v>
      </c>
      <c r="S42" s="9">
        <f t="shared" si="10"/>
        <v>27.820966268518522</v>
      </c>
      <c r="U42">
        <v>1976</v>
      </c>
      <c r="V42">
        <v>27.2</v>
      </c>
      <c r="W42">
        <f t="shared" si="6"/>
        <v>27.333333333333332</v>
      </c>
      <c r="X42" s="9">
        <f t="shared" si="2"/>
        <v>-1.7930650843726637</v>
      </c>
      <c r="Y42">
        <v>0</v>
      </c>
      <c r="Z42">
        <v>1976</v>
      </c>
      <c r="AA42">
        <v>623.6</v>
      </c>
      <c r="AB42">
        <f t="shared" si="16"/>
        <v>563.91666666666663</v>
      </c>
      <c r="AQ42">
        <v>1976</v>
      </c>
      <c r="AR42">
        <v>36.799999999999997</v>
      </c>
      <c r="AS42" s="10">
        <f t="shared" si="12"/>
        <v>34.25</v>
      </c>
    </row>
    <row r="43" spans="1:45" x14ac:dyDescent="0.3">
      <c r="A43">
        <v>1975</v>
      </c>
      <c r="B43" s="9">
        <v>0.76460190559228713</v>
      </c>
      <c r="C43" s="9">
        <v>0.89833000000000374</v>
      </c>
      <c r="D43" s="9">
        <v>0.6842354122105565</v>
      </c>
      <c r="F43" s="10">
        <v>9.0551204285363049E-2</v>
      </c>
      <c r="G43" s="10">
        <v>-0.55745001401754346</v>
      </c>
      <c r="H43" s="10">
        <v>-0.4357998870076723</v>
      </c>
      <c r="J43">
        <v>1975</v>
      </c>
      <c r="K43">
        <f t="shared" si="18"/>
        <v>0.82666457467779131</v>
      </c>
      <c r="L43">
        <f t="shared" si="19"/>
        <v>0.9401416666666722</v>
      </c>
      <c r="M43">
        <f t="shared" si="17"/>
        <v>0.74393163251453231</v>
      </c>
      <c r="N43" s="9">
        <f t="shared" si="20"/>
        <v>0.10801719204523477</v>
      </c>
      <c r="P43">
        <v>1975</v>
      </c>
      <c r="Q43" s="9">
        <v>27.558954583333332</v>
      </c>
      <c r="R43" s="9">
        <f t="shared" si="1"/>
        <v>-1.6922204678835175</v>
      </c>
      <c r="S43" s="9">
        <f t="shared" si="10"/>
        <v>27.780961425925927</v>
      </c>
      <c r="U43">
        <v>1975</v>
      </c>
      <c r="V43">
        <v>27.1</v>
      </c>
      <c r="W43">
        <f t="shared" si="6"/>
        <v>27.366666666666664</v>
      </c>
      <c r="X43" s="9">
        <f t="shared" si="2"/>
        <v>-2.1113606614802327</v>
      </c>
      <c r="Y43">
        <v>0</v>
      </c>
      <c r="Z43">
        <v>1975</v>
      </c>
      <c r="AA43">
        <v>842.9</v>
      </c>
      <c r="AB43">
        <f t="shared" si="16"/>
        <v>494.75714285714287</v>
      </c>
      <c r="AQ43">
        <v>1975</v>
      </c>
      <c r="AR43">
        <v>33.1</v>
      </c>
      <c r="AS43" s="10">
        <f t="shared" si="12"/>
        <v>34.5</v>
      </c>
    </row>
    <row r="44" spans="1:45" x14ac:dyDescent="0.3">
      <c r="A44">
        <v>1974</v>
      </c>
      <c r="B44" s="9">
        <v>0.80540052998320955</v>
      </c>
      <c r="C44" s="9">
        <v>0.98207500000000769</v>
      </c>
      <c r="D44" s="9">
        <v>0.81270513306733816</v>
      </c>
      <c r="F44" s="10">
        <v>0.37992788939927413</v>
      </c>
      <c r="G44" s="10">
        <v>-0.2194784667841769</v>
      </c>
      <c r="H44" s="10">
        <v>0.3019328299007325</v>
      </c>
      <c r="J44">
        <v>1974</v>
      </c>
      <c r="K44">
        <f t="shared" si="18"/>
        <v>0.82056295955458658</v>
      </c>
      <c r="L44">
        <f t="shared" si="19"/>
        <v>0.94629037037037633</v>
      </c>
      <c r="M44">
        <f t="shared" si="17"/>
        <v>0.76422624721924615</v>
      </c>
      <c r="N44" s="9">
        <f t="shared" si="20"/>
        <v>9.7525635690838774E-2</v>
      </c>
      <c r="P44">
        <v>1974</v>
      </c>
      <c r="Q44" s="9">
        <v>27.592790750000002</v>
      </c>
      <c r="R44" s="9">
        <f t="shared" si="1"/>
        <v>-1.5715312881321353</v>
      </c>
      <c r="S44" s="9">
        <f t="shared" si="10"/>
        <v>27.786566314814817</v>
      </c>
      <c r="U44">
        <v>1974</v>
      </c>
      <c r="V44">
        <v>27.8</v>
      </c>
      <c r="W44">
        <f t="shared" si="6"/>
        <v>27.600000000000005</v>
      </c>
      <c r="X44" s="9">
        <f t="shared" si="2"/>
        <v>0.11670837827279607</v>
      </c>
      <c r="Y44">
        <v>0</v>
      </c>
      <c r="Z44">
        <v>1974</v>
      </c>
      <c r="AA44">
        <v>621.9</v>
      </c>
      <c r="AB44">
        <f t="shared" si="16"/>
        <v>595.625</v>
      </c>
      <c r="AQ44">
        <v>1974</v>
      </c>
      <c r="AS44" s="10">
        <f t="shared" si="12"/>
        <v>34.6875</v>
      </c>
    </row>
    <row r="45" spans="1:45" x14ac:dyDescent="0.3">
      <c r="A45">
        <v>1973</v>
      </c>
      <c r="B45" s="9">
        <v>0.88487004663954949</v>
      </c>
      <c r="C45" s="9">
        <v>0.86656500000000725</v>
      </c>
      <c r="D45" s="9">
        <v>0.79573819637984344</v>
      </c>
      <c r="F45" s="10">
        <v>0.98450375261072665</v>
      </c>
      <c r="G45" s="10">
        <v>-0.72033713260924692</v>
      </c>
      <c r="H45" s="10">
        <v>0.12745510974729846</v>
      </c>
      <c r="J45">
        <v>1973</v>
      </c>
      <c r="K45">
        <f t="shared" si="18"/>
        <v>0.81408726969263923</v>
      </c>
      <c r="L45">
        <f t="shared" si="19"/>
        <v>0.94232814814815469</v>
      </c>
      <c r="M45">
        <f t="shared" si="17"/>
        <v>0.802508196088484</v>
      </c>
      <c r="N45" s="9">
        <f t="shared" si="20"/>
        <v>5.1703228149656506E-2</v>
      </c>
      <c r="P45">
        <v>1973</v>
      </c>
      <c r="Q45" s="9">
        <v>28.07664158333333</v>
      </c>
      <c r="R45" s="9">
        <f t="shared" si="1"/>
        <v>0.15430133269317009</v>
      </c>
      <c r="S45" s="9">
        <f t="shared" si="10"/>
        <v>27.842386083333338</v>
      </c>
      <c r="U45">
        <v>1973</v>
      </c>
      <c r="V45">
        <v>27.9</v>
      </c>
      <c r="W45">
        <f t="shared" si="6"/>
        <v>28.033333333333331</v>
      </c>
      <c r="X45" s="9">
        <f t="shared" si="2"/>
        <v>0.43500395538036518</v>
      </c>
      <c r="Y45">
        <v>0</v>
      </c>
      <c r="Z45">
        <v>1973</v>
      </c>
      <c r="AA45">
        <v>150.69999999999999</v>
      </c>
      <c r="AB45">
        <f t="shared" si="16"/>
        <v>607.28888888888889</v>
      </c>
      <c r="AQ45">
        <v>1973</v>
      </c>
      <c r="AR45">
        <v>33.4</v>
      </c>
      <c r="AS45" s="10">
        <f t="shared" si="12"/>
        <v>34.544444444444444</v>
      </c>
    </row>
    <row r="46" spans="1:45" x14ac:dyDescent="0.3">
      <c r="A46">
        <v>1972</v>
      </c>
      <c r="B46" s="9">
        <v>0.87733580639488029</v>
      </c>
      <c r="C46" s="9">
        <v>0.89607500000000806</v>
      </c>
      <c r="D46" s="9">
        <v>0.79908125881827008</v>
      </c>
      <c r="F46" s="10">
        <v>0.92078777270885814</v>
      </c>
      <c r="G46" s="10">
        <v>-0.58825781569976454</v>
      </c>
      <c r="H46" s="10">
        <v>0.13592545250243374</v>
      </c>
      <c r="J46">
        <v>1972</v>
      </c>
      <c r="K46">
        <f t="shared" si="18"/>
        <v>0.8089845614076181</v>
      </c>
      <c r="L46">
        <f t="shared" si="19"/>
        <v>0.92973055555556294</v>
      </c>
      <c r="M46">
        <f t="shared" si="17"/>
        <v>0.77097511958915677</v>
      </c>
      <c r="N46" s="9">
        <f t="shared" si="20"/>
        <v>-4.0459290721772664E-2</v>
      </c>
      <c r="P46">
        <v>1972</v>
      </c>
      <c r="Q46" s="9">
        <v>27.869388916666669</v>
      </c>
      <c r="R46" s="9">
        <f t="shared" si="1"/>
        <v>-0.58494181466738848</v>
      </c>
      <c r="S46" s="9">
        <f t="shared" si="10"/>
        <v>27.842159583333331</v>
      </c>
      <c r="U46">
        <v>1972</v>
      </c>
      <c r="V46">
        <v>28.4</v>
      </c>
      <c r="W46">
        <f t="shared" si="6"/>
        <v>28.066666666666663</v>
      </c>
      <c r="X46" s="9">
        <f t="shared" si="2"/>
        <v>2.0264818409182443</v>
      </c>
      <c r="Y46">
        <v>0</v>
      </c>
      <c r="Z46">
        <v>1972</v>
      </c>
      <c r="AA46">
        <v>714</v>
      </c>
      <c r="AB46">
        <f t="shared" si="16"/>
        <v>627.5777777777779</v>
      </c>
      <c r="AQ46">
        <v>1972</v>
      </c>
      <c r="AR46">
        <v>36</v>
      </c>
      <c r="AS46" s="10">
        <f t="shared" si="12"/>
        <v>34.544444444444444</v>
      </c>
    </row>
    <row r="47" spans="1:45" x14ac:dyDescent="0.3">
      <c r="A47">
        <v>1971</v>
      </c>
      <c r="B47" s="9">
        <v>0.72620131595560655</v>
      </c>
      <c r="C47" s="9">
        <v>0.98930000000000595</v>
      </c>
      <c r="D47" s="9">
        <v>0.71810590356935666</v>
      </c>
      <c r="F47" s="10">
        <v>-0.19336462967428422</v>
      </c>
      <c r="G47" s="10">
        <v>-0.18761933036122547</v>
      </c>
      <c r="H47" s="10">
        <v>-0.25031776635114589</v>
      </c>
      <c r="J47">
        <v>1971</v>
      </c>
      <c r="K47">
        <f t="shared" si="18"/>
        <v>0.79874647743255456</v>
      </c>
      <c r="L47">
        <f t="shared" si="19"/>
        <v>0.9352894444444515</v>
      </c>
      <c r="M47">
        <f t="shared" si="17"/>
        <v>0.76585002914729217</v>
      </c>
      <c r="N47" s="9">
        <f t="shared" si="20"/>
        <v>-9.7622902543117632E-2</v>
      </c>
      <c r="P47">
        <v>1971</v>
      </c>
      <c r="Q47" s="9">
        <v>27.683181750000003</v>
      </c>
      <c r="R47" s="9">
        <f t="shared" si="1"/>
        <v>-1.2491184168876799</v>
      </c>
      <c r="S47" s="9">
        <f t="shared" si="10"/>
        <v>27.875633787037035</v>
      </c>
      <c r="U47">
        <v>1971</v>
      </c>
      <c r="V47">
        <v>27.9</v>
      </c>
      <c r="W47">
        <f t="shared" si="6"/>
        <v>27.966666666666669</v>
      </c>
      <c r="X47" s="9">
        <f t="shared" si="2"/>
        <v>0.43500395538036518</v>
      </c>
      <c r="Y47">
        <v>0</v>
      </c>
      <c r="Z47">
        <v>1971</v>
      </c>
      <c r="AA47">
        <v>79.8</v>
      </c>
      <c r="AB47">
        <f t="shared" si="16"/>
        <v>631.20000000000005</v>
      </c>
      <c r="AQ47">
        <v>1971</v>
      </c>
      <c r="AR47">
        <v>32</v>
      </c>
      <c r="AS47" s="10">
        <f t="shared" si="12"/>
        <v>34.522222222222219</v>
      </c>
    </row>
    <row r="48" spans="1:45" x14ac:dyDescent="0.3">
      <c r="A48">
        <v>1970</v>
      </c>
      <c r="B48" s="9">
        <v>0.77183524580726504</v>
      </c>
      <c r="C48" s="9">
        <v>1.0213300000000072</v>
      </c>
      <c r="D48" s="9">
        <v>0.78036292505424976</v>
      </c>
      <c r="F48" s="10">
        <v>0.17192684708931735</v>
      </c>
      <c r="G48" s="10">
        <v>-4.8379575208136703E-2</v>
      </c>
      <c r="H48" s="10">
        <v>9.2537706794425967E-2</v>
      </c>
      <c r="J48">
        <v>1970</v>
      </c>
      <c r="K48">
        <f t="shared" si="18"/>
        <v>0.79190214629019662</v>
      </c>
      <c r="L48">
        <f t="shared" si="19"/>
        <v>0.95773111111111908</v>
      </c>
      <c r="M48">
        <f t="shared" si="17"/>
        <v>0.77502385859784573</v>
      </c>
      <c r="N48" s="9">
        <f t="shared" si="20"/>
        <v>-6.8444248258790641E-2</v>
      </c>
      <c r="P48">
        <v>1970</v>
      </c>
      <c r="Q48" s="9">
        <v>28.037218416666665</v>
      </c>
      <c r="R48" s="9">
        <f t="shared" si="1"/>
        <v>1.368405488289798E-2</v>
      </c>
      <c r="S48" s="9">
        <f t="shared" si="10"/>
        <v>27.933181287037037</v>
      </c>
      <c r="U48">
        <v>1970</v>
      </c>
      <c r="V48">
        <v>27.6</v>
      </c>
      <c r="W48">
        <f t="shared" si="6"/>
        <v>27.666666666666668</v>
      </c>
      <c r="X48" s="9">
        <f t="shared" si="2"/>
        <v>-0.51988277594235344</v>
      </c>
      <c r="Y48">
        <v>0</v>
      </c>
      <c r="Z48">
        <v>1970</v>
      </c>
      <c r="AA48">
        <v>1301.7</v>
      </c>
      <c r="AB48">
        <f t="shared" si="16"/>
        <v>615.83333333333337</v>
      </c>
      <c r="AQ48">
        <v>1970</v>
      </c>
      <c r="AR48">
        <v>36</v>
      </c>
      <c r="AS48" s="10">
        <f t="shared" si="12"/>
        <v>34.233333333333327</v>
      </c>
    </row>
    <row r="49" spans="1:45" x14ac:dyDescent="0.3">
      <c r="A49">
        <v>1969</v>
      </c>
      <c r="B49" s="9">
        <v>0.8442804105053231</v>
      </c>
      <c r="C49" s="9">
        <v>0.96555000000000746</v>
      </c>
      <c r="D49" s="9">
        <v>0.82660274716993065</v>
      </c>
      <c r="F49" s="10">
        <v>0.81000906093509872</v>
      </c>
      <c r="G49" s="10">
        <v>-0.24159792908076538</v>
      </c>
      <c r="H49" s="10">
        <v>0.25679579033161204</v>
      </c>
      <c r="J49">
        <v>1969</v>
      </c>
      <c r="K49">
        <f t="shared" si="18"/>
        <v>0.77666909096102132</v>
      </c>
      <c r="L49">
        <f t="shared" si="19"/>
        <v>0.96534111111111942</v>
      </c>
      <c r="M49">
        <f t="shared" si="17"/>
        <v>0.75957878744348672</v>
      </c>
      <c r="N49" s="9">
        <f t="shared" si="20"/>
        <v>-0.14984071489402975</v>
      </c>
      <c r="P49">
        <v>1969</v>
      </c>
      <c r="Q49" s="9">
        <v>28.474781416666669</v>
      </c>
      <c r="R49" s="9">
        <f t="shared" si="1"/>
        <v>1.5744140299947846</v>
      </c>
      <c r="S49" s="9">
        <f t="shared" si="10"/>
        <v>27.939001046296298</v>
      </c>
      <c r="U49">
        <v>1969</v>
      </c>
      <c r="V49">
        <v>27.5</v>
      </c>
      <c r="W49">
        <f t="shared" si="6"/>
        <v>27.466666666666669</v>
      </c>
      <c r="X49" s="9">
        <f t="shared" si="2"/>
        <v>-0.83817835304993382</v>
      </c>
      <c r="Y49">
        <v>0</v>
      </c>
      <c r="Z49">
        <v>1969</v>
      </c>
      <c r="AA49">
        <v>700.6</v>
      </c>
      <c r="AB49">
        <f t="shared" si="16"/>
        <v>639.98888888888894</v>
      </c>
      <c r="AQ49">
        <v>1969</v>
      </c>
      <c r="AR49">
        <v>36</v>
      </c>
      <c r="AS49" s="10">
        <f t="shared" si="12"/>
        <v>34.422222222222224</v>
      </c>
    </row>
    <row r="50" spans="1:45" x14ac:dyDescent="0.3">
      <c r="A50">
        <v>1968</v>
      </c>
      <c r="B50" s="9">
        <v>0.77234237168575959</v>
      </c>
      <c r="C50" s="9">
        <v>0.88354500000001224</v>
      </c>
      <c r="D50" s="9">
        <v>0.67177069010627954</v>
      </c>
      <c r="F50" s="10">
        <v>0.22047024918373329</v>
      </c>
      <c r="G50" s="10">
        <v>-0.64482039256955348</v>
      </c>
      <c r="H50" s="10">
        <v>-0.52934996617512053</v>
      </c>
      <c r="J50">
        <v>1968</v>
      </c>
      <c r="K50">
        <f t="shared" si="18"/>
        <v>0.74501549079256535</v>
      </c>
      <c r="L50">
        <f t="shared" si="19"/>
        <v>1.0107600000000083</v>
      </c>
      <c r="M50">
        <f t="shared" si="17"/>
        <v>0.72631659101730273</v>
      </c>
      <c r="N50" s="9">
        <f t="shared" si="20"/>
        <v>-0.17487626947296284</v>
      </c>
      <c r="P50">
        <v>1968</v>
      </c>
      <c r="Q50" s="9">
        <v>27.772011333333335</v>
      </c>
      <c r="R50" s="9">
        <f t="shared" si="1"/>
        <v>-0.9322749146147965</v>
      </c>
      <c r="S50" s="9">
        <f t="shared" si="10"/>
        <v>27.917838962962961</v>
      </c>
      <c r="U50">
        <v>1968</v>
      </c>
      <c r="V50">
        <v>27.3</v>
      </c>
      <c r="W50">
        <f t="shared" si="6"/>
        <v>27.5</v>
      </c>
      <c r="X50" s="9">
        <f t="shared" si="2"/>
        <v>-1.4747695072650833</v>
      </c>
      <c r="Y50">
        <v>0</v>
      </c>
      <c r="Z50">
        <v>1968</v>
      </c>
      <c r="AA50">
        <v>613</v>
      </c>
      <c r="AB50">
        <f t="shared" si="16"/>
        <v>733.66666666666674</v>
      </c>
      <c r="AQ50">
        <v>1968</v>
      </c>
      <c r="AR50">
        <v>33.4</v>
      </c>
      <c r="AS50" s="10">
        <f t="shared" si="12"/>
        <v>34.58</v>
      </c>
    </row>
    <row r="51" spans="1:45" x14ac:dyDescent="0.3">
      <c r="A51">
        <v>1967</v>
      </c>
      <c r="B51" s="9">
        <v>0.7418506643291094</v>
      </c>
      <c r="C51" s="9">
        <v>0.91483500000000484</v>
      </c>
      <c r="D51" s="9">
        <v>0.68057633577569776</v>
      </c>
      <c r="F51" s="10">
        <v>-4.5610417551819493E-2</v>
      </c>
      <c r="G51" s="10">
        <v>-0.48655851933966909</v>
      </c>
      <c r="H51" s="10">
        <v>-0.57778539263062267</v>
      </c>
      <c r="J51">
        <v>1967</v>
      </c>
      <c r="K51">
        <f t="shared" si="18"/>
        <v>0.72080928218920681</v>
      </c>
      <c r="L51">
        <f t="shared" si="19"/>
        <v>1.0532055555555639</v>
      </c>
      <c r="M51">
        <f t="shared" si="17"/>
        <v>0.6922678643591037</v>
      </c>
      <c r="N51" s="9">
        <f t="shared" si="20"/>
        <v>-0.147872742045695</v>
      </c>
      <c r="P51">
        <v>1967</v>
      </c>
      <c r="Q51" s="9">
        <v>27.815735333333333</v>
      </c>
      <c r="R51" s="9">
        <f t="shared" si="1"/>
        <v>-0.77631712697784494</v>
      </c>
      <c r="S51" s="9">
        <f t="shared" si="10"/>
        <v>27.955146657407404</v>
      </c>
      <c r="U51">
        <v>1967</v>
      </c>
      <c r="V51">
        <v>27.7</v>
      </c>
      <c r="W51">
        <f t="shared" si="6"/>
        <v>27.5</v>
      </c>
      <c r="X51" s="9">
        <f t="shared" si="2"/>
        <v>-0.20158719883478435</v>
      </c>
      <c r="Y51">
        <v>0</v>
      </c>
      <c r="Z51">
        <v>1967</v>
      </c>
      <c r="AA51">
        <v>656.2</v>
      </c>
      <c r="AB51">
        <f t="shared" si="16"/>
        <v>748.6444444444445</v>
      </c>
      <c r="AQ51">
        <v>1967</v>
      </c>
      <c r="AS51" s="10">
        <f t="shared" si="12"/>
        <v>34.840000000000003</v>
      </c>
    </row>
    <row r="52" spans="1:45" x14ac:dyDescent="0.3">
      <c r="A52">
        <v>1966</v>
      </c>
      <c r="B52" s="9">
        <v>0.70300292531106556</v>
      </c>
      <c r="C52" s="9">
        <v>1.1003050000000119</v>
      </c>
      <c r="D52" s="9">
        <v>0.72445656719533391</v>
      </c>
      <c r="F52" s="10">
        <v>-0.33426305078567414</v>
      </c>
      <c r="G52" s="10">
        <v>0.30216345261982586</v>
      </c>
      <c r="H52" s="10">
        <v>-0.17319199844872937</v>
      </c>
      <c r="J52">
        <v>1966</v>
      </c>
      <c r="K52">
        <f t="shared" si="18"/>
        <v>0.72933189141281329</v>
      </c>
      <c r="L52">
        <f t="shared" si="19"/>
        <v>1.0395411111111195</v>
      </c>
      <c r="M52">
        <f t="shared" si="17"/>
        <v>0.69892843601104682</v>
      </c>
      <c r="N52" s="9">
        <f t="shared" si="20"/>
        <v>-0.16496503161076617</v>
      </c>
      <c r="P52">
        <v>1966</v>
      </c>
      <c r="Q52" s="9">
        <v>28.076882083333331</v>
      </c>
      <c r="R52" s="9">
        <f t="shared" si="1"/>
        <v>0.15515916472881955</v>
      </c>
      <c r="S52" s="9">
        <f t="shared" si="10"/>
        <v>27.997685027777777</v>
      </c>
      <c r="U52">
        <v>1966</v>
      </c>
      <c r="V52">
        <v>27.5</v>
      </c>
      <c r="W52">
        <f t="shared" si="6"/>
        <v>27.600000000000005</v>
      </c>
      <c r="X52" s="9">
        <f t="shared" si="2"/>
        <v>-0.83817835304993382</v>
      </c>
      <c r="Y52">
        <v>0</v>
      </c>
      <c r="Z52">
        <v>1966</v>
      </c>
      <c r="AA52">
        <v>704.6</v>
      </c>
      <c r="AB52">
        <f t="shared" si="16"/>
        <v>820.25</v>
      </c>
      <c r="AQ52">
        <v>1966</v>
      </c>
      <c r="AR52">
        <v>34</v>
      </c>
      <c r="AS52" s="10">
        <f t="shared" si="12"/>
        <v>34.630000000000003</v>
      </c>
    </row>
    <row r="53" spans="1:45" x14ac:dyDescent="0.3">
      <c r="A53">
        <v>1965</v>
      </c>
      <c r="B53" s="9">
        <v>0.66830303202063268</v>
      </c>
      <c r="C53" s="9">
        <v>1.0505650000000095</v>
      </c>
      <c r="D53" s="9">
        <v>0.69175240506210889</v>
      </c>
      <c r="F53" s="10">
        <v>-0.60099596370358699</v>
      </c>
      <c r="G53" s="10">
        <v>7.974683521585775E-2</v>
      </c>
      <c r="H53" s="10">
        <v>-0.43063536981641959</v>
      </c>
      <c r="J53">
        <v>1965</v>
      </c>
      <c r="K53">
        <f t="shared" si="18"/>
        <v>0.73270027559173867</v>
      </c>
      <c r="L53">
        <f t="shared" si="19"/>
        <v>1.0569844444444538</v>
      </c>
      <c r="M53">
        <f t="shared" si="17"/>
        <v>0.7220517789242108</v>
      </c>
      <c r="N53" s="9">
        <f t="shared" si="20"/>
        <v>-8.2025779630057097E-2</v>
      </c>
      <c r="P53">
        <v>1965</v>
      </c>
      <c r="Q53" s="9">
        <v>27.645168583333341</v>
      </c>
      <c r="R53" s="9">
        <f t="shared" si="1"/>
        <v>-1.3847064091666956</v>
      </c>
      <c r="S53" s="9">
        <f t="shared" si="10"/>
        <v>28.000332675925922</v>
      </c>
      <c r="U53">
        <v>1965</v>
      </c>
      <c r="V53">
        <v>27.6</v>
      </c>
      <c r="W53">
        <f t="shared" si="6"/>
        <v>27.533333333333331</v>
      </c>
      <c r="X53" s="9">
        <f t="shared" si="2"/>
        <v>-0.51988277594235344</v>
      </c>
      <c r="Y53">
        <v>0</v>
      </c>
      <c r="Z53">
        <v>1965</v>
      </c>
      <c r="AA53">
        <v>839.3</v>
      </c>
      <c r="AB53">
        <f t="shared" si="16"/>
        <v>742.25</v>
      </c>
      <c r="AQ53">
        <v>1965</v>
      </c>
      <c r="AR53">
        <v>34.200000000000003</v>
      </c>
      <c r="AS53" s="10">
        <f t="shared" si="12"/>
        <v>34.93</v>
      </c>
    </row>
    <row r="54" spans="1:45" x14ac:dyDescent="0.3">
      <c r="A54">
        <v>1964</v>
      </c>
      <c r="B54" s="9">
        <v>0.59998764512344638</v>
      </c>
      <c r="C54" s="9">
        <v>1.2753350000000079</v>
      </c>
      <c r="D54" s="9">
        <v>0.74994636451518948</v>
      </c>
      <c r="F54" s="10">
        <v>-1.1272282882648021</v>
      </c>
      <c r="G54" s="10">
        <v>1.0878091379170576</v>
      </c>
      <c r="H54" s="10">
        <v>-9.7864881463099171E-2</v>
      </c>
      <c r="J54">
        <v>1964</v>
      </c>
      <c r="K54">
        <f t="shared" si="18"/>
        <v>0.72511274926564129</v>
      </c>
      <c r="L54">
        <f t="shared" si="19"/>
        <v>1.0705950000000093</v>
      </c>
      <c r="M54">
        <f t="shared" si="17"/>
        <v>0.75922118302322905</v>
      </c>
      <c r="N54" s="9">
        <f t="shared" si="20"/>
        <v>-7.0161006419539956E-2</v>
      </c>
      <c r="P54">
        <v>1964</v>
      </c>
      <c r="Q54" s="9">
        <v>27.886182833333336</v>
      </c>
      <c r="R54" s="9">
        <f t="shared" si="1"/>
        <v>-0.52504011104711168</v>
      </c>
      <c r="S54" s="9">
        <f t="shared" si="10"/>
        <v>27.983062055555553</v>
      </c>
      <c r="U54">
        <v>1964</v>
      </c>
      <c r="V54">
        <v>27.5</v>
      </c>
      <c r="W54">
        <f t="shared" si="6"/>
        <v>27.633333333333336</v>
      </c>
      <c r="X54" s="9">
        <f t="shared" si="2"/>
        <v>-0.83817835304993382</v>
      </c>
      <c r="Y54">
        <v>0</v>
      </c>
      <c r="Z54">
        <v>1964</v>
      </c>
      <c r="AA54">
        <v>993.8</v>
      </c>
      <c r="AB54">
        <f t="shared" si="16"/>
        <v>772.8944444444445</v>
      </c>
      <c r="AQ54">
        <v>1964</v>
      </c>
      <c r="AR54">
        <v>34.799999999999997</v>
      </c>
      <c r="AS54" s="10">
        <f t="shared" si="12"/>
        <v>34.83</v>
      </c>
    </row>
    <row r="55" spans="1:45" x14ac:dyDescent="0.3">
      <c r="A55">
        <v>1963</v>
      </c>
      <c r="B55" s="9">
        <v>0.65947992896465391</v>
      </c>
      <c r="C55" s="9">
        <v>1.2780850000000104</v>
      </c>
      <c r="D55" s="9">
        <v>0.83596477949238868</v>
      </c>
      <c r="F55" s="10">
        <v>-0.69310577406718599</v>
      </c>
      <c r="G55" s="10">
        <v>1.1216796102210522</v>
      </c>
      <c r="H55" s="10">
        <v>0.37895719934784405</v>
      </c>
      <c r="J55">
        <v>1963</v>
      </c>
      <c r="K55">
        <f t="shared" si="18"/>
        <v>0.72823539086977163</v>
      </c>
      <c r="L55">
        <f t="shared" si="19"/>
        <v>1.1044894444444533</v>
      </c>
      <c r="M55">
        <f t="shared" si="17"/>
        <v>0.76397572975812666</v>
      </c>
      <c r="N55" s="9">
        <f t="shared" si="20"/>
        <v>9.9849090416645608E-2</v>
      </c>
      <c r="P55">
        <v>1963</v>
      </c>
      <c r="Q55" s="9">
        <v>28.205158166666664</v>
      </c>
      <c r="R55" s="9">
        <f t="shared" si="1"/>
        <v>0.61270317175930589</v>
      </c>
      <c r="S55" s="9">
        <f t="shared" si="10"/>
        <v>27.997798546296295</v>
      </c>
      <c r="U55">
        <v>1963</v>
      </c>
      <c r="V55">
        <v>27.8</v>
      </c>
      <c r="W55">
        <f t="shared" si="6"/>
        <v>27.733333333333331</v>
      </c>
      <c r="X55" s="9">
        <f t="shared" si="2"/>
        <v>0.11670837827279607</v>
      </c>
      <c r="Y55">
        <v>0</v>
      </c>
      <c r="Z55">
        <v>1963</v>
      </c>
      <c r="AA55">
        <v>848.8</v>
      </c>
      <c r="AB55">
        <f t="shared" si="16"/>
        <v>716.17222222222222</v>
      </c>
      <c r="AQ55">
        <v>1963</v>
      </c>
      <c r="AR55">
        <v>36</v>
      </c>
      <c r="AS55" s="10">
        <f t="shared" si="12"/>
        <v>35.090000000000003</v>
      </c>
    </row>
    <row r="56" spans="1:45" x14ac:dyDescent="0.3">
      <c r="A56">
        <v>1962</v>
      </c>
      <c r="B56" s="9">
        <v>0.80290479896806366</v>
      </c>
      <c r="C56" s="9">
        <v>0.86632000000000531</v>
      </c>
      <c r="D56" s="9">
        <v>0.70601604526680173</v>
      </c>
      <c r="F56" s="10">
        <v>0.43191058816083583</v>
      </c>
      <c r="G56" s="10">
        <v>-0.7039007140147957</v>
      </c>
      <c r="H56" s="10">
        <v>-0.40414837243678647</v>
      </c>
      <c r="J56">
        <v>1962</v>
      </c>
      <c r="K56">
        <f t="shared" si="18"/>
        <v>0.73626911467035638</v>
      </c>
      <c r="L56">
        <f t="shared" si="19"/>
        <v>1.1145733333333425</v>
      </c>
      <c r="M56">
        <f t="shared" si="17"/>
        <v>0.82028575517829239</v>
      </c>
      <c r="N56" s="9">
        <f t="shared" si="20"/>
        <v>0.19653104322412393</v>
      </c>
      <c r="P56">
        <v>1962</v>
      </c>
      <c r="Q56" s="9">
        <v>28.066027083333335</v>
      </c>
      <c r="R56" s="9">
        <f t="shared" si="1"/>
        <v>0.11644079987659743</v>
      </c>
      <c r="S56" s="9">
        <f t="shared" si="10"/>
        <v>28.08143750925926</v>
      </c>
      <c r="U56">
        <v>1962</v>
      </c>
      <c r="V56">
        <v>27.9</v>
      </c>
      <c r="W56">
        <f t="shared" si="6"/>
        <v>27.666666666666668</v>
      </c>
      <c r="X56" s="9">
        <f t="shared" si="2"/>
        <v>0.43500395538036518</v>
      </c>
      <c r="Y56">
        <v>0</v>
      </c>
      <c r="Z56">
        <v>1962</v>
      </c>
      <c r="AA56" s="6">
        <f>AVERAGE(AA55,AA57)</f>
        <v>724.25</v>
      </c>
      <c r="AB56">
        <f t="shared" si="16"/>
        <v>698.26111111111106</v>
      </c>
      <c r="AQ56">
        <v>1962</v>
      </c>
      <c r="AR56">
        <v>36</v>
      </c>
      <c r="AS56" s="10">
        <f t="shared" si="12"/>
        <v>35.36</v>
      </c>
    </row>
    <row r="57" spans="1:45" x14ac:dyDescent="0.3">
      <c r="A57">
        <v>1961</v>
      </c>
      <c r="B57" s="9">
        <v>0.80215070341759287</v>
      </c>
      <c r="C57" s="9">
        <v>1.1783200000000147</v>
      </c>
      <c r="D57" s="9">
        <v>0.91887644077568664</v>
      </c>
      <c r="F57" s="10">
        <v>0.39870066025426515</v>
      </c>
      <c r="G57" s="10">
        <v>0.65153938344909335</v>
      </c>
      <c r="H57" s="10">
        <v>0.83899097462080796</v>
      </c>
      <c r="J57">
        <v>1961</v>
      </c>
      <c r="K57">
        <f t="shared" si="18"/>
        <v>0.74547743888238094</v>
      </c>
      <c r="L57">
        <f t="shared" si="19"/>
        <v>1.1171322222222324</v>
      </c>
      <c r="M57">
        <f t="shared" si="17"/>
        <v>0.82785331514817928</v>
      </c>
      <c r="N57" s="9">
        <f t="shared" si="20"/>
        <v>0.292113668205708</v>
      </c>
      <c r="P57">
        <v>1961</v>
      </c>
      <c r="Q57" s="9">
        <v>28.061047250000001</v>
      </c>
      <c r="R57" s="9">
        <f>(Q57-Q$69)/Q$70</f>
        <v>9.8678385882738529E-2</v>
      </c>
      <c r="S57" s="9">
        <f t="shared" si="10"/>
        <v>28.056925703703708</v>
      </c>
      <c r="U57">
        <v>1961</v>
      </c>
      <c r="V57">
        <v>27.3</v>
      </c>
      <c r="W57">
        <f t="shared" si="6"/>
        <v>27.7</v>
      </c>
      <c r="X57" s="9">
        <f t="shared" si="2"/>
        <v>-1.4747695072650833</v>
      </c>
      <c r="Y57">
        <v>0</v>
      </c>
      <c r="Z57">
        <v>1961</v>
      </c>
      <c r="AA57">
        <v>599.70000000000005</v>
      </c>
      <c r="AB57">
        <f t="shared" si="16"/>
        <v>645.15</v>
      </c>
      <c r="AQ57">
        <v>1961</v>
      </c>
      <c r="AR57">
        <v>33.9</v>
      </c>
      <c r="AS57" s="10">
        <f t="shared" si="12"/>
        <v>35.381818181818183</v>
      </c>
    </row>
    <row r="58" spans="1:45" x14ac:dyDescent="0.3">
      <c r="A58">
        <v>1960</v>
      </c>
      <c r="B58" s="9">
        <v>0.77599267357044788</v>
      </c>
      <c r="C58" s="9">
        <v>1.088045000000007</v>
      </c>
      <c r="D58" s="9">
        <v>0.85866745940204925</v>
      </c>
      <c r="F58" s="10">
        <v>0.215741156915254</v>
      </c>
      <c r="G58" s="10">
        <v>0.34349179957238568</v>
      </c>
      <c r="H58" s="10">
        <v>0.36357874922626626</v>
      </c>
      <c r="J58">
        <v>1960</v>
      </c>
      <c r="K58">
        <f t="shared" si="18"/>
        <v>0.76492611757717022</v>
      </c>
      <c r="L58">
        <f t="shared" si="19"/>
        <v>1.1089094444444558</v>
      </c>
      <c r="M58">
        <f t="shared" si="17"/>
        <v>0.90916549969036742</v>
      </c>
      <c r="N58" s="9">
        <f t="shared" si="20"/>
        <v>0.38582600365344338</v>
      </c>
      <c r="P58">
        <v>1960</v>
      </c>
      <c r="Q58" s="9">
        <v>28.31934583333334</v>
      </c>
      <c r="R58" s="9">
        <f t="shared" si="1"/>
        <v>1.0199956397119552</v>
      </c>
      <c r="S58" s="9">
        <f t="shared" si="10"/>
        <v>28.065622129629631</v>
      </c>
      <c r="U58">
        <v>1960</v>
      </c>
      <c r="V58">
        <v>27.9</v>
      </c>
      <c r="W58">
        <f t="shared" si="6"/>
        <v>27.566666666666666</v>
      </c>
      <c r="X58" s="9">
        <f t="shared" si="2"/>
        <v>0.43500395538036518</v>
      </c>
      <c r="Y58">
        <v>0</v>
      </c>
      <c r="Z58">
        <v>1960</v>
      </c>
      <c r="AA58">
        <v>976.4</v>
      </c>
      <c r="AB58">
        <f t="shared" si="16"/>
        <v>601.7833333333333</v>
      </c>
      <c r="AQ58">
        <v>1960</v>
      </c>
      <c r="AR58">
        <v>35</v>
      </c>
      <c r="AS58" s="10">
        <f t="shared" si="12"/>
        <v>35.31818181818182</v>
      </c>
    </row>
    <row r="59" spans="1:45" x14ac:dyDescent="0.3">
      <c r="A59">
        <v>1959</v>
      </c>
      <c r="B59" s="9">
        <v>0.80044614612293197</v>
      </c>
      <c r="C59" s="9">
        <v>1.1885950000000089</v>
      </c>
      <c r="D59" s="9">
        <v>0.94995259889336625</v>
      </c>
      <c r="F59" s="10">
        <v>0.44839355306007206</v>
      </c>
      <c r="G59" s="10">
        <v>0.78021080895686046</v>
      </c>
      <c r="H59" s="10">
        <v>1.0007409053505494</v>
      </c>
      <c r="J59">
        <v>1959</v>
      </c>
      <c r="K59">
        <f t="shared" si="18"/>
        <v>0.78907035756043165</v>
      </c>
      <c r="L59">
        <f t="shared" si="19"/>
        <v>1.0961011111111243</v>
      </c>
      <c r="M59">
        <f t="shared" si="17"/>
        <v>0.87544842705579562</v>
      </c>
      <c r="N59" s="9">
        <f t="shared" si="20"/>
        <v>0.50337016417667968</v>
      </c>
      <c r="P59">
        <v>1959</v>
      </c>
      <c r="Q59" s="9">
        <v>27.904639749999998</v>
      </c>
      <c r="R59" s="9">
        <f t="shared" si="1"/>
        <v>-0.45920670399532681</v>
      </c>
      <c r="S59" s="9">
        <f t="shared" si="10"/>
        <v>28.061369842592594</v>
      </c>
      <c r="U59">
        <v>1959</v>
      </c>
      <c r="V59">
        <v>27.5</v>
      </c>
      <c r="W59">
        <f t="shared" si="6"/>
        <v>27.900000000000002</v>
      </c>
      <c r="X59" s="9">
        <f t="shared" si="2"/>
        <v>-0.83817835304993382</v>
      </c>
      <c r="Y59">
        <v>0</v>
      </c>
      <c r="Z59">
        <v>1959</v>
      </c>
      <c r="AA59">
        <v>102.5</v>
      </c>
      <c r="AB59">
        <f t="shared" si="16"/>
        <v>562.12777777777774</v>
      </c>
      <c r="AQ59">
        <v>1959</v>
      </c>
      <c r="AR59">
        <v>35</v>
      </c>
      <c r="AS59" s="10">
        <f t="shared" si="12"/>
        <v>35.290909090909089</v>
      </c>
    </row>
    <row r="60" spans="1:45" x14ac:dyDescent="0.3">
      <c r="A60">
        <v>1958</v>
      </c>
      <c r="B60" s="9">
        <v>0.81415417853437244</v>
      </c>
      <c r="C60" s="9">
        <v>1.0055900000000075</v>
      </c>
      <c r="D60" s="9">
        <v>0.81772522287197125</v>
      </c>
      <c r="F60" s="10">
        <v>0.525248533157603</v>
      </c>
      <c r="G60" s="10">
        <v>-0.10203746485753129</v>
      </c>
      <c r="H60" s="10">
        <v>0.29235218263668206</v>
      </c>
      <c r="J60">
        <v>1958</v>
      </c>
      <c r="K60">
        <f t="shared" si="18"/>
        <v>0.80488810848714332</v>
      </c>
      <c r="L60">
        <f t="shared" si="19"/>
        <v>1.0734911111111258</v>
      </c>
      <c r="M60">
        <f t="shared" si="17"/>
        <v>0.88333185751170396</v>
      </c>
      <c r="N60" s="9">
        <f t="shared" si="20"/>
        <v>0.5250195287342948</v>
      </c>
      <c r="P60">
        <v>1958</v>
      </c>
      <c r="Q60" s="9">
        <v>28.568485999999996</v>
      </c>
      <c r="R60" s="9">
        <f t="shared" si="1"/>
        <v>1.9086460194767381</v>
      </c>
      <c r="S60" s="9">
        <f t="shared" si="10"/>
        <v>28.034319722222225</v>
      </c>
      <c r="U60">
        <v>1958</v>
      </c>
      <c r="V60">
        <v>28.3</v>
      </c>
      <c r="W60">
        <f t="shared" si="6"/>
        <v>27.966666666666669</v>
      </c>
      <c r="X60" s="9">
        <f t="shared" si="2"/>
        <v>1.7081862638106755</v>
      </c>
      <c r="Y60">
        <v>0</v>
      </c>
      <c r="Z60">
        <v>1958</v>
      </c>
      <c r="AA60">
        <v>495</v>
      </c>
      <c r="AB60">
        <f t="shared" si="16"/>
        <v>590.86111111111109</v>
      </c>
      <c r="AQ60">
        <v>1958</v>
      </c>
      <c r="AR60">
        <v>38.6</v>
      </c>
      <c r="AS60" s="10">
        <f t="shared" si="12"/>
        <v>35.281818181818181</v>
      </c>
    </row>
    <row r="61" spans="1:45" x14ac:dyDescent="0.3">
      <c r="A61">
        <v>1957</v>
      </c>
      <c r="B61" s="9">
        <v>0.78587784321928833</v>
      </c>
      <c r="C61" s="9">
        <v>1.1233350000000211</v>
      </c>
      <c r="D61" s="9">
        <v>0.88231775076977448</v>
      </c>
      <c r="F61" s="10">
        <v>0.35189162454861184</v>
      </c>
      <c r="G61" s="10">
        <v>0.44979042395302199</v>
      </c>
      <c r="H61" s="10">
        <v>0.68705162638552764</v>
      </c>
      <c r="J61">
        <v>1957</v>
      </c>
      <c r="K61">
        <f t="shared" si="18"/>
        <v>0.80836745104468166</v>
      </c>
      <c r="L61">
        <f t="shared" si="19"/>
        <v>1.0992944444444612</v>
      </c>
      <c r="M61">
        <f t="shared" si="17"/>
        <v>0.84015641119612339</v>
      </c>
      <c r="N61" s="9">
        <f t="shared" si="20"/>
        <v>0.65062742337187729</v>
      </c>
      <c r="P61">
        <v>1957</v>
      </c>
      <c r="Q61" s="9">
        <v>27.856275833333331</v>
      </c>
      <c r="R61" s="9">
        <f t="shared" si="1"/>
        <v>-0.63171446734706971</v>
      </c>
      <c r="S61" s="9">
        <f t="shared" si="10"/>
        <v>28.028990935185185</v>
      </c>
      <c r="U61">
        <v>1957</v>
      </c>
      <c r="V61">
        <v>28.1</v>
      </c>
      <c r="W61">
        <f t="shared" si="6"/>
        <v>27.900000000000002</v>
      </c>
      <c r="X61" s="9">
        <f t="shared" si="2"/>
        <v>1.0715951095955261</v>
      </c>
      <c r="Y61">
        <v>0</v>
      </c>
      <c r="Z61">
        <v>1957</v>
      </c>
      <c r="AA61">
        <v>226.6</v>
      </c>
      <c r="AB61">
        <f t="shared" si="16"/>
        <v>535.56666666666672</v>
      </c>
      <c r="AQ61">
        <v>1957</v>
      </c>
      <c r="AR61">
        <v>36.1</v>
      </c>
      <c r="AS61" s="10">
        <f t="shared" si="12"/>
        <v>35.209999999999994</v>
      </c>
    </row>
    <row r="62" spans="1:45" x14ac:dyDescent="0.3">
      <c r="A62">
        <v>1956</v>
      </c>
      <c r="B62" s="9">
        <v>0.84334114027373452</v>
      </c>
      <c r="C62" s="9">
        <v>0.9765600000000193</v>
      </c>
      <c r="D62" s="9">
        <v>0.82042625994662455</v>
      </c>
      <c r="F62" s="10">
        <v>0.8161203668271263</v>
      </c>
      <c r="G62" s="10">
        <v>-0.26244275151643515</v>
      </c>
      <c r="H62" s="10">
        <v>0.41277564921319915</v>
      </c>
      <c r="J62">
        <v>1956</v>
      </c>
      <c r="K62">
        <f t="shared" si="18"/>
        <v>0.81019572540174012</v>
      </c>
      <c r="L62">
        <f t="shared" si="19"/>
        <v>1.0923505555555728</v>
      </c>
      <c r="M62">
        <f t="shared" si="17"/>
        <v>0.87534072856695511</v>
      </c>
      <c r="N62" s="9">
        <f t="shared" si="20"/>
        <v>0.64900173198374189</v>
      </c>
      <c r="P62">
        <v>1956</v>
      </c>
      <c r="Q62" s="9">
        <v>27.723436416666669</v>
      </c>
      <c r="R62" s="9">
        <f t="shared" si="1"/>
        <v>-1.1055352873616411</v>
      </c>
      <c r="S62" s="9">
        <f t="shared" si="10"/>
        <v>28.042035787037037</v>
      </c>
      <c r="U62">
        <v>1956</v>
      </c>
      <c r="V62">
        <v>27.3</v>
      </c>
      <c r="W62">
        <f t="shared" si="6"/>
        <v>27.666666666666668</v>
      </c>
      <c r="X62" s="9">
        <f t="shared" si="2"/>
        <v>-1.4747695072650833</v>
      </c>
      <c r="Y62">
        <v>0</v>
      </c>
      <c r="Z62">
        <v>1956</v>
      </c>
      <c r="AA62">
        <v>449</v>
      </c>
      <c r="AB62">
        <f t="shared" si="16"/>
        <v>527.55000000000007</v>
      </c>
      <c r="AQ62">
        <v>1956</v>
      </c>
      <c r="AR62">
        <v>35.6</v>
      </c>
      <c r="AS62" s="10">
        <f t="shared" si="12"/>
        <v>35.12222222222222</v>
      </c>
    </row>
    <row r="63" spans="1:45" x14ac:dyDescent="0.3">
      <c r="A63">
        <v>1955</v>
      </c>
      <c r="B63" s="9">
        <v>0.81728580497279879</v>
      </c>
      <c r="C63" s="9">
        <v>1.1600600000000252</v>
      </c>
      <c r="D63" s="9">
        <v>0.92327817498446618</v>
      </c>
      <c r="F63" s="10">
        <v>0.62352597794052411</v>
      </c>
      <c r="G63" s="10">
        <v>0.61368329653012577</v>
      </c>
      <c r="H63" s="10">
        <v>0.96003256324602759</v>
      </c>
      <c r="J63">
        <v>1955</v>
      </c>
      <c r="K63">
        <f t="shared" si="18"/>
        <v>0.81599174656497253</v>
      </c>
      <c r="L63">
        <f t="shared" si="19"/>
        <v>1.0943266666666862</v>
      </c>
      <c r="M63">
        <f t="shared" si="17"/>
        <v>0.86818615272912358</v>
      </c>
      <c r="N63" s="9">
        <f t="shared" si="20"/>
        <v>0.70226148935595267</v>
      </c>
      <c r="P63">
        <v>1955</v>
      </c>
      <c r="Q63" s="9">
        <v>27.847912249999997</v>
      </c>
      <c r="R63" s="9">
        <f t="shared" si="1"/>
        <v>-0.66154627489862561</v>
      </c>
      <c r="S63" s="9">
        <f>AVERAGE(Q59:Q67)</f>
        <v>28.014929249999998</v>
      </c>
      <c r="U63">
        <v>1955</v>
      </c>
      <c r="V63">
        <v>27.6</v>
      </c>
      <c r="W63">
        <f t="shared" si="6"/>
        <v>27.566666666666666</v>
      </c>
      <c r="X63" s="9">
        <f t="shared" si="2"/>
        <v>-0.51988277594235344</v>
      </c>
      <c r="Y63">
        <v>0</v>
      </c>
      <c r="Z63">
        <v>1955</v>
      </c>
      <c r="AA63">
        <v>636.9</v>
      </c>
      <c r="AB63">
        <f t="shared" si="16"/>
        <v>463.42857142857144</v>
      </c>
      <c r="AQ63">
        <v>1955</v>
      </c>
      <c r="AR63">
        <v>33.299999999999997</v>
      </c>
      <c r="AS63" s="10">
        <f t="shared" si="12"/>
        <v>35.274999999999999</v>
      </c>
    </row>
    <row r="64" spans="1:45" x14ac:dyDescent="0.3">
      <c r="A64">
        <v>1954</v>
      </c>
      <c r="B64" s="9">
        <v>0.80183968730505883</v>
      </c>
      <c r="C64" s="9">
        <v>1.0745950000000235</v>
      </c>
      <c r="D64" s="9">
        <v>0.86085402325627969</v>
      </c>
      <c r="F64" s="10">
        <v>0.45092512568164539</v>
      </c>
      <c r="G64" s="10">
        <v>0.22789635844379919</v>
      </c>
      <c r="H64" s="10">
        <v>0.57380148036637957</v>
      </c>
      <c r="J64">
        <v>1954</v>
      </c>
      <c r="K64">
        <f t="shared" si="18"/>
        <v>0.81047193185134314</v>
      </c>
      <c r="L64">
        <f t="shared" si="19"/>
        <v>1.1042461111111328</v>
      </c>
      <c r="M64">
        <f t="shared" si="17"/>
        <v>0.8919154553874753</v>
      </c>
      <c r="N64" s="9">
        <f t="shared" si="20"/>
        <v>0.69703964463498636</v>
      </c>
      <c r="P64">
        <v>1954</v>
      </c>
      <c r="Q64" s="9">
        <v>27.961707083333334</v>
      </c>
      <c r="R64" s="9">
        <f t="shared" si="1"/>
        <v>-0.25565499205204467</v>
      </c>
      <c r="S64" s="9">
        <f>AVERAGE(Q60:Q68)</f>
        <v>27.982246333333332</v>
      </c>
      <c r="U64">
        <v>1954</v>
      </c>
      <c r="V64">
        <v>27.8</v>
      </c>
      <c r="W64">
        <f t="shared" si="6"/>
        <v>28.033333333333335</v>
      </c>
      <c r="X64" s="9">
        <f t="shared" si="2"/>
        <v>0.11670837827279607</v>
      </c>
      <c r="Y64">
        <v>0</v>
      </c>
      <c r="Z64">
        <v>1954</v>
      </c>
      <c r="AA64">
        <v>1107.4000000000001</v>
      </c>
      <c r="AB64">
        <f t="shared" si="16"/>
        <v>523.58333333333337</v>
      </c>
      <c r="AQ64">
        <v>1954</v>
      </c>
      <c r="AR64">
        <v>33.9</v>
      </c>
      <c r="AS64" s="10">
        <f>AVERAGE(AR59:AR69)</f>
        <v>35.31428571428571</v>
      </c>
    </row>
    <row r="65" spans="1:45" x14ac:dyDescent="0.3">
      <c r="A65">
        <v>1953</v>
      </c>
      <c r="B65" s="9">
        <v>0.83421888198590821</v>
      </c>
      <c r="C65" s="9">
        <v>1.0985500000000208</v>
      </c>
      <c r="D65" s="9">
        <v>0.89161416792168025</v>
      </c>
      <c r="F65" s="10">
        <v>0.75611815727624776</v>
      </c>
      <c r="G65" s="10">
        <v>0.35816110135270396</v>
      </c>
      <c r="H65" s="10">
        <v>0.72632267930145555</v>
      </c>
      <c r="J65">
        <v>1953</v>
      </c>
      <c r="K65">
        <f>AVERAGE(B61:B68)</f>
        <v>0.8100116510159644</v>
      </c>
      <c r="L65">
        <f>AVERAGE(C61:C68)</f>
        <v>1.1165781250000233</v>
      </c>
      <c r="M65">
        <f t="shared" si="17"/>
        <v>0.88397786386488819</v>
      </c>
      <c r="N65" s="9">
        <f>AVERAGE(H61:H68)</f>
        <v>0.74762557738477442</v>
      </c>
      <c r="P65">
        <v>1953</v>
      </c>
      <c r="Q65" s="9">
        <v>28.018068</v>
      </c>
      <c r="R65" s="9">
        <f t="shared" si="1"/>
        <v>-5.4622975939055976E-2</v>
      </c>
      <c r="S65" s="9">
        <f>AVERAGE(Q61:Q68)</f>
        <v>27.908966374999999</v>
      </c>
      <c r="U65">
        <v>1953</v>
      </c>
      <c r="V65">
        <v>28.7</v>
      </c>
      <c r="W65">
        <f>AVERAGE(V64:V65)</f>
        <v>28.25</v>
      </c>
      <c r="Y65">
        <v>0</v>
      </c>
      <c r="Z65">
        <v>1953</v>
      </c>
      <c r="AA65">
        <v>226.6</v>
      </c>
      <c r="AB65">
        <f>AVERAGE(AA61:AA69)</f>
        <v>529.29999999999995</v>
      </c>
      <c r="AQ65">
        <v>1953</v>
      </c>
      <c r="AR65">
        <v>34.700000000000003</v>
      </c>
      <c r="AS65" s="10" t="e">
        <f>AVERAGE(AM60:AM71)</f>
        <v>#DIV/0!</v>
      </c>
    </row>
    <row r="66" spans="1:45" x14ac:dyDescent="0.3">
      <c r="A66">
        <v>1952</v>
      </c>
      <c r="B66" s="9">
        <v>0.81860517263111987</v>
      </c>
      <c r="C66" s="9">
        <v>1.1158250000000223</v>
      </c>
      <c r="D66" s="9">
        <v>0.89946540041670453</v>
      </c>
      <c r="F66" s="10">
        <v>0.6180291849241667</v>
      </c>
      <c r="G66" s="10">
        <v>0.3872049792458257</v>
      </c>
      <c r="H66" s="10">
        <v>0.82435975212759016</v>
      </c>
      <c r="J66">
        <v>1952</v>
      </c>
      <c r="K66">
        <f>AVERAGE(B62:B68)</f>
        <v>0.8134593378440611</v>
      </c>
      <c r="L66">
        <f>AVERAGE(C62:C68)</f>
        <v>1.1156128571428809</v>
      </c>
      <c r="M66">
        <f t="shared" si="17"/>
        <v>0.90240377404355954</v>
      </c>
      <c r="N66" s="9">
        <f>AVERAGE(H62:H68)</f>
        <v>0.75627899895609541</v>
      </c>
      <c r="P66">
        <v>1952</v>
      </c>
      <c r="Q66" s="9">
        <v>28.178450916666666</v>
      </c>
      <c r="R66" s="9">
        <f t="shared" si="1"/>
        <v>0.51744190508958565</v>
      </c>
      <c r="S66" s="9">
        <f>AVERAGE(Q62:Q68)</f>
        <v>27.916493595238098</v>
      </c>
      <c r="Y66">
        <v>0</v>
      </c>
    </row>
    <row r="67" spans="1:45" x14ac:dyDescent="0.3">
      <c r="A67">
        <v>1951</v>
      </c>
      <c r="B67" s="9">
        <v>0.82815686403954059</v>
      </c>
      <c r="C67" s="9">
        <v>1.1058300000000283</v>
      </c>
      <c r="D67" s="9">
        <v>0.91613175379229406</v>
      </c>
      <c r="F67" s="10">
        <v>0.68095344393912882</v>
      </c>
      <c r="G67" s="10">
        <v>0.34434644998218472</v>
      </c>
      <c r="H67" s="10">
        <v>0.84291656557616312</v>
      </c>
      <c r="J67">
        <v>1951</v>
      </c>
      <c r="K67">
        <f>AVERAGE(B63:B68)</f>
        <v>0.80847903743911553</v>
      </c>
      <c r="L67">
        <f>AVERAGE(C63:C68)</f>
        <v>1.1387883333333577</v>
      </c>
      <c r="M67">
        <f t="shared" si="17"/>
        <v>0.91445705938039179</v>
      </c>
      <c r="N67" s="9">
        <f>AVERAGE(H63:H68)</f>
        <v>0.81352955724657805</v>
      </c>
      <c r="P67">
        <v>1951</v>
      </c>
      <c r="Q67" s="9">
        <v>28.075387000000003</v>
      </c>
      <c r="R67" s="9">
        <f t="shared" si="1"/>
        <v>0.1498263980789537</v>
      </c>
      <c r="S67" s="9">
        <f>AVERAGE(Q63:Q68)</f>
        <v>27.948669791666664</v>
      </c>
      <c r="V67">
        <f>AVERAGE(V5:V64)</f>
        <v>27.763333333333328</v>
      </c>
      <c r="W67">
        <f>AVERAGE(W5:W65)</f>
        <v>27.775956284153011</v>
      </c>
      <c r="Y67">
        <v>0</v>
      </c>
    </row>
    <row r="68" spans="1:45" x14ac:dyDescent="0.3">
      <c r="A68">
        <v>1950</v>
      </c>
      <c r="B68" s="9">
        <v>0.75076781370026691</v>
      </c>
      <c r="C68" s="9">
        <v>1.277870000000026</v>
      </c>
      <c r="D68" s="9">
        <v>0.92777402393217656</v>
      </c>
      <c r="F68" s="10">
        <v>1.7505271690568442E-3</v>
      </c>
      <c r="G68" s="10">
        <v>1.065600468090292</v>
      </c>
      <c r="H68" s="10">
        <v>0.95374430286185208</v>
      </c>
      <c r="J68">
        <v>1950</v>
      </c>
      <c r="K68">
        <f>AVERAGE(B64:B68)</f>
        <v>0.80671768393237886</v>
      </c>
      <c r="L68">
        <f>AVERAGE(C64:C68)</f>
        <v>1.1345340000000241</v>
      </c>
      <c r="M68">
        <f>AVERAGE(D67:D68)</f>
        <v>0.92195288886223525</v>
      </c>
      <c r="N68" s="9">
        <f>AVERAGE(H64:H68)</f>
        <v>0.78422895604668807</v>
      </c>
      <c r="P68">
        <v>1950</v>
      </c>
      <c r="Q68" s="9">
        <v>27.610493500000004</v>
      </c>
      <c r="R68" s="9">
        <f t="shared" ref="R68" si="21">(Q68-Q$69)/Q$70</f>
        <v>-1.5083878949135265</v>
      </c>
      <c r="S68" s="9">
        <f>AVERAGE(Q64:Q68)</f>
        <v>27.968821300000002</v>
      </c>
      <c r="V68">
        <f>_xlfn.STDEV.S(V5:V65)</f>
        <v>0.31417338848601883</v>
      </c>
      <c r="Y68">
        <v>0</v>
      </c>
    </row>
    <row r="69" spans="1:45" x14ac:dyDescent="0.3">
      <c r="A69" s="6" t="s">
        <v>98</v>
      </c>
      <c r="B69" s="49">
        <f t="shared" ref="B69:C69" si="22">AVERAGE(B3:B68)</f>
        <v>0.74415274405048937</v>
      </c>
      <c r="C69" s="49">
        <f t="shared" si="22"/>
        <v>1.0700765277777906</v>
      </c>
      <c r="D69" s="49">
        <f>AVERAGE(D3:D68)</f>
        <v>0.78378299893131342</v>
      </c>
      <c r="Q69" s="9">
        <f>AVERAGE(Q3:Q68)</f>
        <v>28.033381983585858</v>
      </c>
    </row>
    <row r="70" spans="1:45" x14ac:dyDescent="0.3">
      <c r="A70" s="6" t="s">
        <v>99</v>
      </c>
      <c r="B70" s="49">
        <f>_xlfn.STDEV.S(B3:B68)</f>
        <v>7.1730015195240804E-2</v>
      </c>
      <c r="C70" s="49">
        <f t="shared" ref="C70:D70" si="23">_xlfn.STDEV.S(C3:C68)</f>
        <v>0.12988153082175671</v>
      </c>
      <c r="D70" s="49">
        <f t="shared" si="23"/>
        <v>8.8292371407824588E-2</v>
      </c>
      <c r="P70" s="9"/>
      <c r="Q70">
        <f>_xlfn.STDEV.S(Q3:Q68)</f>
        <v>0.28035791391053155</v>
      </c>
    </row>
    <row r="99" spans="35:35" x14ac:dyDescent="0.3">
      <c r="AI99" s="5"/>
    </row>
    <row r="120" spans="18:18" x14ac:dyDescent="0.3">
      <c r="R120" s="8" t="s">
        <v>16</v>
      </c>
    </row>
  </sheetData>
  <sortState xmlns:xlrd2="http://schemas.microsoft.com/office/spreadsheetml/2017/richdata2" ref="AQ3:AR46">
    <sortCondition descending="1" ref="AQ3"/>
  </sortState>
  <mergeCells count="4">
    <mergeCell ref="A1:D1"/>
    <mergeCell ref="J1:M1"/>
    <mergeCell ref="P1:S1"/>
    <mergeCell ref="F1:H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5"/>
  <sheetViews>
    <sheetView zoomScale="85" zoomScaleNormal="85" workbookViewId="0">
      <selection activeCell="L7" sqref="L7"/>
    </sheetView>
  </sheetViews>
  <sheetFormatPr baseColWidth="10" defaultRowHeight="14.4" x14ac:dyDescent="0.3"/>
  <sheetData>
    <row r="1" spans="1:12" x14ac:dyDescent="0.3">
      <c r="A1" t="s">
        <v>0</v>
      </c>
      <c r="G1" t="s">
        <v>105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G2" s="9" t="s">
        <v>1</v>
      </c>
      <c r="H2" s="9" t="s">
        <v>2</v>
      </c>
      <c r="I2" s="9" t="s">
        <v>3</v>
      </c>
      <c r="J2" t="s">
        <v>4</v>
      </c>
      <c r="L2" s="12" t="s">
        <v>31</v>
      </c>
    </row>
    <row r="3" spans="1:12" x14ac:dyDescent="0.3">
      <c r="A3">
        <v>2015</v>
      </c>
      <c r="B3">
        <v>0.69275594099254056</v>
      </c>
      <c r="C3">
        <v>1.3288425000000001</v>
      </c>
      <c r="D3">
        <v>0.89861944250262771</v>
      </c>
      <c r="G3" s="11">
        <v>2015</v>
      </c>
      <c r="H3" s="10">
        <v>-0.71653132817625442</v>
      </c>
      <c r="I3" s="10">
        <v>1.9923230853917773</v>
      </c>
      <c r="J3" s="10">
        <v>1.3006383421380991</v>
      </c>
      <c r="K3" s="11">
        <v>2015</v>
      </c>
    </row>
    <row r="4" spans="1:12" x14ac:dyDescent="0.3">
      <c r="A4">
        <v>2014</v>
      </c>
      <c r="B4">
        <v>0.71124144819945578</v>
      </c>
      <c r="C4">
        <v>1.0056375000000002</v>
      </c>
      <c r="D4">
        <v>0.67616338076530669</v>
      </c>
      <c r="G4" s="11">
        <v>2014</v>
      </c>
      <c r="H4" s="10">
        <v>-0.45882181624321206</v>
      </c>
      <c r="I4" s="10">
        <v>-0.49613695935123758</v>
      </c>
      <c r="J4" s="10">
        <v>-1.2189005284376058</v>
      </c>
      <c r="K4" s="11">
        <v>2014</v>
      </c>
    </row>
    <row r="5" spans="1:12" x14ac:dyDescent="0.3">
      <c r="A5">
        <v>2013</v>
      </c>
      <c r="B5">
        <v>0.66893704445192248</v>
      </c>
      <c r="C5">
        <v>1.4491025000000002</v>
      </c>
      <c r="D5">
        <v>0.95513204826260956</v>
      </c>
      <c r="G5" s="11">
        <v>2013</v>
      </c>
      <c r="H5" s="10">
        <v>-1.0485945025083079</v>
      </c>
      <c r="I5" s="10">
        <v>2.9182438012866276</v>
      </c>
      <c r="J5" s="10">
        <v>1.9407004999314239</v>
      </c>
      <c r="K5" s="11">
        <v>2013</v>
      </c>
    </row>
    <row r="6" spans="1:12" x14ac:dyDescent="0.3">
      <c r="A6">
        <v>2012</v>
      </c>
      <c r="B6">
        <v>0.6786841144954634</v>
      </c>
      <c r="C6">
        <v>1.0613424999999994</v>
      </c>
      <c r="D6">
        <v>0.67846523020100968</v>
      </c>
      <c r="G6" s="11">
        <v>2012</v>
      </c>
      <c r="H6" s="10">
        <v>-0.91270898767869957</v>
      </c>
      <c r="I6" s="10">
        <v>-6.7246110532661996E-2</v>
      </c>
      <c r="J6" s="10">
        <v>-1.1928297660489651</v>
      </c>
      <c r="K6" s="11">
        <v>2012</v>
      </c>
      <c r="L6" s="9">
        <v>1.3898906867030951</v>
      </c>
    </row>
    <row r="7" spans="1:12" x14ac:dyDescent="0.3">
      <c r="A7">
        <v>2011</v>
      </c>
      <c r="B7">
        <v>0.7301427075099467</v>
      </c>
      <c r="C7">
        <v>1.0953537499999997</v>
      </c>
      <c r="D7">
        <v>0.76858001397364628</v>
      </c>
      <c r="G7" s="11">
        <v>2011</v>
      </c>
      <c r="H7" s="10">
        <v>-0.19531623550349139</v>
      </c>
      <c r="I7" s="10">
        <v>0.19461752615849856</v>
      </c>
      <c r="J7" s="10">
        <v>-0.17218911119109248</v>
      </c>
      <c r="K7" s="11">
        <v>2011</v>
      </c>
      <c r="L7" s="9">
        <v>1.0715951095955261</v>
      </c>
    </row>
    <row r="8" spans="1:12" x14ac:dyDescent="0.3">
      <c r="A8">
        <v>2010</v>
      </c>
      <c r="B8">
        <v>0.82579825013086317</v>
      </c>
      <c r="C8">
        <v>0.96144750000000012</v>
      </c>
      <c r="D8">
        <v>0.74785460141996563</v>
      </c>
      <c r="G8" s="11">
        <v>2010</v>
      </c>
      <c r="H8" s="10">
        <v>1.1382334976250064</v>
      </c>
      <c r="I8" s="10">
        <v>-0.83637009119385763</v>
      </c>
      <c r="J8" s="10">
        <v>-0.40692527495261926</v>
      </c>
      <c r="K8" s="11">
        <v>2010</v>
      </c>
      <c r="L8" s="9">
        <v>0.11670837827279607</v>
      </c>
    </row>
    <row r="9" spans="1:12" x14ac:dyDescent="0.3">
      <c r="A9">
        <v>2009</v>
      </c>
      <c r="B9">
        <v>0.75146635183968336</v>
      </c>
      <c r="C9">
        <v>0.99063999999999952</v>
      </c>
      <c r="D9">
        <v>0.73541377516793471</v>
      </c>
      <c r="G9" s="11">
        <v>2009</v>
      </c>
      <c r="H9" s="10">
        <v>0.10196021525002041</v>
      </c>
      <c r="I9" s="10">
        <v>-0.61160757249470699</v>
      </c>
      <c r="J9" s="10">
        <v>-0.54783015782824662</v>
      </c>
      <c r="K9" s="11">
        <v>2009</v>
      </c>
      <c r="L9" s="9">
        <v>1.0715951095955261</v>
      </c>
    </row>
    <row r="10" spans="1:12" x14ac:dyDescent="0.3">
      <c r="A10">
        <v>2008</v>
      </c>
      <c r="B10">
        <v>0.72188983408378515</v>
      </c>
      <c r="C10">
        <v>1.0479249999999998</v>
      </c>
      <c r="D10">
        <v>0.74468853428749215</v>
      </c>
      <c r="G10" s="11">
        <v>2008</v>
      </c>
      <c r="H10" s="10">
        <v>-0.31037090827469016</v>
      </c>
      <c r="I10" s="10">
        <v>-0.17055179160299971</v>
      </c>
      <c r="J10" s="10">
        <v>-0.44278417286180927</v>
      </c>
      <c r="K10" s="11">
        <v>2008</v>
      </c>
      <c r="L10" s="9">
        <v>1.3898906867030951</v>
      </c>
    </row>
    <row r="11" spans="1:12" x14ac:dyDescent="0.3">
      <c r="A11">
        <v>2007</v>
      </c>
      <c r="B11">
        <v>0.65930993802523696</v>
      </c>
      <c r="C11">
        <v>1.0717125000000007</v>
      </c>
      <c r="D11">
        <v>0.70509187374558735</v>
      </c>
      <c r="G11" s="11">
        <v>2007</v>
      </c>
      <c r="H11" s="10">
        <v>-1.1828075847233561</v>
      </c>
      <c r="I11" s="10">
        <v>1.2595880352343982E-2</v>
      </c>
      <c r="J11" s="10">
        <v>-0.89125621988619919</v>
      </c>
      <c r="K11" s="11">
        <v>2007</v>
      </c>
      <c r="L11" s="9">
        <v>-0.51988277594235344</v>
      </c>
    </row>
    <row r="12" spans="1:12" x14ac:dyDescent="0.3">
      <c r="A12">
        <v>2006</v>
      </c>
      <c r="B12">
        <v>0.69041012484460884</v>
      </c>
      <c r="C12">
        <v>1.0762037500000015</v>
      </c>
      <c r="D12">
        <v>0.73922673930687277</v>
      </c>
      <c r="G12" s="11">
        <v>2006</v>
      </c>
      <c r="H12" s="10">
        <v>-0.74923473889695036</v>
      </c>
      <c r="I12" s="10">
        <v>4.7175469702613528E-2</v>
      </c>
      <c r="J12" s="10">
        <v>-0.50464450001726902</v>
      </c>
      <c r="K12" s="11">
        <v>2006</v>
      </c>
      <c r="L12" s="9">
        <v>0.11670837827279607</v>
      </c>
    </row>
    <row r="13" spans="1:12" x14ac:dyDescent="0.3">
      <c r="A13">
        <v>2005</v>
      </c>
      <c r="B13">
        <v>0.66468884131035</v>
      </c>
      <c r="C13">
        <v>1.1954750000000021</v>
      </c>
      <c r="D13">
        <v>0.77421518688815294</v>
      </c>
      <c r="G13" s="11">
        <v>2005</v>
      </c>
      <c r="H13" s="10">
        <v>-1.1078194048035235</v>
      </c>
      <c r="I13" s="10">
        <v>0.96548347889664465</v>
      </c>
      <c r="J13" s="10">
        <v>-0.10836510437539988</v>
      </c>
      <c r="K13" s="11">
        <v>2005</v>
      </c>
      <c r="L13" s="9">
        <v>0.75329953248794557</v>
      </c>
    </row>
    <row r="14" spans="1:12" x14ac:dyDescent="0.3">
      <c r="A14">
        <v>2004</v>
      </c>
      <c r="B14">
        <v>0.72895403310072071</v>
      </c>
      <c r="C14">
        <v>1.0958437499999982</v>
      </c>
      <c r="D14">
        <v>0.7750602035828873</v>
      </c>
      <c r="G14" s="11">
        <v>2004</v>
      </c>
      <c r="H14" s="10">
        <v>-0.21188774195013793</v>
      </c>
      <c r="I14" s="10">
        <v>0.1983901949659751</v>
      </c>
      <c r="J14" s="10">
        <v>-9.8794439534705944E-2</v>
      </c>
      <c r="K14" s="11">
        <v>2004</v>
      </c>
      <c r="L14" s="9">
        <v>1.0715951095955261</v>
      </c>
    </row>
    <row r="15" spans="1:12" x14ac:dyDescent="0.3">
      <c r="A15">
        <v>2003</v>
      </c>
      <c r="B15">
        <v>0.64735904287821244</v>
      </c>
      <c r="C15">
        <v>1.1260799999999973</v>
      </c>
      <c r="D15">
        <v>0.71772243332640207</v>
      </c>
      <c r="G15" s="11">
        <v>2003</v>
      </c>
      <c r="H15" s="10">
        <v>-1.3494169896495305</v>
      </c>
      <c r="I15" s="10">
        <v>0.43118888319127696</v>
      </c>
      <c r="J15" s="10">
        <v>-0.7482024160363302</v>
      </c>
      <c r="K15" s="11">
        <v>2003</v>
      </c>
      <c r="L15" s="9">
        <v>0.43500395538036518</v>
      </c>
    </row>
    <row r="16" spans="1:12" x14ac:dyDescent="0.3">
      <c r="A16">
        <v>2002</v>
      </c>
      <c r="B16">
        <v>0.61148302851284342</v>
      </c>
      <c r="C16">
        <v>1.145457499999998</v>
      </c>
      <c r="D16">
        <v>0.69238432336862221</v>
      </c>
      <c r="G16" s="11">
        <v>2002</v>
      </c>
      <c r="H16" s="10">
        <v>-1.8495704368183157</v>
      </c>
      <c r="I16" s="10">
        <v>0.58038253587922906</v>
      </c>
      <c r="J16" s="10">
        <v>-1.0351820220177181</v>
      </c>
      <c r="K16" s="11">
        <v>2002</v>
      </c>
      <c r="L16" s="9">
        <v>0.75329953248794557</v>
      </c>
    </row>
    <row r="17" spans="1:12" x14ac:dyDescent="0.3">
      <c r="A17">
        <v>2001</v>
      </c>
      <c r="B17">
        <v>0.61631882185878306</v>
      </c>
      <c r="C17">
        <v>1.3224262499999979</v>
      </c>
      <c r="D17">
        <v>0.81042461768659557</v>
      </c>
      <c r="G17" s="11">
        <v>2001</v>
      </c>
      <c r="H17" s="10">
        <v>-1.7821538423455949</v>
      </c>
      <c r="I17" s="10">
        <v>1.9429222971549369</v>
      </c>
      <c r="J17" s="10">
        <v>0.30174315550121394</v>
      </c>
      <c r="K17" s="11">
        <v>2001</v>
      </c>
      <c r="L17" s="9">
        <v>1.0715951095955261</v>
      </c>
    </row>
    <row r="18" spans="1:12" x14ac:dyDescent="0.3">
      <c r="A18">
        <v>2000</v>
      </c>
      <c r="B18">
        <v>0.64976285035042358</v>
      </c>
      <c r="C18">
        <v>1.2871387499999967</v>
      </c>
      <c r="D18">
        <v>0.83971216191400699</v>
      </c>
      <c r="G18" s="11">
        <v>2000</v>
      </c>
      <c r="H18" s="10">
        <v>-1.315905112290126</v>
      </c>
      <c r="I18" s="10">
        <v>1.6712323980850827</v>
      </c>
      <c r="J18" s="10">
        <v>0.63345408092342903</v>
      </c>
      <c r="K18" s="11">
        <v>2000</v>
      </c>
      <c r="L18" s="9">
        <v>-0.20158719883478435</v>
      </c>
    </row>
    <row r="19" spans="1:12" x14ac:dyDescent="0.3">
      <c r="A19">
        <v>1999</v>
      </c>
      <c r="B19">
        <v>0.70172658847989</v>
      </c>
      <c r="C19">
        <v>1.1094374999999963</v>
      </c>
      <c r="D19">
        <v>0.76805074968800469</v>
      </c>
      <c r="G19">
        <v>1999</v>
      </c>
      <c r="H19" s="10">
        <v>-0.59147004855805874</v>
      </c>
      <c r="I19" s="10">
        <v>0.30305288190838181</v>
      </c>
      <c r="J19" s="10">
        <v>-0.17818356209554165</v>
      </c>
      <c r="K19">
        <v>1999</v>
      </c>
      <c r="L19" s="9">
        <v>-1.1564739301575142</v>
      </c>
    </row>
    <row r="20" spans="1:12" x14ac:dyDescent="0.3">
      <c r="A20">
        <v>1998</v>
      </c>
      <c r="B20">
        <v>0.66720052101238081</v>
      </c>
      <c r="C20">
        <v>1.1839987499999702</v>
      </c>
      <c r="D20">
        <v>0.77952071045551719</v>
      </c>
      <c r="G20">
        <v>1998</v>
      </c>
      <c r="H20" s="10">
        <v>-1.0728036628551312</v>
      </c>
      <c r="I20" s="10">
        <v>0.87712411072919294</v>
      </c>
      <c r="J20" s="10">
        <v>-4.8274708310966363E-2</v>
      </c>
      <c r="K20">
        <v>1998</v>
      </c>
      <c r="L20" s="9">
        <v>-1.1564739301575142</v>
      </c>
    </row>
    <row r="21" spans="1:12" x14ac:dyDescent="0.3">
      <c r="A21">
        <v>1997</v>
      </c>
      <c r="B21">
        <v>0.68815899137866954</v>
      </c>
      <c r="C21">
        <v>1.2116237499999751</v>
      </c>
      <c r="D21">
        <v>0.78794392532763657</v>
      </c>
      <c r="G21">
        <v>1997</v>
      </c>
      <c r="H21" s="10">
        <v>-0.78061816269536977</v>
      </c>
      <c r="I21" s="10">
        <v>1.0898179389064735</v>
      </c>
      <c r="J21" s="10">
        <v>4.7126680708390205E-2</v>
      </c>
      <c r="K21">
        <v>1997</v>
      </c>
      <c r="L21" s="9">
        <v>1.0715951095955261</v>
      </c>
    </row>
    <row r="22" spans="1:12" x14ac:dyDescent="0.3">
      <c r="A22">
        <v>1996</v>
      </c>
      <c r="B22">
        <v>0.70481662248755617</v>
      </c>
      <c r="C22">
        <v>1.0417712499999732</v>
      </c>
      <c r="D22">
        <v>0.70046371859259748</v>
      </c>
      <c r="G22">
        <v>1996</v>
      </c>
      <c r="H22" s="10">
        <v>-0.54839137362322909</v>
      </c>
      <c r="I22" s="10">
        <v>-0.21793150726458765</v>
      </c>
      <c r="J22" s="10">
        <v>-0.94367473667529189</v>
      </c>
      <c r="K22">
        <v>1996</v>
      </c>
      <c r="L22" s="9">
        <v>0.11670837827279607</v>
      </c>
    </row>
    <row r="23" spans="1:12" x14ac:dyDescent="0.3">
      <c r="A23">
        <v>1995</v>
      </c>
      <c r="B23">
        <v>0.76085574761571295</v>
      </c>
      <c r="C23">
        <v>1.138191249999978</v>
      </c>
      <c r="D23">
        <v>0.84499156276491139</v>
      </c>
      <c r="G23">
        <v>1995</v>
      </c>
      <c r="H23" s="10">
        <v>0.23285933398675493</v>
      </c>
      <c r="I23" s="10">
        <v>0.52443732215987526</v>
      </c>
      <c r="J23" s="10">
        <v>0.69324861092329404</v>
      </c>
      <c r="K23">
        <v>1995</v>
      </c>
      <c r="L23" s="9">
        <v>-0.20158719883478435</v>
      </c>
    </row>
    <row r="24" spans="1:12" x14ac:dyDescent="0.3">
      <c r="A24">
        <v>1994</v>
      </c>
      <c r="B24">
        <v>0.76223225205721878</v>
      </c>
      <c r="C24">
        <v>1.1313512500000416</v>
      </c>
      <c r="D24">
        <v>0.83750460615343214</v>
      </c>
      <c r="G24">
        <v>1994</v>
      </c>
      <c r="H24" s="10">
        <v>0.25204940996483949</v>
      </c>
      <c r="I24" s="10">
        <v>0.47177394533747435</v>
      </c>
      <c r="J24" s="10">
        <v>0.60845128934160486</v>
      </c>
      <c r="K24">
        <v>1994</v>
      </c>
      <c r="L24" s="9">
        <v>0.11670837827279607</v>
      </c>
    </row>
    <row r="25" spans="1:12" x14ac:dyDescent="0.3">
      <c r="A25">
        <v>1993</v>
      </c>
      <c r="B25">
        <v>0.76550941279331686</v>
      </c>
      <c r="C25">
        <v>1.1924450000000646</v>
      </c>
      <c r="D25">
        <v>0.88512751861105299</v>
      </c>
      <c r="G25">
        <v>1993</v>
      </c>
      <c r="H25" s="10">
        <v>0.29773684955589524</v>
      </c>
      <c r="I25" s="10">
        <v>0.94215452688347734</v>
      </c>
      <c r="J25" s="10">
        <v>1.1478287202370723</v>
      </c>
      <c r="K25">
        <v>1993</v>
      </c>
      <c r="L25" s="9">
        <v>-0.83817835304993382</v>
      </c>
    </row>
    <row r="26" spans="1:12" x14ac:dyDescent="0.3">
      <c r="A26">
        <v>1992</v>
      </c>
      <c r="B26">
        <v>0.74682663922006209</v>
      </c>
      <c r="C26">
        <v>0.9424350000000512</v>
      </c>
      <c r="D26">
        <v>0.70065189883432588</v>
      </c>
      <c r="G26">
        <v>1992</v>
      </c>
      <c r="H26" s="10">
        <v>3.727721459830579E-2</v>
      </c>
      <c r="I26" s="10">
        <v>-0.98275349058603734</v>
      </c>
      <c r="J26" s="10">
        <v>-0.94154340597561925</v>
      </c>
      <c r="K26">
        <v>1992</v>
      </c>
      <c r="L26" s="9">
        <v>0.11670837827279607</v>
      </c>
    </row>
    <row r="27" spans="1:12" x14ac:dyDescent="0.3">
      <c r="A27">
        <v>1991</v>
      </c>
      <c r="B27">
        <v>0.71249896018521353</v>
      </c>
      <c r="C27">
        <v>1.0629525000000521</v>
      </c>
      <c r="D27">
        <v>0.76389599747968673</v>
      </c>
      <c r="G27">
        <v>1991</v>
      </c>
      <c r="H27" s="10">
        <v>-0.44129063376214134</v>
      </c>
      <c r="I27" s="10">
        <v>-5.4850198736224799E-2</v>
      </c>
      <c r="J27" s="10">
        <v>-0.22524031390852736</v>
      </c>
      <c r="K27">
        <v>1991</v>
      </c>
      <c r="L27" s="9">
        <v>0.11670837827279607</v>
      </c>
    </row>
    <row r="28" spans="1:12" x14ac:dyDescent="0.3">
      <c r="A28">
        <v>1990</v>
      </c>
      <c r="B28">
        <v>0.68488088168345862</v>
      </c>
      <c r="C28">
        <v>0.90601625000004438</v>
      </c>
      <c r="D28">
        <v>0.62155443750787687</v>
      </c>
      <c r="G28">
        <v>1990</v>
      </c>
      <c r="H28" s="10">
        <v>-0.82631883188229638</v>
      </c>
      <c r="I28" s="10">
        <v>-1.2631532500405682</v>
      </c>
      <c r="J28" s="10">
        <v>-1.83740179175955</v>
      </c>
      <c r="K28">
        <v>1990</v>
      </c>
      <c r="L28" s="9">
        <v>-0.51988277594235344</v>
      </c>
    </row>
    <row r="29" spans="1:12" x14ac:dyDescent="0.3">
      <c r="A29">
        <v>1989</v>
      </c>
      <c r="B29">
        <v>0.66112109731149205</v>
      </c>
      <c r="C29">
        <v>1.0940662500000502</v>
      </c>
      <c r="D29">
        <v>0.7009571357665586</v>
      </c>
      <c r="G29">
        <v>1989</v>
      </c>
      <c r="H29" s="10">
        <v>-1.1575579136989556</v>
      </c>
      <c r="I29" s="10">
        <v>0.18470464638411102</v>
      </c>
      <c r="J29" s="10">
        <v>-0.93808629040192115</v>
      </c>
      <c r="K29">
        <v>1989</v>
      </c>
      <c r="L29" s="9">
        <v>-0.83817835304993382</v>
      </c>
    </row>
    <row r="30" spans="1:12" x14ac:dyDescent="0.3">
      <c r="A30">
        <v>1988</v>
      </c>
      <c r="B30">
        <v>0.68004303478323336</v>
      </c>
      <c r="C30">
        <v>0.97822625000005248</v>
      </c>
      <c r="D30">
        <v>0.68067041264212103</v>
      </c>
      <c r="G30">
        <v>1988</v>
      </c>
      <c r="H30" s="10">
        <v>-0.89376405529479952</v>
      </c>
      <c r="I30" s="10">
        <v>-0.70718505700236256</v>
      </c>
      <c r="J30" s="10">
        <v>-1.1678538546995514</v>
      </c>
      <c r="K30">
        <v>1988</v>
      </c>
      <c r="L30" s="9">
        <v>-0.51988277594235344</v>
      </c>
    </row>
    <row r="31" spans="1:12" x14ac:dyDescent="0.3">
      <c r="A31">
        <v>1987</v>
      </c>
      <c r="B31">
        <v>0.64277460536044184</v>
      </c>
      <c r="C31">
        <v>0.90424875000003224</v>
      </c>
      <c r="D31">
        <v>0.57937830623980902</v>
      </c>
      <c r="G31">
        <v>1987</v>
      </c>
      <c r="H31" s="10">
        <v>-1.4133293909684526</v>
      </c>
      <c r="I31" s="10">
        <v>-1.2767618053819567</v>
      </c>
      <c r="J31" s="10">
        <v>-2.3150889417994476</v>
      </c>
      <c r="K31">
        <v>1987</v>
      </c>
      <c r="L31" s="9">
        <v>-0.83817835304993382</v>
      </c>
    </row>
    <row r="32" spans="1:12" x14ac:dyDescent="0.3">
      <c r="A32">
        <v>1986</v>
      </c>
      <c r="B32">
        <v>0.71834118769974631</v>
      </c>
      <c r="C32">
        <v>1.2817812500000807</v>
      </c>
      <c r="D32">
        <v>0.9137244591727095</v>
      </c>
      <c r="G32">
        <v>1986</v>
      </c>
      <c r="H32" s="10">
        <v>-0.3598431741647759</v>
      </c>
      <c r="I32" s="10">
        <v>1.6299832692365142</v>
      </c>
      <c r="J32" s="10">
        <v>1.4717178638366541</v>
      </c>
      <c r="K32">
        <v>1986</v>
      </c>
      <c r="L32" s="9">
        <v>0.75329953248794557</v>
      </c>
    </row>
    <row r="33" spans="1:12" x14ac:dyDescent="0.3">
      <c r="A33">
        <v>1985</v>
      </c>
      <c r="B33">
        <v>0.81621696528249332</v>
      </c>
      <c r="C33">
        <v>1.0104675000000496</v>
      </c>
      <c r="D33">
        <v>0.81014162339068374</v>
      </c>
      <c r="G33">
        <v>1985</v>
      </c>
      <c r="H33" s="10">
        <v>1.004659221608325</v>
      </c>
      <c r="I33" s="10">
        <v>-0.45894922396276372</v>
      </c>
      <c r="J33" s="10">
        <v>0.29853796017799994</v>
      </c>
      <c r="K33">
        <v>1985</v>
      </c>
      <c r="L33" s="9">
        <v>-0.20158719883478435</v>
      </c>
    </row>
    <row r="34" spans="1:12" x14ac:dyDescent="0.3">
      <c r="A34">
        <v>1984</v>
      </c>
      <c r="B34">
        <v>0.78630406735730318</v>
      </c>
      <c r="C34">
        <v>0.95353250000004541</v>
      </c>
      <c r="D34">
        <v>0.77041309484309028</v>
      </c>
      <c r="G34">
        <v>1984</v>
      </c>
      <c r="H34" s="10">
        <v>0.58763856653428537</v>
      </c>
      <c r="I34" s="10">
        <v>-0.89731024142058136</v>
      </c>
      <c r="J34" s="10">
        <v>-0.15142762477708555</v>
      </c>
      <c r="K34">
        <v>1984</v>
      </c>
      <c r="L34" s="9">
        <v>-0.83817835304993382</v>
      </c>
    </row>
    <row r="35" spans="1:12" x14ac:dyDescent="0.3">
      <c r="A35">
        <v>1983</v>
      </c>
      <c r="B35">
        <v>0.69383695743190543</v>
      </c>
      <c r="C35">
        <v>1.0144487500000432</v>
      </c>
      <c r="D35">
        <v>0.71444404689772989</v>
      </c>
      <c r="G35">
        <v>1983</v>
      </c>
      <c r="H35" s="10">
        <v>-0.70146069928509269</v>
      </c>
      <c r="I35" s="10">
        <v>-0.42829628990197499</v>
      </c>
      <c r="J35" s="10">
        <v>-0.7853334430593697</v>
      </c>
      <c r="K35">
        <v>1983</v>
      </c>
      <c r="L35" s="9">
        <v>-1.1564739301575142</v>
      </c>
    </row>
    <row r="36" spans="1:12" x14ac:dyDescent="0.3">
      <c r="A36">
        <v>1982</v>
      </c>
      <c r="B36">
        <v>0.71755662143159182</v>
      </c>
      <c r="C36">
        <v>0.96354500000003052</v>
      </c>
      <c r="D36">
        <v>0.70922706035852245</v>
      </c>
      <c r="G36">
        <v>1982</v>
      </c>
      <c r="H36" s="10">
        <v>-0.37078094221095553</v>
      </c>
      <c r="I36" s="10">
        <v>-0.82022075890034696</v>
      </c>
      <c r="J36" s="10">
        <v>-0.84442106813979767</v>
      </c>
      <c r="K36">
        <v>1982</v>
      </c>
      <c r="L36" s="9">
        <v>1.0715951095955261</v>
      </c>
    </row>
    <row r="37" spans="1:12" x14ac:dyDescent="0.3">
      <c r="A37">
        <v>1981</v>
      </c>
      <c r="B37">
        <v>0.70060290104650136</v>
      </c>
      <c r="C37">
        <v>0.8952266666666695</v>
      </c>
      <c r="D37">
        <v>0.63348785973737709</v>
      </c>
      <c r="G37">
        <v>1981</v>
      </c>
      <c r="H37" s="10">
        <v>-0.60713556083113007</v>
      </c>
      <c r="I37" s="10">
        <v>-1.3462257489948806</v>
      </c>
      <c r="J37" s="10">
        <v>-1.7022437702994686</v>
      </c>
      <c r="K37">
        <v>1981</v>
      </c>
      <c r="L37" s="9">
        <v>-0.51988277594235344</v>
      </c>
    </row>
    <row r="38" spans="1:12" x14ac:dyDescent="0.3">
      <c r="A38">
        <v>1980</v>
      </c>
      <c r="B38">
        <v>0.77656957554076655</v>
      </c>
      <c r="C38">
        <v>1.1383366666666674</v>
      </c>
      <c r="D38">
        <v>0.90178868215234875</v>
      </c>
      <c r="G38">
        <v>1980</v>
      </c>
      <c r="H38" s="10">
        <v>0.45192840684673385</v>
      </c>
      <c r="I38" s="10">
        <v>0.52555693220581012</v>
      </c>
      <c r="J38" s="10">
        <v>1.3365331719992459</v>
      </c>
      <c r="K38">
        <v>1980</v>
      </c>
      <c r="L38" s="9">
        <v>0.43500395538036518</v>
      </c>
    </row>
    <row r="39" spans="1:12" x14ac:dyDescent="0.3">
      <c r="A39">
        <v>1979</v>
      </c>
      <c r="B39">
        <v>0.82674978191610815</v>
      </c>
      <c r="C39">
        <v>0.9659916666666698</v>
      </c>
      <c r="D39">
        <v>0.786159508504094</v>
      </c>
      <c r="G39">
        <v>1979</v>
      </c>
      <c r="H39" s="10">
        <v>1.1514989595471186</v>
      </c>
      <c r="I39" s="10">
        <v>-0.80138307927677543</v>
      </c>
      <c r="J39" s="10">
        <v>2.6916363609755332E-2</v>
      </c>
      <c r="K39">
        <v>1979</v>
      </c>
      <c r="L39" s="9">
        <v>1.0715951095955261</v>
      </c>
    </row>
    <row r="40" spans="1:12" x14ac:dyDescent="0.3">
      <c r="A40">
        <v>1978</v>
      </c>
      <c r="B40">
        <v>0.90256161926284884</v>
      </c>
      <c r="C40">
        <v>1.0012100000000015</v>
      </c>
      <c r="D40">
        <v>0.89223852881270493</v>
      </c>
      <c r="G40">
        <v>1978</v>
      </c>
      <c r="H40" s="10">
        <v>2.2084043169541903</v>
      </c>
      <c r="I40" s="10">
        <v>-0.53022571679031327</v>
      </c>
      <c r="J40" s="10">
        <v>1.2283680702201645</v>
      </c>
      <c r="K40">
        <v>1978</v>
      </c>
      <c r="L40" s="9">
        <v>1.0715951095955261</v>
      </c>
    </row>
    <row r="41" spans="1:12" x14ac:dyDescent="0.3">
      <c r="A41">
        <v>1977</v>
      </c>
      <c r="B41">
        <v>0.81826674625094997</v>
      </c>
      <c r="C41">
        <v>0.99692333333333849</v>
      </c>
      <c r="D41">
        <v>0.80933512622206105</v>
      </c>
      <c r="G41">
        <v>1977</v>
      </c>
      <c r="H41" s="10">
        <v>1.0332355569524259</v>
      </c>
      <c r="I41" s="10">
        <v>-0.56323015275238875</v>
      </c>
      <c r="J41" s="10">
        <v>0.28940356775243625</v>
      </c>
      <c r="K41">
        <v>1977</v>
      </c>
      <c r="L41" s="9">
        <v>1.0715951095955261</v>
      </c>
    </row>
    <row r="42" spans="1:12" x14ac:dyDescent="0.3">
      <c r="A42">
        <v>1976</v>
      </c>
      <c r="B42">
        <v>0.83399342010468247</v>
      </c>
      <c r="C42">
        <v>0.8648050000000076</v>
      </c>
      <c r="D42">
        <v>0.73485435226570228</v>
      </c>
      <c r="G42">
        <v>1976</v>
      </c>
      <c r="H42" s="10">
        <v>1.2524837170277627</v>
      </c>
      <c r="I42" s="10">
        <v>-1.5804520202297891</v>
      </c>
      <c r="J42" s="10">
        <v>-0.55416618542963969</v>
      </c>
      <c r="K42">
        <v>1976</v>
      </c>
      <c r="L42" s="9">
        <v>-0.20158719883478435</v>
      </c>
    </row>
    <row r="43" spans="1:12" x14ac:dyDescent="0.3">
      <c r="A43">
        <v>1975</v>
      </c>
      <c r="B43">
        <v>0.76460190559228713</v>
      </c>
      <c r="C43">
        <v>0.89833000000000374</v>
      </c>
      <c r="D43">
        <v>0.6842354122105565</v>
      </c>
      <c r="G43">
        <v>1975</v>
      </c>
      <c r="H43" s="10">
        <v>0.28508514164032328</v>
      </c>
      <c r="I43" s="10">
        <v>-1.3223321798807846</v>
      </c>
      <c r="J43" s="10">
        <v>-1.127476645303185</v>
      </c>
      <c r="K43">
        <v>1975</v>
      </c>
      <c r="L43" s="9">
        <v>-1.7930650843726637</v>
      </c>
    </row>
    <row r="44" spans="1:12" x14ac:dyDescent="0.3">
      <c r="A44">
        <v>1974</v>
      </c>
      <c r="B44">
        <v>0.80540052998320955</v>
      </c>
      <c r="C44">
        <v>0.98207500000000769</v>
      </c>
      <c r="D44">
        <v>0.81270513306733816</v>
      </c>
      <c r="G44">
        <v>1974</v>
      </c>
      <c r="H44" s="10">
        <v>0.8538655089645637</v>
      </c>
      <c r="I44" s="10">
        <v>-0.67755228338471052</v>
      </c>
      <c r="J44" s="10">
        <v>0.32757228823804835</v>
      </c>
      <c r="K44">
        <v>1974</v>
      </c>
      <c r="L44" s="9">
        <v>-2.1113606614802327</v>
      </c>
    </row>
    <row r="45" spans="1:12" x14ac:dyDescent="0.3">
      <c r="A45">
        <v>1973</v>
      </c>
      <c r="B45">
        <v>0.88487004663954949</v>
      </c>
      <c r="C45">
        <v>0.86656500000000725</v>
      </c>
      <c r="D45">
        <v>0.79573819637984344</v>
      </c>
      <c r="G45">
        <v>1973</v>
      </c>
      <c r="H45" s="10">
        <v>1.9617631783019132</v>
      </c>
      <c r="I45" s="10">
        <v>-1.5669012098192234</v>
      </c>
      <c r="J45" s="10">
        <v>0.13540464773914243</v>
      </c>
      <c r="K45">
        <v>1973</v>
      </c>
      <c r="L45" s="9">
        <v>0.11670837827279607</v>
      </c>
    </row>
    <row r="46" spans="1:12" x14ac:dyDescent="0.3">
      <c r="A46">
        <v>1972</v>
      </c>
      <c r="B46">
        <v>0.87733580639488029</v>
      </c>
      <c r="C46">
        <v>0.89607500000000806</v>
      </c>
      <c r="D46">
        <v>0.79908125881827008</v>
      </c>
      <c r="G46">
        <v>1972</v>
      </c>
      <c r="H46" s="10">
        <v>1.8567270895159025</v>
      </c>
      <c r="I46" s="10">
        <v>-1.3396941557192918</v>
      </c>
      <c r="J46" s="10">
        <v>0.17326819568922466</v>
      </c>
      <c r="K46">
        <v>1972</v>
      </c>
      <c r="L46" s="9">
        <v>0.43500395538036518</v>
      </c>
    </row>
    <row r="47" spans="1:12" x14ac:dyDescent="0.3">
      <c r="A47">
        <v>1971</v>
      </c>
      <c r="B47">
        <v>0.72620131595560655</v>
      </c>
      <c r="C47">
        <v>0.98930000000000595</v>
      </c>
      <c r="D47">
        <v>0.71810590356935666</v>
      </c>
      <c r="G47">
        <v>1971</v>
      </c>
      <c r="H47" s="10">
        <v>-0.25026382674004882</v>
      </c>
      <c r="I47" s="10">
        <v>-0.62192466678452196</v>
      </c>
      <c r="J47" s="10">
        <v>-0.74385922945248206</v>
      </c>
      <c r="K47">
        <v>1971</v>
      </c>
      <c r="L47" s="9">
        <v>2.0264818409182443</v>
      </c>
    </row>
    <row r="48" spans="1:12" x14ac:dyDescent="0.3">
      <c r="A48">
        <v>1970</v>
      </c>
      <c r="B48">
        <v>0.77183524580726504</v>
      </c>
      <c r="C48">
        <v>1.0213300000000072</v>
      </c>
      <c r="D48">
        <v>0.78036292505424976</v>
      </c>
      <c r="G48">
        <v>1970</v>
      </c>
      <c r="H48" s="10">
        <v>0.38592633336863374</v>
      </c>
      <c r="I48" s="10">
        <v>-0.37531531596036444</v>
      </c>
      <c r="J48" s="10">
        <v>-3.8735780028676135E-2</v>
      </c>
      <c r="K48">
        <v>1970</v>
      </c>
      <c r="L48" s="9">
        <v>0.43500395538036518</v>
      </c>
    </row>
    <row r="49" spans="1:12" x14ac:dyDescent="0.3">
      <c r="A49">
        <v>1969</v>
      </c>
      <c r="B49">
        <v>0.8442804105053231</v>
      </c>
      <c r="C49">
        <v>0.96555000000000746</v>
      </c>
      <c r="D49">
        <v>0.82660274716993065</v>
      </c>
      <c r="G49">
        <v>1969</v>
      </c>
      <c r="H49" s="10">
        <v>1.3958963508135027</v>
      </c>
      <c r="I49" s="10">
        <v>-0.80478361408621235</v>
      </c>
      <c r="J49" s="10">
        <v>0.4849767602325662</v>
      </c>
      <c r="K49">
        <v>1969</v>
      </c>
      <c r="L49" s="9">
        <v>-0.51988277594235344</v>
      </c>
    </row>
    <row r="50" spans="1:12" x14ac:dyDescent="0.3">
      <c r="A50">
        <v>1968</v>
      </c>
      <c r="B50">
        <v>0.77234237168575959</v>
      </c>
      <c r="C50">
        <v>0.88354500000001224</v>
      </c>
      <c r="D50">
        <v>0.67177069010627954</v>
      </c>
      <c r="G50">
        <v>1968</v>
      </c>
      <c r="H50" s="10">
        <v>0.39299625907705882</v>
      </c>
      <c r="I50" s="10">
        <v>-1.4361666866535894</v>
      </c>
      <c r="J50" s="10">
        <v>-1.2686521727641262</v>
      </c>
      <c r="K50">
        <v>1968</v>
      </c>
      <c r="L50" s="9">
        <v>-0.83817835304993382</v>
      </c>
    </row>
    <row r="51" spans="1:12" x14ac:dyDescent="0.3">
      <c r="A51">
        <v>1967</v>
      </c>
      <c r="B51">
        <v>0.7418506643291094</v>
      </c>
      <c r="C51">
        <v>0.91483500000000484</v>
      </c>
      <c r="D51">
        <v>0.68057633577569776</v>
      </c>
      <c r="G51">
        <v>1967</v>
      </c>
      <c r="H51" s="10">
        <v>-3.2093673967780061E-2</v>
      </c>
      <c r="I51" s="10">
        <v>-1.1952548356612145</v>
      </c>
      <c r="J51" s="10">
        <v>-1.1689193699294993</v>
      </c>
      <c r="K51">
        <v>1967</v>
      </c>
      <c r="L51" s="9">
        <v>-1.4747695072650833</v>
      </c>
    </row>
    <row r="52" spans="1:12" x14ac:dyDescent="0.3">
      <c r="A52">
        <v>1966</v>
      </c>
      <c r="B52">
        <v>0.70300292531106556</v>
      </c>
      <c r="C52">
        <v>1.1003050000000119</v>
      </c>
      <c r="D52">
        <v>0.72445656719533391</v>
      </c>
      <c r="G52">
        <v>1966</v>
      </c>
      <c r="H52" s="10">
        <v>-0.57367642579495848</v>
      </c>
      <c r="I52" s="10">
        <v>0.2327388045934366</v>
      </c>
      <c r="J52" s="10">
        <v>-0.67193156996485348</v>
      </c>
      <c r="K52">
        <v>1966</v>
      </c>
      <c r="L52" s="9">
        <v>-0.20158719883478435</v>
      </c>
    </row>
    <row r="53" spans="1:12" x14ac:dyDescent="0.3">
      <c r="A53">
        <v>1965</v>
      </c>
      <c r="B53">
        <v>0.66830303202063268</v>
      </c>
      <c r="C53">
        <v>1.0505650000000095</v>
      </c>
      <c r="D53">
        <v>0.69175240506210889</v>
      </c>
      <c r="G53">
        <v>1965</v>
      </c>
      <c r="H53" s="10">
        <v>-1.0574333746257065</v>
      </c>
      <c r="I53" s="10">
        <v>-0.15022557598707234</v>
      </c>
      <c r="J53" s="10">
        <v>-1.0423391330618248</v>
      </c>
      <c r="K53">
        <v>1965</v>
      </c>
      <c r="L53" s="9">
        <v>-0.83817835304993382</v>
      </c>
    </row>
    <row r="54" spans="1:12" x14ac:dyDescent="0.3">
      <c r="A54">
        <v>1964</v>
      </c>
      <c r="B54">
        <v>0.59998764512344638</v>
      </c>
      <c r="C54">
        <v>1.2753350000000079</v>
      </c>
      <c r="D54">
        <v>0.74994636451518948</v>
      </c>
      <c r="G54">
        <v>1964</v>
      </c>
      <c r="H54" s="10">
        <v>-2.0098294770277443</v>
      </c>
      <c r="I54" s="10">
        <v>1.580351501276223</v>
      </c>
      <c r="J54" s="10">
        <v>-0.38323395188732351</v>
      </c>
      <c r="K54">
        <v>1964</v>
      </c>
      <c r="L54" s="9">
        <v>-0.51988277594235344</v>
      </c>
    </row>
    <row r="55" spans="1:12" x14ac:dyDescent="0.3">
      <c r="A55">
        <v>1963</v>
      </c>
      <c r="B55">
        <v>0.65947992896465391</v>
      </c>
      <c r="C55">
        <v>1.2780850000000104</v>
      </c>
      <c r="D55">
        <v>0.83596477949238868</v>
      </c>
      <c r="G55">
        <v>1963</v>
      </c>
      <c r="H55" s="10">
        <v>-1.1804377129346182</v>
      </c>
      <c r="I55" s="10">
        <v>1.601524642542755</v>
      </c>
      <c r="J55" s="10">
        <v>0.59101120208954805</v>
      </c>
      <c r="K55">
        <v>1963</v>
      </c>
      <c r="L55" s="9">
        <v>-0.83817835304993382</v>
      </c>
    </row>
    <row r="56" spans="1:12" x14ac:dyDescent="0.3">
      <c r="A56">
        <v>1962</v>
      </c>
      <c r="B56">
        <v>0.80290479896806366</v>
      </c>
      <c r="C56">
        <v>0.86632000000000531</v>
      </c>
      <c r="D56">
        <v>0.70601604526680173</v>
      </c>
      <c r="G56">
        <v>1962</v>
      </c>
      <c r="H56" s="10">
        <v>0.81907211029661708</v>
      </c>
      <c r="I56" s="10">
        <v>-1.5687875442229824</v>
      </c>
      <c r="J56" s="10">
        <v>-0.88078904694160121</v>
      </c>
      <c r="K56">
        <v>1962</v>
      </c>
      <c r="L56" s="9">
        <v>0.11670837827279607</v>
      </c>
    </row>
    <row r="57" spans="1:12" x14ac:dyDescent="0.3">
      <c r="A57">
        <v>1961</v>
      </c>
      <c r="B57">
        <v>0.80215070341759287</v>
      </c>
      <c r="C57">
        <v>1.1783200000000147</v>
      </c>
      <c r="D57">
        <v>0.91887644077568664</v>
      </c>
      <c r="G57">
        <v>1961</v>
      </c>
      <c r="H57" s="10">
        <v>0.80855913956298164</v>
      </c>
      <c r="I57" s="10">
        <v>0.83340157401418613</v>
      </c>
      <c r="J57" s="10">
        <v>1.5300692425665334</v>
      </c>
      <c r="K57">
        <v>1961</v>
      </c>
      <c r="L57" s="9">
        <v>0.43500395538036518</v>
      </c>
    </row>
    <row r="58" spans="1:12" x14ac:dyDescent="0.3">
      <c r="A58">
        <v>1960</v>
      </c>
      <c r="B58">
        <v>0.77599267357044788</v>
      </c>
      <c r="C58">
        <v>1.088045000000007</v>
      </c>
      <c r="D58">
        <v>0.85866745940204925</v>
      </c>
      <c r="G58">
        <v>1960</v>
      </c>
      <c r="H58" s="10">
        <v>0.4438857211070415</v>
      </c>
      <c r="I58" s="10">
        <v>0.13834509116523663</v>
      </c>
      <c r="J58" s="10">
        <v>0.84814190939376521</v>
      </c>
      <c r="K58">
        <v>1960</v>
      </c>
      <c r="L58" s="9">
        <v>-1.4747695072650833</v>
      </c>
    </row>
    <row r="59" spans="1:12" x14ac:dyDescent="0.3">
      <c r="A59">
        <v>1959</v>
      </c>
      <c r="B59">
        <v>0.80044614612293197</v>
      </c>
      <c r="C59">
        <v>1.1885950000000089</v>
      </c>
      <c r="D59">
        <v>0.94995259889336625</v>
      </c>
      <c r="G59">
        <v>1959</v>
      </c>
      <c r="H59" s="10">
        <v>0.78479562452647567</v>
      </c>
      <c r="I59" s="10">
        <v>0.91251212910993096</v>
      </c>
      <c r="J59" s="10">
        <v>1.8820380210937075</v>
      </c>
      <c r="K59">
        <v>1959</v>
      </c>
      <c r="L59" s="9">
        <v>0.43500395538036518</v>
      </c>
    </row>
    <row r="60" spans="1:12" x14ac:dyDescent="0.3">
      <c r="A60">
        <v>1958</v>
      </c>
      <c r="B60">
        <v>0.81415417853437244</v>
      </c>
      <c r="C60">
        <v>1.0055900000000075</v>
      </c>
      <c r="D60">
        <v>0.81772522287197125</v>
      </c>
      <c r="G60">
        <v>1958</v>
      </c>
      <c r="H60" s="10">
        <v>0.97590157053985371</v>
      </c>
      <c r="I60" s="10">
        <v>-0.49650267724578445</v>
      </c>
      <c r="J60" s="10">
        <v>0.38442985956145492</v>
      </c>
      <c r="K60">
        <v>1958</v>
      </c>
      <c r="L60" s="9">
        <v>-0.83817835304993382</v>
      </c>
    </row>
    <row r="61" spans="1:12" x14ac:dyDescent="0.3">
      <c r="A61">
        <v>1957</v>
      </c>
      <c r="B61">
        <v>0.78587784321928833</v>
      </c>
      <c r="C61">
        <v>1.1233350000000211</v>
      </c>
      <c r="D61">
        <v>0.88231775076977448</v>
      </c>
      <c r="G61">
        <v>1957</v>
      </c>
      <c r="H61" s="10">
        <v>0.58169650536428952</v>
      </c>
      <c r="I61" s="10">
        <v>0.4100542385454316</v>
      </c>
      <c r="J61" s="10">
        <v>1.116005270527016</v>
      </c>
      <c r="K61">
        <v>1957</v>
      </c>
      <c r="L61" s="9">
        <v>1.7081862638106755</v>
      </c>
    </row>
    <row r="62" spans="1:12" x14ac:dyDescent="0.3">
      <c r="A62">
        <v>1956</v>
      </c>
      <c r="B62">
        <v>0.84334114027373452</v>
      </c>
      <c r="C62">
        <v>0.9765600000000193</v>
      </c>
      <c r="D62">
        <v>0.82042625994662455</v>
      </c>
      <c r="G62">
        <v>1956</v>
      </c>
      <c r="H62" s="10">
        <v>1.3828018292379531</v>
      </c>
      <c r="I62" s="10">
        <v>-0.7200140557791006</v>
      </c>
      <c r="J62" s="10">
        <v>0.41502182386805558</v>
      </c>
      <c r="K62">
        <v>1956</v>
      </c>
      <c r="L62" s="9">
        <v>1.0715951095955261</v>
      </c>
    </row>
    <row r="63" spans="1:12" x14ac:dyDescent="0.3">
      <c r="A63">
        <v>1955</v>
      </c>
      <c r="B63">
        <v>0.81728580497279879</v>
      </c>
      <c r="C63">
        <v>1.1600600000000252</v>
      </c>
      <c r="D63">
        <v>0.92327817498446618</v>
      </c>
      <c r="G63">
        <v>1955</v>
      </c>
      <c r="H63" s="10">
        <v>1.0195600924278307</v>
      </c>
      <c r="I63" s="10">
        <v>0.69281191600462155</v>
      </c>
      <c r="J63" s="10">
        <v>1.5799233141991529</v>
      </c>
      <c r="K63">
        <v>1955</v>
      </c>
      <c r="L63" s="9">
        <v>-1.4747695072650833</v>
      </c>
    </row>
    <row r="64" spans="1:12" x14ac:dyDescent="0.3">
      <c r="A64">
        <v>1954</v>
      </c>
      <c r="B64">
        <v>0.80183968730505883</v>
      </c>
      <c r="C64">
        <v>1.0745950000000235</v>
      </c>
      <c r="D64">
        <v>0.86085402325627969</v>
      </c>
      <c r="G64">
        <v>1954</v>
      </c>
      <c r="H64" s="10">
        <v>0.80422321252201445</v>
      </c>
      <c r="I64" s="10">
        <v>3.4789182061873238E-2</v>
      </c>
      <c r="J64" s="10">
        <v>0.87290694650133871</v>
      </c>
      <c r="K64">
        <v>1954</v>
      </c>
      <c r="L64" s="9">
        <v>-0.51988277594235344</v>
      </c>
    </row>
    <row r="65" spans="1:12" x14ac:dyDescent="0.3">
      <c r="A65">
        <v>1953</v>
      </c>
      <c r="B65">
        <v>0.83421888198590821</v>
      </c>
      <c r="C65">
        <v>1.0985500000000208</v>
      </c>
      <c r="D65">
        <v>0.89161416792168025</v>
      </c>
      <c r="G65">
        <v>1953</v>
      </c>
      <c r="H65" s="10">
        <v>1.2556269183865254</v>
      </c>
      <c r="I65" s="10">
        <v>0.21922649080342169</v>
      </c>
      <c r="J65" s="10">
        <v>1.2212965545153618</v>
      </c>
      <c r="K65">
        <v>1953</v>
      </c>
      <c r="L65" s="9">
        <v>0.11670837827279607</v>
      </c>
    </row>
    <row r="66" spans="1:12" x14ac:dyDescent="0.3">
      <c r="A66">
        <v>1952</v>
      </c>
      <c r="B66">
        <v>0.81860517263111987</v>
      </c>
      <c r="C66">
        <v>1.1158250000000223</v>
      </c>
      <c r="D66">
        <v>0.89946540041670453</v>
      </c>
      <c r="G66">
        <v>1952</v>
      </c>
      <c r="H66" s="10">
        <v>1.0379536150658772</v>
      </c>
      <c r="I66" s="10">
        <v>0.3522323145776185</v>
      </c>
      <c r="J66" s="10">
        <v>1.3102196672354773</v>
      </c>
    </row>
    <row r="67" spans="1:12" x14ac:dyDescent="0.3">
      <c r="A67">
        <v>1951</v>
      </c>
      <c r="B67">
        <v>0.82815686403954059</v>
      </c>
      <c r="C67">
        <v>1.1058300000000283</v>
      </c>
      <c r="D67">
        <v>0.91613175379229406</v>
      </c>
      <c r="G67">
        <v>1951</v>
      </c>
      <c r="H67" s="10">
        <v>1.1711153240439407</v>
      </c>
      <c r="I67" s="10">
        <v>0.27527757022901173</v>
      </c>
      <c r="J67" s="10">
        <v>1.4989828990962146</v>
      </c>
    </row>
    <row r="68" spans="1:12" x14ac:dyDescent="0.3">
      <c r="A68">
        <v>1950</v>
      </c>
      <c r="B68">
        <v>0.75076781370026691</v>
      </c>
      <c r="C68">
        <v>1.277870000000026</v>
      </c>
      <c r="D68">
        <v>0.92777402393217656</v>
      </c>
      <c r="G68">
        <v>1950</v>
      </c>
      <c r="H68" s="10">
        <v>9.2221779568456577E-2</v>
      </c>
      <c r="I68" s="10">
        <v>1.5998692878620393</v>
      </c>
      <c r="J68" s="10">
        <v>1.6308433300059995</v>
      </c>
    </row>
    <row r="71" spans="1:12" x14ac:dyDescent="0.3">
      <c r="A71" t="s">
        <v>20</v>
      </c>
      <c r="B71" s="9">
        <f>AVERAGE(B3:B68)</f>
        <v>0.74415274405048937</v>
      </c>
      <c r="C71" s="9">
        <f t="shared" ref="C71:D71" si="0">AVERAGE(C3:C68)</f>
        <v>1.0700765277777906</v>
      </c>
      <c r="D71" s="9">
        <f t="shared" si="0"/>
        <v>0.78378299893131342</v>
      </c>
      <c r="G71" t="s">
        <v>20</v>
      </c>
      <c r="H71" s="9">
        <f>AVERAGE(H3:H68)</f>
        <v>-2.3529158419612691E-16</v>
      </c>
      <c r="I71" s="9">
        <f t="shared" ref="I71:J71" si="1">AVERAGE(I3:I68)</f>
        <v>3.5661709275838365E-15</v>
      </c>
      <c r="J71" s="9">
        <f t="shared" si="1"/>
        <v>1.2918958832001822E-15</v>
      </c>
      <c r="K71" t="s">
        <v>20</v>
      </c>
      <c r="L71" s="9">
        <f>AVERAGE(L3:L64)</f>
        <v>-1.9781081063014374E-3</v>
      </c>
    </row>
    <row r="72" spans="1:12" x14ac:dyDescent="0.3">
      <c r="B72" s="9">
        <f>_xlfn.STDEV.S(B3:B68)</f>
        <v>7.1730015195240804E-2</v>
      </c>
      <c r="C72" s="9">
        <f t="shared" ref="C72:D72" si="2">_xlfn.STDEV.S(C3:C68)</f>
        <v>0.12988153082175671</v>
      </c>
      <c r="D72" s="9">
        <f t="shared" si="2"/>
        <v>8.8292371407824588E-2</v>
      </c>
      <c r="H72" s="9">
        <f>_xlfn.STDEV.S(H3:H68)</f>
        <v>1</v>
      </c>
      <c r="I72" s="9">
        <f t="shared" ref="I72:J72" si="3">_xlfn.STDEV.S(I3:I68)</f>
        <v>0.99999999999996425</v>
      </c>
      <c r="J72" s="9">
        <f t="shared" si="3"/>
        <v>0.99999999999998412</v>
      </c>
      <c r="L72" s="9">
        <f>_xlfn.STDEV.S(L3:L68)</f>
        <v>0.93207582719893489</v>
      </c>
    </row>
    <row r="73" spans="1:12" x14ac:dyDescent="0.3">
      <c r="A73" t="s">
        <v>19</v>
      </c>
      <c r="B73" s="9">
        <f>AVERAGE(B59:B68)</f>
        <v>0.80946935327850189</v>
      </c>
      <c r="C73" s="9">
        <f t="shared" ref="C73:D73" si="4">AVERAGE(C59:C68)</f>
        <v>1.1126810000000202</v>
      </c>
      <c r="D73" s="9">
        <f t="shared" si="4"/>
        <v>0.88895393767853359</v>
      </c>
      <c r="G73" t="s">
        <v>19</v>
      </c>
      <c r="H73" s="9">
        <f>AVERAGE(H59:H68)</f>
        <v>0.91058964716832169</v>
      </c>
      <c r="I73" s="9">
        <f t="shared" ref="I73:J73" si="5">AVERAGE(I59:I68)</f>
        <v>0.32802563961690634</v>
      </c>
      <c r="J73" s="9">
        <f t="shared" si="5"/>
        <v>1.191166768660378</v>
      </c>
      <c r="K73" t="s">
        <v>19</v>
      </c>
      <c r="L73" s="9">
        <f>AVERAGE(L59:L68)</f>
        <v>7.1237581543141706E-2</v>
      </c>
    </row>
    <row r="74" spans="1:12" x14ac:dyDescent="0.3">
      <c r="B74" s="9">
        <f>_xlfn.STDEV.S(B59:B68)</f>
        <v>2.6703366516668457E-2</v>
      </c>
      <c r="C74" s="9">
        <f t="shared" ref="C74:D74" si="6">_xlfn.STDEV.S(C59:C68)</f>
        <v>8.6353972365686232E-2</v>
      </c>
      <c r="D74" s="9">
        <f t="shared" si="6"/>
        <v>4.4553846312924202E-2</v>
      </c>
      <c r="H74" s="9">
        <f>_xlfn.STDEV.S(H59:H68)</f>
        <v>0.37227604711897827</v>
      </c>
      <c r="I74" s="9">
        <f t="shared" ref="I74:J74" si="7">_xlfn.STDEV.S(I59:I68)</f>
        <v>0.66486722029935386</v>
      </c>
      <c r="J74" s="9">
        <f t="shared" si="7"/>
        <v>0.50461716683459457</v>
      </c>
      <c r="L74" s="9">
        <f>_xlfn.STDEV.S(L59:L68)</f>
        <v>1.1091519491762813</v>
      </c>
    </row>
    <row r="75" spans="1:12" x14ac:dyDescent="0.3">
      <c r="A75" t="s">
        <v>21</v>
      </c>
      <c r="B75" s="9">
        <f>AVERAGE(B49:B58)</f>
        <v>0.73702951538960959</v>
      </c>
      <c r="C75" s="9">
        <f t="shared" ref="C75:D75" si="8">AVERAGE(C49:C58)</f>
        <v>1.0600905000000092</v>
      </c>
      <c r="D75" s="9">
        <f t="shared" si="8"/>
        <v>0.76646298347614672</v>
      </c>
      <c r="G75" t="s">
        <v>21</v>
      </c>
      <c r="H75" s="9">
        <f>AVERAGE(H49:H58)</f>
        <v>-9.93061083493606E-2</v>
      </c>
      <c r="I75" s="9">
        <f t="shared" ref="I75:J75" si="9">AVERAGE(I49:I58)</f>
        <v>-7.6885664301923354E-2</v>
      </c>
      <c r="J75" s="9">
        <f t="shared" si="9"/>
        <v>-0.19616661302668156</v>
      </c>
      <c r="K75" t="s">
        <v>21</v>
      </c>
      <c r="L75" s="9">
        <f>AVERAGE(L49:L58)</f>
        <v>-0.61537144907462982</v>
      </c>
    </row>
    <row r="76" spans="1:12" x14ac:dyDescent="0.3">
      <c r="B76" s="9">
        <f>_xlfn.STDEV.S(B49:B58)</f>
        <v>7.7134079888005538E-2</v>
      </c>
      <c r="C76" s="9">
        <f t="shared" ref="C76:D76" si="10">_xlfn.STDEV.S(C49:C58)</f>
        <v>0.15241456381727864</v>
      </c>
      <c r="D76" s="9">
        <f t="shared" si="10"/>
        <v>8.6791452105202102E-2</v>
      </c>
      <c r="H76" s="9">
        <f>_xlfn.STDEV.S(H49:H58)</f>
        <v>1.0753389592635034</v>
      </c>
      <c r="I76" s="9">
        <f t="shared" ref="I76:J76" si="11">_xlfn.STDEV.S(I49:I58)</f>
        <v>1.1734891239189795</v>
      </c>
      <c r="J76" s="9">
        <f t="shared" si="11"/>
        <v>0.98300057775444383</v>
      </c>
      <c r="L76" s="9">
        <f>_xlfn.STDEV.S(L49:L58)</f>
        <v>0.61956451885828923</v>
      </c>
    </row>
    <row r="77" spans="1:12" x14ac:dyDescent="0.3">
      <c r="A77" t="s">
        <v>22</v>
      </c>
      <c r="B77" s="9">
        <f>AVERAGE(B39:B48)</f>
        <v>0.82118164179073871</v>
      </c>
      <c r="C77" s="9">
        <f t="shared" ref="C77:D77" si="12">AVERAGE(C39:C48)</f>
        <v>0.94826050000000583</v>
      </c>
      <c r="D77" s="9">
        <f t="shared" si="12"/>
        <v>0.78128163449041765</v>
      </c>
      <c r="G77" t="s">
        <v>22</v>
      </c>
      <c r="H77" s="9">
        <f>AVERAGE(H39:H48)</f>
        <v>1.0738725975532784</v>
      </c>
      <c r="I77" s="9">
        <f t="shared" ref="I77:J77" si="13">AVERAGE(I39:I48)</f>
        <v>-0.93790107805981626</v>
      </c>
      <c r="J77" s="9">
        <f t="shared" si="13"/>
        <v>-2.8330470696521132E-2</v>
      </c>
      <c r="K77" t="s">
        <v>22</v>
      </c>
      <c r="L77" s="9">
        <f>AVERAGE(L39:L48)</f>
        <v>0.21219705140506684</v>
      </c>
    </row>
    <row r="78" spans="1:12" x14ac:dyDescent="0.3">
      <c r="B78" s="9">
        <f>_xlfn.STDEV.S(B39:B48)</f>
        <v>5.6708303764321698E-2</v>
      </c>
      <c r="C78" s="9">
        <f t="shared" ref="C78:D78" si="14">_xlfn.STDEV.S(C39:C48)</f>
        <v>6.0100179710757436E-2</v>
      </c>
      <c r="D78" s="9">
        <f t="shared" si="14"/>
        <v>5.7928076400894757E-2</v>
      </c>
      <c r="H78" s="9">
        <f>_xlfn.STDEV.S(H39:H48)</f>
        <v>0.79057983760310468</v>
      </c>
      <c r="I78" s="9">
        <f t="shared" ref="I78:J78" si="15">_xlfn.STDEV.S(I39:I48)</f>
        <v>0.4627307618758828</v>
      </c>
      <c r="J78" s="9">
        <f t="shared" si="15"/>
        <v>0.65609378791428741</v>
      </c>
      <c r="L78" s="9">
        <f>_xlfn.STDEV.S(L39:L48)</f>
        <v>1.2998693254143037</v>
      </c>
    </row>
    <row r="79" spans="1:12" x14ac:dyDescent="0.3">
      <c r="A79" t="s">
        <v>23</v>
      </c>
      <c r="B79" s="9">
        <f>AVERAGE(B29:B38)</f>
        <v>0.71933670132454741</v>
      </c>
      <c r="C79" s="9">
        <f t="shared" ref="C79:D79" si="16">AVERAGE(C29:C38)</f>
        <v>1.023387958333372</v>
      </c>
      <c r="D79" s="9">
        <f t="shared" si="16"/>
        <v>0.74142326812009496</v>
      </c>
      <c r="G79" t="s">
        <v>23</v>
      </c>
      <c r="H79" s="9">
        <f>AVERAGE(H29:H38)</f>
        <v>-0.34596455414648175</v>
      </c>
      <c r="I79" s="9">
        <f t="shared" ref="I79:J79" si="17">AVERAGE(I29:I38)</f>
        <v>-0.35947042777384314</v>
      </c>
      <c r="J79" s="9">
        <f t="shared" si="17"/>
        <v>-0.47976659971627422</v>
      </c>
      <c r="K79" t="s">
        <v>23</v>
      </c>
      <c r="L79" s="9">
        <f>AVERAGE(L29:L38)</f>
        <v>-0.26524631425629697</v>
      </c>
    </row>
    <row r="80" spans="1:12" x14ac:dyDescent="0.3">
      <c r="B80" s="9">
        <f>_xlfn.STDEV.S(B29:B38)</f>
        <v>5.6711914103464101E-2</v>
      </c>
      <c r="C80" s="9">
        <f t="shared" ref="C80:D80" si="18">_xlfn.STDEV.S(C29:C38)</f>
        <v>0.11848233792076839</v>
      </c>
      <c r="D80" s="9">
        <f t="shared" si="18"/>
        <v>0.10850955022091632</v>
      </c>
      <c r="H80" s="9">
        <f>_xlfn.STDEV.S(H29:H38)</f>
        <v>0.79063016993793778</v>
      </c>
      <c r="I80" s="9">
        <f t="shared" ref="I80:J80" si="19">_xlfn.STDEV.S(I29:I38)</f>
        <v>0.91223391941205501</v>
      </c>
      <c r="J80" s="9">
        <f t="shared" si="19"/>
        <v>1.2289799049536039</v>
      </c>
      <c r="L80" s="9">
        <f>_xlfn.STDEV.S(L29:L38)</f>
        <v>0.76213902489143748</v>
      </c>
    </row>
    <row r="81" spans="1:12" x14ac:dyDescent="0.3">
      <c r="A81" t="s">
        <v>24</v>
      </c>
      <c r="B81" s="9">
        <f>AVERAGE(B19:B28)</f>
        <v>0.71947066169134788</v>
      </c>
      <c r="C81" s="9">
        <f t="shared" ref="C81:D81" si="20">AVERAGE(C19:C28)</f>
        <v>1.092022250000015</v>
      </c>
      <c r="D81" s="9">
        <f t="shared" si="20"/>
        <v>0.76897051254150417</v>
      </c>
      <c r="G81" t="s">
        <v>24</v>
      </c>
      <c r="H81" s="9">
        <f>AVERAGE(H19:H28)</f>
        <v>-0.34409699052704312</v>
      </c>
      <c r="I81" s="9">
        <f t="shared" ref="I81:J81" si="21">AVERAGE(I19:I28)</f>
        <v>0.16896722792974567</v>
      </c>
      <c r="J81" s="9">
        <f t="shared" si="21"/>
        <v>-0.16776632175151354</v>
      </c>
      <c r="K81" t="s">
        <v>24</v>
      </c>
      <c r="L81" s="9">
        <f>AVERAGE(L19:L28)</f>
        <v>-0.23341675654553901</v>
      </c>
    </row>
    <row r="82" spans="1:12" x14ac:dyDescent="0.3">
      <c r="B82" s="9">
        <f>_xlfn.STDEV.S(B19:B28)</f>
        <v>3.6356924853977214E-2</v>
      </c>
      <c r="C82" s="9">
        <f t="shared" ref="C82:D82" si="22">_xlfn.STDEV.S(C19:C28)</f>
        <v>0.10390987150796732</v>
      </c>
      <c r="D82" s="9">
        <f t="shared" si="22"/>
        <v>7.8569557882925384E-2</v>
      </c>
      <c r="H82" s="9">
        <f>_xlfn.STDEV.S(H19:H28)</f>
        <v>0.50685789979296492</v>
      </c>
      <c r="I82" s="9">
        <f t="shared" ref="I82:J82" si="23">_xlfn.STDEV.S(I19:I28)</f>
        <v>0.8000357776085063</v>
      </c>
      <c r="J82" s="9">
        <f t="shared" si="23"/>
        <v>0.88987934778657951</v>
      </c>
      <c r="L82" s="9">
        <f>_xlfn.STDEV.S(L19:L28)</f>
        <v>0.69492509524631763</v>
      </c>
    </row>
    <row r="83" spans="1:12" x14ac:dyDescent="0.3">
      <c r="A83" t="s">
        <v>25</v>
      </c>
      <c r="B83" s="9">
        <f>AVERAGE(B9:B18)</f>
        <v>0.6741642866804648</v>
      </c>
      <c r="C83" s="9">
        <f t="shared" ref="C83:D83" si="24">AVERAGE(C9:C18)</f>
        <v>1.1358902499999992</v>
      </c>
      <c r="D83" s="9">
        <f t="shared" si="24"/>
        <v>0.75339398492745535</v>
      </c>
      <c r="G83" t="s">
        <v>25</v>
      </c>
      <c r="H83" s="9">
        <f>AVERAGE(H9:H18)</f>
        <v>-0.97572065445022038</v>
      </c>
      <c r="I83" s="9">
        <f>AVERAGE(I9:I18)</f>
        <v>0.50672117741303968</v>
      </c>
      <c r="J83" s="9">
        <f t="shared" ref="J83" si="25">AVERAGE(J9:J18)</f>
        <v>-0.34418617961330356</v>
      </c>
      <c r="K83" t="s">
        <v>25</v>
      </c>
      <c r="L83" s="9">
        <f>AVERAGE(L9:L18)</f>
        <v>0.59415174393415882</v>
      </c>
    </row>
    <row r="84" spans="1:12" x14ac:dyDescent="0.3">
      <c r="B84" s="9">
        <f>_xlfn.STDEV.S(B9:B18)</f>
        <v>4.7631228759654587E-2</v>
      </c>
      <c r="C84" s="9">
        <f t="shared" ref="C84:D84" si="26">_xlfn.STDEV.S(C9:C18)</f>
        <v>0.10516146745237034</v>
      </c>
      <c r="D84" s="9">
        <f t="shared" si="26"/>
        <v>4.6587771687420933E-2</v>
      </c>
      <c r="H84" s="9">
        <f>_xlfn.STDEV.S(H9:H18)</f>
        <v>0.66403483437174682</v>
      </c>
      <c r="I84" s="9">
        <f>_xlfn.STDEV.S(I9:I18)</f>
        <v>0.80967222042284803</v>
      </c>
      <c r="J84" s="9">
        <f t="shared" ref="J84" si="27">_xlfn.STDEV.S(J9:J18)</f>
        <v>0.52765341948095257</v>
      </c>
      <c r="L84" s="9">
        <f>_xlfn.STDEV.S(L9:L18)</f>
        <v>0.6231877340662324</v>
      </c>
    </row>
    <row r="85" spans="1:12" x14ac:dyDescent="0.3">
      <c r="A85" t="s">
        <v>26</v>
      </c>
      <c r="B85" s="9">
        <f>AVERAGE(B3:B8)</f>
        <v>0.71792658429669876</v>
      </c>
      <c r="C85" s="9">
        <f t="shared" ref="C85:D85" si="28">AVERAGE(C3:C8)</f>
        <v>1.1502877083333332</v>
      </c>
      <c r="D85" s="9">
        <f t="shared" si="28"/>
        <v>0.78746911952086096</v>
      </c>
      <c r="G85" t="s">
        <v>26</v>
      </c>
      <c r="H85" s="9">
        <f>AVERAGE(H3:H8)</f>
        <v>-0.3656232287474932</v>
      </c>
      <c r="I85" s="9">
        <f t="shared" ref="I85:J85" si="29">AVERAGE(I3:I8)</f>
        <v>0.61757187529319102</v>
      </c>
      <c r="J85" s="9">
        <f t="shared" si="29"/>
        <v>4.1749026906540039E-2</v>
      </c>
      <c r="K85" t="s">
        <v>26</v>
      </c>
      <c r="L85" s="9">
        <f>AVERAGE(L3:L8)</f>
        <v>0.85939805819047255</v>
      </c>
    </row>
    <row r="86" spans="1:12" x14ac:dyDescent="0.3">
      <c r="B86" s="9">
        <f>_xlfn.STDEV.S(B3:B8)</f>
        <v>5.7277794537650459E-2</v>
      </c>
      <c r="C86" s="9">
        <f t="shared" ref="C86:D86" si="30">_xlfn.STDEV.S(C3:C8)</f>
        <v>0.19426033576816651</v>
      </c>
      <c r="D86" s="9">
        <f t="shared" si="30"/>
        <v>0.11546616447490209</v>
      </c>
      <c r="H86" s="9">
        <f>_xlfn.STDEV.S(H3:H8)</f>
        <v>0.79851920262036646</v>
      </c>
      <c r="I86" s="9">
        <f t="shared" ref="I86:J86" si="31">_xlfn.STDEV.S(I3:I8)</f>
        <v>1.4956732842543976</v>
      </c>
      <c r="J86" s="9">
        <f t="shared" si="31"/>
        <v>1.3077705653817042</v>
      </c>
      <c r="L86" s="9">
        <f>_xlfn.STDEV.S(L3:L8)</f>
        <v>0.66258508064528954</v>
      </c>
    </row>
    <row r="87" spans="1:12" x14ac:dyDescent="0.3">
      <c r="A87" t="s">
        <v>29</v>
      </c>
      <c r="G87" t="s">
        <v>29</v>
      </c>
      <c r="K87" t="s">
        <v>29</v>
      </c>
    </row>
    <row r="88" spans="1:12" x14ac:dyDescent="0.3">
      <c r="B88" t="s">
        <v>2</v>
      </c>
      <c r="C88" t="s">
        <v>27</v>
      </c>
      <c r="D88" t="s">
        <v>28</v>
      </c>
      <c r="H88" t="s">
        <v>2</v>
      </c>
      <c r="I88" t="s">
        <v>27</v>
      </c>
      <c r="J88" t="s">
        <v>28</v>
      </c>
      <c r="L88" t="s">
        <v>2</v>
      </c>
    </row>
    <row r="89" spans="1:12" x14ac:dyDescent="0.3">
      <c r="A89" t="s">
        <v>19</v>
      </c>
      <c r="B89" s="10">
        <f>B74/B73*100</f>
        <v>3.2988730714158407</v>
      </c>
      <c r="C89" s="10">
        <f t="shared" ref="C89:D89" si="32">C74/C73*100</f>
        <v>7.7608921483951514</v>
      </c>
      <c r="D89" s="10">
        <f t="shared" si="32"/>
        <v>5.0119409369257895</v>
      </c>
      <c r="G89" t="s">
        <v>19</v>
      </c>
      <c r="H89" s="10">
        <f>H74/H73*100</f>
        <v>40.882965041020654</v>
      </c>
      <c r="I89" s="10">
        <f t="shared" ref="I89:J89" si="33">I73/I74</f>
        <v>0.49337014910919219</v>
      </c>
      <c r="J89" s="10">
        <f t="shared" si="33"/>
        <v>2.3605355642821864</v>
      </c>
      <c r="K89" t="s">
        <v>19</v>
      </c>
      <c r="L89" s="10">
        <f>L74/L73*100</f>
        <v>1556.9758618273352</v>
      </c>
    </row>
    <row r="90" spans="1:12" x14ac:dyDescent="0.3">
      <c r="A90" t="s">
        <v>21</v>
      </c>
      <c r="B90" s="10">
        <f>B76/B75*100</f>
        <v>10.46553472790446</v>
      </c>
      <c r="C90" s="10">
        <f t="shared" ref="C90:D90" si="34">C76/C75*100</f>
        <v>14.377504922200258</v>
      </c>
      <c r="D90" s="10">
        <f t="shared" si="34"/>
        <v>11.32363257930292</v>
      </c>
      <c r="G90" t="s">
        <v>21</v>
      </c>
      <c r="H90" s="10">
        <f>H76/H75*100</f>
        <v>-1082.8527843226345</v>
      </c>
      <c r="I90" s="10">
        <f t="shared" ref="I90:J90" si="35">I75/I76</f>
        <v>-6.5518855466811909E-2</v>
      </c>
      <c r="J90" s="10">
        <f t="shared" si="35"/>
        <v>-0.19955900074321675</v>
      </c>
      <c r="K90" t="s">
        <v>21</v>
      </c>
      <c r="L90" s="10">
        <f>L75/L76</f>
        <v>-0.99323223061355059</v>
      </c>
    </row>
    <row r="91" spans="1:12" x14ac:dyDescent="0.3">
      <c r="A91" t="s">
        <v>22</v>
      </c>
      <c r="B91" s="10">
        <f>B78/B77*100</f>
        <v>6.9056955097849899</v>
      </c>
      <c r="C91" s="10">
        <f t="shared" ref="C91:D91" si="36">C78/C77*100</f>
        <v>6.337939807759267</v>
      </c>
      <c r="D91" s="10">
        <f t="shared" si="36"/>
        <v>7.414493550546303</v>
      </c>
      <c r="G91" t="s">
        <v>22</v>
      </c>
      <c r="H91" s="10">
        <f>H78/H77*100</f>
        <v>73.619518684466797</v>
      </c>
      <c r="I91" s="10">
        <f t="shared" ref="I91:J91" si="37">I77/I78</f>
        <v>-2.0268829205510812</v>
      </c>
      <c r="J91" s="10">
        <f t="shared" si="37"/>
        <v>-4.3180519642753039E-2</v>
      </c>
      <c r="K91" t="s">
        <v>22</v>
      </c>
      <c r="L91" s="10">
        <f>L77/L78</f>
        <v>0.16324491028160379</v>
      </c>
    </row>
    <row r="92" spans="1:12" x14ac:dyDescent="0.3">
      <c r="A92" t="s">
        <v>23</v>
      </c>
      <c r="B92" s="10">
        <f>B80/B79*100</f>
        <v>7.8839177813446568</v>
      </c>
      <c r="C92" s="10">
        <f t="shared" ref="C92:D92" si="38">C80/C79*100</f>
        <v>11.577460625364557</v>
      </c>
      <c r="D92" s="10">
        <f t="shared" si="38"/>
        <v>14.635304135523846</v>
      </c>
      <c r="G92" t="s">
        <v>23</v>
      </c>
      <c r="H92" s="10">
        <f>H80/H79*100</f>
        <v>-228.5292410629975</v>
      </c>
      <c r="I92" s="10">
        <f t="shared" ref="I92:J92" si="39">I79/I80</f>
        <v>-0.39405509938232275</v>
      </c>
      <c r="J92" s="10">
        <f t="shared" si="39"/>
        <v>-0.39037790429485197</v>
      </c>
      <c r="K92" t="s">
        <v>23</v>
      </c>
      <c r="L92" s="10">
        <f>L79/L80</f>
        <v>-0.34802877899354367</v>
      </c>
    </row>
    <row r="93" spans="1:12" x14ac:dyDescent="0.3">
      <c r="A93" t="s">
        <v>24</v>
      </c>
      <c r="B93" s="10">
        <f>B82/B81*100</f>
        <v>5.0532880338037049</v>
      </c>
      <c r="C93" s="10">
        <f t="shared" ref="C93:D93" si="40">C82/C81*100</f>
        <v>9.5153621190379489</v>
      </c>
      <c r="D93" s="10">
        <f t="shared" si="40"/>
        <v>10.217499449133259</v>
      </c>
      <c r="G93" t="s">
        <v>24</v>
      </c>
      <c r="H93" s="10">
        <f>H82/H81*100</f>
        <v>-147.3008813638927</v>
      </c>
      <c r="I93" s="10">
        <f t="shared" ref="I93:J93" si="41">I81/I82</f>
        <v>0.21119958964188845</v>
      </c>
      <c r="J93" s="10">
        <f t="shared" si="41"/>
        <v>-0.18852704264775125</v>
      </c>
      <c r="K93" t="s">
        <v>24</v>
      </c>
      <c r="L93" s="10">
        <f>L81/L82</f>
        <v>-0.33588764910382746</v>
      </c>
    </row>
    <row r="94" spans="1:12" x14ac:dyDescent="0.3">
      <c r="A94" t="s">
        <v>25</v>
      </c>
      <c r="B94" s="10">
        <f>B84/B83*100</f>
        <v>7.065225747004078</v>
      </c>
      <c r="C94" s="10">
        <f t="shared" ref="C94:D94" si="42">C84/C83*100</f>
        <v>9.2580658608849244</v>
      </c>
      <c r="D94" s="10">
        <f t="shared" si="42"/>
        <v>6.1837196233929168</v>
      </c>
      <c r="G94" t="s">
        <v>25</v>
      </c>
      <c r="H94" s="10">
        <f>H84/H83*100</f>
        <v>-68.055834561163806</v>
      </c>
      <c r="I94" s="10">
        <f t="shared" ref="I94:J94" si="43">I83/I84</f>
        <v>0.62583495472823136</v>
      </c>
      <c r="J94" s="10">
        <f t="shared" si="43"/>
        <v>-0.65229593309918488</v>
      </c>
      <c r="K94" t="s">
        <v>25</v>
      </c>
      <c r="L94" s="10">
        <f>L83/L84</f>
        <v>0.95340731444982574</v>
      </c>
    </row>
    <row r="95" spans="1:12" x14ac:dyDescent="0.3">
      <c r="A95" t="s">
        <v>26</v>
      </c>
      <c r="B95" s="10">
        <f>B86/B85*100</f>
        <v>7.9782244856918636</v>
      </c>
      <c r="C95" s="10">
        <f t="shared" ref="C95:D95" si="44">C86/C85*100</f>
        <v>16.887978056344952</v>
      </c>
      <c r="D95" s="10">
        <f t="shared" si="44"/>
        <v>14.662945074615493</v>
      </c>
      <c r="G95" t="s">
        <v>26</v>
      </c>
      <c r="H95" s="10">
        <f>H86/H85*100</f>
        <v>-218.39947241750332</v>
      </c>
      <c r="I95" s="10">
        <f t="shared" ref="I95:J95" si="45">I85/I86</f>
        <v>0.41290560030364815</v>
      </c>
      <c r="J95" s="10">
        <f t="shared" si="45"/>
        <v>3.1923816005412678E-2</v>
      </c>
      <c r="K95" t="s">
        <v>26</v>
      </c>
      <c r="L95" s="10">
        <f>L85/L86</f>
        <v>1.2970380458212363</v>
      </c>
    </row>
    <row r="97" spans="1:10" x14ac:dyDescent="0.3">
      <c r="A97" t="s">
        <v>30</v>
      </c>
      <c r="G97" t="s">
        <v>30</v>
      </c>
    </row>
    <row r="98" spans="1:10" x14ac:dyDescent="0.3">
      <c r="B98" t="s">
        <v>2</v>
      </c>
      <c r="C98" t="s">
        <v>27</v>
      </c>
      <c r="D98" t="s">
        <v>28</v>
      </c>
      <c r="H98" t="s">
        <v>2</v>
      </c>
      <c r="I98" t="s">
        <v>27</v>
      </c>
      <c r="J98" t="s">
        <v>28</v>
      </c>
    </row>
    <row r="99" spans="1:10" x14ac:dyDescent="0.3">
      <c r="A99" t="s">
        <v>19</v>
      </c>
      <c r="B99" s="9">
        <f>(B73-B$71)/B$72</f>
        <v>0.91058964716831958</v>
      </c>
      <c r="C99" s="9">
        <f>(C73-C$71)/C$72</f>
        <v>0.32802563961690595</v>
      </c>
      <c r="D99" s="9">
        <f>(D73-D$71)/D$72</f>
        <v>1.1911667686603757</v>
      </c>
      <c r="G99" t="s">
        <v>19</v>
      </c>
      <c r="H99" s="9">
        <f>(H73-H$71)/H$72</f>
        <v>0.91058964716832191</v>
      </c>
      <c r="I99" s="9">
        <f>(I73-I$71)/I$72</f>
        <v>0.3280256396169145</v>
      </c>
      <c r="J99" s="9">
        <f>(J73-J$71)/J$72</f>
        <v>1.1911667686603955</v>
      </c>
    </row>
    <row r="100" spans="1:10" x14ac:dyDescent="0.3">
      <c r="A100" t="s">
        <v>21</v>
      </c>
      <c r="B100" s="9">
        <f>(B75-B$71)/B$72</f>
        <v>-9.9306108349359365E-2</v>
      </c>
      <c r="C100" s="9">
        <f>(C75-C$71)/C$72</f>
        <v>-7.6885664301923048E-2</v>
      </c>
      <c r="D100" s="9">
        <f>(D75-D$71)/D$72</f>
        <v>-0.19616661302668081</v>
      </c>
      <c r="G100" t="s">
        <v>21</v>
      </c>
      <c r="H100" s="9">
        <f>(H75-H$71)/H$72</f>
        <v>-9.9306108349360364E-2</v>
      </c>
      <c r="I100" s="9">
        <f>(I75-I$71)/I$72</f>
        <v>-7.6885664301929668E-2</v>
      </c>
      <c r="J100" s="9">
        <f>(J75-J$71)/J$72</f>
        <v>-0.19616661302668598</v>
      </c>
    </row>
    <row r="101" spans="1:10" x14ac:dyDescent="0.3">
      <c r="A101" t="s">
        <v>22</v>
      </c>
      <c r="B101" s="9">
        <f>(B77-B$71)/B$72</f>
        <v>1.0738725975532781</v>
      </c>
      <c r="C101" s="9">
        <f>(C77-C$71)/C$72</f>
        <v>-0.93790107805981549</v>
      </c>
      <c r="D101" s="9">
        <f>(D77-D$71)/D$72</f>
        <v>-2.8330470696521535E-2</v>
      </c>
      <c r="G101" t="s">
        <v>22</v>
      </c>
      <c r="H101" s="9">
        <f>(H77-H$71)/H$72</f>
        <v>1.0738725975532786</v>
      </c>
      <c r="I101" s="9">
        <f>(I77-I$71)/I$72</f>
        <v>-0.93790107805985334</v>
      </c>
      <c r="J101" s="9">
        <f>(J77-J$71)/J$72</f>
        <v>-2.8330470696522874E-2</v>
      </c>
    </row>
    <row r="102" spans="1:10" x14ac:dyDescent="0.3">
      <c r="A102" t="s">
        <v>23</v>
      </c>
      <c r="B102" s="9">
        <f>(B79-B$71)/B$72</f>
        <v>-0.34596455414648331</v>
      </c>
      <c r="C102" s="9">
        <f>(C79-C$71)/C$72</f>
        <v>-0.35947042777384386</v>
      </c>
      <c r="D102" s="9">
        <f>(D79-D$71)/D$72</f>
        <v>-0.47976659971627506</v>
      </c>
      <c r="G102" t="s">
        <v>23</v>
      </c>
      <c r="H102" s="9">
        <f>(H79-H$71)/H$72</f>
        <v>-0.34596455414648153</v>
      </c>
      <c r="I102" s="9">
        <f>(I79-I$71)/I$72</f>
        <v>-0.35947042777385951</v>
      </c>
      <c r="J102" s="9">
        <f>(J79-J$71)/J$72</f>
        <v>-0.4797665997162831</v>
      </c>
    </row>
    <row r="103" spans="1:10" x14ac:dyDescent="0.3">
      <c r="A103" t="s">
        <v>24</v>
      </c>
      <c r="B103" s="9">
        <f>(B81-B$71)/B$72</f>
        <v>-0.3440969905270439</v>
      </c>
      <c r="C103" s="9">
        <f>(C81-C$71)/C$72</f>
        <v>0.16896722792974794</v>
      </c>
      <c r="D103" s="9">
        <f>(D81-D$71)/D$72</f>
        <v>-0.16776632175151376</v>
      </c>
      <c r="G103" t="s">
        <v>24</v>
      </c>
      <c r="H103" s="9">
        <f>(H81-H$71)/H$72</f>
        <v>-0.3440969905270429</v>
      </c>
      <c r="I103" s="9">
        <f>(I81-I$71)/I$72</f>
        <v>0.16896722792974816</v>
      </c>
      <c r="J103" s="9">
        <f>(J81-J$71)/J$72</f>
        <v>-0.16776632175151751</v>
      </c>
    </row>
    <row r="104" spans="1:10" x14ac:dyDescent="0.3">
      <c r="A104" t="s">
        <v>25</v>
      </c>
      <c r="B104" s="9">
        <f>(B83-B$71)/B$72</f>
        <v>-0.97572065445021983</v>
      </c>
      <c r="C104" s="9">
        <f>(C83-C$71)/C$72</f>
        <v>0.50672117741304001</v>
      </c>
      <c r="D104" s="9">
        <f>(D83-D$71)/D$72</f>
        <v>-0.34418617961330417</v>
      </c>
      <c r="G104" t="s">
        <v>25</v>
      </c>
      <c r="H104" s="9">
        <f>(H83-H$71)/H$72</f>
        <v>-0.97572065445022016</v>
      </c>
      <c r="I104" s="9">
        <f>(I83-I$71)/I$72</f>
        <v>0.50672117741305422</v>
      </c>
      <c r="J104" s="9">
        <f>(J83-J$71)/J$72</f>
        <v>-0.34418617961331027</v>
      </c>
    </row>
    <row r="105" spans="1:10" x14ac:dyDescent="0.3">
      <c r="A105" t="s">
        <v>26</v>
      </c>
      <c r="B105" s="9">
        <f>(B85-B$71)/B$72</f>
        <v>-0.36562322874749209</v>
      </c>
      <c r="C105" s="9">
        <f>(C85-C$71)/C$72</f>
        <v>0.61757187529319002</v>
      </c>
      <c r="D105" s="9">
        <f>(D85-D$71)/D$72</f>
        <v>4.1749026906540511E-2</v>
      </c>
      <c r="G105" t="s">
        <v>26</v>
      </c>
      <c r="H105" s="9">
        <f>(H85-H$71)/H$72</f>
        <v>-0.36562322874749298</v>
      </c>
      <c r="I105" s="9">
        <f>(I85-I$71)/I$72</f>
        <v>0.61757187529320956</v>
      </c>
      <c r="J105" s="9">
        <f>(J85-J$71)/J$72</f>
        <v>4.1749026906539415E-2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E70" zoomScale="80" zoomScaleNormal="80" workbookViewId="0">
      <selection activeCell="Q99" sqref="Q9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O103"/>
  <sheetViews>
    <sheetView topLeftCell="A28" workbookViewId="0">
      <selection activeCell="J9" sqref="J9"/>
    </sheetView>
  </sheetViews>
  <sheetFormatPr baseColWidth="10" defaultRowHeight="14.4" x14ac:dyDescent="0.3"/>
  <cols>
    <col min="4" max="4" width="20.88671875" customWidth="1"/>
    <col min="5" max="5" width="26" customWidth="1"/>
    <col min="6" max="6" width="25.88671875" customWidth="1"/>
    <col min="7" max="7" width="24.5546875" customWidth="1"/>
    <col min="8" max="8" width="23.6640625" customWidth="1"/>
    <col min="9" max="9" width="23.44140625" customWidth="1"/>
    <col min="10" max="10" width="10.44140625" customWidth="1"/>
    <col min="11" max="11" width="16" customWidth="1"/>
    <col min="12" max="12" width="17.109375" customWidth="1"/>
    <col min="13" max="13" width="18.109375" customWidth="1"/>
  </cols>
  <sheetData>
    <row r="3" spans="2:15" x14ac:dyDescent="0.3">
      <c r="D3" t="s">
        <v>172</v>
      </c>
      <c r="J3" t="s">
        <v>110</v>
      </c>
    </row>
    <row r="4" spans="2:15" ht="40.200000000000003" thickBot="1" x14ac:dyDescent="0.35">
      <c r="B4" s="14"/>
      <c r="D4" s="20"/>
      <c r="E4" s="21" t="s">
        <v>2</v>
      </c>
      <c r="F4" s="21" t="s">
        <v>27</v>
      </c>
      <c r="G4" s="21" t="s">
        <v>28</v>
      </c>
      <c r="J4" s="41" t="s">
        <v>111</v>
      </c>
      <c r="K4" s="42" t="s">
        <v>107</v>
      </c>
      <c r="L4" s="42" t="s">
        <v>108</v>
      </c>
      <c r="M4" s="42" t="s">
        <v>109</v>
      </c>
    </row>
    <row r="5" spans="2:15" x14ac:dyDescent="0.3">
      <c r="D5" s="19" t="s">
        <v>60</v>
      </c>
      <c r="E5" s="22" t="s">
        <v>40</v>
      </c>
      <c r="F5" s="23" t="s">
        <v>41</v>
      </c>
      <c r="G5" s="23" t="s">
        <v>42</v>
      </c>
      <c r="J5" s="37" t="s">
        <v>106</v>
      </c>
      <c r="K5" s="38" t="s">
        <v>112</v>
      </c>
      <c r="L5" s="38" t="s">
        <v>113</v>
      </c>
      <c r="M5" s="38" t="s">
        <v>114</v>
      </c>
    </row>
    <row r="6" spans="2:15" ht="15" thickBot="1" x14ac:dyDescent="0.35">
      <c r="D6" s="19" t="s">
        <v>59</v>
      </c>
      <c r="E6" s="23" t="s">
        <v>44</v>
      </c>
      <c r="F6" s="23" t="s">
        <v>43</v>
      </c>
      <c r="G6" s="23" t="s">
        <v>45</v>
      </c>
      <c r="I6" s="36"/>
      <c r="J6" s="39" t="s">
        <v>97</v>
      </c>
      <c r="K6" s="40" t="s">
        <v>115</v>
      </c>
      <c r="L6" s="40" t="s">
        <v>116</v>
      </c>
      <c r="M6" s="40" t="s">
        <v>117</v>
      </c>
    </row>
    <row r="7" spans="2:15" x14ac:dyDescent="0.3">
      <c r="D7" s="19" t="s">
        <v>58</v>
      </c>
      <c r="E7" s="23" t="s">
        <v>118</v>
      </c>
      <c r="F7" s="23" t="s">
        <v>119</v>
      </c>
      <c r="G7" s="23" t="s">
        <v>120</v>
      </c>
      <c r="I7" s="36"/>
      <c r="J7" s="50" t="s">
        <v>238</v>
      </c>
      <c r="K7" s="51" t="s">
        <v>235</v>
      </c>
      <c r="L7" s="51" t="s">
        <v>236</v>
      </c>
      <c r="M7" s="52" t="s">
        <v>237</v>
      </c>
    </row>
    <row r="8" spans="2:15" x14ac:dyDescent="0.3">
      <c r="D8" s="19" t="s">
        <v>57</v>
      </c>
      <c r="E8" s="23" t="s">
        <v>121</v>
      </c>
      <c r="F8" s="23" t="s">
        <v>122</v>
      </c>
      <c r="G8" s="23" t="s">
        <v>123</v>
      </c>
    </row>
    <row r="9" spans="2:15" x14ac:dyDescent="0.3">
      <c r="D9" s="19" t="s">
        <v>55</v>
      </c>
      <c r="E9" s="43" t="s">
        <v>160</v>
      </c>
      <c r="F9" s="43" t="s">
        <v>161</v>
      </c>
      <c r="G9" s="23" t="s">
        <v>162</v>
      </c>
      <c r="I9" s="36"/>
      <c r="K9" s="10"/>
      <c r="L9" s="10"/>
      <c r="M9" s="10"/>
    </row>
    <row r="10" spans="2:15" x14ac:dyDescent="0.3">
      <c r="D10" s="19" t="s">
        <v>56</v>
      </c>
      <c r="E10" s="43" t="s">
        <v>163</v>
      </c>
      <c r="F10" s="23" t="s">
        <v>164</v>
      </c>
      <c r="G10" s="23" t="s">
        <v>165</v>
      </c>
      <c r="I10" s="36"/>
      <c r="K10" s="10"/>
      <c r="L10" s="10"/>
      <c r="M10" s="10"/>
    </row>
    <row r="11" spans="2:15" x14ac:dyDescent="0.3">
      <c r="D11" s="15" t="s">
        <v>37</v>
      </c>
      <c r="E11" s="23" t="s">
        <v>46</v>
      </c>
      <c r="F11" s="23" t="s">
        <v>47</v>
      </c>
      <c r="G11" s="23" t="s">
        <v>48</v>
      </c>
      <c r="K11" s="10"/>
      <c r="L11" s="10"/>
      <c r="M11" s="10"/>
    </row>
    <row r="12" spans="2:15" x14ac:dyDescent="0.3">
      <c r="D12" s="15" t="s">
        <v>38</v>
      </c>
      <c r="E12" s="23" t="s">
        <v>49</v>
      </c>
      <c r="F12" s="24" t="s">
        <v>50</v>
      </c>
      <c r="G12" s="23" t="s">
        <v>51</v>
      </c>
      <c r="K12" s="10"/>
      <c r="L12" s="10"/>
      <c r="M12" s="10"/>
    </row>
    <row r="13" spans="2:15" ht="15" thickBot="1" x14ac:dyDescent="0.35">
      <c r="D13" s="25" t="s">
        <v>39</v>
      </c>
      <c r="E13" s="26" t="s">
        <v>52</v>
      </c>
      <c r="F13" s="26" t="s">
        <v>53</v>
      </c>
      <c r="G13" s="26" t="s">
        <v>54</v>
      </c>
      <c r="J13" s="10"/>
      <c r="K13" s="10"/>
      <c r="L13" s="10"/>
    </row>
    <row r="14" spans="2:15" x14ac:dyDescent="0.3">
      <c r="D14" s="15" t="s">
        <v>36</v>
      </c>
      <c r="E14" s="16"/>
      <c r="F14" s="17"/>
      <c r="G14" s="16"/>
      <c r="J14" s="10"/>
      <c r="K14" s="10"/>
      <c r="L14" s="10"/>
    </row>
    <row r="15" spans="2:15" ht="15" thickBot="1" x14ac:dyDescent="0.35">
      <c r="D15" s="15"/>
      <c r="E15" s="16"/>
      <c r="F15" s="17"/>
      <c r="G15" s="16"/>
      <c r="J15" s="47" t="s">
        <v>262</v>
      </c>
      <c r="K15" s="47" t="s">
        <v>255</v>
      </c>
      <c r="L15" s="47" t="s">
        <v>251</v>
      </c>
      <c r="M15" s="47" t="s">
        <v>252</v>
      </c>
      <c r="N15" s="47" t="s">
        <v>253</v>
      </c>
      <c r="O15" s="47" t="s">
        <v>254</v>
      </c>
    </row>
    <row r="16" spans="2:15" x14ac:dyDescent="0.3">
      <c r="D16" s="19" t="s">
        <v>64</v>
      </c>
      <c r="E16" s="16"/>
      <c r="F16" s="17"/>
      <c r="G16" s="16"/>
      <c r="J16" t="s">
        <v>259</v>
      </c>
      <c r="K16" t="s">
        <v>256</v>
      </c>
      <c r="L16" s="10" t="s">
        <v>239</v>
      </c>
      <c r="M16" s="10" t="s">
        <v>242</v>
      </c>
      <c r="N16" t="s">
        <v>245</v>
      </c>
      <c r="O16" t="s">
        <v>248</v>
      </c>
    </row>
    <row r="17" spans="2:15" ht="15" thickBot="1" x14ac:dyDescent="0.35">
      <c r="D17" s="27"/>
      <c r="E17" s="21" t="s">
        <v>2</v>
      </c>
      <c r="F17" s="21" t="s">
        <v>3</v>
      </c>
      <c r="G17" s="21" t="s">
        <v>4</v>
      </c>
      <c r="J17" s="53" t="s">
        <v>260</v>
      </c>
      <c r="K17" t="s">
        <v>257</v>
      </c>
      <c r="L17" s="10" t="s">
        <v>240</v>
      </c>
      <c r="M17" s="10" t="s">
        <v>243</v>
      </c>
      <c r="N17" t="s">
        <v>246</v>
      </c>
      <c r="O17" t="s">
        <v>249</v>
      </c>
    </row>
    <row r="18" spans="2:15" ht="15" thickBot="1" x14ac:dyDescent="0.35">
      <c r="D18" s="19" t="s">
        <v>2</v>
      </c>
      <c r="E18" s="22"/>
      <c r="F18" s="24" t="s">
        <v>61</v>
      </c>
      <c r="G18" s="24" t="s">
        <v>62</v>
      </c>
      <c r="J18" s="45" t="s">
        <v>261</v>
      </c>
      <c r="K18" s="45" t="s">
        <v>258</v>
      </c>
      <c r="L18" s="54" t="s">
        <v>241</v>
      </c>
      <c r="M18" s="54" t="s">
        <v>244</v>
      </c>
      <c r="N18" s="45" t="s">
        <v>247</v>
      </c>
      <c r="O18" s="45" t="s">
        <v>250</v>
      </c>
    </row>
    <row r="19" spans="2:15" x14ac:dyDescent="0.3">
      <c r="D19" s="19" t="s">
        <v>3</v>
      </c>
      <c r="E19" s="24" t="s">
        <v>61</v>
      </c>
      <c r="F19" s="22"/>
      <c r="G19" s="24" t="s">
        <v>63</v>
      </c>
    </row>
    <row r="20" spans="2:15" ht="15" thickBot="1" x14ac:dyDescent="0.35">
      <c r="D20" s="28" t="s">
        <v>4</v>
      </c>
      <c r="E20" s="30" t="s">
        <v>62</v>
      </c>
      <c r="F20" s="30" t="s">
        <v>63</v>
      </c>
      <c r="G20" s="26"/>
    </row>
    <row r="21" spans="2:15" x14ac:dyDescent="0.3">
      <c r="E21" s="18"/>
      <c r="F21" s="18"/>
      <c r="G21" s="18"/>
    </row>
    <row r="22" spans="2:15" x14ac:dyDescent="0.3">
      <c r="E22" s="18"/>
      <c r="F22" s="18"/>
      <c r="G22" s="18"/>
    </row>
    <row r="23" spans="2:15" x14ac:dyDescent="0.3">
      <c r="D23" s="19" t="s">
        <v>68</v>
      </c>
      <c r="E23" s="18"/>
      <c r="F23" s="18"/>
      <c r="G23" s="18"/>
    </row>
    <row r="24" spans="2:15" ht="15" thickBot="1" x14ac:dyDescent="0.35">
      <c r="D24" s="29"/>
      <c r="E24" s="21" t="s">
        <v>2</v>
      </c>
      <c r="F24" s="21" t="s">
        <v>3</v>
      </c>
      <c r="G24" s="21" t="s">
        <v>4</v>
      </c>
    </row>
    <row r="25" spans="2:15" ht="15" thickBot="1" x14ac:dyDescent="0.35">
      <c r="D25" s="28" t="s">
        <v>66</v>
      </c>
      <c r="E25" s="30" t="s">
        <v>65</v>
      </c>
      <c r="F25" s="26" t="s">
        <v>67</v>
      </c>
      <c r="G25" s="30" t="s">
        <v>171</v>
      </c>
    </row>
    <row r="26" spans="2:15" x14ac:dyDescent="0.3">
      <c r="D26" s="19" t="s">
        <v>36</v>
      </c>
      <c r="E26" s="18"/>
      <c r="G26" s="18"/>
    </row>
    <row r="27" spans="2:15" x14ac:dyDescent="0.3">
      <c r="B27" t="s">
        <v>91</v>
      </c>
      <c r="D27" s="19" t="s">
        <v>36</v>
      </c>
      <c r="E27" s="18"/>
      <c r="F27" s="18"/>
      <c r="G27" s="18"/>
    </row>
    <row r="28" spans="2:15" x14ac:dyDescent="0.3">
      <c r="D28" t="s">
        <v>173</v>
      </c>
    </row>
    <row r="29" spans="2:15" ht="15" thickBot="1" x14ac:dyDescent="0.35">
      <c r="D29" s="29"/>
      <c r="E29" s="21" t="s">
        <v>2</v>
      </c>
      <c r="F29" s="21" t="s">
        <v>3</v>
      </c>
      <c r="G29" s="21" t="s">
        <v>4</v>
      </c>
    </row>
    <row r="30" spans="2:15" x14ac:dyDescent="0.3">
      <c r="D30" s="35" t="s">
        <v>106</v>
      </c>
      <c r="E30" s="33"/>
      <c r="F30" s="33"/>
      <c r="G30" s="33"/>
    </row>
    <row r="31" spans="2:15" x14ac:dyDescent="0.3">
      <c r="D31" s="19" t="s">
        <v>60</v>
      </c>
      <c r="E31" s="23" t="s">
        <v>124</v>
      </c>
      <c r="F31" s="23" t="s">
        <v>125</v>
      </c>
      <c r="G31" s="23" t="s">
        <v>126</v>
      </c>
    </row>
    <row r="32" spans="2:15" x14ac:dyDescent="0.3">
      <c r="D32" s="19" t="s">
        <v>59</v>
      </c>
      <c r="E32" s="23" t="s">
        <v>127</v>
      </c>
      <c r="F32" s="23" t="s">
        <v>128</v>
      </c>
      <c r="G32" s="23" t="s">
        <v>129</v>
      </c>
    </row>
    <row r="33" spans="4:7" x14ac:dyDescent="0.3">
      <c r="D33" s="19" t="s">
        <v>69</v>
      </c>
      <c r="E33" s="23" t="s">
        <v>130</v>
      </c>
      <c r="F33" s="23" t="s">
        <v>131</v>
      </c>
      <c r="G33" s="23" t="s">
        <v>132</v>
      </c>
    </row>
    <row r="34" spans="4:7" x14ac:dyDescent="0.3">
      <c r="D34" s="19" t="s">
        <v>57</v>
      </c>
      <c r="E34" s="23" t="s">
        <v>133</v>
      </c>
      <c r="F34" s="23" t="s">
        <v>134</v>
      </c>
      <c r="G34" s="23" t="s">
        <v>135</v>
      </c>
    </row>
    <row r="35" spans="4:7" x14ac:dyDescent="0.3">
      <c r="D35" s="19" t="s">
        <v>55</v>
      </c>
      <c r="E35" s="23" t="s">
        <v>136</v>
      </c>
      <c r="F35" s="23" t="s">
        <v>137</v>
      </c>
      <c r="G35" s="23" t="s">
        <v>138</v>
      </c>
    </row>
    <row r="36" spans="4:7" x14ac:dyDescent="0.3">
      <c r="D36" s="15" t="s">
        <v>56</v>
      </c>
      <c r="E36" s="23" t="s">
        <v>139</v>
      </c>
      <c r="F36" s="23" t="s">
        <v>140</v>
      </c>
      <c r="G36" s="23" t="s">
        <v>141</v>
      </c>
    </row>
    <row r="37" spans="4:7" x14ac:dyDescent="0.3">
      <c r="D37" s="19" t="s">
        <v>37</v>
      </c>
      <c r="E37" s="23" t="s">
        <v>142</v>
      </c>
      <c r="F37" s="23" t="s">
        <v>143</v>
      </c>
      <c r="G37" s="23" t="s">
        <v>144</v>
      </c>
    </row>
    <row r="38" spans="4:7" x14ac:dyDescent="0.3">
      <c r="D38" s="19" t="s">
        <v>38</v>
      </c>
      <c r="E38" s="23" t="s">
        <v>145</v>
      </c>
      <c r="F38" s="24" t="s">
        <v>146</v>
      </c>
      <c r="G38" s="24" t="s">
        <v>147</v>
      </c>
    </row>
    <row r="39" spans="4:7" x14ac:dyDescent="0.3">
      <c r="D39" s="19" t="s">
        <v>39</v>
      </c>
      <c r="E39" s="23" t="s">
        <v>148</v>
      </c>
      <c r="F39" s="24" t="s">
        <v>149</v>
      </c>
      <c r="G39" s="24" t="s">
        <v>150</v>
      </c>
    </row>
    <row r="40" spans="4:7" x14ac:dyDescent="0.3">
      <c r="D40" s="34" t="s">
        <v>97</v>
      </c>
      <c r="E40" s="18"/>
      <c r="F40" s="18"/>
      <c r="G40" s="18"/>
    </row>
    <row r="41" spans="4:7" x14ac:dyDescent="0.3">
      <c r="D41" s="15" t="s">
        <v>60</v>
      </c>
      <c r="E41" s="23" t="s">
        <v>70</v>
      </c>
      <c r="F41" s="23" t="s">
        <v>71</v>
      </c>
      <c r="G41" s="23" t="s">
        <v>72</v>
      </c>
    </row>
    <row r="42" spans="4:7" x14ac:dyDescent="0.3">
      <c r="D42" s="19" t="s">
        <v>59</v>
      </c>
      <c r="E42" s="23" t="s">
        <v>73</v>
      </c>
      <c r="F42" s="23" t="s">
        <v>74</v>
      </c>
      <c r="G42" s="23" t="s">
        <v>75</v>
      </c>
    </row>
    <row r="43" spans="4:7" x14ac:dyDescent="0.3">
      <c r="D43" s="19" t="s">
        <v>69</v>
      </c>
      <c r="E43" s="23" t="s">
        <v>76</v>
      </c>
      <c r="F43" s="23" t="s">
        <v>77</v>
      </c>
      <c r="G43" s="23" t="s">
        <v>78</v>
      </c>
    </row>
    <row r="44" spans="4:7" x14ac:dyDescent="0.3">
      <c r="D44" s="19" t="s">
        <v>57</v>
      </c>
      <c r="E44" s="23" t="s">
        <v>151</v>
      </c>
      <c r="F44" s="23" t="s">
        <v>152</v>
      </c>
      <c r="G44" s="23" t="s">
        <v>153</v>
      </c>
    </row>
    <row r="45" spans="4:7" x14ac:dyDescent="0.3">
      <c r="D45" s="19" t="s">
        <v>55</v>
      </c>
      <c r="E45" s="23" t="s">
        <v>154</v>
      </c>
      <c r="F45" s="23" t="s">
        <v>155</v>
      </c>
      <c r="G45" s="23" t="s">
        <v>156</v>
      </c>
    </row>
    <row r="46" spans="4:7" x14ac:dyDescent="0.3">
      <c r="D46" s="15" t="s">
        <v>56</v>
      </c>
      <c r="E46" s="23" t="s">
        <v>157</v>
      </c>
      <c r="F46" s="23" t="s">
        <v>158</v>
      </c>
      <c r="G46" s="23" t="s">
        <v>159</v>
      </c>
    </row>
    <row r="47" spans="4:7" x14ac:dyDescent="0.3">
      <c r="D47" s="15" t="s">
        <v>37</v>
      </c>
      <c r="E47" s="23" t="s">
        <v>79</v>
      </c>
      <c r="F47" s="23" t="s">
        <v>80</v>
      </c>
      <c r="G47" s="23" t="s">
        <v>81</v>
      </c>
    </row>
    <row r="48" spans="4:7" x14ac:dyDescent="0.3">
      <c r="D48" s="15" t="s">
        <v>38</v>
      </c>
      <c r="E48" s="24" t="s">
        <v>82</v>
      </c>
      <c r="F48" s="24" t="s">
        <v>83</v>
      </c>
      <c r="G48" s="23" t="s">
        <v>84</v>
      </c>
    </row>
    <row r="49" spans="4:7" ht="15" thickBot="1" x14ac:dyDescent="0.35">
      <c r="D49" s="25" t="s">
        <v>39</v>
      </c>
      <c r="E49" s="31" t="s">
        <v>85</v>
      </c>
      <c r="F49" s="31" t="s">
        <v>86</v>
      </c>
      <c r="G49" s="31" t="s">
        <v>87</v>
      </c>
    </row>
    <row r="50" spans="4:7" x14ac:dyDescent="0.3">
      <c r="E50" s="16"/>
      <c r="F50" s="16"/>
      <c r="G50" s="16"/>
    </row>
    <row r="51" spans="4:7" x14ac:dyDescent="0.3">
      <c r="D51" s="15" t="s">
        <v>36</v>
      </c>
      <c r="E51" s="16"/>
      <c r="F51" s="16"/>
      <c r="G51" s="16"/>
    </row>
    <row r="52" spans="4:7" x14ac:dyDescent="0.3">
      <c r="D52" s="19" t="s">
        <v>92</v>
      </c>
      <c r="E52" s="16"/>
      <c r="F52" s="16"/>
      <c r="G52" s="16"/>
    </row>
    <row r="53" spans="4:7" ht="15" thickBot="1" x14ac:dyDescent="0.35">
      <c r="D53" s="29"/>
      <c r="E53" s="21" t="s">
        <v>2</v>
      </c>
      <c r="F53" s="21" t="s">
        <v>3</v>
      </c>
      <c r="G53" s="21" t="s">
        <v>4</v>
      </c>
    </row>
    <row r="54" spans="4:7" x14ac:dyDescent="0.3">
      <c r="D54" s="19" t="s">
        <v>2</v>
      </c>
      <c r="E54" s="24"/>
      <c r="F54" s="24" t="s">
        <v>88</v>
      </c>
      <c r="G54" s="24" t="s">
        <v>89</v>
      </c>
    </row>
    <row r="55" spans="4:7" x14ac:dyDescent="0.3">
      <c r="D55" s="19" t="s">
        <v>3</v>
      </c>
      <c r="E55" s="24" t="s">
        <v>88</v>
      </c>
      <c r="F55" s="24"/>
      <c r="G55" s="24" t="s">
        <v>90</v>
      </c>
    </row>
    <row r="56" spans="4:7" ht="15" thickBot="1" x14ac:dyDescent="0.35">
      <c r="D56" s="28" t="s">
        <v>4</v>
      </c>
      <c r="E56" s="30" t="s">
        <v>89</v>
      </c>
      <c r="F56" s="30" t="s">
        <v>90</v>
      </c>
      <c r="G56" s="30"/>
    </row>
    <row r="57" spans="4:7" x14ac:dyDescent="0.3">
      <c r="E57" s="18"/>
      <c r="F57" s="18"/>
      <c r="G57" s="18"/>
    </row>
    <row r="58" spans="4:7" x14ac:dyDescent="0.3">
      <c r="D58" s="19" t="s">
        <v>36</v>
      </c>
      <c r="E58" s="18"/>
      <c r="F58" s="18"/>
      <c r="G58" s="18"/>
    </row>
    <row r="59" spans="4:7" x14ac:dyDescent="0.3">
      <c r="D59" s="19" t="s">
        <v>96</v>
      </c>
      <c r="E59" s="18"/>
      <c r="F59" s="18"/>
      <c r="G59" s="18"/>
    </row>
    <row r="60" spans="4:7" ht="15" thickBot="1" x14ac:dyDescent="0.35">
      <c r="D60" s="29"/>
      <c r="E60" s="21" t="s">
        <v>2</v>
      </c>
      <c r="F60" s="21" t="s">
        <v>3</v>
      </c>
      <c r="G60" s="21" t="s">
        <v>4</v>
      </c>
    </row>
    <row r="61" spans="4:7" x14ac:dyDescent="0.3">
      <c r="D61" s="19" t="s">
        <v>2</v>
      </c>
      <c r="E61" s="22"/>
      <c r="F61" s="22" t="s">
        <v>93</v>
      </c>
      <c r="G61" s="22" t="s">
        <v>94</v>
      </c>
    </row>
    <row r="62" spans="4:7" x14ac:dyDescent="0.3">
      <c r="D62" s="19" t="s">
        <v>3</v>
      </c>
      <c r="E62" s="22" t="s">
        <v>93</v>
      </c>
      <c r="F62" s="22"/>
      <c r="G62" s="24" t="s">
        <v>95</v>
      </c>
    </row>
    <row r="63" spans="4:7" ht="15" thickBot="1" x14ac:dyDescent="0.35">
      <c r="D63" s="28" t="s">
        <v>4</v>
      </c>
      <c r="E63" s="26" t="s">
        <v>94</v>
      </c>
      <c r="F63" s="30" t="s">
        <v>95</v>
      </c>
      <c r="G63" s="26"/>
    </row>
    <row r="64" spans="4:7" x14ac:dyDescent="0.3">
      <c r="E64" s="18"/>
      <c r="F64" s="18"/>
      <c r="G64" s="18"/>
    </row>
    <row r="65" spans="4:9" x14ac:dyDescent="0.3">
      <c r="D65" s="19" t="s">
        <v>36</v>
      </c>
      <c r="E65" s="18"/>
      <c r="F65" s="18"/>
      <c r="G65" s="18"/>
    </row>
    <row r="66" spans="4:9" x14ac:dyDescent="0.3">
      <c r="D66" s="15" t="s">
        <v>167</v>
      </c>
      <c r="E66" s="18"/>
      <c r="F66" s="18"/>
      <c r="G66" s="18"/>
    </row>
    <row r="67" spans="4:9" ht="15" thickBot="1" x14ac:dyDescent="0.35">
      <c r="D67" s="29"/>
      <c r="E67" s="21" t="s">
        <v>166</v>
      </c>
      <c r="F67" s="18"/>
      <c r="G67" s="18"/>
    </row>
    <row r="68" spans="4:9" x14ac:dyDescent="0.3">
      <c r="D68" s="19" t="s">
        <v>2</v>
      </c>
      <c r="E68" s="24" t="s">
        <v>168</v>
      </c>
      <c r="F68" s="18"/>
      <c r="G68" s="18"/>
    </row>
    <row r="69" spans="4:9" x14ac:dyDescent="0.3">
      <c r="D69" s="19" t="s">
        <v>3</v>
      </c>
      <c r="E69" s="24" t="s">
        <v>169</v>
      </c>
      <c r="F69" s="18"/>
      <c r="G69" s="18"/>
    </row>
    <row r="70" spans="4:9" ht="15" thickBot="1" x14ac:dyDescent="0.35">
      <c r="D70" s="28" t="s">
        <v>4</v>
      </c>
      <c r="E70" s="31" t="s">
        <v>170</v>
      </c>
    </row>
    <row r="73" spans="4:9" x14ac:dyDescent="0.3">
      <c r="D73" s="15" t="s">
        <v>174</v>
      </c>
    </row>
    <row r="74" spans="4:9" ht="15" thickBot="1" x14ac:dyDescent="0.35">
      <c r="D74" s="44"/>
      <c r="E74" s="44" t="s">
        <v>166</v>
      </c>
      <c r="F74" s="44" t="s">
        <v>180</v>
      </c>
      <c r="G74" s="44" t="s">
        <v>181</v>
      </c>
      <c r="H74" s="44" t="s">
        <v>182</v>
      </c>
      <c r="I74" s="44" t="s">
        <v>183</v>
      </c>
    </row>
    <row r="75" spans="4:9" x14ac:dyDescent="0.3">
      <c r="D75" t="s">
        <v>175</v>
      </c>
      <c r="E75" s="2" t="s">
        <v>215</v>
      </c>
      <c r="F75" s="2" t="s">
        <v>216</v>
      </c>
      <c r="G75" s="2" t="s">
        <v>217</v>
      </c>
      <c r="H75" s="2" t="s">
        <v>218</v>
      </c>
      <c r="I75" s="2" t="s">
        <v>219</v>
      </c>
    </row>
    <row r="76" spans="4:9" x14ac:dyDescent="0.3">
      <c r="D76" t="s">
        <v>177</v>
      </c>
      <c r="E76" s="2" t="s">
        <v>220</v>
      </c>
      <c r="F76" t="s">
        <v>221</v>
      </c>
      <c r="G76" s="2" t="s">
        <v>222</v>
      </c>
      <c r="H76" s="2" t="s">
        <v>223</v>
      </c>
      <c r="I76" s="2" t="s">
        <v>224</v>
      </c>
    </row>
    <row r="77" spans="4:9" x14ac:dyDescent="0.3">
      <c r="D77" t="s">
        <v>176</v>
      </c>
      <c r="E77" s="2" t="s">
        <v>225</v>
      </c>
      <c r="F77" s="2" t="s">
        <v>226</v>
      </c>
      <c r="G77" s="2" t="s">
        <v>227</v>
      </c>
      <c r="H77" s="2" t="s">
        <v>228</v>
      </c>
      <c r="I77" s="2" t="s">
        <v>229</v>
      </c>
    </row>
    <row r="78" spans="4:9" x14ac:dyDescent="0.3">
      <c r="D78" t="s">
        <v>179</v>
      </c>
      <c r="E78" s="2" t="s">
        <v>230</v>
      </c>
      <c r="F78" s="2" t="s">
        <v>231</v>
      </c>
      <c r="G78" s="2" t="s">
        <v>232</v>
      </c>
      <c r="H78" s="2" t="s">
        <v>233</v>
      </c>
      <c r="I78" s="2" t="s">
        <v>234</v>
      </c>
    </row>
    <row r="79" spans="4:9" x14ac:dyDescent="0.3">
      <c r="D79" t="s">
        <v>37</v>
      </c>
      <c r="E79" t="s">
        <v>185</v>
      </c>
      <c r="F79" s="2" t="s">
        <v>184</v>
      </c>
      <c r="G79" s="2" t="s">
        <v>186</v>
      </c>
      <c r="H79" s="2" t="s">
        <v>187</v>
      </c>
      <c r="I79" t="s">
        <v>188</v>
      </c>
    </row>
    <row r="80" spans="4:9" ht="15" thickBot="1" x14ac:dyDescent="0.35">
      <c r="D80" s="45" t="s">
        <v>178</v>
      </c>
      <c r="E80" s="46" t="s">
        <v>189</v>
      </c>
      <c r="F80" s="46" t="s">
        <v>190</v>
      </c>
      <c r="G80" s="46" t="s">
        <v>191</v>
      </c>
      <c r="H80" s="46" t="s">
        <v>192</v>
      </c>
      <c r="I80" s="46" t="s">
        <v>193</v>
      </c>
    </row>
    <row r="82" spans="4:7" ht="15" thickBot="1" x14ac:dyDescent="0.35">
      <c r="D82" s="44"/>
      <c r="E82" s="47" t="s">
        <v>101</v>
      </c>
      <c r="F82" s="47" t="s">
        <v>56</v>
      </c>
      <c r="G82" s="47" t="s">
        <v>194</v>
      </c>
    </row>
    <row r="83" spans="4:7" x14ac:dyDescent="0.3">
      <c r="D83" s="48" t="s">
        <v>199</v>
      </c>
    </row>
    <row r="84" spans="4:7" x14ac:dyDescent="0.3">
      <c r="D84" t="s">
        <v>101</v>
      </c>
      <c r="E84" t="s">
        <v>197</v>
      </c>
      <c r="F84" s="2" t="s">
        <v>203</v>
      </c>
      <c r="G84" s="2" t="s">
        <v>195</v>
      </c>
    </row>
    <row r="85" spans="4:7" x14ac:dyDescent="0.3">
      <c r="D85" t="s">
        <v>56</v>
      </c>
      <c r="E85" s="2" t="s">
        <v>203</v>
      </c>
      <c r="F85" t="s">
        <v>197</v>
      </c>
      <c r="G85" s="2" t="s">
        <v>196</v>
      </c>
    </row>
    <row r="86" spans="4:7" x14ac:dyDescent="0.3">
      <c r="D86" t="s">
        <v>194</v>
      </c>
      <c r="E86" s="2" t="s">
        <v>195</v>
      </c>
      <c r="F86" s="2" t="s">
        <v>196</v>
      </c>
      <c r="G86" t="s">
        <v>197</v>
      </c>
    </row>
    <row r="87" spans="4:7" x14ac:dyDescent="0.3">
      <c r="D87" s="48" t="s">
        <v>198</v>
      </c>
    </row>
    <row r="88" spans="4:7" x14ac:dyDescent="0.3">
      <c r="D88" t="s">
        <v>101</v>
      </c>
      <c r="E88" t="s">
        <v>197</v>
      </c>
      <c r="F88" s="2" t="s">
        <v>200</v>
      </c>
      <c r="G88" s="2" t="s">
        <v>201</v>
      </c>
    </row>
    <row r="89" spans="4:7" x14ac:dyDescent="0.3">
      <c r="D89" t="s">
        <v>56</v>
      </c>
      <c r="E89" s="2" t="s">
        <v>200</v>
      </c>
      <c r="F89" t="s">
        <v>197</v>
      </c>
      <c r="G89" s="2" t="s">
        <v>202</v>
      </c>
    </row>
    <row r="90" spans="4:7" ht="15" thickBot="1" x14ac:dyDescent="0.35">
      <c r="D90" s="45" t="s">
        <v>194</v>
      </c>
      <c r="E90" s="46" t="s">
        <v>201</v>
      </c>
      <c r="F90" s="46" t="s">
        <v>202</v>
      </c>
      <c r="G90" s="46" t="s">
        <v>197</v>
      </c>
    </row>
    <row r="93" spans="4:7" x14ac:dyDescent="0.3">
      <c r="D93" t="s">
        <v>204</v>
      </c>
    </row>
    <row r="94" spans="4:7" ht="15" thickBot="1" x14ac:dyDescent="0.35">
      <c r="D94" s="20"/>
      <c r="E94" s="21" t="s">
        <v>2</v>
      </c>
      <c r="F94" s="21" t="s">
        <v>27</v>
      </c>
      <c r="G94" s="21" t="s">
        <v>28</v>
      </c>
    </row>
    <row r="95" spans="4:7" x14ac:dyDescent="0.3">
      <c r="D95" s="19" t="s">
        <v>60</v>
      </c>
      <c r="E95" s="22" t="s">
        <v>40</v>
      </c>
      <c r="F95" s="23" t="s">
        <v>41</v>
      </c>
      <c r="G95" s="23" t="s">
        <v>42</v>
      </c>
    </row>
    <row r="96" spans="4:7" x14ac:dyDescent="0.3">
      <c r="D96" s="19" t="s">
        <v>59</v>
      </c>
      <c r="E96" s="23" t="s">
        <v>44</v>
      </c>
      <c r="F96" s="23" t="s">
        <v>43</v>
      </c>
      <c r="G96" s="23" t="s">
        <v>45</v>
      </c>
    </row>
    <row r="97" spans="4:7" x14ac:dyDescent="0.3">
      <c r="D97" s="19" t="s">
        <v>58</v>
      </c>
      <c r="E97" s="23" t="s">
        <v>118</v>
      </c>
      <c r="F97" s="23" t="s">
        <v>119</v>
      </c>
      <c r="G97" s="23" t="s">
        <v>120</v>
      </c>
    </row>
    <row r="98" spans="4:7" x14ac:dyDescent="0.3">
      <c r="D98" s="15" t="s">
        <v>205</v>
      </c>
      <c r="E98" s="23" t="s">
        <v>206</v>
      </c>
      <c r="F98" s="23" t="s">
        <v>207</v>
      </c>
      <c r="G98" s="23" t="s">
        <v>208</v>
      </c>
    </row>
    <row r="99" spans="4:7" x14ac:dyDescent="0.3">
      <c r="D99" s="19" t="s">
        <v>55</v>
      </c>
      <c r="E99" s="43" t="s">
        <v>209</v>
      </c>
      <c r="F99" s="43" t="s">
        <v>210</v>
      </c>
      <c r="G99" s="23" t="s">
        <v>211</v>
      </c>
    </row>
    <row r="100" spans="4:7" x14ac:dyDescent="0.3">
      <c r="D100" s="19" t="s">
        <v>56</v>
      </c>
      <c r="E100" s="43" t="s">
        <v>212</v>
      </c>
      <c r="F100" s="23" t="s">
        <v>213</v>
      </c>
      <c r="G100" s="23" t="s">
        <v>214</v>
      </c>
    </row>
    <row r="101" spans="4:7" x14ac:dyDescent="0.3">
      <c r="D101" s="15" t="s">
        <v>37</v>
      </c>
      <c r="E101" s="23" t="s">
        <v>46</v>
      </c>
      <c r="F101" s="23" t="s">
        <v>47</v>
      </c>
      <c r="G101" s="23" t="s">
        <v>48</v>
      </c>
    </row>
    <row r="102" spans="4:7" x14ac:dyDescent="0.3">
      <c r="D102" s="15" t="s">
        <v>38</v>
      </c>
      <c r="E102" s="23" t="s">
        <v>49</v>
      </c>
      <c r="F102" s="24" t="s">
        <v>50</v>
      </c>
      <c r="G102" s="23" t="s">
        <v>51</v>
      </c>
    </row>
    <row r="103" spans="4:7" ht="15" thickBot="1" x14ac:dyDescent="0.35">
      <c r="D103" s="25" t="s">
        <v>39</v>
      </c>
      <c r="E103" s="26" t="s">
        <v>52</v>
      </c>
      <c r="F103" s="26" t="s">
        <v>53</v>
      </c>
      <c r="G103" s="26" t="s">
        <v>54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79"/>
  <sheetViews>
    <sheetView zoomScale="70" zoomScaleNormal="70" workbookViewId="0">
      <selection activeCell="J24" sqref="J24"/>
    </sheetView>
  </sheetViews>
  <sheetFormatPr baseColWidth="10" defaultRowHeight="14.4" x14ac:dyDescent="0.3"/>
  <cols>
    <col min="2" max="2" width="12.88671875" customWidth="1"/>
    <col min="3" max="3" width="13.44140625" customWidth="1"/>
    <col min="4" max="4" width="16.109375" customWidth="1"/>
    <col min="7" max="7" width="13.6640625" customWidth="1"/>
  </cols>
  <sheetData>
    <row r="2" spans="1:14" x14ac:dyDescent="0.3">
      <c r="A2" s="55" t="s">
        <v>103</v>
      </c>
      <c r="B2" s="55"/>
      <c r="C2" s="55"/>
      <c r="D2" s="55"/>
      <c r="E2" s="55"/>
      <c r="F2" s="55"/>
      <c r="G2" s="55"/>
      <c r="I2" s="55" t="s">
        <v>104</v>
      </c>
      <c r="J2" s="55"/>
      <c r="K2" s="55"/>
      <c r="L2" s="55"/>
      <c r="M2" s="55"/>
      <c r="N2" s="55"/>
    </row>
    <row r="3" spans="1:14" x14ac:dyDescent="0.3">
      <c r="A3" t="s">
        <v>1</v>
      </c>
      <c r="B3" s="1" t="s">
        <v>2</v>
      </c>
      <c r="C3" s="1" t="s">
        <v>3</v>
      </c>
      <c r="D3" s="1" t="s">
        <v>4</v>
      </c>
      <c r="E3" s="1" t="s">
        <v>56</v>
      </c>
      <c r="F3" s="1" t="s">
        <v>101</v>
      </c>
      <c r="G3" s="1" t="s">
        <v>102</v>
      </c>
      <c r="I3" s="1" t="s">
        <v>2</v>
      </c>
      <c r="J3" s="1" t="s">
        <v>3</v>
      </c>
      <c r="K3" s="1" t="s">
        <v>4</v>
      </c>
      <c r="L3" s="1" t="s">
        <v>56</v>
      </c>
      <c r="M3" s="1" t="s">
        <v>101</v>
      </c>
      <c r="N3" s="1" t="s">
        <v>102</v>
      </c>
    </row>
    <row r="4" spans="1:14" x14ac:dyDescent="0.3">
      <c r="A4">
        <v>2015</v>
      </c>
      <c r="B4" s="10">
        <v>-0.71653132817625442</v>
      </c>
      <c r="C4" s="10">
        <v>1.9923230853917773</v>
      </c>
      <c r="D4" s="10">
        <v>1.3006383421380991</v>
      </c>
      <c r="E4" s="10">
        <v>1.9175232482114162</v>
      </c>
      <c r="F4" s="10">
        <v>1.815654167434567</v>
      </c>
      <c r="G4" s="10">
        <v>-1.5695265427841629</v>
      </c>
      <c r="I4" s="10">
        <f>AVERAGE(B4:B6)</f>
        <v>-0.74131588230925816</v>
      </c>
      <c r="J4" s="10">
        <f t="shared" ref="J4:N4" si="0">AVERAGE(C4:C6)</f>
        <v>1.4714766424423891</v>
      </c>
      <c r="K4" s="10">
        <f t="shared" si="0"/>
        <v>0.67414610454397239</v>
      </c>
      <c r="L4" s="10">
        <f t="shared" si="0"/>
        <v>1.2400184402887584</v>
      </c>
      <c r="M4" s="10">
        <f t="shared" si="0"/>
        <v>1.1776607642434209</v>
      </c>
      <c r="N4" s="10">
        <f t="shared" si="0"/>
        <v>-0.50047721625785646</v>
      </c>
    </row>
    <row r="5" spans="1:14" x14ac:dyDescent="0.3">
      <c r="A5">
        <v>2014</v>
      </c>
      <c r="B5" s="10">
        <v>-0.45882181624321206</v>
      </c>
      <c r="C5" s="10">
        <v>-0.49613695935123758</v>
      </c>
      <c r="D5" s="10">
        <v>-1.2189005284376058</v>
      </c>
      <c r="E5" s="10">
        <v>1.0306287198335402</v>
      </c>
      <c r="F5" s="10">
        <v>0.94873371956895092</v>
      </c>
      <c r="G5" s="10"/>
      <c r="I5" s="10">
        <f>AVERAGE(B4:B7)</f>
        <v>-0.78416415865161848</v>
      </c>
      <c r="J5" s="10">
        <f t="shared" ref="J5:N5" si="1">AVERAGE(C4:C7)</f>
        <v>1.0867959541986263</v>
      </c>
      <c r="K5" s="10">
        <f t="shared" si="1"/>
        <v>0.207402136895738</v>
      </c>
      <c r="L5" s="10">
        <f t="shared" si="1"/>
        <v>0.8967185659364304</v>
      </c>
      <c r="M5" s="10">
        <f t="shared" si="1"/>
        <v>0.84740535553271013</v>
      </c>
      <c r="N5" s="10">
        <f t="shared" si="1"/>
        <v>-0.24563004489114423</v>
      </c>
    </row>
    <row r="6" spans="1:14" x14ac:dyDescent="0.3">
      <c r="A6">
        <v>2013</v>
      </c>
      <c r="B6" s="10">
        <v>-1.0485945025083079</v>
      </c>
      <c r="C6" s="10">
        <v>2.9182438012866276</v>
      </c>
      <c r="D6" s="10">
        <v>1.9407004999314239</v>
      </c>
      <c r="E6" s="10">
        <v>0.77190335282131872</v>
      </c>
      <c r="F6" s="10">
        <v>0.76859440572674509</v>
      </c>
      <c r="G6" s="10">
        <v>0.56857211026845</v>
      </c>
      <c r="I6" s="10">
        <f>AVERAGE(B4:B8)</f>
        <v>-0.66639457402199309</v>
      </c>
      <c r="J6" s="10">
        <f t="shared" ref="J6:N21" si="2">AVERAGE(C4:C8)</f>
        <v>0.90836026859060071</v>
      </c>
      <c r="K6" s="10">
        <f t="shared" si="2"/>
        <v>0.1314838872783719</v>
      </c>
      <c r="L6" s="10">
        <f t="shared" si="2"/>
        <v>0.26430882325448446</v>
      </c>
      <c r="M6" s="10">
        <f t="shared" si="2"/>
        <v>0.28221825835278913</v>
      </c>
      <c r="N6" s="10">
        <f t="shared" si="2"/>
        <v>5.3990539252198738E-2</v>
      </c>
    </row>
    <row r="7" spans="1:14" x14ac:dyDescent="0.3">
      <c r="A7">
        <v>2012</v>
      </c>
      <c r="B7" s="10">
        <v>-0.91270898767869957</v>
      </c>
      <c r="C7" s="10">
        <v>-6.7246110532661996E-2</v>
      </c>
      <c r="D7" s="10">
        <v>-1.1928297660489651</v>
      </c>
      <c r="E7" s="10">
        <v>-0.13318105712055359</v>
      </c>
      <c r="F7" s="10">
        <v>-0.14336087059942237</v>
      </c>
      <c r="G7" s="10">
        <v>0.26406429784228025</v>
      </c>
      <c r="I7" s="10">
        <f t="shared" ref="I7:I67" si="3">AVERAGE(B5:B9)</f>
        <v>-0.29544160886174092</v>
      </c>
      <c r="J7" s="10">
        <f t="shared" si="2"/>
        <v>0.34262163327347384</v>
      </c>
      <c r="K7" s="10">
        <f t="shared" si="2"/>
        <v>-0.21002883613977175</v>
      </c>
      <c r="L7" s="10">
        <f t="shared" si="2"/>
        <v>-0.39174106157310229</v>
      </c>
      <c r="M7" s="10">
        <f t="shared" si="2"/>
        <v>-0.26720664886593892</v>
      </c>
      <c r="N7" s="10">
        <f t="shared" si="2"/>
        <v>0.71396196511523602</v>
      </c>
    </row>
    <row r="8" spans="1:14" x14ac:dyDescent="0.3">
      <c r="A8">
        <v>2011</v>
      </c>
      <c r="B8" s="10">
        <v>-0.19531623550349139</v>
      </c>
      <c r="C8" s="10">
        <v>0.19461752615849856</v>
      </c>
      <c r="D8" s="10">
        <v>-0.17218911119109248</v>
      </c>
      <c r="E8" s="10">
        <v>-2.2653301474732994</v>
      </c>
      <c r="F8" s="10">
        <v>-1.978530130366895</v>
      </c>
      <c r="G8" s="10">
        <v>0.95285229168222763</v>
      </c>
      <c r="I8" s="10">
        <f t="shared" si="3"/>
        <v>-0.18328520256309441</v>
      </c>
      <c r="J8" s="10">
        <f t="shared" si="2"/>
        <v>0.31952751064477986</v>
      </c>
      <c r="K8" s="10">
        <f t="shared" si="2"/>
        <v>-7.5814762017899912E-2</v>
      </c>
      <c r="L8" s="10">
        <f t="shared" si="2"/>
        <v>-0.56264103236564567</v>
      </c>
      <c r="M8" s="10">
        <f t="shared" si="2"/>
        <v>-0.52840865393713743</v>
      </c>
      <c r="N8" s="10">
        <f t="shared" si="2"/>
        <v>0.84663376416622671</v>
      </c>
    </row>
    <row r="9" spans="1:14" x14ac:dyDescent="0.3">
      <c r="A9">
        <v>2010</v>
      </c>
      <c r="B9" s="10">
        <v>1.1382334976250064</v>
      </c>
      <c r="C9" s="10">
        <v>-0.83637009119385763</v>
      </c>
      <c r="D9" s="10">
        <v>-0.40692527495261926</v>
      </c>
      <c r="E9" s="10">
        <v>-1.3627261759265172</v>
      </c>
      <c r="F9" s="10">
        <v>-0.93147036865907318</v>
      </c>
      <c r="G9" s="10">
        <v>1.0703591606679861</v>
      </c>
      <c r="I9" s="10">
        <f t="shared" si="3"/>
        <v>-3.5640483716370873E-2</v>
      </c>
      <c r="J9" s="10">
        <f t="shared" si="2"/>
        <v>-0.29823160793314557</v>
      </c>
      <c r="K9" s="10">
        <f t="shared" si="2"/>
        <v>-0.55251169657654653</v>
      </c>
      <c r="L9" s="10">
        <f t="shared" si="2"/>
        <v>-1.1186167735354562</v>
      </c>
      <c r="M9" s="10">
        <f t="shared" si="2"/>
        <v>-1.0575678883486173</v>
      </c>
      <c r="N9" s="10">
        <f t="shared" si="2"/>
        <v>0.49578471375929334</v>
      </c>
    </row>
    <row r="10" spans="1:14" x14ac:dyDescent="0.3">
      <c r="A10">
        <v>2009</v>
      </c>
      <c r="B10" s="10">
        <v>0.10196021525002041</v>
      </c>
      <c r="C10" s="10">
        <v>-0.61160757249470699</v>
      </c>
      <c r="D10" s="10">
        <v>-0.54783015782824662</v>
      </c>
      <c r="E10" s="10">
        <v>0.17612886587082352</v>
      </c>
      <c r="F10" s="10">
        <v>-0.35727630578704189</v>
      </c>
      <c r="G10" s="10">
        <v>1.3773209603701901</v>
      </c>
      <c r="I10" s="10">
        <f t="shared" si="3"/>
        <v>-8.9660203125302207E-2</v>
      </c>
      <c r="J10" s="10">
        <f t="shared" si="2"/>
        <v>-0.28226320975614433</v>
      </c>
      <c r="K10" s="10">
        <f t="shared" si="2"/>
        <v>-0.49219698734399342</v>
      </c>
      <c r="L10" s="10">
        <f t="shared" si="2"/>
        <v>-1.3484483851886517</v>
      </c>
      <c r="M10" s="10">
        <f t="shared" si="2"/>
        <v>-1.2782385478053198</v>
      </c>
      <c r="N10" s="10">
        <f t="shared" si="2"/>
        <v>0.42353790575152395</v>
      </c>
    </row>
    <row r="11" spans="1:14" x14ac:dyDescent="0.3">
      <c r="A11">
        <v>2008</v>
      </c>
      <c r="B11" s="10">
        <v>-0.31037090827469016</v>
      </c>
      <c r="C11" s="10">
        <v>-0.17055179160299971</v>
      </c>
      <c r="D11" s="10">
        <v>-0.44278417286180927</v>
      </c>
      <c r="E11" s="10">
        <v>-2.0079753530277347</v>
      </c>
      <c r="F11" s="10">
        <v>-1.8772017663306542</v>
      </c>
      <c r="G11" s="10">
        <v>-1.1856731417662174</v>
      </c>
      <c r="I11" s="10">
        <f t="shared" si="3"/>
        <v>-0.20044390380399396</v>
      </c>
      <c r="J11" s="10">
        <f t="shared" si="2"/>
        <v>-0.31175162104732135</v>
      </c>
      <c r="K11" s="10">
        <f t="shared" si="2"/>
        <v>-0.55868806510922864</v>
      </c>
      <c r="L11" s="10">
        <f t="shared" si="2"/>
        <v>-1.0204793085044774</v>
      </c>
      <c r="M11" s="10">
        <f t="shared" si="2"/>
        <v>-1.0755818197328382</v>
      </c>
      <c r="N11" s="10">
        <f t="shared" si="2"/>
        <v>0.13814274205203297</v>
      </c>
    </row>
    <row r="12" spans="1:14" x14ac:dyDescent="0.3">
      <c r="A12">
        <v>2007</v>
      </c>
      <c r="B12" s="10">
        <v>-1.1828075847233561</v>
      </c>
      <c r="C12" s="10">
        <v>1.2595880352343982E-2</v>
      </c>
      <c r="D12" s="10">
        <v>-0.89125621988619919</v>
      </c>
      <c r="E12" s="10">
        <v>-1.2823391153865307</v>
      </c>
      <c r="F12" s="10">
        <v>-1.2467141678829337</v>
      </c>
      <c r="G12" s="10">
        <v>-9.7169742196566489E-2</v>
      </c>
      <c r="I12" s="10">
        <f t="shared" si="3"/>
        <v>-0.64965448428969985</v>
      </c>
      <c r="J12" s="10">
        <f t="shared" si="2"/>
        <v>4.8619092970779085E-2</v>
      </c>
      <c r="K12" s="10">
        <f t="shared" si="2"/>
        <v>-0.49897603099378485</v>
      </c>
      <c r="L12" s="10">
        <f t="shared" si="2"/>
        <v>-0.75202585577457426</v>
      </c>
      <c r="M12" s="10">
        <f t="shared" si="2"/>
        <v>-0.97650519711962469</v>
      </c>
      <c r="N12" s="10">
        <f t="shared" si="2"/>
        <v>0.14855618371033513</v>
      </c>
    </row>
    <row r="13" spans="1:14" x14ac:dyDescent="0.3">
      <c r="A13">
        <v>2006</v>
      </c>
      <c r="B13" s="10">
        <v>-0.74923473889695036</v>
      </c>
      <c r="C13" s="10">
        <v>4.7175469702613528E-2</v>
      </c>
      <c r="D13" s="10">
        <v>-0.50464450001726902</v>
      </c>
      <c r="E13" s="10">
        <v>-0.62548476405242825</v>
      </c>
      <c r="F13" s="10">
        <v>-0.96524649000448681</v>
      </c>
      <c r="G13" s="10">
        <v>-0.47412352681522718</v>
      </c>
      <c r="I13" s="10">
        <f t="shared" si="3"/>
        <v>-0.71242407572973154</v>
      </c>
      <c r="J13" s="10">
        <f t="shared" si="2"/>
        <v>0.21061864646291548</v>
      </c>
      <c r="K13" s="10">
        <f t="shared" si="2"/>
        <v>-0.40916888733507661</v>
      </c>
      <c r="L13" s="10">
        <f t="shared" si="2"/>
        <v>-0.70905840580989121</v>
      </c>
      <c r="M13" s="10">
        <f t="shared" si="2"/>
        <v>-0.90670121300576978</v>
      </c>
      <c r="N13" s="10">
        <f t="shared" si="2"/>
        <v>0.15869933111794365</v>
      </c>
    </row>
    <row r="14" spans="1:14" x14ac:dyDescent="0.3">
      <c r="A14">
        <v>2005</v>
      </c>
      <c r="B14" s="10">
        <v>-1.1078194048035235</v>
      </c>
      <c r="C14" s="10">
        <v>0.96548347889664465</v>
      </c>
      <c r="D14" s="10">
        <v>-0.10836510437539988</v>
      </c>
      <c r="E14" s="10">
        <v>-2.0458912277001324E-2</v>
      </c>
      <c r="F14" s="10">
        <v>-0.43608725559300698</v>
      </c>
      <c r="G14" s="10">
        <v>1.1224263689594967</v>
      </c>
      <c r="I14" s="10">
        <f t="shared" si="3"/>
        <v>-0.9202332920046995</v>
      </c>
      <c r="J14" s="10">
        <f t="shared" si="2"/>
        <v>0.33096678142177083</v>
      </c>
      <c r="K14" s="10">
        <f t="shared" si="2"/>
        <v>-0.47025253596998084</v>
      </c>
      <c r="L14" s="10">
        <f t="shared" si="2"/>
        <v>-0.17501927447053475</v>
      </c>
      <c r="M14" s="10">
        <f t="shared" si="2"/>
        <v>-0.45860466982328268</v>
      </c>
      <c r="N14" s="10">
        <f t="shared" si="2"/>
        <v>0.14013438389924934</v>
      </c>
    </row>
    <row r="15" spans="1:14" x14ac:dyDescent="0.3">
      <c r="A15">
        <v>2004</v>
      </c>
      <c r="B15" s="10">
        <v>-0.21188774195013793</v>
      </c>
      <c r="C15" s="10">
        <v>0.1983901949659751</v>
      </c>
      <c r="D15" s="10">
        <v>-9.8794439534705944E-2</v>
      </c>
      <c r="E15" s="10">
        <v>0.39096611569423834</v>
      </c>
      <c r="F15" s="10">
        <v>-8.2563852177679406E-3</v>
      </c>
      <c r="G15" s="10">
        <v>1.4280366974082326</v>
      </c>
      <c r="I15" s="10">
        <f t="shared" si="3"/>
        <v>-1.0535858624236916</v>
      </c>
      <c r="J15" s="10">
        <f t="shared" si="2"/>
        <v>0.4445241125271478</v>
      </c>
      <c r="K15" s="10">
        <f t="shared" si="2"/>
        <v>-0.4990376963962847</v>
      </c>
      <c r="L15" s="10">
        <f t="shared" si="2"/>
        <v>0.3361149077249691</v>
      </c>
      <c r="M15" s="10">
        <f t="shared" si="2"/>
        <v>-6.6801662216484842E-2</v>
      </c>
      <c r="N15" s="10">
        <f t="shared" si="2"/>
        <v>-5.2891276128990986E-2</v>
      </c>
    </row>
    <row r="16" spans="1:14" x14ac:dyDescent="0.3">
      <c r="A16">
        <v>2003</v>
      </c>
      <c r="B16" s="10">
        <v>-1.3494169896495305</v>
      </c>
      <c r="C16" s="10">
        <v>0.43118888319127696</v>
      </c>
      <c r="D16" s="10">
        <v>-0.7482024160363302</v>
      </c>
      <c r="E16" s="10">
        <v>0.66222030366904827</v>
      </c>
      <c r="F16" s="10">
        <v>0.36328094958178175</v>
      </c>
      <c r="G16" s="10">
        <v>-1.2784978778596889</v>
      </c>
      <c r="I16" s="10">
        <f t="shared" si="3"/>
        <v>-1.2601696831134206</v>
      </c>
      <c r="J16" s="10">
        <f t="shared" si="2"/>
        <v>0.82367347801761248</v>
      </c>
      <c r="K16" s="10">
        <f t="shared" si="2"/>
        <v>-0.33776016529258801</v>
      </c>
      <c r="L16" s="10">
        <f t="shared" si="2"/>
        <v>0.76219761339548453</v>
      </c>
      <c r="M16" s="10">
        <f t="shared" si="2"/>
        <v>0.31599437969820265</v>
      </c>
      <c r="N16" s="10">
        <f t="shared" si="2"/>
        <v>-5.3111779333504236E-2</v>
      </c>
    </row>
    <row r="17" spans="1:14" x14ac:dyDescent="0.3">
      <c r="A17">
        <v>2002</v>
      </c>
      <c r="B17" s="10">
        <v>-1.8495704368183157</v>
      </c>
      <c r="C17" s="10">
        <v>0.58038253587922906</v>
      </c>
      <c r="D17" s="10">
        <v>-1.0351820220177181</v>
      </c>
      <c r="E17" s="10">
        <v>1.2733317955909884</v>
      </c>
      <c r="F17" s="10">
        <v>0.7123008701510557</v>
      </c>
      <c r="G17" s="10">
        <v>-1.0622980423377681</v>
      </c>
      <c r="I17" s="10">
        <f t="shared" si="3"/>
        <v>-1.3017868246107411</v>
      </c>
      <c r="J17" s="10">
        <f t="shared" si="2"/>
        <v>0.9648232618553001</v>
      </c>
      <c r="K17" s="10">
        <f t="shared" si="2"/>
        <v>-0.18939632823282224</v>
      </c>
      <c r="L17" s="10">
        <f t="shared" si="2"/>
        <v>0.58149059998739761</v>
      </c>
      <c r="M17" s="10">
        <f t="shared" si="2"/>
        <v>0.15837248008627253</v>
      </c>
      <c r="N17" s="10">
        <f t="shared" si="2"/>
        <v>-0.41317217328381284</v>
      </c>
    </row>
    <row r="18" spans="1:14" x14ac:dyDescent="0.3">
      <c r="A18">
        <v>2001</v>
      </c>
      <c r="B18" s="10">
        <v>-1.7821538423455949</v>
      </c>
      <c r="C18" s="10">
        <v>1.9429222971549369</v>
      </c>
      <c r="D18" s="10">
        <v>0.30174315550121394</v>
      </c>
      <c r="E18" s="10">
        <v>1.5049287643001492</v>
      </c>
      <c r="F18" s="10">
        <v>0.94873371956895092</v>
      </c>
      <c r="G18" s="10">
        <v>-0.47522604283779335</v>
      </c>
      <c r="I18" s="10">
        <f t="shared" si="3"/>
        <v>-1.3777032859323251</v>
      </c>
      <c r="J18" s="10">
        <f t="shared" si="2"/>
        <v>0.98575579924378154</v>
      </c>
      <c r="K18" s="10">
        <f t="shared" si="2"/>
        <v>-0.20527415274498942</v>
      </c>
      <c r="L18" s="10">
        <f t="shared" si="2"/>
        <v>6.5191444869504428E-2</v>
      </c>
      <c r="M18" s="10">
        <f t="shared" si="2"/>
        <v>-0.26495490744291134</v>
      </c>
      <c r="N18" s="10">
        <f t="shared" si="2"/>
        <v>-0.82500102924854946</v>
      </c>
    </row>
    <row r="19" spans="1:14" x14ac:dyDescent="0.3">
      <c r="A19">
        <v>2000</v>
      </c>
      <c r="B19" s="10">
        <v>-1.315905112290126</v>
      </c>
      <c r="C19" s="10">
        <v>1.6712323980850827</v>
      </c>
      <c r="D19" s="10">
        <v>0.63345408092342903</v>
      </c>
      <c r="E19" s="10">
        <v>-0.92399397931743577</v>
      </c>
      <c r="F19" s="10">
        <v>-1.2241967536526579</v>
      </c>
      <c r="G19" s="10">
        <v>-0.67787560079204645</v>
      </c>
      <c r="I19" s="10">
        <f t="shared" si="3"/>
        <v>-1.3223806205734454</v>
      </c>
      <c r="J19" s="10">
        <f t="shared" si="2"/>
        <v>1.0749428447513647</v>
      </c>
      <c r="K19" s="10">
        <f t="shared" si="2"/>
        <v>-6.5288611199916621E-2</v>
      </c>
      <c r="L19" s="10">
        <f t="shared" si="2"/>
        <v>-1.8730799040782169E-2</v>
      </c>
      <c r="M19" s="10">
        <f t="shared" si="2"/>
        <v>-0.32350018444162837</v>
      </c>
      <c r="N19" s="10">
        <f t="shared" si="2"/>
        <v>-0.48943783001900076</v>
      </c>
    </row>
    <row r="20" spans="1:14" x14ac:dyDescent="0.3">
      <c r="A20">
        <v>1999</v>
      </c>
      <c r="B20" s="10">
        <v>-0.59147004855805874</v>
      </c>
      <c r="C20" s="10">
        <v>0.30305288190838181</v>
      </c>
      <c r="D20" s="10">
        <v>-0.17818356209554165</v>
      </c>
      <c r="E20" s="10">
        <v>-2.190529659895228</v>
      </c>
      <c r="F20" s="10">
        <v>-2.1248933228636875</v>
      </c>
      <c r="G20" s="10">
        <v>-0.63110758241545062</v>
      </c>
      <c r="I20" s="10">
        <f t="shared" si="3"/>
        <v>-1.1085901657488562</v>
      </c>
      <c r="J20" s="10">
        <f t="shared" si="2"/>
        <v>1.1768299253568135</v>
      </c>
      <c r="K20" s="10">
        <f t="shared" si="2"/>
        <v>0.15117312934530505</v>
      </c>
      <c r="L20" s="10">
        <f t="shared" si="2"/>
        <v>0.1012568701588398</v>
      </c>
      <c r="M20" s="10">
        <f t="shared" si="2"/>
        <v>-0.2176683375593324</v>
      </c>
      <c r="N20" s="10">
        <f t="shared" si="2"/>
        <v>-0.28473261315815657</v>
      </c>
    </row>
    <row r="21" spans="1:14" x14ac:dyDescent="0.3">
      <c r="A21">
        <v>1998</v>
      </c>
      <c r="B21" s="10">
        <v>-1.0728036628551312</v>
      </c>
      <c r="C21" s="10">
        <v>0.87712411072919294</v>
      </c>
      <c r="D21" s="10">
        <v>-4.8274708310966363E-2</v>
      </c>
      <c r="E21" s="10">
        <v>0.24260908411761559</v>
      </c>
      <c r="F21" s="10">
        <v>7.0554564588197144E-2</v>
      </c>
      <c r="G21" s="10">
        <v>0.39931811828805502</v>
      </c>
      <c r="I21" s="10">
        <f t="shared" si="3"/>
        <v>-0.86183767200438288</v>
      </c>
      <c r="J21" s="10">
        <f t="shared" si="2"/>
        <v>0.74465916447290859</v>
      </c>
      <c r="K21" s="10">
        <f t="shared" si="2"/>
        <v>-9.7910449089996132E-2</v>
      </c>
      <c r="L21" s="10">
        <f t="shared" si="2"/>
        <v>-0.4076680086493254</v>
      </c>
      <c r="M21" s="10">
        <f t="shared" si="2"/>
        <v>-0.66576488074181961</v>
      </c>
      <c r="N21" s="10">
        <f t="shared" si="2"/>
        <v>-0.43445428902263794</v>
      </c>
    </row>
    <row r="22" spans="1:14" x14ac:dyDescent="0.3">
      <c r="A22">
        <v>1997</v>
      </c>
      <c r="B22" s="10">
        <v>-0.78061816269536977</v>
      </c>
      <c r="C22" s="10">
        <v>1.0898179389064735</v>
      </c>
      <c r="D22" s="10">
        <v>4.7126680708390205E-2</v>
      </c>
      <c r="E22" s="10">
        <v>1.8732701415890978</v>
      </c>
      <c r="F22" s="10">
        <v>1.2414601045625355</v>
      </c>
      <c r="G22" s="10">
        <v>-3.8771958033547257E-2</v>
      </c>
      <c r="I22" s="10">
        <f t="shared" si="3"/>
        <v>-0.55208478274900674</v>
      </c>
      <c r="J22" s="10">
        <f t="shared" ref="J22:J67" si="4">AVERAGE(C20:C24)</f>
        <v>0.51530014928786705</v>
      </c>
      <c r="K22" s="10">
        <f t="shared" ref="K22:K67" si="5">AVERAGE(D20:D24)</f>
        <v>-8.5951543090023147E-2</v>
      </c>
      <c r="L22" s="10">
        <f t="shared" ref="L22:L68" si="6">AVERAGE(E20:E24)</f>
        <v>-0.16801594660547772</v>
      </c>
      <c r="M22" s="10">
        <f t="shared" ref="M22:M46" si="7">AVERAGE(F20:F24)</f>
        <v>-0.46761163551539298</v>
      </c>
      <c r="N22" s="10">
        <f t="shared" ref="N22:N44" si="8">AVERAGE(G20:G24)</f>
        <v>-0.34361408176978547</v>
      </c>
    </row>
    <row r="23" spans="1:14" x14ac:dyDescent="0.3">
      <c r="A23">
        <v>1996</v>
      </c>
      <c r="B23" s="10">
        <v>-0.54839137362322909</v>
      </c>
      <c r="C23" s="10">
        <v>-0.21793150726458765</v>
      </c>
      <c r="D23" s="10">
        <v>-0.94367473667529189</v>
      </c>
      <c r="E23" s="10">
        <v>-1.0396956297406763</v>
      </c>
      <c r="F23" s="10">
        <v>-1.2917489963434849</v>
      </c>
      <c r="G23" s="10">
        <v>-1.2238344221602002</v>
      </c>
      <c r="I23" s="10">
        <f t="shared" si="3"/>
        <v>-0.38338089104442707</v>
      </c>
      <c r="J23" s="10">
        <f t="shared" si="4"/>
        <v>0.54904436197368578</v>
      </c>
      <c r="K23" s="10">
        <f t="shared" si="5"/>
        <v>7.1375427197406166E-2</v>
      </c>
      <c r="L23" s="10">
        <f t="shared" si="6"/>
        <v>0.20820920244732594</v>
      </c>
      <c r="M23" s="10">
        <f t="shared" si="7"/>
        <v>-0.10057778356189846</v>
      </c>
      <c r="N23" s="10">
        <f t="shared" si="8"/>
        <v>-0.47262268242321781</v>
      </c>
    </row>
    <row r="24" spans="1:14" x14ac:dyDescent="0.3">
      <c r="A24">
        <v>1995</v>
      </c>
      <c r="B24" s="10">
        <v>0.23285933398675493</v>
      </c>
      <c r="C24" s="10">
        <v>0.52443732215987526</v>
      </c>
      <c r="D24" s="10">
        <v>0.69324861092329404</v>
      </c>
      <c r="E24" s="10">
        <v>0.2742663309018023</v>
      </c>
      <c r="F24" s="10">
        <v>-0.23343052752052532</v>
      </c>
      <c r="G24" s="10">
        <v>-0.22367456452778417</v>
      </c>
      <c r="I24" s="10">
        <f t="shared" si="3"/>
        <v>-0.10927278856222186</v>
      </c>
      <c r="J24" s="10">
        <f t="shared" si="4"/>
        <v>0.5620504452045425</v>
      </c>
      <c r="K24" s="10">
        <f t="shared" si="5"/>
        <v>0.31059611290701394</v>
      </c>
      <c r="L24" s="10">
        <f t="shared" si="6"/>
        <v>0.20747624407472259</v>
      </c>
      <c r="M24" s="10">
        <f t="shared" si="7"/>
        <v>-3.3025540871071235E-2</v>
      </c>
      <c r="N24" s="10">
        <f t="shared" si="8"/>
        <v>-0.41800901776990945</v>
      </c>
    </row>
    <row r="25" spans="1:14" x14ac:dyDescent="0.3">
      <c r="A25">
        <v>1994</v>
      </c>
      <c r="B25" s="10">
        <v>0.25204940996483949</v>
      </c>
      <c r="C25" s="10">
        <v>0.47177394533747435</v>
      </c>
      <c r="D25" s="10">
        <v>0.60845128934160486</v>
      </c>
      <c r="E25" s="10">
        <v>-0.30940391463120975</v>
      </c>
      <c r="F25" s="10">
        <v>-0.28972406309621468</v>
      </c>
      <c r="G25" s="10">
        <v>-1.2761505856826125</v>
      </c>
      <c r="I25" s="10">
        <f t="shared" si="3"/>
        <v>5.4306286896513276E-2</v>
      </c>
      <c r="J25" s="10">
        <f t="shared" si="4"/>
        <v>0.14753615930604039</v>
      </c>
      <c r="K25" s="10">
        <f t="shared" si="5"/>
        <v>0.11286209557021201</v>
      </c>
      <c r="L25" s="10">
        <f t="shared" si="6"/>
        <v>0.14455802474844776</v>
      </c>
      <c r="M25" s="10">
        <f t="shared" si="7"/>
        <v>7.7309788857279876E-2</v>
      </c>
      <c r="N25" s="10">
        <f t="shared" si="8"/>
        <v>-0.49474413294051256</v>
      </c>
    </row>
    <row r="26" spans="1:14" x14ac:dyDescent="0.3">
      <c r="A26">
        <v>1993</v>
      </c>
      <c r="B26" s="10">
        <v>0.29773684955589524</v>
      </c>
      <c r="C26" s="10">
        <v>0.94215452688347734</v>
      </c>
      <c r="D26" s="10">
        <v>1.1478287202370723</v>
      </c>
      <c r="E26" s="10">
        <v>0.23894429225459909</v>
      </c>
      <c r="F26" s="10">
        <v>0.40831577804233321</v>
      </c>
      <c r="G26" s="10">
        <v>0.67238644155459693</v>
      </c>
      <c r="I26" s="10">
        <f t="shared" si="3"/>
        <v>7.5726434868730819E-2</v>
      </c>
      <c r="J26" s="10">
        <f t="shared" si="4"/>
        <v>0.18015242101171297</v>
      </c>
      <c r="K26" s="10">
        <f t="shared" si="5"/>
        <v>0.25654898012356492</v>
      </c>
      <c r="L26" s="10">
        <f t="shared" si="6"/>
        <v>0.47628872722697829</v>
      </c>
      <c r="M26" s="10">
        <f t="shared" si="7"/>
        <v>0.59295857473059432</v>
      </c>
      <c r="N26" s="10">
        <f t="shared" si="8"/>
        <v>-0.12378661288329218</v>
      </c>
    </row>
    <row r="27" spans="1:14" x14ac:dyDescent="0.3">
      <c r="A27">
        <v>1992</v>
      </c>
      <c r="B27" s="10">
        <v>3.727721459830579E-2</v>
      </c>
      <c r="C27" s="10">
        <v>-0.98275349058603734</v>
      </c>
      <c r="D27" s="10">
        <v>-0.94154340597561925</v>
      </c>
      <c r="E27" s="10">
        <v>1.5586790449577235</v>
      </c>
      <c r="F27" s="10">
        <v>1.7931367532042912</v>
      </c>
      <c r="G27" s="10">
        <v>-0.42244753388656281</v>
      </c>
      <c r="I27" s="10">
        <f t="shared" si="3"/>
        <v>-0.13610919830507942</v>
      </c>
      <c r="J27" s="10">
        <f t="shared" si="4"/>
        <v>-0.17736569342837574</v>
      </c>
      <c r="K27" s="10">
        <f t="shared" si="5"/>
        <v>-0.24958110041300388</v>
      </c>
      <c r="L27" s="10">
        <f t="shared" si="6"/>
        <v>0.4373316917725556</v>
      </c>
      <c r="M27" s="10">
        <f t="shared" si="7"/>
        <v>0.7821048542649105</v>
      </c>
      <c r="N27" s="10">
        <f t="shared" si="8"/>
        <v>-9.8814624972169168E-2</v>
      </c>
    </row>
    <row r="28" spans="1:14" x14ac:dyDescent="0.3">
      <c r="A28">
        <v>1991</v>
      </c>
      <c r="B28" s="10">
        <v>-0.44129063376214134</v>
      </c>
      <c r="C28" s="10">
        <v>-5.4850198736224799E-2</v>
      </c>
      <c r="D28" s="10">
        <v>-0.22524031390852736</v>
      </c>
      <c r="E28" s="10">
        <v>0.61895788265197627</v>
      </c>
      <c r="F28" s="10">
        <v>1.286494933023087</v>
      </c>
      <c r="G28" s="10">
        <v>0.63095317812590179</v>
      </c>
      <c r="I28" s="10">
        <f t="shared" si="3"/>
        <v>-0.41803066303783842</v>
      </c>
      <c r="J28" s="10">
        <f t="shared" si="4"/>
        <v>-0.23477955321904836</v>
      </c>
      <c r="K28" s="10">
        <f t="shared" si="5"/>
        <v>-0.55888861636170906</v>
      </c>
      <c r="L28" s="10">
        <f t="shared" si="6"/>
        <v>0.32195033819913155</v>
      </c>
      <c r="M28" s="10">
        <f t="shared" si="7"/>
        <v>0.77534962999582768</v>
      </c>
      <c r="N28" s="10">
        <f t="shared" si="8"/>
        <v>0.13274930479970554</v>
      </c>
    </row>
    <row r="29" spans="1:14" x14ac:dyDescent="0.3">
      <c r="A29">
        <v>1990</v>
      </c>
      <c r="B29" s="10">
        <v>-0.82631883188229638</v>
      </c>
      <c r="C29" s="10">
        <v>-1.2631532500405682</v>
      </c>
      <c r="D29" s="10">
        <v>-1.83740179175955</v>
      </c>
      <c r="E29" s="10">
        <v>7.9481153629688828E-2</v>
      </c>
      <c r="F29" s="10">
        <v>0.7123008701510557</v>
      </c>
      <c r="G29" s="10"/>
      <c r="I29" s="10">
        <f t="shared" si="3"/>
        <v>-0.65633084400797737</v>
      </c>
      <c r="J29" s="10">
        <f t="shared" si="4"/>
        <v>-0.5646474699962164</v>
      </c>
      <c r="K29" s="10">
        <f t="shared" si="5"/>
        <v>-1.0220251313490338</v>
      </c>
      <c r="L29" s="10">
        <f t="shared" si="6"/>
        <v>8.6520235561702144E-2</v>
      </c>
      <c r="M29" s="10">
        <f t="shared" si="7"/>
        <v>0.66501430026747665</v>
      </c>
      <c r="N29" s="10">
        <f t="shared" si="8"/>
        <v>-0.18108543752704387</v>
      </c>
    </row>
    <row r="30" spans="1:14" x14ac:dyDescent="0.3">
      <c r="A30">
        <v>1989</v>
      </c>
      <c r="B30" s="10">
        <v>-1.1575579136989556</v>
      </c>
      <c r="C30" s="10">
        <v>0.18470464638411102</v>
      </c>
      <c r="D30" s="10">
        <v>-0.93808629040192115</v>
      </c>
      <c r="E30" s="10">
        <v>-0.88631068249832967</v>
      </c>
      <c r="F30" s="10">
        <v>-0.32350018444162826</v>
      </c>
      <c r="G30" s="10">
        <v>-0.34989486659511382</v>
      </c>
      <c r="I30" s="10">
        <f t="shared" si="3"/>
        <v>-0.94645216512132913</v>
      </c>
      <c r="J30" s="10">
        <f t="shared" si="4"/>
        <v>-0.62344913295540016</v>
      </c>
      <c r="K30" s="10">
        <f t="shared" si="5"/>
        <v>-1.2967342385137994</v>
      </c>
      <c r="L30" s="10">
        <f t="shared" si="6"/>
        <v>-0.18924492386075581</v>
      </c>
      <c r="M30" s="10">
        <f t="shared" si="7"/>
        <v>0.46235757219499496</v>
      </c>
      <c r="N30" s="10">
        <f t="shared" si="8"/>
        <v>-0.27099384091566303</v>
      </c>
    </row>
    <row r="31" spans="1:14" x14ac:dyDescent="0.3">
      <c r="A31">
        <v>1988</v>
      </c>
      <c r="B31" s="10">
        <v>-0.89376405529479952</v>
      </c>
      <c r="C31" s="10">
        <v>-0.70718505700236256</v>
      </c>
      <c r="D31" s="10">
        <v>-1.1678538546995514</v>
      </c>
      <c r="E31" s="10">
        <v>-0.93820622093254824</v>
      </c>
      <c r="F31" s="10">
        <v>-0.14336087059942237</v>
      </c>
      <c r="G31" s="10">
        <v>-0.5829525277524007</v>
      </c>
      <c r="I31" s="10">
        <f t="shared" si="3"/>
        <v>-0.93016267320185586</v>
      </c>
      <c r="J31" s="10">
        <f t="shared" si="4"/>
        <v>-0.28648243936085238</v>
      </c>
      <c r="K31" s="10">
        <f t="shared" si="5"/>
        <v>-0.95734260296476315</v>
      </c>
      <c r="L31" s="10">
        <f t="shared" si="6"/>
        <v>-0.37448376525554844</v>
      </c>
      <c r="M31" s="10">
        <f t="shared" si="7"/>
        <v>0.30923915542911995</v>
      </c>
      <c r="N31" s="10">
        <f t="shared" si="8"/>
        <v>1.606932283087148E-2</v>
      </c>
    </row>
    <row r="32" spans="1:14" x14ac:dyDescent="0.3">
      <c r="A32">
        <v>1987</v>
      </c>
      <c r="B32" s="10">
        <v>-1.4133293909684526</v>
      </c>
      <c r="C32" s="10">
        <v>-1.2767618053819567</v>
      </c>
      <c r="D32" s="10">
        <v>-2.3150889417994476</v>
      </c>
      <c r="E32" s="10">
        <v>0.17985324784543372</v>
      </c>
      <c r="F32" s="10">
        <v>0.77985311284188286</v>
      </c>
      <c r="G32" s="10">
        <v>-0.7820811474410394</v>
      </c>
      <c r="I32" s="10">
        <f t="shared" si="3"/>
        <v>-0.56396706250373163</v>
      </c>
      <c r="J32" s="10">
        <f t="shared" si="4"/>
        <v>-0.12564163414529159</v>
      </c>
      <c r="K32" s="10">
        <f t="shared" si="5"/>
        <v>-0.53015465257725325</v>
      </c>
      <c r="L32" s="10">
        <f t="shared" si="6"/>
        <v>-0.28805277764716442</v>
      </c>
      <c r="M32" s="10">
        <f t="shared" si="7"/>
        <v>0.32049786254425783</v>
      </c>
      <c r="N32" s="10">
        <f t="shared" si="8"/>
        <v>-1.8272273020414363E-2</v>
      </c>
    </row>
    <row r="33" spans="1:14" x14ac:dyDescent="0.3">
      <c r="A33">
        <v>1986</v>
      </c>
      <c r="B33" s="10">
        <v>-0.3598431741647759</v>
      </c>
      <c r="C33" s="10">
        <v>1.6299832692365142</v>
      </c>
      <c r="D33" s="10">
        <v>1.4717178638366541</v>
      </c>
      <c r="E33" s="10">
        <v>-0.30723632432198672</v>
      </c>
      <c r="F33" s="10">
        <v>0.52090284919371188</v>
      </c>
      <c r="G33" s="10">
        <v>1.7792058331120399</v>
      </c>
      <c r="I33" s="10">
        <f t="shared" si="3"/>
        <v>-0.21492776645708359</v>
      </c>
      <c r="J33" s="10">
        <f t="shared" si="4"/>
        <v>-0.34204461170623002</v>
      </c>
      <c r="K33" s="10">
        <f t="shared" si="5"/>
        <v>-0.37282291945228607</v>
      </c>
      <c r="L33" s="10">
        <f t="shared" si="6"/>
        <v>-0.35532852388373326</v>
      </c>
      <c r="M33" s="10">
        <f t="shared" si="7"/>
        <v>0.25294561985343061</v>
      </c>
      <c r="N33" s="10">
        <f t="shared" si="8"/>
        <v>-0.21105609082434987</v>
      </c>
    </row>
    <row r="34" spans="1:14" x14ac:dyDescent="0.3">
      <c r="A34">
        <v>1985</v>
      </c>
      <c r="B34" s="10">
        <v>1.004659221608325</v>
      </c>
      <c r="C34" s="10">
        <v>-0.45894922396276372</v>
      </c>
      <c r="D34" s="10">
        <v>0.29853796017799994</v>
      </c>
      <c r="E34" s="10">
        <v>0.51163609167160884</v>
      </c>
      <c r="F34" s="10">
        <v>0.76859440572674509</v>
      </c>
      <c r="G34" s="10">
        <v>-0.15563865642555774</v>
      </c>
      <c r="I34" s="10">
        <f t="shared" si="3"/>
        <v>-0.17646709525514215</v>
      </c>
      <c r="J34" s="10">
        <f t="shared" si="4"/>
        <v>-0.28626685828615256</v>
      </c>
      <c r="K34" s="10">
        <f t="shared" si="5"/>
        <v>-0.29631883712424972</v>
      </c>
      <c r="L34" s="10">
        <f t="shared" si="6"/>
        <v>2.051077919650075E-2</v>
      </c>
      <c r="M34" s="10">
        <f t="shared" si="7"/>
        <v>0.46010583077196737</v>
      </c>
      <c r="N34" s="10">
        <f t="shared" si="8"/>
        <v>7.8621102846656091E-2</v>
      </c>
    </row>
    <row r="35" spans="1:14" x14ac:dyDescent="0.3">
      <c r="A35">
        <v>1984</v>
      </c>
      <c r="B35" s="10">
        <v>0.58763856653428537</v>
      </c>
      <c r="C35" s="10">
        <v>-0.89731024142058136</v>
      </c>
      <c r="D35" s="10">
        <v>-0.15142762477708555</v>
      </c>
      <c r="E35" s="10">
        <v>-1.2226894136811739</v>
      </c>
      <c r="F35" s="10">
        <v>-0.66126139789576432</v>
      </c>
      <c r="G35" s="10">
        <v>-1.3138139556147912</v>
      </c>
      <c r="I35" s="10">
        <f t="shared" si="3"/>
        <v>3.2042594496357255E-2</v>
      </c>
      <c r="J35" s="10">
        <f t="shared" si="4"/>
        <v>-0.19495864898983056</v>
      </c>
      <c r="K35" s="10">
        <f t="shared" si="5"/>
        <v>-2.1852623923197976E-3</v>
      </c>
      <c r="L35" s="10">
        <f t="shared" si="6"/>
        <v>-9.9402402363628947E-2</v>
      </c>
      <c r="M35" s="10">
        <f t="shared" si="7"/>
        <v>0.21466601566196189</v>
      </c>
      <c r="N35" s="10">
        <f t="shared" si="8"/>
        <v>0.11422170086564651</v>
      </c>
    </row>
    <row r="36" spans="1:14" x14ac:dyDescent="0.3">
      <c r="A36">
        <v>1983</v>
      </c>
      <c r="B36" s="10">
        <v>-0.70146069928509269</v>
      </c>
      <c r="C36" s="10">
        <v>-0.42829628990197499</v>
      </c>
      <c r="D36" s="10">
        <v>-0.7853334430593697</v>
      </c>
      <c r="E36" s="10">
        <v>0.94099029446862181</v>
      </c>
      <c r="F36" s="10">
        <v>0.89244018399326164</v>
      </c>
      <c r="G36" s="10">
        <v>0.86543344060262883</v>
      </c>
      <c r="I36" s="10">
        <f t="shared" si="3"/>
        <v>-1.7415882836913598E-2</v>
      </c>
      <c r="J36" s="10">
        <f t="shared" si="4"/>
        <v>-0.7902004526361095</v>
      </c>
      <c r="K36" s="10">
        <f t="shared" si="5"/>
        <v>-0.63697758921954439</v>
      </c>
      <c r="L36" s="10">
        <f t="shared" si="6"/>
        <v>-0.34672520152238373</v>
      </c>
      <c r="M36" s="10">
        <f t="shared" si="7"/>
        <v>7.5058047434251041E-3</v>
      </c>
      <c r="N36" s="10">
        <f t="shared" si="8"/>
        <v>-0.54512555866848644</v>
      </c>
    </row>
    <row r="37" spans="1:14" x14ac:dyDescent="0.3">
      <c r="A37">
        <v>1982</v>
      </c>
      <c r="B37" s="10">
        <v>-0.37078094221095553</v>
      </c>
      <c r="C37" s="10">
        <v>-0.82022075890034696</v>
      </c>
      <c r="D37" s="10">
        <v>-0.84442106813979767</v>
      </c>
      <c r="E37" s="10">
        <v>-0.41971265995521473</v>
      </c>
      <c r="F37" s="10">
        <v>-0.44734596270814486</v>
      </c>
      <c r="G37" s="10">
        <v>-0.60407815734608727</v>
      </c>
      <c r="I37" s="10">
        <f t="shared" si="3"/>
        <v>-0.12796204578923182</v>
      </c>
      <c r="J37" s="10">
        <f t="shared" si="4"/>
        <v>-0.59329922140239477</v>
      </c>
      <c r="K37" s="10">
        <f t="shared" si="5"/>
        <v>-0.42937854685529508</v>
      </c>
      <c r="L37" s="10">
        <f t="shared" si="6"/>
        <v>-0.30390821658947503</v>
      </c>
      <c r="M37" s="10">
        <f t="shared" si="7"/>
        <v>5.0288891780948995E-2</v>
      </c>
      <c r="N37" s="10">
        <f t="shared" si="8"/>
        <v>-0.30141261362859251</v>
      </c>
    </row>
    <row r="38" spans="1:14" x14ac:dyDescent="0.3">
      <c r="A38">
        <v>1981</v>
      </c>
      <c r="B38" s="10">
        <v>-0.60713556083113007</v>
      </c>
      <c r="C38" s="10">
        <v>-1.3462257489948806</v>
      </c>
      <c r="D38" s="10">
        <v>-1.7022437702994686</v>
      </c>
      <c r="E38" s="10">
        <v>-1.5438503201157605</v>
      </c>
      <c r="F38" s="10">
        <v>-0.51489820539897202</v>
      </c>
      <c r="G38" s="10">
        <v>-1.5175304645586245</v>
      </c>
      <c r="I38" s="10">
        <f t="shared" si="3"/>
        <v>-1.5189967186665187E-2</v>
      </c>
      <c r="J38" s="10">
        <f t="shared" si="4"/>
        <v>-0.57411378897363352</v>
      </c>
      <c r="K38" s="10">
        <f t="shared" si="5"/>
        <v>-0.39370974917792695</v>
      </c>
      <c r="L38" s="10">
        <f t="shared" si="6"/>
        <v>-8.0829654332642747E-2</v>
      </c>
      <c r="M38" s="10">
        <f t="shared" si="7"/>
        <v>0.23718342989223765</v>
      </c>
      <c r="N38" s="10">
        <f t="shared" si="8"/>
        <v>0.2541060886061991</v>
      </c>
    </row>
    <row r="39" spans="1:14" x14ac:dyDescent="0.3">
      <c r="A39">
        <v>1980</v>
      </c>
      <c r="B39" s="10">
        <v>0.45192840684673385</v>
      </c>
      <c r="C39" s="10">
        <v>0.52555693220581012</v>
      </c>
      <c r="D39" s="10">
        <v>1.3365331719992459</v>
      </c>
      <c r="E39" s="10">
        <v>0.72572101633615227</v>
      </c>
      <c r="F39" s="10">
        <v>0.98250984091436455</v>
      </c>
      <c r="G39" s="10">
        <v>1.0629260687739113</v>
      </c>
      <c r="I39" s="10">
        <f t="shared" si="3"/>
        <v>0.5667830360611914</v>
      </c>
      <c r="J39" s="10">
        <f t="shared" si="4"/>
        <v>-0.59449967435130124</v>
      </c>
      <c r="K39" s="10">
        <f t="shared" si="5"/>
        <v>9.0305534779798972E-3</v>
      </c>
      <c r="L39" s="10">
        <f t="shared" si="6"/>
        <v>-0.22702356485841188</v>
      </c>
      <c r="M39" s="10">
        <f t="shared" si="7"/>
        <v>0.15612073866324497</v>
      </c>
      <c r="N39" s="10">
        <f t="shared" si="8"/>
        <v>-0.17454502796091767</v>
      </c>
    </row>
    <row r="40" spans="1:14" x14ac:dyDescent="0.3">
      <c r="A40">
        <v>1979</v>
      </c>
      <c r="B40" s="10">
        <v>1.1514989595471186</v>
      </c>
      <c r="C40" s="10">
        <v>-0.80138307927677543</v>
      </c>
      <c r="D40" s="10">
        <v>2.6916363609755332E-2</v>
      </c>
      <c r="E40" s="10">
        <v>-0.10729660239701269</v>
      </c>
      <c r="F40" s="10">
        <v>0.27321129266067878</v>
      </c>
      <c r="G40" s="10">
        <v>1.4637795555591671</v>
      </c>
      <c r="I40" s="10">
        <f t="shared" si="3"/>
        <v>0.84758633589386767</v>
      </c>
      <c r="J40" s="10">
        <f t="shared" si="4"/>
        <v>-0.5431015531217096</v>
      </c>
      <c r="K40" s="10">
        <f t="shared" si="5"/>
        <v>0.23579548065642669</v>
      </c>
      <c r="L40" s="10">
        <f t="shared" si="6"/>
        <v>7.5123626719394904E-2</v>
      </c>
      <c r="M40" s="10">
        <f t="shared" si="7"/>
        <v>0.5344132977318774</v>
      </c>
      <c r="N40" s="10">
        <f t="shared" si="8"/>
        <v>0.22638670189690724</v>
      </c>
    </row>
    <row r="41" spans="1:14" x14ac:dyDescent="0.3">
      <c r="A41">
        <v>1978</v>
      </c>
      <c r="B41" s="10">
        <v>2.2084043169541903</v>
      </c>
      <c r="C41" s="10">
        <v>-0.53022571679031327</v>
      </c>
      <c r="D41" s="10">
        <v>1.2283680702201645</v>
      </c>
      <c r="E41" s="10">
        <v>0.21002074183977634</v>
      </c>
      <c r="F41" s="10">
        <v>0.4871267278482983</v>
      </c>
      <c r="G41" s="10">
        <v>-1.2778221422329548</v>
      </c>
      <c r="I41" s="10">
        <f t="shared" si="3"/>
        <v>1.2195101914656461</v>
      </c>
      <c r="J41" s="10">
        <f t="shared" si="4"/>
        <v>-0.58994680736869132</v>
      </c>
      <c r="K41" s="10">
        <f t="shared" si="5"/>
        <v>0.46541099763039251</v>
      </c>
      <c r="L41" s="10">
        <f t="shared" si="6"/>
        <v>0.40011319782388099</v>
      </c>
      <c r="M41" s="10">
        <f t="shared" si="7"/>
        <v>0.70554564588197299</v>
      </c>
      <c r="N41" s="10">
        <f t="shared" si="8"/>
        <v>0.46485736107466397</v>
      </c>
    </row>
    <row r="42" spans="1:14" x14ac:dyDescent="0.3">
      <c r="A42">
        <v>1977</v>
      </c>
      <c r="B42" s="10">
        <v>1.0332355569524259</v>
      </c>
      <c r="C42" s="10">
        <v>-0.56323015275238875</v>
      </c>
      <c r="D42" s="10">
        <v>0.28940356775243625</v>
      </c>
      <c r="E42" s="10">
        <v>1.091023297933819</v>
      </c>
      <c r="F42" s="10">
        <v>1.4441168326350171</v>
      </c>
      <c r="G42" s="10">
        <v>1.4005804919430371</v>
      </c>
      <c r="I42" s="10">
        <f t="shared" si="3"/>
        <v>1.1861415384243643</v>
      </c>
      <c r="J42" s="10">
        <f t="shared" si="4"/>
        <v>-0.95952462978601027</v>
      </c>
      <c r="K42" s="10">
        <f t="shared" si="5"/>
        <v>-2.7390965830093726E-2</v>
      </c>
      <c r="L42" s="10">
        <f t="shared" si="6"/>
        <v>7.9238578751080983E-3</v>
      </c>
      <c r="M42" s="10">
        <f t="shared" si="7"/>
        <v>0.4173227437344435</v>
      </c>
      <c r="N42" s="10">
        <f t="shared" si="8"/>
        <v>0.211541857128549</v>
      </c>
    </row>
    <row r="43" spans="1:14" x14ac:dyDescent="0.3">
      <c r="A43">
        <v>1976</v>
      </c>
      <c r="B43" s="10">
        <v>1.2524837170277627</v>
      </c>
      <c r="C43" s="10">
        <v>-1.5804520202297891</v>
      </c>
      <c r="D43" s="10">
        <v>-0.55416618542963969</v>
      </c>
      <c r="E43" s="10">
        <v>8.109753540666971E-2</v>
      </c>
      <c r="F43" s="10">
        <v>0.340763535351506</v>
      </c>
      <c r="G43" s="10">
        <v>-0.32517716866984075</v>
      </c>
      <c r="I43" s="10">
        <f t="shared" si="3"/>
        <v>1.1266148483078531</v>
      </c>
      <c r="J43" s="10">
        <f t="shared" si="4"/>
        <v>-0.9347584706075972</v>
      </c>
      <c r="K43" s="10">
        <f t="shared" si="5"/>
        <v>3.2740219095564869E-2</v>
      </c>
      <c r="L43" s="10">
        <f t="shared" si="6"/>
        <v>-0.22743175712282918</v>
      </c>
      <c r="M43" s="10">
        <f t="shared" si="7"/>
        <v>0.20115556712379642</v>
      </c>
      <c r="N43" s="10">
        <f t="shared" si="8"/>
        <v>0.18973337890153111</v>
      </c>
    </row>
    <row r="44" spans="1:14" x14ac:dyDescent="0.3">
      <c r="A44">
        <v>1975</v>
      </c>
      <c r="B44" s="10">
        <v>0.28508514164032328</v>
      </c>
      <c r="C44" s="10">
        <v>-1.3223321798807846</v>
      </c>
      <c r="D44" s="10">
        <v>-1.127476645303185</v>
      </c>
      <c r="E44" s="10">
        <v>-1.2352256834077118</v>
      </c>
      <c r="F44" s="10">
        <v>-0.45860466982328268</v>
      </c>
      <c r="G44" s="10">
        <v>-0.20365145095666368</v>
      </c>
      <c r="I44" s="10">
        <f t="shared" si="3"/>
        <v>1.0772866205773979</v>
      </c>
      <c r="J44" s="10">
        <f t="shared" si="4"/>
        <v>-1.1420935692133791</v>
      </c>
      <c r="K44" s="10">
        <f t="shared" si="5"/>
        <v>-0.18585246540063957</v>
      </c>
      <c r="L44" s="10">
        <f t="shared" si="6"/>
        <v>-0.2102504381975574</v>
      </c>
      <c r="M44" s="10">
        <f t="shared" si="7"/>
        <v>0.23943517131526521</v>
      </c>
      <c r="N44" s="10">
        <f t="shared" si="8"/>
        <v>0.71251091176940695</v>
      </c>
    </row>
    <row r="45" spans="1:14" x14ac:dyDescent="0.3">
      <c r="A45">
        <v>1974</v>
      </c>
      <c r="B45" s="10">
        <v>0.8538655089645637</v>
      </c>
      <c r="C45" s="10">
        <v>-0.67755228338471052</v>
      </c>
      <c r="D45" s="10">
        <v>0.32757228823804835</v>
      </c>
      <c r="E45" s="10">
        <v>-1.2840746773866991</v>
      </c>
      <c r="F45" s="10">
        <v>-0.80762459039255663</v>
      </c>
      <c r="G45" s="10">
        <v>1.3547371644240775</v>
      </c>
      <c r="I45" s="10">
        <f t="shared" si="3"/>
        <v>1.2419849270900931</v>
      </c>
      <c r="J45" s="10">
        <f t="shared" si="4"/>
        <v>-1.29738636980676</v>
      </c>
      <c r="K45" s="10">
        <f t="shared" si="5"/>
        <v>-0.20907953981328192</v>
      </c>
      <c r="L45" s="10">
        <f t="shared" si="6"/>
        <v>-0.42712120057910929</v>
      </c>
      <c r="M45" s="10">
        <f t="shared" si="7"/>
        <v>-2.85220580250161E-2</v>
      </c>
      <c r="N45" s="10">
        <f>AVERAGE(G43:G46)</f>
        <v>0.54049351672599955</v>
      </c>
    </row>
    <row r="46" spans="1:14" x14ac:dyDescent="0.3">
      <c r="A46">
        <v>1973</v>
      </c>
      <c r="B46" s="10">
        <v>1.9617631783019132</v>
      </c>
      <c r="C46" s="10">
        <v>-1.5669012098192234</v>
      </c>
      <c r="D46" s="10">
        <v>0.13540464773914243</v>
      </c>
      <c r="E46" s="10">
        <v>0.29592733646613517</v>
      </c>
      <c r="F46" s="10">
        <v>0.67852474880564206</v>
      </c>
      <c r="G46" s="10">
        <v>1.336065522106425</v>
      </c>
      <c r="I46" s="10">
        <f t="shared" si="3"/>
        <v>0.94143541833653066</v>
      </c>
      <c r="J46" s="10">
        <f t="shared" si="4"/>
        <v>-1.1056808991177065</v>
      </c>
      <c r="K46" s="10">
        <f t="shared" si="5"/>
        <v>-0.24701814861785035</v>
      </c>
      <c r="L46" s="10">
        <f t="shared" si="6"/>
        <v>-0.91088117526122814</v>
      </c>
      <c r="M46" s="10">
        <f t="shared" si="7"/>
        <v>-0.47211511836144815</v>
      </c>
      <c r="N46" s="10">
        <f>AVERAGE(G44:G46)</f>
        <v>0.82905041185794637</v>
      </c>
    </row>
    <row r="47" spans="1:14" x14ac:dyDescent="0.3">
      <c r="A47">
        <v>1972</v>
      </c>
      <c r="B47" s="10">
        <v>1.8567270895159025</v>
      </c>
      <c r="C47" s="10">
        <v>-1.3396941557192918</v>
      </c>
      <c r="D47" s="10">
        <v>0.17326819568922466</v>
      </c>
      <c r="E47" s="10">
        <v>6.6694860260594268E-3</v>
      </c>
      <c r="F47" s="10">
        <v>0.10433068593361075</v>
      </c>
      <c r="I47" s="10">
        <f t="shared" si="3"/>
        <v>0.96160365668219272</v>
      </c>
      <c r="J47" s="10">
        <f t="shared" si="4"/>
        <v>-0.91627752633362236</v>
      </c>
      <c r="K47" s="10">
        <f t="shared" si="5"/>
        <v>-2.9269975562948542E-2</v>
      </c>
      <c r="L47" s="10">
        <f t="shared" si="6"/>
        <v>-0.84351902336284845</v>
      </c>
      <c r="M47" s="10">
        <f>AVERAGE(F45:F48)</f>
        <v>-0.4754927304959895</v>
      </c>
      <c r="N47" s="10"/>
    </row>
    <row r="48" spans="1:14" x14ac:dyDescent="0.3">
      <c r="A48">
        <v>1971</v>
      </c>
      <c r="B48" s="10">
        <v>-0.25026382674004882</v>
      </c>
      <c r="C48" s="10">
        <v>-0.62192466678452196</v>
      </c>
      <c r="D48" s="10">
        <v>-0.74385922945248206</v>
      </c>
      <c r="E48" s="10">
        <v>-2.3377023380039246</v>
      </c>
      <c r="F48" s="10">
        <v>-1.8772017663306542</v>
      </c>
      <c r="I48" s="10">
        <f t="shared" si="3"/>
        <v>1.0700098250519807</v>
      </c>
      <c r="J48" s="10">
        <f t="shared" si="4"/>
        <v>-0.94172379247392279</v>
      </c>
      <c r="K48" s="10">
        <f t="shared" si="5"/>
        <v>2.2109188359550223E-3</v>
      </c>
      <c r="L48" s="10">
        <f t="shared" si="6"/>
        <v>-0.62290004296204882</v>
      </c>
      <c r="M48" s="10">
        <f>AVERAGE(F46:F48)</f>
        <v>-0.36478211053046711</v>
      </c>
      <c r="N48" s="10"/>
    </row>
    <row r="49" spans="1:14" x14ac:dyDescent="0.3">
      <c r="A49">
        <v>1970</v>
      </c>
      <c r="B49" s="10">
        <v>0.38592633336863374</v>
      </c>
      <c r="C49" s="10">
        <v>-0.37531531596036444</v>
      </c>
      <c r="D49" s="10">
        <v>-3.8735780028676135E-2</v>
      </c>
      <c r="E49" s="10">
        <v>-0.89841492391581279</v>
      </c>
      <c r="I49" s="10">
        <f t="shared" si="3"/>
        <v>0.75625644120700974</v>
      </c>
      <c r="J49" s="10">
        <f t="shared" si="4"/>
        <v>-0.91557688784079594</v>
      </c>
      <c r="K49" s="10">
        <f t="shared" si="5"/>
        <v>-0.27860044526469874</v>
      </c>
      <c r="L49" s="10">
        <f t="shared" si="6"/>
        <v>-0.6834078422743558</v>
      </c>
      <c r="M49" s="10"/>
      <c r="N49" s="10"/>
    </row>
    <row r="50" spans="1:14" x14ac:dyDescent="0.3">
      <c r="A50">
        <v>1969</v>
      </c>
      <c r="B50" s="10">
        <v>1.3958963508135027</v>
      </c>
      <c r="C50" s="10">
        <v>-0.80478361408621235</v>
      </c>
      <c r="D50" s="10">
        <v>0.4849767602325662</v>
      </c>
      <c r="E50" s="10">
        <v>-0.18097977538270094</v>
      </c>
      <c r="I50" s="10">
        <f t="shared" si="3"/>
        <v>0.37849228851027328</v>
      </c>
      <c r="J50" s="10">
        <f t="shared" si="4"/>
        <v>-0.88668902382918058</v>
      </c>
      <c r="K50" s="10">
        <f t="shared" si="5"/>
        <v>-0.54703795838844349</v>
      </c>
      <c r="L50" s="10">
        <f t="shared" si="6"/>
        <v>-0.69855415888870076</v>
      </c>
      <c r="M50" s="10"/>
      <c r="N50" s="10"/>
    </row>
    <row r="51" spans="1:14" x14ac:dyDescent="0.3">
      <c r="A51">
        <v>1968</v>
      </c>
      <c r="B51" s="10">
        <v>0.39299625907705882</v>
      </c>
      <c r="C51" s="10">
        <v>-1.4361666866535894</v>
      </c>
      <c r="D51" s="10">
        <v>-1.2686521727641262</v>
      </c>
      <c r="E51" s="10">
        <v>-6.6116600954004914E-3</v>
      </c>
      <c r="I51" s="10">
        <f t="shared" si="3"/>
        <v>0.31380976869929139</v>
      </c>
      <c r="J51" s="10">
        <f t="shared" si="4"/>
        <v>-0.7157563295535887</v>
      </c>
      <c r="K51" s="10">
        <f t="shared" si="5"/>
        <v>-0.53265242649091782</v>
      </c>
      <c r="L51" s="10">
        <f t="shared" si="6"/>
        <v>-0.22318745142456337</v>
      </c>
      <c r="M51" s="10"/>
      <c r="N51" s="10"/>
    </row>
    <row r="52" spans="1:14" x14ac:dyDescent="0.3">
      <c r="A52">
        <v>1967</v>
      </c>
      <c r="B52" s="10">
        <v>-3.2093673967780061E-2</v>
      </c>
      <c r="C52" s="10">
        <v>-1.1952548356612145</v>
      </c>
      <c r="D52" s="10">
        <v>-1.1689193699294993</v>
      </c>
      <c r="E52" s="10">
        <v>-6.9062097045664433E-2</v>
      </c>
      <c r="I52" s="10">
        <f t="shared" si="3"/>
        <v>2.5137827100423317E-2</v>
      </c>
      <c r="J52" s="10">
        <f t="shared" si="4"/>
        <v>-0.6707383815589304</v>
      </c>
      <c r="K52" s="10">
        <f t="shared" si="5"/>
        <v>-0.7333730970975475</v>
      </c>
      <c r="L52" s="10">
        <f t="shared" si="6"/>
        <v>0.16119260439984676</v>
      </c>
      <c r="M52" s="10"/>
      <c r="N52" s="10"/>
    </row>
    <row r="53" spans="1:14" x14ac:dyDescent="0.3">
      <c r="A53">
        <v>1966</v>
      </c>
      <c r="B53" s="10">
        <v>-0.57367642579495848</v>
      </c>
      <c r="C53" s="10">
        <v>0.2327388045934366</v>
      </c>
      <c r="D53" s="10">
        <v>-0.67193156996485348</v>
      </c>
      <c r="E53" s="10">
        <v>3.9131199316761872E-2</v>
      </c>
      <c r="I53" s="10">
        <f t="shared" si="3"/>
        <v>-0.65600733846782611</v>
      </c>
      <c r="J53" s="10">
        <f t="shared" si="4"/>
        <v>-0.19371135848644333</v>
      </c>
      <c r="K53" s="10">
        <f t="shared" si="5"/>
        <v>-0.9070152395215253</v>
      </c>
      <c r="L53" s="10">
        <f t="shared" si="6"/>
        <v>0.18125510522067698</v>
      </c>
      <c r="M53" s="10"/>
      <c r="N53" s="10"/>
    </row>
    <row r="54" spans="1:14" x14ac:dyDescent="0.3">
      <c r="A54">
        <v>1965</v>
      </c>
      <c r="B54" s="10">
        <v>-1.0574333746257065</v>
      </c>
      <c r="C54" s="10">
        <v>-0.15022557598707234</v>
      </c>
      <c r="D54" s="10">
        <v>-1.0423391330618248</v>
      </c>
      <c r="E54" s="10">
        <v>1.0234853552062377</v>
      </c>
      <c r="I54" s="10">
        <f t="shared" si="3"/>
        <v>-0.9706941328701616</v>
      </c>
      <c r="J54" s="10">
        <f t="shared" si="4"/>
        <v>0.41382690735282557</v>
      </c>
      <c r="K54" s="10">
        <f t="shared" si="5"/>
        <v>-0.53508256455079051</v>
      </c>
      <c r="L54" s="10">
        <f t="shared" si="6"/>
        <v>0.13632565083176934</v>
      </c>
      <c r="M54" s="10"/>
      <c r="N54" s="10"/>
    </row>
    <row r="55" spans="1:14" x14ac:dyDescent="0.3">
      <c r="A55">
        <v>1964</v>
      </c>
      <c r="B55" s="10">
        <v>-2.0098294770277443</v>
      </c>
      <c r="C55" s="10">
        <v>1.580351501276223</v>
      </c>
      <c r="D55" s="10">
        <v>-0.38323395188732351</v>
      </c>
      <c r="E55" s="10">
        <v>-8.0667271278549765E-2</v>
      </c>
      <c r="I55" s="10">
        <f t="shared" si="3"/>
        <v>-0.80046097601728206</v>
      </c>
      <c r="J55" s="10">
        <f t="shared" si="4"/>
        <v>0.33912036564047204</v>
      </c>
      <c r="K55" s="10">
        <f t="shared" si="5"/>
        <v>-0.47745649995321093</v>
      </c>
      <c r="L55" s="10">
        <f t="shared" si="6"/>
        <v>5.1062629410623117E-2</v>
      </c>
      <c r="M55" s="10"/>
      <c r="N55" s="10"/>
    </row>
    <row r="56" spans="1:14" x14ac:dyDescent="0.3">
      <c r="A56">
        <v>1963</v>
      </c>
      <c r="B56" s="10">
        <v>-1.1804377129346182</v>
      </c>
      <c r="C56" s="10">
        <v>1.601524642542755</v>
      </c>
      <c r="D56" s="10">
        <v>0.59101120208954805</v>
      </c>
      <c r="E56" s="10">
        <v>-0.23125893203993864</v>
      </c>
      <c r="I56" s="10">
        <f t="shared" si="3"/>
        <v>-0.52401386294569396</v>
      </c>
      <c r="J56" s="10">
        <f t="shared" si="4"/>
        <v>0.45925291952462188</v>
      </c>
      <c r="K56" s="10">
        <f t="shared" si="5"/>
        <v>-3.7056337446933617E-2</v>
      </c>
      <c r="L56" s="10">
        <f t="shared" si="6"/>
        <v>0.15000754045369741</v>
      </c>
      <c r="M56" s="10"/>
      <c r="N56" s="10"/>
    </row>
    <row r="57" spans="1:14" x14ac:dyDescent="0.3">
      <c r="A57">
        <v>1962</v>
      </c>
      <c r="B57" s="10">
        <v>0.81907211029661708</v>
      </c>
      <c r="C57" s="10">
        <v>-1.5687875442229824</v>
      </c>
      <c r="D57" s="10">
        <v>-0.88078904694160121</v>
      </c>
      <c r="E57" s="10">
        <v>-0.49537720415139552</v>
      </c>
      <c r="I57" s="10">
        <f t="shared" si="3"/>
        <v>-0.22375004379914451</v>
      </c>
      <c r="J57" s="10">
        <f t="shared" si="4"/>
        <v>0.51696705295508372</v>
      </c>
      <c r="K57" s="10">
        <f t="shared" si="5"/>
        <v>0.34103987104418437</v>
      </c>
      <c r="L57" s="10">
        <f t="shared" si="6"/>
        <v>-3.951285045910706E-2</v>
      </c>
      <c r="M57" s="10"/>
      <c r="N57" s="10"/>
    </row>
    <row r="58" spans="1:14" x14ac:dyDescent="0.3">
      <c r="A58">
        <v>1961</v>
      </c>
      <c r="B58" s="10">
        <v>0.80855913956298164</v>
      </c>
      <c r="C58" s="10">
        <v>0.83340157401418613</v>
      </c>
      <c r="D58" s="10">
        <v>1.5300692425665334</v>
      </c>
      <c r="E58" s="10">
        <v>0.53385575453213319</v>
      </c>
      <c r="I58" s="10">
        <f t="shared" si="3"/>
        <v>0.33517497651169953</v>
      </c>
      <c r="J58" s="10">
        <f t="shared" si="4"/>
        <v>0.38339917852182526</v>
      </c>
      <c r="K58" s="10">
        <f t="shared" si="5"/>
        <v>0.79409426564039065</v>
      </c>
      <c r="L58" s="10">
        <f t="shared" si="6"/>
        <v>0.19997682853064752</v>
      </c>
      <c r="M58" s="10"/>
      <c r="N58" s="10"/>
    </row>
    <row r="59" spans="1:14" x14ac:dyDescent="0.3">
      <c r="A59">
        <v>1960</v>
      </c>
      <c r="B59" s="10">
        <v>0.4438857211070415</v>
      </c>
      <c r="C59" s="10">
        <v>0.13834509116523663</v>
      </c>
      <c r="D59" s="10">
        <v>0.84814190939376521</v>
      </c>
      <c r="E59" s="10">
        <v>7.5883400642215437E-2</v>
      </c>
      <c r="I59" s="10">
        <f t="shared" si="3"/>
        <v>0.76644283320659401</v>
      </c>
      <c r="J59" s="10">
        <f t="shared" si="4"/>
        <v>-3.6206285435882626E-2</v>
      </c>
      <c r="K59" s="10">
        <f t="shared" si="5"/>
        <v>0.75277799713477189</v>
      </c>
      <c r="L59" s="10">
        <f t="shared" si="6"/>
        <v>0.59384363012078478</v>
      </c>
      <c r="M59" s="10"/>
      <c r="N59" s="10"/>
    </row>
    <row r="60" spans="1:14" x14ac:dyDescent="0.3">
      <c r="A60">
        <v>1959</v>
      </c>
      <c r="B60" s="10">
        <v>0.78479562452647567</v>
      </c>
      <c r="C60" s="10">
        <v>0.91251212910993096</v>
      </c>
      <c r="D60" s="10">
        <v>1.8820380210937075</v>
      </c>
      <c r="E60" s="10">
        <v>1.1167811236702232</v>
      </c>
      <c r="I60" s="10">
        <f t="shared" si="3"/>
        <v>0.71896771222012845</v>
      </c>
      <c r="J60" s="10">
        <f t="shared" si="4"/>
        <v>0.3595620711178002</v>
      </c>
      <c r="K60" s="10">
        <f t="shared" si="5"/>
        <v>1.1521368606284956</v>
      </c>
      <c r="L60" s="10">
        <f t="shared" si="6"/>
        <v>0.88175027478047208</v>
      </c>
      <c r="M60" s="10"/>
      <c r="N60" s="10"/>
    </row>
    <row r="61" spans="1:14" x14ac:dyDescent="0.3">
      <c r="A61">
        <v>1958</v>
      </c>
      <c r="B61" s="10">
        <v>0.97590157053985371</v>
      </c>
      <c r="C61" s="10">
        <v>-0.49650267724578445</v>
      </c>
      <c r="D61" s="10">
        <v>0.38442985956145492</v>
      </c>
      <c r="E61" s="10">
        <v>1.7380750759107477</v>
      </c>
      <c r="I61" s="10">
        <f t="shared" si="3"/>
        <v>0.83381625015512273</v>
      </c>
      <c r="J61" s="10">
        <f t="shared" si="4"/>
        <v>4.8878945159142838E-2</v>
      </c>
      <c r="K61" s="10">
        <f t="shared" si="5"/>
        <v>0.92912737688879987</v>
      </c>
      <c r="L61" s="10">
        <f t="shared" si="6"/>
        <v>0.56884259880162147</v>
      </c>
      <c r="M61" s="10"/>
      <c r="N61" s="10"/>
    </row>
    <row r="62" spans="1:14" x14ac:dyDescent="0.3">
      <c r="A62">
        <v>1957</v>
      </c>
      <c r="B62" s="10">
        <v>0.58169650536428952</v>
      </c>
      <c r="C62" s="10">
        <v>0.4100542385454316</v>
      </c>
      <c r="D62" s="10">
        <v>1.116005270527016</v>
      </c>
      <c r="E62" s="10">
        <v>0.94415601914704039</v>
      </c>
      <c r="I62" s="10">
        <f t="shared" si="3"/>
        <v>0.94895112441928053</v>
      </c>
      <c r="J62" s="10">
        <f t="shared" si="4"/>
        <v>0.15977231012701981</v>
      </c>
      <c r="K62" s="10">
        <f t="shared" si="5"/>
        <v>1.0754836578498774</v>
      </c>
      <c r="L62" s="10">
        <f t="shared" si="6"/>
        <v>0.36612150841800856</v>
      </c>
      <c r="M62" s="10"/>
      <c r="N62" s="10"/>
    </row>
    <row r="63" spans="1:14" x14ac:dyDescent="0.3">
      <c r="A63">
        <v>1956</v>
      </c>
      <c r="B63" s="10">
        <v>1.3828018292379531</v>
      </c>
      <c r="C63" s="10">
        <v>-0.7200140557791006</v>
      </c>
      <c r="D63" s="10">
        <v>0.41502182386805558</v>
      </c>
      <c r="E63" s="10">
        <v>-1.0306826253621193</v>
      </c>
      <c r="I63" s="10">
        <f t="shared" si="3"/>
        <v>0.95283664201838847</v>
      </c>
      <c r="J63" s="10">
        <f t="shared" si="4"/>
        <v>-1.5772279282591721E-2</v>
      </c>
      <c r="K63" s="10">
        <f t="shared" si="5"/>
        <v>0.87365744293140379</v>
      </c>
      <c r="L63" s="10">
        <f t="shared" si="6"/>
        <v>3.7656344054816306E-2</v>
      </c>
      <c r="M63" s="10"/>
      <c r="N63" s="10"/>
    </row>
    <row r="64" spans="1:14" x14ac:dyDescent="0.3">
      <c r="A64">
        <v>1955</v>
      </c>
      <c r="B64" s="10">
        <v>1.0195600924278307</v>
      </c>
      <c r="C64" s="10">
        <v>0.69281191600462155</v>
      </c>
      <c r="D64" s="10">
        <v>1.5799233141991529</v>
      </c>
      <c r="E64" s="10">
        <v>-0.93772205127584918</v>
      </c>
      <c r="I64" s="10">
        <f t="shared" si="3"/>
        <v>1.0087817115877227</v>
      </c>
      <c r="J64" s="10">
        <f t="shared" si="4"/>
        <v>0.12737355432724951</v>
      </c>
      <c r="K64" s="10">
        <f t="shared" si="5"/>
        <v>1.0410307819221849</v>
      </c>
      <c r="L64" s="10">
        <f t="shared" si="6"/>
        <v>-0.14559665687111414</v>
      </c>
      <c r="M64" s="10"/>
      <c r="N64" s="10"/>
    </row>
    <row r="65" spans="1:14" x14ac:dyDescent="0.3">
      <c r="A65">
        <v>1954</v>
      </c>
      <c r="B65" s="10">
        <v>0.80422321252201445</v>
      </c>
      <c r="C65" s="10">
        <v>3.4789182061873238E-2</v>
      </c>
      <c r="D65" s="10">
        <v>0.87290694650133871</v>
      </c>
      <c r="E65" s="10">
        <v>-0.52554469814573812</v>
      </c>
      <c r="I65" s="10">
        <f t="shared" si="3"/>
        <v>1.1000331335280402</v>
      </c>
      <c r="J65" s="10">
        <f t="shared" si="4"/>
        <v>0.11580916953368688</v>
      </c>
      <c r="K65" s="10">
        <f t="shared" si="5"/>
        <v>1.0798736612638773</v>
      </c>
      <c r="L65" s="10">
        <f t="shared" si="6"/>
        <v>-0.1848754789281431</v>
      </c>
      <c r="M65" s="10"/>
      <c r="N65" s="10"/>
    </row>
    <row r="66" spans="1:14" x14ac:dyDescent="0.3">
      <c r="A66">
        <v>1953</v>
      </c>
      <c r="B66" s="10">
        <v>1.2556269183865254</v>
      </c>
      <c r="C66" s="10">
        <v>0.21922649080342169</v>
      </c>
      <c r="D66" s="10">
        <v>1.2212965545153618</v>
      </c>
      <c r="E66" s="10">
        <v>0.8218100712810954</v>
      </c>
      <c r="I66" s="10">
        <f t="shared" si="3"/>
        <v>1.0576958324892378</v>
      </c>
      <c r="J66" s="10">
        <f t="shared" si="4"/>
        <v>0.31486749473530934</v>
      </c>
      <c r="K66" s="10">
        <f t="shared" si="5"/>
        <v>1.2966658763095089</v>
      </c>
      <c r="L66" s="10">
        <f t="shared" si="6"/>
        <v>4.1824672360799967E-2</v>
      </c>
      <c r="M66" s="10"/>
      <c r="N66" s="10"/>
    </row>
    <row r="67" spans="1:14" x14ac:dyDescent="0.3">
      <c r="A67">
        <v>1952</v>
      </c>
      <c r="B67" s="10">
        <v>1.0379536150658772</v>
      </c>
      <c r="C67" s="10">
        <v>0.3522323145776185</v>
      </c>
      <c r="D67" s="10">
        <v>1.3102196672354773</v>
      </c>
      <c r="E67" s="10">
        <v>0.74776190886189553</v>
      </c>
      <c r="I67" s="10">
        <f t="shared" si="3"/>
        <v>0.87222816991736285</v>
      </c>
      <c r="J67" s="10">
        <f t="shared" si="4"/>
        <v>0.49627896910679292</v>
      </c>
      <c r="K67" s="10">
        <f t="shared" si="5"/>
        <v>1.3068498794708785</v>
      </c>
      <c r="L67" s="10">
        <f t="shared" si="6"/>
        <v>-3.7713229088975363E-2</v>
      </c>
      <c r="M67" s="10"/>
      <c r="N67" s="10"/>
    </row>
    <row r="68" spans="1:14" x14ac:dyDescent="0.3">
      <c r="A68">
        <v>1951</v>
      </c>
      <c r="B68" s="10">
        <v>1.1711153240439407</v>
      </c>
      <c r="C68" s="10">
        <v>0.27527757022901173</v>
      </c>
      <c r="D68" s="10">
        <v>1.4989828990962146</v>
      </c>
      <c r="E68" s="10">
        <v>0.1028181310825963</v>
      </c>
      <c r="I68" s="10">
        <f>AVERAGE(B66:B69)</f>
        <v>0.88922940926619998</v>
      </c>
      <c r="J68" s="10">
        <f>AVERAGE(C66:C69)</f>
        <v>0.61165141586802285</v>
      </c>
      <c r="K68" s="10">
        <f>AVERAGE(D66:D69)</f>
        <v>1.4153356127132635</v>
      </c>
      <c r="L68" s="10">
        <f t="shared" si="6"/>
        <v>0.15691105488183493</v>
      </c>
      <c r="M68" s="10"/>
      <c r="N68" s="10"/>
    </row>
    <row r="69" spans="1:14" x14ac:dyDescent="0.3">
      <c r="A69">
        <v>1950</v>
      </c>
      <c r="B69" s="10">
        <v>9.2221779568456577E-2</v>
      </c>
      <c r="C69" s="10">
        <v>1.5998692878620393</v>
      </c>
      <c r="D69" s="10">
        <v>1.6308433300059995</v>
      </c>
      <c r="E69" s="10">
        <v>-1.3354115585247261</v>
      </c>
      <c r="I69" s="10">
        <f>AVERAGE(B67:B69)</f>
        <v>0.7670969062260915</v>
      </c>
      <c r="J69" s="10">
        <f>AVERAGE(C67:C69)</f>
        <v>0.74245972422288986</v>
      </c>
      <c r="K69" s="10">
        <f>AVERAGE(D67:D69)</f>
        <v>1.4800152987792305</v>
      </c>
      <c r="L69" s="10">
        <f>AVERAGE(E67:E71)</f>
        <v>0.21829780834015006</v>
      </c>
      <c r="M69" s="10"/>
      <c r="N69" s="10"/>
    </row>
    <row r="70" spans="1:14" x14ac:dyDescent="0.3">
      <c r="E70" s="10">
        <v>0.44757672170831336</v>
      </c>
    </row>
    <row r="71" spans="1:14" x14ac:dyDescent="0.3">
      <c r="E71" s="10">
        <v>1.1287438385726714</v>
      </c>
    </row>
    <row r="72" spans="1:14" x14ac:dyDescent="0.3">
      <c r="E72" s="10"/>
    </row>
    <row r="73" spans="1:14" x14ac:dyDescent="0.3">
      <c r="E73" s="10"/>
    </row>
    <row r="74" spans="1:14" x14ac:dyDescent="0.3">
      <c r="E74" s="10"/>
    </row>
    <row r="75" spans="1:14" x14ac:dyDescent="0.3">
      <c r="E75" s="10"/>
    </row>
    <row r="76" spans="1:14" x14ac:dyDescent="0.3">
      <c r="E76" s="10"/>
    </row>
    <row r="77" spans="1:14" x14ac:dyDescent="0.3">
      <c r="E77" s="10"/>
    </row>
    <row r="78" spans="1:14" x14ac:dyDescent="0.3">
      <c r="E78" s="10"/>
    </row>
    <row r="79" spans="1:14" x14ac:dyDescent="0.3">
      <c r="E79" s="10"/>
    </row>
  </sheetData>
  <mergeCells count="2">
    <mergeCell ref="A2:G2"/>
    <mergeCell ref="I2:N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Varadero</vt:lpstr>
      <vt:lpstr>CVAR-var</vt:lpstr>
      <vt:lpstr>Graphs</vt:lpstr>
      <vt:lpstr>Correlaciones</vt:lpstr>
      <vt:lpstr>Suavizado</vt:lpstr>
    </vt:vector>
  </TitlesOfParts>
  <Company>Lizcano-Sandoval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D. Lizcano</dc:creator>
  <cp:lastModifiedBy>LUIS DAVID LIZCANO SANDOVAL</cp:lastModifiedBy>
  <dcterms:created xsi:type="dcterms:W3CDTF">2017-02-27T18:42:53Z</dcterms:created>
  <dcterms:modified xsi:type="dcterms:W3CDTF">2025-11-21T15:22:33Z</dcterms:modified>
</cp:coreProperties>
</file>