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Google Drive\Articulos\Pendientes\Varadero growth rates\GrowthRates\"/>
    </mc:Choice>
  </mc:AlternateContent>
  <xr:revisionPtr revIDLastSave="0" documentId="13_ncr:1_{79177D27-F10D-49D3-9C2A-829B11ED0761}" xr6:coauthVersionLast="36" xr6:coauthVersionMax="36" xr10:uidLastSave="{00000000-0000-0000-0000-000000000000}"/>
  <bookViews>
    <workbookView xWindow="0" yWindow="0" windowWidth="20412" windowHeight="7656" activeTab="3" xr2:uid="{00000000-000D-0000-FFFF-FFFF00000000}"/>
  </bookViews>
  <sheets>
    <sheet name="DATA" sheetId="13" r:id="rId1"/>
    <sheet name="DATA-Match" sheetId="14" r:id="rId2"/>
    <sheet name="STDA-Match" sheetId="16" r:id="rId3"/>
    <sheet name="MonthlyRates" sheetId="25" r:id="rId4"/>
    <sheet name="Annual" sheetId="26" r:id="rId5"/>
    <sheet name="Pruebas de tendencia de Mann-K1" sheetId="18" state="hidden" r:id="rId6"/>
    <sheet name="var1" sheetId="21" r:id="rId7"/>
    <sheet name="var2" sheetId="22" r:id="rId8"/>
    <sheet name="var3" sheetId="23" r:id="rId9"/>
    <sheet name="var4" sheetId="24" r:id="rId10"/>
    <sheet name="Plots" sheetId="12" r:id="rId11"/>
    <sheet name="Hoja1" sheetId="27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1" hidden="1">'DATA-Match'!$F$2:$I$2</definedName>
    <definedName name="_xlnm._FilterDatabase" localSheetId="11" hidden="1">Hoja1!$A$1:$E$1</definedName>
    <definedName name="_xlnm._FilterDatabase" localSheetId="2" hidden="1">'STDA-Match'!$F$2:$I$2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" i="26" l="1"/>
  <c r="AG4" i="26"/>
  <c r="AG5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F3" i="26"/>
  <c r="AF4" i="26"/>
  <c r="AF5" i="26"/>
  <c r="AF6" i="26"/>
  <c r="AF7" i="26"/>
  <c r="AF8" i="26"/>
  <c r="AF9" i="26"/>
  <c r="AF10" i="26"/>
  <c r="AF11" i="26"/>
  <c r="AF12" i="26"/>
  <c r="AF13" i="26"/>
  <c r="AF14" i="26"/>
  <c r="AF15" i="26"/>
  <c r="AF16" i="26"/>
  <c r="AF17" i="26"/>
  <c r="AF18" i="26"/>
  <c r="AF19" i="26"/>
  <c r="AF20" i="26"/>
  <c r="AF21" i="26"/>
  <c r="AF22" i="26"/>
  <c r="AF23" i="26"/>
  <c r="AF24" i="26"/>
  <c r="AF25" i="26"/>
  <c r="AF26" i="26"/>
  <c r="AF27" i="26"/>
  <c r="AF28" i="26"/>
  <c r="AF29" i="26"/>
  <c r="AF30" i="26"/>
  <c r="AF31" i="26"/>
  <c r="AF32" i="26"/>
  <c r="AF33" i="26"/>
  <c r="AF34" i="26"/>
  <c r="AF35" i="26"/>
  <c r="AF36" i="26"/>
  <c r="AF37" i="26"/>
  <c r="AF38" i="26"/>
  <c r="AF39" i="26"/>
  <c r="AF40" i="26"/>
  <c r="AF41" i="26"/>
  <c r="AF42" i="26"/>
  <c r="AF43" i="26"/>
  <c r="AF44" i="26"/>
  <c r="AF45" i="26"/>
  <c r="AF46" i="26"/>
  <c r="AF47" i="26"/>
  <c r="AF48" i="26"/>
  <c r="AF49" i="26"/>
  <c r="AF50" i="26"/>
  <c r="AF51" i="26"/>
  <c r="AF52" i="26"/>
  <c r="AF53" i="26"/>
  <c r="AF54" i="26"/>
  <c r="AF55" i="26"/>
  <c r="AF56" i="26"/>
  <c r="AF57" i="26"/>
  <c r="AF58" i="26"/>
  <c r="AF59" i="26"/>
  <c r="AF60" i="26"/>
  <c r="AF61" i="26"/>
  <c r="AF62" i="26"/>
  <c r="AF63" i="26"/>
  <c r="AF64" i="26"/>
  <c r="AF65" i="26"/>
  <c r="AF66" i="26"/>
  <c r="AF67" i="26"/>
  <c r="AF2" i="26"/>
  <c r="AG2" i="26"/>
  <c r="AE3" i="26"/>
  <c r="AE4" i="26"/>
  <c r="AE5" i="26"/>
  <c r="AE6" i="26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2" i="26"/>
  <c r="AA69" i="26"/>
  <c r="AB69" i="26"/>
  <c r="AA70" i="26"/>
  <c r="AB70" i="26"/>
  <c r="Z70" i="26"/>
  <c r="Z69" i="26"/>
  <c r="AA3" i="26"/>
  <c r="AB3" i="26"/>
  <c r="AA4" i="26"/>
  <c r="AB4" i="26"/>
  <c r="AA5" i="26"/>
  <c r="AB5" i="26"/>
  <c r="AA6" i="26"/>
  <c r="AB6" i="26"/>
  <c r="AA7" i="26"/>
  <c r="AB7" i="26"/>
  <c r="AA8" i="26"/>
  <c r="AB8" i="26"/>
  <c r="AA9" i="26"/>
  <c r="AB9" i="26"/>
  <c r="AA10" i="26"/>
  <c r="AB10" i="26"/>
  <c r="AA11" i="26"/>
  <c r="AB11" i="26"/>
  <c r="AA12" i="26"/>
  <c r="AB12" i="26"/>
  <c r="AA13" i="26"/>
  <c r="AB13" i="26"/>
  <c r="AA14" i="26"/>
  <c r="AB14" i="26"/>
  <c r="AA15" i="26"/>
  <c r="AB15" i="26"/>
  <c r="AA16" i="26"/>
  <c r="AB16" i="26"/>
  <c r="AA17" i="26"/>
  <c r="AB17" i="26"/>
  <c r="AA18" i="26"/>
  <c r="AB18" i="26"/>
  <c r="AA19" i="26"/>
  <c r="AB19" i="26"/>
  <c r="AA20" i="26"/>
  <c r="AB20" i="26"/>
  <c r="AA21" i="26"/>
  <c r="AB21" i="26"/>
  <c r="AA22" i="26"/>
  <c r="AB22" i="26"/>
  <c r="AA23" i="26"/>
  <c r="AB23" i="26"/>
  <c r="AA24" i="26"/>
  <c r="AB24" i="26"/>
  <c r="AA25" i="26"/>
  <c r="AB25" i="26"/>
  <c r="AA26" i="26"/>
  <c r="AB26" i="26"/>
  <c r="AA27" i="26"/>
  <c r="AB27" i="26"/>
  <c r="AA28" i="26"/>
  <c r="AB28" i="26"/>
  <c r="AA29" i="26"/>
  <c r="AB29" i="26"/>
  <c r="AA30" i="26"/>
  <c r="AB30" i="26"/>
  <c r="AA31" i="26"/>
  <c r="AB31" i="26"/>
  <c r="AA32" i="26"/>
  <c r="AB32" i="26"/>
  <c r="AA33" i="26"/>
  <c r="AB33" i="26"/>
  <c r="AA34" i="26"/>
  <c r="AB34" i="26"/>
  <c r="AA35" i="26"/>
  <c r="AB35" i="26"/>
  <c r="AA36" i="26"/>
  <c r="AB36" i="26"/>
  <c r="AA37" i="26"/>
  <c r="AB37" i="26"/>
  <c r="AA38" i="26"/>
  <c r="AB38" i="26"/>
  <c r="AA39" i="26"/>
  <c r="AB39" i="26"/>
  <c r="AA40" i="26"/>
  <c r="AB40" i="26"/>
  <c r="AA41" i="26"/>
  <c r="AB41" i="26"/>
  <c r="AA42" i="26"/>
  <c r="AB42" i="26"/>
  <c r="AA43" i="26"/>
  <c r="AB43" i="26"/>
  <c r="AA44" i="26"/>
  <c r="AB44" i="26"/>
  <c r="AA45" i="26"/>
  <c r="AB45" i="26"/>
  <c r="AA46" i="26"/>
  <c r="AB46" i="26"/>
  <c r="AA47" i="26"/>
  <c r="AB47" i="26"/>
  <c r="AA48" i="26"/>
  <c r="AB48" i="26"/>
  <c r="AA49" i="26"/>
  <c r="AB49" i="26"/>
  <c r="AA50" i="26"/>
  <c r="AB50" i="26"/>
  <c r="AA51" i="26"/>
  <c r="AB51" i="26"/>
  <c r="AA52" i="26"/>
  <c r="AB52" i="26"/>
  <c r="AA53" i="26"/>
  <c r="AB53" i="26"/>
  <c r="AA54" i="26"/>
  <c r="AB54" i="26"/>
  <c r="AA55" i="26"/>
  <c r="AB55" i="26"/>
  <c r="AA56" i="26"/>
  <c r="AB56" i="26"/>
  <c r="AA57" i="26"/>
  <c r="AB57" i="26"/>
  <c r="AA58" i="26"/>
  <c r="AB58" i="26"/>
  <c r="AA59" i="26"/>
  <c r="AB59" i="26"/>
  <c r="AA60" i="26"/>
  <c r="AB60" i="26"/>
  <c r="AA61" i="26"/>
  <c r="AB61" i="26"/>
  <c r="AA62" i="26"/>
  <c r="AB62" i="26"/>
  <c r="AA63" i="26"/>
  <c r="AB63" i="26"/>
  <c r="AA64" i="26"/>
  <c r="AB64" i="26"/>
  <c r="AA65" i="26"/>
  <c r="AB65" i="26"/>
  <c r="AA66" i="26"/>
  <c r="AB66" i="26"/>
  <c r="AA67" i="26"/>
  <c r="AB67" i="26"/>
  <c r="AA2" i="26"/>
  <c r="AB2" i="26"/>
  <c r="Z3" i="26"/>
  <c r="Z4" i="26"/>
  <c r="Z5" i="26"/>
  <c r="Z6" i="26"/>
  <c r="Z7" i="26"/>
  <c r="Z8" i="26"/>
  <c r="Z9" i="26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2" i="26"/>
  <c r="BI784" i="25" l="1"/>
  <c r="BH784" i="25"/>
  <c r="BG784" i="25"/>
  <c r="BI783" i="25"/>
  <c r="BH783" i="25"/>
  <c r="BG783" i="25"/>
  <c r="BI782" i="25"/>
  <c r="BH782" i="25"/>
  <c r="BG782" i="25"/>
  <c r="BI781" i="25"/>
  <c r="BH781" i="25"/>
  <c r="BG781" i="25"/>
  <c r="BI780" i="25"/>
  <c r="BH780" i="25"/>
  <c r="BG780" i="25"/>
  <c r="BI779" i="25"/>
  <c r="BH779" i="25"/>
  <c r="BG779" i="25"/>
  <c r="BI778" i="25"/>
  <c r="BH778" i="25"/>
  <c r="BG778" i="25"/>
  <c r="BI777" i="25"/>
  <c r="BH777" i="25"/>
  <c r="BG777" i="25"/>
  <c r="BI776" i="25"/>
  <c r="BH776" i="25"/>
  <c r="BG776" i="25"/>
  <c r="BI775" i="25"/>
  <c r="BH775" i="25"/>
  <c r="BG775" i="25"/>
  <c r="BI774" i="25"/>
  <c r="BH774" i="25"/>
  <c r="BG774" i="25"/>
  <c r="BI773" i="25"/>
  <c r="BH773" i="25"/>
  <c r="BG773" i="25"/>
  <c r="BI772" i="25"/>
  <c r="BH772" i="25"/>
  <c r="BG772" i="25"/>
  <c r="BI771" i="25"/>
  <c r="BH771" i="25"/>
  <c r="BG771" i="25"/>
  <c r="BI770" i="25"/>
  <c r="BH770" i="25"/>
  <c r="BG770" i="25"/>
  <c r="BI769" i="25"/>
  <c r="BH769" i="25"/>
  <c r="BG769" i="25"/>
  <c r="BI768" i="25"/>
  <c r="BH768" i="25"/>
  <c r="BG768" i="25"/>
  <c r="BI767" i="25"/>
  <c r="BH767" i="25"/>
  <c r="BG767" i="25"/>
  <c r="BI766" i="25"/>
  <c r="BH766" i="25"/>
  <c r="BG766" i="25"/>
  <c r="BI765" i="25"/>
  <c r="BH765" i="25"/>
  <c r="BG765" i="25"/>
  <c r="BI764" i="25"/>
  <c r="BH764" i="25"/>
  <c r="BG764" i="25"/>
  <c r="BI763" i="25"/>
  <c r="BH763" i="25"/>
  <c r="BG763" i="25"/>
  <c r="BI762" i="25"/>
  <c r="BH762" i="25"/>
  <c r="BG762" i="25"/>
  <c r="BI761" i="25"/>
  <c r="BH761" i="25"/>
  <c r="BG761" i="25"/>
  <c r="BI760" i="25"/>
  <c r="BH760" i="25"/>
  <c r="BG760" i="25"/>
  <c r="BI759" i="25"/>
  <c r="BH759" i="25"/>
  <c r="BG759" i="25"/>
  <c r="BI758" i="25"/>
  <c r="BH758" i="25"/>
  <c r="BG758" i="25"/>
  <c r="BI757" i="25"/>
  <c r="BH757" i="25"/>
  <c r="BG757" i="25"/>
  <c r="BI756" i="25"/>
  <c r="BH756" i="25"/>
  <c r="BG756" i="25"/>
  <c r="BI755" i="25"/>
  <c r="BH755" i="25"/>
  <c r="BG755" i="25"/>
  <c r="BI754" i="25"/>
  <c r="BH754" i="25"/>
  <c r="BG754" i="25"/>
  <c r="BI753" i="25"/>
  <c r="BH753" i="25"/>
  <c r="BG753" i="25"/>
  <c r="BI752" i="25"/>
  <c r="BH752" i="25"/>
  <c r="BG752" i="25"/>
  <c r="BI751" i="25"/>
  <c r="BH751" i="25"/>
  <c r="BG751" i="25"/>
  <c r="BI750" i="25"/>
  <c r="BH750" i="25"/>
  <c r="BG750" i="25"/>
  <c r="BI749" i="25"/>
  <c r="BH749" i="25"/>
  <c r="BG749" i="25"/>
  <c r="BI748" i="25"/>
  <c r="BH748" i="25"/>
  <c r="BG748" i="25"/>
  <c r="BI747" i="25"/>
  <c r="BH747" i="25"/>
  <c r="BG747" i="25"/>
  <c r="BI746" i="25"/>
  <c r="BH746" i="25"/>
  <c r="BG746" i="25"/>
  <c r="BI745" i="25"/>
  <c r="BH745" i="25"/>
  <c r="BG745" i="25"/>
  <c r="BI744" i="25"/>
  <c r="BH744" i="25"/>
  <c r="BG744" i="25"/>
  <c r="BI743" i="25"/>
  <c r="BH743" i="25"/>
  <c r="BG743" i="25"/>
  <c r="BI742" i="25"/>
  <c r="BH742" i="25"/>
  <c r="BG742" i="25"/>
  <c r="BI741" i="25"/>
  <c r="BH741" i="25"/>
  <c r="BG741" i="25"/>
  <c r="BI740" i="25"/>
  <c r="BH740" i="25"/>
  <c r="BG740" i="25"/>
  <c r="BI739" i="25"/>
  <c r="BH739" i="25"/>
  <c r="BG739" i="25"/>
  <c r="BI738" i="25"/>
  <c r="BH738" i="25"/>
  <c r="BG738" i="25"/>
  <c r="BI737" i="25"/>
  <c r="BH737" i="25"/>
  <c r="BG737" i="25"/>
  <c r="BI736" i="25"/>
  <c r="BH736" i="25"/>
  <c r="BG736" i="25"/>
  <c r="BI735" i="25"/>
  <c r="BH735" i="25"/>
  <c r="BG735" i="25"/>
  <c r="BI734" i="25"/>
  <c r="BH734" i="25"/>
  <c r="BG734" i="25"/>
  <c r="BI733" i="25"/>
  <c r="BH733" i="25"/>
  <c r="BG733" i="25"/>
  <c r="BI732" i="25"/>
  <c r="BH732" i="25"/>
  <c r="BG732" i="25"/>
  <c r="BI731" i="25"/>
  <c r="BH731" i="25"/>
  <c r="BG731" i="25"/>
  <c r="BI730" i="25"/>
  <c r="BH730" i="25"/>
  <c r="BG730" i="25"/>
  <c r="BI729" i="25"/>
  <c r="BH729" i="25"/>
  <c r="BG729" i="25"/>
  <c r="BI728" i="25"/>
  <c r="BH728" i="25"/>
  <c r="BG728" i="25"/>
  <c r="BI727" i="25"/>
  <c r="BH727" i="25"/>
  <c r="BG727" i="25"/>
  <c r="BI726" i="25"/>
  <c r="BH726" i="25"/>
  <c r="BG726" i="25"/>
  <c r="BI725" i="25"/>
  <c r="BH725" i="25"/>
  <c r="BG725" i="25"/>
  <c r="BI724" i="25"/>
  <c r="BH724" i="25"/>
  <c r="BG724" i="25"/>
  <c r="BI723" i="25"/>
  <c r="BH723" i="25"/>
  <c r="BG723" i="25"/>
  <c r="BI722" i="25"/>
  <c r="BH722" i="25"/>
  <c r="BG722" i="25"/>
  <c r="BI721" i="25"/>
  <c r="BH721" i="25"/>
  <c r="BG721" i="25"/>
  <c r="BI720" i="25"/>
  <c r="BH720" i="25"/>
  <c r="BG720" i="25"/>
  <c r="BI719" i="25"/>
  <c r="BH719" i="25"/>
  <c r="BG719" i="25"/>
  <c r="BI718" i="25"/>
  <c r="BH718" i="25"/>
  <c r="BG718" i="25"/>
  <c r="BI717" i="25"/>
  <c r="BH717" i="25"/>
  <c r="BG717" i="25"/>
  <c r="BI716" i="25"/>
  <c r="BH716" i="25"/>
  <c r="BG716" i="25"/>
  <c r="BI715" i="25"/>
  <c r="BH715" i="25"/>
  <c r="BG715" i="25"/>
  <c r="BI714" i="25"/>
  <c r="BH714" i="25"/>
  <c r="BG714" i="25"/>
  <c r="BI713" i="25"/>
  <c r="BH713" i="25"/>
  <c r="BG713" i="25"/>
  <c r="BI712" i="25"/>
  <c r="BH712" i="25"/>
  <c r="BG712" i="25"/>
  <c r="BI711" i="25"/>
  <c r="BH711" i="25"/>
  <c r="BG711" i="25"/>
  <c r="BI710" i="25"/>
  <c r="BH710" i="25"/>
  <c r="BG710" i="25"/>
  <c r="BI709" i="25"/>
  <c r="BH709" i="25"/>
  <c r="BG709" i="25"/>
  <c r="BI708" i="25"/>
  <c r="BH708" i="25"/>
  <c r="BG708" i="25"/>
  <c r="BI707" i="25"/>
  <c r="BH707" i="25"/>
  <c r="BG707" i="25"/>
  <c r="BI706" i="25"/>
  <c r="BH706" i="25"/>
  <c r="BG706" i="25"/>
  <c r="BI705" i="25"/>
  <c r="BH705" i="25"/>
  <c r="BG705" i="25"/>
  <c r="BI704" i="25"/>
  <c r="BH704" i="25"/>
  <c r="BG704" i="25"/>
  <c r="BI703" i="25"/>
  <c r="BH703" i="25"/>
  <c r="BG703" i="25"/>
  <c r="BI702" i="25"/>
  <c r="BH702" i="25"/>
  <c r="BG702" i="25"/>
  <c r="BI701" i="25"/>
  <c r="BH701" i="25"/>
  <c r="BG701" i="25"/>
  <c r="BI700" i="25"/>
  <c r="BH700" i="25"/>
  <c r="BG700" i="25"/>
  <c r="BI699" i="25"/>
  <c r="BH699" i="25"/>
  <c r="BG699" i="25"/>
  <c r="BI698" i="25"/>
  <c r="BH698" i="25"/>
  <c r="BG698" i="25"/>
  <c r="BI697" i="25"/>
  <c r="BH697" i="25"/>
  <c r="BG697" i="25"/>
  <c r="BI696" i="25"/>
  <c r="BH696" i="25"/>
  <c r="BG696" i="25"/>
  <c r="BI695" i="25"/>
  <c r="BH695" i="25"/>
  <c r="BG695" i="25"/>
  <c r="BI694" i="25"/>
  <c r="BH694" i="25"/>
  <c r="BG694" i="25"/>
  <c r="BI693" i="25"/>
  <c r="BH693" i="25"/>
  <c r="BG693" i="25"/>
  <c r="BI692" i="25"/>
  <c r="BH692" i="25"/>
  <c r="BG692" i="25"/>
  <c r="BI691" i="25"/>
  <c r="BH691" i="25"/>
  <c r="BG691" i="25"/>
  <c r="BI690" i="25"/>
  <c r="BH690" i="25"/>
  <c r="BG690" i="25"/>
  <c r="BI689" i="25"/>
  <c r="BH689" i="25"/>
  <c r="BG689" i="25"/>
  <c r="BI688" i="25"/>
  <c r="BH688" i="25"/>
  <c r="BG688" i="25"/>
  <c r="BI687" i="25"/>
  <c r="BH687" i="25"/>
  <c r="BG687" i="25"/>
  <c r="BI686" i="25"/>
  <c r="BH686" i="25"/>
  <c r="BG686" i="25"/>
  <c r="BI685" i="25"/>
  <c r="BH685" i="25"/>
  <c r="BG685" i="25"/>
  <c r="BI684" i="25"/>
  <c r="BH684" i="25"/>
  <c r="BG684" i="25"/>
  <c r="BI683" i="25"/>
  <c r="BH683" i="25"/>
  <c r="BG683" i="25"/>
  <c r="BI682" i="25"/>
  <c r="BH682" i="25"/>
  <c r="BG682" i="25"/>
  <c r="BI681" i="25"/>
  <c r="BH681" i="25"/>
  <c r="BG681" i="25"/>
  <c r="BI680" i="25"/>
  <c r="BH680" i="25"/>
  <c r="BG680" i="25"/>
  <c r="BI679" i="25"/>
  <c r="BH679" i="25"/>
  <c r="BG679" i="25"/>
  <c r="BI678" i="25"/>
  <c r="BH678" i="25"/>
  <c r="BG678" i="25"/>
  <c r="BI677" i="25"/>
  <c r="BH677" i="25"/>
  <c r="BG677" i="25"/>
  <c r="BI676" i="25"/>
  <c r="BH676" i="25"/>
  <c r="BG676" i="25"/>
  <c r="BI675" i="25"/>
  <c r="BH675" i="25"/>
  <c r="BG675" i="25"/>
  <c r="BI674" i="25"/>
  <c r="BH674" i="25"/>
  <c r="BG674" i="25"/>
  <c r="BI673" i="25"/>
  <c r="BH673" i="25"/>
  <c r="BG673" i="25"/>
  <c r="BI672" i="25"/>
  <c r="BH672" i="25"/>
  <c r="BG672" i="25"/>
  <c r="BI671" i="25"/>
  <c r="BH671" i="25"/>
  <c r="BG671" i="25"/>
  <c r="BI670" i="25"/>
  <c r="BH670" i="25"/>
  <c r="BG670" i="25"/>
  <c r="BI669" i="25"/>
  <c r="BH669" i="25"/>
  <c r="BG669" i="25"/>
  <c r="BI668" i="25"/>
  <c r="BH668" i="25"/>
  <c r="BG668" i="25"/>
  <c r="BI667" i="25"/>
  <c r="BH667" i="25"/>
  <c r="BG667" i="25"/>
  <c r="BI666" i="25"/>
  <c r="BH666" i="25"/>
  <c r="BG666" i="25"/>
  <c r="BI665" i="25"/>
  <c r="BH665" i="25"/>
  <c r="BG665" i="25"/>
  <c r="BI664" i="25"/>
  <c r="BH664" i="25"/>
  <c r="BG664" i="25"/>
  <c r="BI663" i="25"/>
  <c r="BH663" i="25"/>
  <c r="BG663" i="25"/>
  <c r="BI662" i="25"/>
  <c r="BH662" i="25"/>
  <c r="BG662" i="25"/>
  <c r="BI661" i="25"/>
  <c r="BH661" i="25"/>
  <c r="BG661" i="25"/>
  <c r="BI660" i="25"/>
  <c r="BH660" i="25"/>
  <c r="BG660" i="25"/>
  <c r="BI659" i="25"/>
  <c r="BH659" i="25"/>
  <c r="BG659" i="25"/>
  <c r="BI658" i="25"/>
  <c r="BH658" i="25"/>
  <c r="BG658" i="25"/>
  <c r="BI657" i="25"/>
  <c r="BH657" i="25"/>
  <c r="BG657" i="25"/>
  <c r="BI656" i="25"/>
  <c r="BH656" i="25"/>
  <c r="BG656" i="25"/>
  <c r="BI655" i="25"/>
  <c r="BH655" i="25"/>
  <c r="BG655" i="25"/>
  <c r="BI654" i="25"/>
  <c r="BH654" i="25"/>
  <c r="BG654" i="25"/>
  <c r="BI653" i="25"/>
  <c r="BH653" i="25"/>
  <c r="BG653" i="25"/>
  <c r="BI652" i="25"/>
  <c r="BH652" i="25"/>
  <c r="BG652" i="25"/>
  <c r="BI651" i="25"/>
  <c r="BH651" i="25"/>
  <c r="BG651" i="25"/>
  <c r="BI650" i="25"/>
  <c r="BH650" i="25"/>
  <c r="BG650" i="25"/>
  <c r="BI649" i="25"/>
  <c r="BH649" i="25"/>
  <c r="BG649" i="25"/>
  <c r="BI648" i="25"/>
  <c r="BH648" i="25"/>
  <c r="BG648" i="25"/>
  <c r="BI647" i="25"/>
  <c r="BH647" i="25"/>
  <c r="BG647" i="25"/>
  <c r="BI646" i="25"/>
  <c r="BH646" i="25"/>
  <c r="BG646" i="25"/>
  <c r="BI645" i="25"/>
  <c r="BH645" i="25"/>
  <c r="BG645" i="25"/>
  <c r="BI644" i="25"/>
  <c r="BH644" i="25"/>
  <c r="BG644" i="25"/>
  <c r="BI643" i="25"/>
  <c r="BH643" i="25"/>
  <c r="BG643" i="25"/>
  <c r="BI642" i="25"/>
  <c r="BH642" i="25"/>
  <c r="BG642" i="25"/>
  <c r="BI641" i="25"/>
  <c r="BH641" i="25"/>
  <c r="BG641" i="25"/>
  <c r="BI640" i="25"/>
  <c r="BH640" i="25"/>
  <c r="BG640" i="25"/>
  <c r="BI639" i="25"/>
  <c r="BH639" i="25"/>
  <c r="BG639" i="25"/>
  <c r="BI638" i="25"/>
  <c r="BH638" i="25"/>
  <c r="BG638" i="25"/>
  <c r="BI637" i="25"/>
  <c r="BH637" i="25"/>
  <c r="BG637" i="25"/>
  <c r="BI636" i="25"/>
  <c r="BH636" i="25"/>
  <c r="BG636" i="25"/>
  <c r="BI635" i="25"/>
  <c r="BH635" i="25"/>
  <c r="BG635" i="25"/>
  <c r="BI634" i="25"/>
  <c r="BH634" i="25"/>
  <c r="BG634" i="25"/>
  <c r="BI633" i="25"/>
  <c r="BH633" i="25"/>
  <c r="BG633" i="25"/>
  <c r="BI632" i="25"/>
  <c r="BH632" i="25"/>
  <c r="BG632" i="25"/>
  <c r="BI631" i="25"/>
  <c r="BH631" i="25"/>
  <c r="BG631" i="25"/>
  <c r="BI630" i="25"/>
  <c r="BH630" i="25"/>
  <c r="BG630" i="25"/>
  <c r="BI629" i="25"/>
  <c r="BH629" i="25"/>
  <c r="BG629" i="25"/>
  <c r="BI628" i="25"/>
  <c r="BH628" i="25"/>
  <c r="BG628" i="25"/>
  <c r="BI627" i="25"/>
  <c r="BH627" i="25"/>
  <c r="BG627" i="25"/>
  <c r="BI626" i="25"/>
  <c r="BH626" i="25"/>
  <c r="BG626" i="25"/>
  <c r="BI625" i="25"/>
  <c r="BH625" i="25"/>
  <c r="BG625" i="25"/>
  <c r="BI624" i="25"/>
  <c r="BH624" i="25"/>
  <c r="BG624" i="25"/>
  <c r="BI623" i="25"/>
  <c r="BH623" i="25"/>
  <c r="BG623" i="25"/>
  <c r="BI622" i="25"/>
  <c r="BH622" i="25"/>
  <c r="BG622" i="25"/>
  <c r="BI621" i="25"/>
  <c r="BH621" i="25"/>
  <c r="BG621" i="25"/>
  <c r="BI620" i="25"/>
  <c r="BH620" i="25"/>
  <c r="BG620" i="25"/>
  <c r="BI619" i="25"/>
  <c r="BH619" i="25"/>
  <c r="BG619" i="25"/>
  <c r="BI618" i="25"/>
  <c r="BH618" i="25"/>
  <c r="BG618" i="25"/>
  <c r="BI617" i="25"/>
  <c r="BH617" i="25"/>
  <c r="BG617" i="25"/>
  <c r="BI616" i="25"/>
  <c r="BH616" i="25"/>
  <c r="BG616" i="25"/>
  <c r="BI615" i="25"/>
  <c r="BH615" i="25"/>
  <c r="BG615" i="25"/>
  <c r="BI614" i="25"/>
  <c r="BH614" i="25"/>
  <c r="BG614" i="25"/>
  <c r="BI613" i="25"/>
  <c r="BH613" i="25"/>
  <c r="BG613" i="25"/>
  <c r="BI612" i="25"/>
  <c r="BH612" i="25"/>
  <c r="BG612" i="25"/>
  <c r="BI611" i="25"/>
  <c r="BH611" i="25"/>
  <c r="BG611" i="25"/>
  <c r="BI610" i="25"/>
  <c r="BH610" i="25"/>
  <c r="BG610" i="25"/>
  <c r="BI609" i="25"/>
  <c r="BH609" i="25"/>
  <c r="BG609" i="25"/>
  <c r="BI608" i="25"/>
  <c r="BH608" i="25"/>
  <c r="BG608" i="25"/>
  <c r="BI607" i="25"/>
  <c r="BH607" i="25"/>
  <c r="BG607" i="25"/>
  <c r="BI606" i="25"/>
  <c r="BH606" i="25"/>
  <c r="BG606" i="25"/>
  <c r="BI605" i="25"/>
  <c r="BH605" i="25"/>
  <c r="BG605" i="25"/>
  <c r="BI604" i="25"/>
  <c r="BH604" i="25"/>
  <c r="BG604" i="25"/>
  <c r="BI603" i="25"/>
  <c r="BH603" i="25"/>
  <c r="BG603" i="25"/>
  <c r="BI602" i="25"/>
  <c r="BH602" i="25"/>
  <c r="BG602" i="25"/>
  <c r="BI601" i="25"/>
  <c r="BH601" i="25"/>
  <c r="BG601" i="25"/>
  <c r="BI600" i="25"/>
  <c r="BH600" i="25"/>
  <c r="BG600" i="25"/>
  <c r="BI599" i="25"/>
  <c r="BH599" i="25"/>
  <c r="BG599" i="25"/>
  <c r="BI598" i="25"/>
  <c r="BH598" i="25"/>
  <c r="BG598" i="25"/>
  <c r="BI597" i="25"/>
  <c r="BH597" i="25"/>
  <c r="BG597" i="25"/>
  <c r="BI596" i="25"/>
  <c r="BH596" i="25"/>
  <c r="BG596" i="25"/>
  <c r="BI595" i="25"/>
  <c r="BH595" i="25"/>
  <c r="BG595" i="25"/>
  <c r="BI594" i="25"/>
  <c r="BH594" i="25"/>
  <c r="BG594" i="25"/>
  <c r="BI593" i="25"/>
  <c r="BH593" i="25"/>
  <c r="BG593" i="25"/>
  <c r="BI592" i="25"/>
  <c r="BH592" i="25"/>
  <c r="BG592" i="25"/>
  <c r="BI591" i="25"/>
  <c r="BH591" i="25"/>
  <c r="BG591" i="25"/>
  <c r="BI590" i="25"/>
  <c r="BH590" i="25"/>
  <c r="BG590" i="25"/>
  <c r="BI589" i="25"/>
  <c r="BH589" i="25"/>
  <c r="BG589" i="25"/>
  <c r="BI588" i="25"/>
  <c r="BH588" i="25"/>
  <c r="BG588" i="25"/>
  <c r="BI587" i="25"/>
  <c r="BH587" i="25"/>
  <c r="BG587" i="25"/>
  <c r="BI586" i="25"/>
  <c r="BH586" i="25"/>
  <c r="BG586" i="25"/>
  <c r="BI585" i="25"/>
  <c r="BH585" i="25"/>
  <c r="BG585" i="25"/>
  <c r="BI584" i="25"/>
  <c r="BH584" i="25"/>
  <c r="BG584" i="25"/>
  <c r="BI583" i="25"/>
  <c r="BH583" i="25"/>
  <c r="BG583" i="25"/>
  <c r="BI582" i="25"/>
  <c r="BH582" i="25"/>
  <c r="BG582" i="25"/>
  <c r="BI581" i="25"/>
  <c r="BH581" i="25"/>
  <c r="BG581" i="25"/>
  <c r="BI580" i="25"/>
  <c r="BH580" i="25"/>
  <c r="BG580" i="25"/>
  <c r="BI579" i="25"/>
  <c r="BH579" i="25"/>
  <c r="BG579" i="25"/>
  <c r="BI578" i="25"/>
  <c r="BH578" i="25"/>
  <c r="BG578" i="25"/>
  <c r="BI577" i="25"/>
  <c r="BH577" i="25"/>
  <c r="BG577" i="25"/>
  <c r="BI576" i="25"/>
  <c r="BH576" i="25"/>
  <c r="BG576" i="25"/>
  <c r="BI575" i="25"/>
  <c r="BH575" i="25"/>
  <c r="BG575" i="25"/>
  <c r="BI574" i="25"/>
  <c r="BH574" i="25"/>
  <c r="BG574" i="25"/>
  <c r="BI573" i="25"/>
  <c r="BH573" i="25"/>
  <c r="BG573" i="25"/>
  <c r="BI572" i="25"/>
  <c r="BH572" i="25"/>
  <c r="BG572" i="25"/>
  <c r="BI571" i="25"/>
  <c r="BH571" i="25"/>
  <c r="BG571" i="25"/>
  <c r="BI570" i="25"/>
  <c r="BH570" i="25"/>
  <c r="BG570" i="25"/>
  <c r="BI569" i="25"/>
  <c r="BH569" i="25"/>
  <c r="BG569" i="25"/>
  <c r="BI568" i="25"/>
  <c r="BH568" i="25"/>
  <c r="BG568" i="25"/>
  <c r="BI567" i="25"/>
  <c r="BH567" i="25"/>
  <c r="BG567" i="25"/>
  <c r="BI566" i="25"/>
  <c r="BH566" i="25"/>
  <c r="BG566" i="25"/>
  <c r="BI565" i="25"/>
  <c r="BH565" i="25"/>
  <c r="BG565" i="25"/>
  <c r="BI564" i="25"/>
  <c r="BH564" i="25"/>
  <c r="BG564" i="25"/>
  <c r="BI563" i="25"/>
  <c r="BH563" i="25"/>
  <c r="BG563" i="25"/>
  <c r="BI562" i="25"/>
  <c r="BH562" i="25"/>
  <c r="BG562" i="25"/>
  <c r="BI561" i="25"/>
  <c r="BH561" i="25"/>
  <c r="BG561" i="25"/>
  <c r="BI560" i="25"/>
  <c r="BH560" i="25"/>
  <c r="BG560" i="25"/>
  <c r="BI559" i="25"/>
  <c r="BH559" i="25"/>
  <c r="BG559" i="25"/>
  <c r="BI558" i="25"/>
  <c r="BH558" i="25"/>
  <c r="BG558" i="25"/>
  <c r="BI557" i="25"/>
  <c r="BH557" i="25"/>
  <c r="BG557" i="25"/>
  <c r="BI556" i="25"/>
  <c r="BH556" i="25"/>
  <c r="BG556" i="25"/>
  <c r="BI555" i="25"/>
  <c r="BH555" i="25"/>
  <c r="BG555" i="25"/>
  <c r="BI554" i="25"/>
  <c r="BH554" i="25"/>
  <c r="BG554" i="25"/>
  <c r="BI553" i="25"/>
  <c r="BH553" i="25"/>
  <c r="BG553" i="25"/>
  <c r="BI552" i="25"/>
  <c r="BH552" i="25"/>
  <c r="BG552" i="25"/>
  <c r="BI551" i="25"/>
  <c r="BH551" i="25"/>
  <c r="BG551" i="25"/>
  <c r="BI550" i="25"/>
  <c r="BH550" i="25"/>
  <c r="BG550" i="25"/>
  <c r="BI549" i="25"/>
  <c r="BH549" i="25"/>
  <c r="BG549" i="25"/>
  <c r="BI548" i="25"/>
  <c r="BH548" i="25"/>
  <c r="BG548" i="25"/>
  <c r="BI547" i="25"/>
  <c r="BH547" i="25"/>
  <c r="BG547" i="25"/>
  <c r="BI546" i="25"/>
  <c r="BH546" i="25"/>
  <c r="BG546" i="25"/>
  <c r="BI545" i="25"/>
  <c r="BH545" i="25"/>
  <c r="BG545" i="25"/>
  <c r="BI544" i="25"/>
  <c r="BH544" i="25"/>
  <c r="BG544" i="25"/>
  <c r="BI543" i="25"/>
  <c r="BH543" i="25"/>
  <c r="BG543" i="25"/>
  <c r="BI542" i="25"/>
  <c r="BH542" i="25"/>
  <c r="BG542" i="25"/>
  <c r="BI541" i="25"/>
  <c r="BH541" i="25"/>
  <c r="BG541" i="25"/>
  <c r="BI540" i="25"/>
  <c r="BH540" i="25"/>
  <c r="BG540" i="25"/>
  <c r="BI539" i="25"/>
  <c r="BH539" i="25"/>
  <c r="BG539" i="25"/>
  <c r="BI538" i="25"/>
  <c r="BH538" i="25"/>
  <c r="BG538" i="25"/>
  <c r="BI537" i="25"/>
  <c r="BH537" i="25"/>
  <c r="BG537" i="25"/>
  <c r="BI536" i="25"/>
  <c r="BH536" i="25"/>
  <c r="BG536" i="25"/>
  <c r="BI535" i="25"/>
  <c r="BH535" i="25"/>
  <c r="BG535" i="25"/>
  <c r="BI534" i="25"/>
  <c r="BH534" i="25"/>
  <c r="BG534" i="25"/>
  <c r="BI533" i="25"/>
  <c r="BH533" i="25"/>
  <c r="BG533" i="25"/>
  <c r="BI532" i="25"/>
  <c r="BH532" i="25"/>
  <c r="BG532" i="25"/>
  <c r="BI531" i="25"/>
  <c r="BH531" i="25"/>
  <c r="BG531" i="25"/>
  <c r="BI530" i="25"/>
  <c r="BH530" i="25"/>
  <c r="BG530" i="25"/>
  <c r="BI529" i="25"/>
  <c r="BH529" i="25"/>
  <c r="BG529" i="25"/>
  <c r="BI528" i="25"/>
  <c r="BH528" i="25"/>
  <c r="BG528" i="25"/>
  <c r="BI527" i="25"/>
  <c r="BH527" i="25"/>
  <c r="BG527" i="25"/>
  <c r="BI526" i="25"/>
  <c r="BH526" i="25"/>
  <c r="BG526" i="25"/>
  <c r="BI525" i="25"/>
  <c r="BH525" i="25"/>
  <c r="BG525" i="25"/>
  <c r="BI524" i="25"/>
  <c r="BH524" i="25"/>
  <c r="BG524" i="25"/>
  <c r="BI523" i="25"/>
  <c r="BH523" i="25"/>
  <c r="BG523" i="25"/>
  <c r="BI522" i="25"/>
  <c r="BH522" i="25"/>
  <c r="BG522" i="25"/>
  <c r="BI521" i="25"/>
  <c r="BH521" i="25"/>
  <c r="BG521" i="25"/>
  <c r="BI520" i="25"/>
  <c r="BH520" i="25"/>
  <c r="BG520" i="25"/>
  <c r="BI519" i="25"/>
  <c r="BH519" i="25"/>
  <c r="BG519" i="25"/>
  <c r="BI518" i="25"/>
  <c r="BH518" i="25"/>
  <c r="BG518" i="25"/>
  <c r="BI517" i="25"/>
  <c r="BH517" i="25"/>
  <c r="BG517" i="25"/>
  <c r="BI516" i="25"/>
  <c r="BH516" i="25"/>
  <c r="BG516" i="25"/>
  <c r="BI515" i="25"/>
  <c r="BH515" i="25"/>
  <c r="BG515" i="25"/>
  <c r="BI514" i="25"/>
  <c r="BH514" i="25"/>
  <c r="BG514" i="25"/>
  <c r="BI513" i="25"/>
  <c r="BH513" i="25"/>
  <c r="BG513" i="25"/>
  <c r="BI512" i="25"/>
  <c r="BH512" i="25"/>
  <c r="BG512" i="25"/>
  <c r="BI511" i="25"/>
  <c r="BH511" i="25"/>
  <c r="BG511" i="25"/>
  <c r="BI510" i="25"/>
  <c r="BH510" i="25"/>
  <c r="BG510" i="25"/>
  <c r="BI509" i="25"/>
  <c r="BH509" i="25"/>
  <c r="BG509" i="25"/>
  <c r="BI508" i="25"/>
  <c r="BH508" i="25"/>
  <c r="BG508" i="25"/>
  <c r="BI507" i="25"/>
  <c r="BH507" i="25"/>
  <c r="BG507" i="25"/>
  <c r="BI506" i="25"/>
  <c r="BH506" i="25"/>
  <c r="BG506" i="25"/>
  <c r="BI505" i="25"/>
  <c r="BH505" i="25"/>
  <c r="BG505" i="25"/>
  <c r="BI504" i="25"/>
  <c r="BH504" i="25"/>
  <c r="BG504" i="25"/>
  <c r="BI503" i="25"/>
  <c r="BH503" i="25"/>
  <c r="BG503" i="25"/>
  <c r="BI502" i="25"/>
  <c r="BH502" i="25"/>
  <c r="BG502" i="25"/>
  <c r="BI501" i="25"/>
  <c r="BH501" i="25"/>
  <c r="BG501" i="25"/>
  <c r="BI500" i="25"/>
  <c r="BH500" i="25"/>
  <c r="BG500" i="25"/>
  <c r="BI499" i="25"/>
  <c r="BH499" i="25"/>
  <c r="BG499" i="25"/>
  <c r="BI498" i="25"/>
  <c r="BH498" i="25"/>
  <c r="BG498" i="25"/>
  <c r="BI497" i="25"/>
  <c r="BH497" i="25"/>
  <c r="BG497" i="25"/>
  <c r="BI496" i="25"/>
  <c r="BH496" i="25"/>
  <c r="BG496" i="25"/>
  <c r="BI495" i="25"/>
  <c r="BH495" i="25"/>
  <c r="BG495" i="25"/>
  <c r="BI494" i="25"/>
  <c r="BH494" i="25"/>
  <c r="BG494" i="25"/>
  <c r="BI493" i="25"/>
  <c r="BH493" i="25"/>
  <c r="BG493" i="25"/>
  <c r="BI492" i="25"/>
  <c r="BH492" i="25"/>
  <c r="BG492" i="25"/>
  <c r="BI491" i="25"/>
  <c r="BH491" i="25"/>
  <c r="BG491" i="25"/>
  <c r="BI490" i="25"/>
  <c r="BH490" i="25"/>
  <c r="BG490" i="25"/>
  <c r="BI489" i="25"/>
  <c r="BH489" i="25"/>
  <c r="BG489" i="25"/>
  <c r="BI488" i="25"/>
  <c r="BH488" i="25"/>
  <c r="BG488" i="25"/>
  <c r="BI487" i="25"/>
  <c r="BH487" i="25"/>
  <c r="BG487" i="25"/>
  <c r="BI486" i="25"/>
  <c r="BH486" i="25"/>
  <c r="BG486" i="25"/>
  <c r="BI485" i="25"/>
  <c r="BH485" i="25"/>
  <c r="BG485" i="25"/>
  <c r="BI484" i="25"/>
  <c r="BH484" i="25"/>
  <c r="BG484" i="25"/>
  <c r="BI483" i="25"/>
  <c r="BH483" i="25"/>
  <c r="BG483" i="25"/>
  <c r="BI482" i="25"/>
  <c r="BH482" i="25"/>
  <c r="BG482" i="25"/>
  <c r="BI481" i="25"/>
  <c r="BH481" i="25"/>
  <c r="BG481" i="25"/>
  <c r="BI480" i="25"/>
  <c r="BH480" i="25"/>
  <c r="BG480" i="25"/>
  <c r="BI479" i="25"/>
  <c r="BH479" i="25"/>
  <c r="BG479" i="25"/>
  <c r="BI478" i="25"/>
  <c r="BH478" i="25"/>
  <c r="BG478" i="25"/>
  <c r="BI477" i="25"/>
  <c r="BH477" i="25"/>
  <c r="BG477" i="25"/>
  <c r="BI476" i="25"/>
  <c r="BH476" i="25"/>
  <c r="BG476" i="25"/>
  <c r="BI475" i="25"/>
  <c r="BH475" i="25"/>
  <c r="BG475" i="25"/>
  <c r="BI474" i="25"/>
  <c r="BH474" i="25"/>
  <c r="BG474" i="25"/>
  <c r="BI473" i="25"/>
  <c r="BH473" i="25"/>
  <c r="BG473" i="25"/>
  <c r="BI472" i="25"/>
  <c r="BH472" i="25"/>
  <c r="BG472" i="25"/>
  <c r="BI471" i="25"/>
  <c r="BH471" i="25"/>
  <c r="BG471" i="25"/>
  <c r="BI470" i="25"/>
  <c r="BH470" i="25"/>
  <c r="BG470" i="25"/>
  <c r="BI469" i="25"/>
  <c r="BH469" i="25"/>
  <c r="BG469" i="25"/>
  <c r="BI468" i="25"/>
  <c r="BH468" i="25"/>
  <c r="BG468" i="25"/>
  <c r="BI467" i="25"/>
  <c r="BH467" i="25"/>
  <c r="BG467" i="25"/>
  <c r="BI466" i="25"/>
  <c r="BH466" i="25"/>
  <c r="BG466" i="25"/>
  <c r="BI465" i="25"/>
  <c r="BH465" i="25"/>
  <c r="BG465" i="25"/>
  <c r="BI464" i="25"/>
  <c r="BH464" i="25"/>
  <c r="BG464" i="25"/>
  <c r="BI463" i="25"/>
  <c r="BH463" i="25"/>
  <c r="BG463" i="25"/>
  <c r="BI462" i="25"/>
  <c r="BH462" i="25"/>
  <c r="BG462" i="25"/>
  <c r="BI461" i="25"/>
  <c r="BH461" i="25"/>
  <c r="BG461" i="25"/>
  <c r="BI460" i="25"/>
  <c r="BH460" i="25"/>
  <c r="BG460" i="25"/>
  <c r="BI459" i="25"/>
  <c r="BH459" i="25"/>
  <c r="BG459" i="25"/>
  <c r="BI458" i="25"/>
  <c r="BH458" i="25"/>
  <c r="BG458" i="25"/>
  <c r="BI457" i="25"/>
  <c r="BH457" i="25"/>
  <c r="BG457" i="25"/>
  <c r="BI456" i="25"/>
  <c r="BH456" i="25"/>
  <c r="BG456" i="25"/>
  <c r="BI455" i="25"/>
  <c r="BH455" i="25"/>
  <c r="BG455" i="25"/>
  <c r="BI454" i="25"/>
  <c r="BH454" i="25"/>
  <c r="BG454" i="25"/>
  <c r="BI453" i="25"/>
  <c r="BH453" i="25"/>
  <c r="BG453" i="25"/>
  <c r="BI452" i="25"/>
  <c r="BH452" i="25"/>
  <c r="BG452" i="25"/>
  <c r="BI451" i="25"/>
  <c r="BH451" i="25"/>
  <c r="BG451" i="25"/>
  <c r="BI450" i="25"/>
  <c r="BH450" i="25"/>
  <c r="BG450" i="25"/>
  <c r="BI449" i="25"/>
  <c r="BH449" i="25"/>
  <c r="BG449" i="25"/>
  <c r="BI448" i="25"/>
  <c r="BH448" i="25"/>
  <c r="BG448" i="25"/>
  <c r="BI447" i="25"/>
  <c r="BH447" i="25"/>
  <c r="BG447" i="25"/>
  <c r="BI446" i="25"/>
  <c r="BH446" i="25"/>
  <c r="BG446" i="25"/>
  <c r="BI445" i="25"/>
  <c r="BH445" i="25"/>
  <c r="BG445" i="25"/>
  <c r="BI444" i="25"/>
  <c r="BH444" i="25"/>
  <c r="BG444" i="25"/>
  <c r="BI443" i="25"/>
  <c r="BH443" i="25"/>
  <c r="BG443" i="25"/>
  <c r="BI442" i="25"/>
  <c r="BH442" i="25"/>
  <c r="BG442" i="25"/>
  <c r="BI441" i="25"/>
  <c r="BH441" i="25"/>
  <c r="BG441" i="25"/>
  <c r="BI440" i="25"/>
  <c r="BH440" i="25"/>
  <c r="BG440" i="25"/>
  <c r="BI439" i="25"/>
  <c r="BH439" i="25"/>
  <c r="BG439" i="25"/>
  <c r="BI438" i="25"/>
  <c r="BH438" i="25"/>
  <c r="BG438" i="25"/>
  <c r="BI437" i="25"/>
  <c r="BH437" i="25"/>
  <c r="BG437" i="25"/>
  <c r="BI436" i="25"/>
  <c r="BH436" i="25"/>
  <c r="BG436" i="25"/>
  <c r="BI435" i="25"/>
  <c r="BH435" i="25"/>
  <c r="BG435" i="25"/>
  <c r="BI434" i="25"/>
  <c r="BH434" i="25"/>
  <c r="BG434" i="25"/>
  <c r="BI433" i="25"/>
  <c r="BH433" i="25"/>
  <c r="BG433" i="25"/>
  <c r="BI432" i="25"/>
  <c r="BH432" i="25"/>
  <c r="BG432" i="25"/>
  <c r="BI431" i="25"/>
  <c r="BH431" i="25"/>
  <c r="BG431" i="25"/>
  <c r="BI430" i="25"/>
  <c r="BH430" i="25"/>
  <c r="BG430" i="25"/>
  <c r="BI429" i="25"/>
  <c r="BH429" i="25"/>
  <c r="BG429" i="25"/>
  <c r="BI428" i="25"/>
  <c r="BH428" i="25"/>
  <c r="BG428" i="25"/>
  <c r="BI427" i="25"/>
  <c r="BH427" i="25"/>
  <c r="BG427" i="25"/>
  <c r="BI426" i="25"/>
  <c r="BH426" i="25"/>
  <c r="BG426" i="25"/>
  <c r="BI425" i="25"/>
  <c r="BH425" i="25"/>
  <c r="BG425" i="25"/>
  <c r="BI424" i="25"/>
  <c r="BH424" i="25"/>
  <c r="BG424" i="25"/>
  <c r="BI423" i="25"/>
  <c r="BH423" i="25"/>
  <c r="BG423" i="25"/>
  <c r="BI422" i="25"/>
  <c r="BH422" i="25"/>
  <c r="BG422" i="25"/>
  <c r="BI421" i="25"/>
  <c r="BH421" i="25"/>
  <c r="BG421" i="25"/>
  <c r="BI420" i="25"/>
  <c r="BH420" i="25"/>
  <c r="BG420" i="25"/>
  <c r="BI419" i="25"/>
  <c r="BH419" i="25"/>
  <c r="BG419" i="25"/>
  <c r="BI418" i="25"/>
  <c r="BH418" i="25"/>
  <c r="BG418" i="25"/>
  <c r="BI417" i="25"/>
  <c r="BH417" i="25"/>
  <c r="BG417" i="25"/>
  <c r="BI416" i="25"/>
  <c r="BH416" i="25"/>
  <c r="BG416" i="25"/>
  <c r="BI415" i="25"/>
  <c r="BH415" i="25"/>
  <c r="BG415" i="25"/>
  <c r="BI414" i="25"/>
  <c r="BH414" i="25"/>
  <c r="BG414" i="25"/>
  <c r="BI413" i="25"/>
  <c r="BH413" i="25"/>
  <c r="BG413" i="25"/>
  <c r="BI412" i="25"/>
  <c r="BH412" i="25"/>
  <c r="BG412" i="25"/>
  <c r="BI411" i="25"/>
  <c r="BH411" i="25"/>
  <c r="BG411" i="25"/>
  <c r="BI410" i="25"/>
  <c r="BH410" i="25"/>
  <c r="BG410" i="25"/>
  <c r="BI409" i="25"/>
  <c r="BH409" i="25"/>
  <c r="BG409" i="25"/>
  <c r="BI408" i="25"/>
  <c r="BH408" i="25"/>
  <c r="BG408" i="25"/>
  <c r="BI407" i="25"/>
  <c r="BH407" i="25"/>
  <c r="BG407" i="25"/>
  <c r="BI406" i="25"/>
  <c r="BH406" i="25"/>
  <c r="BG406" i="25"/>
  <c r="BI405" i="25"/>
  <c r="BH405" i="25"/>
  <c r="BG405" i="25"/>
  <c r="BI404" i="25"/>
  <c r="BH404" i="25"/>
  <c r="BG404" i="25"/>
  <c r="BI403" i="25"/>
  <c r="BH403" i="25"/>
  <c r="BG403" i="25"/>
  <c r="BI402" i="25"/>
  <c r="BH402" i="25"/>
  <c r="BG402" i="25"/>
  <c r="BI401" i="25"/>
  <c r="BH401" i="25"/>
  <c r="BG401" i="25"/>
  <c r="BI400" i="25"/>
  <c r="BH400" i="25"/>
  <c r="BG400" i="25"/>
  <c r="BI399" i="25"/>
  <c r="BH399" i="25"/>
  <c r="BG399" i="25"/>
  <c r="BI398" i="25"/>
  <c r="BH398" i="25"/>
  <c r="BG398" i="25"/>
  <c r="BI397" i="25"/>
  <c r="BH397" i="25"/>
  <c r="BG397" i="25"/>
  <c r="BI396" i="25"/>
  <c r="BH396" i="25"/>
  <c r="BG396" i="25"/>
  <c r="BI395" i="25"/>
  <c r="BH395" i="25"/>
  <c r="BG395" i="25"/>
  <c r="BI394" i="25"/>
  <c r="BH394" i="25"/>
  <c r="BG394" i="25"/>
  <c r="BI393" i="25"/>
  <c r="BH393" i="25"/>
  <c r="BG393" i="25"/>
  <c r="BI392" i="25"/>
  <c r="BH392" i="25"/>
  <c r="BG392" i="25"/>
  <c r="BI391" i="25"/>
  <c r="BH391" i="25"/>
  <c r="BG391" i="25"/>
  <c r="BI390" i="25"/>
  <c r="BH390" i="25"/>
  <c r="BG390" i="25"/>
  <c r="BI389" i="25"/>
  <c r="BH389" i="25"/>
  <c r="BG389" i="25"/>
  <c r="BI388" i="25"/>
  <c r="BH388" i="25"/>
  <c r="BG388" i="25"/>
  <c r="BI387" i="25"/>
  <c r="BH387" i="25"/>
  <c r="BG387" i="25"/>
  <c r="BI386" i="25"/>
  <c r="BH386" i="25"/>
  <c r="BG386" i="25"/>
  <c r="BI385" i="25"/>
  <c r="BH385" i="25"/>
  <c r="BG385" i="25"/>
  <c r="BI384" i="25"/>
  <c r="BH384" i="25"/>
  <c r="BG384" i="25"/>
  <c r="BI383" i="25"/>
  <c r="BH383" i="25"/>
  <c r="BG383" i="25"/>
  <c r="BI382" i="25"/>
  <c r="BH382" i="25"/>
  <c r="BG382" i="25"/>
  <c r="BI381" i="25"/>
  <c r="BH381" i="25"/>
  <c r="BG381" i="25"/>
  <c r="BI380" i="25"/>
  <c r="BH380" i="25"/>
  <c r="BG380" i="25"/>
  <c r="BI379" i="25"/>
  <c r="BH379" i="25"/>
  <c r="BG379" i="25"/>
  <c r="BI378" i="25"/>
  <c r="BH378" i="25"/>
  <c r="BG378" i="25"/>
  <c r="BI377" i="25"/>
  <c r="BH377" i="25"/>
  <c r="BG377" i="25"/>
  <c r="BI376" i="25"/>
  <c r="BH376" i="25"/>
  <c r="BG376" i="25"/>
  <c r="BI375" i="25"/>
  <c r="BH375" i="25"/>
  <c r="BG375" i="25"/>
  <c r="BI374" i="25"/>
  <c r="BH374" i="25"/>
  <c r="BG374" i="25"/>
  <c r="BI373" i="25"/>
  <c r="BH373" i="25"/>
  <c r="BG373" i="25"/>
  <c r="BI372" i="25"/>
  <c r="BH372" i="25"/>
  <c r="BG372" i="25"/>
  <c r="BI371" i="25"/>
  <c r="BH371" i="25"/>
  <c r="BG371" i="25"/>
  <c r="BI370" i="25"/>
  <c r="BH370" i="25"/>
  <c r="BG370" i="25"/>
  <c r="BI369" i="25"/>
  <c r="BH369" i="25"/>
  <c r="BG369" i="25"/>
  <c r="BI368" i="25"/>
  <c r="BH368" i="25"/>
  <c r="BG368" i="25"/>
  <c r="BI367" i="25"/>
  <c r="BH367" i="25"/>
  <c r="BG367" i="25"/>
  <c r="BI366" i="25"/>
  <c r="BH366" i="25"/>
  <c r="BG366" i="25"/>
  <c r="BI365" i="25"/>
  <c r="BH365" i="25"/>
  <c r="BG365" i="25"/>
  <c r="BI364" i="25"/>
  <c r="BH364" i="25"/>
  <c r="BG364" i="25"/>
  <c r="BI363" i="25"/>
  <c r="BH363" i="25"/>
  <c r="BG363" i="25"/>
  <c r="BI362" i="25"/>
  <c r="BH362" i="25"/>
  <c r="BG362" i="25"/>
  <c r="BI361" i="25"/>
  <c r="BH361" i="25"/>
  <c r="BG361" i="25"/>
  <c r="BI360" i="25"/>
  <c r="BH360" i="25"/>
  <c r="BG360" i="25"/>
  <c r="BI359" i="25"/>
  <c r="BH359" i="25"/>
  <c r="BG359" i="25"/>
  <c r="BI358" i="25"/>
  <c r="BH358" i="25"/>
  <c r="BG358" i="25"/>
  <c r="BI357" i="25"/>
  <c r="BH357" i="25"/>
  <c r="BG357" i="25"/>
  <c r="BI356" i="25"/>
  <c r="BH356" i="25"/>
  <c r="BG356" i="25"/>
  <c r="BI355" i="25"/>
  <c r="BH355" i="25"/>
  <c r="BG355" i="25"/>
  <c r="BI354" i="25"/>
  <c r="BH354" i="25"/>
  <c r="BG354" i="25"/>
  <c r="BI353" i="25"/>
  <c r="BH353" i="25"/>
  <c r="BG353" i="25"/>
  <c r="BI352" i="25"/>
  <c r="BH352" i="25"/>
  <c r="BG352" i="25"/>
  <c r="BI351" i="25"/>
  <c r="BH351" i="25"/>
  <c r="BG351" i="25"/>
  <c r="BI350" i="25"/>
  <c r="BH350" i="25"/>
  <c r="BG350" i="25"/>
  <c r="BI349" i="25"/>
  <c r="BH349" i="25"/>
  <c r="BG349" i="25"/>
  <c r="BI348" i="25"/>
  <c r="BH348" i="25"/>
  <c r="BG348" i="25"/>
  <c r="BI347" i="25"/>
  <c r="BH347" i="25"/>
  <c r="BG347" i="25"/>
  <c r="BI346" i="25"/>
  <c r="BH346" i="25"/>
  <c r="BG346" i="25"/>
  <c r="BI345" i="25"/>
  <c r="BH345" i="25"/>
  <c r="BG345" i="25"/>
  <c r="BI344" i="25"/>
  <c r="BH344" i="25"/>
  <c r="BG344" i="25"/>
  <c r="BI343" i="25"/>
  <c r="BH343" i="25"/>
  <c r="BG343" i="25"/>
  <c r="BI342" i="25"/>
  <c r="BH342" i="25"/>
  <c r="BG342" i="25"/>
  <c r="BI341" i="25"/>
  <c r="BH341" i="25"/>
  <c r="BG341" i="25"/>
  <c r="BI340" i="25"/>
  <c r="BH340" i="25"/>
  <c r="BG340" i="25"/>
  <c r="BI339" i="25"/>
  <c r="BH339" i="25"/>
  <c r="BG339" i="25"/>
  <c r="BI338" i="25"/>
  <c r="BH338" i="25"/>
  <c r="BG338" i="25"/>
  <c r="BI337" i="25"/>
  <c r="BH337" i="25"/>
  <c r="BG337" i="25"/>
  <c r="BI336" i="25"/>
  <c r="BH336" i="25"/>
  <c r="BG336" i="25"/>
  <c r="BI335" i="25"/>
  <c r="BH335" i="25"/>
  <c r="BG335" i="25"/>
  <c r="BI334" i="25"/>
  <c r="BH334" i="25"/>
  <c r="BG334" i="25"/>
  <c r="BI333" i="25"/>
  <c r="BH333" i="25"/>
  <c r="BG333" i="25"/>
  <c r="BI332" i="25"/>
  <c r="BH332" i="25"/>
  <c r="BG332" i="25"/>
  <c r="BI331" i="25"/>
  <c r="BH331" i="25"/>
  <c r="BG331" i="25"/>
  <c r="BI330" i="25"/>
  <c r="BH330" i="25"/>
  <c r="BG330" i="25"/>
  <c r="BI329" i="25"/>
  <c r="BH329" i="25"/>
  <c r="BG329" i="25"/>
  <c r="BI328" i="25"/>
  <c r="BH328" i="25"/>
  <c r="BG328" i="25"/>
  <c r="BI327" i="25"/>
  <c r="BH327" i="25"/>
  <c r="BG327" i="25"/>
  <c r="BI326" i="25"/>
  <c r="BH326" i="25"/>
  <c r="BG326" i="25"/>
  <c r="BI325" i="25"/>
  <c r="BH325" i="25"/>
  <c r="BG325" i="25"/>
  <c r="BI324" i="25"/>
  <c r="BH324" i="25"/>
  <c r="BG324" i="25"/>
  <c r="BI323" i="25"/>
  <c r="BH323" i="25"/>
  <c r="BG323" i="25"/>
  <c r="BI322" i="25"/>
  <c r="BH322" i="25"/>
  <c r="BG322" i="25"/>
  <c r="BI321" i="25"/>
  <c r="BH321" i="25"/>
  <c r="BG321" i="25"/>
  <c r="BI320" i="25"/>
  <c r="BH320" i="25"/>
  <c r="BG320" i="25"/>
  <c r="BI319" i="25"/>
  <c r="BH319" i="25"/>
  <c r="BG319" i="25"/>
  <c r="BI318" i="25"/>
  <c r="BH318" i="25"/>
  <c r="BG318" i="25"/>
  <c r="BI317" i="25"/>
  <c r="BH317" i="25"/>
  <c r="BG317" i="25"/>
  <c r="BI316" i="25"/>
  <c r="BH316" i="25"/>
  <c r="BG316" i="25"/>
  <c r="BI315" i="25"/>
  <c r="BH315" i="25"/>
  <c r="BG315" i="25"/>
  <c r="BI314" i="25"/>
  <c r="BH314" i="25"/>
  <c r="BG314" i="25"/>
  <c r="BI313" i="25"/>
  <c r="BH313" i="25"/>
  <c r="BG313" i="25"/>
  <c r="BI312" i="25"/>
  <c r="BH312" i="25"/>
  <c r="BG312" i="25"/>
  <c r="BI311" i="25"/>
  <c r="BH311" i="25"/>
  <c r="BG311" i="25"/>
  <c r="BI310" i="25"/>
  <c r="BH310" i="25"/>
  <c r="BG310" i="25"/>
  <c r="BI309" i="25"/>
  <c r="BH309" i="25"/>
  <c r="BG309" i="25"/>
  <c r="BI308" i="25"/>
  <c r="BH308" i="25"/>
  <c r="BG308" i="25"/>
  <c r="BI307" i="25"/>
  <c r="BH307" i="25"/>
  <c r="BG307" i="25"/>
  <c r="BI306" i="25"/>
  <c r="BH306" i="25"/>
  <c r="BG306" i="25"/>
  <c r="BI305" i="25"/>
  <c r="BH305" i="25"/>
  <c r="BG305" i="25"/>
  <c r="BI304" i="25"/>
  <c r="BH304" i="25"/>
  <c r="BG304" i="25"/>
  <c r="BI303" i="25"/>
  <c r="BH303" i="25"/>
  <c r="BG303" i="25"/>
  <c r="BI302" i="25"/>
  <c r="BH302" i="25"/>
  <c r="BG302" i="25"/>
  <c r="BI301" i="25"/>
  <c r="BH301" i="25"/>
  <c r="BG301" i="25"/>
  <c r="BI300" i="25"/>
  <c r="BH300" i="25"/>
  <c r="BG300" i="25"/>
  <c r="BI299" i="25"/>
  <c r="BH299" i="25"/>
  <c r="BG299" i="25"/>
  <c r="BI298" i="25"/>
  <c r="BH298" i="25"/>
  <c r="BG298" i="25"/>
  <c r="BI297" i="25"/>
  <c r="BH297" i="25"/>
  <c r="BG297" i="25"/>
  <c r="BI296" i="25"/>
  <c r="BH296" i="25"/>
  <c r="BG296" i="25"/>
  <c r="BI295" i="25"/>
  <c r="BH295" i="25"/>
  <c r="BG295" i="25"/>
  <c r="BI294" i="25"/>
  <c r="BH294" i="25"/>
  <c r="BG294" i="25"/>
  <c r="BI293" i="25"/>
  <c r="BH293" i="25"/>
  <c r="BG293" i="25"/>
  <c r="BI292" i="25"/>
  <c r="BH292" i="25"/>
  <c r="BG292" i="25"/>
  <c r="BI291" i="25"/>
  <c r="BH291" i="25"/>
  <c r="BG291" i="25"/>
  <c r="BI290" i="25"/>
  <c r="BH290" i="25"/>
  <c r="BG290" i="25"/>
  <c r="BI289" i="25"/>
  <c r="BH289" i="25"/>
  <c r="BG289" i="25"/>
  <c r="BI288" i="25"/>
  <c r="BH288" i="25"/>
  <c r="BG288" i="25"/>
  <c r="BI287" i="25"/>
  <c r="BH287" i="25"/>
  <c r="BG287" i="25"/>
  <c r="BI286" i="25"/>
  <c r="BH286" i="25"/>
  <c r="BG286" i="25"/>
  <c r="BI285" i="25"/>
  <c r="BH285" i="25"/>
  <c r="BG285" i="25"/>
  <c r="BI284" i="25"/>
  <c r="BH284" i="25"/>
  <c r="BG284" i="25"/>
  <c r="BI283" i="25"/>
  <c r="BH283" i="25"/>
  <c r="BG283" i="25"/>
  <c r="BI282" i="25"/>
  <c r="BH282" i="25"/>
  <c r="BG282" i="25"/>
  <c r="BI281" i="25"/>
  <c r="BH281" i="25"/>
  <c r="BG281" i="25"/>
  <c r="BI280" i="25"/>
  <c r="BH280" i="25"/>
  <c r="BG280" i="25"/>
  <c r="BI279" i="25"/>
  <c r="BH279" i="25"/>
  <c r="BG279" i="25"/>
  <c r="BI278" i="25"/>
  <c r="BH278" i="25"/>
  <c r="BG278" i="25"/>
  <c r="BI277" i="25"/>
  <c r="BH277" i="25"/>
  <c r="BG277" i="25"/>
  <c r="BI276" i="25"/>
  <c r="BH276" i="25"/>
  <c r="BG276" i="25"/>
  <c r="BI275" i="25"/>
  <c r="BH275" i="25"/>
  <c r="BG275" i="25"/>
  <c r="BI274" i="25"/>
  <c r="BH274" i="25"/>
  <c r="BG274" i="25"/>
  <c r="BI273" i="25"/>
  <c r="BH273" i="25"/>
  <c r="BG273" i="25"/>
  <c r="BI272" i="25"/>
  <c r="BH272" i="25"/>
  <c r="BG272" i="25"/>
  <c r="BI271" i="25"/>
  <c r="BH271" i="25"/>
  <c r="BG271" i="25"/>
  <c r="BI270" i="25"/>
  <c r="BH270" i="25"/>
  <c r="BG270" i="25"/>
  <c r="BI269" i="25"/>
  <c r="BH269" i="25"/>
  <c r="BG269" i="25"/>
  <c r="BI268" i="25"/>
  <c r="BH268" i="25"/>
  <c r="BG268" i="25"/>
  <c r="BI267" i="25"/>
  <c r="BH267" i="25"/>
  <c r="BG267" i="25"/>
  <c r="BI266" i="25"/>
  <c r="BH266" i="25"/>
  <c r="BG266" i="25"/>
  <c r="BI265" i="25"/>
  <c r="BH265" i="25"/>
  <c r="BG265" i="25"/>
  <c r="BI264" i="25"/>
  <c r="BH264" i="25"/>
  <c r="BG264" i="25"/>
  <c r="BI263" i="25"/>
  <c r="BH263" i="25"/>
  <c r="BG263" i="25"/>
  <c r="BI262" i="25"/>
  <c r="BH262" i="25"/>
  <c r="BG262" i="25"/>
  <c r="BI261" i="25"/>
  <c r="BH261" i="25"/>
  <c r="BG261" i="25"/>
  <c r="BI260" i="25"/>
  <c r="BH260" i="25"/>
  <c r="BG260" i="25"/>
  <c r="BI259" i="25"/>
  <c r="BH259" i="25"/>
  <c r="BG259" i="25"/>
  <c r="BI258" i="25"/>
  <c r="BH258" i="25"/>
  <c r="BG258" i="25"/>
  <c r="BI257" i="25"/>
  <c r="BH257" i="25"/>
  <c r="BG257" i="25"/>
  <c r="BI256" i="25"/>
  <c r="BH256" i="25"/>
  <c r="BG256" i="25"/>
  <c r="BI255" i="25"/>
  <c r="BH255" i="25"/>
  <c r="BG255" i="25"/>
  <c r="BI254" i="25"/>
  <c r="BH254" i="25"/>
  <c r="BG254" i="25"/>
  <c r="BI253" i="25"/>
  <c r="BH253" i="25"/>
  <c r="BG253" i="25"/>
  <c r="BI252" i="25"/>
  <c r="BH252" i="25"/>
  <c r="BG252" i="25"/>
  <c r="BI251" i="25"/>
  <c r="BH251" i="25"/>
  <c r="BG251" i="25"/>
  <c r="BI250" i="25"/>
  <c r="BH250" i="25"/>
  <c r="BG250" i="25"/>
  <c r="BI249" i="25"/>
  <c r="BH249" i="25"/>
  <c r="BG249" i="25"/>
  <c r="BI248" i="25"/>
  <c r="BH248" i="25"/>
  <c r="BG248" i="25"/>
  <c r="BI247" i="25"/>
  <c r="BH247" i="25"/>
  <c r="BG247" i="25"/>
  <c r="BI246" i="25"/>
  <c r="BH246" i="25"/>
  <c r="BG246" i="25"/>
  <c r="BI245" i="25"/>
  <c r="BH245" i="25"/>
  <c r="BG245" i="25"/>
  <c r="BI244" i="25"/>
  <c r="BH244" i="25"/>
  <c r="BG244" i="25"/>
  <c r="BI243" i="25"/>
  <c r="BH243" i="25"/>
  <c r="BG243" i="25"/>
  <c r="BI242" i="25"/>
  <c r="BH242" i="25"/>
  <c r="BG242" i="25"/>
  <c r="BI241" i="25"/>
  <c r="BH241" i="25"/>
  <c r="BG241" i="25"/>
  <c r="BI240" i="25"/>
  <c r="BH240" i="25"/>
  <c r="BG240" i="25"/>
  <c r="BI239" i="25"/>
  <c r="BH239" i="25"/>
  <c r="BG239" i="25"/>
  <c r="BI238" i="25"/>
  <c r="BH238" i="25"/>
  <c r="BG238" i="25"/>
  <c r="BI237" i="25"/>
  <c r="BH237" i="25"/>
  <c r="BG237" i="25"/>
  <c r="BI236" i="25"/>
  <c r="BH236" i="25"/>
  <c r="BG236" i="25"/>
  <c r="BI235" i="25"/>
  <c r="BH235" i="25"/>
  <c r="BG235" i="25"/>
  <c r="BI234" i="25"/>
  <c r="BH234" i="25"/>
  <c r="BG234" i="25"/>
  <c r="BI233" i="25"/>
  <c r="BH233" i="25"/>
  <c r="BG233" i="25"/>
  <c r="BI232" i="25"/>
  <c r="BH232" i="25"/>
  <c r="BG232" i="25"/>
  <c r="BI231" i="25"/>
  <c r="BH231" i="25"/>
  <c r="BG231" i="25"/>
  <c r="BI230" i="25"/>
  <c r="BH230" i="25"/>
  <c r="BG230" i="25"/>
  <c r="BI229" i="25"/>
  <c r="BH229" i="25"/>
  <c r="BG229" i="25"/>
  <c r="BI228" i="25"/>
  <c r="BH228" i="25"/>
  <c r="BG228" i="25"/>
  <c r="BI227" i="25"/>
  <c r="BH227" i="25"/>
  <c r="BG227" i="25"/>
  <c r="BI226" i="25"/>
  <c r="BH226" i="25"/>
  <c r="BG226" i="25"/>
  <c r="BI225" i="25"/>
  <c r="BH225" i="25"/>
  <c r="BG225" i="25"/>
  <c r="BI224" i="25"/>
  <c r="BH224" i="25"/>
  <c r="BG224" i="25"/>
  <c r="BI223" i="25"/>
  <c r="BH223" i="25"/>
  <c r="BG223" i="25"/>
  <c r="BI222" i="25"/>
  <c r="BH222" i="25"/>
  <c r="BG222" i="25"/>
  <c r="BI221" i="25"/>
  <c r="BH221" i="25"/>
  <c r="BG221" i="25"/>
  <c r="BI220" i="25"/>
  <c r="BH220" i="25"/>
  <c r="BG220" i="25"/>
  <c r="BI219" i="25"/>
  <c r="BH219" i="25"/>
  <c r="BG219" i="25"/>
  <c r="BI218" i="25"/>
  <c r="BH218" i="25"/>
  <c r="BG218" i="25"/>
  <c r="BI217" i="25"/>
  <c r="BH217" i="25"/>
  <c r="BG217" i="25"/>
  <c r="BI216" i="25"/>
  <c r="BH216" i="25"/>
  <c r="BG216" i="25"/>
  <c r="BI215" i="25"/>
  <c r="BH215" i="25"/>
  <c r="BG215" i="25"/>
  <c r="BI214" i="25"/>
  <c r="BH214" i="25"/>
  <c r="BG214" i="25"/>
  <c r="BI213" i="25"/>
  <c r="BH213" i="25"/>
  <c r="BG213" i="25"/>
  <c r="BI212" i="25"/>
  <c r="BH212" i="25"/>
  <c r="BG212" i="25"/>
  <c r="BI211" i="25"/>
  <c r="BH211" i="25"/>
  <c r="BG211" i="25"/>
  <c r="BI210" i="25"/>
  <c r="BH210" i="25"/>
  <c r="BG210" i="25"/>
  <c r="BI209" i="25"/>
  <c r="BH209" i="25"/>
  <c r="BG209" i="25"/>
  <c r="BI208" i="25"/>
  <c r="BH208" i="25"/>
  <c r="BG208" i="25"/>
  <c r="BI207" i="25"/>
  <c r="BH207" i="25"/>
  <c r="BG207" i="25"/>
  <c r="BI206" i="25"/>
  <c r="BH206" i="25"/>
  <c r="BG206" i="25"/>
  <c r="BI205" i="25"/>
  <c r="BH205" i="25"/>
  <c r="BG205" i="25"/>
  <c r="BI204" i="25"/>
  <c r="BH204" i="25"/>
  <c r="BG204" i="25"/>
  <c r="BI203" i="25"/>
  <c r="BH203" i="25"/>
  <c r="BG203" i="25"/>
  <c r="BI202" i="25"/>
  <c r="BH202" i="25"/>
  <c r="BG202" i="25"/>
  <c r="BI201" i="25"/>
  <c r="BH201" i="25"/>
  <c r="BG201" i="25"/>
  <c r="BI200" i="25"/>
  <c r="BH200" i="25"/>
  <c r="BG200" i="25"/>
  <c r="BI199" i="25"/>
  <c r="BH199" i="25"/>
  <c r="BG199" i="25"/>
  <c r="BI198" i="25"/>
  <c r="BH198" i="25"/>
  <c r="BG198" i="25"/>
  <c r="BI197" i="25"/>
  <c r="BH197" i="25"/>
  <c r="BG197" i="25"/>
  <c r="BI196" i="25"/>
  <c r="BH196" i="25"/>
  <c r="BG196" i="25"/>
  <c r="BI195" i="25"/>
  <c r="BH195" i="25"/>
  <c r="BG195" i="25"/>
  <c r="BI194" i="25"/>
  <c r="BH194" i="25"/>
  <c r="BG194" i="25"/>
  <c r="BI193" i="25"/>
  <c r="BH193" i="25"/>
  <c r="BG193" i="25"/>
  <c r="BI192" i="25"/>
  <c r="BH192" i="25"/>
  <c r="BG192" i="25"/>
  <c r="BI191" i="25"/>
  <c r="BH191" i="25"/>
  <c r="BG191" i="25"/>
  <c r="BI190" i="25"/>
  <c r="BH190" i="25"/>
  <c r="BG190" i="25"/>
  <c r="BI189" i="25"/>
  <c r="BH189" i="25"/>
  <c r="BG189" i="25"/>
  <c r="BI188" i="25"/>
  <c r="BH188" i="25"/>
  <c r="BG188" i="25"/>
  <c r="BI187" i="25"/>
  <c r="BH187" i="25"/>
  <c r="BG187" i="25"/>
  <c r="BI186" i="25"/>
  <c r="BH186" i="25"/>
  <c r="BG186" i="25"/>
  <c r="BI185" i="25"/>
  <c r="BH185" i="25"/>
  <c r="BG185" i="25"/>
  <c r="BI184" i="25"/>
  <c r="BH184" i="25"/>
  <c r="BG184" i="25"/>
  <c r="BI183" i="25"/>
  <c r="BH183" i="25"/>
  <c r="BG183" i="25"/>
  <c r="BI182" i="25"/>
  <c r="BH182" i="25"/>
  <c r="BG182" i="25"/>
  <c r="BI181" i="25"/>
  <c r="BH181" i="25"/>
  <c r="BG181" i="25"/>
  <c r="BI180" i="25"/>
  <c r="BH180" i="25"/>
  <c r="BG180" i="25"/>
  <c r="BI179" i="25"/>
  <c r="BH179" i="25"/>
  <c r="BG179" i="25"/>
  <c r="BI178" i="25"/>
  <c r="BH178" i="25"/>
  <c r="BG178" i="25"/>
  <c r="BI177" i="25"/>
  <c r="BH177" i="25"/>
  <c r="BG177" i="25"/>
  <c r="BI176" i="25"/>
  <c r="BH176" i="25"/>
  <c r="BG176" i="25"/>
  <c r="BI175" i="25"/>
  <c r="BH175" i="25"/>
  <c r="BG175" i="25"/>
  <c r="BI174" i="25"/>
  <c r="BH174" i="25"/>
  <c r="BG174" i="25"/>
  <c r="BI173" i="25"/>
  <c r="BH173" i="25"/>
  <c r="BG173" i="25"/>
  <c r="BI172" i="25"/>
  <c r="BH172" i="25"/>
  <c r="BG172" i="25"/>
  <c r="BI171" i="25"/>
  <c r="BH171" i="25"/>
  <c r="BG171" i="25"/>
  <c r="BI170" i="25"/>
  <c r="BH170" i="25"/>
  <c r="BG170" i="25"/>
  <c r="BI169" i="25"/>
  <c r="BH169" i="25"/>
  <c r="BG169" i="25"/>
  <c r="BI168" i="25"/>
  <c r="BH168" i="25"/>
  <c r="BG168" i="25"/>
  <c r="BI167" i="25"/>
  <c r="BH167" i="25"/>
  <c r="BG167" i="25"/>
  <c r="BI166" i="25"/>
  <c r="BH166" i="25"/>
  <c r="BG166" i="25"/>
  <c r="BI165" i="25"/>
  <c r="BH165" i="25"/>
  <c r="BG165" i="25"/>
  <c r="BI164" i="25"/>
  <c r="BH164" i="25"/>
  <c r="BG164" i="25"/>
  <c r="BI163" i="25"/>
  <c r="BH163" i="25"/>
  <c r="BG163" i="25"/>
  <c r="BI162" i="25"/>
  <c r="BH162" i="25"/>
  <c r="BG162" i="25"/>
  <c r="BI161" i="25"/>
  <c r="BH161" i="25"/>
  <c r="BG161" i="25"/>
  <c r="BI160" i="25"/>
  <c r="BH160" i="25"/>
  <c r="BG160" i="25"/>
  <c r="BI159" i="25"/>
  <c r="BH159" i="25"/>
  <c r="BG159" i="25"/>
  <c r="BI158" i="25"/>
  <c r="BH158" i="25"/>
  <c r="BG158" i="25"/>
  <c r="BI157" i="25"/>
  <c r="BH157" i="25"/>
  <c r="BG157" i="25"/>
  <c r="BI156" i="25"/>
  <c r="BH156" i="25"/>
  <c r="BG156" i="25"/>
  <c r="BI155" i="25"/>
  <c r="BH155" i="25"/>
  <c r="BG155" i="25"/>
  <c r="BI154" i="25"/>
  <c r="BH154" i="25"/>
  <c r="BG154" i="25"/>
  <c r="BI153" i="25"/>
  <c r="BH153" i="25"/>
  <c r="BG153" i="25"/>
  <c r="BI152" i="25"/>
  <c r="BH152" i="25"/>
  <c r="BG152" i="25"/>
  <c r="BI151" i="25"/>
  <c r="BH151" i="25"/>
  <c r="BG151" i="25"/>
  <c r="BI150" i="25"/>
  <c r="BH150" i="25"/>
  <c r="BG150" i="25"/>
  <c r="BI149" i="25"/>
  <c r="BH149" i="25"/>
  <c r="BG149" i="25"/>
  <c r="BI148" i="25"/>
  <c r="BH148" i="25"/>
  <c r="BG148" i="25"/>
  <c r="BI147" i="25"/>
  <c r="BH147" i="25"/>
  <c r="BG147" i="25"/>
  <c r="BI146" i="25"/>
  <c r="BH146" i="25"/>
  <c r="BG146" i="25"/>
  <c r="BI145" i="25"/>
  <c r="BH145" i="25"/>
  <c r="BG145" i="25"/>
  <c r="BI144" i="25"/>
  <c r="BH144" i="25"/>
  <c r="BG144" i="25"/>
  <c r="BI143" i="25"/>
  <c r="BH143" i="25"/>
  <c r="BG143" i="25"/>
  <c r="BI142" i="25"/>
  <c r="BH142" i="25"/>
  <c r="BG142" i="25"/>
  <c r="BI141" i="25"/>
  <c r="BH141" i="25"/>
  <c r="BG141" i="25"/>
  <c r="BI140" i="25"/>
  <c r="BH140" i="25"/>
  <c r="BG140" i="25"/>
  <c r="BI139" i="25"/>
  <c r="BH139" i="25"/>
  <c r="BG139" i="25"/>
  <c r="BI138" i="25"/>
  <c r="BH138" i="25"/>
  <c r="BG138" i="25"/>
  <c r="BI137" i="25"/>
  <c r="BH137" i="25"/>
  <c r="BG137" i="25"/>
  <c r="BI136" i="25"/>
  <c r="BH136" i="25"/>
  <c r="BG136" i="25"/>
  <c r="BI135" i="25"/>
  <c r="BH135" i="25"/>
  <c r="BG135" i="25"/>
  <c r="BI134" i="25"/>
  <c r="BH134" i="25"/>
  <c r="BG134" i="25"/>
  <c r="BI133" i="25"/>
  <c r="BH133" i="25"/>
  <c r="BG133" i="25"/>
  <c r="BI132" i="25"/>
  <c r="BH132" i="25"/>
  <c r="BG132" i="25"/>
  <c r="BI131" i="25"/>
  <c r="BH131" i="25"/>
  <c r="BG131" i="25"/>
  <c r="BI130" i="25"/>
  <c r="BH130" i="25"/>
  <c r="BG130" i="25"/>
  <c r="BI129" i="25"/>
  <c r="BH129" i="25"/>
  <c r="BG129" i="25"/>
  <c r="BI128" i="25"/>
  <c r="BH128" i="25"/>
  <c r="BG128" i="25"/>
  <c r="BI127" i="25"/>
  <c r="BH127" i="25"/>
  <c r="BG127" i="25"/>
  <c r="BI126" i="25"/>
  <c r="BH126" i="25"/>
  <c r="BG126" i="25"/>
  <c r="BI125" i="25"/>
  <c r="BH125" i="25"/>
  <c r="BG125" i="25"/>
  <c r="BI124" i="25"/>
  <c r="BH124" i="25"/>
  <c r="BG124" i="25"/>
  <c r="BI123" i="25"/>
  <c r="BH123" i="25"/>
  <c r="BG123" i="25"/>
  <c r="BI122" i="25"/>
  <c r="BH122" i="25"/>
  <c r="BG122" i="25"/>
  <c r="BI121" i="25"/>
  <c r="BH121" i="25"/>
  <c r="BG121" i="25"/>
  <c r="BI120" i="25"/>
  <c r="BH120" i="25"/>
  <c r="BG120" i="25"/>
  <c r="BI119" i="25"/>
  <c r="BH119" i="25"/>
  <c r="BG119" i="25"/>
  <c r="BI118" i="25"/>
  <c r="BH118" i="25"/>
  <c r="BG118" i="25"/>
  <c r="BI117" i="25"/>
  <c r="BH117" i="25"/>
  <c r="BG117" i="25"/>
  <c r="BI116" i="25"/>
  <c r="BH116" i="25"/>
  <c r="BG116" i="25"/>
  <c r="BI115" i="25"/>
  <c r="BH115" i="25"/>
  <c r="BG115" i="25"/>
  <c r="BI114" i="25"/>
  <c r="BH114" i="25"/>
  <c r="BG114" i="25"/>
  <c r="BI113" i="25"/>
  <c r="BH113" i="25"/>
  <c r="BG113" i="25"/>
  <c r="BI112" i="25"/>
  <c r="BH112" i="25"/>
  <c r="BG112" i="25"/>
  <c r="BI111" i="25"/>
  <c r="BH111" i="25"/>
  <c r="BG111" i="25"/>
  <c r="BI110" i="25"/>
  <c r="BH110" i="25"/>
  <c r="BG110" i="25"/>
  <c r="BI109" i="25"/>
  <c r="BH109" i="25"/>
  <c r="BG109" i="25"/>
  <c r="BI108" i="25"/>
  <c r="BH108" i="25"/>
  <c r="BG108" i="25"/>
  <c r="BI107" i="25"/>
  <c r="BH107" i="25"/>
  <c r="BG107" i="25"/>
  <c r="BI106" i="25"/>
  <c r="BH106" i="25"/>
  <c r="BG106" i="25"/>
  <c r="BI105" i="25"/>
  <c r="BH105" i="25"/>
  <c r="BG105" i="25"/>
  <c r="BI104" i="25"/>
  <c r="BH104" i="25"/>
  <c r="BG104" i="25"/>
  <c r="BI103" i="25"/>
  <c r="BH103" i="25"/>
  <c r="BG103" i="25"/>
  <c r="BI102" i="25"/>
  <c r="BH102" i="25"/>
  <c r="BG102" i="25"/>
  <c r="BI101" i="25"/>
  <c r="BH101" i="25"/>
  <c r="BG101" i="25"/>
  <c r="BI100" i="25"/>
  <c r="BH100" i="25"/>
  <c r="BG100" i="25"/>
  <c r="BI99" i="25"/>
  <c r="BH99" i="25"/>
  <c r="BG99" i="25"/>
  <c r="BI98" i="25"/>
  <c r="BH98" i="25"/>
  <c r="BG98" i="25"/>
  <c r="BI97" i="25"/>
  <c r="BH97" i="25"/>
  <c r="BG97" i="25"/>
  <c r="BI96" i="25"/>
  <c r="BH96" i="25"/>
  <c r="BG96" i="25"/>
  <c r="BI95" i="25"/>
  <c r="BH95" i="25"/>
  <c r="BG95" i="25"/>
  <c r="BI94" i="25"/>
  <c r="BH94" i="25"/>
  <c r="BG94" i="25"/>
  <c r="BI93" i="25"/>
  <c r="BH93" i="25"/>
  <c r="BG93" i="25"/>
  <c r="BI92" i="25"/>
  <c r="BH92" i="25"/>
  <c r="BG92" i="25"/>
  <c r="BI91" i="25"/>
  <c r="BH91" i="25"/>
  <c r="BG91" i="25"/>
  <c r="BI90" i="25"/>
  <c r="BH90" i="25"/>
  <c r="BG90" i="25"/>
  <c r="BI89" i="25"/>
  <c r="BH89" i="25"/>
  <c r="BG89" i="25"/>
  <c r="BI88" i="25"/>
  <c r="BH88" i="25"/>
  <c r="BG88" i="25"/>
  <c r="BI87" i="25"/>
  <c r="BH87" i="25"/>
  <c r="BG87" i="25"/>
  <c r="BI86" i="25"/>
  <c r="BH86" i="25"/>
  <c r="BG86" i="25"/>
  <c r="BI85" i="25"/>
  <c r="BH85" i="25"/>
  <c r="BG85" i="25"/>
  <c r="BI84" i="25"/>
  <c r="BH84" i="25"/>
  <c r="BG84" i="25"/>
  <c r="BI83" i="25"/>
  <c r="BH83" i="25"/>
  <c r="BG83" i="25"/>
  <c r="BI82" i="25"/>
  <c r="BH82" i="25"/>
  <c r="BG82" i="25"/>
  <c r="BI81" i="25"/>
  <c r="BH81" i="25"/>
  <c r="BG81" i="25"/>
  <c r="BI80" i="25"/>
  <c r="BH80" i="25"/>
  <c r="BG80" i="25"/>
  <c r="BI79" i="25"/>
  <c r="BH79" i="25"/>
  <c r="BG79" i="25"/>
  <c r="BI78" i="25"/>
  <c r="BH78" i="25"/>
  <c r="BG78" i="25"/>
  <c r="BI77" i="25"/>
  <c r="BH77" i="25"/>
  <c r="BG77" i="25"/>
  <c r="BI76" i="25"/>
  <c r="BH76" i="25"/>
  <c r="BG76" i="25"/>
  <c r="BI75" i="25"/>
  <c r="BH75" i="25"/>
  <c r="BG75" i="25"/>
  <c r="BI74" i="25"/>
  <c r="BH74" i="25"/>
  <c r="BG74" i="25"/>
  <c r="BI73" i="25"/>
  <c r="BH73" i="25"/>
  <c r="BG73" i="25"/>
  <c r="BI72" i="25"/>
  <c r="BH72" i="25"/>
  <c r="BG72" i="25"/>
  <c r="BI71" i="25"/>
  <c r="BH71" i="25"/>
  <c r="BG71" i="25"/>
  <c r="BI70" i="25"/>
  <c r="BH70" i="25"/>
  <c r="BG70" i="25"/>
  <c r="BI69" i="25"/>
  <c r="BH69" i="25"/>
  <c r="BG69" i="25"/>
  <c r="BI68" i="25"/>
  <c r="BH68" i="25"/>
  <c r="BG68" i="25"/>
  <c r="BI67" i="25"/>
  <c r="BH67" i="25"/>
  <c r="BG67" i="25"/>
  <c r="BI66" i="25"/>
  <c r="BH66" i="25"/>
  <c r="BG66" i="25"/>
  <c r="BI65" i="25"/>
  <c r="BH65" i="25"/>
  <c r="BG65" i="25"/>
  <c r="BI64" i="25"/>
  <c r="BH64" i="25"/>
  <c r="BG64" i="25"/>
  <c r="BI63" i="25"/>
  <c r="BH63" i="25"/>
  <c r="BG63" i="25"/>
  <c r="BI62" i="25"/>
  <c r="BH62" i="25"/>
  <c r="BG62" i="25"/>
  <c r="BI61" i="25"/>
  <c r="BH61" i="25"/>
  <c r="BG61" i="25"/>
  <c r="BI60" i="25"/>
  <c r="BH60" i="25"/>
  <c r="BG60" i="25"/>
  <c r="BI59" i="25"/>
  <c r="BH59" i="25"/>
  <c r="BG59" i="25"/>
  <c r="BI58" i="25"/>
  <c r="BH58" i="25"/>
  <c r="BG58" i="25"/>
  <c r="BI57" i="25"/>
  <c r="BH57" i="25"/>
  <c r="BG57" i="25"/>
  <c r="BI56" i="25"/>
  <c r="BH56" i="25"/>
  <c r="BG56" i="25"/>
  <c r="BI55" i="25"/>
  <c r="BH55" i="25"/>
  <c r="BG55" i="25"/>
  <c r="BI54" i="25"/>
  <c r="BH54" i="25"/>
  <c r="BG54" i="25"/>
  <c r="BI53" i="25"/>
  <c r="BH53" i="25"/>
  <c r="BG53" i="25"/>
  <c r="BI52" i="25"/>
  <c r="BH52" i="25"/>
  <c r="BG52" i="25"/>
  <c r="BI51" i="25"/>
  <c r="BH51" i="25"/>
  <c r="BG51" i="25"/>
  <c r="BI50" i="25"/>
  <c r="BH50" i="25"/>
  <c r="BG50" i="25"/>
  <c r="BI49" i="25"/>
  <c r="BH49" i="25"/>
  <c r="BG49" i="25"/>
  <c r="BI48" i="25"/>
  <c r="BH48" i="25"/>
  <c r="BG48" i="25"/>
  <c r="BI47" i="25"/>
  <c r="BH47" i="25"/>
  <c r="BG47" i="25"/>
  <c r="BI46" i="25"/>
  <c r="BH46" i="25"/>
  <c r="BG46" i="25"/>
  <c r="BI45" i="25"/>
  <c r="BH45" i="25"/>
  <c r="BG45" i="25"/>
  <c r="BI44" i="25"/>
  <c r="BH44" i="25"/>
  <c r="BG44" i="25"/>
  <c r="BI43" i="25"/>
  <c r="BH43" i="25"/>
  <c r="BG43" i="25"/>
  <c r="BI42" i="25"/>
  <c r="BH42" i="25"/>
  <c r="BG42" i="25"/>
  <c r="BI41" i="25"/>
  <c r="BH41" i="25"/>
  <c r="BG41" i="25"/>
  <c r="BI40" i="25"/>
  <c r="BH40" i="25"/>
  <c r="BG40" i="25"/>
  <c r="BI39" i="25"/>
  <c r="BH39" i="25"/>
  <c r="BG39" i="25"/>
  <c r="BI38" i="25"/>
  <c r="BH38" i="25"/>
  <c r="BG38" i="25"/>
  <c r="BI37" i="25"/>
  <c r="BH37" i="25"/>
  <c r="BG37" i="25"/>
  <c r="BI36" i="25"/>
  <c r="BH36" i="25"/>
  <c r="BG36" i="25"/>
  <c r="BI35" i="25"/>
  <c r="BH35" i="25"/>
  <c r="BG35" i="25"/>
  <c r="BI34" i="25"/>
  <c r="BH34" i="25"/>
  <c r="BG34" i="25"/>
  <c r="BI33" i="25"/>
  <c r="BH33" i="25"/>
  <c r="BG33" i="25"/>
  <c r="BI32" i="25"/>
  <c r="BH32" i="25"/>
  <c r="BG32" i="25"/>
  <c r="BI31" i="25"/>
  <c r="BH31" i="25"/>
  <c r="BG31" i="25"/>
  <c r="BI30" i="25"/>
  <c r="BH30" i="25"/>
  <c r="BG30" i="25"/>
  <c r="BI29" i="25"/>
  <c r="BH29" i="25"/>
  <c r="BG29" i="25"/>
  <c r="BI28" i="25"/>
  <c r="BH28" i="25"/>
  <c r="BG28" i="25"/>
  <c r="BI27" i="25"/>
  <c r="BH27" i="25"/>
  <c r="BG27" i="25"/>
  <c r="BI26" i="25"/>
  <c r="BH26" i="25"/>
  <c r="BG26" i="25"/>
  <c r="BI25" i="25"/>
  <c r="BH25" i="25"/>
  <c r="BG25" i="25"/>
  <c r="BI24" i="25"/>
  <c r="BH24" i="25"/>
  <c r="BG24" i="25"/>
  <c r="BI23" i="25"/>
  <c r="BH23" i="25"/>
  <c r="BG23" i="25"/>
  <c r="BI22" i="25"/>
  <c r="BH22" i="25"/>
  <c r="BG22" i="25"/>
  <c r="BI21" i="25"/>
  <c r="BH21" i="25"/>
  <c r="BG21" i="25"/>
  <c r="BI20" i="25"/>
  <c r="BH20" i="25"/>
  <c r="BG20" i="25"/>
  <c r="BI19" i="25"/>
  <c r="BH19" i="25"/>
  <c r="BG19" i="25"/>
  <c r="BI18" i="25"/>
  <c r="BH18" i="25"/>
  <c r="BG18" i="25"/>
  <c r="BI17" i="25"/>
  <c r="BH17" i="25"/>
  <c r="BG17" i="25"/>
  <c r="BI16" i="25"/>
  <c r="BH16" i="25"/>
  <c r="BG16" i="25"/>
  <c r="BI15" i="25"/>
  <c r="BH15" i="25"/>
  <c r="BG15" i="25"/>
  <c r="BI14" i="25"/>
  <c r="BH14" i="25"/>
  <c r="BG14" i="25"/>
  <c r="BI13" i="25"/>
  <c r="BH13" i="25"/>
  <c r="BG13" i="25"/>
  <c r="BI12" i="25"/>
  <c r="BH12" i="25"/>
  <c r="BG12" i="25"/>
  <c r="BI11" i="25"/>
  <c r="BH11" i="25"/>
  <c r="BG11" i="25"/>
  <c r="BI10" i="25"/>
  <c r="BH10" i="25"/>
  <c r="BG10" i="25"/>
  <c r="BI9" i="25"/>
  <c r="BH9" i="25"/>
  <c r="BG9" i="25"/>
  <c r="BI8" i="25"/>
  <c r="BH8" i="25"/>
  <c r="BG8" i="25"/>
  <c r="BI7" i="25"/>
  <c r="BH7" i="25"/>
  <c r="BG7" i="25"/>
  <c r="BI6" i="25"/>
  <c r="BH6" i="25"/>
  <c r="BG6" i="25"/>
  <c r="BI5" i="25"/>
  <c r="BH5" i="25"/>
  <c r="BG5" i="25"/>
  <c r="AP784" i="25"/>
  <c r="AO784" i="25"/>
  <c r="AN784" i="25"/>
  <c r="AP783" i="25"/>
  <c r="AO783" i="25"/>
  <c r="AN783" i="25"/>
  <c r="AP782" i="25"/>
  <c r="AO782" i="25"/>
  <c r="AN782" i="25"/>
  <c r="AP781" i="25"/>
  <c r="AO781" i="25"/>
  <c r="AN781" i="25"/>
  <c r="AP780" i="25"/>
  <c r="AO780" i="25"/>
  <c r="AN780" i="25"/>
  <c r="AP779" i="25"/>
  <c r="AO779" i="25"/>
  <c r="AN779" i="25"/>
  <c r="AP778" i="25"/>
  <c r="AO778" i="25"/>
  <c r="AN778" i="25"/>
  <c r="AP777" i="25"/>
  <c r="AO777" i="25"/>
  <c r="AN777" i="25"/>
  <c r="AP776" i="25"/>
  <c r="AO776" i="25"/>
  <c r="AN776" i="25"/>
  <c r="AP775" i="25"/>
  <c r="AO775" i="25"/>
  <c r="AN775" i="25"/>
  <c r="AP774" i="25"/>
  <c r="AO774" i="25"/>
  <c r="AN774" i="25"/>
  <c r="AP773" i="25"/>
  <c r="AO773" i="25"/>
  <c r="AN773" i="25"/>
  <c r="AP772" i="25"/>
  <c r="AO772" i="25"/>
  <c r="AN772" i="25"/>
  <c r="AP771" i="25"/>
  <c r="AO771" i="25"/>
  <c r="AN771" i="25"/>
  <c r="AP770" i="25"/>
  <c r="AO770" i="25"/>
  <c r="AN770" i="25"/>
  <c r="AP769" i="25"/>
  <c r="AO769" i="25"/>
  <c r="AN769" i="25"/>
  <c r="AP768" i="25"/>
  <c r="AO768" i="25"/>
  <c r="AN768" i="25"/>
  <c r="AP767" i="25"/>
  <c r="AO767" i="25"/>
  <c r="AN767" i="25"/>
  <c r="AP766" i="25"/>
  <c r="AO766" i="25"/>
  <c r="AN766" i="25"/>
  <c r="AP765" i="25"/>
  <c r="AO765" i="25"/>
  <c r="AN765" i="25"/>
  <c r="AP764" i="25"/>
  <c r="AO764" i="25"/>
  <c r="AN764" i="25"/>
  <c r="AP763" i="25"/>
  <c r="AO763" i="25"/>
  <c r="AN763" i="25"/>
  <c r="AP762" i="25"/>
  <c r="AO762" i="25"/>
  <c r="AN762" i="25"/>
  <c r="AP761" i="25"/>
  <c r="AO761" i="25"/>
  <c r="AN761" i="25"/>
  <c r="AP760" i="25"/>
  <c r="AO760" i="25"/>
  <c r="AN760" i="25"/>
  <c r="AP759" i="25"/>
  <c r="AO759" i="25"/>
  <c r="AN759" i="25"/>
  <c r="AP758" i="25"/>
  <c r="AO758" i="25"/>
  <c r="AN758" i="25"/>
  <c r="AP757" i="25"/>
  <c r="AO757" i="25"/>
  <c r="AN757" i="25"/>
  <c r="AP756" i="25"/>
  <c r="AO756" i="25"/>
  <c r="AN756" i="25"/>
  <c r="AP755" i="25"/>
  <c r="AO755" i="25"/>
  <c r="AN755" i="25"/>
  <c r="AP754" i="25"/>
  <c r="AO754" i="25"/>
  <c r="AN754" i="25"/>
  <c r="AP753" i="25"/>
  <c r="AO753" i="25"/>
  <c r="AN753" i="25"/>
  <c r="AP752" i="25"/>
  <c r="AO752" i="25"/>
  <c r="AN752" i="25"/>
  <c r="AP751" i="25"/>
  <c r="AO751" i="25"/>
  <c r="AN751" i="25"/>
  <c r="AP750" i="25"/>
  <c r="AO750" i="25"/>
  <c r="AN750" i="25"/>
  <c r="AP749" i="25"/>
  <c r="AO749" i="25"/>
  <c r="AN749" i="25"/>
  <c r="AP748" i="25"/>
  <c r="AO748" i="25"/>
  <c r="AN748" i="25"/>
  <c r="AP747" i="25"/>
  <c r="AO747" i="25"/>
  <c r="AN747" i="25"/>
  <c r="AP746" i="25"/>
  <c r="AO746" i="25"/>
  <c r="AN746" i="25"/>
  <c r="AP745" i="25"/>
  <c r="AO745" i="25"/>
  <c r="AN745" i="25"/>
  <c r="AP744" i="25"/>
  <c r="AO744" i="25"/>
  <c r="AN744" i="25"/>
  <c r="AP743" i="25"/>
  <c r="AO743" i="25"/>
  <c r="AN743" i="25"/>
  <c r="AP742" i="25"/>
  <c r="AO742" i="25"/>
  <c r="AN742" i="25"/>
  <c r="AP741" i="25"/>
  <c r="AO741" i="25"/>
  <c r="AN741" i="25"/>
  <c r="AP740" i="25"/>
  <c r="AO740" i="25"/>
  <c r="AN740" i="25"/>
  <c r="AP739" i="25"/>
  <c r="AO739" i="25"/>
  <c r="AN739" i="25"/>
  <c r="AP738" i="25"/>
  <c r="AO738" i="25"/>
  <c r="AN738" i="25"/>
  <c r="AP737" i="25"/>
  <c r="AO737" i="25"/>
  <c r="AN737" i="25"/>
  <c r="AP736" i="25"/>
  <c r="AO736" i="25"/>
  <c r="AN736" i="25"/>
  <c r="AP735" i="25"/>
  <c r="AO735" i="25"/>
  <c r="AN735" i="25"/>
  <c r="AP734" i="25"/>
  <c r="AO734" i="25"/>
  <c r="AN734" i="25"/>
  <c r="AP733" i="25"/>
  <c r="AO733" i="25"/>
  <c r="AN733" i="25"/>
  <c r="AP732" i="25"/>
  <c r="AO732" i="25"/>
  <c r="AN732" i="25"/>
  <c r="AP731" i="25"/>
  <c r="AO731" i="25"/>
  <c r="AN731" i="25"/>
  <c r="AP730" i="25"/>
  <c r="AO730" i="25"/>
  <c r="AN730" i="25"/>
  <c r="AP729" i="25"/>
  <c r="AO729" i="25"/>
  <c r="AN729" i="25"/>
  <c r="AP728" i="25"/>
  <c r="AO728" i="25"/>
  <c r="AN728" i="25"/>
  <c r="AP727" i="25"/>
  <c r="AO727" i="25"/>
  <c r="AN727" i="25"/>
  <c r="AP726" i="25"/>
  <c r="AO726" i="25"/>
  <c r="AN726" i="25"/>
  <c r="AP725" i="25"/>
  <c r="AO725" i="25"/>
  <c r="AN725" i="25"/>
  <c r="AP724" i="25"/>
  <c r="AO724" i="25"/>
  <c r="AN724" i="25"/>
  <c r="AP723" i="25"/>
  <c r="AO723" i="25"/>
  <c r="AN723" i="25"/>
  <c r="AP722" i="25"/>
  <c r="AO722" i="25"/>
  <c r="AN722" i="25"/>
  <c r="AP721" i="25"/>
  <c r="AO721" i="25"/>
  <c r="AN721" i="25"/>
  <c r="AP720" i="25"/>
  <c r="AO720" i="25"/>
  <c r="AN720" i="25"/>
  <c r="AP719" i="25"/>
  <c r="AO719" i="25"/>
  <c r="AN719" i="25"/>
  <c r="AP718" i="25"/>
  <c r="AO718" i="25"/>
  <c r="AN718" i="25"/>
  <c r="AP717" i="25"/>
  <c r="AO717" i="25"/>
  <c r="AN717" i="25"/>
  <c r="AP716" i="25"/>
  <c r="AO716" i="25"/>
  <c r="AN716" i="25"/>
  <c r="AP715" i="25"/>
  <c r="AO715" i="25"/>
  <c r="AN715" i="25"/>
  <c r="AP714" i="25"/>
  <c r="AO714" i="25"/>
  <c r="AN714" i="25"/>
  <c r="AP713" i="25"/>
  <c r="AO713" i="25"/>
  <c r="AN713" i="25"/>
  <c r="AP712" i="25"/>
  <c r="AO712" i="25"/>
  <c r="AN712" i="25"/>
  <c r="AP711" i="25"/>
  <c r="AO711" i="25"/>
  <c r="AN711" i="25"/>
  <c r="AP710" i="25"/>
  <c r="AO710" i="25"/>
  <c r="AN710" i="25"/>
  <c r="AP709" i="25"/>
  <c r="AO709" i="25"/>
  <c r="AN709" i="25"/>
  <c r="AP708" i="25"/>
  <c r="AO708" i="25"/>
  <c r="AN708" i="25"/>
  <c r="AP707" i="25"/>
  <c r="AO707" i="25"/>
  <c r="AN707" i="25"/>
  <c r="AP706" i="25"/>
  <c r="AO706" i="25"/>
  <c r="AN706" i="25"/>
  <c r="AP705" i="25"/>
  <c r="AO705" i="25"/>
  <c r="AN705" i="25"/>
  <c r="AP704" i="25"/>
  <c r="AO704" i="25"/>
  <c r="AN704" i="25"/>
  <c r="AP703" i="25"/>
  <c r="AO703" i="25"/>
  <c r="AN703" i="25"/>
  <c r="AP702" i="25"/>
  <c r="AO702" i="25"/>
  <c r="AN702" i="25"/>
  <c r="AP701" i="25"/>
  <c r="AO701" i="25"/>
  <c r="AN701" i="25"/>
  <c r="AP700" i="25"/>
  <c r="AO700" i="25"/>
  <c r="AN700" i="25"/>
  <c r="AP699" i="25"/>
  <c r="AO699" i="25"/>
  <c r="AN699" i="25"/>
  <c r="AP698" i="25"/>
  <c r="AO698" i="25"/>
  <c r="AN698" i="25"/>
  <c r="AP697" i="25"/>
  <c r="AO697" i="25"/>
  <c r="AN697" i="25"/>
  <c r="AP696" i="25"/>
  <c r="AO696" i="25"/>
  <c r="AN696" i="25"/>
  <c r="AP695" i="25"/>
  <c r="AO695" i="25"/>
  <c r="AN695" i="25"/>
  <c r="AP694" i="25"/>
  <c r="AO694" i="25"/>
  <c r="AN694" i="25"/>
  <c r="AP693" i="25"/>
  <c r="AO693" i="25"/>
  <c r="AN693" i="25"/>
  <c r="AP692" i="25"/>
  <c r="AO692" i="25"/>
  <c r="AN692" i="25"/>
  <c r="AP691" i="25"/>
  <c r="AO691" i="25"/>
  <c r="AN691" i="25"/>
  <c r="AP690" i="25"/>
  <c r="AO690" i="25"/>
  <c r="AN690" i="25"/>
  <c r="AP689" i="25"/>
  <c r="AO689" i="25"/>
  <c r="AN689" i="25"/>
  <c r="AP688" i="25"/>
  <c r="AO688" i="25"/>
  <c r="AN688" i="25"/>
  <c r="AP687" i="25"/>
  <c r="AO687" i="25"/>
  <c r="AN687" i="25"/>
  <c r="AP686" i="25"/>
  <c r="AO686" i="25"/>
  <c r="AN686" i="25"/>
  <c r="AP685" i="25"/>
  <c r="AO685" i="25"/>
  <c r="AN685" i="25"/>
  <c r="AP684" i="25"/>
  <c r="AO684" i="25"/>
  <c r="AN684" i="25"/>
  <c r="AP683" i="25"/>
  <c r="AO683" i="25"/>
  <c r="AN683" i="25"/>
  <c r="AP682" i="25"/>
  <c r="AO682" i="25"/>
  <c r="AN682" i="25"/>
  <c r="AP681" i="25"/>
  <c r="AO681" i="25"/>
  <c r="AN681" i="25"/>
  <c r="AP680" i="25"/>
  <c r="AO680" i="25"/>
  <c r="AN680" i="25"/>
  <c r="AP679" i="25"/>
  <c r="AO679" i="25"/>
  <c r="AN679" i="25"/>
  <c r="AP678" i="25"/>
  <c r="AO678" i="25"/>
  <c r="AN678" i="25"/>
  <c r="AP677" i="25"/>
  <c r="AO677" i="25"/>
  <c r="AN677" i="25"/>
  <c r="AP676" i="25"/>
  <c r="AO676" i="25"/>
  <c r="AN676" i="25"/>
  <c r="AP675" i="25"/>
  <c r="AO675" i="25"/>
  <c r="AN675" i="25"/>
  <c r="AP674" i="25"/>
  <c r="AO674" i="25"/>
  <c r="AN674" i="25"/>
  <c r="AP673" i="25"/>
  <c r="AO673" i="25"/>
  <c r="AN673" i="25"/>
  <c r="AP672" i="25"/>
  <c r="AO672" i="25"/>
  <c r="AN672" i="25"/>
  <c r="AP671" i="25"/>
  <c r="AO671" i="25"/>
  <c r="AN671" i="25"/>
  <c r="AP670" i="25"/>
  <c r="AO670" i="25"/>
  <c r="AN670" i="25"/>
  <c r="AP669" i="25"/>
  <c r="AO669" i="25"/>
  <c r="AN669" i="25"/>
  <c r="AP668" i="25"/>
  <c r="AO668" i="25"/>
  <c r="AN668" i="25"/>
  <c r="AP667" i="25"/>
  <c r="AO667" i="25"/>
  <c r="AN667" i="25"/>
  <c r="AP666" i="25"/>
  <c r="AO666" i="25"/>
  <c r="AN666" i="25"/>
  <c r="AP665" i="25"/>
  <c r="AO665" i="25"/>
  <c r="AN665" i="25"/>
  <c r="AP664" i="25"/>
  <c r="AO664" i="25"/>
  <c r="AN664" i="25"/>
  <c r="AP663" i="25"/>
  <c r="AO663" i="25"/>
  <c r="AN663" i="25"/>
  <c r="AP662" i="25"/>
  <c r="AO662" i="25"/>
  <c r="AN662" i="25"/>
  <c r="AP661" i="25"/>
  <c r="AO661" i="25"/>
  <c r="AN661" i="25"/>
  <c r="AP660" i="25"/>
  <c r="AO660" i="25"/>
  <c r="AN660" i="25"/>
  <c r="AP659" i="25"/>
  <c r="AO659" i="25"/>
  <c r="AN659" i="25"/>
  <c r="AP658" i="25"/>
  <c r="AO658" i="25"/>
  <c r="AN658" i="25"/>
  <c r="AP657" i="25"/>
  <c r="AO657" i="25"/>
  <c r="AN657" i="25"/>
  <c r="AP656" i="25"/>
  <c r="AO656" i="25"/>
  <c r="AN656" i="25"/>
  <c r="AP655" i="25"/>
  <c r="AO655" i="25"/>
  <c r="AN655" i="25"/>
  <c r="AP654" i="25"/>
  <c r="AO654" i="25"/>
  <c r="AN654" i="25"/>
  <c r="AP653" i="25"/>
  <c r="AO653" i="25"/>
  <c r="AN653" i="25"/>
  <c r="AP652" i="25"/>
  <c r="AO652" i="25"/>
  <c r="AN652" i="25"/>
  <c r="AP651" i="25"/>
  <c r="AO651" i="25"/>
  <c r="AN651" i="25"/>
  <c r="AP650" i="25"/>
  <c r="AO650" i="25"/>
  <c r="AN650" i="25"/>
  <c r="AP649" i="25"/>
  <c r="AO649" i="25"/>
  <c r="AN649" i="25"/>
  <c r="AP648" i="25"/>
  <c r="AO648" i="25"/>
  <c r="AN648" i="25"/>
  <c r="AP647" i="25"/>
  <c r="AO647" i="25"/>
  <c r="AN647" i="25"/>
  <c r="AP646" i="25"/>
  <c r="AO646" i="25"/>
  <c r="AN646" i="25"/>
  <c r="AP645" i="25"/>
  <c r="AO645" i="25"/>
  <c r="AN645" i="25"/>
  <c r="AP644" i="25"/>
  <c r="AO644" i="25"/>
  <c r="AN644" i="25"/>
  <c r="AP643" i="25"/>
  <c r="AO643" i="25"/>
  <c r="AN643" i="25"/>
  <c r="AP642" i="25"/>
  <c r="AO642" i="25"/>
  <c r="AN642" i="25"/>
  <c r="AP641" i="25"/>
  <c r="AO641" i="25"/>
  <c r="AN641" i="25"/>
  <c r="AP640" i="25"/>
  <c r="AO640" i="25"/>
  <c r="AN640" i="25"/>
  <c r="AP639" i="25"/>
  <c r="AO639" i="25"/>
  <c r="AN639" i="25"/>
  <c r="AP638" i="25"/>
  <c r="AO638" i="25"/>
  <c r="AN638" i="25"/>
  <c r="AP637" i="25"/>
  <c r="AO637" i="25"/>
  <c r="AN637" i="25"/>
  <c r="AP636" i="25"/>
  <c r="AO636" i="25"/>
  <c r="AN636" i="25"/>
  <c r="AP635" i="25"/>
  <c r="AO635" i="25"/>
  <c r="AN635" i="25"/>
  <c r="AP634" i="25"/>
  <c r="AO634" i="25"/>
  <c r="AN634" i="25"/>
  <c r="AP633" i="25"/>
  <c r="AO633" i="25"/>
  <c r="AN633" i="25"/>
  <c r="AP632" i="25"/>
  <c r="AO632" i="25"/>
  <c r="AN632" i="25"/>
  <c r="AP631" i="25"/>
  <c r="AO631" i="25"/>
  <c r="AN631" i="25"/>
  <c r="AP630" i="25"/>
  <c r="AO630" i="25"/>
  <c r="AN630" i="25"/>
  <c r="AP629" i="25"/>
  <c r="AO629" i="25"/>
  <c r="AN629" i="25"/>
  <c r="AP628" i="25"/>
  <c r="AO628" i="25"/>
  <c r="AN628" i="25"/>
  <c r="AP627" i="25"/>
  <c r="AO627" i="25"/>
  <c r="AN627" i="25"/>
  <c r="AP626" i="25"/>
  <c r="AO626" i="25"/>
  <c r="AN626" i="25"/>
  <c r="AP625" i="25"/>
  <c r="AO625" i="25"/>
  <c r="AN625" i="25"/>
  <c r="AP624" i="25"/>
  <c r="AO624" i="25"/>
  <c r="AN624" i="25"/>
  <c r="AP623" i="25"/>
  <c r="AO623" i="25"/>
  <c r="AN623" i="25"/>
  <c r="AP622" i="25"/>
  <c r="AO622" i="25"/>
  <c r="AN622" i="25"/>
  <c r="AP621" i="25"/>
  <c r="AO621" i="25"/>
  <c r="AN621" i="25"/>
  <c r="AP620" i="25"/>
  <c r="AO620" i="25"/>
  <c r="AN620" i="25"/>
  <c r="AP619" i="25"/>
  <c r="AO619" i="25"/>
  <c r="AN619" i="25"/>
  <c r="AP618" i="25"/>
  <c r="AO618" i="25"/>
  <c r="AN618" i="25"/>
  <c r="AP617" i="25"/>
  <c r="AO617" i="25"/>
  <c r="AN617" i="25"/>
  <c r="AP616" i="25"/>
  <c r="AO616" i="25"/>
  <c r="AN616" i="25"/>
  <c r="AP615" i="25"/>
  <c r="AO615" i="25"/>
  <c r="AN615" i="25"/>
  <c r="AP614" i="25"/>
  <c r="AO614" i="25"/>
  <c r="AN614" i="25"/>
  <c r="AP613" i="25"/>
  <c r="AO613" i="25"/>
  <c r="AN613" i="25"/>
  <c r="AP612" i="25"/>
  <c r="AO612" i="25"/>
  <c r="AN612" i="25"/>
  <c r="AP611" i="25"/>
  <c r="AO611" i="25"/>
  <c r="AN611" i="25"/>
  <c r="AP610" i="25"/>
  <c r="AO610" i="25"/>
  <c r="AN610" i="25"/>
  <c r="AP609" i="25"/>
  <c r="AO609" i="25"/>
  <c r="AN609" i="25"/>
  <c r="AP608" i="25"/>
  <c r="AO608" i="25"/>
  <c r="AN608" i="25"/>
  <c r="AP607" i="25"/>
  <c r="AO607" i="25"/>
  <c r="AN607" i="25"/>
  <c r="AP606" i="25"/>
  <c r="AO606" i="25"/>
  <c r="AN606" i="25"/>
  <c r="AP605" i="25"/>
  <c r="AO605" i="25"/>
  <c r="AN605" i="25"/>
  <c r="AP604" i="25"/>
  <c r="AO604" i="25"/>
  <c r="AN604" i="25"/>
  <c r="AP603" i="25"/>
  <c r="AO603" i="25"/>
  <c r="AN603" i="25"/>
  <c r="AP602" i="25"/>
  <c r="AO602" i="25"/>
  <c r="AN602" i="25"/>
  <c r="AP601" i="25"/>
  <c r="AO601" i="25"/>
  <c r="AN601" i="25"/>
  <c r="AP600" i="25"/>
  <c r="AO600" i="25"/>
  <c r="AN600" i="25"/>
  <c r="AP599" i="25"/>
  <c r="AO599" i="25"/>
  <c r="AN599" i="25"/>
  <c r="AP598" i="25"/>
  <c r="AO598" i="25"/>
  <c r="AN598" i="25"/>
  <c r="AP597" i="25"/>
  <c r="AO597" i="25"/>
  <c r="AN597" i="25"/>
  <c r="AP596" i="25"/>
  <c r="AO596" i="25"/>
  <c r="AN596" i="25"/>
  <c r="AP595" i="25"/>
  <c r="AO595" i="25"/>
  <c r="AN595" i="25"/>
  <c r="AP594" i="25"/>
  <c r="AO594" i="25"/>
  <c r="AN594" i="25"/>
  <c r="AP593" i="25"/>
  <c r="AO593" i="25"/>
  <c r="AN593" i="25"/>
  <c r="AP592" i="25"/>
  <c r="AO592" i="25"/>
  <c r="AN592" i="25"/>
  <c r="AP591" i="25"/>
  <c r="AO591" i="25"/>
  <c r="AN591" i="25"/>
  <c r="AP590" i="25"/>
  <c r="AO590" i="25"/>
  <c r="AN590" i="25"/>
  <c r="AP589" i="25"/>
  <c r="AO589" i="25"/>
  <c r="AN589" i="25"/>
  <c r="AP588" i="25"/>
  <c r="AO588" i="25"/>
  <c r="AN588" i="25"/>
  <c r="AP587" i="25"/>
  <c r="AO587" i="25"/>
  <c r="AN587" i="25"/>
  <c r="AP586" i="25"/>
  <c r="AO586" i="25"/>
  <c r="AN586" i="25"/>
  <c r="AP585" i="25"/>
  <c r="AO585" i="25"/>
  <c r="AN585" i="25"/>
  <c r="AP584" i="25"/>
  <c r="AO584" i="25"/>
  <c r="AN584" i="25"/>
  <c r="AP583" i="25"/>
  <c r="AO583" i="25"/>
  <c r="AN583" i="25"/>
  <c r="AP582" i="25"/>
  <c r="AO582" i="25"/>
  <c r="AN582" i="25"/>
  <c r="AP581" i="25"/>
  <c r="AO581" i="25"/>
  <c r="AN581" i="25"/>
  <c r="AP580" i="25"/>
  <c r="AO580" i="25"/>
  <c r="AN580" i="25"/>
  <c r="AP579" i="25"/>
  <c r="AO579" i="25"/>
  <c r="AN579" i="25"/>
  <c r="AP578" i="25"/>
  <c r="AO578" i="25"/>
  <c r="AN578" i="25"/>
  <c r="AP577" i="25"/>
  <c r="AO577" i="25"/>
  <c r="AN577" i="25"/>
  <c r="AP576" i="25"/>
  <c r="AO576" i="25"/>
  <c r="AN576" i="25"/>
  <c r="AP575" i="25"/>
  <c r="AO575" i="25"/>
  <c r="AN575" i="25"/>
  <c r="AP574" i="25"/>
  <c r="AO574" i="25"/>
  <c r="AN574" i="25"/>
  <c r="AP573" i="25"/>
  <c r="AO573" i="25"/>
  <c r="AN573" i="25"/>
  <c r="AP572" i="25"/>
  <c r="AO572" i="25"/>
  <c r="AN572" i="25"/>
  <c r="AP571" i="25"/>
  <c r="AO571" i="25"/>
  <c r="AN571" i="25"/>
  <c r="AP570" i="25"/>
  <c r="AO570" i="25"/>
  <c r="AN570" i="25"/>
  <c r="AP569" i="25"/>
  <c r="AO569" i="25"/>
  <c r="AN569" i="25"/>
  <c r="AP568" i="25"/>
  <c r="AO568" i="25"/>
  <c r="AN568" i="25"/>
  <c r="AP567" i="25"/>
  <c r="AO567" i="25"/>
  <c r="AN567" i="25"/>
  <c r="AP566" i="25"/>
  <c r="AO566" i="25"/>
  <c r="AN566" i="25"/>
  <c r="AP565" i="25"/>
  <c r="AO565" i="25"/>
  <c r="AN565" i="25"/>
  <c r="AP564" i="25"/>
  <c r="AO564" i="25"/>
  <c r="AN564" i="25"/>
  <c r="AP563" i="25"/>
  <c r="AO563" i="25"/>
  <c r="AN563" i="25"/>
  <c r="AP562" i="25"/>
  <c r="AO562" i="25"/>
  <c r="AN562" i="25"/>
  <c r="AP561" i="25"/>
  <c r="AO561" i="25"/>
  <c r="AN561" i="25"/>
  <c r="AP560" i="25"/>
  <c r="AO560" i="25"/>
  <c r="AN560" i="25"/>
  <c r="AP559" i="25"/>
  <c r="AO559" i="25"/>
  <c r="AN559" i="25"/>
  <c r="AP558" i="25"/>
  <c r="AO558" i="25"/>
  <c r="AN558" i="25"/>
  <c r="AP557" i="25"/>
  <c r="AO557" i="25"/>
  <c r="AN557" i="25"/>
  <c r="AP556" i="25"/>
  <c r="AO556" i="25"/>
  <c r="AN556" i="25"/>
  <c r="AP555" i="25"/>
  <c r="AO555" i="25"/>
  <c r="AN555" i="25"/>
  <c r="AP554" i="25"/>
  <c r="AO554" i="25"/>
  <c r="AN554" i="25"/>
  <c r="AP553" i="25"/>
  <c r="AO553" i="25"/>
  <c r="AN553" i="25"/>
  <c r="AP552" i="25"/>
  <c r="AO552" i="25"/>
  <c r="AN552" i="25"/>
  <c r="AP551" i="25"/>
  <c r="AO551" i="25"/>
  <c r="AN551" i="25"/>
  <c r="AP550" i="25"/>
  <c r="AO550" i="25"/>
  <c r="AN550" i="25"/>
  <c r="AP549" i="25"/>
  <c r="AO549" i="25"/>
  <c r="AN549" i="25"/>
  <c r="AP548" i="25"/>
  <c r="AO548" i="25"/>
  <c r="AN548" i="25"/>
  <c r="AP547" i="25"/>
  <c r="AO547" i="25"/>
  <c r="AN547" i="25"/>
  <c r="AP546" i="25"/>
  <c r="AO546" i="25"/>
  <c r="AN546" i="25"/>
  <c r="AP545" i="25"/>
  <c r="AO545" i="25"/>
  <c r="AN545" i="25"/>
  <c r="AP544" i="25"/>
  <c r="AO544" i="25"/>
  <c r="AN544" i="25"/>
  <c r="AP543" i="25"/>
  <c r="AO543" i="25"/>
  <c r="AN543" i="25"/>
  <c r="AP542" i="25"/>
  <c r="AO542" i="25"/>
  <c r="AN542" i="25"/>
  <c r="AP541" i="25"/>
  <c r="AO541" i="25"/>
  <c r="AN541" i="25"/>
  <c r="AP540" i="25"/>
  <c r="AO540" i="25"/>
  <c r="AN540" i="25"/>
  <c r="AP539" i="25"/>
  <c r="AO539" i="25"/>
  <c r="AN539" i="25"/>
  <c r="AP538" i="25"/>
  <c r="AO538" i="25"/>
  <c r="AN538" i="25"/>
  <c r="AP537" i="25"/>
  <c r="AO537" i="25"/>
  <c r="AN537" i="25"/>
  <c r="AP536" i="25"/>
  <c r="AO536" i="25"/>
  <c r="AN536" i="25"/>
  <c r="AP535" i="25"/>
  <c r="AO535" i="25"/>
  <c r="AN535" i="25"/>
  <c r="AP534" i="25"/>
  <c r="AO534" i="25"/>
  <c r="AN534" i="25"/>
  <c r="AP533" i="25"/>
  <c r="AO533" i="25"/>
  <c r="AN533" i="25"/>
  <c r="AP532" i="25"/>
  <c r="AO532" i="25"/>
  <c r="AN532" i="25"/>
  <c r="AP531" i="25"/>
  <c r="AO531" i="25"/>
  <c r="AN531" i="25"/>
  <c r="AP530" i="25"/>
  <c r="AO530" i="25"/>
  <c r="AN530" i="25"/>
  <c r="AP529" i="25"/>
  <c r="AO529" i="25"/>
  <c r="AN529" i="25"/>
  <c r="AP528" i="25"/>
  <c r="AO528" i="25"/>
  <c r="AN528" i="25"/>
  <c r="AP527" i="25"/>
  <c r="AO527" i="25"/>
  <c r="AN527" i="25"/>
  <c r="AP526" i="25"/>
  <c r="AO526" i="25"/>
  <c r="AN526" i="25"/>
  <c r="AP525" i="25"/>
  <c r="AO525" i="25"/>
  <c r="AN525" i="25"/>
  <c r="AP524" i="25"/>
  <c r="AO524" i="25"/>
  <c r="AN524" i="25"/>
  <c r="AP523" i="25"/>
  <c r="AO523" i="25"/>
  <c r="AN523" i="25"/>
  <c r="AP522" i="25"/>
  <c r="AO522" i="25"/>
  <c r="AN522" i="25"/>
  <c r="AP521" i="25"/>
  <c r="AO521" i="25"/>
  <c r="AN521" i="25"/>
  <c r="AP520" i="25"/>
  <c r="AO520" i="25"/>
  <c r="AN520" i="25"/>
  <c r="AP519" i="25"/>
  <c r="AO519" i="25"/>
  <c r="AN519" i="25"/>
  <c r="AP518" i="25"/>
  <c r="AO518" i="25"/>
  <c r="AN518" i="25"/>
  <c r="AP517" i="25"/>
  <c r="AO517" i="25"/>
  <c r="AN517" i="25"/>
  <c r="AP516" i="25"/>
  <c r="AO516" i="25"/>
  <c r="AN516" i="25"/>
  <c r="AP515" i="25"/>
  <c r="AO515" i="25"/>
  <c r="AN515" i="25"/>
  <c r="AP514" i="25"/>
  <c r="AO514" i="25"/>
  <c r="AN514" i="25"/>
  <c r="AP513" i="25"/>
  <c r="AO513" i="25"/>
  <c r="AN513" i="25"/>
  <c r="AP512" i="25"/>
  <c r="AO512" i="25"/>
  <c r="AN512" i="25"/>
  <c r="AP511" i="25"/>
  <c r="AO511" i="25"/>
  <c r="AN511" i="25"/>
  <c r="AP510" i="25"/>
  <c r="AO510" i="25"/>
  <c r="AN510" i="25"/>
  <c r="AP509" i="25"/>
  <c r="AO509" i="25"/>
  <c r="AN509" i="25"/>
  <c r="AP508" i="25"/>
  <c r="AO508" i="25"/>
  <c r="AN508" i="25"/>
  <c r="AP507" i="25"/>
  <c r="AO507" i="25"/>
  <c r="AN507" i="25"/>
  <c r="AP506" i="25"/>
  <c r="AO506" i="25"/>
  <c r="AN506" i="25"/>
  <c r="AP505" i="25"/>
  <c r="AO505" i="25"/>
  <c r="AN505" i="25"/>
  <c r="AP504" i="25"/>
  <c r="AO504" i="25"/>
  <c r="AN504" i="25"/>
  <c r="AP503" i="25"/>
  <c r="AO503" i="25"/>
  <c r="AN503" i="25"/>
  <c r="AP502" i="25"/>
  <c r="AO502" i="25"/>
  <c r="AN502" i="25"/>
  <c r="AP501" i="25"/>
  <c r="AO501" i="25"/>
  <c r="AN501" i="25"/>
  <c r="AP500" i="25"/>
  <c r="AO500" i="25"/>
  <c r="AN500" i="25"/>
  <c r="AP499" i="25"/>
  <c r="AO499" i="25"/>
  <c r="AN499" i="25"/>
  <c r="AP498" i="25"/>
  <c r="AO498" i="25"/>
  <c r="AN498" i="25"/>
  <c r="AP497" i="25"/>
  <c r="AO497" i="25"/>
  <c r="AN497" i="25"/>
  <c r="AP496" i="25"/>
  <c r="AO496" i="25"/>
  <c r="AN496" i="25"/>
  <c r="AP495" i="25"/>
  <c r="AO495" i="25"/>
  <c r="AN495" i="25"/>
  <c r="AP494" i="25"/>
  <c r="AO494" i="25"/>
  <c r="AN494" i="25"/>
  <c r="AP493" i="25"/>
  <c r="AO493" i="25"/>
  <c r="AN493" i="25"/>
  <c r="AP492" i="25"/>
  <c r="AO492" i="25"/>
  <c r="AN492" i="25"/>
  <c r="AP491" i="25"/>
  <c r="AO491" i="25"/>
  <c r="AN491" i="25"/>
  <c r="AP490" i="25"/>
  <c r="AO490" i="25"/>
  <c r="AN490" i="25"/>
  <c r="AP489" i="25"/>
  <c r="AO489" i="25"/>
  <c r="AN489" i="25"/>
  <c r="AP488" i="25"/>
  <c r="AO488" i="25"/>
  <c r="AN488" i="25"/>
  <c r="AP487" i="25"/>
  <c r="AO487" i="25"/>
  <c r="AN487" i="25"/>
  <c r="AP486" i="25"/>
  <c r="AO486" i="25"/>
  <c r="AN486" i="25"/>
  <c r="AP485" i="25"/>
  <c r="AO485" i="25"/>
  <c r="AN485" i="25"/>
  <c r="AP484" i="25"/>
  <c r="AO484" i="25"/>
  <c r="AN484" i="25"/>
  <c r="AP483" i="25"/>
  <c r="AO483" i="25"/>
  <c r="AN483" i="25"/>
  <c r="AP482" i="25"/>
  <c r="AO482" i="25"/>
  <c r="AN482" i="25"/>
  <c r="AP481" i="25"/>
  <c r="AO481" i="25"/>
  <c r="AN481" i="25"/>
  <c r="AP480" i="25"/>
  <c r="AO480" i="25"/>
  <c r="AN480" i="25"/>
  <c r="AP479" i="25"/>
  <c r="AO479" i="25"/>
  <c r="AN479" i="25"/>
  <c r="AP478" i="25"/>
  <c r="AO478" i="25"/>
  <c r="AN478" i="25"/>
  <c r="AP477" i="25"/>
  <c r="AO477" i="25"/>
  <c r="AN477" i="25"/>
  <c r="AP476" i="25"/>
  <c r="AO476" i="25"/>
  <c r="AN476" i="25"/>
  <c r="AP475" i="25"/>
  <c r="AO475" i="25"/>
  <c r="AN475" i="25"/>
  <c r="AP474" i="25"/>
  <c r="AO474" i="25"/>
  <c r="AN474" i="25"/>
  <c r="AP473" i="25"/>
  <c r="AO473" i="25"/>
  <c r="AN473" i="25"/>
  <c r="AP472" i="25"/>
  <c r="AO472" i="25"/>
  <c r="AN472" i="25"/>
  <c r="AP471" i="25"/>
  <c r="AO471" i="25"/>
  <c r="AN471" i="25"/>
  <c r="AP470" i="25"/>
  <c r="AO470" i="25"/>
  <c r="AN470" i="25"/>
  <c r="AP469" i="25"/>
  <c r="AO469" i="25"/>
  <c r="AN469" i="25"/>
  <c r="AP468" i="25"/>
  <c r="AO468" i="25"/>
  <c r="AN468" i="25"/>
  <c r="AP467" i="25"/>
  <c r="AO467" i="25"/>
  <c r="AN467" i="25"/>
  <c r="AP466" i="25"/>
  <c r="AO466" i="25"/>
  <c r="AN466" i="25"/>
  <c r="AP465" i="25"/>
  <c r="AO465" i="25"/>
  <c r="AN465" i="25"/>
  <c r="AP464" i="25"/>
  <c r="AO464" i="25"/>
  <c r="AN464" i="25"/>
  <c r="AP463" i="25"/>
  <c r="AO463" i="25"/>
  <c r="AN463" i="25"/>
  <c r="AP462" i="25"/>
  <c r="AO462" i="25"/>
  <c r="AN462" i="25"/>
  <c r="AP461" i="25"/>
  <c r="AO461" i="25"/>
  <c r="AN461" i="25"/>
  <c r="AP460" i="25"/>
  <c r="AO460" i="25"/>
  <c r="AN460" i="25"/>
  <c r="AP459" i="25"/>
  <c r="AO459" i="25"/>
  <c r="AN459" i="25"/>
  <c r="AP458" i="25"/>
  <c r="AO458" i="25"/>
  <c r="AN458" i="25"/>
  <c r="AP457" i="25"/>
  <c r="AO457" i="25"/>
  <c r="AN457" i="25"/>
  <c r="AP456" i="25"/>
  <c r="AO456" i="25"/>
  <c r="AN456" i="25"/>
  <c r="AP455" i="25"/>
  <c r="AO455" i="25"/>
  <c r="AN455" i="25"/>
  <c r="AP454" i="25"/>
  <c r="AO454" i="25"/>
  <c r="AN454" i="25"/>
  <c r="AP453" i="25"/>
  <c r="AO453" i="25"/>
  <c r="AN453" i="25"/>
  <c r="AP452" i="25"/>
  <c r="AO452" i="25"/>
  <c r="AN452" i="25"/>
  <c r="AP451" i="25"/>
  <c r="AO451" i="25"/>
  <c r="AN451" i="25"/>
  <c r="AP450" i="25"/>
  <c r="AO450" i="25"/>
  <c r="AN450" i="25"/>
  <c r="AP449" i="25"/>
  <c r="AO449" i="25"/>
  <c r="AN449" i="25"/>
  <c r="AP448" i="25"/>
  <c r="AO448" i="25"/>
  <c r="AN448" i="25"/>
  <c r="AP447" i="25"/>
  <c r="AO447" i="25"/>
  <c r="AN447" i="25"/>
  <c r="AP446" i="25"/>
  <c r="AO446" i="25"/>
  <c r="AN446" i="25"/>
  <c r="AP445" i="25"/>
  <c r="AO445" i="25"/>
  <c r="AN445" i="25"/>
  <c r="AP444" i="25"/>
  <c r="AO444" i="25"/>
  <c r="AN444" i="25"/>
  <c r="AP443" i="25"/>
  <c r="AO443" i="25"/>
  <c r="AN443" i="25"/>
  <c r="AP442" i="25"/>
  <c r="AO442" i="25"/>
  <c r="AN442" i="25"/>
  <c r="AP441" i="25"/>
  <c r="AO441" i="25"/>
  <c r="AN441" i="25"/>
  <c r="AP440" i="25"/>
  <c r="AO440" i="25"/>
  <c r="AN440" i="25"/>
  <c r="AP439" i="25"/>
  <c r="AO439" i="25"/>
  <c r="AN439" i="25"/>
  <c r="AP438" i="25"/>
  <c r="AO438" i="25"/>
  <c r="AN438" i="25"/>
  <c r="AP437" i="25"/>
  <c r="AO437" i="25"/>
  <c r="AN437" i="25"/>
  <c r="AP436" i="25"/>
  <c r="AO436" i="25"/>
  <c r="AN436" i="25"/>
  <c r="AP435" i="25"/>
  <c r="AO435" i="25"/>
  <c r="AN435" i="25"/>
  <c r="AP434" i="25"/>
  <c r="AO434" i="25"/>
  <c r="AN434" i="25"/>
  <c r="AP433" i="25"/>
  <c r="AO433" i="25"/>
  <c r="AN433" i="25"/>
  <c r="AP432" i="25"/>
  <c r="AO432" i="25"/>
  <c r="AN432" i="25"/>
  <c r="AP431" i="25"/>
  <c r="AO431" i="25"/>
  <c r="AN431" i="25"/>
  <c r="AP430" i="25"/>
  <c r="AO430" i="25"/>
  <c r="AN430" i="25"/>
  <c r="AP429" i="25"/>
  <c r="AO429" i="25"/>
  <c r="AN429" i="25"/>
  <c r="AP428" i="25"/>
  <c r="AO428" i="25"/>
  <c r="AN428" i="25"/>
  <c r="AP427" i="25"/>
  <c r="AO427" i="25"/>
  <c r="AN427" i="25"/>
  <c r="AP426" i="25"/>
  <c r="AO426" i="25"/>
  <c r="AN426" i="25"/>
  <c r="AP425" i="25"/>
  <c r="AO425" i="25"/>
  <c r="AN425" i="25"/>
  <c r="AP424" i="25"/>
  <c r="AO424" i="25"/>
  <c r="AN424" i="25"/>
  <c r="AP423" i="25"/>
  <c r="AO423" i="25"/>
  <c r="AN423" i="25"/>
  <c r="AP422" i="25"/>
  <c r="AO422" i="25"/>
  <c r="AN422" i="25"/>
  <c r="AP421" i="25"/>
  <c r="AO421" i="25"/>
  <c r="AN421" i="25"/>
  <c r="AP420" i="25"/>
  <c r="AO420" i="25"/>
  <c r="AN420" i="25"/>
  <c r="AP419" i="25"/>
  <c r="AO419" i="25"/>
  <c r="AN419" i="25"/>
  <c r="AP418" i="25"/>
  <c r="AO418" i="25"/>
  <c r="AN418" i="25"/>
  <c r="AP417" i="25"/>
  <c r="AO417" i="25"/>
  <c r="AN417" i="25"/>
  <c r="AP416" i="25"/>
  <c r="AO416" i="25"/>
  <c r="AN416" i="25"/>
  <c r="AP415" i="25"/>
  <c r="AO415" i="25"/>
  <c r="AN415" i="25"/>
  <c r="AP414" i="25"/>
  <c r="AO414" i="25"/>
  <c r="AN414" i="25"/>
  <c r="AP413" i="25"/>
  <c r="AO413" i="25"/>
  <c r="AN413" i="25"/>
  <c r="AP412" i="25"/>
  <c r="AO412" i="25"/>
  <c r="AN412" i="25"/>
  <c r="AP411" i="25"/>
  <c r="AO411" i="25"/>
  <c r="AN411" i="25"/>
  <c r="AP410" i="25"/>
  <c r="AO410" i="25"/>
  <c r="AN410" i="25"/>
  <c r="AP409" i="25"/>
  <c r="AO409" i="25"/>
  <c r="AN409" i="25"/>
  <c r="AP408" i="25"/>
  <c r="AO408" i="25"/>
  <c r="AN408" i="25"/>
  <c r="AP407" i="25"/>
  <c r="AO407" i="25"/>
  <c r="AN407" i="25"/>
  <c r="AP406" i="25"/>
  <c r="AO406" i="25"/>
  <c r="AN406" i="25"/>
  <c r="AP405" i="25"/>
  <c r="AO405" i="25"/>
  <c r="AN405" i="25"/>
  <c r="AP404" i="25"/>
  <c r="AO404" i="25"/>
  <c r="AN404" i="25"/>
  <c r="AP403" i="25"/>
  <c r="AO403" i="25"/>
  <c r="AN403" i="25"/>
  <c r="AP402" i="25"/>
  <c r="AO402" i="25"/>
  <c r="AN402" i="25"/>
  <c r="AP401" i="25"/>
  <c r="AO401" i="25"/>
  <c r="AN401" i="25"/>
  <c r="AP400" i="25"/>
  <c r="AO400" i="25"/>
  <c r="AN400" i="25"/>
  <c r="AP399" i="25"/>
  <c r="AO399" i="25"/>
  <c r="AN399" i="25"/>
  <c r="AP398" i="25"/>
  <c r="AO398" i="25"/>
  <c r="AN398" i="25"/>
  <c r="AP397" i="25"/>
  <c r="AO397" i="25"/>
  <c r="AN397" i="25"/>
  <c r="AP396" i="25"/>
  <c r="AO396" i="25"/>
  <c r="AN396" i="25"/>
  <c r="AP395" i="25"/>
  <c r="AO395" i="25"/>
  <c r="AN395" i="25"/>
  <c r="AP394" i="25"/>
  <c r="AO394" i="25"/>
  <c r="AN394" i="25"/>
  <c r="AP393" i="25"/>
  <c r="AO393" i="25"/>
  <c r="AN393" i="25"/>
  <c r="AP392" i="25"/>
  <c r="AO392" i="25"/>
  <c r="AN392" i="25"/>
  <c r="AP391" i="25"/>
  <c r="AO391" i="25"/>
  <c r="AN391" i="25"/>
  <c r="AP390" i="25"/>
  <c r="AO390" i="25"/>
  <c r="AN390" i="25"/>
  <c r="AP389" i="25"/>
  <c r="AO389" i="25"/>
  <c r="AN389" i="25"/>
  <c r="AP388" i="25"/>
  <c r="AO388" i="25"/>
  <c r="AN388" i="25"/>
  <c r="AP387" i="25"/>
  <c r="AO387" i="25"/>
  <c r="AN387" i="25"/>
  <c r="AP386" i="25"/>
  <c r="AO386" i="25"/>
  <c r="AN386" i="25"/>
  <c r="AP385" i="25"/>
  <c r="AO385" i="25"/>
  <c r="AN385" i="25"/>
  <c r="AP384" i="25"/>
  <c r="AO384" i="25"/>
  <c r="AN384" i="25"/>
  <c r="AP383" i="25"/>
  <c r="AO383" i="25"/>
  <c r="AN383" i="25"/>
  <c r="AP382" i="25"/>
  <c r="AO382" i="25"/>
  <c r="AN382" i="25"/>
  <c r="AP381" i="25"/>
  <c r="AO381" i="25"/>
  <c r="AN381" i="25"/>
  <c r="AP380" i="25"/>
  <c r="AO380" i="25"/>
  <c r="AN380" i="25"/>
  <c r="AP379" i="25"/>
  <c r="AO379" i="25"/>
  <c r="AN379" i="25"/>
  <c r="AP378" i="25"/>
  <c r="AO378" i="25"/>
  <c r="AN378" i="25"/>
  <c r="AP377" i="25"/>
  <c r="AO377" i="25"/>
  <c r="AN377" i="25"/>
  <c r="AP376" i="25"/>
  <c r="AO376" i="25"/>
  <c r="AN376" i="25"/>
  <c r="AP375" i="25"/>
  <c r="AO375" i="25"/>
  <c r="AN375" i="25"/>
  <c r="AP374" i="25"/>
  <c r="AO374" i="25"/>
  <c r="AN374" i="25"/>
  <c r="AP373" i="25"/>
  <c r="AO373" i="25"/>
  <c r="AN373" i="25"/>
  <c r="AP372" i="25"/>
  <c r="AO372" i="25"/>
  <c r="AN372" i="25"/>
  <c r="AP371" i="25"/>
  <c r="AO371" i="25"/>
  <c r="AN371" i="25"/>
  <c r="AP370" i="25"/>
  <c r="AO370" i="25"/>
  <c r="AN370" i="25"/>
  <c r="AP369" i="25"/>
  <c r="AO369" i="25"/>
  <c r="AN369" i="25"/>
  <c r="AP368" i="25"/>
  <c r="AO368" i="25"/>
  <c r="AN368" i="25"/>
  <c r="AP367" i="25"/>
  <c r="AO367" i="25"/>
  <c r="AN367" i="25"/>
  <c r="AP366" i="25"/>
  <c r="AO366" i="25"/>
  <c r="AN366" i="25"/>
  <c r="AP365" i="25"/>
  <c r="AO365" i="25"/>
  <c r="AN365" i="25"/>
  <c r="AP364" i="25"/>
  <c r="AO364" i="25"/>
  <c r="AN364" i="25"/>
  <c r="AP363" i="25"/>
  <c r="AO363" i="25"/>
  <c r="AN363" i="25"/>
  <c r="AP362" i="25"/>
  <c r="AO362" i="25"/>
  <c r="AN362" i="25"/>
  <c r="AP361" i="25"/>
  <c r="AO361" i="25"/>
  <c r="AN361" i="25"/>
  <c r="AP360" i="25"/>
  <c r="AO360" i="25"/>
  <c r="AN360" i="25"/>
  <c r="AP359" i="25"/>
  <c r="AO359" i="25"/>
  <c r="AN359" i="25"/>
  <c r="AP358" i="25"/>
  <c r="AO358" i="25"/>
  <c r="AN358" i="25"/>
  <c r="AP357" i="25"/>
  <c r="AO357" i="25"/>
  <c r="AN357" i="25"/>
  <c r="AP356" i="25"/>
  <c r="AO356" i="25"/>
  <c r="AN356" i="25"/>
  <c r="AP355" i="25"/>
  <c r="AO355" i="25"/>
  <c r="AN355" i="25"/>
  <c r="AP354" i="25"/>
  <c r="AO354" i="25"/>
  <c r="AN354" i="25"/>
  <c r="AP353" i="25"/>
  <c r="AO353" i="25"/>
  <c r="AN353" i="25"/>
  <c r="AP352" i="25"/>
  <c r="AO352" i="25"/>
  <c r="AN352" i="25"/>
  <c r="AP351" i="25"/>
  <c r="AO351" i="25"/>
  <c r="AN351" i="25"/>
  <c r="AP350" i="25"/>
  <c r="AO350" i="25"/>
  <c r="AN350" i="25"/>
  <c r="AP349" i="25"/>
  <c r="AO349" i="25"/>
  <c r="AN349" i="25"/>
  <c r="AP348" i="25"/>
  <c r="AO348" i="25"/>
  <c r="AN348" i="25"/>
  <c r="AP347" i="25"/>
  <c r="AO347" i="25"/>
  <c r="AN347" i="25"/>
  <c r="AP346" i="25"/>
  <c r="AO346" i="25"/>
  <c r="AN346" i="25"/>
  <c r="AP345" i="25"/>
  <c r="AO345" i="25"/>
  <c r="AN345" i="25"/>
  <c r="AP344" i="25"/>
  <c r="AO344" i="25"/>
  <c r="AN344" i="25"/>
  <c r="AP343" i="25"/>
  <c r="AO343" i="25"/>
  <c r="AN343" i="25"/>
  <c r="AP342" i="25"/>
  <c r="AO342" i="25"/>
  <c r="AN342" i="25"/>
  <c r="AP341" i="25"/>
  <c r="AO341" i="25"/>
  <c r="AN341" i="25"/>
  <c r="AP340" i="25"/>
  <c r="AO340" i="25"/>
  <c r="AN340" i="25"/>
  <c r="AP339" i="25"/>
  <c r="AO339" i="25"/>
  <c r="AN339" i="25"/>
  <c r="AP338" i="25"/>
  <c r="AO338" i="25"/>
  <c r="AN338" i="25"/>
  <c r="AP337" i="25"/>
  <c r="AO337" i="25"/>
  <c r="AN337" i="25"/>
  <c r="AP336" i="25"/>
  <c r="AO336" i="25"/>
  <c r="AN336" i="25"/>
  <c r="AP335" i="25"/>
  <c r="AO335" i="25"/>
  <c r="AN335" i="25"/>
  <c r="AP334" i="25"/>
  <c r="AO334" i="25"/>
  <c r="AN334" i="25"/>
  <c r="AP333" i="25"/>
  <c r="AO333" i="25"/>
  <c r="AN333" i="25"/>
  <c r="AP332" i="25"/>
  <c r="AO332" i="25"/>
  <c r="AN332" i="25"/>
  <c r="AP331" i="25"/>
  <c r="AO331" i="25"/>
  <c r="AN331" i="25"/>
  <c r="AP330" i="25"/>
  <c r="AO330" i="25"/>
  <c r="AN330" i="25"/>
  <c r="AP329" i="25"/>
  <c r="AO329" i="25"/>
  <c r="AN329" i="25"/>
  <c r="AP328" i="25"/>
  <c r="AO328" i="25"/>
  <c r="AN328" i="25"/>
  <c r="AP327" i="25"/>
  <c r="AO327" i="25"/>
  <c r="AN327" i="25"/>
  <c r="AP326" i="25"/>
  <c r="AO326" i="25"/>
  <c r="AN326" i="25"/>
  <c r="AP325" i="25"/>
  <c r="AO325" i="25"/>
  <c r="AN325" i="25"/>
  <c r="AP324" i="25"/>
  <c r="AO324" i="25"/>
  <c r="AN324" i="25"/>
  <c r="AP323" i="25"/>
  <c r="AO323" i="25"/>
  <c r="AN323" i="25"/>
  <c r="AP322" i="25"/>
  <c r="AO322" i="25"/>
  <c r="AN322" i="25"/>
  <c r="AP321" i="25"/>
  <c r="AO321" i="25"/>
  <c r="AN321" i="25"/>
  <c r="AP320" i="25"/>
  <c r="AO320" i="25"/>
  <c r="AN320" i="25"/>
  <c r="AP319" i="25"/>
  <c r="AO319" i="25"/>
  <c r="AN319" i="25"/>
  <c r="AP318" i="25"/>
  <c r="AO318" i="25"/>
  <c r="AN318" i="25"/>
  <c r="AP317" i="25"/>
  <c r="AO317" i="25"/>
  <c r="AN317" i="25"/>
  <c r="AP316" i="25"/>
  <c r="AO316" i="25"/>
  <c r="AN316" i="25"/>
  <c r="AP315" i="25"/>
  <c r="AO315" i="25"/>
  <c r="AN315" i="25"/>
  <c r="AP314" i="25"/>
  <c r="AO314" i="25"/>
  <c r="AN314" i="25"/>
  <c r="AP313" i="25"/>
  <c r="AO313" i="25"/>
  <c r="AN313" i="25"/>
  <c r="AP312" i="25"/>
  <c r="AO312" i="25"/>
  <c r="AN312" i="25"/>
  <c r="AP311" i="25"/>
  <c r="AO311" i="25"/>
  <c r="AN311" i="25"/>
  <c r="AP310" i="25"/>
  <c r="AO310" i="25"/>
  <c r="AN310" i="25"/>
  <c r="AP309" i="25"/>
  <c r="AO309" i="25"/>
  <c r="AN309" i="25"/>
  <c r="AP308" i="25"/>
  <c r="AO308" i="25"/>
  <c r="AN308" i="25"/>
  <c r="AP307" i="25"/>
  <c r="AO307" i="25"/>
  <c r="AN307" i="25"/>
  <c r="AP306" i="25"/>
  <c r="AO306" i="25"/>
  <c r="AN306" i="25"/>
  <c r="AP305" i="25"/>
  <c r="AO305" i="25"/>
  <c r="AN305" i="25"/>
  <c r="AP304" i="25"/>
  <c r="AO304" i="25"/>
  <c r="AN304" i="25"/>
  <c r="AP303" i="25"/>
  <c r="AO303" i="25"/>
  <c r="AN303" i="25"/>
  <c r="AP302" i="25"/>
  <c r="AO302" i="25"/>
  <c r="AN302" i="25"/>
  <c r="AP301" i="25"/>
  <c r="AO301" i="25"/>
  <c r="AN301" i="25"/>
  <c r="AP300" i="25"/>
  <c r="AO300" i="25"/>
  <c r="AN300" i="25"/>
  <c r="AP299" i="25"/>
  <c r="AO299" i="25"/>
  <c r="AN299" i="25"/>
  <c r="AP298" i="25"/>
  <c r="AO298" i="25"/>
  <c r="AN298" i="25"/>
  <c r="AP297" i="25"/>
  <c r="AO297" i="25"/>
  <c r="AN297" i="25"/>
  <c r="AP296" i="25"/>
  <c r="AO296" i="25"/>
  <c r="AN296" i="25"/>
  <c r="AP295" i="25"/>
  <c r="AO295" i="25"/>
  <c r="AN295" i="25"/>
  <c r="AP294" i="25"/>
  <c r="AO294" i="25"/>
  <c r="AN294" i="25"/>
  <c r="AP293" i="25"/>
  <c r="AO293" i="25"/>
  <c r="AN293" i="25"/>
  <c r="AP292" i="25"/>
  <c r="AO292" i="25"/>
  <c r="AN292" i="25"/>
  <c r="AP291" i="25"/>
  <c r="AO291" i="25"/>
  <c r="AN291" i="25"/>
  <c r="AP290" i="25"/>
  <c r="AO290" i="25"/>
  <c r="AN290" i="25"/>
  <c r="AP289" i="25"/>
  <c r="AO289" i="25"/>
  <c r="AN289" i="25"/>
  <c r="AP288" i="25"/>
  <c r="AO288" i="25"/>
  <c r="AN288" i="25"/>
  <c r="AP287" i="25"/>
  <c r="AO287" i="25"/>
  <c r="AN287" i="25"/>
  <c r="AP286" i="25"/>
  <c r="AO286" i="25"/>
  <c r="AN286" i="25"/>
  <c r="AP285" i="25"/>
  <c r="AO285" i="25"/>
  <c r="AN285" i="25"/>
  <c r="AP284" i="25"/>
  <c r="AO284" i="25"/>
  <c r="AN284" i="25"/>
  <c r="AP283" i="25"/>
  <c r="AO283" i="25"/>
  <c r="AN283" i="25"/>
  <c r="AP282" i="25"/>
  <c r="AO282" i="25"/>
  <c r="AN282" i="25"/>
  <c r="AP281" i="25"/>
  <c r="AO281" i="25"/>
  <c r="AN281" i="25"/>
  <c r="AP280" i="25"/>
  <c r="AO280" i="25"/>
  <c r="AN280" i="25"/>
  <c r="AP279" i="25"/>
  <c r="AO279" i="25"/>
  <c r="AN279" i="25"/>
  <c r="AP278" i="25"/>
  <c r="AO278" i="25"/>
  <c r="AN278" i="25"/>
  <c r="AP277" i="25"/>
  <c r="AO277" i="25"/>
  <c r="AN277" i="25"/>
  <c r="AP276" i="25"/>
  <c r="AO276" i="25"/>
  <c r="AN276" i="25"/>
  <c r="AP275" i="25"/>
  <c r="AO275" i="25"/>
  <c r="AN275" i="25"/>
  <c r="AP274" i="25"/>
  <c r="AO274" i="25"/>
  <c r="AN274" i="25"/>
  <c r="AP273" i="25"/>
  <c r="AO273" i="25"/>
  <c r="AN273" i="25"/>
  <c r="AP272" i="25"/>
  <c r="AO272" i="25"/>
  <c r="AN272" i="25"/>
  <c r="AP271" i="25"/>
  <c r="AO271" i="25"/>
  <c r="AN271" i="25"/>
  <c r="AP270" i="25"/>
  <c r="AO270" i="25"/>
  <c r="AN270" i="25"/>
  <c r="AP269" i="25"/>
  <c r="AO269" i="25"/>
  <c r="AN269" i="25"/>
  <c r="AP268" i="25"/>
  <c r="AO268" i="25"/>
  <c r="AN268" i="25"/>
  <c r="AP267" i="25"/>
  <c r="AO267" i="25"/>
  <c r="AN267" i="25"/>
  <c r="AP266" i="25"/>
  <c r="AO266" i="25"/>
  <c r="AN266" i="25"/>
  <c r="AP265" i="25"/>
  <c r="AO265" i="25"/>
  <c r="AN265" i="25"/>
  <c r="AP264" i="25"/>
  <c r="AO264" i="25"/>
  <c r="AN264" i="25"/>
  <c r="AP263" i="25"/>
  <c r="AO263" i="25"/>
  <c r="AN263" i="25"/>
  <c r="AP262" i="25"/>
  <c r="AO262" i="25"/>
  <c r="AN262" i="25"/>
  <c r="AP261" i="25"/>
  <c r="AO261" i="25"/>
  <c r="AN261" i="25"/>
  <c r="AP260" i="25"/>
  <c r="AO260" i="25"/>
  <c r="AN260" i="25"/>
  <c r="AP259" i="25"/>
  <c r="AO259" i="25"/>
  <c r="AN259" i="25"/>
  <c r="AP258" i="25"/>
  <c r="AO258" i="25"/>
  <c r="AN258" i="25"/>
  <c r="AP257" i="25"/>
  <c r="AO257" i="25"/>
  <c r="AN257" i="25"/>
  <c r="AP256" i="25"/>
  <c r="AO256" i="25"/>
  <c r="AN256" i="25"/>
  <c r="AP255" i="25"/>
  <c r="AO255" i="25"/>
  <c r="AN255" i="25"/>
  <c r="AP254" i="25"/>
  <c r="AO254" i="25"/>
  <c r="AN254" i="25"/>
  <c r="AP253" i="25"/>
  <c r="AO253" i="25"/>
  <c r="AN253" i="25"/>
  <c r="AP252" i="25"/>
  <c r="AO252" i="25"/>
  <c r="AN252" i="25"/>
  <c r="AP251" i="25"/>
  <c r="AO251" i="25"/>
  <c r="AN251" i="25"/>
  <c r="AP250" i="25"/>
  <c r="AO250" i="25"/>
  <c r="AN250" i="25"/>
  <c r="AP249" i="25"/>
  <c r="AO249" i="25"/>
  <c r="AN249" i="25"/>
  <c r="AP248" i="25"/>
  <c r="AO248" i="25"/>
  <c r="AN248" i="25"/>
  <c r="AP247" i="25"/>
  <c r="AO247" i="25"/>
  <c r="AN247" i="25"/>
  <c r="AP246" i="25"/>
  <c r="AO246" i="25"/>
  <c r="AN246" i="25"/>
  <c r="AP245" i="25"/>
  <c r="AO245" i="25"/>
  <c r="AN245" i="25"/>
  <c r="AP244" i="25"/>
  <c r="AO244" i="25"/>
  <c r="AN244" i="25"/>
  <c r="AP243" i="25"/>
  <c r="AO243" i="25"/>
  <c r="AN243" i="25"/>
  <c r="AP242" i="25"/>
  <c r="AO242" i="25"/>
  <c r="AN242" i="25"/>
  <c r="AP241" i="25"/>
  <c r="AO241" i="25"/>
  <c r="AN241" i="25"/>
  <c r="AP240" i="25"/>
  <c r="AO240" i="25"/>
  <c r="AN240" i="25"/>
  <c r="AP239" i="25"/>
  <c r="AO239" i="25"/>
  <c r="AN239" i="25"/>
  <c r="AP238" i="25"/>
  <c r="AO238" i="25"/>
  <c r="AN238" i="25"/>
  <c r="AP237" i="25"/>
  <c r="AO237" i="25"/>
  <c r="AN237" i="25"/>
  <c r="AP236" i="25"/>
  <c r="AO236" i="25"/>
  <c r="AN236" i="25"/>
  <c r="AP235" i="25"/>
  <c r="AO235" i="25"/>
  <c r="AN235" i="25"/>
  <c r="AP234" i="25"/>
  <c r="AO234" i="25"/>
  <c r="AN234" i="25"/>
  <c r="AP233" i="25"/>
  <c r="AO233" i="25"/>
  <c r="AN233" i="25"/>
  <c r="AP232" i="25"/>
  <c r="AO232" i="25"/>
  <c r="AN232" i="25"/>
  <c r="AP231" i="25"/>
  <c r="AO231" i="25"/>
  <c r="AN231" i="25"/>
  <c r="AP230" i="25"/>
  <c r="AO230" i="25"/>
  <c r="AN230" i="25"/>
  <c r="AP229" i="25"/>
  <c r="AO229" i="25"/>
  <c r="AN229" i="25"/>
  <c r="AP228" i="25"/>
  <c r="AO228" i="25"/>
  <c r="AN228" i="25"/>
  <c r="AP227" i="25"/>
  <c r="AO227" i="25"/>
  <c r="AN227" i="25"/>
  <c r="AP226" i="25"/>
  <c r="AO226" i="25"/>
  <c r="AN226" i="25"/>
  <c r="AP225" i="25"/>
  <c r="AO225" i="25"/>
  <c r="AN225" i="25"/>
  <c r="AP224" i="25"/>
  <c r="AO224" i="25"/>
  <c r="AN224" i="25"/>
  <c r="AP223" i="25"/>
  <c r="AO223" i="25"/>
  <c r="AN223" i="25"/>
  <c r="AP222" i="25"/>
  <c r="AO222" i="25"/>
  <c r="AN222" i="25"/>
  <c r="AP221" i="25"/>
  <c r="AO221" i="25"/>
  <c r="AN221" i="25"/>
  <c r="AP220" i="25"/>
  <c r="AO220" i="25"/>
  <c r="AN220" i="25"/>
  <c r="AP219" i="25"/>
  <c r="AO219" i="25"/>
  <c r="AN219" i="25"/>
  <c r="AP218" i="25"/>
  <c r="AO218" i="25"/>
  <c r="AN218" i="25"/>
  <c r="AP217" i="25"/>
  <c r="AO217" i="25"/>
  <c r="AN217" i="25"/>
  <c r="AP216" i="25"/>
  <c r="AO216" i="25"/>
  <c r="AN216" i="25"/>
  <c r="AP215" i="25"/>
  <c r="AO215" i="25"/>
  <c r="AN215" i="25"/>
  <c r="AP214" i="25"/>
  <c r="AO214" i="25"/>
  <c r="AN214" i="25"/>
  <c r="AP213" i="25"/>
  <c r="AO213" i="25"/>
  <c r="AN213" i="25"/>
  <c r="AP212" i="25"/>
  <c r="AO212" i="25"/>
  <c r="AN212" i="25"/>
  <c r="AP211" i="25"/>
  <c r="AO211" i="25"/>
  <c r="AN211" i="25"/>
  <c r="AP210" i="25"/>
  <c r="AO210" i="25"/>
  <c r="AN210" i="25"/>
  <c r="AP209" i="25"/>
  <c r="AO209" i="25"/>
  <c r="AN209" i="25"/>
  <c r="AP208" i="25"/>
  <c r="AO208" i="25"/>
  <c r="AN208" i="25"/>
  <c r="AP207" i="25"/>
  <c r="AO207" i="25"/>
  <c r="AN207" i="25"/>
  <c r="AP206" i="25"/>
  <c r="AO206" i="25"/>
  <c r="AN206" i="25"/>
  <c r="AP205" i="25"/>
  <c r="AO205" i="25"/>
  <c r="AN205" i="25"/>
  <c r="AP204" i="25"/>
  <c r="AO204" i="25"/>
  <c r="AN204" i="25"/>
  <c r="AP203" i="25"/>
  <c r="AO203" i="25"/>
  <c r="AN203" i="25"/>
  <c r="AP202" i="25"/>
  <c r="AO202" i="25"/>
  <c r="AN202" i="25"/>
  <c r="AP201" i="25"/>
  <c r="AO201" i="25"/>
  <c r="AN201" i="25"/>
  <c r="AP200" i="25"/>
  <c r="AO200" i="25"/>
  <c r="AN200" i="25"/>
  <c r="AP199" i="25"/>
  <c r="AO199" i="25"/>
  <c r="AN199" i="25"/>
  <c r="AP198" i="25"/>
  <c r="AO198" i="25"/>
  <c r="AN198" i="25"/>
  <c r="AP197" i="25"/>
  <c r="AO197" i="25"/>
  <c r="AN197" i="25"/>
  <c r="AP196" i="25"/>
  <c r="AO196" i="25"/>
  <c r="AN196" i="25"/>
  <c r="AP195" i="25"/>
  <c r="AO195" i="25"/>
  <c r="AN195" i="25"/>
  <c r="AP194" i="25"/>
  <c r="AO194" i="25"/>
  <c r="AN194" i="25"/>
  <c r="AP193" i="25"/>
  <c r="AO193" i="25"/>
  <c r="AN193" i="25"/>
  <c r="AP192" i="25"/>
  <c r="AO192" i="25"/>
  <c r="AN192" i="25"/>
  <c r="AP191" i="25"/>
  <c r="AO191" i="25"/>
  <c r="AN191" i="25"/>
  <c r="AP190" i="25"/>
  <c r="AO190" i="25"/>
  <c r="AN190" i="25"/>
  <c r="AP189" i="25"/>
  <c r="AO189" i="25"/>
  <c r="AN189" i="25"/>
  <c r="AP188" i="25"/>
  <c r="AO188" i="25"/>
  <c r="AN188" i="25"/>
  <c r="AP187" i="25"/>
  <c r="AO187" i="25"/>
  <c r="AN187" i="25"/>
  <c r="AP186" i="25"/>
  <c r="AO186" i="25"/>
  <c r="AN186" i="25"/>
  <c r="AP185" i="25"/>
  <c r="AO185" i="25"/>
  <c r="AN185" i="25"/>
  <c r="AP184" i="25"/>
  <c r="AO184" i="25"/>
  <c r="AN184" i="25"/>
  <c r="AP183" i="25"/>
  <c r="AO183" i="25"/>
  <c r="AN183" i="25"/>
  <c r="AP182" i="25"/>
  <c r="AO182" i="25"/>
  <c r="AN182" i="25"/>
  <c r="AP181" i="25"/>
  <c r="AO181" i="25"/>
  <c r="AN181" i="25"/>
  <c r="AP180" i="25"/>
  <c r="AO180" i="25"/>
  <c r="AN180" i="25"/>
  <c r="AP179" i="25"/>
  <c r="AO179" i="25"/>
  <c r="AN179" i="25"/>
  <c r="AP178" i="25"/>
  <c r="AO178" i="25"/>
  <c r="AN178" i="25"/>
  <c r="AP177" i="25"/>
  <c r="AO177" i="25"/>
  <c r="AN177" i="25"/>
  <c r="AP176" i="25"/>
  <c r="AO176" i="25"/>
  <c r="AN176" i="25"/>
  <c r="AP175" i="25"/>
  <c r="AO175" i="25"/>
  <c r="AN175" i="25"/>
  <c r="AP174" i="25"/>
  <c r="AO174" i="25"/>
  <c r="AN174" i="25"/>
  <c r="AP173" i="25"/>
  <c r="AO173" i="25"/>
  <c r="AN173" i="25"/>
  <c r="AP172" i="25"/>
  <c r="AO172" i="25"/>
  <c r="AN172" i="25"/>
  <c r="AP171" i="25"/>
  <c r="AO171" i="25"/>
  <c r="AN171" i="25"/>
  <c r="AP170" i="25"/>
  <c r="AO170" i="25"/>
  <c r="AN170" i="25"/>
  <c r="AP169" i="25"/>
  <c r="AO169" i="25"/>
  <c r="AN169" i="25"/>
  <c r="AP168" i="25"/>
  <c r="AO168" i="25"/>
  <c r="AN168" i="25"/>
  <c r="AP167" i="25"/>
  <c r="AO167" i="25"/>
  <c r="AN167" i="25"/>
  <c r="AP166" i="25"/>
  <c r="AO166" i="25"/>
  <c r="AN166" i="25"/>
  <c r="AP165" i="25"/>
  <c r="AO165" i="25"/>
  <c r="AN165" i="25"/>
  <c r="AP164" i="25"/>
  <c r="AO164" i="25"/>
  <c r="AN164" i="25"/>
  <c r="AP163" i="25"/>
  <c r="AO163" i="25"/>
  <c r="AN163" i="25"/>
  <c r="AP162" i="25"/>
  <c r="AO162" i="25"/>
  <c r="AN162" i="25"/>
  <c r="AP161" i="25"/>
  <c r="AO161" i="25"/>
  <c r="AN161" i="25"/>
  <c r="AP160" i="25"/>
  <c r="AO160" i="25"/>
  <c r="AN160" i="25"/>
  <c r="AP159" i="25"/>
  <c r="AO159" i="25"/>
  <c r="AN159" i="25"/>
  <c r="AP158" i="25"/>
  <c r="AO158" i="25"/>
  <c r="AN158" i="25"/>
  <c r="AP157" i="25"/>
  <c r="AO157" i="25"/>
  <c r="AN157" i="25"/>
  <c r="AP156" i="25"/>
  <c r="AO156" i="25"/>
  <c r="AN156" i="25"/>
  <c r="AP155" i="25"/>
  <c r="AO155" i="25"/>
  <c r="AN155" i="25"/>
  <c r="AP154" i="25"/>
  <c r="AO154" i="25"/>
  <c r="AN154" i="25"/>
  <c r="AP153" i="25"/>
  <c r="AO153" i="25"/>
  <c r="AN153" i="25"/>
  <c r="AP152" i="25"/>
  <c r="AO152" i="25"/>
  <c r="AN152" i="25"/>
  <c r="AP151" i="25"/>
  <c r="AO151" i="25"/>
  <c r="AN151" i="25"/>
  <c r="AP150" i="25"/>
  <c r="AO150" i="25"/>
  <c r="AN150" i="25"/>
  <c r="AP149" i="25"/>
  <c r="AO149" i="25"/>
  <c r="AN149" i="25"/>
  <c r="AP148" i="25"/>
  <c r="AO148" i="25"/>
  <c r="AN148" i="25"/>
  <c r="AP147" i="25"/>
  <c r="AO147" i="25"/>
  <c r="AN147" i="25"/>
  <c r="AP146" i="25"/>
  <c r="AO146" i="25"/>
  <c r="AN146" i="25"/>
  <c r="AP145" i="25"/>
  <c r="AO145" i="25"/>
  <c r="AN145" i="25"/>
  <c r="AP144" i="25"/>
  <c r="AO144" i="25"/>
  <c r="AN144" i="25"/>
  <c r="AP143" i="25"/>
  <c r="AO143" i="25"/>
  <c r="AN143" i="25"/>
  <c r="AP142" i="25"/>
  <c r="AO142" i="25"/>
  <c r="AN142" i="25"/>
  <c r="AP141" i="25"/>
  <c r="AO141" i="25"/>
  <c r="AN141" i="25"/>
  <c r="AP140" i="25"/>
  <c r="AO140" i="25"/>
  <c r="AN140" i="25"/>
  <c r="AP139" i="25"/>
  <c r="AO139" i="25"/>
  <c r="AN139" i="25"/>
  <c r="AP138" i="25"/>
  <c r="AO138" i="25"/>
  <c r="AN138" i="25"/>
  <c r="AP137" i="25"/>
  <c r="AO137" i="25"/>
  <c r="AN137" i="25"/>
  <c r="AP136" i="25"/>
  <c r="AO136" i="25"/>
  <c r="AN136" i="25"/>
  <c r="AP135" i="25"/>
  <c r="AO135" i="25"/>
  <c r="AN135" i="25"/>
  <c r="AP134" i="25"/>
  <c r="AO134" i="25"/>
  <c r="AN134" i="25"/>
  <c r="AP133" i="25"/>
  <c r="AO133" i="25"/>
  <c r="AN133" i="25"/>
  <c r="AP132" i="25"/>
  <c r="AO132" i="25"/>
  <c r="AN132" i="25"/>
  <c r="AP131" i="25"/>
  <c r="AO131" i="25"/>
  <c r="AN131" i="25"/>
  <c r="AP130" i="25"/>
  <c r="AO130" i="25"/>
  <c r="AN130" i="25"/>
  <c r="AP129" i="25"/>
  <c r="AO129" i="25"/>
  <c r="AN129" i="25"/>
  <c r="AP128" i="25"/>
  <c r="AO128" i="25"/>
  <c r="AN128" i="25"/>
  <c r="AP127" i="25"/>
  <c r="AO127" i="25"/>
  <c r="AN127" i="25"/>
  <c r="AP126" i="25"/>
  <c r="AO126" i="25"/>
  <c r="AN126" i="25"/>
  <c r="AP125" i="25"/>
  <c r="AO125" i="25"/>
  <c r="AN125" i="25"/>
  <c r="AP124" i="25"/>
  <c r="AO124" i="25"/>
  <c r="AN124" i="25"/>
  <c r="AP123" i="25"/>
  <c r="AO123" i="25"/>
  <c r="AN123" i="25"/>
  <c r="AP122" i="25"/>
  <c r="AO122" i="25"/>
  <c r="AN122" i="25"/>
  <c r="AP121" i="25"/>
  <c r="AO121" i="25"/>
  <c r="AN121" i="25"/>
  <c r="AP120" i="25"/>
  <c r="AO120" i="25"/>
  <c r="AN120" i="25"/>
  <c r="AP119" i="25"/>
  <c r="AO119" i="25"/>
  <c r="AN119" i="25"/>
  <c r="AP118" i="25"/>
  <c r="AO118" i="25"/>
  <c r="AN118" i="25"/>
  <c r="AP117" i="25"/>
  <c r="AO117" i="25"/>
  <c r="AN117" i="25"/>
  <c r="AP116" i="25"/>
  <c r="AO116" i="25"/>
  <c r="AN116" i="25"/>
  <c r="AP115" i="25"/>
  <c r="AO115" i="25"/>
  <c r="AN115" i="25"/>
  <c r="AP114" i="25"/>
  <c r="AO114" i="25"/>
  <c r="AN114" i="25"/>
  <c r="AP113" i="25"/>
  <c r="AO113" i="25"/>
  <c r="AN113" i="25"/>
  <c r="AP112" i="25"/>
  <c r="AO112" i="25"/>
  <c r="AN112" i="25"/>
  <c r="AP111" i="25"/>
  <c r="AO111" i="25"/>
  <c r="AN111" i="25"/>
  <c r="AP110" i="25"/>
  <c r="AO110" i="25"/>
  <c r="AN110" i="25"/>
  <c r="AP109" i="25"/>
  <c r="AO109" i="25"/>
  <c r="AN109" i="25"/>
  <c r="AP108" i="25"/>
  <c r="AO108" i="25"/>
  <c r="AN108" i="25"/>
  <c r="AP107" i="25"/>
  <c r="AO107" i="25"/>
  <c r="AN107" i="25"/>
  <c r="AP106" i="25"/>
  <c r="AO106" i="25"/>
  <c r="AN106" i="25"/>
  <c r="AP105" i="25"/>
  <c r="AO105" i="25"/>
  <c r="AN105" i="25"/>
  <c r="AP104" i="25"/>
  <c r="AO104" i="25"/>
  <c r="AN104" i="25"/>
  <c r="AP103" i="25"/>
  <c r="AO103" i="25"/>
  <c r="AN103" i="25"/>
  <c r="AP102" i="25"/>
  <c r="AO102" i="25"/>
  <c r="AN102" i="25"/>
  <c r="AP101" i="25"/>
  <c r="AO101" i="25"/>
  <c r="AN101" i="25"/>
  <c r="AP100" i="25"/>
  <c r="AO100" i="25"/>
  <c r="AN100" i="25"/>
  <c r="AP99" i="25"/>
  <c r="AO99" i="25"/>
  <c r="AN99" i="25"/>
  <c r="AP98" i="25"/>
  <c r="AO98" i="25"/>
  <c r="AN98" i="25"/>
  <c r="AP97" i="25"/>
  <c r="AO97" i="25"/>
  <c r="AN97" i="25"/>
  <c r="AP96" i="25"/>
  <c r="AO96" i="25"/>
  <c r="AN96" i="25"/>
  <c r="AP95" i="25"/>
  <c r="AO95" i="25"/>
  <c r="AN95" i="25"/>
  <c r="AP94" i="25"/>
  <c r="AO94" i="25"/>
  <c r="AN94" i="25"/>
  <c r="AP93" i="25"/>
  <c r="AO93" i="25"/>
  <c r="AN93" i="25"/>
  <c r="AP92" i="25"/>
  <c r="AO92" i="25"/>
  <c r="AN92" i="25"/>
  <c r="AP91" i="25"/>
  <c r="AO91" i="25"/>
  <c r="AN91" i="25"/>
  <c r="AP90" i="25"/>
  <c r="AO90" i="25"/>
  <c r="AN90" i="25"/>
  <c r="AP89" i="25"/>
  <c r="AO89" i="25"/>
  <c r="AN89" i="25"/>
  <c r="AP88" i="25"/>
  <c r="AO88" i="25"/>
  <c r="AN88" i="25"/>
  <c r="AP87" i="25"/>
  <c r="AO87" i="25"/>
  <c r="AN87" i="25"/>
  <c r="AP86" i="25"/>
  <c r="AO86" i="25"/>
  <c r="AN86" i="25"/>
  <c r="AP85" i="25"/>
  <c r="AO85" i="25"/>
  <c r="AN85" i="25"/>
  <c r="AP84" i="25"/>
  <c r="AO84" i="25"/>
  <c r="AN84" i="25"/>
  <c r="AP83" i="25"/>
  <c r="AO83" i="25"/>
  <c r="AN83" i="25"/>
  <c r="AP82" i="25"/>
  <c r="AO82" i="25"/>
  <c r="AN82" i="25"/>
  <c r="AP81" i="25"/>
  <c r="AO81" i="25"/>
  <c r="AN81" i="25"/>
  <c r="AP80" i="25"/>
  <c r="AO80" i="25"/>
  <c r="AN80" i="25"/>
  <c r="AP79" i="25"/>
  <c r="AO79" i="25"/>
  <c r="AN79" i="25"/>
  <c r="AP78" i="25"/>
  <c r="AO78" i="25"/>
  <c r="AN78" i="25"/>
  <c r="AP77" i="25"/>
  <c r="AO77" i="25"/>
  <c r="AN77" i="25"/>
  <c r="AP76" i="25"/>
  <c r="AO76" i="25"/>
  <c r="AN76" i="25"/>
  <c r="AP75" i="25"/>
  <c r="AO75" i="25"/>
  <c r="AN75" i="25"/>
  <c r="AP74" i="25"/>
  <c r="AO74" i="25"/>
  <c r="AN74" i="25"/>
  <c r="AP73" i="25"/>
  <c r="AO73" i="25"/>
  <c r="AN73" i="25"/>
  <c r="AP72" i="25"/>
  <c r="AO72" i="25"/>
  <c r="AN72" i="25"/>
  <c r="AP71" i="25"/>
  <c r="AO71" i="25"/>
  <c r="AN71" i="25"/>
  <c r="AP70" i="25"/>
  <c r="AO70" i="25"/>
  <c r="AN70" i="25"/>
  <c r="AP69" i="25"/>
  <c r="AO69" i="25"/>
  <c r="AN69" i="25"/>
  <c r="AP68" i="25"/>
  <c r="AO68" i="25"/>
  <c r="AN68" i="25"/>
  <c r="AP67" i="25"/>
  <c r="AO67" i="25"/>
  <c r="AN67" i="25"/>
  <c r="AP66" i="25"/>
  <c r="AO66" i="25"/>
  <c r="AN66" i="25"/>
  <c r="AP65" i="25"/>
  <c r="AO65" i="25"/>
  <c r="AN65" i="25"/>
  <c r="AP64" i="25"/>
  <c r="AO64" i="25"/>
  <c r="AN64" i="25"/>
  <c r="AP63" i="25"/>
  <c r="AO63" i="25"/>
  <c r="AN63" i="25"/>
  <c r="AP62" i="25"/>
  <c r="AO62" i="25"/>
  <c r="AN62" i="25"/>
  <c r="AP61" i="25"/>
  <c r="AO61" i="25"/>
  <c r="AN61" i="25"/>
  <c r="AP60" i="25"/>
  <c r="AO60" i="25"/>
  <c r="AN60" i="25"/>
  <c r="AP59" i="25"/>
  <c r="AO59" i="25"/>
  <c r="AN59" i="25"/>
  <c r="AP58" i="25"/>
  <c r="AO58" i="25"/>
  <c r="AN58" i="25"/>
  <c r="AP57" i="25"/>
  <c r="AO57" i="25"/>
  <c r="AN57" i="25"/>
  <c r="AP56" i="25"/>
  <c r="AO56" i="25"/>
  <c r="AN56" i="25"/>
  <c r="AP55" i="25"/>
  <c r="AO55" i="25"/>
  <c r="AN55" i="25"/>
  <c r="AP54" i="25"/>
  <c r="AO54" i="25"/>
  <c r="AN54" i="25"/>
  <c r="AP53" i="25"/>
  <c r="AO53" i="25"/>
  <c r="AN53" i="25"/>
  <c r="AP52" i="25"/>
  <c r="AO52" i="25"/>
  <c r="AN52" i="25"/>
  <c r="AP51" i="25"/>
  <c r="AO51" i="25"/>
  <c r="AN51" i="25"/>
  <c r="AP50" i="25"/>
  <c r="AO50" i="25"/>
  <c r="AN50" i="25"/>
  <c r="AP49" i="25"/>
  <c r="AO49" i="25"/>
  <c r="AN49" i="25"/>
  <c r="AP48" i="25"/>
  <c r="AO48" i="25"/>
  <c r="AN48" i="25"/>
  <c r="AP47" i="25"/>
  <c r="AO47" i="25"/>
  <c r="AN47" i="25"/>
  <c r="AP46" i="25"/>
  <c r="AO46" i="25"/>
  <c r="AN46" i="25"/>
  <c r="AP45" i="25"/>
  <c r="AO45" i="25"/>
  <c r="AN45" i="25"/>
  <c r="AP44" i="25"/>
  <c r="AO44" i="25"/>
  <c r="AN44" i="25"/>
  <c r="AP43" i="25"/>
  <c r="AO43" i="25"/>
  <c r="AN43" i="25"/>
  <c r="AP42" i="25"/>
  <c r="AO42" i="25"/>
  <c r="AN42" i="25"/>
  <c r="AP41" i="25"/>
  <c r="AO41" i="25"/>
  <c r="AN41" i="25"/>
  <c r="AP40" i="25"/>
  <c r="AO40" i="25"/>
  <c r="AN40" i="25"/>
  <c r="AP39" i="25"/>
  <c r="AO39" i="25"/>
  <c r="AN39" i="25"/>
  <c r="AP38" i="25"/>
  <c r="AO38" i="25"/>
  <c r="AN38" i="25"/>
  <c r="AP37" i="25"/>
  <c r="AO37" i="25"/>
  <c r="AN37" i="25"/>
  <c r="AP36" i="25"/>
  <c r="AO36" i="25"/>
  <c r="AN36" i="25"/>
  <c r="AP35" i="25"/>
  <c r="AO35" i="25"/>
  <c r="AN35" i="25"/>
  <c r="AP34" i="25"/>
  <c r="AO34" i="25"/>
  <c r="AN34" i="25"/>
  <c r="AP33" i="25"/>
  <c r="AO33" i="25"/>
  <c r="AN33" i="25"/>
  <c r="AP32" i="25"/>
  <c r="AO32" i="25"/>
  <c r="AN32" i="25"/>
  <c r="AP31" i="25"/>
  <c r="AO31" i="25"/>
  <c r="AN31" i="25"/>
  <c r="AP30" i="25"/>
  <c r="AO30" i="25"/>
  <c r="AN30" i="25"/>
  <c r="AP29" i="25"/>
  <c r="AO29" i="25"/>
  <c r="AN29" i="25"/>
  <c r="AP28" i="25"/>
  <c r="AO28" i="25"/>
  <c r="AN28" i="25"/>
  <c r="AP27" i="25"/>
  <c r="AO27" i="25"/>
  <c r="AN27" i="25"/>
  <c r="AP26" i="25"/>
  <c r="AO26" i="25"/>
  <c r="AN26" i="25"/>
  <c r="AP25" i="25"/>
  <c r="AO25" i="25"/>
  <c r="AN25" i="25"/>
  <c r="AP24" i="25"/>
  <c r="AO24" i="25"/>
  <c r="AN24" i="25"/>
  <c r="AP23" i="25"/>
  <c r="AO23" i="25"/>
  <c r="AN23" i="25"/>
  <c r="AP22" i="25"/>
  <c r="AO22" i="25"/>
  <c r="AN22" i="25"/>
  <c r="AP21" i="25"/>
  <c r="AO21" i="25"/>
  <c r="AN21" i="25"/>
  <c r="AP20" i="25"/>
  <c r="AO20" i="25"/>
  <c r="AN20" i="25"/>
  <c r="AP19" i="25"/>
  <c r="AO19" i="25"/>
  <c r="AN19" i="25"/>
  <c r="AP18" i="25"/>
  <c r="AO18" i="25"/>
  <c r="AN18" i="25"/>
  <c r="AP17" i="25"/>
  <c r="AO17" i="25"/>
  <c r="AN17" i="25"/>
  <c r="AP16" i="25"/>
  <c r="AO16" i="25"/>
  <c r="AN16" i="25"/>
  <c r="AP15" i="25"/>
  <c r="AO15" i="25"/>
  <c r="AN15" i="25"/>
  <c r="AP14" i="25"/>
  <c r="AO14" i="25"/>
  <c r="AN14" i="25"/>
  <c r="AP13" i="25"/>
  <c r="AO13" i="25"/>
  <c r="AN13" i="25"/>
  <c r="AP12" i="25"/>
  <c r="AO12" i="25"/>
  <c r="AN12" i="25"/>
  <c r="AP11" i="25"/>
  <c r="AO11" i="25"/>
  <c r="AN11" i="25"/>
  <c r="AP10" i="25"/>
  <c r="AO10" i="25"/>
  <c r="AN10" i="25"/>
  <c r="AP9" i="25"/>
  <c r="AO9" i="25"/>
  <c r="AN9" i="25"/>
  <c r="AP8" i="25"/>
  <c r="AO8" i="25"/>
  <c r="AN8" i="25"/>
  <c r="AP7" i="25"/>
  <c r="AO7" i="25"/>
  <c r="AN7" i="25"/>
  <c r="AP6" i="25"/>
  <c r="AO6" i="25"/>
  <c r="AN6" i="25"/>
  <c r="AP5" i="25"/>
  <c r="AO5" i="25"/>
  <c r="AN5" i="25"/>
  <c r="U6" i="25"/>
  <c r="V6" i="25"/>
  <c r="W6" i="25"/>
  <c r="U7" i="25"/>
  <c r="V7" i="25"/>
  <c r="W7" i="25"/>
  <c r="U8" i="25"/>
  <c r="V8" i="25"/>
  <c r="W8" i="25"/>
  <c r="U9" i="25"/>
  <c r="V9" i="25"/>
  <c r="W9" i="25"/>
  <c r="U10" i="25"/>
  <c r="V10" i="25"/>
  <c r="W10" i="25"/>
  <c r="U11" i="25"/>
  <c r="V11" i="25"/>
  <c r="W11" i="25"/>
  <c r="U12" i="25"/>
  <c r="V12" i="25"/>
  <c r="W12" i="25"/>
  <c r="U13" i="25"/>
  <c r="V13" i="25"/>
  <c r="W13" i="25"/>
  <c r="U14" i="25"/>
  <c r="V14" i="25"/>
  <c r="W14" i="25"/>
  <c r="U15" i="25"/>
  <c r="V15" i="25"/>
  <c r="W15" i="25"/>
  <c r="U16" i="25"/>
  <c r="V16" i="25"/>
  <c r="W16" i="25"/>
  <c r="U17" i="25"/>
  <c r="V17" i="25"/>
  <c r="W17" i="25"/>
  <c r="U18" i="25"/>
  <c r="V18" i="25"/>
  <c r="W18" i="25"/>
  <c r="U19" i="25"/>
  <c r="V19" i="25"/>
  <c r="W19" i="25"/>
  <c r="U20" i="25"/>
  <c r="V20" i="25"/>
  <c r="W20" i="25"/>
  <c r="U21" i="25"/>
  <c r="V21" i="25"/>
  <c r="W21" i="25"/>
  <c r="U22" i="25"/>
  <c r="V22" i="25"/>
  <c r="W22" i="25"/>
  <c r="U23" i="25"/>
  <c r="V23" i="25"/>
  <c r="W23" i="25"/>
  <c r="U24" i="25"/>
  <c r="V24" i="25"/>
  <c r="W24" i="25"/>
  <c r="U25" i="25"/>
  <c r="V25" i="25"/>
  <c r="W25" i="25"/>
  <c r="U26" i="25"/>
  <c r="V26" i="25"/>
  <c r="W26" i="25"/>
  <c r="U27" i="25"/>
  <c r="V27" i="25"/>
  <c r="W27" i="25"/>
  <c r="U28" i="25"/>
  <c r="V28" i="25"/>
  <c r="W28" i="25"/>
  <c r="U29" i="25"/>
  <c r="V29" i="25"/>
  <c r="W29" i="25"/>
  <c r="U30" i="25"/>
  <c r="V30" i="25"/>
  <c r="W30" i="25"/>
  <c r="U31" i="25"/>
  <c r="V31" i="25"/>
  <c r="W31" i="25"/>
  <c r="U32" i="25"/>
  <c r="V32" i="25"/>
  <c r="W32" i="25"/>
  <c r="U33" i="25"/>
  <c r="V33" i="25"/>
  <c r="W33" i="25"/>
  <c r="U34" i="25"/>
  <c r="V34" i="25"/>
  <c r="W34" i="25"/>
  <c r="U35" i="25"/>
  <c r="V35" i="25"/>
  <c r="W35" i="25"/>
  <c r="U36" i="25"/>
  <c r="V36" i="25"/>
  <c r="W36" i="25"/>
  <c r="U37" i="25"/>
  <c r="V37" i="25"/>
  <c r="W37" i="25"/>
  <c r="U38" i="25"/>
  <c r="V38" i="25"/>
  <c r="W38" i="25"/>
  <c r="U39" i="25"/>
  <c r="V39" i="25"/>
  <c r="W39" i="25"/>
  <c r="U40" i="25"/>
  <c r="V40" i="25"/>
  <c r="W40" i="25"/>
  <c r="U41" i="25"/>
  <c r="V41" i="25"/>
  <c r="W41" i="25"/>
  <c r="U42" i="25"/>
  <c r="V42" i="25"/>
  <c r="W42" i="25"/>
  <c r="U43" i="25"/>
  <c r="V43" i="25"/>
  <c r="W43" i="25"/>
  <c r="U44" i="25"/>
  <c r="V44" i="25"/>
  <c r="W44" i="25"/>
  <c r="U45" i="25"/>
  <c r="V45" i="25"/>
  <c r="W45" i="25"/>
  <c r="U46" i="25"/>
  <c r="V46" i="25"/>
  <c r="W46" i="25"/>
  <c r="U47" i="25"/>
  <c r="V47" i="25"/>
  <c r="W47" i="25"/>
  <c r="U48" i="25"/>
  <c r="V48" i="25"/>
  <c r="W48" i="25"/>
  <c r="U49" i="25"/>
  <c r="V49" i="25"/>
  <c r="W49" i="25"/>
  <c r="U50" i="25"/>
  <c r="V50" i="25"/>
  <c r="W50" i="25"/>
  <c r="U51" i="25"/>
  <c r="V51" i="25"/>
  <c r="W51" i="25"/>
  <c r="U52" i="25"/>
  <c r="V52" i="25"/>
  <c r="W52" i="25"/>
  <c r="U53" i="25"/>
  <c r="V53" i="25"/>
  <c r="W53" i="25"/>
  <c r="U54" i="25"/>
  <c r="V54" i="25"/>
  <c r="W54" i="25"/>
  <c r="U55" i="25"/>
  <c r="V55" i="25"/>
  <c r="W55" i="25"/>
  <c r="U56" i="25"/>
  <c r="V56" i="25"/>
  <c r="W56" i="25"/>
  <c r="U57" i="25"/>
  <c r="V57" i="25"/>
  <c r="W57" i="25"/>
  <c r="U58" i="25"/>
  <c r="V58" i="25"/>
  <c r="W58" i="25"/>
  <c r="U59" i="25"/>
  <c r="V59" i="25"/>
  <c r="W59" i="25"/>
  <c r="U60" i="25"/>
  <c r="V60" i="25"/>
  <c r="W60" i="25"/>
  <c r="U61" i="25"/>
  <c r="V61" i="25"/>
  <c r="W61" i="25"/>
  <c r="U62" i="25"/>
  <c r="V62" i="25"/>
  <c r="W62" i="25"/>
  <c r="U63" i="25"/>
  <c r="V63" i="25"/>
  <c r="W63" i="25"/>
  <c r="U64" i="25"/>
  <c r="V64" i="25"/>
  <c r="W64" i="25"/>
  <c r="U65" i="25"/>
  <c r="V65" i="25"/>
  <c r="W65" i="25"/>
  <c r="U66" i="25"/>
  <c r="V66" i="25"/>
  <c r="W66" i="25"/>
  <c r="U67" i="25"/>
  <c r="V67" i="25"/>
  <c r="W67" i="25"/>
  <c r="U68" i="25"/>
  <c r="V68" i="25"/>
  <c r="W68" i="25"/>
  <c r="U69" i="25"/>
  <c r="V69" i="25"/>
  <c r="W69" i="25"/>
  <c r="U70" i="25"/>
  <c r="V70" i="25"/>
  <c r="W70" i="25"/>
  <c r="U71" i="25"/>
  <c r="V71" i="25"/>
  <c r="W71" i="25"/>
  <c r="U72" i="25"/>
  <c r="V72" i="25"/>
  <c r="W72" i="25"/>
  <c r="U73" i="25"/>
  <c r="V73" i="25"/>
  <c r="W73" i="25"/>
  <c r="U74" i="25"/>
  <c r="V74" i="25"/>
  <c r="W74" i="25"/>
  <c r="U75" i="25"/>
  <c r="V75" i="25"/>
  <c r="W75" i="25"/>
  <c r="U76" i="25"/>
  <c r="V76" i="25"/>
  <c r="W76" i="25"/>
  <c r="U77" i="25"/>
  <c r="V77" i="25"/>
  <c r="W77" i="25"/>
  <c r="U78" i="25"/>
  <c r="V78" i="25"/>
  <c r="W78" i="25"/>
  <c r="U79" i="25"/>
  <c r="V79" i="25"/>
  <c r="W79" i="25"/>
  <c r="U80" i="25"/>
  <c r="V80" i="25"/>
  <c r="W80" i="25"/>
  <c r="U81" i="25"/>
  <c r="V81" i="25"/>
  <c r="W81" i="25"/>
  <c r="U82" i="25"/>
  <c r="V82" i="25"/>
  <c r="W82" i="25"/>
  <c r="U83" i="25"/>
  <c r="V83" i="25"/>
  <c r="W83" i="25"/>
  <c r="U84" i="25"/>
  <c r="V84" i="25"/>
  <c r="W84" i="25"/>
  <c r="U85" i="25"/>
  <c r="V85" i="25"/>
  <c r="W85" i="25"/>
  <c r="U86" i="25"/>
  <c r="V86" i="25"/>
  <c r="W86" i="25"/>
  <c r="U87" i="25"/>
  <c r="V87" i="25"/>
  <c r="W87" i="25"/>
  <c r="U88" i="25"/>
  <c r="V88" i="25"/>
  <c r="W88" i="25"/>
  <c r="U89" i="25"/>
  <c r="V89" i="25"/>
  <c r="W89" i="25"/>
  <c r="U90" i="25"/>
  <c r="V90" i="25"/>
  <c r="W90" i="25"/>
  <c r="U91" i="25"/>
  <c r="V91" i="25"/>
  <c r="W91" i="25"/>
  <c r="U92" i="25"/>
  <c r="V92" i="25"/>
  <c r="W92" i="25"/>
  <c r="U93" i="25"/>
  <c r="V93" i="25"/>
  <c r="W93" i="25"/>
  <c r="U94" i="25"/>
  <c r="V94" i="25"/>
  <c r="W94" i="25"/>
  <c r="U95" i="25"/>
  <c r="V95" i="25"/>
  <c r="W95" i="25"/>
  <c r="U96" i="25"/>
  <c r="V96" i="25"/>
  <c r="W96" i="25"/>
  <c r="U97" i="25"/>
  <c r="V97" i="25"/>
  <c r="W97" i="25"/>
  <c r="U98" i="25"/>
  <c r="V98" i="25"/>
  <c r="W98" i="25"/>
  <c r="U99" i="25"/>
  <c r="V99" i="25"/>
  <c r="W99" i="25"/>
  <c r="U100" i="25"/>
  <c r="V100" i="25"/>
  <c r="W100" i="25"/>
  <c r="U101" i="25"/>
  <c r="V101" i="25"/>
  <c r="W101" i="25"/>
  <c r="U102" i="25"/>
  <c r="V102" i="25"/>
  <c r="W102" i="25"/>
  <c r="U103" i="25"/>
  <c r="V103" i="25"/>
  <c r="W103" i="25"/>
  <c r="U104" i="25"/>
  <c r="V104" i="25"/>
  <c r="W104" i="25"/>
  <c r="U105" i="25"/>
  <c r="V105" i="25"/>
  <c r="W105" i="25"/>
  <c r="U106" i="25"/>
  <c r="V106" i="25"/>
  <c r="W106" i="25"/>
  <c r="U107" i="25"/>
  <c r="V107" i="25"/>
  <c r="W107" i="25"/>
  <c r="U108" i="25"/>
  <c r="V108" i="25"/>
  <c r="W108" i="25"/>
  <c r="U109" i="25"/>
  <c r="V109" i="25"/>
  <c r="W109" i="25"/>
  <c r="U110" i="25"/>
  <c r="V110" i="25"/>
  <c r="W110" i="25"/>
  <c r="U111" i="25"/>
  <c r="V111" i="25"/>
  <c r="W111" i="25"/>
  <c r="U112" i="25"/>
  <c r="V112" i="25"/>
  <c r="W112" i="25"/>
  <c r="U113" i="25"/>
  <c r="V113" i="25"/>
  <c r="W113" i="25"/>
  <c r="U114" i="25"/>
  <c r="V114" i="25"/>
  <c r="W114" i="25"/>
  <c r="U115" i="25"/>
  <c r="V115" i="25"/>
  <c r="W115" i="25"/>
  <c r="U116" i="25"/>
  <c r="V116" i="25"/>
  <c r="W116" i="25"/>
  <c r="U117" i="25"/>
  <c r="V117" i="25"/>
  <c r="W117" i="25"/>
  <c r="U118" i="25"/>
  <c r="V118" i="25"/>
  <c r="W118" i="25"/>
  <c r="U119" i="25"/>
  <c r="V119" i="25"/>
  <c r="W119" i="25"/>
  <c r="U120" i="25"/>
  <c r="V120" i="25"/>
  <c r="W120" i="25"/>
  <c r="U121" i="25"/>
  <c r="V121" i="25"/>
  <c r="W121" i="25"/>
  <c r="U122" i="25"/>
  <c r="V122" i="25"/>
  <c r="W122" i="25"/>
  <c r="U123" i="25"/>
  <c r="V123" i="25"/>
  <c r="W123" i="25"/>
  <c r="U124" i="25"/>
  <c r="V124" i="25"/>
  <c r="W124" i="25"/>
  <c r="U125" i="25"/>
  <c r="V125" i="25"/>
  <c r="W125" i="25"/>
  <c r="U126" i="25"/>
  <c r="V126" i="25"/>
  <c r="W126" i="25"/>
  <c r="U127" i="25"/>
  <c r="V127" i="25"/>
  <c r="W127" i="25"/>
  <c r="U128" i="25"/>
  <c r="V128" i="25"/>
  <c r="W128" i="25"/>
  <c r="U129" i="25"/>
  <c r="V129" i="25"/>
  <c r="W129" i="25"/>
  <c r="U130" i="25"/>
  <c r="V130" i="25"/>
  <c r="W130" i="25"/>
  <c r="U131" i="25"/>
  <c r="V131" i="25"/>
  <c r="W131" i="25"/>
  <c r="U132" i="25"/>
  <c r="V132" i="25"/>
  <c r="W132" i="25"/>
  <c r="U133" i="25"/>
  <c r="V133" i="25"/>
  <c r="W133" i="25"/>
  <c r="U134" i="25"/>
  <c r="V134" i="25"/>
  <c r="W134" i="25"/>
  <c r="U135" i="25"/>
  <c r="V135" i="25"/>
  <c r="W135" i="25"/>
  <c r="U136" i="25"/>
  <c r="V136" i="25"/>
  <c r="W136" i="25"/>
  <c r="U137" i="25"/>
  <c r="V137" i="25"/>
  <c r="W137" i="25"/>
  <c r="U138" i="25"/>
  <c r="V138" i="25"/>
  <c r="W138" i="25"/>
  <c r="U139" i="25"/>
  <c r="V139" i="25"/>
  <c r="W139" i="25"/>
  <c r="U140" i="25"/>
  <c r="V140" i="25"/>
  <c r="W140" i="25"/>
  <c r="U141" i="25"/>
  <c r="V141" i="25"/>
  <c r="W141" i="25"/>
  <c r="U142" i="25"/>
  <c r="V142" i="25"/>
  <c r="W142" i="25"/>
  <c r="U143" i="25"/>
  <c r="V143" i="25"/>
  <c r="W143" i="25"/>
  <c r="U144" i="25"/>
  <c r="V144" i="25"/>
  <c r="W144" i="25"/>
  <c r="U145" i="25"/>
  <c r="V145" i="25"/>
  <c r="W145" i="25"/>
  <c r="U146" i="25"/>
  <c r="V146" i="25"/>
  <c r="W146" i="25"/>
  <c r="U147" i="25"/>
  <c r="V147" i="25"/>
  <c r="W147" i="25"/>
  <c r="U148" i="25"/>
  <c r="V148" i="25"/>
  <c r="W148" i="25"/>
  <c r="U149" i="25"/>
  <c r="V149" i="25"/>
  <c r="W149" i="25"/>
  <c r="U150" i="25"/>
  <c r="V150" i="25"/>
  <c r="W150" i="25"/>
  <c r="U151" i="25"/>
  <c r="V151" i="25"/>
  <c r="W151" i="25"/>
  <c r="U152" i="25"/>
  <c r="V152" i="25"/>
  <c r="W152" i="25"/>
  <c r="U153" i="25"/>
  <c r="V153" i="25"/>
  <c r="W153" i="25"/>
  <c r="U154" i="25"/>
  <c r="V154" i="25"/>
  <c r="W154" i="25"/>
  <c r="U155" i="25"/>
  <c r="V155" i="25"/>
  <c r="W155" i="25"/>
  <c r="U156" i="25"/>
  <c r="V156" i="25"/>
  <c r="W156" i="25"/>
  <c r="U157" i="25"/>
  <c r="V157" i="25"/>
  <c r="W157" i="25"/>
  <c r="U158" i="25"/>
  <c r="V158" i="25"/>
  <c r="W158" i="25"/>
  <c r="U159" i="25"/>
  <c r="V159" i="25"/>
  <c r="W159" i="25"/>
  <c r="U160" i="25"/>
  <c r="V160" i="25"/>
  <c r="W160" i="25"/>
  <c r="U161" i="25"/>
  <c r="V161" i="25"/>
  <c r="W161" i="25"/>
  <c r="U162" i="25"/>
  <c r="V162" i="25"/>
  <c r="W162" i="25"/>
  <c r="U163" i="25"/>
  <c r="V163" i="25"/>
  <c r="W163" i="25"/>
  <c r="U164" i="25"/>
  <c r="V164" i="25"/>
  <c r="W164" i="25"/>
  <c r="U165" i="25"/>
  <c r="V165" i="25"/>
  <c r="W165" i="25"/>
  <c r="U166" i="25"/>
  <c r="V166" i="25"/>
  <c r="W166" i="25"/>
  <c r="U167" i="25"/>
  <c r="V167" i="25"/>
  <c r="W167" i="25"/>
  <c r="U168" i="25"/>
  <c r="V168" i="25"/>
  <c r="W168" i="25"/>
  <c r="U169" i="25"/>
  <c r="V169" i="25"/>
  <c r="W169" i="25"/>
  <c r="U170" i="25"/>
  <c r="V170" i="25"/>
  <c r="W170" i="25"/>
  <c r="U171" i="25"/>
  <c r="V171" i="25"/>
  <c r="W171" i="25"/>
  <c r="U172" i="25"/>
  <c r="V172" i="25"/>
  <c r="W172" i="25"/>
  <c r="U173" i="25"/>
  <c r="V173" i="25"/>
  <c r="W173" i="25"/>
  <c r="U174" i="25"/>
  <c r="V174" i="25"/>
  <c r="W174" i="25"/>
  <c r="U175" i="25"/>
  <c r="V175" i="25"/>
  <c r="W175" i="25"/>
  <c r="U176" i="25"/>
  <c r="V176" i="25"/>
  <c r="W176" i="25"/>
  <c r="U177" i="25"/>
  <c r="V177" i="25"/>
  <c r="W177" i="25"/>
  <c r="U178" i="25"/>
  <c r="V178" i="25"/>
  <c r="W178" i="25"/>
  <c r="U179" i="25"/>
  <c r="V179" i="25"/>
  <c r="W179" i="25"/>
  <c r="U180" i="25"/>
  <c r="V180" i="25"/>
  <c r="W180" i="25"/>
  <c r="U181" i="25"/>
  <c r="V181" i="25"/>
  <c r="W181" i="25"/>
  <c r="U182" i="25"/>
  <c r="V182" i="25"/>
  <c r="W182" i="25"/>
  <c r="U183" i="25"/>
  <c r="V183" i="25"/>
  <c r="W183" i="25"/>
  <c r="U184" i="25"/>
  <c r="V184" i="25"/>
  <c r="W184" i="25"/>
  <c r="U185" i="25"/>
  <c r="V185" i="25"/>
  <c r="W185" i="25"/>
  <c r="U186" i="25"/>
  <c r="V186" i="25"/>
  <c r="W186" i="25"/>
  <c r="U187" i="25"/>
  <c r="V187" i="25"/>
  <c r="W187" i="25"/>
  <c r="U188" i="25"/>
  <c r="V188" i="25"/>
  <c r="W188" i="25"/>
  <c r="U189" i="25"/>
  <c r="V189" i="25"/>
  <c r="W189" i="25"/>
  <c r="U190" i="25"/>
  <c r="V190" i="25"/>
  <c r="W190" i="25"/>
  <c r="U191" i="25"/>
  <c r="V191" i="25"/>
  <c r="W191" i="25"/>
  <c r="U192" i="25"/>
  <c r="V192" i="25"/>
  <c r="W192" i="25"/>
  <c r="U193" i="25"/>
  <c r="V193" i="25"/>
  <c r="W193" i="25"/>
  <c r="U194" i="25"/>
  <c r="V194" i="25"/>
  <c r="W194" i="25"/>
  <c r="U195" i="25"/>
  <c r="V195" i="25"/>
  <c r="W195" i="25"/>
  <c r="U196" i="25"/>
  <c r="V196" i="25"/>
  <c r="W196" i="25"/>
  <c r="U197" i="25"/>
  <c r="V197" i="25"/>
  <c r="W197" i="25"/>
  <c r="U198" i="25"/>
  <c r="V198" i="25"/>
  <c r="W198" i="25"/>
  <c r="U199" i="25"/>
  <c r="V199" i="25"/>
  <c r="W199" i="25"/>
  <c r="U200" i="25"/>
  <c r="V200" i="25"/>
  <c r="W200" i="25"/>
  <c r="U201" i="25"/>
  <c r="V201" i="25"/>
  <c r="W201" i="25"/>
  <c r="U202" i="25"/>
  <c r="V202" i="25"/>
  <c r="W202" i="25"/>
  <c r="U203" i="25"/>
  <c r="V203" i="25"/>
  <c r="W203" i="25"/>
  <c r="U204" i="25"/>
  <c r="V204" i="25"/>
  <c r="W204" i="25"/>
  <c r="U205" i="25"/>
  <c r="V205" i="25"/>
  <c r="W205" i="25"/>
  <c r="U206" i="25"/>
  <c r="V206" i="25"/>
  <c r="W206" i="25"/>
  <c r="U207" i="25"/>
  <c r="V207" i="25"/>
  <c r="W207" i="25"/>
  <c r="U208" i="25"/>
  <c r="V208" i="25"/>
  <c r="W208" i="25"/>
  <c r="U209" i="25"/>
  <c r="V209" i="25"/>
  <c r="W209" i="25"/>
  <c r="U210" i="25"/>
  <c r="V210" i="25"/>
  <c r="W210" i="25"/>
  <c r="U211" i="25"/>
  <c r="V211" i="25"/>
  <c r="W211" i="25"/>
  <c r="U212" i="25"/>
  <c r="V212" i="25"/>
  <c r="W212" i="25"/>
  <c r="U213" i="25"/>
  <c r="V213" i="25"/>
  <c r="W213" i="25"/>
  <c r="U214" i="25"/>
  <c r="V214" i="25"/>
  <c r="W214" i="25"/>
  <c r="U215" i="25"/>
  <c r="V215" i="25"/>
  <c r="W215" i="25"/>
  <c r="U216" i="25"/>
  <c r="V216" i="25"/>
  <c r="W216" i="25"/>
  <c r="U217" i="25"/>
  <c r="V217" i="25"/>
  <c r="W217" i="25"/>
  <c r="U218" i="25"/>
  <c r="V218" i="25"/>
  <c r="W218" i="25"/>
  <c r="U219" i="25"/>
  <c r="V219" i="25"/>
  <c r="W219" i="25"/>
  <c r="U220" i="25"/>
  <c r="V220" i="25"/>
  <c r="W220" i="25"/>
  <c r="U221" i="25"/>
  <c r="V221" i="25"/>
  <c r="W221" i="25"/>
  <c r="U222" i="25"/>
  <c r="V222" i="25"/>
  <c r="W222" i="25"/>
  <c r="U223" i="25"/>
  <c r="V223" i="25"/>
  <c r="W223" i="25"/>
  <c r="U224" i="25"/>
  <c r="V224" i="25"/>
  <c r="W224" i="25"/>
  <c r="U225" i="25"/>
  <c r="V225" i="25"/>
  <c r="W225" i="25"/>
  <c r="U226" i="25"/>
  <c r="V226" i="25"/>
  <c r="W226" i="25"/>
  <c r="U227" i="25"/>
  <c r="V227" i="25"/>
  <c r="W227" i="25"/>
  <c r="U228" i="25"/>
  <c r="V228" i="25"/>
  <c r="W228" i="25"/>
  <c r="U229" i="25"/>
  <c r="V229" i="25"/>
  <c r="W229" i="25"/>
  <c r="U230" i="25"/>
  <c r="V230" i="25"/>
  <c r="W230" i="25"/>
  <c r="U231" i="25"/>
  <c r="V231" i="25"/>
  <c r="W231" i="25"/>
  <c r="U232" i="25"/>
  <c r="V232" i="25"/>
  <c r="W232" i="25"/>
  <c r="U233" i="25"/>
  <c r="V233" i="25"/>
  <c r="W233" i="25"/>
  <c r="U234" i="25"/>
  <c r="V234" i="25"/>
  <c r="W234" i="25"/>
  <c r="U235" i="25"/>
  <c r="V235" i="25"/>
  <c r="W235" i="25"/>
  <c r="U236" i="25"/>
  <c r="V236" i="25"/>
  <c r="W236" i="25"/>
  <c r="U237" i="25"/>
  <c r="V237" i="25"/>
  <c r="W237" i="25"/>
  <c r="U238" i="25"/>
  <c r="V238" i="25"/>
  <c r="W238" i="25"/>
  <c r="U239" i="25"/>
  <c r="V239" i="25"/>
  <c r="W239" i="25"/>
  <c r="U240" i="25"/>
  <c r="V240" i="25"/>
  <c r="W240" i="25"/>
  <c r="U241" i="25"/>
  <c r="V241" i="25"/>
  <c r="W241" i="25"/>
  <c r="U242" i="25"/>
  <c r="V242" i="25"/>
  <c r="W242" i="25"/>
  <c r="U243" i="25"/>
  <c r="V243" i="25"/>
  <c r="W243" i="25"/>
  <c r="U244" i="25"/>
  <c r="V244" i="25"/>
  <c r="W244" i="25"/>
  <c r="U245" i="25"/>
  <c r="V245" i="25"/>
  <c r="W245" i="25"/>
  <c r="U246" i="25"/>
  <c r="V246" i="25"/>
  <c r="W246" i="25"/>
  <c r="U247" i="25"/>
  <c r="V247" i="25"/>
  <c r="W247" i="25"/>
  <c r="U248" i="25"/>
  <c r="V248" i="25"/>
  <c r="W248" i="25"/>
  <c r="U249" i="25"/>
  <c r="V249" i="25"/>
  <c r="W249" i="25"/>
  <c r="U250" i="25"/>
  <c r="V250" i="25"/>
  <c r="W250" i="25"/>
  <c r="U251" i="25"/>
  <c r="V251" i="25"/>
  <c r="W251" i="25"/>
  <c r="U252" i="25"/>
  <c r="V252" i="25"/>
  <c r="W252" i="25"/>
  <c r="U253" i="25"/>
  <c r="V253" i="25"/>
  <c r="W253" i="25"/>
  <c r="U254" i="25"/>
  <c r="V254" i="25"/>
  <c r="W254" i="25"/>
  <c r="U255" i="25"/>
  <c r="V255" i="25"/>
  <c r="W255" i="25"/>
  <c r="U256" i="25"/>
  <c r="V256" i="25"/>
  <c r="W256" i="25"/>
  <c r="U257" i="25"/>
  <c r="V257" i="25"/>
  <c r="W257" i="25"/>
  <c r="U258" i="25"/>
  <c r="V258" i="25"/>
  <c r="W258" i="25"/>
  <c r="U259" i="25"/>
  <c r="V259" i="25"/>
  <c r="W259" i="25"/>
  <c r="U260" i="25"/>
  <c r="V260" i="25"/>
  <c r="W260" i="25"/>
  <c r="U261" i="25"/>
  <c r="V261" i="25"/>
  <c r="W261" i="25"/>
  <c r="U262" i="25"/>
  <c r="V262" i="25"/>
  <c r="W262" i="25"/>
  <c r="U263" i="25"/>
  <c r="V263" i="25"/>
  <c r="W263" i="25"/>
  <c r="U264" i="25"/>
  <c r="V264" i="25"/>
  <c r="W264" i="25"/>
  <c r="U265" i="25"/>
  <c r="V265" i="25"/>
  <c r="W265" i="25"/>
  <c r="U266" i="25"/>
  <c r="V266" i="25"/>
  <c r="W266" i="25"/>
  <c r="U267" i="25"/>
  <c r="V267" i="25"/>
  <c r="W267" i="25"/>
  <c r="U268" i="25"/>
  <c r="V268" i="25"/>
  <c r="W268" i="25"/>
  <c r="U269" i="25"/>
  <c r="V269" i="25"/>
  <c r="W269" i="25"/>
  <c r="U270" i="25"/>
  <c r="V270" i="25"/>
  <c r="W270" i="25"/>
  <c r="U271" i="25"/>
  <c r="V271" i="25"/>
  <c r="W271" i="25"/>
  <c r="U272" i="25"/>
  <c r="V272" i="25"/>
  <c r="W272" i="25"/>
  <c r="U273" i="25"/>
  <c r="V273" i="25"/>
  <c r="W273" i="25"/>
  <c r="U274" i="25"/>
  <c r="V274" i="25"/>
  <c r="W274" i="25"/>
  <c r="U275" i="25"/>
  <c r="V275" i="25"/>
  <c r="W275" i="25"/>
  <c r="U276" i="25"/>
  <c r="V276" i="25"/>
  <c r="W276" i="25"/>
  <c r="U277" i="25"/>
  <c r="V277" i="25"/>
  <c r="W277" i="25"/>
  <c r="U278" i="25"/>
  <c r="V278" i="25"/>
  <c r="W278" i="25"/>
  <c r="U279" i="25"/>
  <c r="V279" i="25"/>
  <c r="W279" i="25"/>
  <c r="U280" i="25"/>
  <c r="V280" i="25"/>
  <c r="W280" i="25"/>
  <c r="U281" i="25"/>
  <c r="V281" i="25"/>
  <c r="W281" i="25"/>
  <c r="U282" i="25"/>
  <c r="V282" i="25"/>
  <c r="W282" i="25"/>
  <c r="U283" i="25"/>
  <c r="V283" i="25"/>
  <c r="W283" i="25"/>
  <c r="U284" i="25"/>
  <c r="V284" i="25"/>
  <c r="W284" i="25"/>
  <c r="U285" i="25"/>
  <c r="V285" i="25"/>
  <c r="W285" i="25"/>
  <c r="U286" i="25"/>
  <c r="V286" i="25"/>
  <c r="W286" i="25"/>
  <c r="U287" i="25"/>
  <c r="V287" i="25"/>
  <c r="W287" i="25"/>
  <c r="U288" i="25"/>
  <c r="V288" i="25"/>
  <c r="W288" i="25"/>
  <c r="U289" i="25"/>
  <c r="V289" i="25"/>
  <c r="W289" i="25"/>
  <c r="U290" i="25"/>
  <c r="V290" i="25"/>
  <c r="W290" i="25"/>
  <c r="U291" i="25"/>
  <c r="V291" i="25"/>
  <c r="W291" i="25"/>
  <c r="U292" i="25"/>
  <c r="V292" i="25"/>
  <c r="W292" i="25"/>
  <c r="U293" i="25"/>
  <c r="V293" i="25"/>
  <c r="W293" i="25"/>
  <c r="U294" i="25"/>
  <c r="V294" i="25"/>
  <c r="W294" i="25"/>
  <c r="U295" i="25"/>
  <c r="V295" i="25"/>
  <c r="W295" i="25"/>
  <c r="U296" i="25"/>
  <c r="V296" i="25"/>
  <c r="W296" i="25"/>
  <c r="U297" i="25"/>
  <c r="V297" i="25"/>
  <c r="W297" i="25"/>
  <c r="U298" i="25"/>
  <c r="V298" i="25"/>
  <c r="W298" i="25"/>
  <c r="U299" i="25"/>
  <c r="V299" i="25"/>
  <c r="W299" i="25"/>
  <c r="U300" i="25"/>
  <c r="V300" i="25"/>
  <c r="W300" i="25"/>
  <c r="U301" i="25"/>
  <c r="V301" i="25"/>
  <c r="W301" i="25"/>
  <c r="U302" i="25"/>
  <c r="V302" i="25"/>
  <c r="W302" i="25"/>
  <c r="U303" i="25"/>
  <c r="V303" i="25"/>
  <c r="W303" i="25"/>
  <c r="U304" i="25"/>
  <c r="V304" i="25"/>
  <c r="W304" i="25"/>
  <c r="U305" i="25"/>
  <c r="V305" i="25"/>
  <c r="W305" i="25"/>
  <c r="U306" i="25"/>
  <c r="V306" i="25"/>
  <c r="W306" i="25"/>
  <c r="U307" i="25"/>
  <c r="V307" i="25"/>
  <c r="W307" i="25"/>
  <c r="U308" i="25"/>
  <c r="V308" i="25"/>
  <c r="W308" i="25"/>
  <c r="U309" i="25"/>
  <c r="V309" i="25"/>
  <c r="W309" i="25"/>
  <c r="U310" i="25"/>
  <c r="V310" i="25"/>
  <c r="W310" i="25"/>
  <c r="U311" i="25"/>
  <c r="V311" i="25"/>
  <c r="W311" i="25"/>
  <c r="U312" i="25"/>
  <c r="V312" i="25"/>
  <c r="W312" i="25"/>
  <c r="U313" i="25"/>
  <c r="V313" i="25"/>
  <c r="W313" i="25"/>
  <c r="U314" i="25"/>
  <c r="V314" i="25"/>
  <c r="W314" i="25"/>
  <c r="U315" i="25"/>
  <c r="V315" i="25"/>
  <c r="W315" i="25"/>
  <c r="U316" i="25"/>
  <c r="V316" i="25"/>
  <c r="W316" i="25"/>
  <c r="U317" i="25"/>
  <c r="V317" i="25"/>
  <c r="W317" i="25"/>
  <c r="U318" i="25"/>
  <c r="V318" i="25"/>
  <c r="W318" i="25"/>
  <c r="U319" i="25"/>
  <c r="V319" i="25"/>
  <c r="W319" i="25"/>
  <c r="U320" i="25"/>
  <c r="V320" i="25"/>
  <c r="W320" i="25"/>
  <c r="U321" i="25"/>
  <c r="V321" i="25"/>
  <c r="W321" i="25"/>
  <c r="U322" i="25"/>
  <c r="V322" i="25"/>
  <c r="W322" i="25"/>
  <c r="U323" i="25"/>
  <c r="V323" i="25"/>
  <c r="W323" i="25"/>
  <c r="U324" i="25"/>
  <c r="V324" i="25"/>
  <c r="W324" i="25"/>
  <c r="U325" i="25"/>
  <c r="V325" i="25"/>
  <c r="W325" i="25"/>
  <c r="U326" i="25"/>
  <c r="V326" i="25"/>
  <c r="W326" i="25"/>
  <c r="U327" i="25"/>
  <c r="V327" i="25"/>
  <c r="W327" i="25"/>
  <c r="U328" i="25"/>
  <c r="V328" i="25"/>
  <c r="W328" i="25"/>
  <c r="U329" i="25"/>
  <c r="V329" i="25"/>
  <c r="W329" i="25"/>
  <c r="U330" i="25"/>
  <c r="V330" i="25"/>
  <c r="W330" i="25"/>
  <c r="U331" i="25"/>
  <c r="V331" i="25"/>
  <c r="W331" i="25"/>
  <c r="U332" i="25"/>
  <c r="V332" i="25"/>
  <c r="W332" i="25"/>
  <c r="U333" i="25"/>
  <c r="V333" i="25"/>
  <c r="W333" i="25"/>
  <c r="U334" i="25"/>
  <c r="V334" i="25"/>
  <c r="W334" i="25"/>
  <c r="U335" i="25"/>
  <c r="V335" i="25"/>
  <c r="W335" i="25"/>
  <c r="U336" i="25"/>
  <c r="V336" i="25"/>
  <c r="W336" i="25"/>
  <c r="U337" i="25"/>
  <c r="V337" i="25"/>
  <c r="W337" i="25"/>
  <c r="U338" i="25"/>
  <c r="V338" i="25"/>
  <c r="W338" i="25"/>
  <c r="U339" i="25"/>
  <c r="V339" i="25"/>
  <c r="W339" i="25"/>
  <c r="U340" i="25"/>
  <c r="V340" i="25"/>
  <c r="W340" i="25"/>
  <c r="U341" i="25"/>
  <c r="V341" i="25"/>
  <c r="W341" i="25"/>
  <c r="U342" i="25"/>
  <c r="V342" i="25"/>
  <c r="W342" i="25"/>
  <c r="U343" i="25"/>
  <c r="V343" i="25"/>
  <c r="W343" i="25"/>
  <c r="U344" i="25"/>
  <c r="V344" i="25"/>
  <c r="W344" i="25"/>
  <c r="U345" i="25"/>
  <c r="V345" i="25"/>
  <c r="W345" i="25"/>
  <c r="U346" i="25"/>
  <c r="V346" i="25"/>
  <c r="W346" i="25"/>
  <c r="U347" i="25"/>
  <c r="V347" i="25"/>
  <c r="W347" i="25"/>
  <c r="U348" i="25"/>
  <c r="V348" i="25"/>
  <c r="W348" i="25"/>
  <c r="U349" i="25"/>
  <c r="V349" i="25"/>
  <c r="W349" i="25"/>
  <c r="U350" i="25"/>
  <c r="V350" i="25"/>
  <c r="W350" i="25"/>
  <c r="U351" i="25"/>
  <c r="V351" i="25"/>
  <c r="W351" i="25"/>
  <c r="U352" i="25"/>
  <c r="V352" i="25"/>
  <c r="W352" i="25"/>
  <c r="U353" i="25"/>
  <c r="V353" i="25"/>
  <c r="W353" i="25"/>
  <c r="U354" i="25"/>
  <c r="V354" i="25"/>
  <c r="W354" i="25"/>
  <c r="U355" i="25"/>
  <c r="V355" i="25"/>
  <c r="W355" i="25"/>
  <c r="U356" i="25"/>
  <c r="V356" i="25"/>
  <c r="W356" i="25"/>
  <c r="U357" i="25"/>
  <c r="V357" i="25"/>
  <c r="W357" i="25"/>
  <c r="U358" i="25"/>
  <c r="V358" i="25"/>
  <c r="W358" i="25"/>
  <c r="U359" i="25"/>
  <c r="V359" i="25"/>
  <c r="W359" i="25"/>
  <c r="U360" i="25"/>
  <c r="V360" i="25"/>
  <c r="W360" i="25"/>
  <c r="U361" i="25"/>
  <c r="V361" i="25"/>
  <c r="W361" i="25"/>
  <c r="U362" i="25"/>
  <c r="V362" i="25"/>
  <c r="W362" i="25"/>
  <c r="U363" i="25"/>
  <c r="V363" i="25"/>
  <c r="W363" i="25"/>
  <c r="U364" i="25"/>
  <c r="V364" i="25"/>
  <c r="W364" i="25"/>
  <c r="U365" i="25"/>
  <c r="V365" i="25"/>
  <c r="W365" i="25"/>
  <c r="U366" i="25"/>
  <c r="V366" i="25"/>
  <c r="W366" i="25"/>
  <c r="U367" i="25"/>
  <c r="V367" i="25"/>
  <c r="W367" i="25"/>
  <c r="U368" i="25"/>
  <c r="V368" i="25"/>
  <c r="W368" i="25"/>
  <c r="U369" i="25"/>
  <c r="V369" i="25"/>
  <c r="W369" i="25"/>
  <c r="U370" i="25"/>
  <c r="V370" i="25"/>
  <c r="W370" i="25"/>
  <c r="U371" i="25"/>
  <c r="V371" i="25"/>
  <c r="W371" i="25"/>
  <c r="U372" i="25"/>
  <c r="V372" i="25"/>
  <c r="W372" i="25"/>
  <c r="U373" i="25"/>
  <c r="V373" i="25"/>
  <c r="W373" i="25"/>
  <c r="U374" i="25"/>
  <c r="V374" i="25"/>
  <c r="W374" i="25"/>
  <c r="U375" i="25"/>
  <c r="V375" i="25"/>
  <c r="W375" i="25"/>
  <c r="U376" i="25"/>
  <c r="V376" i="25"/>
  <c r="W376" i="25"/>
  <c r="U377" i="25"/>
  <c r="V377" i="25"/>
  <c r="W377" i="25"/>
  <c r="U378" i="25"/>
  <c r="V378" i="25"/>
  <c r="W378" i="25"/>
  <c r="U379" i="25"/>
  <c r="V379" i="25"/>
  <c r="W379" i="25"/>
  <c r="U380" i="25"/>
  <c r="V380" i="25"/>
  <c r="W380" i="25"/>
  <c r="U381" i="25"/>
  <c r="V381" i="25"/>
  <c r="W381" i="25"/>
  <c r="U382" i="25"/>
  <c r="V382" i="25"/>
  <c r="W382" i="25"/>
  <c r="U383" i="25"/>
  <c r="V383" i="25"/>
  <c r="W383" i="25"/>
  <c r="U384" i="25"/>
  <c r="V384" i="25"/>
  <c r="W384" i="25"/>
  <c r="U385" i="25"/>
  <c r="V385" i="25"/>
  <c r="W385" i="25"/>
  <c r="U386" i="25"/>
  <c r="V386" i="25"/>
  <c r="W386" i="25"/>
  <c r="U387" i="25"/>
  <c r="V387" i="25"/>
  <c r="W387" i="25"/>
  <c r="U388" i="25"/>
  <c r="V388" i="25"/>
  <c r="W388" i="25"/>
  <c r="U389" i="25"/>
  <c r="V389" i="25"/>
  <c r="W389" i="25"/>
  <c r="U390" i="25"/>
  <c r="V390" i="25"/>
  <c r="W390" i="25"/>
  <c r="U391" i="25"/>
  <c r="V391" i="25"/>
  <c r="W391" i="25"/>
  <c r="U392" i="25"/>
  <c r="V392" i="25"/>
  <c r="W392" i="25"/>
  <c r="U393" i="25"/>
  <c r="V393" i="25"/>
  <c r="W393" i="25"/>
  <c r="U394" i="25"/>
  <c r="V394" i="25"/>
  <c r="W394" i="25"/>
  <c r="U395" i="25"/>
  <c r="V395" i="25"/>
  <c r="W395" i="25"/>
  <c r="U396" i="25"/>
  <c r="V396" i="25"/>
  <c r="W396" i="25"/>
  <c r="U397" i="25"/>
  <c r="V397" i="25"/>
  <c r="W397" i="25"/>
  <c r="U398" i="25"/>
  <c r="V398" i="25"/>
  <c r="W398" i="25"/>
  <c r="U399" i="25"/>
  <c r="V399" i="25"/>
  <c r="W399" i="25"/>
  <c r="U400" i="25"/>
  <c r="V400" i="25"/>
  <c r="W400" i="25"/>
  <c r="U401" i="25"/>
  <c r="V401" i="25"/>
  <c r="W401" i="25"/>
  <c r="U402" i="25"/>
  <c r="V402" i="25"/>
  <c r="W402" i="25"/>
  <c r="U403" i="25"/>
  <c r="V403" i="25"/>
  <c r="W403" i="25"/>
  <c r="U404" i="25"/>
  <c r="V404" i="25"/>
  <c r="W404" i="25"/>
  <c r="U405" i="25"/>
  <c r="V405" i="25"/>
  <c r="W405" i="25"/>
  <c r="U406" i="25"/>
  <c r="V406" i="25"/>
  <c r="W406" i="25"/>
  <c r="U407" i="25"/>
  <c r="V407" i="25"/>
  <c r="W407" i="25"/>
  <c r="U408" i="25"/>
  <c r="V408" i="25"/>
  <c r="W408" i="25"/>
  <c r="U409" i="25"/>
  <c r="V409" i="25"/>
  <c r="W409" i="25"/>
  <c r="U410" i="25"/>
  <c r="V410" i="25"/>
  <c r="W410" i="25"/>
  <c r="U411" i="25"/>
  <c r="V411" i="25"/>
  <c r="W411" i="25"/>
  <c r="U412" i="25"/>
  <c r="V412" i="25"/>
  <c r="W412" i="25"/>
  <c r="U413" i="25"/>
  <c r="V413" i="25"/>
  <c r="W413" i="25"/>
  <c r="U414" i="25"/>
  <c r="V414" i="25"/>
  <c r="W414" i="25"/>
  <c r="U415" i="25"/>
  <c r="V415" i="25"/>
  <c r="W415" i="25"/>
  <c r="U416" i="25"/>
  <c r="V416" i="25"/>
  <c r="W416" i="25"/>
  <c r="U417" i="25"/>
  <c r="V417" i="25"/>
  <c r="W417" i="25"/>
  <c r="U418" i="25"/>
  <c r="V418" i="25"/>
  <c r="W418" i="25"/>
  <c r="U419" i="25"/>
  <c r="V419" i="25"/>
  <c r="W419" i="25"/>
  <c r="U420" i="25"/>
  <c r="V420" i="25"/>
  <c r="W420" i="25"/>
  <c r="U421" i="25"/>
  <c r="V421" i="25"/>
  <c r="W421" i="25"/>
  <c r="U422" i="25"/>
  <c r="V422" i="25"/>
  <c r="W422" i="25"/>
  <c r="U423" i="25"/>
  <c r="V423" i="25"/>
  <c r="W423" i="25"/>
  <c r="U424" i="25"/>
  <c r="V424" i="25"/>
  <c r="W424" i="25"/>
  <c r="U425" i="25"/>
  <c r="V425" i="25"/>
  <c r="W425" i="25"/>
  <c r="U426" i="25"/>
  <c r="V426" i="25"/>
  <c r="W426" i="25"/>
  <c r="U427" i="25"/>
  <c r="V427" i="25"/>
  <c r="W427" i="25"/>
  <c r="U428" i="25"/>
  <c r="V428" i="25"/>
  <c r="W428" i="25"/>
  <c r="U429" i="25"/>
  <c r="V429" i="25"/>
  <c r="W429" i="25"/>
  <c r="U430" i="25"/>
  <c r="V430" i="25"/>
  <c r="W430" i="25"/>
  <c r="U431" i="25"/>
  <c r="V431" i="25"/>
  <c r="W431" i="25"/>
  <c r="U432" i="25"/>
  <c r="V432" i="25"/>
  <c r="W432" i="25"/>
  <c r="U433" i="25"/>
  <c r="V433" i="25"/>
  <c r="W433" i="25"/>
  <c r="U434" i="25"/>
  <c r="V434" i="25"/>
  <c r="W434" i="25"/>
  <c r="U435" i="25"/>
  <c r="V435" i="25"/>
  <c r="W435" i="25"/>
  <c r="U436" i="25"/>
  <c r="V436" i="25"/>
  <c r="W436" i="25"/>
  <c r="U437" i="25"/>
  <c r="V437" i="25"/>
  <c r="W437" i="25"/>
  <c r="U438" i="25"/>
  <c r="V438" i="25"/>
  <c r="W438" i="25"/>
  <c r="U439" i="25"/>
  <c r="V439" i="25"/>
  <c r="W439" i="25"/>
  <c r="U440" i="25"/>
  <c r="V440" i="25"/>
  <c r="W440" i="25"/>
  <c r="U441" i="25"/>
  <c r="V441" i="25"/>
  <c r="W441" i="25"/>
  <c r="U442" i="25"/>
  <c r="V442" i="25"/>
  <c r="W442" i="25"/>
  <c r="U443" i="25"/>
  <c r="V443" i="25"/>
  <c r="W443" i="25"/>
  <c r="U444" i="25"/>
  <c r="V444" i="25"/>
  <c r="W444" i="25"/>
  <c r="U445" i="25"/>
  <c r="V445" i="25"/>
  <c r="W445" i="25"/>
  <c r="U446" i="25"/>
  <c r="V446" i="25"/>
  <c r="W446" i="25"/>
  <c r="U447" i="25"/>
  <c r="V447" i="25"/>
  <c r="W447" i="25"/>
  <c r="U448" i="25"/>
  <c r="V448" i="25"/>
  <c r="W448" i="25"/>
  <c r="U449" i="25"/>
  <c r="V449" i="25"/>
  <c r="W449" i="25"/>
  <c r="U450" i="25"/>
  <c r="V450" i="25"/>
  <c r="W450" i="25"/>
  <c r="U451" i="25"/>
  <c r="V451" i="25"/>
  <c r="W451" i="25"/>
  <c r="U452" i="25"/>
  <c r="V452" i="25"/>
  <c r="W452" i="25"/>
  <c r="U453" i="25"/>
  <c r="V453" i="25"/>
  <c r="W453" i="25"/>
  <c r="U454" i="25"/>
  <c r="V454" i="25"/>
  <c r="W454" i="25"/>
  <c r="U455" i="25"/>
  <c r="V455" i="25"/>
  <c r="W455" i="25"/>
  <c r="U456" i="25"/>
  <c r="V456" i="25"/>
  <c r="W456" i="25"/>
  <c r="U457" i="25"/>
  <c r="V457" i="25"/>
  <c r="W457" i="25"/>
  <c r="U458" i="25"/>
  <c r="V458" i="25"/>
  <c r="W458" i="25"/>
  <c r="U459" i="25"/>
  <c r="V459" i="25"/>
  <c r="W459" i="25"/>
  <c r="U460" i="25"/>
  <c r="V460" i="25"/>
  <c r="W460" i="25"/>
  <c r="U461" i="25"/>
  <c r="V461" i="25"/>
  <c r="W461" i="25"/>
  <c r="U462" i="25"/>
  <c r="V462" i="25"/>
  <c r="W462" i="25"/>
  <c r="U463" i="25"/>
  <c r="V463" i="25"/>
  <c r="W463" i="25"/>
  <c r="U464" i="25"/>
  <c r="V464" i="25"/>
  <c r="W464" i="25"/>
  <c r="U465" i="25"/>
  <c r="V465" i="25"/>
  <c r="W465" i="25"/>
  <c r="U466" i="25"/>
  <c r="V466" i="25"/>
  <c r="W466" i="25"/>
  <c r="U467" i="25"/>
  <c r="V467" i="25"/>
  <c r="W467" i="25"/>
  <c r="U468" i="25"/>
  <c r="V468" i="25"/>
  <c r="W468" i="25"/>
  <c r="U469" i="25"/>
  <c r="V469" i="25"/>
  <c r="W469" i="25"/>
  <c r="U470" i="25"/>
  <c r="V470" i="25"/>
  <c r="W470" i="25"/>
  <c r="U471" i="25"/>
  <c r="V471" i="25"/>
  <c r="W471" i="25"/>
  <c r="U472" i="25"/>
  <c r="V472" i="25"/>
  <c r="W472" i="25"/>
  <c r="U473" i="25"/>
  <c r="V473" i="25"/>
  <c r="W473" i="25"/>
  <c r="U474" i="25"/>
  <c r="V474" i="25"/>
  <c r="W474" i="25"/>
  <c r="U475" i="25"/>
  <c r="V475" i="25"/>
  <c r="W475" i="25"/>
  <c r="U476" i="25"/>
  <c r="V476" i="25"/>
  <c r="W476" i="25"/>
  <c r="U477" i="25"/>
  <c r="V477" i="25"/>
  <c r="W477" i="25"/>
  <c r="U478" i="25"/>
  <c r="V478" i="25"/>
  <c r="W478" i="25"/>
  <c r="U479" i="25"/>
  <c r="V479" i="25"/>
  <c r="W479" i="25"/>
  <c r="U480" i="25"/>
  <c r="V480" i="25"/>
  <c r="W480" i="25"/>
  <c r="U481" i="25"/>
  <c r="V481" i="25"/>
  <c r="W481" i="25"/>
  <c r="U482" i="25"/>
  <c r="V482" i="25"/>
  <c r="W482" i="25"/>
  <c r="U483" i="25"/>
  <c r="V483" i="25"/>
  <c r="W483" i="25"/>
  <c r="U484" i="25"/>
  <c r="V484" i="25"/>
  <c r="W484" i="25"/>
  <c r="U485" i="25"/>
  <c r="V485" i="25"/>
  <c r="W485" i="25"/>
  <c r="U486" i="25"/>
  <c r="V486" i="25"/>
  <c r="W486" i="25"/>
  <c r="U487" i="25"/>
  <c r="V487" i="25"/>
  <c r="W487" i="25"/>
  <c r="U488" i="25"/>
  <c r="V488" i="25"/>
  <c r="W488" i="25"/>
  <c r="U489" i="25"/>
  <c r="V489" i="25"/>
  <c r="W489" i="25"/>
  <c r="U490" i="25"/>
  <c r="V490" i="25"/>
  <c r="W490" i="25"/>
  <c r="U491" i="25"/>
  <c r="V491" i="25"/>
  <c r="W491" i="25"/>
  <c r="U492" i="25"/>
  <c r="V492" i="25"/>
  <c r="W492" i="25"/>
  <c r="U493" i="25"/>
  <c r="V493" i="25"/>
  <c r="W493" i="25"/>
  <c r="U494" i="25"/>
  <c r="V494" i="25"/>
  <c r="W494" i="25"/>
  <c r="U495" i="25"/>
  <c r="V495" i="25"/>
  <c r="W495" i="25"/>
  <c r="U496" i="25"/>
  <c r="V496" i="25"/>
  <c r="W496" i="25"/>
  <c r="U497" i="25"/>
  <c r="V497" i="25"/>
  <c r="W497" i="25"/>
  <c r="U498" i="25"/>
  <c r="V498" i="25"/>
  <c r="W498" i="25"/>
  <c r="U499" i="25"/>
  <c r="V499" i="25"/>
  <c r="W499" i="25"/>
  <c r="U500" i="25"/>
  <c r="V500" i="25"/>
  <c r="W500" i="25"/>
  <c r="U501" i="25"/>
  <c r="V501" i="25"/>
  <c r="W501" i="25"/>
  <c r="U502" i="25"/>
  <c r="V502" i="25"/>
  <c r="W502" i="25"/>
  <c r="U503" i="25"/>
  <c r="V503" i="25"/>
  <c r="W503" i="25"/>
  <c r="U504" i="25"/>
  <c r="V504" i="25"/>
  <c r="W504" i="25"/>
  <c r="U505" i="25"/>
  <c r="V505" i="25"/>
  <c r="W505" i="25"/>
  <c r="U506" i="25"/>
  <c r="V506" i="25"/>
  <c r="W506" i="25"/>
  <c r="U507" i="25"/>
  <c r="V507" i="25"/>
  <c r="W507" i="25"/>
  <c r="U508" i="25"/>
  <c r="V508" i="25"/>
  <c r="W508" i="25"/>
  <c r="U509" i="25"/>
  <c r="V509" i="25"/>
  <c r="W509" i="25"/>
  <c r="U510" i="25"/>
  <c r="V510" i="25"/>
  <c r="W510" i="25"/>
  <c r="U511" i="25"/>
  <c r="V511" i="25"/>
  <c r="W511" i="25"/>
  <c r="U512" i="25"/>
  <c r="V512" i="25"/>
  <c r="W512" i="25"/>
  <c r="U513" i="25"/>
  <c r="V513" i="25"/>
  <c r="W513" i="25"/>
  <c r="U514" i="25"/>
  <c r="V514" i="25"/>
  <c r="W514" i="25"/>
  <c r="U515" i="25"/>
  <c r="V515" i="25"/>
  <c r="W515" i="25"/>
  <c r="U516" i="25"/>
  <c r="V516" i="25"/>
  <c r="W516" i="25"/>
  <c r="U517" i="25"/>
  <c r="V517" i="25"/>
  <c r="W517" i="25"/>
  <c r="U518" i="25"/>
  <c r="V518" i="25"/>
  <c r="W518" i="25"/>
  <c r="U519" i="25"/>
  <c r="V519" i="25"/>
  <c r="W519" i="25"/>
  <c r="U520" i="25"/>
  <c r="V520" i="25"/>
  <c r="W520" i="25"/>
  <c r="U521" i="25"/>
  <c r="V521" i="25"/>
  <c r="W521" i="25"/>
  <c r="U522" i="25"/>
  <c r="V522" i="25"/>
  <c r="W522" i="25"/>
  <c r="U523" i="25"/>
  <c r="V523" i="25"/>
  <c r="W523" i="25"/>
  <c r="U524" i="25"/>
  <c r="V524" i="25"/>
  <c r="W524" i="25"/>
  <c r="U525" i="25"/>
  <c r="V525" i="25"/>
  <c r="W525" i="25"/>
  <c r="U526" i="25"/>
  <c r="V526" i="25"/>
  <c r="W526" i="25"/>
  <c r="U527" i="25"/>
  <c r="V527" i="25"/>
  <c r="W527" i="25"/>
  <c r="U528" i="25"/>
  <c r="V528" i="25"/>
  <c r="W528" i="25"/>
  <c r="U529" i="25"/>
  <c r="V529" i="25"/>
  <c r="W529" i="25"/>
  <c r="U530" i="25"/>
  <c r="V530" i="25"/>
  <c r="W530" i="25"/>
  <c r="U531" i="25"/>
  <c r="V531" i="25"/>
  <c r="W531" i="25"/>
  <c r="U532" i="25"/>
  <c r="V532" i="25"/>
  <c r="W532" i="25"/>
  <c r="U533" i="25"/>
  <c r="V533" i="25"/>
  <c r="W533" i="25"/>
  <c r="U534" i="25"/>
  <c r="V534" i="25"/>
  <c r="W534" i="25"/>
  <c r="U535" i="25"/>
  <c r="V535" i="25"/>
  <c r="W535" i="25"/>
  <c r="U536" i="25"/>
  <c r="V536" i="25"/>
  <c r="W536" i="25"/>
  <c r="U537" i="25"/>
  <c r="V537" i="25"/>
  <c r="W537" i="25"/>
  <c r="U538" i="25"/>
  <c r="V538" i="25"/>
  <c r="W538" i="25"/>
  <c r="U539" i="25"/>
  <c r="V539" i="25"/>
  <c r="W539" i="25"/>
  <c r="U540" i="25"/>
  <c r="V540" i="25"/>
  <c r="W540" i="25"/>
  <c r="U541" i="25"/>
  <c r="V541" i="25"/>
  <c r="W541" i="25"/>
  <c r="U542" i="25"/>
  <c r="V542" i="25"/>
  <c r="W542" i="25"/>
  <c r="U543" i="25"/>
  <c r="V543" i="25"/>
  <c r="W543" i="25"/>
  <c r="U544" i="25"/>
  <c r="V544" i="25"/>
  <c r="W544" i="25"/>
  <c r="U545" i="25"/>
  <c r="V545" i="25"/>
  <c r="W545" i="25"/>
  <c r="U546" i="25"/>
  <c r="V546" i="25"/>
  <c r="W546" i="25"/>
  <c r="U547" i="25"/>
  <c r="V547" i="25"/>
  <c r="W547" i="25"/>
  <c r="U548" i="25"/>
  <c r="V548" i="25"/>
  <c r="W548" i="25"/>
  <c r="U549" i="25"/>
  <c r="V549" i="25"/>
  <c r="W549" i="25"/>
  <c r="U550" i="25"/>
  <c r="V550" i="25"/>
  <c r="W550" i="25"/>
  <c r="U551" i="25"/>
  <c r="V551" i="25"/>
  <c r="W551" i="25"/>
  <c r="U552" i="25"/>
  <c r="V552" i="25"/>
  <c r="W552" i="25"/>
  <c r="U553" i="25"/>
  <c r="V553" i="25"/>
  <c r="W553" i="25"/>
  <c r="U554" i="25"/>
  <c r="V554" i="25"/>
  <c r="W554" i="25"/>
  <c r="U555" i="25"/>
  <c r="V555" i="25"/>
  <c r="W555" i="25"/>
  <c r="U556" i="25"/>
  <c r="V556" i="25"/>
  <c r="W556" i="25"/>
  <c r="U557" i="25"/>
  <c r="V557" i="25"/>
  <c r="W557" i="25"/>
  <c r="U558" i="25"/>
  <c r="V558" i="25"/>
  <c r="W558" i="25"/>
  <c r="U559" i="25"/>
  <c r="V559" i="25"/>
  <c r="W559" i="25"/>
  <c r="U560" i="25"/>
  <c r="V560" i="25"/>
  <c r="W560" i="25"/>
  <c r="U561" i="25"/>
  <c r="V561" i="25"/>
  <c r="W561" i="25"/>
  <c r="U562" i="25"/>
  <c r="V562" i="25"/>
  <c r="W562" i="25"/>
  <c r="U563" i="25"/>
  <c r="V563" i="25"/>
  <c r="W563" i="25"/>
  <c r="U564" i="25"/>
  <c r="V564" i="25"/>
  <c r="W564" i="25"/>
  <c r="U565" i="25"/>
  <c r="V565" i="25"/>
  <c r="W565" i="25"/>
  <c r="U566" i="25"/>
  <c r="V566" i="25"/>
  <c r="W566" i="25"/>
  <c r="U567" i="25"/>
  <c r="V567" i="25"/>
  <c r="W567" i="25"/>
  <c r="U568" i="25"/>
  <c r="V568" i="25"/>
  <c r="W568" i="25"/>
  <c r="U569" i="25"/>
  <c r="V569" i="25"/>
  <c r="W569" i="25"/>
  <c r="U570" i="25"/>
  <c r="V570" i="25"/>
  <c r="W570" i="25"/>
  <c r="U571" i="25"/>
  <c r="V571" i="25"/>
  <c r="W571" i="25"/>
  <c r="U572" i="25"/>
  <c r="V572" i="25"/>
  <c r="W572" i="25"/>
  <c r="U573" i="25"/>
  <c r="V573" i="25"/>
  <c r="W573" i="25"/>
  <c r="U574" i="25"/>
  <c r="V574" i="25"/>
  <c r="W574" i="25"/>
  <c r="U575" i="25"/>
  <c r="V575" i="25"/>
  <c r="W575" i="25"/>
  <c r="U576" i="25"/>
  <c r="V576" i="25"/>
  <c r="W576" i="25"/>
  <c r="U577" i="25"/>
  <c r="V577" i="25"/>
  <c r="W577" i="25"/>
  <c r="U578" i="25"/>
  <c r="V578" i="25"/>
  <c r="W578" i="25"/>
  <c r="U579" i="25"/>
  <c r="V579" i="25"/>
  <c r="W579" i="25"/>
  <c r="U580" i="25"/>
  <c r="V580" i="25"/>
  <c r="W580" i="25"/>
  <c r="U581" i="25"/>
  <c r="V581" i="25"/>
  <c r="W581" i="25"/>
  <c r="U582" i="25"/>
  <c r="V582" i="25"/>
  <c r="W582" i="25"/>
  <c r="U583" i="25"/>
  <c r="V583" i="25"/>
  <c r="W583" i="25"/>
  <c r="U584" i="25"/>
  <c r="V584" i="25"/>
  <c r="W584" i="25"/>
  <c r="U585" i="25"/>
  <c r="V585" i="25"/>
  <c r="W585" i="25"/>
  <c r="U586" i="25"/>
  <c r="V586" i="25"/>
  <c r="W586" i="25"/>
  <c r="U587" i="25"/>
  <c r="V587" i="25"/>
  <c r="W587" i="25"/>
  <c r="U588" i="25"/>
  <c r="V588" i="25"/>
  <c r="W588" i="25"/>
  <c r="U589" i="25"/>
  <c r="V589" i="25"/>
  <c r="W589" i="25"/>
  <c r="U590" i="25"/>
  <c r="V590" i="25"/>
  <c r="W590" i="25"/>
  <c r="U591" i="25"/>
  <c r="V591" i="25"/>
  <c r="W591" i="25"/>
  <c r="U592" i="25"/>
  <c r="V592" i="25"/>
  <c r="W592" i="25"/>
  <c r="U593" i="25"/>
  <c r="V593" i="25"/>
  <c r="W593" i="25"/>
  <c r="U594" i="25"/>
  <c r="V594" i="25"/>
  <c r="W594" i="25"/>
  <c r="U595" i="25"/>
  <c r="V595" i="25"/>
  <c r="W595" i="25"/>
  <c r="U596" i="25"/>
  <c r="V596" i="25"/>
  <c r="W596" i="25"/>
  <c r="U597" i="25"/>
  <c r="V597" i="25"/>
  <c r="W597" i="25"/>
  <c r="U598" i="25"/>
  <c r="V598" i="25"/>
  <c r="W598" i="25"/>
  <c r="U599" i="25"/>
  <c r="V599" i="25"/>
  <c r="W599" i="25"/>
  <c r="U600" i="25"/>
  <c r="V600" i="25"/>
  <c r="W600" i="25"/>
  <c r="U601" i="25"/>
  <c r="V601" i="25"/>
  <c r="W601" i="25"/>
  <c r="U602" i="25"/>
  <c r="V602" i="25"/>
  <c r="W602" i="25"/>
  <c r="U603" i="25"/>
  <c r="V603" i="25"/>
  <c r="W603" i="25"/>
  <c r="U604" i="25"/>
  <c r="V604" i="25"/>
  <c r="W604" i="25"/>
  <c r="U605" i="25"/>
  <c r="V605" i="25"/>
  <c r="W605" i="25"/>
  <c r="U606" i="25"/>
  <c r="V606" i="25"/>
  <c r="W606" i="25"/>
  <c r="U607" i="25"/>
  <c r="V607" i="25"/>
  <c r="W607" i="25"/>
  <c r="U608" i="25"/>
  <c r="V608" i="25"/>
  <c r="W608" i="25"/>
  <c r="U609" i="25"/>
  <c r="V609" i="25"/>
  <c r="W609" i="25"/>
  <c r="U610" i="25"/>
  <c r="V610" i="25"/>
  <c r="W610" i="25"/>
  <c r="U611" i="25"/>
  <c r="V611" i="25"/>
  <c r="W611" i="25"/>
  <c r="U612" i="25"/>
  <c r="V612" i="25"/>
  <c r="W612" i="25"/>
  <c r="U613" i="25"/>
  <c r="V613" i="25"/>
  <c r="W613" i="25"/>
  <c r="U614" i="25"/>
  <c r="V614" i="25"/>
  <c r="W614" i="25"/>
  <c r="U615" i="25"/>
  <c r="V615" i="25"/>
  <c r="W615" i="25"/>
  <c r="U616" i="25"/>
  <c r="V616" i="25"/>
  <c r="W616" i="25"/>
  <c r="U617" i="25"/>
  <c r="V617" i="25"/>
  <c r="W617" i="25"/>
  <c r="U618" i="25"/>
  <c r="V618" i="25"/>
  <c r="W618" i="25"/>
  <c r="U619" i="25"/>
  <c r="V619" i="25"/>
  <c r="W619" i="25"/>
  <c r="U620" i="25"/>
  <c r="V620" i="25"/>
  <c r="W620" i="25"/>
  <c r="U621" i="25"/>
  <c r="V621" i="25"/>
  <c r="W621" i="25"/>
  <c r="U622" i="25"/>
  <c r="V622" i="25"/>
  <c r="W622" i="25"/>
  <c r="U623" i="25"/>
  <c r="V623" i="25"/>
  <c r="W623" i="25"/>
  <c r="U624" i="25"/>
  <c r="V624" i="25"/>
  <c r="W624" i="25"/>
  <c r="U625" i="25"/>
  <c r="V625" i="25"/>
  <c r="W625" i="25"/>
  <c r="U626" i="25"/>
  <c r="V626" i="25"/>
  <c r="W626" i="25"/>
  <c r="U627" i="25"/>
  <c r="V627" i="25"/>
  <c r="W627" i="25"/>
  <c r="U628" i="25"/>
  <c r="V628" i="25"/>
  <c r="W628" i="25"/>
  <c r="U629" i="25"/>
  <c r="V629" i="25"/>
  <c r="W629" i="25"/>
  <c r="U630" i="25"/>
  <c r="V630" i="25"/>
  <c r="W630" i="25"/>
  <c r="U631" i="25"/>
  <c r="V631" i="25"/>
  <c r="W631" i="25"/>
  <c r="U632" i="25"/>
  <c r="V632" i="25"/>
  <c r="W632" i="25"/>
  <c r="U633" i="25"/>
  <c r="V633" i="25"/>
  <c r="W633" i="25"/>
  <c r="U634" i="25"/>
  <c r="V634" i="25"/>
  <c r="W634" i="25"/>
  <c r="U635" i="25"/>
  <c r="V635" i="25"/>
  <c r="W635" i="25"/>
  <c r="U636" i="25"/>
  <c r="V636" i="25"/>
  <c r="W636" i="25"/>
  <c r="U637" i="25"/>
  <c r="V637" i="25"/>
  <c r="W637" i="25"/>
  <c r="U638" i="25"/>
  <c r="V638" i="25"/>
  <c r="W638" i="25"/>
  <c r="U639" i="25"/>
  <c r="V639" i="25"/>
  <c r="W639" i="25"/>
  <c r="U640" i="25"/>
  <c r="V640" i="25"/>
  <c r="W640" i="25"/>
  <c r="U641" i="25"/>
  <c r="V641" i="25"/>
  <c r="W641" i="25"/>
  <c r="U642" i="25"/>
  <c r="V642" i="25"/>
  <c r="W642" i="25"/>
  <c r="U643" i="25"/>
  <c r="V643" i="25"/>
  <c r="W643" i="25"/>
  <c r="U644" i="25"/>
  <c r="V644" i="25"/>
  <c r="W644" i="25"/>
  <c r="U645" i="25"/>
  <c r="V645" i="25"/>
  <c r="W645" i="25"/>
  <c r="U646" i="25"/>
  <c r="V646" i="25"/>
  <c r="W646" i="25"/>
  <c r="U647" i="25"/>
  <c r="V647" i="25"/>
  <c r="W647" i="25"/>
  <c r="U648" i="25"/>
  <c r="V648" i="25"/>
  <c r="W648" i="25"/>
  <c r="U649" i="25"/>
  <c r="V649" i="25"/>
  <c r="W649" i="25"/>
  <c r="U650" i="25"/>
  <c r="V650" i="25"/>
  <c r="W650" i="25"/>
  <c r="U651" i="25"/>
  <c r="V651" i="25"/>
  <c r="W651" i="25"/>
  <c r="U652" i="25"/>
  <c r="V652" i="25"/>
  <c r="W652" i="25"/>
  <c r="U653" i="25"/>
  <c r="V653" i="25"/>
  <c r="W653" i="25"/>
  <c r="U654" i="25"/>
  <c r="V654" i="25"/>
  <c r="W654" i="25"/>
  <c r="U655" i="25"/>
  <c r="V655" i="25"/>
  <c r="W655" i="25"/>
  <c r="U656" i="25"/>
  <c r="V656" i="25"/>
  <c r="W656" i="25"/>
  <c r="U657" i="25"/>
  <c r="V657" i="25"/>
  <c r="W657" i="25"/>
  <c r="U658" i="25"/>
  <c r="V658" i="25"/>
  <c r="W658" i="25"/>
  <c r="U659" i="25"/>
  <c r="V659" i="25"/>
  <c r="W659" i="25"/>
  <c r="U660" i="25"/>
  <c r="V660" i="25"/>
  <c r="W660" i="25"/>
  <c r="U661" i="25"/>
  <c r="V661" i="25"/>
  <c r="W661" i="25"/>
  <c r="U662" i="25"/>
  <c r="V662" i="25"/>
  <c r="W662" i="25"/>
  <c r="U663" i="25"/>
  <c r="V663" i="25"/>
  <c r="W663" i="25"/>
  <c r="U664" i="25"/>
  <c r="V664" i="25"/>
  <c r="W664" i="25"/>
  <c r="U665" i="25"/>
  <c r="V665" i="25"/>
  <c r="W665" i="25"/>
  <c r="U666" i="25"/>
  <c r="V666" i="25"/>
  <c r="W666" i="25"/>
  <c r="U667" i="25"/>
  <c r="V667" i="25"/>
  <c r="W667" i="25"/>
  <c r="U668" i="25"/>
  <c r="V668" i="25"/>
  <c r="W668" i="25"/>
  <c r="U669" i="25"/>
  <c r="V669" i="25"/>
  <c r="W669" i="25"/>
  <c r="U670" i="25"/>
  <c r="V670" i="25"/>
  <c r="W670" i="25"/>
  <c r="U671" i="25"/>
  <c r="V671" i="25"/>
  <c r="W671" i="25"/>
  <c r="U672" i="25"/>
  <c r="V672" i="25"/>
  <c r="W672" i="25"/>
  <c r="U673" i="25"/>
  <c r="V673" i="25"/>
  <c r="W673" i="25"/>
  <c r="U674" i="25"/>
  <c r="V674" i="25"/>
  <c r="W674" i="25"/>
  <c r="U675" i="25"/>
  <c r="V675" i="25"/>
  <c r="W675" i="25"/>
  <c r="U676" i="25"/>
  <c r="V676" i="25"/>
  <c r="W676" i="25"/>
  <c r="U677" i="25"/>
  <c r="V677" i="25"/>
  <c r="W677" i="25"/>
  <c r="U678" i="25"/>
  <c r="V678" i="25"/>
  <c r="W678" i="25"/>
  <c r="U679" i="25"/>
  <c r="V679" i="25"/>
  <c r="W679" i="25"/>
  <c r="U680" i="25"/>
  <c r="V680" i="25"/>
  <c r="W680" i="25"/>
  <c r="U681" i="25"/>
  <c r="V681" i="25"/>
  <c r="W681" i="25"/>
  <c r="U682" i="25"/>
  <c r="V682" i="25"/>
  <c r="W682" i="25"/>
  <c r="U683" i="25"/>
  <c r="V683" i="25"/>
  <c r="W683" i="25"/>
  <c r="U684" i="25"/>
  <c r="V684" i="25"/>
  <c r="W684" i="25"/>
  <c r="U685" i="25"/>
  <c r="V685" i="25"/>
  <c r="W685" i="25"/>
  <c r="U686" i="25"/>
  <c r="V686" i="25"/>
  <c r="W686" i="25"/>
  <c r="U687" i="25"/>
  <c r="V687" i="25"/>
  <c r="W687" i="25"/>
  <c r="U688" i="25"/>
  <c r="V688" i="25"/>
  <c r="W688" i="25"/>
  <c r="U689" i="25"/>
  <c r="V689" i="25"/>
  <c r="W689" i="25"/>
  <c r="U690" i="25"/>
  <c r="V690" i="25"/>
  <c r="W690" i="25"/>
  <c r="U691" i="25"/>
  <c r="V691" i="25"/>
  <c r="W691" i="25"/>
  <c r="U692" i="25"/>
  <c r="V692" i="25"/>
  <c r="W692" i="25"/>
  <c r="U693" i="25"/>
  <c r="V693" i="25"/>
  <c r="W693" i="25"/>
  <c r="U694" i="25"/>
  <c r="V694" i="25"/>
  <c r="W694" i="25"/>
  <c r="U695" i="25"/>
  <c r="V695" i="25"/>
  <c r="W695" i="25"/>
  <c r="U696" i="25"/>
  <c r="V696" i="25"/>
  <c r="W696" i="25"/>
  <c r="U697" i="25"/>
  <c r="V697" i="25"/>
  <c r="W697" i="25"/>
  <c r="U698" i="25"/>
  <c r="V698" i="25"/>
  <c r="W698" i="25"/>
  <c r="U699" i="25"/>
  <c r="V699" i="25"/>
  <c r="W699" i="25"/>
  <c r="U700" i="25"/>
  <c r="V700" i="25"/>
  <c r="W700" i="25"/>
  <c r="U701" i="25"/>
  <c r="V701" i="25"/>
  <c r="W701" i="25"/>
  <c r="U702" i="25"/>
  <c r="V702" i="25"/>
  <c r="W702" i="25"/>
  <c r="U703" i="25"/>
  <c r="V703" i="25"/>
  <c r="W703" i="25"/>
  <c r="U704" i="25"/>
  <c r="V704" i="25"/>
  <c r="W704" i="25"/>
  <c r="U705" i="25"/>
  <c r="V705" i="25"/>
  <c r="W705" i="25"/>
  <c r="U706" i="25"/>
  <c r="V706" i="25"/>
  <c r="W706" i="25"/>
  <c r="U707" i="25"/>
  <c r="V707" i="25"/>
  <c r="W707" i="25"/>
  <c r="U708" i="25"/>
  <c r="V708" i="25"/>
  <c r="W708" i="25"/>
  <c r="U709" i="25"/>
  <c r="V709" i="25"/>
  <c r="W709" i="25"/>
  <c r="U710" i="25"/>
  <c r="V710" i="25"/>
  <c r="W710" i="25"/>
  <c r="U711" i="25"/>
  <c r="V711" i="25"/>
  <c r="W711" i="25"/>
  <c r="U712" i="25"/>
  <c r="V712" i="25"/>
  <c r="W712" i="25"/>
  <c r="U713" i="25"/>
  <c r="V713" i="25"/>
  <c r="W713" i="25"/>
  <c r="U714" i="25"/>
  <c r="V714" i="25"/>
  <c r="W714" i="25"/>
  <c r="U715" i="25"/>
  <c r="V715" i="25"/>
  <c r="W715" i="25"/>
  <c r="U716" i="25"/>
  <c r="V716" i="25"/>
  <c r="W716" i="25"/>
  <c r="U717" i="25"/>
  <c r="V717" i="25"/>
  <c r="W717" i="25"/>
  <c r="U718" i="25"/>
  <c r="V718" i="25"/>
  <c r="W718" i="25"/>
  <c r="U719" i="25"/>
  <c r="V719" i="25"/>
  <c r="W719" i="25"/>
  <c r="U720" i="25"/>
  <c r="V720" i="25"/>
  <c r="W720" i="25"/>
  <c r="U721" i="25"/>
  <c r="V721" i="25"/>
  <c r="W721" i="25"/>
  <c r="U722" i="25"/>
  <c r="V722" i="25"/>
  <c r="W722" i="25"/>
  <c r="U723" i="25"/>
  <c r="V723" i="25"/>
  <c r="W723" i="25"/>
  <c r="U724" i="25"/>
  <c r="V724" i="25"/>
  <c r="W724" i="25"/>
  <c r="U725" i="25"/>
  <c r="V725" i="25"/>
  <c r="W725" i="25"/>
  <c r="U726" i="25"/>
  <c r="V726" i="25"/>
  <c r="W726" i="25"/>
  <c r="U727" i="25"/>
  <c r="V727" i="25"/>
  <c r="W727" i="25"/>
  <c r="U728" i="25"/>
  <c r="V728" i="25"/>
  <c r="W728" i="25"/>
  <c r="U729" i="25"/>
  <c r="V729" i="25"/>
  <c r="W729" i="25"/>
  <c r="U730" i="25"/>
  <c r="V730" i="25"/>
  <c r="W730" i="25"/>
  <c r="U731" i="25"/>
  <c r="V731" i="25"/>
  <c r="W731" i="25"/>
  <c r="U732" i="25"/>
  <c r="V732" i="25"/>
  <c r="W732" i="25"/>
  <c r="U733" i="25"/>
  <c r="V733" i="25"/>
  <c r="W733" i="25"/>
  <c r="U734" i="25"/>
  <c r="V734" i="25"/>
  <c r="W734" i="25"/>
  <c r="U735" i="25"/>
  <c r="V735" i="25"/>
  <c r="W735" i="25"/>
  <c r="U736" i="25"/>
  <c r="V736" i="25"/>
  <c r="W736" i="25"/>
  <c r="U737" i="25"/>
  <c r="V737" i="25"/>
  <c r="W737" i="25"/>
  <c r="U738" i="25"/>
  <c r="V738" i="25"/>
  <c r="W738" i="25"/>
  <c r="U739" i="25"/>
  <c r="V739" i="25"/>
  <c r="W739" i="25"/>
  <c r="U740" i="25"/>
  <c r="V740" i="25"/>
  <c r="W740" i="25"/>
  <c r="U741" i="25"/>
  <c r="V741" i="25"/>
  <c r="W741" i="25"/>
  <c r="U742" i="25"/>
  <c r="V742" i="25"/>
  <c r="W742" i="25"/>
  <c r="U743" i="25"/>
  <c r="V743" i="25"/>
  <c r="W743" i="25"/>
  <c r="U744" i="25"/>
  <c r="V744" i="25"/>
  <c r="W744" i="25"/>
  <c r="U745" i="25"/>
  <c r="V745" i="25"/>
  <c r="W745" i="25"/>
  <c r="U746" i="25"/>
  <c r="V746" i="25"/>
  <c r="W746" i="25"/>
  <c r="U747" i="25"/>
  <c r="V747" i="25"/>
  <c r="W747" i="25"/>
  <c r="U748" i="25"/>
  <c r="V748" i="25"/>
  <c r="W748" i="25"/>
  <c r="U749" i="25"/>
  <c r="V749" i="25"/>
  <c r="W749" i="25"/>
  <c r="U750" i="25"/>
  <c r="V750" i="25"/>
  <c r="W750" i="25"/>
  <c r="U751" i="25"/>
  <c r="V751" i="25"/>
  <c r="W751" i="25"/>
  <c r="U752" i="25"/>
  <c r="V752" i="25"/>
  <c r="W752" i="25"/>
  <c r="U753" i="25"/>
  <c r="V753" i="25"/>
  <c r="W753" i="25"/>
  <c r="U754" i="25"/>
  <c r="V754" i="25"/>
  <c r="W754" i="25"/>
  <c r="U755" i="25"/>
  <c r="V755" i="25"/>
  <c r="W755" i="25"/>
  <c r="U756" i="25"/>
  <c r="V756" i="25"/>
  <c r="W756" i="25"/>
  <c r="U757" i="25"/>
  <c r="V757" i="25"/>
  <c r="W757" i="25"/>
  <c r="U758" i="25"/>
  <c r="V758" i="25"/>
  <c r="W758" i="25"/>
  <c r="U759" i="25"/>
  <c r="V759" i="25"/>
  <c r="W759" i="25"/>
  <c r="U760" i="25"/>
  <c r="V760" i="25"/>
  <c r="W760" i="25"/>
  <c r="U761" i="25"/>
  <c r="V761" i="25"/>
  <c r="W761" i="25"/>
  <c r="U762" i="25"/>
  <c r="V762" i="25"/>
  <c r="W762" i="25"/>
  <c r="U763" i="25"/>
  <c r="V763" i="25"/>
  <c r="W763" i="25"/>
  <c r="U764" i="25"/>
  <c r="V764" i="25"/>
  <c r="W764" i="25"/>
  <c r="U765" i="25"/>
  <c r="V765" i="25"/>
  <c r="W765" i="25"/>
  <c r="U766" i="25"/>
  <c r="V766" i="25"/>
  <c r="W766" i="25"/>
  <c r="U767" i="25"/>
  <c r="V767" i="25"/>
  <c r="W767" i="25"/>
  <c r="U768" i="25"/>
  <c r="V768" i="25"/>
  <c r="W768" i="25"/>
  <c r="U769" i="25"/>
  <c r="V769" i="25"/>
  <c r="W769" i="25"/>
  <c r="U770" i="25"/>
  <c r="V770" i="25"/>
  <c r="W770" i="25"/>
  <c r="U771" i="25"/>
  <c r="V771" i="25"/>
  <c r="W771" i="25"/>
  <c r="U772" i="25"/>
  <c r="V772" i="25"/>
  <c r="W772" i="25"/>
  <c r="U773" i="25"/>
  <c r="V773" i="25"/>
  <c r="W773" i="25"/>
  <c r="U774" i="25"/>
  <c r="V774" i="25"/>
  <c r="W774" i="25"/>
  <c r="U775" i="25"/>
  <c r="V775" i="25"/>
  <c r="W775" i="25"/>
  <c r="U776" i="25"/>
  <c r="V776" i="25"/>
  <c r="W776" i="25"/>
  <c r="U777" i="25"/>
  <c r="V777" i="25"/>
  <c r="W777" i="25"/>
  <c r="U778" i="25"/>
  <c r="V778" i="25"/>
  <c r="W778" i="25"/>
  <c r="U779" i="25"/>
  <c r="V779" i="25"/>
  <c r="W779" i="25"/>
  <c r="U780" i="25"/>
  <c r="V780" i="25"/>
  <c r="W780" i="25"/>
  <c r="U781" i="25"/>
  <c r="V781" i="25"/>
  <c r="W781" i="25"/>
  <c r="U782" i="25"/>
  <c r="V782" i="25"/>
  <c r="W782" i="25"/>
  <c r="U783" i="25"/>
  <c r="V783" i="25"/>
  <c r="W783" i="25"/>
  <c r="U784" i="25"/>
  <c r="V784" i="25"/>
  <c r="W784" i="25"/>
  <c r="V5" i="25"/>
  <c r="W5" i="25"/>
  <c r="U5" i="25"/>
  <c r="B79" i="14" l="1"/>
  <c r="D80" i="14"/>
  <c r="C80" i="14"/>
  <c r="B80" i="14"/>
  <c r="D79" i="14"/>
  <c r="C79" i="14"/>
  <c r="B3" i="16" l="1"/>
  <c r="B8" i="16"/>
  <c r="B20" i="16"/>
  <c r="B32" i="16"/>
  <c r="B9" i="16"/>
  <c r="B21" i="16"/>
  <c r="B33" i="16"/>
  <c r="B22" i="16"/>
  <c r="B34" i="16"/>
  <c r="B11" i="16"/>
  <c r="B35" i="16"/>
  <c r="B36" i="16"/>
  <c r="B25" i="16"/>
  <c r="B26" i="16"/>
  <c r="B15" i="16"/>
  <c r="B4" i="16"/>
  <c r="B29" i="16"/>
  <c r="B10" i="16"/>
  <c r="B12" i="16"/>
  <c r="B16" i="16"/>
  <c r="B5" i="16"/>
  <c r="B30" i="16"/>
  <c r="B19" i="16"/>
  <c r="B6" i="16"/>
  <c r="B23" i="16"/>
  <c r="B24" i="16"/>
  <c r="B13" i="16"/>
  <c r="B14" i="16"/>
  <c r="B27" i="16"/>
  <c r="B28" i="16"/>
  <c r="B17" i="16"/>
  <c r="B31" i="16"/>
  <c r="B18" i="16"/>
  <c r="B7" i="16"/>
  <c r="C5" i="16"/>
  <c r="C17" i="16"/>
  <c r="C29" i="16"/>
  <c r="C18" i="16"/>
  <c r="C7" i="16"/>
  <c r="C19" i="16"/>
  <c r="C31" i="16"/>
  <c r="C9" i="16"/>
  <c r="C21" i="16"/>
  <c r="C33" i="16"/>
  <c r="C10" i="16"/>
  <c r="C34" i="16"/>
  <c r="C11" i="16"/>
  <c r="C35" i="16"/>
  <c r="C24" i="16"/>
  <c r="C14" i="16"/>
  <c r="C27" i="16"/>
  <c r="C28" i="16"/>
  <c r="C6" i="16"/>
  <c r="C30" i="16"/>
  <c r="C22" i="16"/>
  <c r="C23" i="16"/>
  <c r="C4" i="16"/>
  <c r="C8" i="16"/>
  <c r="C20" i="16"/>
  <c r="C32" i="16"/>
  <c r="C36" i="16"/>
  <c r="C25" i="16"/>
  <c r="C3" i="16"/>
  <c r="C16" i="16"/>
  <c r="C12" i="16"/>
  <c r="C13" i="16"/>
  <c r="C15" i="16"/>
  <c r="C26" i="16"/>
  <c r="D4" i="16"/>
  <c r="D16" i="16"/>
  <c r="D28" i="16"/>
  <c r="D6" i="16"/>
  <c r="D30" i="16"/>
  <c r="D20" i="16"/>
  <c r="D9" i="16"/>
  <c r="D21" i="16"/>
  <c r="D10" i="16"/>
  <c r="D11" i="16"/>
  <c r="D35" i="16"/>
  <c r="D36" i="16"/>
  <c r="D13" i="16"/>
  <c r="D5" i="16"/>
  <c r="D17" i="16"/>
  <c r="D29" i="16"/>
  <c r="D18" i="16"/>
  <c r="D8" i="16"/>
  <c r="D22" i="16"/>
  <c r="D25" i="16"/>
  <c r="D26" i="16"/>
  <c r="D24" i="16"/>
  <c r="D7" i="16"/>
  <c r="D19" i="16"/>
  <c r="D31" i="16"/>
  <c r="D32" i="16"/>
  <c r="D33" i="16"/>
  <c r="D34" i="16"/>
  <c r="D23" i="16"/>
  <c r="D3" i="16"/>
  <c r="D12" i="16"/>
  <c r="D15" i="16"/>
  <c r="D14" i="16"/>
  <c r="D27" i="16"/>
  <c r="AA3" i="14"/>
  <c r="Q80" i="14" l="1"/>
  <c r="Q79" i="14"/>
  <c r="Q7" i="16" l="1"/>
  <c r="Q58" i="16"/>
  <c r="Q35" i="16"/>
  <c r="Q59" i="16"/>
  <c r="Q23" i="16"/>
  <c r="Q71" i="16"/>
  <c r="Q47" i="16"/>
  <c r="Q11" i="16"/>
  <c r="Q54" i="16"/>
  <c r="Q30" i="16"/>
  <c r="Q3" i="16"/>
  <c r="Q65" i="16"/>
  <c r="Q53" i="16"/>
  <c r="Q41" i="16"/>
  <c r="Q29" i="16"/>
  <c r="Q17" i="16"/>
  <c r="Q5" i="16"/>
  <c r="Q18" i="16"/>
  <c r="Q76" i="16"/>
  <c r="Q64" i="16"/>
  <c r="Q52" i="16"/>
  <c r="Q40" i="16"/>
  <c r="Q28" i="16"/>
  <c r="Q16" i="16"/>
  <c r="Q4" i="16"/>
  <c r="Q46" i="16"/>
  <c r="Q66" i="16"/>
  <c r="Q42" i="16"/>
  <c r="Q6" i="16"/>
  <c r="Q75" i="16"/>
  <c r="Q63" i="16"/>
  <c r="Q51" i="16"/>
  <c r="Q39" i="16"/>
  <c r="Q27" i="16"/>
  <c r="Q15" i="16"/>
  <c r="Q70" i="16"/>
  <c r="Q74" i="16"/>
  <c r="Q62" i="16"/>
  <c r="Q50" i="16"/>
  <c r="Q38" i="16"/>
  <c r="Q14" i="16"/>
  <c r="Q10" i="16"/>
  <c r="Q26" i="16"/>
  <c r="Q73" i="16"/>
  <c r="Q61" i="16"/>
  <c r="Q49" i="16"/>
  <c r="Q37" i="16"/>
  <c r="Q25" i="16"/>
  <c r="Q13" i="16"/>
  <c r="Q72" i="16"/>
  <c r="Q60" i="16"/>
  <c r="Q48" i="16"/>
  <c r="Q36" i="16"/>
  <c r="Q24" i="16"/>
  <c r="Q12" i="16"/>
  <c r="Q69" i="16"/>
  <c r="Q57" i="16"/>
  <c r="Q45" i="16"/>
  <c r="Q33" i="16"/>
  <c r="Q21" i="16"/>
  <c r="Q9" i="16"/>
  <c r="Q34" i="16"/>
  <c r="Q68" i="16"/>
  <c r="Q56" i="16"/>
  <c r="Q44" i="16"/>
  <c r="Q20" i="16"/>
  <c r="Q8" i="16"/>
  <c r="Q22" i="16"/>
  <c r="Q32" i="16"/>
  <c r="Q67" i="16"/>
  <c r="Q55" i="16"/>
  <c r="Q43" i="16"/>
  <c r="Q31" i="16"/>
  <c r="Q19" i="16"/>
  <c r="Q80" i="16" l="1"/>
  <c r="Q79" i="16"/>
  <c r="H80" i="14"/>
  <c r="I80" i="14"/>
  <c r="H79" i="14"/>
  <c r="I79" i="14"/>
  <c r="G80" i="14"/>
  <c r="G79" i="14"/>
  <c r="L80" i="14"/>
  <c r="L79" i="14"/>
  <c r="V80" i="14"/>
  <c r="V79" i="14"/>
  <c r="R80" i="14"/>
  <c r="S80" i="14"/>
  <c r="R79" i="14"/>
  <c r="S79" i="14"/>
  <c r="I14" i="16" l="1"/>
  <c r="I26" i="16"/>
  <c r="I32" i="16"/>
  <c r="I8" i="16"/>
  <c r="I20" i="16"/>
  <c r="I4" i="16"/>
  <c r="I10" i="16"/>
  <c r="I16" i="16"/>
  <c r="I22" i="16"/>
  <c r="I28" i="16"/>
  <c r="I34" i="16"/>
  <c r="I11" i="16"/>
  <c r="I23" i="16"/>
  <c r="I29" i="16"/>
  <c r="I5" i="16"/>
  <c r="I17" i="16"/>
  <c r="I35" i="16"/>
  <c r="I7" i="16"/>
  <c r="I19" i="16"/>
  <c r="I31" i="16"/>
  <c r="I6" i="16"/>
  <c r="I12" i="16"/>
  <c r="I18" i="16"/>
  <c r="I24" i="16"/>
  <c r="I30" i="16"/>
  <c r="I36" i="16"/>
  <c r="I13" i="16"/>
  <c r="I25" i="16"/>
  <c r="I15" i="16"/>
  <c r="I33" i="16"/>
  <c r="I3" i="16"/>
  <c r="I9" i="16"/>
  <c r="I21" i="16"/>
  <c r="I27" i="16"/>
  <c r="H8" i="16"/>
  <c r="H14" i="16"/>
  <c r="H20" i="16"/>
  <c r="H26" i="16"/>
  <c r="H32" i="16"/>
  <c r="H3" i="16"/>
  <c r="H27" i="16"/>
  <c r="H9" i="16"/>
  <c r="H15" i="16"/>
  <c r="H33" i="16"/>
  <c r="H21" i="16"/>
  <c r="H5" i="16"/>
  <c r="H11" i="16"/>
  <c r="H17" i="16"/>
  <c r="H23" i="16"/>
  <c r="H29" i="16"/>
  <c r="H35" i="16"/>
  <c r="H6" i="16"/>
  <c r="H12" i="16"/>
  <c r="H18" i="16"/>
  <c r="H24" i="16"/>
  <c r="H30" i="16"/>
  <c r="H36" i="16"/>
  <c r="H7" i="16"/>
  <c r="H13" i="16"/>
  <c r="H19" i="16"/>
  <c r="H25" i="16"/>
  <c r="H31" i="16"/>
  <c r="H10" i="16"/>
  <c r="H34" i="16"/>
  <c r="H16" i="16"/>
  <c r="H22" i="16"/>
  <c r="H28" i="16"/>
  <c r="H4" i="16"/>
  <c r="S6" i="16"/>
  <c r="S12" i="16"/>
  <c r="S18" i="16"/>
  <c r="S24" i="16"/>
  <c r="S30" i="16"/>
  <c r="S36" i="16"/>
  <c r="S42" i="16"/>
  <c r="S48" i="16"/>
  <c r="S54" i="16"/>
  <c r="S60" i="16"/>
  <c r="S66" i="16"/>
  <c r="S72" i="16"/>
  <c r="S7" i="16"/>
  <c r="S13" i="16"/>
  <c r="S19" i="16"/>
  <c r="S25" i="16"/>
  <c r="S31" i="16"/>
  <c r="S37" i="16"/>
  <c r="S43" i="16"/>
  <c r="S49" i="16"/>
  <c r="S55" i="16"/>
  <c r="S61" i="16"/>
  <c r="S67" i="16"/>
  <c r="S73" i="16"/>
  <c r="S3" i="16"/>
  <c r="S9" i="16"/>
  <c r="S15" i="16"/>
  <c r="S21" i="16"/>
  <c r="S27" i="16"/>
  <c r="S33" i="16"/>
  <c r="S39" i="16"/>
  <c r="S45" i="16"/>
  <c r="S51" i="16"/>
  <c r="S57" i="16"/>
  <c r="S63" i="16"/>
  <c r="S69" i="16"/>
  <c r="S75" i="16"/>
  <c r="S4" i="16"/>
  <c r="S10" i="16"/>
  <c r="S16" i="16"/>
  <c r="S22" i="16"/>
  <c r="S28" i="16"/>
  <c r="S34" i="16"/>
  <c r="S40" i="16"/>
  <c r="S46" i="16"/>
  <c r="S52" i="16"/>
  <c r="S58" i="16"/>
  <c r="S64" i="16"/>
  <c r="S70" i="16"/>
  <c r="S76" i="16"/>
  <c r="S5" i="16"/>
  <c r="S11" i="16"/>
  <c r="S17" i="16"/>
  <c r="S23" i="16"/>
  <c r="S29" i="16"/>
  <c r="S35" i="16"/>
  <c r="S41" i="16"/>
  <c r="S47" i="16"/>
  <c r="S53" i="16"/>
  <c r="S59" i="16"/>
  <c r="S65" i="16"/>
  <c r="S71" i="16"/>
  <c r="S44" i="16"/>
  <c r="S74" i="16"/>
  <c r="S14" i="16"/>
  <c r="S26" i="16"/>
  <c r="S50" i="16"/>
  <c r="S56" i="16"/>
  <c r="S62" i="16"/>
  <c r="S68" i="16"/>
  <c r="S8" i="16"/>
  <c r="S20" i="16"/>
  <c r="S32" i="16"/>
  <c r="S38" i="16"/>
  <c r="R8" i="16"/>
  <c r="R62" i="16"/>
  <c r="R7" i="16"/>
  <c r="R13" i="16"/>
  <c r="R19" i="16"/>
  <c r="R25" i="16"/>
  <c r="R31" i="16"/>
  <c r="R37" i="16"/>
  <c r="R43" i="16"/>
  <c r="R49" i="16"/>
  <c r="R55" i="16"/>
  <c r="R61" i="16"/>
  <c r="R67" i="16"/>
  <c r="R73" i="16"/>
  <c r="R14" i="16"/>
  <c r="R56" i="16"/>
  <c r="R68" i="16"/>
  <c r="R20" i="16"/>
  <c r="R3" i="16"/>
  <c r="R9" i="16"/>
  <c r="R15" i="16"/>
  <c r="R21" i="16"/>
  <c r="R27" i="16"/>
  <c r="R33" i="16"/>
  <c r="R39" i="16"/>
  <c r="R45" i="16"/>
  <c r="R51" i="16"/>
  <c r="R57" i="16"/>
  <c r="R63" i="16"/>
  <c r="R69" i="16"/>
  <c r="R75" i="16"/>
  <c r="R44" i="16"/>
  <c r="R4" i="16"/>
  <c r="R10" i="16"/>
  <c r="R16" i="16"/>
  <c r="R22" i="16"/>
  <c r="R28" i="16"/>
  <c r="R34" i="16"/>
  <c r="R40" i="16"/>
  <c r="R46" i="16"/>
  <c r="R52" i="16"/>
  <c r="R58" i="16"/>
  <c r="R64" i="16"/>
  <c r="R70" i="16"/>
  <c r="R76" i="16"/>
  <c r="R38" i="16"/>
  <c r="R74" i="16"/>
  <c r="R12" i="16"/>
  <c r="R24" i="16"/>
  <c r="R42" i="16"/>
  <c r="R54" i="16"/>
  <c r="R66" i="16"/>
  <c r="R32" i="16"/>
  <c r="R5" i="16"/>
  <c r="R11" i="16"/>
  <c r="R17" i="16"/>
  <c r="R23" i="16"/>
  <c r="R29" i="16"/>
  <c r="R35" i="16"/>
  <c r="R41" i="16"/>
  <c r="R47" i="16"/>
  <c r="R53" i="16"/>
  <c r="R59" i="16"/>
  <c r="R65" i="16"/>
  <c r="R71" i="16"/>
  <c r="R36" i="16"/>
  <c r="R6" i="16"/>
  <c r="R18" i="16"/>
  <c r="R30" i="16"/>
  <c r="R48" i="16"/>
  <c r="R60" i="16"/>
  <c r="R72" i="16"/>
  <c r="R26" i="16"/>
  <c r="R50" i="16"/>
  <c r="G6" i="16"/>
  <c r="G18" i="16"/>
  <c r="G30" i="16"/>
  <c r="G19" i="16"/>
  <c r="G31" i="16"/>
  <c r="G8" i="16"/>
  <c r="G7" i="16"/>
  <c r="G20" i="16"/>
  <c r="G32" i="16"/>
  <c r="G12" i="16"/>
  <c r="G24" i="16"/>
  <c r="G36" i="16"/>
  <c r="G13" i="16"/>
  <c r="G25" i="16"/>
  <c r="G3" i="16"/>
  <c r="G14" i="16"/>
  <c r="G26" i="16"/>
  <c r="G17" i="16"/>
  <c r="G15" i="16"/>
  <c r="G27" i="16"/>
  <c r="G4" i="16"/>
  <c r="G16" i="16"/>
  <c r="G28" i="16"/>
  <c r="G5" i="16"/>
  <c r="G29" i="16"/>
  <c r="G21" i="16"/>
  <c r="G22" i="16"/>
  <c r="G9" i="16"/>
  <c r="G10" i="16"/>
  <c r="G23" i="16"/>
  <c r="G33" i="16"/>
  <c r="G34" i="16"/>
  <c r="G35" i="16"/>
  <c r="G11" i="16"/>
  <c r="V6" i="16"/>
  <c r="V18" i="16"/>
  <c r="V30" i="16"/>
  <c r="V42" i="16"/>
  <c r="V54" i="16"/>
  <c r="V66" i="16"/>
  <c r="V7" i="16"/>
  <c r="V19" i="16"/>
  <c r="V31" i="16"/>
  <c r="V43" i="16"/>
  <c r="V55" i="16"/>
  <c r="V67" i="16"/>
  <c r="V8" i="16"/>
  <c r="V20" i="16"/>
  <c r="V32" i="16"/>
  <c r="V44" i="16"/>
  <c r="V56" i="16"/>
  <c r="V3" i="16"/>
  <c r="V9" i="16"/>
  <c r="V21" i="16"/>
  <c r="V33" i="16"/>
  <c r="V45" i="16"/>
  <c r="V57" i="16"/>
  <c r="V10" i="16"/>
  <c r="V22" i="16"/>
  <c r="V34" i="16"/>
  <c r="V46" i="16"/>
  <c r="V58" i="16"/>
  <c r="V11" i="16"/>
  <c r="V23" i="16"/>
  <c r="V35" i="16"/>
  <c r="V47" i="16"/>
  <c r="V59" i="16"/>
  <c r="V12" i="16"/>
  <c r="V24" i="16"/>
  <c r="V36" i="16"/>
  <c r="V48" i="16"/>
  <c r="V60" i="16"/>
  <c r="V13" i="16"/>
  <c r="V25" i="16"/>
  <c r="V37" i="16"/>
  <c r="V49" i="16"/>
  <c r="V61" i="16"/>
  <c r="V14" i="16"/>
  <c r="V26" i="16"/>
  <c r="V38" i="16"/>
  <c r="V50" i="16"/>
  <c r="V62" i="16"/>
  <c r="V5" i="16"/>
  <c r="V41" i="16"/>
  <c r="V65" i="16"/>
  <c r="V15" i="16"/>
  <c r="V27" i="16"/>
  <c r="V39" i="16"/>
  <c r="V51" i="16"/>
  <c r="V63" i="16"/>
  <c r="V29" i="16"/>
  <c r="V4" i="16"/>
  <c r="V16" i="16"/>
  <c r="V28" i="16"/>
  <c r="V40" i="16"/>
  <c r="V52" i="16"/>
  <c r="V64" i="16"/>
  <c r="V17" i="16"/>
  <c r="V53" i="16"/>
  <c r="L7" i="16"/>
  <c r="L19" i="16"/>
  <c r="L31" i="16"/>
  <c r="L43" i="16"/>
  <c r="L55" i="16"/>
  <c r="L67" i="16"/>
  <c r="L8" i="16"/>
  <c r="L32" i="16"/>
  <c r="L56" i="16"/>
  <c r="L3" i="16"/>
  <c r="L20" i="16"/>
  <c r="L44" i="16"/>
  <c r="L9" i="16"/>
  <c r="L45" i="16"/>
  <c r="L21" i="16"/>
  <c r="L33" i="16"/>
  <c r="L57" i="16"/>
  <c r="L12" i="16"/>
  <c r="L24" i="16"/>
  <c r="L36" i="16"/>
  <c r="L48" i="16"/>
  <c r="L60" i="16"/>
  <c r="L13" i="16"/>
  <c r="L25" i="16"/>
  <c r="L37" i="16"/>
  <c r="L49" i="16"/>
  <c r="L61" i="16"/>
  <c r="L14" i="16"/>
  <c r="L38" i="16"/>
  <c r="L62" i="16"/>
  <c r="L66" i="16"/>
  <c r="L26" i="16"/>
  <c r="L50" i="16"/>
  <c r="L42" i="16"/>
  <c r="L15" i="16"/>
  <c r="L27" i="16"/>
  <c r="L39" i="16"/>
  <c r="L51" i="16"/>
  <c r="L63" i="16"/>
  <c r="L18" i="16"/>
  <c r="L4" i="16"/>
  <c r="L16" i="16"/>
  <c r="L28" i="16"/>
  <c r="L40" i="16"/>
  <c r="L52" i="16"/>
  <c r="L64" i="16"/>
  <c r="L30" i="16"/>
  <c r="L5" i="16"/>
  <c r="L17" i="16"/>
  <c r="L29" i="16"/>
  <c r="L41" i="16"/>
  <c r="L53" i="16"/>
  <c r="L65" i="16"/>
  <c r="L6" i="16"/>
  <c r="L54" i="16"/>
  <c r="L11" i="16"/>
  <c r="L47" i="16"/>
  <c r="L22" i="16"/>
  <c r="L23" i="16"/>
  <c r="L34" i="16"/>
  <c r="L35" i="16"/>
  <c r="L46" i="16"/>
  <c r="L58" i="16"/>
  <c r="L59" i="16"/>
  <c r="L10" i="16"/>
  <c r="S80" i="16" l="1"/>
  <c r="S79" i="16"/>
  <c r="R79" i="16"/>
  <c r="R80" i="16"/>
  <c r="I80" i="16"/>
  <c r="I79" i="16"/>
  <c r="V80" i="16"/>
  <c r="V79" i="16"/>
  <c r="H79" i="16"/>
  <c r="H80" i="16"/>
  <c r="G80" i="16"/>
  <c r="G79" i="16"/>
  <c r="L79" i="16"/>
  <c r="L80" i="16"/>
  <c r="X80" i="14"/>
  <c r="W80" i="14"/>
  <c r="N80" i="14"/>
  <c r="M80" i="14"/>
  <c r="X79" i="14"/>
  <c r="W79" i="14"/>
  <c r="N79" i="14"/>
  <c r="M79" i="14"/>
  <c r="AC76" i="14"/>
  <c r="AB76" i="14"/>
  <c r="AA76" i="14"/>
  <c r="AC75" i="14"/>
  <c r="AB75" i="14"/>
  <c r="AA75" i="14"/>
  <c r="AC74" i="14"/>
  <c r="AB74" i="14"/>
  <c r="AA74" i="14"/>
  <c r="AC73" i="14"/>
  <c r="AB73" i="14"/>
  <c r="AA73" i="14"/>
  <c r="AC72" i="14"/>
  <c r="AB72" i="14"/>
  <c r="AA72" i="14"/>
  <c r="AC71" i="14"/>
  <c r="AB71" i="14"/>
  <c r="AA71" i="14"/>
  <c r="AC70" i="14"/>
  <c r="AB70" i="14"/>
  <c r="AA70" i="14"/>
  <c r="AC69" i="14"/>
  <c r="AB69" i="14"/>
  <c r="AA69" i="14"/>
  <c r="AC68" i="14"/>
  <c r="AB68" i="14"/>
  <c r="AA68" i="14"/>
  <c r="AC67" i="14"/>
  <c r="AB67" i="14"/>
  <c r="AA67" i="14"/>
  <c r="AC66" i="14"/>
  <c r="AB66" i="14"/>
  <c r="AA66" i="14"/>
  <c r="AC65" i="14"/>
  <c r="AB65" i="14"/>
  <c r="AA65" i="14"/>
  <c r="AC64" i="14"/>
  <c r="AB64" i="14"/>
  <c r="AA64" i="14"/>
  <c r="AC63" i="14"/>
  <c r="AB63" i="14"/>
  <c r="AA63" i="14"/>
  <c r="AC62" i="14"/>
  <c r="AB62" i="14"/>
  <c r="AA62" i="14"/>
  <c r="AC61" i="14"/>
  <c r="AB61" i="14"/>
  <c r="AA61" i="14"/>
  <c r="AC60" i="14"/>
  <c r="AB60" i="14"/>
  <c r="AA60" i="14"/>
  <c r="AC59" i="14"/>
  <c r="AB59" i="14"/>
  <c r="AA59" i="14"/>
  <c r="AC58" i="14"/>
  <c r="AB58" i="14"/>
  <c r="AA58" i="14"/>
  <c r="AC57" i="14"/>
  <c r="AB57" i="14"/>
  <c r="AA57" i="14"/>
  <c r="AC56" i="14"/>
  <c r="AB56" i="14"/>
  <c r="AA56" i="14"/>
  <c r="AC55" i="14"/>
  <c r="AB55" i="14"/>
  <c r="AA55" i="14"/>
  <c r="AC54" i="14"/>
  <c r="AB54" i="14"/>
  <c r="AA54" i="14"/>
  <c r="AC53" i="14"/>
  <c r="AB53" i="14"/>
  <c r="AA53" i="14"/>
  <c r="AC52" i="14"/>
  <c r="AB52" i="14"/>
  <c r="AA52" i="14"/>
  <c r="AC51" i="14"/>
  <c r="AB51" i="14"/>
  <c r="AA51" i="14"/>
  <c r="AC50" i="14"/>
  <c r="AB50" i="14"/>
  <c r="AA50" i="14"/>
  <c r="AC49" i="14"/>
  <c r="AB49" i="14"/>
  <c r="AA49" i="14"/>
  <c r="AC48" i="14"/>
  <c r="AB48" i="14"/>
  <c r="AA48" i="14"/>
  <c r="AC47" i="14"/>
  <c r="AB47" i="14"/>
  <c r="AA47" i="14"/>
  <c r="AC46" i="14"/>
  <c r="AB46" i="14"/>
  <c r="AA46" i="14"/>
  <c r="AC45" i="14"/>
  <c r="AB45" i="14"/>
  <c r="AA45" i="14"/>
  <c r="AC44" i="14"/>
  <c r="AB44" i="14"/>
  <c r="AA44" i="14"/>
  <c r="AC43" i="14"/>
  <c r="AB43" i="14"/>
  <c r="AA43" i="14"/>
  <c r="AC42" i="14"/>
  <c r="AB42" i="14"/>
  <c r="AA42" i="14"/>
  <c r="AC41" i="14"/>
  <c r="AB41" i="14"/>
  <c r="AA41" i="14"/>
  <c r="AC40" i="14"/>
  <c r="AB40" i="14"/>
  <c r="AA40" i="14"/>
  <c r="AC39" i="14"/>
  <c r="AB39" i="14"/>
  <c r="AA39" i="14"/>
  <c r="AC38" i="14"/>
  <c r="AB38" i="14"/>
  <c r="AA38" i="14"/>
  <c r="AC37" i="14"/>
  <c r="AB37" i="14"/>
  <c r="AA37" i="14"/>
  <c r="AC36" i="14"/>
  <c r="AB36" i="14"/>
  <c r="AA36" i="14"/>
  <c r="AC35" i="14"/>
  <c r="AB35" i="14"/>
  <c r="AA35" i="14"/>
  <c r="AC34" i="14"/>
  <c r="AB34" i="14"/>
  <c r="AA34" i="14"/>
  <c r="AC33" i="14"/>
  <c r="AB33" i="14"/>
  <c r="AA33" i="14"/>
  <c r="AC32" i="14"/>
  <c r="AB32" i="14"/>
  <c r="AA32" i="14"/>
  <c r="AC31" i="14"/>
  <c r="AB31" i="14"/>
  <c r="AA31" i="14"/>
  <c r="AC30" i="14"/>
  <c r="AB30" i="14"/>
  <c r="AA30" i="14"/>
  <c r="AC29" i="14"/>
  <c r="AB29" i="14"/>
  <c r="AA29" i="14"/>
  <c r="AC28" i="14"/>
  <c r="AB28" i="14"/>
  <c r="AA28" i="14"/>
  <c r="AC27" i="14"/>
  <c r="AB27" i="14"/>
  <c r="AA27" i="14"/>
  <c r="AC26" i="14"/>
  <c r="AB26" i="14"/>
  <c r="AA26" i="14"/>
  <c r="AC25" i="14"/>
  <c r="AB25" i="14"/>
  <c r="AA25" i="14"/>
  <c r="AC24" i="14"/>
  <c r="AB24" i="14"/>
  <c r="AA24" i="14"/>
  <c r="AC23" i="14"/>
  <c r="AB23" i="14"/>
  <c r="AA23" i="14"/>
  <c r="AC22" i="14"/>
  <c r="AB22" i="14"/>
  <c r="AA22" i="14"/>
  <c r="AC21" i="14"/>
  <c r="AB21" i="14"/>
  <c r="AA21" i="14"/>
  <c r="AC20" i="14"/>
  <c r="AB20" i="14"/>
  <c r="AA20" i="14"/>
  <c r="AC19" i="14"/>
  <c r="AB19" i="14"/>
  <c r="AA19" i="14"/>
  <c r="AC18" i="14"/>
  <c r="AB18" i="14"/>
  <c r="AA18" i="14"/>
  <c r="AC17" i="14"/>
  <c r="AB17" i="14"/>
  <c r="AA17" i="14"/>
  <c r="AC16" i="14"/>
  <c r="AB16" i="14"/>
  <c r="AA16" i="14"/>
  <c r="AC15" i="14"/>
  <c r="AB15" i="14"/>
  <c r="AA15" i="14"/>
  <c r="AC14" i="14"/>
  <c r="AB14" i="14"/>
  <c r="AA14" i="14"/>
  <c r="AC13" i="14"/>
  <c r="AB13" i="14"/>
  <c r="AA13" i="14"/>
  <c r="AC12" i="14"/>
  <c r="AB12" i="14"/>
  <c r="AA12" i="14"/>
  <c r="AC11" i="14"/>
  <c r="AB11" i="14"/>
  <c r="AA11" i="14"/>
  <c r="AC10" i="14"/>
  <c r="AB10" i="14"/>
  <c r="AA10" i="14"/>
  <c r="AC9" i="14"/>
  <c r="AB9" i="14"/>
  <c r="AA9" i="14"/>
  <c r="AC8" i="14"/>
  <c r="AB8" i="14"/>
  <c r="AA8" i="14"/>
  <c r="AC7" i="14"/>
  <c r="AB7" i="14"/>
  <c r="AA7" i="14"/>
  <c r="AC6" i="14"/>
  <c r="AB6" i="14"/>
  <c r="AA6" i="14"/>
  <c r="AC5" i="14"/>
  <c r="AB5" i="14"/>
  <c r="AA5" i="14"/>
  <c r="AC4" i="14"/>
  <c r="AB4" i="14"/>
  <c r="AA4" i="14"/>
  <c r="AC3" i="14"/>
  <c r="AB3" i="14"/>
  <c r="AB80" i="14" l="1"/>
  <c r="AB79" i="14"/>
  <c r="AB27" i="16" s="1"/>
  <c r="AJ6" i="14"/>
  <c r="AK6" i="14" s="1"/>
  <c r="AI6" i="14"/>
  <c r="AA80" i="14"/>
  <c r="AA79" i="14"/>
  <c r="AG6" i="14"/>
  <c r="AH6" i="14" s="1"/>
  <c r="AF6" i="14"/>
  <c r="AC79" i="14"/>
  <c r="AC6" i="16" s="1"/>
  <c r="AC80" i="14"/>
  <c r="AM6" i="14"/>
  <c r="AN6" i="14" s="1"/>
  <c r="AL6" i="14"/>
  <c r="AM5" i="14"/>
  <c r="AN5" i="14" s="1"/>
  <c r="AL5" i="14"/>
  <c r="M22" i="16"/>
  <c r="M40" i="16"/>
  <c r="M58" i="16"/>
  <c r="M4" i="16"/>
  <c r="M10" i="16"/>
  <c r="M16" i="16"/>
  <c r="M28" i="16"/>
  <c r="M34" i="16"/>
  <c r="M46" i="16"/>
  <c r="M52" i="16"/>
  <c r="M64" i="16"/>
  <c r="M6" i="16"/>
  <c r="M12" i="16"/>
  <c r="M18" i="16"/>
  <c r="M24" i="16"/>
  <c r="M30" i="16"/>
  <c r="M36" i="16"/>
  <c r="M42" i="16"/>
  <c r="M48" i="16"/>
  <c r="M54" i="16"/>
  <c r="M60" i="16"/>
  <c r="M66" i="16"/>
  <c r="M19" i="16"/>
  <c r="M37" i="16"/>
  <c r="M49" i="16"/>
  <c r="M61" i="16"/>
  <c r="M3" i="16"/>
  <c r="M5" i="16"/>
  <c r="M7" i="16"/>
  <c r="M13" i="16"/>
  <c r="M25" i="16"/>
  <c r="M31" i="16"/>
  <c r="M43" i="16"/>
  <c r="M55" i="16"/>
  <c r="M67" i="16"/>
  <c r="M21" i="16"/>
  <c r="M15" i="16"/>
  <c r="M39" i="16"/>
  <c r="M51" i="16"/>
  <c r="M63" i="16"/>
  <c r="M8" i="16"/>
  <c r="M14" i="16"/>
  <c r="M20" i="16"/>
  <c r="M26" i="16"/>
  <c r="M32" i="16"/>
  <c r="M38" i="16"/>
  <c r="M44" i="16"/>
  <c r="M50" i="16"/>
  <c r="M56" i="16"/>
  <c r="M62" i="16"/>
  <c r="M27" i="16"/>
  <c r="M9" i="16"/>
  <c r="M33" i="16"/>
  <c r="M45" i="16"/>
  <c r="M57" i="16"/>
  <c r="M59" i="16"/>
  <c r="M29" i="16"/>
  <c r="M65" i="16"/>
  <c r="M41" i="16"/>
  <c r="M35" i="16"/>
  <c r="M11" i="16"/>
  <c r="M47" i="16"/>
  <c r="M17" i="16"/>
  <c r="M53" i="16"/>
  <c r="M23" i="16"/>
  <c r="N3" i="16"/>
  <c r="N9" i="16"/>
  <c r="N15" i="16"/>
  <c r="N21" i="16"/>
  <c r="N27" i="16"/>
  <c r="N33" i="16"/>
  <c r="N39" i="16"/>
  <c r="N45" i="16"/>
  <c r="N51" i="16"/>
  <c r="N57" i="16"/>
  <c r="N63" i="16"/>
  <c r="N64" i="16"/>
  <c r="N4" i="16"/>
  <c r="N10" i="16"/>
  <c r="N16" i="16"/>
  <c r="N22" i="16"/>
  <c r="N28" i="16"/>
  <c r="N34" i="16"/>
  <c r="N40" i="16"/>
  <c r="N46" i="16"/>
  <c r="N52" i="16"/>
  <c r="N58" i="16"/>
  <c r="N6" i="16"/>
  <c r="N12" i="16"/>
  <c r="N18" i="16"/>
  <c r="N24" i="16"/>
  <c r="N30" i="16"/>
  <c r="N36" i="16"/>
  <c r="N42" i="16"/>
  <c r="N48" i="16"/>
  <c r="N54" i="16"/>
  <c r="N60" i="16"/>
  <c r="N66" i="16"/>
  <c r="N7" i="16"/>
  <c r="N13" i="16"/>
  <c r="N19" i="16"/>
  <c r="N25" i="16"/>
  <c r="N31" i="16"/>
  <c r="N37" i="16"/>
  <c r="N43" i="16"/>
  <c r="N49" i="16"/>
  <c r="N55" i="16"/>
  <c r="N61" i="16"/>
  <c r="N67" i="16"/>
  <c r="N8" i="16"/>
  <c r="N14" i="16"/>
  <c r="N20" i="16"/>
  <c r="N26" i="16"/>
  <c r="N32" i="16"/>
  <c r="N38" i="16"/>
  <c r="N44" i="16"/>
  <c r="N50" i="16"/>
  <c r="N56" i="16"/>
  <c r="N62" i="16"/>
  <c r="N35" i="16"/>
  <c r="N29" i="16"/>
  <c r="N5" i="16"/>
  <c r="N41" i="16"/>
  <c r="N11" i="16"/>
  <c r="N47" i="16"/>
  <c r="N17" i="16"/>
  <c r="N53" i="16"/>
  <c r="N23" i="16"/>
  <c r="N59" i="16"/>
  <c r="N65" i="16"/>
  <c r="W3" i="16"/>
  <c r="W9" i="16"/>
  <c r="W15" i="16"/>
  <c r="W21" i="16"/>
  <c r="W27" i="16"/>
  <c r="W33" i="16"/>
  <c r="W39" i="16"/>
  <c r="W45" i="16"/>
  <c r="W51" i="16"/>
  <c r="W57" i="16"/>
  <c r="W63" i="16"/>
  <c r="W4" i="16"/>
  <c r="W10" i="16"/>
  <c r="W16" i="16"/>
  <c r="W22" i="16"/>
  <c r="W28" i="16"/>
  <c r="W34" i="16"/>
  <c r="W40" i="16"/>
  <c r="W46" i="16"/>
  <c r="W52" i="16"/>
  <c r="W58" i="16"/>
  <c r="W64" i="16"/>
  <c r="W5" i="16"/>
  <c r="W11" i="16"/>
  <c r="W17" i="16"/>
  <c r="W23" i="16"/>
  <c r="W29" i="16"/>
  <c r="W35" i="16"/>
  <c r="W41" i="16"/>
  <c r="W47" i="16"/>
  <c r="W53" i="16"/>
  <c r="W59" i="16"/>
  <c r="W65" i="16"/>
  <c r="W6" i="16"/>
  <c r="W12" i="16"/>
  <c r="W18" i="16"/>
  <c r="W24" i="16"/>
  <c r="W30" i="16"/>
  <c r="W36" i="16"/>
  <c r="W42" i="16"/>
  <c r="W48" i="16"/>
  <c r="W54" i="16"/>
  <c r="W60" i="16"/>
  <c r="W66" i="16"/>
  <c r="W7" i="16"/>
  <c r="W13" i="16"/>
  <c r="W19" i="16"/>
  <c r="W25" i="16"/>
  <c r="W31" i="16"/>
  <c r="W37" i="16"/>
  <c r="W43" i="16"/>
  <c r="W49" i="16"/>
  <c r="W55" i="16"/>
  <c r="W61" i="16"/>
  <c r="W67" i="16"/>
  <c r="W8" i="16"/>
  <c r="W14" i="16"/>
  <c r="W20" i="16"/>
  <c r="W26" i="16"/>
  <c r="W32" i="16"/>
  <c r="W38" i="16"/>
  <c r="W44" i="16"/>
  <c r="W50" i="16"/>
  <c r="W56" i="16"/>
  <c r="W62" i="16"/>
  <c r="AF5" i="14"/>
  <c r="AG5" i="14"/>
  <c r="AH5" i="14" s="1"/>
  <c r="X3" i="16"/>
  <c r="X9" i="16"/>
  <c r="X15" i="16"/>
  <c r="X21" i="16"/>
  <c r="X27" i="16"/>
  <c r="X33" i="16"/>
  <c r="X39" i="16"/>
  <c r="X45" i="16"/>
  <c r="X51" i="16"/>
  <c r="X57" i="16"/>
  <c r="X63" i="16"/>
  <c r="X4" i="16"/>
  <c r="X10" i="16"/>
  <c r="X16" i="16"/>
  <c r="X22" i="16"/>
  <c r="X28" i="16"/>
  <c r="X34" i="16"/>
  <c r="X40" i="16"/>
  <c r="X46" i="16"/>
  <c r="X52" i="16"/>
  <c r="X58" i="16"/>
  <c r="X64" i="16"/>
  <c r="X5" i="16"/>
  <c r="X11" i="16"/>
  <c r="X17" i="16"/>
  <c r="X23" i="16"/>
  <c r="X29" i="16"/>
  <c r="X35" i="16"/>
  <c r="X41" i="16"/>
  <c r="X47" i="16"/>
  <c r="X53" i="16"/>
  <c r="X59" i="16"/>
  <c r="X65" i="16"/>
  <c r="X6" i="16"/>
  <c r="X12" i="16"/>
  <c r="X18" i="16"/>
  <c r="X24" i="16"/>
  <c r="X30" i="16"/>
  <c r="X36" i="16"/>
  <c r="X42" i="16"/>
  <c r="X48" i="16"/>
  <c r="X54" i="16"/>
  <c r="X60" i="16"/>
  <c r="X66" i="16"/>
  <c r="X14" i="16"/>
  <c r="X26" i="16"/>
  <c r="X44" i="16"/>
  <c r="X56" i="16"/>
  <c r="X7" i="16"/>
  <c r="X13" i="16"/>
  <c r="X19" i="16"/>
  <c r="X25" i="16"/>
  <c r="X31" i="16"/>
  <c r="X37" i="16"/>
  <c r="X43" i="16"/>
  <c r="X49" i="16"/>
  <c r="X55" i="16"/>
  <c r="X61" i="16"/>
  <c r="X67" i="16"/>
  <c r="X20" i="16"/>
  <c r="X8" i="16"/>
  <c r="X32" i="16"/>
  <c r="X38" i="16"/>
  <c r="X50" i="16"/>
  <c r="X62" i="16"/>
  <c r="AI5" i="14"/>
  <c r="AJ5" i="14"/>
  <c r="AK5" i="14" s="1"/>
  <c r="V3" i="13"/>
  <c r="AC46" i="16" l="1"/>
  <c r="AD3" i="14"/>
  <c r="AA5" i="16"/>
  <c r="AC50" i="16"/>
  <c r="AC21" i="16"/>
  <c r="AB14" i="16"/>
  <c r="AC59" i="16"/>
  <c r="AC31" i="16"/>
  <c r="AC37" i="16"/>
  <c r="AC11" i="16"/>
  <c r="AC34" i="16"/>
  <c r="AC44" i="16"/>
  <c r="AB59" i="16"/>
  <c r="AC57" i="16"/>
  <c r="AC60" i="16"/>
  <c r="AB55" i="16"/>
  <c r="AB43" i="16"/>
  <c r="AC33" i="16"/>
  <c r="AC12" i="16"/>
  <c r="AB31" i="16"/>
  <c r="AC25" i="16"/>
  <c r="AC8" i="16"/>
  <c r="AC17" i="16"/>
  <c r="AC7" i="16"/>
  <c r="AB33" i="16"/>
  <c r="AB7" i="16"/>
  <c r="AC29" i="16"/>
  <c r="AC66" i="16"/>
  <c r="AB3" i="16"/>
  <c r="AB56" i="16"/>
  <c r="AB40" i="16"/>
  <c r="AB58" i="16"/>
  <c r="AC55" i="16"/>
  <c r="AB54" i="16"/>
  <c r="AB53" i="16"/>
  <c r="AB8" i="16"/>
  <c r="AB12" i="16"/>
  <c r="AC3" i="16"/>
  <c r="AB34" i="16"/>
  <c r="AB49" i="16"/>
  <c r="AC23" i="16"/>
  <c r="AC54" i="16"/>
  <c r="AB30" i="16"/>
  <c r="AB41" i="16"/>
  <c r="AB47" i="16"/>
  <c r="AB38" i="16"/>
  <c r="AB5" i="16"/>
  <c r="AC64" i="16"/>
  <c r="AB60" i="16"/>
  <c r="AB10" i="16"/>
  <c r="AB26" i="16"/>
  <c r="AC13" i="16"/>
  <c r="AC40" i="16"/>
  <c r="AB36" i="16"/>
  <c r="AC10" i="16"/>
  <c r="AC67" i="16"/>
  <c r="AB23" i="16"/>
  <c r="AB22" i="16"/>
  <c r="AC5" i="16"/>
  <c r="AC36" i="16"/>
  <c r="AB32" i="16"/>
  <c r="AC63" i="16"/>
  <c r="AB11" i="16"/>
  <c r="AC61" i="16"/>
  <c r="AB37" i="16"/>
  <c r="AC32" i="16"/>
  <c r="AB28" i="16"/>
  <c r="AC22" i="16"/>
  <c r="AC58" i="16"/>
  <c r="AB51" i="16"/>
  <c r="AB50" i="16"/>
  <c r="AB17" i="16"/>
  <c r="AC28" i="16"/>
  <c r="AC26" i="16"/>
  <c r="AB69" i="16"/>
  <c r="AB75" i="16"/>
  <c r="AB70" i="16"/>
  <c r="AB71" i="16"/>
  <c r="AB72" i="16"/>
  <c r="AB73" i="16"/>
  <c r="AB68" i="16"/>
  <c r="AB74" i="16"/>
  <c r="AB76" i="16"/>
  <c r="AC35" i="16"/>
  <c r="AB39" i="16"/>
  <c r="AB66" i="16"/>
  <c r="AB6" i="16"/>
  <c r="AB45" i="16"/>
  <c r="AB21" i="16"/>
  <c r="AB13" i="16"/>
  <c r="AC20" i="16"/>
  <c r="AB20" i="16"/>
  <c r="AC19" i="16"/>
  <c r="AB35" i="16"/>
  <c r="AB62" i="16"/>
  <c r="AC65" i="16"/>
  <c r="AB29" i="16"/>
  <c r="AB9" i="16"/>
  <c r="AC42" i="16"/>
  <c r="AC16" i="16"/>
  <c r="AB64" i="16"/>
  <c r="AB16" i="16"/>
  <c r="AC18" i="16"/>
  <c r="AC53" i="16"/>
  <c r="AC30" i="16"/>
  <c r="AB65" i="16"/>
  <c r="AC56" i="16"/>
  <c r="AC4" i="16"/>
  <c r="AB52" i="16"/>
  <c r="AB4" i="16"/>
  <c r="AC15" i="16"/>
  <c r="AC68" i="16"/>
  <c r="AC74" i="16"/>
  <c r="AC69" i="16"/>
  <c r="AC70" i="16"/>
  <c r="AC71" i="16"/>
  <c r="AC72" i="16"/>
  <c r="AC73" i="16"/>
  <c r="AC75" i="16"/>
  <c r="AC76" i="16"/>
  <c r="AC62" i="16"/>
  <c r="AB67" i="16"/>
  <c r="AB19" i="16"/>
  <c r="AB46" i="16"/>
  <c r="AC45" i="16"/>
  <c r="AB18" i="16"/>
  <c r="AB61" i="16"/>
  <c r="AC52" i="16"/>
  <c r="AC47" i="16"/>
  <c r="AB48" i="16"/>
  <c r="AC51" i="16"/>
  <c r="AC38" i="16"/>
  <c r="AB63" i="16"/>
  <c r="AB15" i="16"/>
  <c r="AB42" i="16"/>
  <c r="AC41" i="16"/>
  <c r="AC49" i="16"/>
  <c r="AB57" i="16"/>
  <c r="AC48" i="16"/>
  <c r="AC27" i="16"/>
  <c r="AB44" i="16"/>
  <c r="AC39" i="16"/>
  <c r="AC43" i="16"/>
  <c r="AC14" i="16"/>
  <c r="AC9" i="16"/>
  <c r="AB25" i="16"/>
  <c r="AC24" i="16"/>
  <c r="AB24" i="16"/>
  <c r="AA11" i="16"/>
  <c r="AA23" i="16"/>
  <c r="AA35" i="16"/>
  <c r="AA47" i="16"/>
  <c r="AA59" i="16"/>
  <c r="AA71" i="16"/>
  <c r="AD9" i="14"/>
  <c r="AA24" i="16"/>
  <c r="AA36" i="16"/>
  <c r="AA48" i="16"/>
  <c r="AA60" i="16"/>
  <c r="AA72" i="16"/>
  <c r="AD10" i="14"/>
  <c r="AD6" i="14"/>
  <c r="AA9" i="16"/>
  <c r="AA57" i="16"/>
  <c r="AA46" i="16"/>
  <c r="AA12" i="16"/>
  <c r="AA13" i="16"/>
  <c r="AA25" i="16"/>
  <c r="AA37" i="16"/>
  <c r="AA49" i="16"/>
  <c r="AA61" i="16"/>
  <c r="AA73" i="16"/>
  <c r="AD11" i="14"/>
  <c r="AA52" i="16"/>
  <c r="AA20" i="16"/>
  <c r="AA45" i="16"/>
  <c r="AA58" i="16"/>
  <c r="AA14" i="16"/>
  <c r="AA26" i="16"/>
  <c r="AA38" i="16"/>
  <c r="AA50" i="16"/>
  <c r="AA62" i="16"/>
  <c r="AA74" i="16"/>
  <c r="AD12" i="14"/>
  <c r="AA75" i="16"/>
  <c r="AA16" i="16"/>
  <c r="AA40" i="16"/>
  <c r="AA64" i="16"/>
  <c r="AD14" i="14"/>
  <c r="AA44" i="16"/>
  <c r="AA21" i="16"/>
  <c r="AD7" i="14"/>
  <c r="AD8" i="14"/>
  <c r="AA15" i="16"/>
  <c r="AA27" i="16"/>
  <c r="AA39" i="16"/>
  <c r="AA51" i="16"/>
  <c r="AA63" i="16"/>
  <c r="AD13" i="14"/>
  <c r="AA28" i="16"/>
  <c r="AA76" i="16"/>
  <c r="AA32" i="16"/>
  <c r="AA33" i="16"/>
  <c r="AA22" i="16"/>
  <c r="AA4" i="16"/>
  <c r="AA8" i="16"/>
  <c r="AA69" i="16"/>
  <c r="AA10" i="16"/>
  <c r="AA70" i="16"/>
  <c r="AA17" i="16"/>
  <c r="AA29" i="16"/>
  <c r="AA41" i="16"/>
  <c r="AA53" i="16"/>
  <c r="AA65" i="16"/>
  <c r="AA3" i="16"/>
  <c r="AD15" i="14"/>
  <c r="AA7" i="16"/>
  <c r="AA31" i="16"/>
  <c r="AA55" i="16"/>
  <c r="AD5" i="14"/>
  <c r="AA68" i="16"/>
  <c r="AA34" i="16"/>
  <c r="AA6" i="16"/>
  <c r="AA18" i="16"/>
  <c r="AA30" i="16"/>
  <c r="AA42" i="16"/>
  <c r="AA54" i="16"/>
  <c r="AA66" i="16"/>
  <c r="AD4" i="14"/>
  <c r="AD16" i="14"/>
  <c r="AA19" i="16"/>
  <c r="AA43" i="16"/>
  <c r="AA67" i="16"/>
  <c r="AD17" i="14"/>
  <c r="AA56" i="16"/>
  <c r="M80" i="16"/>
  <c r="M79" i="16"/>
  <c r="W80" i="16"/>
  <c r="W79" i="16"/>
  <c r="X80" i="16"/>
  <c r="X79" i="16"/>
  <c r="N80" i="16"/>
  <c r="N79" i="16"/>
  <c r="V4" i="13"/>
  <c r="W4" i="13"/>
  <c r="X4" i="13"/>
  <c r="V5" i="13"/>
  <c r="W5" i="13"/>
  <c r="X5" i="13"/>
  <c r="V6" i="13"/>
  <c r="W6" i="13"/>
  <c r="X6" i="13"/>
  <c r="V7" i="13"/>
  <c r="W7" i="13"/>
  <c r="X7" i="13"/>
  <c r="V8" i="13"/>
  <c r="W8" i="13"/>
  <c r="X8" i="13"/>
  <c r="V9" i="13"/>
  <c r="W9" i="13"/>
  <c r="X9" i="13"/>
  <c r="V10" i="13"/>
  <c r="W10" i="13"/>
  <c r="X10" i="13"/>
  <c r="V11" i="13"/>
  <c r="W11" i="13"/>
  <c r="X11" i="13"/>
  <c r="V12" i="13"/>
  <c r="W12" i="13"/>
  <c r="X12" i="13"/>
  <c r="V13" i="13"/>
  <c r="W13" i="13"/>
  <c r="X13" i="13"/>
  <c r="V14" i="13"/>
  <c r="W14" i="13"/>
  <c r="X14" i="13"/>
  <c r="V15" i="13"/>
  <c r="W15" i="13"/>
  <c r="X15" i="13"/>
  <c r="V16" i="13"/>
  <c r="W16" i="13"/>
  <c r="X16" i="13"/>
  <c r="V17" i="13"/>
  <c r="W17" i="13"/>
  <c r="X17" i="13"/>
  <c r="V18" i="13"/>
  <c r="W18" i="13"/>
  <c r="X18" i="13"/>
  <c r="V19" i="13"/>
  <c r="W19" i="13"/>
  <c r="X19" i="13"/>
  <c r="V20" i="13"/>
  <c r="W20" i="13"/>
  <c r="X20" i="13"/>
  <c r="V21" i="13"/>
  <c r="W21" i="13"/>
  <c r="X21" i="13"/>
  <c r="V22" i="13"/>
  <c r="W22" i="13"/>
  <c r="X22" i="13"/>
  <c r="V23" i="13"/>
  <c r="W23" i="13"/>
  <c r="X23" i="13"/>
  <c r="V24" i="13"/>
  <c r="W24" i="13"/>
  <c r="X24" i="13"/>
  <c r="V25" i="13"/>
  <c r="W25" i="13"/>
  <c r="X25" i="13"/>
  <c r="V26" i="13"/>
  <c r="W26" i="13"/>
  <c r="X26" i="13"/>
  <c r="V27" i="13"/>
  <c r="W27" i="13"/>
  <c r="X27" i="13"/>
  <c r="V28" i="13"/>
  <c r="W28" i="13"/>
  <c r="X28" i="13"/>
  <c r="V29" i="13"/>
  <c r="W29" i="13"/>
  <c r="X29" i="13"/>
  <c r="V30" i="13"/>
  <c r="W30" i="13"/>
  <c r="X30" i="13"/>
  <c r="V31" i="13"/>
  <c r="W31" i="13"/>
  <c r="X31" i="13"/>
  <c r="V32" i="13"/>
  <c r="W32" i="13"/>
  <c r="X32" i="13"/>
  <c r="V33" i="13"/>
  <c r="W33" i="13"/>
  <c r="X33" i="13"/>
  <c r="V34" i="13"/>
  <c r="W34" i="13"/>
  <c r="X34" i="13"/>
  <c r="V35" i="13"/>
  <c r="W35" i="13"/>
  <c r="X35" i="13"/>
  <c r="V36" i="13"/>
  <c r="W36" i="13"/>
  <c r="X36" i="13"/>
  <c r="V37" i="13"/>
  <c r="W37" i="13"/>
  <c r="X37" i="13"/>
  <c r="V38" i="13"/>
  <c r="W38" i="13"/>
  <c r="X38" i="13"/>
  <c r="V39" i="13"/>
  <c r="W39" i="13"/>
  <c r="X39" i="13"/>
  <c r="V40" i="13"/>
  <c r="W40" i="13"/>
  <c r="X40" i="13"/>
  <c r="V41" i="13"/>
  <c r="W41" i="13"/>
  <c r="X41" i="13"/>
  <c r="V42" i="13"/>
  <c r="W42" i="13"/>
  <c r="X42" i="13"/>
  <c r="V43" i="13"/>
  <c r="W43" i="13"/>
  <c r="X43" i="13"/>
  <c r="V44" i="13"/>
  <c r="W44" i="13"/>
  <c r="X44" i="13"/>
  <c r="V45" i="13"/>
  <c r="W45" i="13"/>
  <c r="X45" i="13"/>
  <c r="V46" i="13"/>
  <c r="W46" i="13"/>
  <c r="X46" i="13"/>
  <c r="V47" i="13"/>
  <c r="W47" i="13"/>
  <c r="X47" i="13"/>
  <c r="V48" i="13"/>
  <c r="W48" i="13"/>
  <c r="X48" i="13"/>
  <c r="V49" i="13"/>
  <c r="W49" i="13"/>
  <c r="X49" i="13"/>
  <c r="V50" i="13"/>
  <c r="W50" i="13"/>
  <c r="X50" i="13"/>
  <c r="V51" i="13"/>
  <c r="W51" i="13"/>
  <c r="X51" i="13"/>
  <c r="V52" i="13"/>
  <c r="W52" i="13"/>
  <c r="X52" i="13"/>
  <c r="V53" i="13"/>
  <c r="W53" i="13"/>
  <c r="X53" i="13"/>
  <c r="V54" i="13"/>
  <c r="W54" i="13"/>
  <c r="X54" i="13"/>
  <c r="V55" i="13"/>
  <c r="W55" i="13"/>
  <c r="X55" i="13"/>
  <c r="V56" i="13"/>
  <c r="W56" i="13"/>
  <c r="X56" i="13"/>
  <c r="V57" i="13"/>
  <c r="W57" i="13"/>
  <c r="X57" i="13"/>
  <c r="V58" i="13"/>
  <c r="W58" i="13"/>
  <c r="X58" i="13"/>
  <c r="V59" i="13"/>
  <c r="W59" i="13"/>
  <c r="X59" i="13"/>
  <c r="V60" i="13"/>
  <c r="W60" i="13"/>
  <c r="X60" i="13"/>
  <c r="V61" i="13"/>
  <c r="W61" i="13"/>
  <c r="X61" i="13"/>
  <c r="V62" i="13"/>
  <c r="W62" i="13"/>
  <c r="X62" i="13"/>
  <c r="V63" i="13"/>
  <c r="W63" i="13"/>
  <c r="X63" i="13"/>
  <c r="V64" i="13"/>
  <c r="W64" i="13"/>
  <c r="X64" i="13"/>
  <c r="V65" i="13"/>
  <c r="W65" i="13"/>
  <c r="X65" i="13"/>
  <c r="V66" i="13"/>
  <c r="W66" i="13"/>
  <c r="X66" i="13"/>
  <c r="V67" i="13"/>
  <c r="W67" i="13"/>
  <c r="X67" i="13"/>
  <c r="V68" i="13"/>
  <c r="W68" i="13"/>
  <c r="X68" i="13"/>
  <c r="V69" i="13"/>
  <c r="W69" i="13"/>
  <c r="X69" i="13"/>
  <c r="V70" i="13"/>
  <c r="W70" i="13"/>
  <c r="X70" i="13"/>
  <c r="V71" i="13"/>
  <c r="W71" i="13"/>
  <c r="X71" i="13"/>
  <c r="V72" i="13"/>
  <c r="W72" i="13"/>
  <c r="X72" i="13"/>
  <c r="V73" i="13"/>
  <c r="W73" i="13"/>
  <c r="X73" i="13"/>
  <c r="V74" i="13"/>
  <c r="W74" i="13"/>
  <c r="X74" i="13"/>
  <c r="V75" i="13"/>
  <c r="W75" i="13"/>
  <c r="X75" i="13"/>
  <c r="V76" i="13"/>
  <c r="W76" i="13"/>
  <c r="X76" i="13"/>
  <c r="V77" i="13"/>
  <c r="W77" i="13"/>
  <c r="X77" i="13"/>
  <c r="W3" i="13"/>
  <c r="X3" i="13"/>
  <c r="Q79" i="13"/>
  <c r="C79" i="13"/>
  <c r="D79" i="13"/>
  <c r="C80" i="13"/>
  <c r="D80" i="13"/>
  <c r="B80" i="13"/>
  <c r="B79" i="13"/>
  <c r="AF6" i="16" l="1"/>
  <c r="AG6" i="16"/>
  <c r="AH6" i="16" s="1"/>
  <c r="AA80" i="16"/>
  <c r="AA79" i="16"/>
  <c r="AF5" i="16"/>
  <c r="AG5" i="16"/>
  <c r="AH5" i="16" s="1"/>
  <c r="AM5" i="16"/>
  <c r="AN5" i="16" s="1"/>
  <c r="AL6" i="16"/>
  <c r="AC80" i="16"/>
  <c r="AC79" i="16"/>
  <c r="AM6" i="16"/>
  <c r="AN6" i="16" s="1"/>
  <c r="AB80" i="16"/>
  <c r="AB79" i="16"/>
  <c r="AJ6" i="16"/>
  <c r="AK6" i="16" s="1"/>
  <c r="AI6" i="16"/>
  <c r="AJ5" i="16"/>
  <c r="AK5" i="16" s="1"/>
  <c r="AI5" i="16"/>
  <c r="AL5" i="16"/>
  <c r="X80" i="13"/>
  <c r="X79" i="13"/>
  <c r="W80" i="13"/>
  <c r="W79" i="13"/>
  <c r="V79" i="13"/>
  <c r="V80" i="13"/>
  <c r="Q80" i="13"/>
  <c r="S80" i="13"/>
  <c r="R80" i="13"/>
  <c r="S79" i="13"/>
  <c r="R79" i="13"/>
  <c r="H79" i="13" l="1"/>
  <c r="I79" i="13"/>
  <c r="H80" i="13"/>
  <c r="I80" i="13"/>
  <c r="G79" i="13"/>
  <c r="G80" i="13"/>
  <c r="L79" i="13"/>
  <c r="N80" i="13"/>
  <c r="M80" i="13"/>
  <c r="L80" i="13"/>
  <c r="N79" i="13"/>
  <c r="M79" i="13"/>
</calcChain>
</file>

<file path=xl/sharedStrings.xml><?xml version="1.0" encoding="utf-8"?>
<sst xmlns="http://schemas.openxmlformats.org/spreadsheetml/2006/main" count="746" uniqueCount="104">
  <si>
    <t>Año</t>
  </si>
  <si>
    <t>Densidad</t>
  </si>
  <si>
    <t>Extension</t>
  </si>
  <si>
    <t>Calcificacion</t>
  </si>
  <si>
    <t>PROMEDIO</t>
  </si>
  <si>
    <t>DE</t>
  </si>
  <si>
    <t>VAR-1 (X-RAY)</t>
  </si>
  <si>
    <t>VAR-2 (TOMO)</t>
  </si>
  <si>
    <t>VAR-3 (TOMO)</t>
  </si>
  <si>
    <t>VAR-4 (TOMO)</t>
  </si>
  <si>
    <t>1951-1984</t>
  </si>
  <si>
    <t>1984-2015</t>
  </si>
  <si>
    <t>Mean</t>
  </si>
  <si>
    <t>SD</t>
  </si>
  <si>
    <t>Density</t>
  </si>
  <si>
    <t>Calcification</t>
  </si>
  <si>
    <t>SE</t>
  </si>
  <si>
    <t>Estadísticos descriptivos:</t>
  </si>
  <si>
    <t>Variable</t>
  </si>
  <si>
    <t>Observaciones</t>
  </si>
  <si>
    <t>Obs. con datos perdidos</t>
  </si>
  <si>
    <t>Obs. sin datos perdidos</t>
  </si>
  <si>
    <t>Mínimo</t>
  </si>
  <si>
    <t>Máximo</t>
  </si>
  <si>
    <t>Media</t>
  </si>
  <si>
    <t>Desv. típica</t>
  </si>
  <si>
    <t>valor-p (bilateral)</t>
  </si>
  <si>
    <t>alfa</t>
  </si>
  <si>
    <t>&lt; 0.0001</t>
  </si>
  <si>
    <t>Interpretación de la prueba:</t>
  </si>
  <si>
    <t>Puesto que el valor-p computado es menor que el nivel de significación alfa=0.05, se debe rechazar la hipótesis nula H0, y aceptar la hipótesis alternativa Ha.</t>
  </si>
  <si>
    <t>El riesgo de rechazar la hipótesis nula H0 cuando es verdadera es inferior al 0.01%.</t>
  </si>
  <si>
    <t xml:space="preserve"> </t>
  </si>
  <si>
    <t>Nivel de significación (%): 5</t>
  </si>
  <si>
    <t>Tiempo(s) máximo(s): 180</t>
  </si>
  <si>
    <t>Número de simulaciones: 10000</t>
  </si>
  <si>
    <t>Prueba de homogeneidad normal estándar (SNHT) (Densidad):</t>
  </si>
  <si>
    <t>T0</t>
  </si>
  <si>
    <t>t</t>
  </si>
  <si>
    <t>Se han utilizado 10000 simulaciones Monte Carlo para calcular el valor-p. Tiempo transcurrido: 0s.</t>
  </si>
  <si>
    <t>Intervalo de confianza para el valor-p al 99%:</t>
  </si>
  <si>
    <t>H0: Los datos son homogéneos</t>
  </si>
  <si>
    <t>Ha: Hay una fecha en la que hay un cambio en los datos</t>
  </si>
  <si>
    <t>Prueba de homogeneidad normal estándar (SNHT) (Extension):</t>
  </si>
  <si>
    <t>Puesto que el valor-p calculado es mayor que el nivel de significación alfa=0.05, no se puede rechazar la hipótesis nula H0.</t>
  </si>
  <si>
    <t>Prueba de homogeneidad normal estándar (SNHT) (Calcificacion):</t>
  </si>
  <si>
    <t>XLSTAT 2016.02.28451  - Pruebas de homogeneidad - Comienzo: 17/05/2019 a las 3:27:33 p. m.</t>
  </si>
  <si>
    <t>Series temporales: Libro = VAR TODOS.xlsx / Hoja = DATA-Match / Rango = 'DATA-Match'!$B$2:$D$36 / 34 filas y 3 columnas</t>
  </si>
  <si>
    <t>Datos de fecha: Libro = VAR TODOS.xlsx / Hoja = DATA-Match / Rango = 'DATA-Match'!$A$2:$A$36 / 34 filas y 1 columna</t>
  </si>
  <si>
    <t>El riesgo de rechazar la hipótesis nula H0 cuando es verdadera es de 9.15%.</t>
  </si>
  <si>
    <t>El riesgo de rechazar la hipótesis nula H0 cuando es verdadera es de 82.86%.</t>
  </si>
  <si>
    <t>Semilla (números aleatorios): 1826499422</t>
  </si>
  <si>
    <t>XLSTAT 2016.02.28451  - Pruebas de homogeneidad - Comienzo: 17/05/2019 a las 3:29:40 p. m.</t>
  </si>
  <si>
    <t>Series temporales: Libro = VAR TODOS.xlsx / Hoja = DATA-Match / Rango = 'DATA-Match'!$G$2:$I$67 / 65 filas y 3 columnas</t>
  </si>
  <si>
    <t>Datos de fecha: Libro = VAR TODOS.xlsx / Hoja = DATA-Match / Rango = 'DATA-Match'!$F$2:$F$67 / 65 filas y 1 columna</t>
  </si>
  <si>
    <t>El riesgo de rechazar la hipótesis nula H0 cuando es verdadera es de 77.54%.</t>
  </si>
  <si>
    <t>Semilla (números aleatorios): 562073246</t>
  </si>
  <si>
    <t>XLSTAT 2016.02.28451  - Pruebas de homogeneidad - Comienzo: 17/05/2019 a las 3:31:40 p. m.</t>
  </si>
  <si>
    <t>Series temporales: Libro = VAR TODOS.xlsx / Hoja = DATA-Match / Rango = 'DATA-Match'!$L$12:$N$76 / 65 filas y 3 columnas</t>
  </si>
  <si>
    <t>Datos de fecha: Libro = VAR TODOS.xlsx / Hoja = DATA-Match / Rango = 'DATA-Match'!$K$12:$K$76 / 65 filas y 1 columna</t>
  </si>
  <si>
    <t>Serie1</t>
  </si>
  <si>
    <t>Serie2</t>
  </si>
  <si>
    <t>Serie3</t>
  </si>
  <si>
    <t>Prueba de homogeneidad normal estándar (SNHT) (Serie1):</t>
  </si>
  <si>
    <t>El riesgo de rechazar la hipótesis nula H0 cuando es verdadera es inferior al 0.28%.</t>
  </si>
  <si>
    <t>Fecha1</t>
  </si>
  <si>
    <t>Prueba de homogeneidad normal estándar (SNHT) (Serie2):</t>
  </si>
  <si>
    <t>El riesgo de rechazar la hipótesis nula H0 cuando es verdadera es inferior al 0.21%.</t>
  </si>
  <si>
    <t>Prueba de homogeneidad normal estándar (SNHT) (Serie3):</t>
  </si>
  <si>
    <t>Semilla (números aleatorios): 365668014</t>
  </si>
  <si>
    <t>XLSTAT 2016.02.28451  - Pruebas de homogeneidad - Comienzo: 17/05/2019 a las 3:35:13 p. m.</t>
  </si>
  <si>
    <t>Series temporales: Libro = VAR TODOS.xlsx / Hoja = DATA-Match / Rango = 'DATA-Match'!$Q$2:$S$67 / 65 filas y 3 columnas</t>
  </si>
  <si>
    <t>Datos de fecha: Libro = VAR TODOS.xlsx / Hoja = DATA-Match / Rango = 'DATA-Match'!$P$2:$P$67 / 65 filas y 1 columna</t>
  </si>
  <si>
    <t>El riesgo de rechazar la hipótesis nula H0 cuando es verdadera es de 18.66%.</t>
  </si>
  <si>
    <t>El riesgo de rechazar la hipótesis nula H0 cuando es verdadera es inferior al 0.40%.</t>
  </si>
  <si>
    <t>El riesgo de rechazar la hipótesis nula H0 cuando es verdadera es inferior al 0.85%.</t>
  </si>
  <si>
    <t>Semilla (números aleatorios): 316194526</t>
  </si>
  <si>
    <t>VETERINARIA-JULIO 2016</t>
  </si>
  <si>
    <t>Extensión</t>
  </si>
  <si>
    <t>Calcificación</t>
  </si>
  <si>
    <t>IMBANACO-ENERO 2017</t>
  </si>
  <si>
    <t>(VAR1-Vet)</t>
  </si>
  <si>
    <t>Año.m</t>
  </si>
  <si>
    <t>VAR2_Mensual</t>
  </si>
  <si>
    <t>año-m</t>
  </si>
  <si>
    <t>VAR1</t>
  </si>
  <si>
    <t>VAR3_Mensual</t>
  </si>
  <si>
    <t>VAR4_Mensual</t>
  </si>
  <si>
    <t>VAR2_Mensual_stda</t>
  </si>
  <si>
    <t>VAR3_Mensual_stda</t>
  </si>
  <si>
    <t>VAR3_Mensual_stda_clim</t>
  </si>
  <si>
    <t>VAR4_Mensual_stda</t>
  </si>
  <si>
    <t>VAR4_Mensual_stda_clim</t>
  </si>
  <si>
    <t>VAR2_Mensual_stda_clim</t>
  </si>
  <si>
    <t>Promedio_mensual</t>
  </si>
  <si>
    <t>stda_clim</t>
  </si>
  <si>
    <t>stda</t>
  </si>
  <si>
    <t>Core</t>
  </si>
  <si>
    <t>Year</t>
  </si>
  <si>
    <t>VAR2</t>
  </si>
  <si>
    <t>VAR3</t>
  </si>
  <si>
    <t>VAR4</t>
  </si>
  <si>
    <t>y.m</t>
  </si>
  <si>
    <t>G/B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</si>
</sst>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&quot;] &quot;0.000&quot;;&quot;;&quot;] &quot;\-0.000&quot; ;&quot;"/>
    <numFmt numFmtId="166" formatCode="0.000&quot; [&quot;;\-0.000&quot; [&quot;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1" fontId="0" fillId="0" borderId="0" xfId="0" applyNumberFormat="1"/>
    <xf numFmtId="0" fontId="0" fillId="0" borderId="0" xfId="0" applyAlignment="1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2" xfId="0" applyBorder="1" applyAlignment="1"/>
    <xf numFmtId="0" fontId="0" fillId="0" borderId="1" xfId="0" applyBorder="1" applyAlignment="1"/>
    <xf numFmtId="0" fontId="0" fillId="0" borderId="3" xfId="0" applyBorder="1" applyAlignment="1"/>
    <xf numFmtId="164" fontId="0" fillId="0" borderId="1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3" xfId="0" applyNumberFormat="1" applyBorder="1" applyAlignment="1">
      <alignment horizontal="right"/>
    </xf>
    <xf numFmtId="0" fontId="0" fillId="0" borderId="0" xfId="0" applyFont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right"/>
    </xf>
    <xf numFmtId="164" fontId="0" fillId="0" borderId="2" xfId="0" applyNumberFormat="1" applyBorder="1" applyAlignment="1"/>
    <xf numFmtId="164" fontId="0" fillId="0" borderId="0" xfId="0" applyNumberFormat="1" applyAlignment="1"/>
    <xf numFmtId="164" fontId="0" fillId="0" borderId="3" xfId="0" applyNumberFormat="1" applyBorder="1" applyAlignment="1"/>
    <xf numFmtId="0" fontId="0" fillId="0" borderId="1" xfId="0" applyNumberFormat="1" applyFont="1" applyBorder="1" applyAlignment="1">
      <alignment horizontal="center"/>
    </xf>
    <xf numFmtId="0" fontId="0" fillId="0" borderId="2" xfId="0" applyNumberFormat="1" applyBorder="1" applyAlignment="1"/>
    <xf numFmtId="0" fontId="0" fillId="0" borderId="0" xfId="0" applyNumberFormat="1" applyAlignment="1"/>
    <xf numFmtId="0" fontId="0" fillId="0" borderId="3" xfId="0" applyNumberFormat="1" applyBorder="1" applyAlignment="1"/>
    <xf numFmtId="0" fontId="1" fillId="0" borderId="0" xfId="0" applyFont="1"/>
    <xf numFmtId="0" fontId="0" fillId="3" borderId="0" xfId="0" applyFill="1"/>
    <xf numFmtId="167" fontId="0" fillId="0" borderId="0" xfId="0" applyNumberFormat="1"/>
    <xf numFmtId="0" fontId="0" fillId="2" borderId="0" xfId="0" applyFill="1" applyAlignment="1">
      <alignment horizontal="center"/>
    </xf>
    <xf numFmtId="164" fontId="0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Annual!$Y$2:$Y$67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Annual!$Z$2:$Z$67</c:f>
              <c:numCache>
                <c:formatCode>0.000</c:formatCode>
                <c:ptCount val="66"/>
                <c:pt idx="0">
                  <c:v>0.71006270255811998</c:v>
                </c:pt>
                <c:pt idx="1">
                  <c:v>0.67423476202610222</c:v>
                </c:pt>
                <c:pt idx="2">
                  <c:v>0.64476969529603523</c:v>
                </c:pt>
                <c:pt idx="3">
                  <c:v>0.69079059978831303</c:v>
                </c:pt>
                <c:pt idx="4">
                  <c:v>0.77790678224211718</c:v>
                </c:pt>
                <c:pt idx="5">
                  <c:v>0.78520487277740658</c:v>
                </c:pt>
                <c:pt idx="6">
                  <c:v>0.69508532911080001</c:v>
                </c:pt>
                <c:pt idx="7">
                  <c:v>0.67814436873876494</c:v>
                </c:pt>
                <c:pt idx="8">
                  <c:v>0.64784749806911957</c:v>
                </c:pt>
                <c:pt idx="9">
                  <c:v>0.67687310201451423</c:v>
                </c:pt>
                <c:pt idx="10">
                  <c:v>0.72476073805112906</c:v>
                </c:pt>
                <c:pt idx="11">
                  <c:v>0.65258526094530755</c:v>
                </c:pt>
                <c:pt idx="12">
                  <c:v>0.5994508672487916</c:v>
                </c:pt>
                <c:pt idx="13">
                  <c:v>0.60686120247783981</c:v>
                </c:pt>
                <c:pt idx="14">
                  <c:v>0.62830806502901515</c:v>
                </c:pt>
                <c:pt idx="15">
                  <c:v>0.65029357768558116</c:v>
                </c:pt>
                <c:pt idx="16">
                  <c:v>0.66575388233546051</c:v>
                </c:pt>
                <c:pt idx="17">
                  <c:v>0.6687337066493374</c:v>
                </c:pt>
                <c:pt idx="18">
                  <c:v>0.69344907321408367</c:v>
                </c:pt>
                <c:pt idx="19">
                  <c:v>0.71021746911580885</c:v>
                </c:pt>
                <c:pt idx="20">
                  <c:v>0.75773282816448662</c:v>
                </c:pt>
                <c:pt idx="21">
                  <c:v>0.77239057175747761</c:v>
                </c:pt>
                <c:pt idx="22">
                  <c:v>0.74315314750488382</c:v>
                </c:pt>
                <c:pt idx="23">
                  <c:v>0.70254252330898526</c:v>
                </c:pt>
                <c:pt idx="24">
                  <c:v>0.68834024375616665</c:v>
                </c:pt>
                <c:pt idx="25">
                  <c:v>0.68140390292550201</c:v>
                </c:pt>
                <c:pt idx="26">
                  <c:v>0.63675498190467972</c:v>
                </c:pt>
                <c:pt idx="27">
                  <c:v>0.64224178176248659</c:v>
                </c:pt>
                <c:pt idx="28">
                  <c:v>0.67098481262637022</c:v>
                </c:pt>
                <c:pt idx="29">
                  <c:v>0.72969159695410246</c:v>
                </c:pt>
                <c:pt idx="30">
                  <c:v>0.81156684846478755</c:v>
                </c:pt>
                <c:pt idx="31">
                  <c:v>0.7129639589996446</c:v>
                </c:pt>
                <c:pt idx="32">
                  <c:v>0.69689321971291429</c:v>
                </c:pt>
                <c:pt idx="33">
                  <c:v>0.70695604451992078</c:v>
                </c:pt>
                <c:pt idx="34">
                  <c:v>0.75458097599458329</c:v>
                </c:pt>
                <c:pt idx="35">
                  <c:v>0.76769804640853456</c:v>
                </c:pt>
                <c:pt idx="36">
                  <c:v>0.89388495025860604</c:v>
                </c:pt>
                <c:pt idx="37">
                  <c:v>0.8038172060531803</c:v>
                </c:pt>
                <c:pt idx="38">
                  <c:v>0.82751772038247962</c:v>
                </c:pt>
                <c:pt idx="39">
                  <c:v>0.77741666367340223</c:v>
                </c:pt>
                <c:pt idx="40">
                  <c:v>0.77301432242290924</c:v>
                </c:pt>
                <c:pt idx="41">
                  <c:v>0.8198307950823317</c:v>
                </c:pt>
                <c:pt idx="42">
                  <c:v>0.9075100116100705</c:v>
                </c:pt>
                <c:pt idx="43">
                  <c:v>0.72894687263841129</c:v>
                </c:pt>
                <c:pt idx="44">
                  <c:v>0.71746457871106317</c:v>
                </c:pt>
                <c:pt idx="45">
                  <c:v>0.82414198712593778</c:v>
                </c:pt>
                <c:pt idx="46">
                  <c:v>0.76846283472481891</c:v>
                </c:pt>
                <c:pt idx="47">
                  <c:v>0.739582434257264</c:v>
                </c:pt>
                <c:pt idx="48">
                  <c:v>0.68841463751425636</c:v>
                </c:pt>
                <c:pt idx="49">
                  <c:v>0.65988095663893975</c:v>
                </c:pt>
                <c:pt idx="50">
                  <c:v>0.59075073687859947</c:v>
                </c:pt>
                <c:pt idx="51">
                  <c:v>0.6119973709107086</c:v>
                </c:pt>
                <c:pt idx="52">
                  <c:v>0.72700559522268327</c:v>
                </c:pt>
                <c:pt idx="53">
                  <c:v>0.79962008610137436</c:v>
                </c:pt>
                <c:pt idx="54">
                  <c:v>0.76489835256371741</c:v>
                </c:pt>
                <c:pt idx="55">
                  <c:v>0.7663421711012931</c:v>
                </c:pt>
                <c:pt idx="56">
                  <c:v>0.81478863611633401</c:v>
                </c:pt>
                <c:pt idx="57">
                  <c:v>0.75681674252368225</c:v>
                </c:pt>
                <c:pt idx="58">
                  <c:v>0.82433374198408005</c:v>
                </c:pt>
                <c:pt idx="59">
                  <c:v>0.82168315096293687</c:v>
                </c:pt>
                <c:pt idx="60">
                  <c:v>0.78567716996968417</c:v>
                </c:pt>
                <c:pt idx="61">
                  <c:v>0.81146268146648259</c:v>
                </c:pt>
                <c:pt idx="62">
                  <c:v>0.77870569680583135</c:v>
                </c:pt>
                <c:pt idx="63">
                  <c:v>0.8227352591139776</c:v>
                </c:pt>
                <c:pt idx="64">
                  <c:v>0.74087540273359653</c:v>
                </c:pt>
                <c:pt idx="65">
                  <c:v>0.73982963858710704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D-40C3-B653-987D05AF9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189040"/>
        <c:axId val="705191336"/>
      </c:scatterChart>
      <c:valAx>
        <c:axId val="70518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5191336"/>
        <c:crosses val="autoZero"/>
        <c:crossBetween val="midCat"/>
      </c:valAx>
      <c:valAx>
        <c:axId val="705191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518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Annual!$AD$2:$AD$67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Annual!$AE$2:$AE$67</c:f>
              <c:numCache>
                <c:formatCode>0.000</c:formatCode>
                <c:ptCount val="66"/>
                <c:pt idx="0">
                  <c:v>-0.27510538636611098</c:v>
                </c:pt>
                <c:pt idx="1">
                  <c:v>-0.78313099480266501</c:v>
                </c:pt>
                <c:pt idx="2">
                  <c:v>-1.2009336435423781</c:v>
                </c:pt>
                <c:pt idx="3">
                  <c:v>-0.54837595648814919</c:v>
                </c:pt>
                <c:pt idx="4">
                  <c:v>0.68689603901527796</c:v>
                </c:pt>
                <c:pt idx="5">
                  <c:v>0.79037999119227043</c:v>
                </c:pt>
                <c:pt idx="6">
                  <c:v>-0.48747844340957985</c:v>
                </c:pt>
                <c:pt idx="7">
                  <c:v>-0.727694363518398</c:v>
                </c:pt>
                <c:pt idx="8">
                  <c:v>-1.1572916534300364</c:v>
                </c:pt>
                <c:pt idx="9">
                  <c:v>-0.74572040803791084</c:v>
                </c:pt>
                <c:pt idx="10">
                  <c:v>-6.6693227774826308E-2</c:v>
                </c:pt>
                <c:pt idx="11">
                  <c:v>-1.0901121049529874</c:v>
                </c:pt>
                <c:pt idx="12">
                  <c:v>-1.8435361724752879</c:v>
                </c:pt>
                <c:pt idx="13">
                  <c:v>-1.7384606362442347</c:v>
                </c:pt>
                <c:pt idx="14">
                  <c:v>-1.4343528579341991</c:v>
                </c:pt>
                <c:pt idx="15">
                  <c:v>-1.1226072404555694</c:v>
                </c:pt>
                <c:pt idx="16">
                  <c:v>-0.90338641559820743</c:v>
                </c:pt>
                <c:pt idx="17">
                  <c:v>-0.86113372014286849</c:v>
                </c:pt>
                <c:pt idx="18">
                  <c:v>-0.51067988577951906</c:v>
                </c:pt>
                <c:pt idx="19">
                  <c:v>-0.27291085959544004</c:v>
                </c:pt>
                <c:pt idx="20">
                  <c:v>0.40083758456126284</c:v>
                </c:pt>
                <c:pt idx="21">
                  <c:v>0.60867842041621945</c:v>
                </c:pt>
                <c:pt idx="22">
                  <c:v>0.19410364931633259</c:v>
                </c:pt>
                <c:pt idx="23">
                  <c:v>-0.38173846607605033</c:v>
                </c:pt>
                <c:pt idx="24">
                  <c:v>-0.58312100729576921</c:v>
                </c:pt>
                <c:pt idx="25">
                  <c:v>-0.68147549595728252</c:v>
                </c:pt>
                <c:pt idx="26">
                  <c:v>-1.314579016026161</c:v>
                </c:pt>
                <c:pt idx="27">
                  <c:v>-1.2367784281402643</c:v>
                </c:pt>
                <c:pt idx="28">
                  <c:v>-0.8292139539867518</c:v>
                </c:pt>
                <c:pt idx="29">
                  <c:v>3.2243437378107901E-3</c:v>
                </c:pt>
                <c:pt idx="30">
                  <c:v>1.1641820724534875</c:v>
                </c:pt>
                <c:pt idx="31">
                  <c:v>-0.23396675134970957</c:v>
                </c:pt>
                <c:pt idx="32">
                  <c:v>-0.46184329080277409</c:v>
                </c:pt>
                <c:pt idx="33">
                  <c:v>-0.31915653238858588</c:v>
                </c:pt>
                <c:pt idx="34">
                  <c:v>0.35614560415322705</c:v>
                </c:pt>
                <c:pt idx="35">
                  <c:v>0.54214032165583037</c:v>
                </c:pt>
                <c:pt idx="36">
                  <c:v>2.3314192378656191</c:v>
                </c:pt>
                <c:pt idx="37">
                  <c:v>1.0542952985317722</c:v>
                </c:pt>
                <c:pt idx="38">
                  <c:v>1.390358941420806</c:v>
                </c:pt>
                <c:pt idx="39">
                  <c:v>0.67994635727582797</c:v>
                </c:pt>
                <c:pt idx="40">
                  <c:v>0.61752295087521769</c:v>
                </c:pt>
                <c:pt idx="41">
                  <c:v>1.2813614706026288</c:v>
                </c:pt>
                <c:pt idx="42">
                  <c:v>2.5246170600200166</c:v>
                </c:pt>
                <c:pt idx="43">
                  <c:v>-7.3355438241996165E-3</c:v>
                </c:pt>
                <c:pt idx="44">
                  <c:v>-0.17014979638988725</c:v>
                </c:pt>
                <c:pt idx="45">
                  <c:v>1.3424924183634284</c:v>
                </c:pt>
                <c:pt idx="46">
                  <c:v>0.55298470857665583</c:v>
                </c:pt>
                <c:pt idx="47">
                  <c:v>0.1434723893768052</c:v>
                </c:pt>
                <c:pt idx="48">
                  <c:v>-0.58206613409747221</c:v>
                </c:pt>
                <c:pt idx="49">
                  <c:v>-0.98666211065556997</c:v>
                </c:pt>
                <c:pt idx="50">
                  <c:v>-1.9669004786330573</c:v>
                </c:pt>
                <c:pt idx="51">
                  <c:v>-1.6656318591949657</c:v>
                </c:pt>
                <c:pt idx="52">
                  <c:v>-3.4862067136027554E-2</c:v>
                </c:pt>
                <c:pt idx="53">
                  <c:v>0.99478184658518531</c:v>
                </c:pt>
                <c:pt idx="54">
                  <c:v>0.50244180290680396</c:v>
                </c:pt>
                <c:pt idx="55">
                  <c:v>0.52291456188016372</c:v>
                </c:pt>
                <c:pt idx="56">
                  <c:v>1.2098657095151149</c:v>
                </c:pt>
                <c:pt idx="57">
                  <c:v>0.38784786318350944</c:v>
                </c:pt>
                <c:pt idx="58">
                  <c:v>1.3452114241737494</c:v>
                </c:pt>
                <c:pt idx="59">
                  <c:v>1.3076271227532041</c:v>
                </c:pt>
                <c:pt idx="60">
                  <c:v>0.79707697307029035</c:v>
                </c:pt>
                <c:pt idx="61">
                  <c:v>1.1627050268319121</c:v>
                </c:pt>
                <c:pt idx="62">
                  <c:v>0.6982243222292408</c:v>
                </c:pt>
                <c:pt idx="63">
                  <c:v>1.3225455879408938</c:v>
                </c:pt>
                <c:pt idx="64">
                  <c:v>0.1618061559043876</c:v>
                </c:pt>
                <c:pt idx="65">
                  <c:v>0.14697764611810274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9-4DD8-A0F5-864539A28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176576"/>
        <c:axId val="705178872"/>
      </c:scatterChart>
      <c:valAx>
        <c:axId val="70517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5178872"/>
        <c:crosses val="autoZero"/>
        <c:crossBetween val="midCat"/>
      </c:valAx>
      <c:valAx>
        <c:axId val="70517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517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Densidad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'var1'!$B$39:$B$72</c:f>
              <c:numCache>
                <c:formatCode>General</c:formatCode>
                <c:ptCount val="34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</c:numCache>
            </c:numRef>
          </c:xVal>
          <c:yVal>
            <c:numRef>
              <c:f>'var1'!$C$39:$C$72</c:f>
              <c:numCache>
                <c:formatCode>0.000</c:formatCode>
                <c:ptCount val="34"/>
                <c:pt idx="0">
                  <c:v>0.81550751633869545</c:v>
                </c:pt>
                <c:pt idx="1">
                  <c:v>0.79696768259137007</c:v>
                </c:pt>
                <c:pt idx="2">
                  <c:v>0.80769713421735878</c:v>
                </c:pt>
                <c:pt idx="3">
                  <c:v>0.91252430713230026</c:v>
                </c:pt>
                <c:pt idx="4">
                  <c:v>0.75513658525308858</c:v>
                </c:pt>
                <c:pt idx="5">
                  <c:v>0.76930113596815086</c:v>
                </c:pt>
                <c:pt idx="6">
                  <c:v>0.78643340034339948</c:v>
                </c:pt>
                <c:pt idx="7">
                  <c:v>0.58977550143167634</c:v>
                </c:pt>
                <c:pt idx="8">
                  <c:v>0.75460553791196994</c:v>
                </c:pt>
                <c:pt idx="9">
                  <c:v>0.77985471388703187</c:v>
                </c:pt>
                <c:pt idx="10">
                  <c:v>0.74413918835485293</c:v>
                </c:pt>
                <c:pt idx="11">
                  <c:v>0.69455019097190673</c:v>
                </c:pt>
                <c:pt idx="12">
                  <c:v>0.75156394637089818</c:v>
                </c:pt>
                <c:pt idx="13">
                  <c:v>0.77947629525915196</c:v>
                </c:pt>
                <c:pt idx="14">
                  <c:v>0.62088538609929977</c:v>
                </c:pt>
                <c:pt idx="15">
                  <c:v>0.65505719308165467</c:v>
                </c:pt>
                <c:pt idx="16">
                  <c:v>0.66226161623106228</c:v>
                </c:pt>
                <c:pt idx="17">
                  <c:v>0.70055476321953836</c:v>
                </c:pt>
                <c:pt idx="18">
                  <c:v>0.63880289817233382</c:v>
                </c:pt>
                <c:pt idx="19">
                  <c:v>0.68362803803895933</c:v>
                </c:pt>
                <c:pt idx="20">
                  <c:v>0.68575007636188501</c:v>
                </c:pt>
                <c:pt idx="21">
                  <c:v>0.63455794683806599</c:v>
                </c:pt>
                <c:pt idx="22">
                  <c:v>0.62222077663906661</c:v>
                </c:pt>
                <c:pt idx="23">
                  <c:v>0.63170200146934274</c:v>
                </c:pt>
                <c:pt idx="24">
                  <c:v>0.72810658472989731</c:v>
                </c:pt>
                <c:pt idx="25">
                  <c:v>0.64214812853005487</c:v>
                </c:pt>
                <c:pt idx="26">
                  <c:v>0.67246264929214927</c:v>
                </c:pt>
                <c:pt idx="27">
                  <c:v>0.56391357894849192</c:v>
                </c:pt>
                <c:pt idx="28">
                  <c:v>0.63736882776452608</c:v>
                </c:pt>
                <c:pt idx="29">
                  <c:v>0.50114973812441388</c:v>
                </c:pt>
                <c:pt idx="30">
                  <c:v>0.62299919302908058</c:v>
                </c:pt>
                <c:pt idx="31">
                  <c:v>0.6127168271331831</c:v>
                </c:pt>
                <c:pt idx="32">
                  <c:v>0.64304774686892241</c:v>
                </c:pt>
                <c:pt idx="33">
                  <c:v>0.66360723747442307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43-4E09-98FF-92B39175106B}"/>
            </c:ext>
          </c:extLst>
        </c:ser>
        <c:ser>
          <c:idx val="1"/>
          <c:order val="1"/>
          <c:tx>
            <c:v>mu1 = 0.767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1982</c:v>
              </c:pt>
              <c:pt idx="1">
                <c:v>1995</c:v>
              </c:pt>
            </c:numLit>
          </c:xVal>
          <c:yVal>
            <c:numLit>
              <c:formatCode>General</c:formatCode>
              <c:ptCount val="2"/>
              <c:pt idx="0">
                <c:v>0.76696665257370367</c:v>
              </c:pt>
              <c:pt idx="1">
                <c:v>0.76696665257370367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943-4E09-98FF-92B39175106B}"/>
            </c:ext>
          </c:extLst>
        </c:ser>
        <c:ser>
          <c:idx val="2"/>
          <c:order val="2"/>
          <c:tx>
            <c:v>mu2 = 0.641</c:v>
          </c:tx>
          <c:spPr>
            <a:ln w="12700">
              <a:solidFill>
                <a:srgbClr val="0078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1996</c:v>
              </c:pt>
              <c:pt idx="1">
                <c:v>2015</c:v>
              </c:pt>
            </c:numLit>
          </c:xVal>
          <c:yVal>
            <c:numLit>
              <c:formatCode>General</c:formatCode>
              <c:ptCount val="2"/>
              <c:pt idx="0">
                <c:v>0.6411470604023175</c:v>
              </c:pt>
              <c:pt idx="1">
                <c:v>0.6411470604023175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E943-4E09-98FF-92B39175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901536"/>
        <c:axId val="721905144"/>
      </c:scatterChart>
      <c:valAx>
        <c:axId val="721901536"/>
        <c:scaling>
          <c:orientation val="minMax"/>
          <c:max val="2020"/>
          <c:min val="198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Año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21905144"/>
        <c:crosses val="autoZero"/>
        <c:crossBetween val="midCat"/>
      </c:valAx>
      <c:valAx>
        <c:axId val="721905144"/>
        <c:scaling>
          <c:orientation val="minMax"/>
          <c:max val="0.95"/>
          <c:min val="0.5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Densidad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21901536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Extension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'var1'!$B$115:$B$148</c:f>
              <c:numCache>
                <c:formatCode>General</c:formatCode>
                <c:ptCount val="34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</c:numCache>
            </c:numRef>
          </c:xVal>
          <c:yVal>
            <c:numRef>
              <c:f>'var1'!$C$115:$C$148</c:f>
              <c:numCache>
                <c:formatCode>0.000</c:formatCode>
                <c:ptCount val="34"/>
                <c:pt idx="0">
                  <c:v>0.83765000000013856</c:v>
                </c:pt>
                <c:pt idx="1">
                  <c:v>0.91380000000015116</c:v>
                </c:pt>
                <c:pt idx="2">
                  <c:v>1.0965600000001814</c:v>
                </c:pt>
                <c:pt idx="3">
                  <c:v>1.2793200000002116</c:v>
                </c:pt>
                <c:pt idx="4">
                  <c:v>1.8580600000003074</c:v>
                </c:pt>
                <c:pt idx="5">
                  <c:v>0.70058000000011589</c:v>
                </c:pt>
                <c:pt idx="6">
                  <c:v>1.5991500000002645</c:v>
                </c:pt>
                <c:pt idx="7">
                  <c:v>0.95949000000015872</c:v>
                </c:pt>
                <c:pt idx="8">
                  <c:v>1.1422500000001889</c:v>
                </c:pt>
                <c:pt idx="9">
                  <c:v>1.1879400000001965</c:v>
                </c:pt>
                <c:pt idx="10">
                  <c:v>1.3097800000002167</c:v>
                </c:pt>
                <c:pt idx="11">
                  <c:v>1.4011600000002318</c:v>
                </c:pt>
                <c:pt idx="12">
                  <c:v>1.3250100000001446</c:v>
                </c:pt>
                <c:pt idx="13">
                  <c:v>1.0813299999999266</c:v>
                </c:pt>
                <c:pt idx="14">
                  <c:v>1.4316199999999029</c:v>
                </c:pt>
                <c:pt idx="15">
                  <c:v>1.0051799999999318</c:v>
                </c:pt>
                <c:pt idx="16">
                  <c:v>1.4316799999999112</c:v>
                </c:pt>
                <c:pt idx="17">
                  <c:v>1.7061999999999991</c:v>
                </c:pt>
                <c:pt idx="18">
                  <c:v>1.5844000000000023</c:v>
                </c:pt>
                <c:pt idx="19">
                  <c:v>1.9194999999999993</c:v>
                </c:pt>
                <c:pt idx="20">
                  <c:v>1.2491999999999983</c:v>
                </c:pt>
                <c:pt idx="21">
                  <c:v>1.2949000000000019</c:v>
                </c:pt>
                <c:pt idx="22">
                  <c:v>1.2339999999999982</c:v>
                </c:pt>
                <c:pt idx="23">
                  <c:v>1.980500000000001</c:v>
                </c:pt>
                <c:pt idx="24">
                  <c:v>0.85309999999999953</c:v>
                </c:pt>
                <c:pt idx="25">
                  <c:v>1.4168000000000003</c:v>
                </c:pt>
                <c:pt idx="26">
                  <c:v>1.2492000000000001</c:v>
                </c:pt>
                <c:pt idx="27">
                  <c:v>1.1425999999999998</c:v>
                </c:pt>
                <c:pt idx="28">
                  <c:v>1.4472000000000005</c:v>
                </c:pt>
                <c:pt idx="29">
                  <c:v>1.4321000000000002</c:v>
                </c:pt>
                <c:pt idx="30">
                  <c:v>1.8129</c:v>
                </c:pt>
                <c:pt idx="31">
                  <c:v>1.7519</c:v>
                </c:pt>
                <c:pt idx="32">
                  <c:v>1.6147999999999998</c:v>
                </c:pt>
                <c:pt idx="33">
                  <c:v>1.5082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CB-4592-B4E9-E4D3D9CDC9CB}"/>
            </c:ext>
          </c:extLst>
        </c:ser>
        <c:ser>
          <c:idx val="1"/>
          <c:order val="1"/>
          <c:tx>
            <c:v>mu = 1.346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1982</c:v>
              </c:pt>
              <c:pt idx="1">
                <c:v>2015</c:v>
              </c:pt>
            </c:numLit>
          </c:xVal>
          <c:yVal>
            <c:numLit>
              <c:formatCode>General</c:formatCode>
              <c:ptCount val="2"/>
              <c:pt idx="0">
                <c:v>1.3458252941177111</c:v>
              </c:pt>
              <c:pt idx="1">
                <c:v>1.3458252941177111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7CB-4592-B4E9-E4D3D9CDC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907440"/>
        <c:axId val="721897928"/>
      </c:scatterChart>
      <c:valAx>
        <c:axId val="721907440"/>
        <c:scaling>
          <c:orientation val="minMax"/>
          <c:max val="2020"/>
          <c:min val="198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Año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21897928"/>
        <c:crosses val="autoZero"/>
        <c:crossBetween val="midCat"/>
      </c:valAx>
      <c:valAx>
        <c:axId val="721897928"/>
        <c:scaling>
          <c:orientation val="minMax"/>
          <c:max val="2.0999999999999996"/>
          <c:min val="0.7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Extension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21907440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Calcificacion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Calcificacion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'var1'!$B$191:$B$224</c:f>
              <c:numCache>
                <c:formatCode>General</c:formatCode>
                <c:ptCount val="34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</c:numCache>
            </c:numRef>
          </c:xVal>
          <c:yVal>
            <c:numRef>
              <c:f>'var1'!$C$191:$C$224</c:f>
              <c:numCache>
                <c:formatCode>0.000</c:formatCode>
                <c:ptCount val="34"/>
                <c:pt idx="0">
                  <c:v>0.68310987106122123</c:v>
                </c:pt>
                <c:pt idx="1">
                  <c:v>0.72826906835211447</c:v>
                </c:pt>
                <c:pt idx="2">
                  <c:v>0.88568836949753349</c:v>
                </c:pt>
                <c:pt idx="3">
                  <c:v>1.1674105966006876</c:v>
                </c:pt>
                <c:pt idx="4">
                  <c:v>1.4030890835955858</c:v>
                </c:pt>
                <c:pt idx="5">
                  <c:v>0.5389569898366563</c:v>
                </c:pt>
                <c:pt idx="6">
                  <c:v>1.2576249721593553</c:v>
                </c:pt>
                <c:pt idx="7">
                  <c:v>0.56588369586877274</c:v>
                </c:pt>
                <c:pt idx="8">
                  <c:v>0.86194817568009019</c:v>
                </c:pt>
                <c:pt idx="9">
                  <c:v>0.9264206088151139</c:v>
                </c:pt>
                <c:pt idx="10">
                  <c:v>0.97465862612358045</c:v>
                </c:pt>
                <c:pt idx="11">
                  <c:v>0.97317594558235787</c:v>
                </c:pt>
                <c:pt idx="12">
                  <c:v>0.99582974458101248</c:v>
                </c:pt>
                <c:pt idx="13">
                  <c:v>0.84287110235252161</c:v>
                </c:pt>
                <c:pt idx="14">
                  <c:v>0.88887193644741924</c:v>
                </c:pt>
                <c:pt idx="15">
                  <c:v>0.65845038934177291</c:v>
                </c:pt>
                <c:pt idx="16">
                  <c:v>0.94814671072562851</c:v>
                </c:pt>
                <c:pt idx="17">
                  <c:v>1.1952865370051757</c:v>
                </c:pt>
                <c:pt idx="18">
                  <c:v>1.0121193118642471</c:v>
                </c:pt>
                <c:pt idx="19">
                  <c:v>1.3122240190157819</c:v>
                </c:pt>
                <c:pt idx="20">
                  <c:v>0.85663899539126565</c:v>
                </c:pt>
                <c:pt idx="21">
                  <c:v>0.82168908536061291</c:v>
                </c:pt>
                <c:pt idx="22">
                  <c:v>0.76782043837260705</c:v>
                </c:pt>
                <c:pt idx="23">
                  <c:v>1.251085813910034</c:v>
                </c:pt>
                <c:pt idx="24">
                  <c:v>0.621147727433075</c:v>
                </c:pt>
                <c:pt idx="25">
                  <c:v>0.90979546850138193</c:v>
                </c:pt>
                <c:pt idx="26">
                  <c:v>0.84004034149575291</c:v>
                </c:pt>
                <c:pt idx="27">
                  <c:v>0.64432765530654679</c:v>
                </c:pt>
                <c:pt idx="28">
                  <c:v>0.92240016754082244</c:v>
                </c:pt>
                <c:pt idx="29">
                  <c:v>0.71769653996797322</c:v>
                </c:pt>
                <c:pt idx="30">
                  <c:v>1.1294352370424201</c:v>
                </c:pt>
                <c:pt idx="31">
                  <c:v>1.0734186094546234</c:v>
                </c:pt>
                <c:pt idx="32">
                  <c:v>1.0383935016439358</c:v>
                </c:pt>
                <c:pt idx="33">
                  <c:v>1.0008524355589248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86-4A72-92B5-0EA0822C204E}"/>
            </c:ext>
          </c:extLst>
        </c:ser>
        <c:ser>
          <c:idx val="1"/>
          <c:order val="1"/>
          <c:tx>
            <c:v>mu = 0.924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1982</c:v>
              </c:pt>
              <c:pt idx="1">
                <c:v>2015</c:v>
              </c:pt>
            </c:numLit>
          </c:xVal>
          <c:yVal>
            <c:numLit>
              <c:formatCode>General</c:formatCode>
              <c:ptCount val="2"/>
              <c:pt idx="0">
                <c:v>0.92396405210254717</c:v>
              </c:pt>
              <c:pt idx="1">
                <c:v>0.92396405210254717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186-4A72-92B5-0EA0822C2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902520"/>
        <c:axId val="721914656"/>
      </c:scatterChart>
      <c:valAx>
        <c:axId val="721902520"/>
        <c:scaling>
          <c:orientation val="minMax"/>
          <c:max val="2020"/>
          <c:min val="198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Año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21914656"/>
        <c:crosses val="autoZero"/>
        <c:crossBetween val="midCat"/>
      </c:valAx>
      <c:valAx>
        <c:axId val="721914656"/>
        <c:scaling>
          <c:orientation val="minMax"/>
          <c:max val="1.6"/>
          <c:min val="0.4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Calcificacion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21902520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Densidad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'var2'!$B$39:$B$103</c:f>
              <c:numCache>
                <c:formatCode>General</c:formatCode>
                <c:ptCount val="65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</c:numCache>
            </c:numRef>
          </c:xVal>
          <c:yVal>
            <c:numRef>
              <c:f>'var2'!$C$39:$C$103</c:f>
              <c:numCache>
                <c:formatCode>0.000</c:formatCode>
                <c:ptCount val="65"/>
                <c:pt idx="0">
                  <c:v>0.8840593156021278</c:v>
                </c:pt>
                <c:pt idx="1">
                  <c:v>0.79436286427064873</c:v>
                </c:pt>
                <c:pt idx="2">
                  <c:v>0.73597317448817812</c:v>
                </c:pt>
                <c:pt idx="3">
                  <c:v>0.73710362281210862</c:v>
                </c:pt>
                <c:pt idx="4">
                  <c:v>0.74330277007338164</c:v>
                </c:pt>
                <c:pt idx="5">
                  <c:v>0.70946068030296328</c:v>
                </c:pt>
                <c:pt idx="6">
                  <c:v>0.75992428640024401</c:v>
                </c:pt>
                <c:pt idx="7">
                  <c:v>0.69201293904788752</c:v>
                </c:pt>
                <c:pt idx="8">
                  <c:v>0.87291380798157425</c:v>
                </c:pt>
                <c:pt idx="9">
                  <c:v>0.76617173703511665</c:v>
                </c:pt>
                <c:pt idx="10">
                  <c:v>0.93128588043147176</c:v>
                </c:pt>
                <c:pt idx="11">
                  <c:v>0.97069644014368572</c:v>
                </c:pt>
                <c:pt idx="12">
                  <c:v>0.83939595241303389</c:v>
                </c:pt>
                <c:pt idx="13">
                  <c:v>0.67956555718654232</c:v>
                </c:pt>
                <c:pt idx="14">
                  <c:v>0.64331767435975162</c:v>
                </c:pt>
                <c:pt idx="15">
                  <c:v>0.73602325490666343</c:v>
                </c:pt>
                <c:pt idx="16">
                  <c:v>0.77106668049929805</c:v>
                </c:pt>
                <c:pt idx="17">
                  <c:v>0.80596840063187669</c:v>
                </c:pt>
                <c:pt idx="18">
                  <c:v>0.78928831408450084</c:v>
                </c:pt>
                <c:pt idx="19">
                  <c:v>0.86926447850477984</c:v>
                </c:pt>
                <c:pt idx="20">
                  <c:v>0.86006293352650398</c:v>
                </c:pt>
                <c:pt idx="21">
                  <c:v>0.85798613598789975</c:v>
                </c:pt>
                <c:pt idx="22">
                  <c:v>1.14852263409818</c:v>
                </c:pt>
                <c:pt idx="23">
                  <c:v>1.0672407384702209</c:v>
                </c:pt>
                <c:pt idx="24">
                  <c:v>0.89822413356091457</c:v>
                </c:pt>
                <c:pt idx="25">
                  <c:v>0.85404013161630354</c:v>
                </c:pt>
                <c:pt idx="26">
                  <c:v>0.91516845475343067</c:v>
                </c:pt>
                <c:pt idx="27">
                  <c:v>0.9895689464205436</c:v>
                </c:pt>
                <c:pt idx="28">
                  <c:v>0.82012318739592382</c:v>
                </c:pt>
                <c:pt idx="29">
                  <c:v>0.85337161306901299</c:v>
                </c:pt>
                <c:pt idx="30">
                  <c:v>0.93029318572324948</c:v>
                </c:pt>
                <c:pt idx="31">
                  <c:v>0.74777002756884015</c:v>
                </c:pt>
                <c:pt idx="32">
                  <c:v>0.78033679487186247</c:v>
                </c:pt>
                <c:pt idx="33">
                  <c:v>0.6711455359921854</c:v>
                </c:pt>
                <c:pt idx="34">
                  <c:v>0.77746703677571294</c:v>
                </c:pt>
                <c:pt idx="35">
                  <c:v>0.77308993976563956</c:v>
                </c:pt>
                <c:pt idx="36">
                  <c:v>0.56424657468312156</c:v>
                </c:pt>
                <c:pt idx="37">
                  <c:v>0.52716806175559072</c:v>
                </c:pt>
                <c:pt idx="38">
                  <c:v>0.57305042588842547</c:v>
                </c:pt>
                <c:pt idx="39">
                  <c:v>0.60682863482004068</c:v>
                </c:pt>
                <c:pt idx="40">
                  <c:v>0.60051194166138622</c:v>
                </c:pt>
                <c:pt idx="41">
                  <c:v>0.63733925213484843</c:v>
                </c:pt>
                <c:pt idx="42">
                  <c:v>0.73340451505927184</c:v>
                </c:pt>
                <c:pt idx="43">
                  <c:v>0.89485913084837687</c:v>
                </c:pt>
                <c:pt idx="44">
                  <c:v>0.77288175141005988</c:v>
                </c:pt>
                <c:pt idx="45">
                  <c:v>0.60864243427221498</c:v>
                </c:pt>
                <c:pt idx="46">
                  <c:v>0.57386193314575706</c:v>
                </c:pt>
                <c:pt idx="47">
                  <c:v>0.52908184724585228</c:v>
                </c:pt>
                <c:pt idx="48">
                  <c:v>0.59948203148410917</c:v>
                </c:pt>
                <c:pt idx="49">
                  <c:v>0.7008806818208736</c:v>
                </c:pt>
                <c:pt idx="50">
                  <c:v>0.62380953543353201</c:v>
                </c:pt>
                <c:pt idx="51">
                  <c:v>0.48742451916175678</c:v>
                </c:pt>
                <c:pt idx="52">
                  <c:v>0.53957047445624007</c:v>
                </c:pt>
                <c:pt idx="53">
                  <c:v>0.61407763404099669</c:v>
                </c:pt>
                <c:pt idx="54">
                  <c:v>0.71016198852487178</c:v>
                </c:pt>
                <c:pt idx="55">
                  <c:v>0.68828896411449936</c:v>
                </c:pt>
                <c:pt idx="56">
                  <c:v>0.66820878270452211</c:v>
                </c:pt>
                <c:pt idx="57">
                  <c:v>0.66878828682890168</c:v>
                </c:pt>
                <c:pt idx="58">
                  <c:v>0.64925692520316236</c:v>
                </c:pt>
                <c:pt idx="59">
                  <c:v>0.74676148601992631</c:v>
                </c:pt>
                <c:pt idx="60">
                  <c:v>0.62489176601921459</c:v>
                </c:pt>
                <c:pt idx="61">
                  <c:v>0.52600275868127733</c:v>
                </c:pt>
                <c:pt idx="62">
                  <c:v>0.57414765617912422</c:v>
                </c:pt>
                <c:pt idx="63">
                  <c:v>0.64016044547260831</c:v>
                </c:pt>
                <c:pt idx="64">
                  <c:v>0.6211932743214883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28-421B-B324-52362E104286}"/>
            </c:ext>
          </c:extLst>
        </c:ser>
        <c:ser>
          <c:idx val="1"/>
          <c:order val="1"/>
          <c:tx>
            <c:v>mu1 = 0.824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1951</c:v>
              </c:pt>
              <c:pt idx="1">
                <c:v>1986</c:v>
              </c:pt>
            </c:numLit>
          </c:xVal>
          <c:yVal>
            <c:numLit>
              <c:formatCode>General</c:formatCode>
              <c:ptCount val="2"/>
              <c:pt idx="0">
                <c:v>0.82432136835478498</c:v>
              </c:pt>
              <c:pt idx="1">
                <c:v>0.82432136835478498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D28-421B-B324-52362E104286}"/>
            </c:ext>
          </c:extLst>
        </c:ser>
        <c:ser>
          <c:idx val="2"/>
          <c:order val="2"/>
          <c:tx>
            <c:v>mu2 = 0.631</c:v>
          </c:tx>
          <c:spPr>
            <a:ln w="12700">
              <a:solidFill>
                <a:srgbClr val="0078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1987</c:v>
              </c:pt>
              <c:pt idx="1">
                <c:v>2015</c:v>
              </c:pt>
            </c:numLit>
          </c:xVal>
          <c:yVal>
            <c:numLit>
              <c:formatCode>General</c:formatCode>
              <c:ptCount val="2"/>
              <c:pt idx="0">
                <c:v>0.63120633494455347</c:v>
              </c:pt>
              <c:pt idx="1">
                <c:v>0.63120633494455347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D28-421B-B324-52362E104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912032"/>
        <c:axId val="721909408"/>
      </c:scatterChart>
      <c:valAx>
        <c:axId val="721912032"/>
        <c:scaling>
          <c:orientation val="minMax"/>
          <c:max val="2020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Año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21909408"/>
        <c:crosses val="autoZero"/>
        <c:crossBetween val="midCat"/>
      </c:valAx>
      <c:valAx>
        <c:axId val="721909408"/>
        <c:scaling>
          <c:orientation val="minMax"/>
          <c:max val="1.2"/>
          <c:min val="0.4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Densidad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21912032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Extension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'var2'!$B$146:$B$210</c:f>
              <c:numCache>
                <c:formatCode>General</c:formatCode>
                <c:ptCount val="65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</c:numCache>
            </c:numRef>
          </c:xVal>
          <c:yVal>
            <c:numRef>
              <c:f>'var2'!$C$146:$C$210</c:f>
              <c:numCache>
                <c:formatCode>0.000</c:formatCode>
                <c:ptCount val="65"/>
                <c:pt idx="0">
                  <c:v>0.92250000000001364</c:v>
                </c:pt>
                <c:pt idx="1">
                  <c:v>1.2300000000000182</c:v>
                </c:pt>
                <c:pt idx="2">
                  <c:v>0.95325000000001125</c:v>
                </c:pt>
                <c:pt idx="3">
                  <c:v>1.4145000000000181</c:v>
                </c:pt>
                <c:pt idx="4">
                  <c:v>1.1992500000000206</c:v>
                </c:pt>
                <c:pt idx="5">
                  <c:v>1.1992500000000206</c:v>
                </c:pt>
                <c:pt idx="6">
                  <c:v>0.92250000000001364</c:v>
                </c:pt>
                <c:pt idx="7">
                  <c:v>1.1070000000000135</c:v>
                </c:pt>
                <c:pt idx="8">
                  <c:v>1.2915000000000205</c:v>
                </c:pt>
                <c:pt idx="9">
                  <c:v>1.291500000000017</c:v>
                </c:pt>
                <c:pt idx="10">
                  <c:v>1.4145000000000252</c:v>
                </c:pt>
                <c:pt idx="11">
                  <c:v>1.1685000000000159</c:v>
                </c:pt>
                <c:pt idx="12">
                  <c:v>1.1377500000000182</c:v>
                </c:pt>
                <c:pt idx="13">
                  <c:v>1.1070000000000135</c:v>
                </c:pt>
                <c:pt idx="14">
                  <c:v>1.0455000000000148</c:v>
                </c:pt>
                <c:pt idx="15">
                  <c:v>1.1377500000000182</c:v>
                </c:pt>
                <c:pt idx="16">
                  <c:v>1.0762500000000159</c:v>
                </c:pt>
                <c:pt idx="17">
                  <c:v>0.98400000000000887</c:v>
                </c:pt>
                <c:pt idx="18">
                  <c:v>1.0147500000000171</c:v>
                </c:pt>
                <c:pt idx="19">
                  <c:v>1.2607500000000194</c:v>
                </c:pt>
                <c:pt idx="20">
                  <c:v>1.0762500000000159</c:v>
                </c:pt>
                <c:pt idx="21">
                  <c:v>0.95325000000001481</c:v>
                </c:pt>
                <c:pt idx="22">
                  <c:v>1.0455000000000148</c:v>
                </c:pt>
                <c:pt idx="23">
                  <c:v>1.0762500000000159</c:v>
                </c:pt>
                <c:pt idx="24">
                  <c:v>1.0762500000000159</c:v>
                </c:pt>
                <c:pt idx="25">
                  <c:v>1.1377500000000182</c:v>
                </c:pt>
                <c:pt idx="26">
                  <c:v>0.92255000000001175</c:v>
                </c:pt>
                <c:pt idx="27">
                  <c:v>1.1688000000000045</c:v>
                </c:pt>
                <c:pt idx="28">
                  <c:v>1.2302500000000123</c:v>
                </c:pt>
                <c:pt idx="29">
                  <c:v>1.1072500000000076</c:v>
                </c:pt>
                <c:pt idx="30">
                  <c:v>1.3533500000000096</c:v>
                </c:pt>
                <c:pt idx="31">
                  <c:v>1.0458500000000086</c:v>
                </c:pt>
                <c:pt idx="32">
                  <c:v>0.95355000000000345</c:v>
                </c:pt>
                <c:pt idx="33">
                  <c:v>0.86125000000000895</c:v>
                </c:pt>
                <c:pt idx="34">
                  <c:v>0.89205000000000112</c:v>
                </c:pt>
                <c:pt idx="35">
                  <c:v>0.70745000000000857</c:v>
                </c:pt>
                <c:pt idx="36">
                  <c:v>1.1994500000000112</c:v>
                </c:pt>
                <c:pt idx="37">
                  <c:v>0.95374999999999766</c:v>
                </c:pt>
                <c:pt idx="38">
                  <c:v>0.79984999999999928</c:v>
                </c:pt>
                <c:pt idx="39">
                  <c:v>1.2306500000000025</c:v>
                </c:pt>
                <c:pt idx="40">
                  <c:v>0.73840000000000217</c:v>
                </c:pt>
                <c:pt idx="41">
                  <c:v>0.73834999999999695</c:v>
                </c:pt>
                <c:pt idx="42">
                  <c:v>0.76910000000000167</c:v>
                </c:pt>
                <c:pt idx="43">
                  <c:v>1.1383500000000009</c:v>
                </c:pt>
                <c:pt idx="44">
                  <c:v>1.0460499999999993</c:v>
                </c:pt>
                <c:pt idx="45">
                  <c:v>1.2922000000000011</c:v>
                </c:pt>
                <c:pt idx="46">
                  <c:v>1.0459999999999958</c:v>
                </c:pt>
                <c:pt idx="47">
                  <c:v>1.4152000000000005</c:v>
                </c:pt>
                <c:pt idx="48">
                  <c:v>0.98450000000000237</c:v>
                </c:pt>
                <c:pt idx="49">
                  <c:v>1.2921499999999995</c:v>
                </c:pt>
                <c:pt idx="50">
                  <c:v>0.92295000000000016</c:v>
                </c:pt>
                <c:pt idx="51">
                  <c:v>1.4152500000000003</c:v>
                </c:pt>
                <c:pt idx="52">
                  <c:v>1.2613499999999984</c:v>
                </c:pt>
                <c:pt idx="53">
                  <c:v>0.95379999999999932</c:v>
                </c:pt>
                <c:pt idx="54">
                  <c:v>1.1998500000000023</c:v>
                </c:pt>
                <c:pt idx="55">
                  <c:v>1.230599999999999</c:v>
                </c:pt>
                <c:pt idx="56">
                  <c:v>1.1075499999999998</c:v>
                </c:pt>
                <c:pt idx="57">
                  <c:v>1.2921500000000004</c:v>
                </c:pt>
                <c:pt idx="58">
                  <c:v>0.92299999999999915</c:v>
                </c:pt>
                <c:pt idx="59">
                  <c:v>0.89220000000000121</c:v>
                </c:pt>
                <c:pt idx="60">
                  <c:v>0.95369999999999955</c:v>
                </c:pt>
                <c:pt idx="61">
                  <c:v>1.0768</c:v>
                </c:pt>
                <c:pt idx="62">
                  <c:v>1.2922000000000002</c:v>
                </c:pt>
                <c:pt idx="63">
                  <c:v>1.6613499999999999</c:v>
                </c:pt>
                <c:pt idx="64">
                  <c:v>0.86139999999999983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D6-4C26-A987-42B7354A2ACA}"/>
            </c:ext>
          </c:extLst>
        </c:ser>
        <c:ser>
          <c:idx val="1"/>
          <c:order val="1"/>
          <c:tx>
            <c:v>mu = 1.095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1951</c:v>
              </c:pt>
              <c:pt idx="1">
                <c:v>2015</c:v>
              </c:pt>
            </c:numLit>
          </c:xVal>
          <c:yVal>
            <c:numLit>
              <c:formatCode>General</c:formatCode>
              <c:ptCount val="2"/>
              <c:pt idx="0">
                <c:v>1.0949807692307771</c:v>
              </c:pt>
              <c:pt idx="1">
                <c:v>1.0949807692307771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6D6-4C26-A987-42B7354A2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67336"/>
        <c:axId val="716574224"/>
      </c:scatterChart>
      <c:valAx>
        <c:axId val="716567336"/>
        <c:scaling>
          <c:orientation val="minMax"/>
          <c:max val="2020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Año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16574224"/>
        <c:crosses val="autoZero"/>
        <c:crossBetween val="midCat"/>
      </c:valAx>
      <c:valAx>
        <c:axId val="716574224"/>
        <c:scaling>
          <c:orientation val="minMax"/>
          <c:max val="1.8"/>
          <c:min val="0.60000000000000009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Extension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16567336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Calcificacion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Calcificacion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'var2'!$B$253:$B$317</c:f>
              <c:numCache>
                <c:formatCode>General</c:formatCode>
                <c:ptCount val="65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</c:numCache>
            </c:numRef>
          </c:xVal>
          <c:yVal>
            <c:numRef>
              <c:f>'var2'!$C$253:$C$317</c:f>
              <c:numCache>
                <c:formatCode>0.000</c:formatCode>
                <c:ptCount val="65"/>
                <c:pt idx="0">
                  <c:v>0.81554471864297495</c:v>
                </c:pt>
                <c:pt idx="1">
                  <c:v>0.97706632305291241</c:v>
                </c:pt>
                <c:pt idx="2">
                  <c:v>0.67776853917132118</c:v>
                </c:pt>
                <c:pt idx="3">
                  <c:v>1.0416869359712728</c:v>
                </c:pt>
                <c:pt idx="4">
                  <c:v>0.8875642512814399</c:v>
                </c:pt>
                <c:pt idx="5">
                  <c:v>0.86444872940372286</c:v>
                </c:pt>
                <c:pt idx="6">
                  <c:v>0.70103015420423542</c:v>
                </c:pt>
                <c:pt idx="7">
                  <c:v>0.76605832352602077</c:v>
                </c:pt>
                <c:pt idx="8">
                  <c:v>1.1286541718233529</c:v>
                </c:pt>
                <c:pt idx="9">
                  <c:v>0.97497523955496601</c:v>
                </c:pt>
                <c:pt idx="10">
                  <c:v>1.3286855951720937</c:v>
                </c:pt>
                <c:pt idx="11">
                  <c:v>1.1129723658102828</c:v>
                </c:pt>
                <c:pt idx="12">
                  <c:v>0.93600494211824947</c:v>
                </c:pt>
                <c:pt idx="13">
                  <c:v>0.73914905190428082</c:v>
                </c:pt>
                <c:pt idx="14">
                  <c:v>0.65666893258770243</c:v>
                </c:pt>
                <c:pt idx="15">
                  <c:v>0.82547989892099372</c:v>
                </c:pt>
                <c:pt idx="16">
                  <c:v>0.80674068460658444</c:v>
                </c:pt>
                <c:pt idx="17">
                  <c:v>0.76708603436549416</c:v>
                </c:pt>
                <c:pt idx="18">
                  <c:v>0.80664215934946937</c:v>
                </c:pt>
                <c:pt idx="19">
                  <c:v>1.0670397011655373</c:v>
                </c:pt>
                <c:pt idx="20">
                  <c:v>0.93425005249656412</c:v>
                </c:pt>
                <c:pt idx="21">
                  <c:v>0.81968863550018189</c:v>
                </c:pt>
                <c:pt idx="22">
                  <c:v>1.2007804139496634</c:v>
                </c:pt>
                <c:pt idx="23">
                  <c:v>1.2456628726409276</c:v>
                </c:pt>
                <c:pt idx="24">
                  <c:v>0.97974578802897239</c:v>
                </c:pt>
                <c:pt idx="25">
                  <c:v>0.96829987095576286</c:v>
                </c:pt>
                <c:pt idx="26">
                  <c:v>0.84070675809853523</c:v>
                </c:pt>
                <c:pt idx="27">
                  <c:v>1.1586644851100418</c:v>
                </c:pt>
                <c:pt idx="28">
                  <c:v>0.98323202488688777</c:v>
                </c:pt>
                <c:pt idx="29">
                  <c:v>0.91452633287095164</c:v>
                </c:pt>
                <c:pt idx="30">
                  <c:v>1.3046115979613848</c:v>
                </c:pt>
                <c:pt idx="31">
                  <c:v>0.81981085639979945</c:v>
                </c:pt>
                <c:pt idx="32">
                  <c:v>0.81450770768202641</c:v>
                </c:pt>
                <c:pt idx="33">
                  <c:v>0.60069712483454496</c:v>
                </c:pt>
                <c:pt idx="34">
                  <c:v>0.78144572922296007</c:v>
                </c:pt>
                <c:pt idx="35">
                  <c:v>0.55675474827985494</c:v>
                </c:pt>
                <c:pt idx="36">
                  <c:v>0.66795130760748378</c:v>
                </c:pt>
                <c:pt idx="37">
                  <c:v>0.51919709233718891</c:v>
                </c:pt>
                <c:pt idx="38">
                  <c:v>0.42651678705360857</c:v>
                </c:pt>
                <c:pt idx="39">
                  <c:v>0.74679819294960936</c:v>
                </c:pt>
                <c:pt idx="40">
                  <c:v>0.45723833644729583</c:v>
                </c:pt>
                <c:pt idx="41">
                  <c:v>0.47057667544607579</c:v>
                </c:pt>
                <c:pt idx="42">
                  <c:v>0.57455076794984894</c:v>
                </c:pt>
                <c:pt idx="43">
                  <c:v>1.0130280950080974</c:v>
                </c:pt>
                <c:pt idx="44">
                  <c:v>0.78622843797023045</c:v>
                </c:pt>
                <c:pt idx="45">
                  <c:v>0.79120339990616539</c:v>
                </c:pt>
                <c:pt idx="46">
                  <c:v>0.60289639981529231</c:v>
                </c:pt>
                <c:pt idx="47">
                  <c:v>0.74921562145335474</c:v>
                </c:pt>
                <c:pt idx="48">
                  <c:v>0.5990667066578822</c:v>
                </c:pt>
                <c:pt idx="49">
                  <c:v>0.95516296848436011</c:v>
                </c:pt>
                <c:pt idx="50">
                  <c:v>0.57250079151618039</c:v>
                </c:pt>
                <c:pt idx="51">
                  <c:v>0.68549348102283114</c:v>
                </c:pt>
                <c:pt idx="52">
                  <c:v>0.68729686357868069</c:v>
                </c:pt>
                <c:pt idx="53">
                  <c:v>0.56230553024880203</c:v>
                </c:pt>
                <c:pt idx="54">
                  <c:v>0.84455712695417406</c:v>
                </c:pt>
                <c:pt idx="55">
                  <c:v>0.84950836220993464</c:v>
                </c:pt>
                <c:pt idx="56">
                  <c:v>0.7343547747957766</c:v>
                </c:pt>
                <c:pt idx="57">
                  <c:v>0.8783075602746081</c:v>
                </c:pt>
                <c:pt idx="58">
                  <c:v>0.5992641419625182</c:v>
                </c:pt>
                <c:pt idx="59">
                  <c:v>0.66344322330202021</c:v>
                </c:pt>
                <c:pt idx="60">
                  <c:v>0.57115761037816193</c:v>
                </c:pt>
                <c:pt idx="61">
                  <c:v>0.59076554657097979</c:v>
                </c:pt>
                <c:pt idx="62">
                  <c:v>0.73143770914895678</c:v>
                </c:pt>
                <c:pt idx="63">
                  <c:v>1.0734864708168383</c:v>
                </c:pt>
                <c:pt idx="64">
                  <c:v>0.53509588650052986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D2-4E3D-B4D2-7181F6A97AE4}"/>
            </c:ext>
          </c:extLst>
        </c:ser>
        <c:ser>
          <c:idx val="1"/>
          <c:order val="1"/>
          <c:tx>
            <c:v>mu1 = 0.935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1951</c:v>
              </c:pt>
              <c:pt idx="1">
                <c:v>1983</c:v>
              </c:pt>
            </c:numLit>
          </c:xVal>
          <c:yVal>
            <c:numLit>
              <c:formatCode>General</c:formatCode>
              <c:ptCount val="2"/>
              <c:pt idx="0">
                <c:v>0.93532588330953359</c:v>
              </c:pt>
              <c:pt idx="1">
                <c:v>0.93532588330953359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6D2-4E3D-B4D2-7181F6A97AE4}"/>
            </c:ext>
          </c:extLst>
        </c:ser>
        <c:ser>
          <c:idx val="2"/>
          <c:order val="2"/>
          <c:tx>
            <c:v>mu2 = 0.684</c:v>
          </c:tx>
          <c:spPr>
            <a:ln w="12700">
              <a:solidFill>
                <a:srgbClr val="0078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1984</c:v>
              </c:pt>
              <c:pt idx="1">
                <c:v>2015</c:v>
              </c:pt>
            </c:numLit>
          </c:xVal>
          <c:yVal>
            <c:numLit>
              <c:formatCode>General</c:formatCode>
              <c:ptCount val="2"/>
              <c:pt idx="0">
                <c:v>0.6836719834595264</c:v>
              </c:pt>
              <c:pt idx="1">
                <c:v>0.6836719834595264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66D2-4E3D-B4D2-7181F6A97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78816"/>
        <c:axId val="716582424"/>
      </c:scatterChart>
      <c:valAx>
        <c:axId val="716578816"/>
        <c:scaling>
          <c:orientation val="minMax"/>
          <c:max val="2020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Año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16582424"/>
        <c:crosses val="autoZero"/>
        <c:crossBetween val="midCat"/>
      </c:valAx>
      <c:valAx>
        <c:axId val="716582424"/>
        <c:scaling>
          <c:orientation val="minMax"/>
          <c:max val="1.4000000000000001"/>
          <c:min val="0.4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Calcificacion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16578816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Serie1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Serie1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'var3'!$B$39:$B$103</c:f>
              <c:numCache>
                <c:formatCode>General</c:formatCode>
                <c:ptCount val="65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</c:numCache>
            </c:numRef>
          </c:xVal>
          <c:yVal>
            <c:numRef>
              <c:f>'var3'!$C$39:$C$103</c:f>
              <c:numCache>
                <c:formatCode>0.000</c:formatCode>
                <c:ptCount val="65"/>
                <c:pt idx="0">
                  <c:v>0.82382176492747328</c:v>
                </c:pt>
                <c:pt idx="1">
                  <c:v>0.99935069030124746</c:v>
                </c:pt>
                <c:pt idx="2">
                  <c:v>0.92836792152646264</c:v>
                </c:pt>
                <c:pt idx="3">
                  <c:v>0.95252946662586591</c:v>
                </c:pt>
                <c:pt idx="4">
                  <c:v>0.81724860190439597</c:v>
                </c:pt>
                <c:pt idx="5">
                  <c:v>0.94143153684461511</c:v>
                </c:pt>
                <c:pt idx="6">
                  <c:v>0.93022634301734897</c:v>
                </c:pt>
                <c:pt idx="7">
                  <c:v>0.83317542328973249</c:v>
                </c:pt>
                <c:pt idx="8">
                  <c:v>0.83035521688795821</c:v>
                </c:pt>
                <c:pt idx="9">
                  <c:v>0.87734873654828371</c:v>
                </c:pt>
                <c:pt idx="10">
                  <c:v>0.85833821831563029</c:v>
                </c:pt>
                <c:pt idx="11">
                  <c:v>0.87478177247717248</c:v>
                </c:pt>
                <c:pt idx="12">
                  <c:v>0.80878178592437378</c:v>
                </c:pt>
                <c:pt idx="13">
                  <c:v>0.76381904641653642</c:v>
                </c:pt>
                <c:pt idx="14">
                  <c:v>0.8355585291121167</c:v>
                </c:pt>
                <c:pt idx="15">
                  <c:v>0.81070761023016269</c:v>
                </c:pt>
                <c:pt idx="16">
                  <c:v>0.83339101809092442</c:v>
                </c:pt>
                <c:pt idx="17">
                  <c:v>0.79998842210400412</c:v>
                </c:pt>
                <c:pt idx="18">
                  <c:v>0.92779852290412601</c:v>
                </c:pt>
                <c:pt idx="19">
                  <c:v>0.99569462095956263</c:v>
                </c:pt>
                <c:pt idx="20">
                  <c:v>0.75128274208852364</c:v>
                </c:pt>
                <c:pt idx="21">
                  <c:v>0.75856741738393207</c:v>
                </c:pt>
                <c:pt idx="22">
                  <c:v>0.71200347713312007</c:v>
                </c:pt>
                <c:pt idx="23">
                  <c:v>0.63046331522771881</c:v>
                </c:pt>
                <c:pt idx="24">
                  <c:v>0.66688544810036199</c:v>
                </c:pt>
                <c:pt idx="25">
                  <c:v>0.58990273393689596</c:v>
                </c:pt>
                <c:pt idx="26">
                  <c:v>0.6949071979868533</c:v>
                </c:pt>
                <c:pt idx="27">
                  <c:v>0.58396358572640739</c:v>
                </c:pt>
                <c:pt idx="28">
                  <c:v>0.94102333078191425</c:v>
                </c:pt>
                <c:pt idx="29">
                  <c:v>0.62270223021697901</c:v>
                </c:pt>
                <c:pt idx="30">
                  <c:v>0.67817969424034652</c:v>
                </c:pt>
                <c:pt idx="31">
                  <c:v>0.66076015791343479</c:v>
                </c:pt>
                <c:pt idx="32">
                  <c:v>0.66536298599220101</c:v>
                </c:pt>
                <c:pt idx="33">
                  <c:v>0.767450460620835</c:v>
                </c:pt>
                <c:pt idx="34">
                  <c:v>0.80699207711055865</c:v>
                </c:pt>
                <c:pt idx="35">
                  <c:v>0.78319910724484387</c:v>
                </c:pt>
                <c:pt idx="36">
                  <c:v>0.66275702259992308</c:v>
                </c:pt>
                <c:pt idx="37">
                  <c:v>0.75722308165373586</c:v>
                </c:pt>
                <c:pt idx="38">
                  <c:v>0.73716266196337643</c:v>
                </c:pt>
                <c:pt idx="39">
                  <c:v>0.71726364179987789</c:v>
                </c:pt>
                <c:pt idx="40">
                  <c:v>0.67807066578332076</c:v>
                </c:pt>
                <c:pt idx="41">
                  <c:v>0.73397240666837393</c:v>
                </c:pt>
                <c:pt idx="42">
                  <c:v>0.7951994346568938</c:v>
                </c:pt>
                <c:pt idx="43">
                  <c:v>0.83442382931871206</c:v>
                </c:pt>
                <c:pt idx="44">
                  <c:v>0.89821092981784645</c:v>
                </c:pt>
                <c:pt idx="45">
                  <c:v>0.93248217281424917</c:v>
                </c:pt>
                <c:pt idx="46">
                  <c:v>0.92425463709827382</c:v>
                </c:pt>
                <c:pt idx="47">
                  <c:v>0.88970843637835006</c:v>
                </c:pt>
                <c:pt idx="48">
                  <c:v>0.76988592132089084</c:v>
                </c:pt>
                <c:pt idx="49">
                  <c:v>0.7458976377903157</c:v>
                </c:pt>
                <c:pt idx="50">
                  <c:v>0.55921950833705458</c:v>
                </c:pt>
                <c:pt idx="51">
                  <c:v>0.63824346727065517</c:v>
                </c:pt>
                <c:pt idx="52">
                  <c:v>0.57355839221412375</c:v>
                </c:pt>
                <c:pt idx="53">
                  <c:v>0.66640379250559534</c:v>
                </c:pt>
                <c:pt idx="54">
                  <c:v>0.77179205309270993</c:v>
                </c:pt>
                <c:pt idx="55">
                  <c:v>0.80800203012841554</c:v>
                </c:pt>
                <c:pt idx="56">
                  <c:v>0.6976166506065884</c:v>
                </c:pt>
                <c:pt idx="57">
                  <c:v>0.69483669452694241</c:v>
                </c:pt>
                <c:pt idx="58">
                  <c:v>0.76428239312599699</c:v>
                </c:pt>
                <c:pt idx="59">
                  <c:v>0.800878820130699</c:v>
                </c:pt>
                <c:pt idx="60">
                  <c:v>1.1571420690941947</c:v>
                </c:pt>
                <c:pt idx="61">
                  <c:v>0.87570355164583891</c:v>
                </c:pt>
                <c:pt idx="62">
                  <c:v>0.79106191531897641</c:v>
                </c:pt>
                <c:pt idx="63">
                  <c:v>0.70969203905973333</c:v>
                </c:pt>
                <c:pt idx="64">
                  <c:v>1.0125992706391531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CA-48AD-AECB-3179169AFD47}"/>
            </c:ext>
          </c:extLst>
        </c:ser>
        <c:ser>
          <c:idx val="1"/>
          <c:order val="1"/>
          <c:tx>
            <c:v>mu1 = 0.872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1951</c:v>
              </c:pt>
              <c:pt idx="1">
                <c:v>1970</c:v>
              </c:pt>
            </c:numLit>
          </c:xVal>
          <c:yVal>
            <c:numLit>
              <c:formatCode>General</c:formatCode>
              <c:ptCount val="2"/>
              <c:pt idx="0">
                <c:v>0.8721357624203997</c:v>
              </c:pt>
              <c:pt idx="1">
                <c:v>0.8721357624203997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4CA-48AD-AECB-3179169AFD47}"/>
            </c:ext>
          </c:extLst>
        </c:ser>
        <c:ser>
          <c:idx val="2"/>
          <c:order val="2"/>
          <c:tx>
            <c:v>mu2 = 0.754</c:v>
          </c:tx>
          <c:spPr>
            <a:ln w="12700">
              <a:solidFill>
                <a:srgbClr val="0078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1971</c:v>
              </c:pt>
              <c:pt idx="1">
                <c:v>2015</c:v>
              </c:pt>
            </c:numLit>
          </c:xVal>
          <c:yVal>
            <c:numLit>
              <c:formatCode>General</c:formatCode>
              <c:ptCount val="2"/>
              <c:pt idx="0">
                <c:v>0.75358202420146092</c:v>
              </c:pt>
              <c:pt idx="1">
                <c:v>0.75358202420146092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4CA-48AD-AECB-3179169AF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15640"/>
        <c:axId val="416815968"/>
      </c:scatterChart>
      <c:valAx>
        <c:axId val="416815640"/>
        <c:scaling>
          <c:orientation val="minMax"/>
          <c:max val="2020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Fecha1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416815968"/>
        <c:crosses val="autoZero"/>
        <c:crossBetween val="midCat"/>
      </c:valAx>
      <c:valAx>
        <c:axId val="416815968"/>
        <c:scaling>
          <c:orientation val="minMax"/>
          <c:max val="1.2"/>
          <c:min val="0.5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Serie1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416815640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Serie2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Serie2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'var3'!$B$146:$B$210</c:f>
              <c:numCache>
                <c:formatCode>General</c:formatCode>
                <c:ptCount val="65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</c:numCache>
            </c:numRef>
          </c:xVal>
          <c:yVal>
            <c:numRef>
              <c:f>'var3'!$C$146:$C$210</c:f>
              <c:numCache>
                <c:formatCode>0.000</c:formatCode>
                <c:ptCount val="65"/>
                <c:pt idx="0">
                  <c:v>1.3225950000000637</c:v>
                </c:pt>
                <c:pt idx="1">
                  <c:v>1.0456800000000328</c:v>
                </c:pt>
                <c:pt idx="2">
                  <c:v>1.0457100000000423</c:v>
                </c:pt>
                <c:pt idx="3">
                  <c:v>0.95344500000004118</c:v>
                </c:pt>
                <c:pt idx="4">
                  <c:v>1.0764900000000459</c:v>
                </c:pt>
                <c:pt idx="5">
                  <c:v>1.0456950000000411</c:v>
                </c:pt>
                <c:pt idx="6">
                  <c:v>1.01494500000004</c:v>
                </c:pt>
                <c:pt idx="7">
                  <c:v>1.1995050000000305</c:v>
                </c:pt>
                <c:pt idx="8">
                  <c:v>1.0765049999999974</c:v>
                </c:pt>
                <c:pt idx="9">
                  <c:v>1.0765349999999998</c:v>
                </c:pt>
                <c:pt idx="10">
                  <c:v>1.0148850000000067</c:v>
                </c:pt>
                <c:pt idx="11">
                  <c:v>1.2609900000000032</c:v>
                </c:pt>
                <c:pt idx="12">
                  <c:v>0.9227249999999998</c:v>
                </c:pt>
                <c:pt idx="13">
                  <c:v>1.1687100000000044</c:v>
                </c:pt>
                <c:pt idx="14">
                  <c:v>1.3839900000000078</c:v>
                </c:pt>
                <c:pt idx="15">
                  <c:v>0.86120999999999981</c:v>
                </c:pt>
                <c:pt idx="16">
                  <c:v>0.8919150000000009</c:v>
                </c:pt>
                <c:pt idx="17">
                  <c:v>1.1379900000000021</c:v>
                </c:pt>
                <c:pt idx="18">
                  <c:v>0.73813500000000332</c:v>
                </c:pt>
                <c:pt idx="19">
                  <c:v>1.0149450000000044</c:v>
                </c:pt>
                <c:pt idx="20">
                  <c:v>0.86118000000000094</c:v>
                </c:pt>
                <c:pt idx="21">
                  <c:v>0.86119500000000215</c:v>
                </c:pt>
                <c:pt idx="22">
                  <c:v>0.98422499999999857</c:v>
                </c:pt>
                <c:pt idx="23">
                  <c:v>0.79968000000000217</c:v>
                </c:pt>
                <c:pt idx="24">
                  <c:v>1.0149749999999997</c:v>
                </c:pt>
                <c:pt idx="25">
                  <c:v>0.76897499999999752</c:v>
                </c:pt>
                <c:pt idx="26">
                  <c:v>0.92271000000000214</c:v>
                </c:pt>
                <c:pt idx="27">
                  <c:v>0.86122499999999746</c:v>
                </c:pt>
                <c:pt idx="28">
                  <c:v>0.7999299999999927</c:v>
                </c:pt>
                <c:pt idx="29">
                  <c:v>0.98448999999999209</c:v>
                </c:pt>
                <c:pt idx="30">
                  <c:v>1.1998449999999909</c:v>
                </c:pt>
                <c:pt idx="31">
                  <c:v>0.89219499999999385</c:v>
                </c:pt>
                <c:pt idx="32">
                  <c:v>1.3228949999999919</c:v>
                </c:pt>
                <c:pt idx="33">
                  <c:v>1.0767849999999886</c:v>
                </c:pt>
                <c:pt idx="34">
                  <c:v>0.86142999999999503</c:v>
                </c:pt>
                <c:pt idx="35">
                  <c:v>1.3228849999999941</c:v>
                </c:pt>
                <c:pt idx="36">
                  <c:v>0.98450999999999134</c:v>
                </c:pt>
                <c:pt idx="37">
                  <c:v>1.0152549999999927</c:v>
                </c:pt>
                <c:pt idx="38">
                  <c:v>1.0768049999999931</c:v>
                </c:pt>
                <c:pt idx="39">
                  <c:v>0.76912499999999184</c:v>
                </c:pt>
                <c:pt idx="40">
                  <c:v>0.64604499999999376</c:v>
                </c:pt>
                <c:pt idx="41">
                  <c:v>1.3229049999999933</c:v>
                </c:pt>
                <c:pt idx="42">
                  <c:v>0.89219499999999385</c:v>
                </c:pt>
                <c:pt idx="43">
                  <c:v>0.76916499999999211</c:v>
                </c:pt>
                <c:pt idx="44">
                  <c:v>0.92292999999999559</c:v>
                </c:pt>
                <c:pt idx="45">
                  <c:v>0.79991499999999505</c:v>
                </c:pt>
                <c:pt idx="46">
                  <c:v>0.86143499999999129</c:v>
                </c:pt>
                <c:pt idx="47">
                  <c:v>0.67684999999999462</c:v>
                </c:pt>
                <c:pt idx="48">
                  <c:v>1.0459999999999905</c:v>
                </c:pt>
                <c:pt idx="49">
                  <c:v>0.83066499999999621</c:v>
                </c:pt>
                <c:pt idx="50">
                  <c:v>0.83064500000000319</c:v>
                </c:pt>
                <c:pt idx="51">
                  <c:v>1.1075500000000051</c:v>
                </c:pt>
                <c:pt idx="52">
                  <c:v>0.86145500000000386</c:v>
                </c:pt>
                <c:pt idx="53">
                  <c:v>0.64607000000000259</c:v>
                </c:pt>
                <c:pt idx="54">
                  <c:v>1.230590000000003</c:v>
                </c:pt>
                <c:pt idx="55">
                  <c:v>0.7383650000000026</c:v>
                </c:pt>
                <c:pt idx="56">
                  <c:v>0.98450000000000237</c:v>
                </c:pt>
                <c:pt idx="57">
                  <c:v>0.55380000000000251</c:v>
                </c:pt>
                <c:pt idx="58">
                  <c:v>0.76911499999999844</c:v>
                </c:pt>
                <c:pt idx="59">
                  <c:v>0.76912999999999876</c:v>
                </c:pt>
                <c:pt idx="60">
                  <c:v>0.70761999999999947</c:v>
                </c:pt>
                <c:pt idx="61">
                  <c:v>0.6768499999999984</c:v>
                </c:pt>
                <c:pt idx="62">
                  <c:v>0.55374999999999885</c:v>
                </c:pt>
                <c:pt idx="63">
                  <c:v>0.98448000000000069</c:v>
                </c:pt>
                <c:pt idx="64">
                  <c:v>0.73838500000000062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74-4126-9C65-54CB11F625F6}"/>
            </c:ext>
          </c:extLst>
        </c:ser>
        <c:ser>
          <c:idx val="1"/>
          <c:order val="1"/>
          <c:tx>
            <c:v>mu1 = 1.022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1951</c:v>
              </c:pt>
              <c:pt idx="1">
                <c:v>1989</c:v>
              </c:pt>
            </c:numLit>
          </c:xVal>
          <c:yVal>
            <c:numLit>
              <c:formatCode>General</c:formatCode>
              <c:ptCount val="2"/>
              <c:pt idx="0">
                <c:v>1.0221484615384688</c:v>
              </c:pt>
              <c:pt idx="1">
                <c:v>1.0221484615384688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874-4126-9C65-54CB11F625F6}"/>
            </c:ext>
          </c:extLst>
        </c:ser>
        <c:ser>
          <c:idx val="2"/>
          <c:order val="2"/>
          <c:tx>
            <c:v>mu2 = 0.834</c:v>
          </c:tx>
          <c:spPr>
            <a:ln w="12700">
              <a:solidFill>
                <a:srgbClr val="0078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1990</c:v>
              </c:pt>
              <c:pt idx="1">
                <c:v>2015</c:v>
              </c:pt>
            </c:numLit>
          </c:xVal>
          <c:yVal>
            <c:numLit>
              <c:formatCode>General</c:formatCode>
              <c:ptCount val="2"/>
              <c:pt idx="0">
                <c:v>0.83421288461538268</c:v>
              </c:pt>
              <c:pt idx="1">
                <c:v>0.83421288461538268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874-4126-9C65-54CB11F62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947752"/>
        <c:axId val="516948736"/>
      </c:scatterChart>
      <c:valAx>
        <c:axId val="516947752"/>
        <c:scaling>
          <c:orientation val="minMax"/>
          <c:max val="2020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Fecha1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516948736"/>
        <c:crosses val="autoZero"/>
        <c:crossBetween val="midCat"/>
      </c:valAx>
      <c:valAx>
        <c:axId val="516948736"/>
        <c:scaling>
          <c:orientation val="minMax"/>
          <c:max val="1.4000000000000001"/>
          <c:min val="0.4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Serie2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516947752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Serie3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Serie3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'var3'!$B$253:$B$317</c:f>
              <c:numCache>
                <c:formatCode>General</c:formatCode>
                <c:ptCount val="65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</c:numCache>
            </c:numRef>
          </c:xVal>
          <c:yVal>
            <c:numRef>
              <c:f>'var3'!$C$253:$C$317</c:f>
              <c:numCache>
                <c:formatCode>0.000</c:formatCode>
                <c:ptCount val="65"/>
                <c:pt idx="0">
                  <c:v>1.0908906787482013</c:v>
                </c:pt>
                <c:pt idx="1">
                  <c:v>1.0434647553960963</c:v>
                </c:pt>
                <c:pt idx="2">
                  <c:v>0.96668411986550884</c:v>
                </c:pt>
                <c:pt idx="3">
                  <c:v>0.89381247865645308</c:v>
                </c:pt>
                <c:pt idx="4">
                  <c:v>0.87713599293962607</c:v>
                </c:pt>
                <c:pt idx="5">
                  <c:v>0.94915060274267704</c:v>
                </c:pt>
                <c:pt idx="6">
                  <c:v>0.94171082115941984</c:v>
                </c:pt>
                <c:pt idx="7">
                  <c:v>1.0099910079924499</c:v>
                </c:pt>
                <c:pt idx="8">
                  <c:v>0.89571931377933445</c:v>
                </c:pt>
                <c:pt idx="9">
                  <c:v>0.95198198166607595</c:v>
                </c:pt>
                <c:pt idx="10">
                  <c:v>0.82625431420923423</c:v>
                </c:pt>
                <c:pt idx="11">
                  <c:v>1.0816424748159748</c:v>
                </c:pt>
                <c:pt idx="12">
                  <c:v>0.74628942123734443</c:v>
                </c:pt>
                <c:pt idx="13">
                  <c:v>0.91948260763958412</c:v>
                </c:pt>
                <c:pt idx="14">
                  <c:v>1.2168493738058528</c:v>
                </c:pt>
                <c:pt idx="15">
                  <c:v>0.69820667159594074</c:v>
                </c:pt>
                <c:pt idx="16">
                  <c:v>0.72849599383080332</c:v>
                </c:pt>
                <c:pt idx="17">
                  <c:v>0.88941273418498468</c:v>
                </c:pt>
                <c:pt idx="18">
                  <c:v>0.66940443360427415</c:v>
                </c:pt>
                <c:pt idx="19">
                  <c:v>1.023181335455865</c:v>
                </c:pt>
                <c:pt idx="20">
                  <c:v>0.66326874486604059</c:v>
                </c:pt>
                <c:pt idx="21">
                  <c:v>0.65343001643443488</c:v>
                </c:pt>
                <c:pt idx="22">
                  <c:v>0.69673135474760839</c:v>
                </c:pt>
                <c:pt idx="23">
                  <c:v>0.50356561583088877</c:v>
                </c:pt>
                <c:pt idx="24">
                  <c:v>0.6817840371234688</c:v>
                </c:pt>
                <c:pt idx="25">
                  <c:v>0.45169534367231928</c:v>
                </c:pt>
                <c:pt idx="26">
                  <c:v>0.63740937276119392</c:v>
                </c:pt>
                <c:pt idx="27">
                  <c:v>0.50061300155262867</c:v>
                </c:pt>
                <c:pt idx="28">
                  <c:v>0.74575634970463023</c:v>
                </c:pt>
                <c:pt idx="29">
                  <c:v>0.61304392582567535</c:v>
                </c:pt>
                <c:pt idx="30">
                  <c:v>0.78488313733350923</c:v>
                </c:pt>
                <c:pt idx="31">
                  <c:v>0.58965696231728137</c:v>
                </c:pt>
                <c:pt idx="32">
                  <c:v>0.88282402665577842</c:v>
                </c:pt>
                <c:pt idx="33">
                  <c:v>0.82951931499231246</c:v>
                </c:pt>
                <c:pt idx="34">
                  <c:v>0.703406215282397</c:v>
                </c:pt>
                <c:pt idx="35">
                  <c:v>1.0434160876062517</c:v>
                </c:pt>
                <c:pt idx="36">
                  <c:v>0.63683172569335844</c:v>
                </c:pt>
                <c:pt idx="37">
                  <c:v>0.76925528541902533</c:v>
                </c:pt>
                <c:pt idx="38">
                  <c:v>0.79402770664940436</c:v>
                </c:pt>
                <c:pt idx="39">
                  <c:v>0.54206162644762446</c:v>
                </c:pt>
                <c:pt idx="40">
                  <c:v>0.4179670843583041</c:v>
                </c:pt>
                <c:pt idx="41">
                  <c:v>0.95252981733793385</c:v>
                </c:pt>
                <c:pt idx="42">
                  <c:v>0.69254222979469859</c:v>
                </c:pt>
                <c:pt idx="43">
                  <c:v>0.63748879392704572</c:v>
                </c:pt>
                <c:pt idx="44">
                  <c:v>0.83918389470895627</c:v>
                </c:pt>
                <c:pt idx="45">
                  <c:v>0.7515839672923621</c:v>
                </c:pt>
                <c:pt idx="46">
                  <c:v>0.74016234589913432</c:v>
                </c:pt>
                <c:pt idx="47">
                  <c:v>0.61555175104352811</c:v>
                </c:pt>
                <c:pt idx="48">
                  <c:v>0.79896581383635323</c:v>
                </c:pt>
                <c:pt idx="49">
                  <c:v>0.60869180207901241</c:v>
                </c:pt>
                <c:pt idx="50">
                  <c:v>0.46487505860880418</c:v>
                </c:pt>
                <c:pt idx="51">
                  <c:v>0.68993728343819227</c:v>
                </c:pt>
                <c:pt idx="52">
                  <c:v>0.48394386405730438</c:v>
                </c:pt>
                <c:pt idx="53">
                  <c:v>0.41388145793266212</c:v>
                </c:pt>
                <c:pt idx="54">
                  <c:v>0.89528306928747248</c:v>
                </c:pt>
                <c:pt idx="55">
                  <c:v>0.60450574529205836</c:v>
                </c:pt>
                <c:pt idx="56">
                  <c:v>0.68999357550681195</c:v>
                </c:pt>
                <c:pt idx="57">
                  <c:v>0.3861398246573936</c:v>
                </c:pt>
                <c:pt idx="58">
                  <c:v>0.58352026927277212</c:v>
                </c:pt>
                <c:pt idx="59">
                  <c:v>0.61447358754057646</c:v>
                </c:pt>
                <c:pt idx="60">
                  <c:v>0.85115901872641309</c:v>
                </c:pt>
                <c:pt idx="61">
                  <c:v>0.59760797188018988</c:v>
                </c:pt>
                <c:pt idx="62">
                  <c:v>0.43686880931474409</c:v>
                </c:pt>
                <c:pt idx="63">
                  <c:v>0.72911794367672156</c:v>
                </c:pt>
                <c:pt idx="64">
                  <c:v>0.74769124603587001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3B-4DF3-9CD5-DAEFD25B0CBC}"/>
            </c:ext>
          </c:extLst>
        </c:ser>
        <c:ser>
          <c:idx val="1"/>
          <c:order val="1"/>
          <c:tx>
            <c:v>mu1 = 0.961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1951</c:v>
              </c:pt>
              <c:pt idx="1">
                <c:v>1965</c:v>
              </c:pt>
            </c:numLit>
          </c:xVal>
          <c:yVal>
            <c:numLit>
              <c:formatCode>General</c:formatCode>
              <c:ptCount val="2"/>
              <c:pt idx="0">
                <c:v>0.96073732964358882</c:v>
              </c:pt>
              <c:pt idx="1">
                <c:v>0.96073732964358882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03B-4DF3-9CD5-DAEFD25B0CBC}"/>
            </c:ext>
          </c:extLst>
        </c:ser>
        <c:ser>
          <c:idx val="2"/>
          <c:order val="2"/>
          <c:tx>
            <c:v>mu2 = 0.680</c:v>
          </c:tx>
          <c:spPr>
            <a:ln w="12700">
              <a:solidFill>
                <a:srgbClr val="0078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1966</c:v>
              </c:pt>
              <c:pt idx="1">
                <c:v>2015</c:v>
              </c:pt>
            </c:numLit>
          </c:xVal>
          <c:yVal>
            <c:numLit>
              <c:formatCode>General</c:formatCode>
              <c:ptCount val="2"/>
              <c:pt idx="0">
                <c:v>0.67951094490186026</c:v>
              </c:pt>
              <c:pt idx="1">
                <c:v>0.67951094490186026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303B-4DF3-9CD5-DAEFD25B0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947752"/>
        <c:axId val="416813016"/>
      </c:scatterChart>
      <c:valAx>
        <c:axId val="516947752"/>
        <c:scaling>
          <c:orientation val="minMax"/>
          <c:max val="2020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Fecha1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416813016"/>
        <c:crosses val="autoZero"/>
        <c:crossBetween val="midCat"/>
      </c:valAx>
      <c:valAx>
        <c:axId val="416813016"/>
        <c:scaling>
          <c:orientation val="minMax"/>
          <c:max val="1.4000000000000001"/>
          <c:min val="0.2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Serie3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516947752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Densidad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'var4'!$B$39:$B$103</c:f>
              <c:numCache>
                <c:formatCode>General</c:formatCode>
                <c:ptCount val="65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</c:numCache>
            </c:numRef>
          </c:xVal>
          <c:yVal>
            <c:numRef>
              <c:f>'var4'!$C$39:$C$103</c:f>
              <c:numCache>
                <c:formatCode>0.000</c:formatCode>
                <c:ptCount val="65"/>
                <c:pt idx="0">
                  <c:v>0.51351744124259158</c:v>
                </c:pt>
                <c:pt idx="1">
                  <c:v>0.69539047312418112</c:v>
                </c:pt>
                <c:pt idx="2">
                  <c:v>0.68994119646482943</c:v>
                </c:pt>
                <c:pt idx="3">
                  <c:v>0.77776588381632716</c:v>
                </c:pt>
                <c:pt idx="4">
                  <c:v>0.79626087929069644</c:v>
                </c:pt>
                <c:pt idx="5">
                  <c:v>0.81179865688327302</c:v>
                </c:pt>
                <c:pt idx="6">
                  <c:v>0.79021060603461424</c:v>
                </c:pt>
                <c:pt idx="7">
                  <c:v>0.76023920803179224</c:v>
                </c:pt>
                <c:pt idx="8">
                  <c:v>0.74147591975231064</c:v>
                </c:pt>
                <c:pt idx="9">
                  <c:v>0.6546286432681816</c:v>
                </c:pt>
                <c:pt idx="10">
                  <c:v>0.50806891727469961</c:v>
                </c:pt>
                <c:pt idx="11">
                  <c:v>0.5682564106044169</c:v>
                </c:pt>
                <c:pt idx="12">
                  <c:v>0.59760319061078238</c:v>
                </c:pt>
                <c:pt idx="13">
                  <c:v>0.42788612018341732</c:v>
                </c:pt>
                <c:pt idx="14">
                  <c:v>0.2952666627398528</c:v>
                </c:pt>
                <c:pt idx="15">
                  <c:v>0.44310650123246753</c:v>
                </c:pt>
                <c:pt idx="16">
                  <c:v>0.45673324284023353</c:v>
                </c:pt>
                <c:pt idx="17">
                  <c:v>0.6151197557920649</c:v>
                </c:pt>
                <c:pt idx="18">
                  <c:v>0.5773347216552891</c:v>
                </c:pt>
                <c:pt idx="19">
                  <c:v>0.6468045266738256</c:v>
                </c:pt>
                <c:pt idx="20">
                  <c:v>0.5761617043441265</c:v>
                </c:pt>
                <c:pt idx="21">
                  <c:v>0.54778338096695889</c:v>
                </c:pt>
                <c:pt idx="22">
                  <c:v>0.82623385027551632</c:v>
                </c:pt>
                <c:pt idx="23">
                  <c:v>0.80884510620716243</c:v>
                </c:pt>
                <c:pt idx="24">
                  <c:v>0.77929609978813352</c:v>
                </c:pt>
                <c:pt idx="25">
                  <c:v>0.85699678792268497</c:v>
                </c:pt>
                <c:pt idx="26">
                  <c:v>0.89431009363676717</c:v>
                </c:pt>
                <c:pt idx="27">
                  <c:v>0.80159334194226006</c:v>
                </c:pt>
                <c:pt idx="28">
                  <c:v>0.90963101077115072</c:v>
                </c:pt>
                <c:pt idx="29">
                  <c:v>0.89039353245495834</c:v>
                </c:pt>
                <c:pt idx="30">
                  <c:v>0.69449600397336675</c:v>
                </c:pt>
                <c:pt idx="31">
                  <c:v>0.61020537473973224</c:v>
                </c:pt>
                <c:pt idx="32">
                  <c:v>0.53763329283502936</c:v>
                </c:pt>
                <c:pt idx="33">
                  <c:v>0.58660047407673177</c:v>
                </c:pt>
                <c:pt idx="34">
                  <c:v>0.73203931506742381</c:v>
                </c:pt>
                <c:pt idx="35">
                  <c:v>0.71920155873373504</c:v>
                </c:pt>
                <c:pt idx="36">
                  <c:v>0.69222194439247486</c:v>
                </c:pt>
                <c:pt idx="37">
                  <c:v>0.51458256390804591</c:v>
                </c:pt>
                <c:pt idx="38">
                  <c:v>0.61801030748080499</c:v>
                </c:pt>
                <c:pt idx="39">
                  <c:v>0.65612063454261005</c:v>
                </c:pt>
                <c:pt idx="40">
                  <c:v>0.69062458573055774</c:v>
                </c:pt>
                <c:pt idx="41">
                  <c:v>0.696114013318891</c:v>
                </c:pt>
                <c:pt idx="42">
                  <c:v>0.71008642432951685</c:v>
                </c:pt>
                <c:pt idx="43">
                  <c:v>0.58168746946499805</c:v>
                </c:pt>
                <c:pt idx="44">
                  <c:v>0.61099528959601646</c:v>
                </c:pt>
                <c:pt idx="45">
                  <c:v>0.67847662948526399</c:v>
                </c:pt>
                <c:pt idx="46">
                  <c:v>0.63222931534719606</c:v>
                </c:pt>
                <c:pt idx="47">
                  <c:v>0.62401770500127918</c:v>
                </c:pt>
                <c:pt idx="48">
                  <c:v>0.59344571135751201</c:v>
                </c:pt>
                <c:pt idx="49">
                  <c:v>0.58441029209961781</c:v>
                </c:pt>
                <c:pt idx="50">
                  <c:v>0.65815546901621802</c:v>
                </c:pt>
                <c:pt idx="51">
                  <c:v>0.6337686664119806</c:v>
                </c:pt>
                <c:pt idx="52">
                  <c:v>0.62307428228363904</c:v>
                </c:pt>
                <c:pt idx="53">
                  <c:v>0.66970273199329577</c:v>
                </c:pt>
                <c:pt idx="54">
                  <c:v>0.77793406015117639</c:v>
                </c:pt>
                <c:pt idx="55">
                  <c:v>0.49762252465903345</c:v>
                </c:pt>
                <c:pt idx="56">
                  <c:v>0.59938447286610241</c:v>
                </c:pt>
                <c:pt idx="57">
                  <c:v>0.66820373847957271</c:v>
                </c:pt>
                <c:pt idx="58">
                  <c:v>0.77777580124600243</c:v>
                </c:pt>
                <c:pt idx="59">
                  <c:v>0.90217622539549125</c:v>
                </c:pt>
                <c:pt idx="60">
                  <c:v>0.87813464862065171</c:v>
                </c:pt>
                <c:pt idx="61">
                  <c:v>0.8139976531699179</c:v>
                </c:pt>
                <c:pt idx="62">
                  <c:v>0.67404673033737983</c:v>
                </c:pt>
                <c:pt idx="63">
                  <c:v>0.67373320339800391</c:v>
                </c:pt>
                <c:pt idx="64">
                  <c:v>0.55244605627649401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1E-45DD-BFA2-2A5EAB7BC04B}"/>
            </c:ext>
          </c:extLst>
        </c:ser>
        <c:ser>
          <c:idx val="1"/>
          <c:order val="1"/>
          <c:tx>
            <c:v>mu = 0.668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1951</c:v>
              </c:pt>
              <c:pt idx="1">
                <c:v>2015</c:v>
              </c:pt>
            </c:numLit>
          </c:xVal>
          <c:yVal>
            <c:numLit>
              <c:formatCode>General</c:formatCode>
              <c:ptCount val="2"/>
              <c:pt idx="0">
                <c:v>0.6680309082401743</c:v>
              </c:pt>
              <c:pt idx="1">
                <c:v>0.6680309082401743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B1E-45DD-BFA2-2A5EAB7BC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44840"/>
        <c:axId val="518542544"/>
      </c:scatterChart>
      <c:valAx>
        <c:axId val="518544840"/>
        <c:scaling>
          <c:orientation val="minMax"/>
          <c:max val="2020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Año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518542544"/>
        <c:crosses val="autoZero"/>
        <c:crossBetween val="midCat"/>
      </c:valAx>
      <c:valAx>
        <c:axId val="518542544"/>
        <c:scaling>
          <c:orientation val="minMax"/>
          <c:max val="1"/>
          <c:min val="0.2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Densidad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518544840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Extension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'var4'!$B$146:$B$210</c:f>
              <c:numCache>
                <c:formatCode>General</c:formatCode>
                <c:ptCount val="65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</c:numCache>
            </c:numRef>
          </c:xVal>
          <c:yVal>
            <c:numRef>
              <c:f>'var4'!$C$146:$C$210</c:f>
              <c:numCache>
                <c:formatCode>0.000</c:formatCode>
                <c:ptCount val="65"/>
                <c:pt idx="0">
                  <c:v>1.2959999999999994</c:v>
                </c:pt>
                <c:pt idx="1">
                  <c:v>1.3680000000000092</c:v>
                </c:pt>
                <c:pt idx="2">
                  <c:v>0.85800000000000409</c:v>
                </c:pt>
                <c:pt idx="3">
                  <c:v>1.1400000000000112</c:v>
                </c:pt>
                <c:pt idx="4">
                  <c:v>0.9480000000000004</c:v>
                </c:pt>
                <c:pt idx="5">
                  <c:v>1.0950000000000131</c:v>
                </c:pt>
                <c:pt idx="6">
                  <c:v>1.1190000000000104</c:v>
                </c:pt>
                <c:pt idx="7">
                  <c:v>0.882000000000005</c:v>
                </c:pt>
                <c:pt idx="8">
                  <c:v>1.0440000000000076</c:v>
                </c:pt>
                <c:pt idx="9">
                  <c:v>1.0410000000000004</c:v>
                </c:pt>
                <c:pt idx="10">
                  <c:v>0.72000000000000597</c:v>
                </c:pt>
                <c:pt idx="11">
                  <c:v>1.2420000000000186</c:v>
                </c:pt>
                <c:pt idx="12">
                  <c:v>0.90300000000000225</c:v>
                </c:pt>
                <c:pt idx="13">
                  <c:v>1.3500000000000121</c:v>
                </c:pt>
                <c:pt idx="14">
                  <c:v>1.1550000000000011</c:v>
                </c:pt>
                <c:pt idx="15">
                  <c:v>1.3560000000000123</c:v>
                </c:pt>
                <c:pt idx="16">
                  <c:v>1.1670000000000122</c:v>
                </c:pt>
                <c:pt idx="17">
                  <c:v>0.57900000000000418</c:v>
                </c:pt>
                <c:pt idx="18">
                  <c:v>0.86700000000001154</c:v>
                </c:pt>
                <c:pt idx="19">
                  <c:v>0.81300000000000594</c:v>
                </c:pt>
                <c:pt idx="20">
                  <c:v>1.0200000000000031</c:v>
                </c:pt>
                <c:pt idx="21">
                  <c:v>0.97500000000000853</c:v>
                </c:pt>
                <c:pt idx="22">
                  <c:v>0.81000000000000227</c:v>
                </c:pt>
                <c:pt idx="23">
                  <c:v>0.72000000000000242</c:v>
                </c:pt>
                <c:pt idx="24">
                  <c:v>0.90600000000000591</c:v>
                </c:pt>
                <c:pt idx="25">
                  <c:v>0.74400000000000688</c:v>
                </c:pt>
                <c:pt idx="26">
                  <c:v>0.92700000000000315</c:v>
                </c:pt>
                <c:pt idx="27">
                  <c:v>0.83400000000000318</c:v>
                </c:pt>
                <c:pt idx="28">
                  <c:v>0.81300000000000594</c:v>
                </c:pt>
                <c:pt idx="29">
                  <c:v>0.81600000000000605</c:v>
                </c:pt>
                <c:pt idx="30">
                  <c:v>0.92400000000000304</c:v>
                </c:pt>
                <c:pt idx="31">
                  <c:v>0.86100000000000776</c:v>
                </c:pt>
                <c:pt idx="32">
                  <c:v>0.90300000000000225</c:v>
                </c:pt>
                <c:pt idx="33">
                  <c:v>0.85800000000000409</c:v>
                </c:pt>
                <c:pt idx="34">
                  <c:v>1.0020000000000095</c:v>
                </c:pt>
                <c:pt idx="35">
                  <c:v>0.99299999999999855</c:v>
                </c:pt>
                <c:pt idx="36">
                  <c:v>0.91200000000001324</c:v>
                </c:pt>
                <c:pt idx="37">
                  <c:v>0.94500000000000028</c:v>
                </c:pt>
                <c:pt idx="38">
                  <c:v>0.71699999999999875</c:v>
                </c:pt>
                <c:pt idx="39">
                  <c:v>1.0830000000000002</c:v>
                </c:pt>
                <c:pt idx="40">
                  <c:v>1.1249000000000073</c:v>
                </c:pt>
                <c:pt idx="41">
                  <c:v>0.93570000000001663</c:v>
                </c:pt>
                <c:pt idx="42">
                  <c:v>1.1516000000000233</c:v>
                </c:pt>
                <c:pt idx="43">
                  <c:v>1.3675000000000122</c:v>
                </c:pt>
                <c:pt idx="44">
                  <c:v>1.1515999999999877</c:v>
                </c:pt>
                <c:pt idx="45">
                  <c:v>1.2715499999999871</c:v>
                </c:pt>
                <c:pt idx="46">
                  <c:v>1.1516499999999859</c:v>
                </c:pt>
                <c:pt idx="47">
                  <c:v>1.5114499999999875</c:v>
                </c:pt>
                <c:pt idx="48">
                  <c:v>1.2475999999999878</c:v>
                </c:pt>
                <c:pt idx="49">
                  <c:v>1.0556499999999875</c:v>
                </c:pt>
                <c:pt idx="50">
                  <c:v>1.2475999999999861</c:v>
                </c:pt>
                <c:pt idx="51">
                  <c:v>1.2235499999999888</c:v>
                </c:pt>
                <c:pt idx="52">
                  <c:v>1.1036499999999876</c:v>
                </c:pt>
                <c:pt idx="53">
                  <c:v>1.1995999999999878</c:v>
                </c:pt>
                <c:pt idx="54">
                  <c:v>1.0316499999999946</c:v>
                </c:pt>
                <c:pt idx="55">
                  <c:v>0.98365000000000347</c:v>
                </c:pt>
                <c:pt idx="56">
                  <c:v>1.2235000000000031</c:v>
                </c:pt>
                <c:pt idx="57">
                  <c:v>1.2471500000000013</c:v>
                </c:pt>
                <c:pt idx="58">
                  <c:v>1.0553499999999998</c:v>
                </c:pt>
                <c:pt idx="59">
                  <c:v>0.93534999999999968</c:v>
                </c:pt>
                <c:pt idx="60">
                  <c:v>1.0793499999999998</c:v>
                </c:pt>
                <c:pt idx="61">
                  <c:v>0.86345000000000027</c:v>
                </c:pt>
                <c:pt idx="62">
                  <c:v>1.1512000000000002</c:v>
                </c:pt>
                <c:pt idx="63">
                  <c:v>1.0793499999999998</c:v>
                </c:pt>
                <c:pt idx="64">
                  <c:v>1.0072999999999999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06-44E7-8A79-AB8C87672856}"/>
            </c:ext>
          </c:extLst>
        </c:ser>
        <c:ser>
          <c:idx val="1"/>
          <c:order val="1"/>
          <c:tx>
            <c:v>mu1 = 0.971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1951</c:v>
              </c:pt>
              <c:pt idx="1">
                <c:v>1992</c:v>
              </c:pt>
            </c:numLit>
          </c:xVal>
          <c:yVal>
            <c:numLit>
              <c:formatCode>General</c:formatCode>
              <c:ptCount val="2"/>
              <c:pt idx="0">
                <c:v>0.97063333333333945</c:v>
              </c:pt>
              <c:pt idx="1">
                <c:v>0.97063333333333945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506-44E7-8A79-AB8C87672856}"/>
            </c:ext>
          </c:extLst>
        </c:ser>
        <c:ser>
          <c:idx val="2"/>
          <c:order val="2"/>
          <c:tx>
            <c:v>mu2 = 1.145</c:v>
          </c:tx>
          <c:spPr>
            <a:ln w="12700">
              <a:solidFill>
                <a:srgbClr val="0078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1993</c:v>
              </c:pt>
              <c:pt idx="1">
                <c:v>2015</c:v>
              </c:pt>
            </c:numLit>
          </c:xVal>
          <c:yVal>
            <c:numLit>
              <c:formatCode>General</c:formatCode>
              <c:ptCount val="2"/>
              <c:pt idx="0">
                <c:v>1.1452304347826048</c:v>
              </c:pt>
              <c:pt idx="1">
                <c:v>1.1452304347826048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3506-44E7-8A79-AB8C87672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285336"/>
        <c:axId val="706285664"/>
      </c:scatterChart>
      <c:valAx>
        <c:axId val="706285336"/>
        <c:scaling>
          <c:orientation val="minMax"/>
          <c:max val="2020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Año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06285664"/>
        <c:crosses val="autoZero"/>
        <c:crossBetween val="midCat"/>
      </c:valAx>
      <c:valAx>
        <c:axId val="706285664"/>
        <c:scaling>
          <c:orientation val="minMax"/>
          <c:max val="1.6"/>
          <c:min val="0.4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Extension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06285336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Calcificacion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Calcificacion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'var4'!$B$253:$B$317</c:f>
              <c:numCache>
                <c:formatCode>General</c:formatCode>
                <c:ptCount val="65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</c:numCache>
            </c:numRef>
          </c:xVal>
          <c:yVal>
            <c:numRef>
              <c:f>'var4'!$C$253:$C$317</c:f>
              <c:numCache>
                <c:formatCode>0.000</c:formatCode>
                <c:ptCount val="65"/>
                <c:pt idx="0">
                  <c:v>0.66143976702722362</c:v>
                </c:pt>
                <c:pt idx="1">
                  <c:v>0.95589615237272119</c:v>
                </c:pt>
                <c:pt idx="2">
                  <c:v>0.59377598598415271</c:v>
                </c:pt>
                <c:pt idx="3">
                  <c:v>0.88548524113250748</c:v>
                </c:pt>
                <c:pt idx="4">
                  <c:v>0.75427320126818742</c:v>
                </c:pt>
                <c:pt idx="5">
                  <c:v>0.88015424807688747</c:v>
                </c:pt>
                <c:pt idx="6">
                  <c:v>0.8730306048777966</c:v>
                </c:pt>
                <c:pt idx="7">
                  <c:v>0.67212076111604602</c:v>
                </c:pt>
                <c:pt idx="8">
                  <c:v>0.77605341933320804</c:v>
                </c:pt>
                <c:pt idx="9">
                  <c:v>0.68081290028210217</c:v>
                </c:pt>
                <c:pt idx="10">
                  <c:v>0.36580962043778859</c:v>
                </c:pt>
                <c:pt idx="11">
                  <c:v>0.70869313053137106</c:v>
                </c:pt>
                <c:pt idx="12">
                  <c:v>0.5408819890937917</c:v>
                </c:pt>
                <c:pt idx="13">
                  <c:v>0.57926117310164982</c:v>
                </c:pt>
                <c:pt idx="14">
                  <c:v>0.34533991835577238</c:v>
                </c:pt>
                <c:pt idx="15">
                  <c:v>0.595061463748772</c:v>
                </c:pt>
                <c:pt idx="16">
                  <c:v>0.54462181778776408</c:v>
                </c:pt>
                <c:pt idx="17">
                  <c:v>0.34934929050925223</c:v>
                </c:pt>
                <c:pt idx="18">
                  <c:v>0.51938703498260574</c:v>
                </c:pt>
                <c:pt idx="19">
                  <c:v>0.52622047499847757</c:v>
                </c:pt>
                <c:pt idx="20">
                  <c:v>0.5808967932842366</c:v>
                </c:pt>
                <c:pt idx="21">
                  <c:v>0.5350999424776286</c:v>
                </c:pt>
                <c:pt idx="22">
                  <c:v>0.67775363034208125</c:v>
                </c:pt>
                <c:pt idx="23">
                  <c:v>0.58236847646915901</c:v>
                </c:pt>
                <c:pt idx="24">
                  <c:v>0.70596584376849925</c:v>
                </c:pt>
                <c:pt idx="25">
                  <c:v>0.6382020135217048</c:v>
                </c:pt>
                <c:pt idx="26">
                  <c:v>0.82840047949949747</c:v>
                </c:pt>
                <c:pt idx="27">
                  <c:v>0.66995887101354046</c:v>
                </c:pt>
                <c:pt idx="28">
                  <c:v>0.73964033205184576</c:v>
                </c:pt>
                <c:pt idx="29">
                  <c:v>0.73173887207270949</c:v>
                </c:pt>
                <c:pt idx="30">
                  <c:v>0.64134373561817148</c:v>
                </c:pt>
                <c:pt idx="31">
                  <c:v>0.52944101674623034</c:v>
                </c:pt>
                <c:pt idx="32">
                  <c:v>0.47971216269493039</c:v>
                </c:pt>
                <c:pt idx="33">
                  <c:v>0.50206452623965259</c:v>
                </c:pt>
                <c:pt idx="34">
                  <c:v>0.73015132869826527</c:v>
                </c:pt>
                <c:pt idx="35">
                  <c:v>0.71378456596511053</c:v>
                </c:pt>
                <c:pt idx="36">
                  <c:v>0.62598317157331329</c:v>
                </c:pt>
                <c:pt idx="37">
                  <c:v>0.48818425706850832</c:v>
                </c:pt>
                <c:pt idx="38">
                  <c:v>0.43838210576861875</c:v>
                </c:pt>
                <c:pt idx="39">
                  <c:v>0.66071671664697651</c:v>
                </c:pt>
                <c:pt idx="40">
                  <c:v>0.76539271288288591</c:v>
                </c:pt>
                <c:pt idx="41">
                  <c:v>0.6498766383529706</c:v>
                </c:pt>
                <c:pt idx="42">
                  <c:v>0.81775951261910995</c:v>
                </c:pt>
                <c:pt idx="43">
                  <c:v>0.79347078434578355</c:v>
                </c:pt>
                <c:pt idx="44">
                  <c:v>0.70253588367933661</c:v>
                </c:pt>
                <c:pt idx="45">
                  <c:v>0.86267398383628779</c:v>
                </c:pt>
                <c:pt idx="46">
                  <c:v>0.73271709184670231</c:v>
                </c:pt>
                <c:pt idx="47">
                  <c:v>0.93585019329516306</c:v>
                </c:pt>
                <c:pt idx="48">
                  <c:v>0.74042744581713982</c:v>
                </c:pt>
                <c:pt idx="49">
                  <c:v>0.61695033819938527</c:v>
                </c:pt>
                <c:pt idx="50">
                  <c:v>0.82114886811073906</c:v>
                </c:pt>
                <c:pt idx="51">
                  <c:v>0.77256183454304428</c:v>
                </c:pt>
                <c:pt idx="52">
                  <c:v>0.6880923761639508</c:v>
                </c:pt>
                <c:pt idx="53">
                  <c:v>0.80547256969190562</c:v>
                </c:pt>
                <c:pt idx="54">
                  <c:v>0.80504638349825564</c:v>
                </c:pt>
                <c:pt idx="55">
                  <c:v>0.49186980532400687</c:v>
                </c:pt>
                <c:pt idx="56">
                  <c:v>0.73356373044708678</c:v>
                </c:pt>
                <c:pt idx="57">
                  <c:v>0.83334690022595492</c:v>
                </c:pt>
                <c:pt idx="58">
                  <c:v>0.80829391201731071</c:v>
                </c:pt>
                <c:pt idx="59">
                  <c:v>0.85350325071764555</c:v>
                </c:pt>
                <c:pt idx="60">
                  <c:v>0.95343917686455504</c:v>
                </c:pt>
                <c:pt idx="61">
                  <c:v>0.70353139995100311</c:v>
                </c:pt>
                <c:pt idx="62">
                  <c:v>0.77596259596439188</c:v>
                </c:pt>
                <c:pt idx="63">
                  <c:v>0.72389922923782857</c:v>
                </c:pt>
                <c:pt idx="64">
                  <c:v>0.55736198388340186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AB-4266-921C-4EE5312127BF}"/>
            </c:ext>
          </c:extLst>
        </c:ser>
        <c:ser>
          <c:idx val="1"/>
          <c:order val="1"/>
          <c:tx>
            <c:v>mu1 = 0.633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1951</c:v>
              </c:pt>
              <c:pt idx="1">
                <c:v>1990</c:v>
              </c:pt>
            </c:numLit>
          </c:xVal>
          <c:yVal>
            <c:numLit>
              <c:formatCode>General</c:formatCode>
              <c:ptCount val="2"/>
              <c:pt idx="0">
                <c:v>0.63268642591346891</c:v>
              </c:pt>
              <c:pt idx="1">
                <c:v>0.63268642591346891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AAB-4266-921C-4EE5312127BF}"/>
            </c:ext>
          </c:extLst>
        </c:ser>
        <c:ser>
          <c:idx val="2"/>
          <c:order val="2"/>
          <c:tx>
            <c:v>mu2 = 0.758</c:v>
          </c:tx>
          <c:spPr>
            <a:ln w="12700">
              <a:solidFill>
                <a:srgbClr val="0078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1991</c:v>
              </c:pt>
              <c:pt idx="1">
                <c:v>2015</c:v>
              </c:pt>
            </c:numLit>
          </c:xVal>
          <c:yVal>
            <c:numLit>
              <c:formatCode>General</c:formatCode>
              <c:ptCount val="2"/>
              <c:pt idx="0">
                <c:v>0.75778994406063382</c:v>
              </c:pt>
              <c:pt idx="1">
                <c:v>0.75778994406063382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AAB-4266-921C-4EE531212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283368"/>
        <c:axId val="706282384"/>
      </c:scatterChart>
      <c:valAx>
        <c:axId val="706283368"/>
        <c:scaling>
          <c:orientation val="minMax"/>
          <c:max val="2020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Año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06282384"/>
        <c:crosses val="autoZero"/>
        <c:crossBetween val="midCat"/>
      </c:valAx>
      <c:valAx>
        <c:axId val="706282384"/>
        <c:scaling>
          <c:orientation val="minMax"/>
          <c:max val="0.99999999999999989"/>
          <c:min val="0.30000000000000004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Calcificacion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706283368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Densidad VAR-1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[1]Rates!$A$3:$A$34</c:f>
              <c:numCache>
                <c:formatCode>General</c:formatCode>
                <c:ptCount val="3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</c:numCache>
            </c:numRef>
          </c:xVal>
          <c:yVal>
            <c:numRef>
              <c:f>[1]Rates!$B$3:$B$34</c:f>
              <c:numCache>
                <c:formatCode>General</c:formatCode>
                <c:ptCount val="32"/>
                <c:pt idx="0">
                  <c:v>0.64979044857552282</c:v>
                </c:pt>
                <c:pt idx="1">
                  <c:v>0.62513630804321074</c:v>
                </c:pt>
                <c:pt idx="2">
                  <c:v>0.61275541932470423</c:v>
                </c:pt>
                <c:pt idx="3">
                  <c:v>0.59563138733725873</c:v>
                </c:pt>
                <c:pt idx="4">
                  <c:v>0.5290843887016391</c:v>
                </c:pt>
                <c:pt idx="5">
                  <c:v>0.6380863580050703</c:v>
                </c:pt>
                <c:pt idx="6">
                  <c:v>0.5773435024661312</c:v>
                </c:pt>
                <c:pt idx="7">
                  <c:v>0.68185195176851487</c:v>
                </c:pt>
                <c:pt idx="8">
                  <c:v>0.63081641523833587</c:v>
                </c:pt>
                <c:pt idx="9">
                  <c:v>0.76388645214439044</c:v>
                </c:pt>
                <c:pt idx="10">
                  <c:v>0.60994506829858386</c:v>
                </c:pt>
                <c:pt idx="11">
                  <c:v>0.62928033238475434</c:v>
                </c:pt>
                <c:pt idx="12">
                  <c:v>0.65005351225051311</c:v>
                </c:pt>
                <c:pt idx="13">
                  <c:v>0.69101827310522557</c:v>
                </c:pt>
                <c:pt idx="14">
                  <c:v>0.67135267578610724</c:v>
                </c:pt>
                <c:pt idx="15">
                  <c:v>0.66200910320756201</c:v>
                </c:pt>
                <c:pt idx="16">
                  <c:v>0.69070074553793115</c:v>
                </c:pt>
                <c:pt idx="17">
                  <c:v>0.66479200294650287</c:v>
                </c:pt>
                <c:pt idx="18">
                  <c:v>0.66393052226534699</c:v>
                </c:pt>
                <c:pt idx="19">
                  <c:v>0.62138332482445957</c:v>
                </c:pt>
                <c:pt idx="20">
                  <c:v>0.77974002807780207</c:v>
                </c:pt>
                <c:pt idx="21">
                  <c:v>0.74836419334761584</c:v>
                </c:pt>
                <c:pt idx="22">
                  <c:v>0.6926167422409768</c:v>
                </c:pt>
                <c:pt idx="23">
                  <c:v>0.76029312857435793</c:v>
                </c:pt>
                <c:pt idx="24">
                  <c:v>0.77965686134251722</c:v>
                </c:pt>
                <c:pt idx="25">
                  <c:v>0.75156958786229133</c:v>
                </c:pt>
                <c:pt idx="26">
                  <c:v>0.63648634860109421</c:v>
                </c:pt>
                <c:pt idx="27">
                  <c:v>0.79895615330901004</c:v>
                </c:pt>
                <c:pt idx="28">
                  <c:v>0.75134206356880939</c:v>
                </c:pt>
                <c:pt idx="29">
                  <c:v>0.78466399897105932</c:v>
                </c:pt>
                <c:pt idx="30">
                  <c:v>0.89453814705639556</c:v>
                </c:pt>
                <c:pt idx="31">
                  <c:v>0.81286400177038853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28-4491-96DA-66C5DC77EF0A}"/>
            </c:ext>
          </c:extLst>
        </c:ser>
        <c:ser>
          <c:idx val="0"/>
          <c:order val="1"/>
          <c:tx>
            <c:v>Densidad VAR-2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[2]VarRates!$AP$3:$AP$68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[2]VarRates!$AQ$3:$AQ$68</c:f>
              <c:numCache>
                <c:formatCode>General</c:formatCode>
                <c:ptCount val="66"/>
                <c:pt idx="0">
                  <c:v>0.60311461165644642</c:v>
                </c:pt>
                <c:pt idx="1">
                  <c:v>0.64102677557786503</c:v>
                </c:pt>
                <c:pt idx="2">
                  <c:v>0.63058724324584547</c:v>
                </c:pt>
                <c:pt idx="3">
                  <c:v>0.56774704600464365</c:v>
                </c:pt>
                <c:pt idx="4">
                  <c:v>0.54462781209836308</c:v>
                </c:pt>
                <c:pt idx="5">
                  <c:v>0.64980151729207092</c:v>
                </c:pt>
                <c:pt idx="6">
                  <c:v>0.75252079510261094</c:v>
                </c:pt>
                <c:pt idx="7">
                  <c:v>0.67717083779683862</c:v>
                </c:pt>
                <c:pt idx="8">
                  <c:v>0.64508840275284474</c:v>
                </c:pt>
                <c:pt idx="9">
                  <c:v>0.69052091653728864</c:v>
                </c:pt>
                <c:pt idx="10">
                  <c:v>0.7031560281539655</c:v>
                </c:pt>
                <c:pt idx="11">
                  <c:v>0.70080849236217024</c:v>
                </c:pt>
                <c:pt idx="12">
                  <c:v>0.62037105025182027</c:v>
                </c:pt>
                <c:pt idx="13">
                  <c:v>0.52215420691536796</c:v>
                </c:pt>
                <c:pt idx="14">
                  <c:v>0.50351096863508704</c:v>
                </c:pt>
                <c:pt idx="15">
                  <c:v>0.66985526297371667</c:v>
                </c:pt>
                <c:pt idx="16">
                  <c:v>0.70042237285114906</c:v>
                </c:pt>
                <c:pt idx="17">
                  <c:v>0.59090813888701132</c:v>
                </c:pt>
                <c:pt idx="18">
                  <c:v>0.52523046681410579</c:v>
                </c:pt>
                <c:pt idx="19">
                  <c:v>0.60600382818448817</c:v>
                </c:pt>
                <c:pt idx="20">
                  <c:v>0.64387738475042722</c:v>
                </c:pt>
                <c:pt idx="21">
                  <c:v>0.81865739524132075</c:v>
                </c:pt>
                <c:pt idx="22">
                  <c:v>0.88679283828880051</c:v>
                </c:pt>
                <c:pt idx="23">
                  <c:v>0.71387630066026131</c:v>
                </c:pt>
                <c:pt idx="24">
                  <c:v>0.63080809461000487</c:v>
                </c:pt>
                <c:pt idx="25">
                  <c:v>0.59964177730052426</c:v>
                </c:pt>
                <c:pt idx="26">
                  <c:v>0.61377281046343302</c:v>
                </c:pt>
                <c:pt idx="27">
                  <c:v>0.56183076562933643</c:v>
                </c:pt>
                <c:pt idx="28">
                  <c:v>0.54292598843672168</c:v>
                </c:pt>
                <c:pt idx="29">
                  <c:v>0.63018579966265575</c:v>
                </c:pt>
                <c:pt idx="30">
                  <c:v>0.85131910619378748</c:v>
                </c:pt>
                <c:pt idx="31">
                  <c:v>0.77308150928458519</c:v>
                </c:pt>
                <c:pt idx="32">
                  <c:v>0.68415360113140322</c:v>
                </c:pt>
                <c:pt idx="33">
                  <c:v>0.80671152144700775</c:v>
                </c:pt>
                <c:pt idx="34">
                  <c:v>0.75366653046391963</c:v>
                </c:pt>
                <c:pt idx="35">
                  <c:v>0.94822180507999421</c:v>
                </c:pt>
                <c:pt idx="36">
                  <c:v>0.85356214540044717</c:v>
                </c:pt>
                <c:pt idx="37">
                  <c:v>0.87640622204459429</c:v>
                </c:pt>
                <c:pt idx="38">
                  <c:v>0.98869926642806205</c:v>
                </c:pt>
                <c:pt idx="39">
                  <c:v>0.93611840376965394</c:v>
                </c:pt>
                <c:pt idx="40">
                  <c:v>0.82021214508385309</c:v>
                </c:pt>
                <c:pt idx="41">
                  <c:v>0.97093270860352487</c:v>
                </c:pt>
                <c:pt idx="42">
                  <c:v>1.1005528097566177</c:v>
                </c:pt>
                <c:pt idx="43">
                  <c:v>1.1266270205108111</c:v>
                </c:pt>
                <c:pt idx="44">
                  <c:v>0.85241701838706752</c:v>
                </c:pt>
                <c:pt idx="45">
                  <c:v>0.8895090264520441</c:v>
                </c:pt>
                <c:pt idx="46">
                  <c:v>0.85961933339383811</c:v>
                </c:pt>
                <c:pt idx="47">
                  <c:v>0.82636692775196496</c:v>
                </c:pt>
                <c:pt idx="48">
                  <c:v>0.79746528643389225</c:v>
                </c:pt>
                <c:pt idx="49">
                  <c:v>0.77333051291731758</c:v>
                </c:pt>
                <c:pt idx="50">
                  <c:v>0.72839785236252608</c:v>
                </c:pt>
                <c:pt idx="51">
                  <c:v>0.62790656272557666</c:v>
                </c:pt>
                <c:pt idx="52">
                  <c:v>0.74150239435190646</c:v>
                </c:pt>
                <c:pt idx="53">
                  <c:v>0.88927649387487695</c:v>
                </c:pt>
                <c:pt idx="54">
                  <c:v>0.98628149131298914</c:v>
                </c:pt>
                <c:pt idx="55">
                  <c:v>0.90130521284457887</c:v>
                </c:pt>
                <c:pt idx="56">
                  <c:v>0.79565694771959972</c:v>
                </c:pt>
                <c:pt idx="57">
                  <c:v>0.85788620649012826</c:v>
                </c:pt>
                <c:pt idx="58">
                  <c:v>0.71171791436877285</c:v>
                </c:pt>
                <c:pt idx="59">
                  <c:v>0.76027122021462756</c:v>
                </c:pt>
                <c:pt idx="60">
                  <c:v>0.70422167156568538</c:v>
                </c:pt>
                <c:pt idx="61">
                  <c:v>0.76671243158972913</c:v>
                </c:pt>
                <c:pt idx="62">
                  <c:v>0.75039076425955098</c:v>
                </c:pt>
                <c:pt idx="63">
                  <c:v>0.76098212776803975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28-4491-96DA-66C5DC77EF0A}"/>
            </c:ext>
          </c:extLst>
        </c:ser>
        <c:ser>
          <c:idx val="3"/>
          <c:order val="2"/>
          <c:tx>
            <c:v>Densidad VAR-3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[3]VarRates!$AP$3:$AP$77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[3]VarRates!$AQ$3:$AQ$77</c:f>
              <c:numCache>
                <c:formatCode>General</c:formatCode>
                <c:ptCount val="75"/>
                <c:pt idx="0">
                  <c:v>0.86303084525477902</c:v>
                </c:pt>
                <c:pt idx="1">
                  <c:v>0.9936851437929628</c:v>
                </c:pt>
                <c:pt idx="2">
                  <c:v>0.72341999491147657</c:v>
                </c:pt>
                <c:pt idx="3">
                  <c:v>0.84687863813545272</c:v>
                </c:pt>
                <c:pt idx="4">
                  <c:v>0.98101026212272124</c:v>
                </c:pt>
                <c:pt idx="5">
                  <c:v>1.0892913311634178</c:v>
                </c:pt>
                <c:pt idx="6">
                  <c:v>0.80148944144358425</c:v>
                </c:pt>
                <c:pt idx="7">
                  <c:v>0.74437876846585238</c:v>
                </c:pt>
                <c:pt idx="8">
                  <c:v>0.69468300226944102</c:v>
                </c:pt>
                <c:pt idx="9">
                  <c:v>0.74207018808284131</c:v>
                </c:pt>
                <c:pt idx="10">
                  <c:v>0.77648659330841974</c:v>
                </c:pt>
                <c:pt idx="11">
                  <c:v>0.78008881149936804</c:v>
                </c:pt>
                <c:pt idx="12">
                  <c:v>0.66227543335241434</c:v>
                </c:pt>
                <c:pt idx="13">
                  <c:v>0.60562454931002585</c:v>
                </c:pt>
                <c:pt idx="14">
                  <c:v>0.62936320664467615</c:v>
                </c:pt>
                <c:pt idx="15">
                  <c:v>0.62193908215059568</c:v>
                </c:pt>
                <c:pt idx="16">
                  <c:v>0.80984904859476003</c:v>
                </c:pt>
                <c:pt idx="17">
                  <c:v>0.80991578635941353</c:v>
                </c:pt>
                <c:pt idx="18">
                  <c:v>0.91820027507934587</c:v>
                </c:pt>
                <c:pt idx="19">
                  <c:v>0.94443999368509923</c:v>
                </c:pt>
                <c:pt idx="20">
                  <c:v>0.94370646738689645</c:v>
                </c:pt>
                <c:pt idx="21">
                  <c:v>0.89126076557692313</c:v>
                </c:pt>
                <c:pt idx="22">
                  <c:v>0.85112734808303858</c:v>
                </c:pt>
                <c:pt idx="23">
                  <c:v>0.79132451277874005</c:v>
                </c:pt>
                <c:pt idx="24">
                  <c:v>0.7188468066042405</c:v>
                </c:pt>
                <c:pt idx="25">
                  <c:v>0.68039077213142352</c:v>
                </c:pt>
                <c:pt idx="26">
                  <c:v>0.73866638849214838</c:v>
                </c:pt>
                <c:pt idx="27">
                  <c:v>0.76571584674322613</c:v>
                </c:pt>
                <c:pt idx="28">
                  <c:v>0.73071616800517813</c:v>
                </c:pt>
                <c:pt idx="29">
                  <c:v>0.70857739472446823</c:v>
                </c:pt>
                <c:pt idx="30">
                  <c:v>0.800872030500968</c:v>
                </c:pt>
                <c:pt idx="31">
                  <c:v>0.82871209351422614</c:v>
                </c:pt>
                <c:pt idx="32">
                  <c:v>0.73580702397438635</c:v>
                </c:pt>
                <c:pt idx="33">
                  <c:v>0.64730269763380133</c:v>
                </c:pt>
                <c:pt idx="34">
                  <c:v>0.69801054903425075</c:v>
                </c:pt>
                <c:pt idx="35">
                  <c:v>0.65977767268341858</c:v>
                </c:pt>
                <c:pt idx="36">
                  <c:v>0.69254596760836451</c:v>
                </c:pt>
                <c:pt idx="37">
                  <c:v>0.93277643806693411</c:v>
                </c:pt>
                <c:pt idx="38">
                  <c:v>0.62794305692561192</c:v>
                </c:pt>
                <c:pt idx="39">
                  <c:v>0.65341132554593973</c:v>
                </c:pt>
                <c:pt idx="40">
                  <c:v>0.63707615591142464</c:v>
                </c:pt>
                <c:pt idx="41">
                  <c:v>0.66766372240483518</c:v>
                </c:pt>
                <c:pt idx="42">
                  <c:v>0.69213824235933785</c:v>
                </c:pt>
                <c:pt idx="43">
                  <c:v>0.71103267463946951</c:v>
                </c:pt>
                <c:pt idx="44">
                  <c:v>0.7761372952697938</c:v>
                </c:pt>
                <c:pt idx="45">
                  <c:v>0.81826167849275788</c:v>
                </c:pt>
                <c:pt idx="46">
                  <c:v>1.0136273549729762</c:v>
                </c:pt>
                <c:pt idx="47">
                  <c:v>0.92234171095431172</c:v>
                </c:pt>
                <c:pt idx="48">
                  <c:v>0.79901555001334201</c:v>
                </c:pt>
                <c:pt idx="49">
                  <c:v>0.86373958479554425</c:v>
                </c:pt>
                <c:pt idx="50">
                  <c:v>0.85621573575200494</c:v>
                </c:pt>
                <c:pt idx="51">
                  <c:v>0.82202113451250336</c:v>
                </c:pt>
                <c:pt idx="52">
                  <c:v>0.78516065626050024</c:v>
                </c:pt>
                <c:pt idx="53">
                  <c:v>0.86162316030526176</c:v>
                </c:pt>
                <c:pt idx="54">
                  <c:v>0.87030314227090122</c:v>
                </c:pt>
                <c:pt idx="55">
                  <c:v>0.87564283823838385</c:v>
                </c:pt>
                <c:pt idx="56">
                  <c:v>0.89420572831265766</c:v>
                </c:pt>
                <c:pt idx="57">
                  <c:v>0.8353760196914517</c:v>
                </c:pt>
                <c:pt idx="58">
                  <c:v>0.87401798027250288</c:v>
                </c:pt>
                <c:pt idx="59">
                  <c:v>0.94672835484061346</c:v>
                </c:pt>
                <c:pt idx="60">
                  <c:v>0.94499069442316741</c:v>
                </c:pt>
                <c:pt idx="61">
                  <c:v>0.82300442442223321</c:v>
                </c:pt>
                <c:pt idx="62">
                  <c:v>0.98857663574924493</c:v>
                </c:pt>
                <c:pt idx="63">
                  <c:v>0.94927877573228847</c:v>
                </c:pt>
                <c:pt idx="64">
                  <c:v>0.99753664228078365</c:v>
                </c:pt>
                <c:pt idx="65">
                  <c:v>0.81843251804458306</c:v>
                </c:pt>
                <c:pt idx="66">
                  <c:v>0.99993197784758081</c:v>
                </c:pt>
                <c:pt idx="67">
                  <c:v>1.011369469449138</c:v>
                </c:pt>
                <c:pt idx="68">
                  <c:v>0.90742545725050894</c:v>
                </c:pt>
                <c:pt idx="69">
                  <c:v>0.91246356940837914</c:v>
                </c:pt>
                <c:pt idx="70">
                  <c:v>0.98597494056265533</c:v>
                </c:pt>
                <c:pt idx="71">
                  <c:v>1.1595417547813924</c:v>
                </c:pt>
                <c:pt idx="72">
                  <c:v>0.8279116861189576</c:v>
                </c:pt>
                <c:pt idx="73">
                  <c:v>0.83737341140731691</c:v>
                </c:pt>
                <c:pt idx="74">
                  <c:v>0.94847816911476579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28-4491-96DA-66C5DC77EF0A}"/>
            </c:ext>
          </c:extLst>
        </c:ser>
        <c:ser>
          <c:idx val="4"/>
          <c:order val="3"/>
          <c:tx>
            <c:v>Densidad VAR-4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[4]VarRates!$AP$3:$AP$68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[4]VarRates!$AQ$3:$AQ$68</c:f>
              <c:numCache>
                <c:formatCode>General</c:formatCode>
                <c:ptCount val="66"/>
                <c:pt idx="0">
                  <c:v>0.65508785848341433</c:v>
                </c:pt>
                <c:pt idx="1">
                  <c:v>0.58511756538378434</c:v>
                </c:pt>
                <c:pt idx="2">
                  <c:v>0.70898552032566364</c:v>
                </c:pt>
                <c:pt idx="3">
                  <c:v>0.70447938650449871</c:v>
                </c:pt>
                <c:pt idx="4">
                  <c:v>0.86584836711706359</c:v>
                </c:pt>
                <c:pt idx="5">
                  <c:v>0.92601379406289364</c:v>
                </c:pt>
                <c:pt idx="6">
                  <c:v>0.87451166834640648</c:v>
                </c:pt>
                <c:pt idx="7">
                  <c:v>0.78415777830393485</c:v>
                </c:pt>
                <c:pt idx="8">
                  <c:v>0.66665193184032612</c:v>
                </c:pt>
                <c:pt idx="9">
                  <c:v>0.56516294261391486</c:v>
                </c:pt>
                <c:pt idx="10">
                  <c:v>0.5691676754804309</c:v>
                </c:pt>
                <c:pt idx="11">
                  <c:v>0.80563849615659056</c:v>
                </c:pt>
                <c:pt idx="12">
                  <c:v>0.65673617565810216</c:v>
                </c:pt>
                <c:pt idx="13">
                  <c:v>0.62713508472075397</c:v>
                </c:pt>
                <c:pt idx="14">
                  <c:v>0.66104843636926169</c:v>
                </c:pt>
                <c:pt idx="15">
                  <c:v>0.64524795306982008</c:v>
                </c:pt>
                <c:pt idx="16">
                  <c:v>0.60593418693571999</c:v>
                </c:pt>
                <c:pt idx="17">
                  <c:v>0.60318615585659519</c:v>
                </c:pt>
                <c:pt idx="18">
                  <c:v>0.64527470135587928</c:v>
                </c:pt>
                <c:pt idx="19">
                  <c:v>0.64743934325617758</c:v>
                </c:pt>
                <c:pt idx="20">
                  <c:v>0.67609911024772607</c:v>
                </c:pt>
                <c:pt idx="21">
                  <c:v>0.59064665406301531</c:v>
                </c:pt>
                <c:pt idx="22">
                  <c:v>0.6315007225604512</c:v>
                </c:pt>
                <c:pt idx="23">
                  <c:v>0.72181261486688919</c:v>
                </c:pt>
                <c:pt idx="24">
                  <c:v>0.72068407818409153</c:v>
                </c:pt>
                <c:pt idx="25">
                  <c:v>0.70792138943959504</c:v>
                </c:pt>
                <c:pt idx="26">
                  <c:v>0.65555884168929268</c:v>
                </c:pt>
                <c:pt idx="27">
                  <c:v>0.59366937345136073</c:v>
                </c:pt>
                <c:pt idx="28">
                  <c:v>0.54611420143105827</c:v>
                </c:pt>
                <c:pt idx="29">
                  <c:v>0.74993755744080226</c:v>
                </c:pt>
                <c:pt idx="30">
                  <c:v>0.71813857737882236</c:v>
                </c:pt>
                <c:pt idx="31">
                  <c:v>0.73055866486001309</c:v>
                </c:pt>
                <c:pt idx="32">
                  <c:v>0.56462932123694742</c:v>
                </c:pt>
                <c:pt idx="33">
                  <c:v>0.56071088239991851</c:v>
                </c:pt>
                <c:pt idx="34">
                  <c:v>0.65013162364133381</c:v>
                </c:pt>
                <c:pt idx="35">
                  <c:v>0.72170924885888699</c:v>
                </c:pt>
                <c:pt idx="36">
                  <c:v>0.93414123273951255</c:v>
                </c:pt>
                <c:pt idx="37">
                  <c:v>0.89850219767701822</c:v>
                </c:pt>
                <c:pt idx="38">
                  <c:v>0.83815791539917583</c:v>
                </c:pt>
                <c:pt idx="39">
                  <c:v>0.91245053099845341</c:v>
                </c:pt>
                <c:pt idx="40">
                  <c:v>0.83651741578158367</c:v>
                </c:pt>
                <c:pt idx="41">
                  <c:v>0.77760515894126869</c:v>
                </c:pt>
                <c:pt idx="42">
                  <c:v>0.86191908780269311</c:v>
                </c:pt>
                <c:pt idx="43">
                  <c:v>0.79434772403436049</c:v>
                </c:pt>
                <c:pt idx="44">
                  <c:v>0.55004963420995834</c:v>
                </c:pt>
                <c:pt idx="45">
                  <c:v>0.60773503247699301</c:v>
                </c:pt>
                <c:pt idx="46">
                  <c:v>0.65959454314915544</c:v>
                </c:pt>
                <c:pt idx="47">
                  <c:v>0.56831847635100208</c:v>
                </c:pt>
                <c:pt idx="48">
                  <c:v>0.62907115654009393</c:v>
                </c:pt>
                <c:pt idx="49">
                  <c:v>0.47193867822033486</c:v>
                </c:pt>
                <c:pt idx="50">
                  <c:v>0.4202955079473672</c:v>
                </c:pt>
                <c:pt idx="51">
                  <c:v>0.35003523813225945</c:v>
                </c:pt>
                <c:pt idx="52">
                  <c:v>0.45177673628155507</c:v>
                </c:pt>
                <c:pt idx="53">
                  <c:v>0.65781474272405216</c:v>
                </c:pt>
                <c:pt idx="54">
                  <c:v>0.54986747666888836</c:v>
                </c:pt>
                <c:pt idx="55">
                  <c:v>0.5510299696283808</c:v>
                </c:pt>
                <c:pt idx="56">
                  <c:v>0.71147576233653853</c:v>
                </c:pt>
                <c:pt idx="57">
                  <c:v>0.74920030942153759</c:v>
                </c:pt>
                <c:pt idx="58">
                  <c:v>0.77189763501658892</c:v>
                </c:pt>
                <c:pt idx="59">
                  <c:v>0.82302384576596244</c:v>
                </c:pt>
                <c:pt idx="60">
                  <c:v>0.80264504892954358</c:v>
                </c:pt>
                <c:pt idx="61">
                  <c:v>0.81580220590321406</c:v>
                </c:pt>
                <c:pt idx="62">
                  <c:v>0.76368924594892862</c:v>
                </c:pt>
                <c:pt idx="63">
                  <c:v>0.74555461439303161</c:v>
                </c:pt>
                <c:pt idx="64">
                  <c:v>0.64143159137846939</c:v>
                </c:pt>
                <c:pt idx="65">
                  <c:v>0.54052646132832138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28-4491-96DA-66C5DC77EF0A}"/>
            </c:ext>
          </c:extLst>
        </c:ser>
        <c:ser>
          <c:idx val="2"/>
          <c:order val="4"/>
          <c:tx>
            <c:v>Densidad Promedio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DATA!$U$3:$U$77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DATA!$V$3:$V$77</c:f>
              <c:numCache>
                <c:formatCode>General</c:formatCode>
                <c:ptCount val="75"/>
                <c:pt idx="0">
                  <c:v>0.64642890302105316</c:v>
                </c:pt>
                <c:pt idx="1">
                  <c:v>0.70135241132527337</c:v>
                </c:pt>
                <c:pt idx="2">
                  <c:v>0.61118176710657646</c:v>
                </c:pt>
                <c:pt idx="3">
                  <c:v>0.68737633577926627</c:v>
                </c:pt>
                <c:pt idx="4">
                  <c:v>0.73919505967331933</c:v>
                </c:pt>
                <c:pt idx="5">
                  <c:v>0.81320668932646378</c:v>
                </c:pt>
                <c:pt idx="6">
                  <c:v>0.74375701186488397</c:v>
                </c:pt>
                <c:pt idx="7">
                  <c:v>0.68089349573421276</c:v>
                </c:pt>
                <c:pt idx="8">
                  <c:v>0.63401317159216297</c:v>
                </c:pt>
                <c:pt idx="9">
                  <c:v>0.62108680352358248</c:v>
                </c:pt>
                <c:pt idx="10">
                  <c:v>0.70082169562959895</c:v>
                </c:pt>
                <c:pt idx="11">
                  <c:v>0.68836078376719412</c:v>
                </c:pt>
                <c:pt idx="12">
                  <c:v>0.62292131487974944</c:v>
                </c:pt>
                <c:pt idx="13">
                  <c:v>0.58287537423982805</c:v>
                </c:pt>
                <c:pt idx="14">
                  <c:v>0.56142604127635265</c:v>
                </c:pt>
                <c:pt idx="15">
                  <c:v>0.60915782046273736</c:v>
                </c:pt>
                <c:pt idx="16">
                  <c:v>0.64007536595615233</c:v>
                </c:pt>
                <c:pt idx="17">
                  <c:v>0.64073677084615599</c:v>
                </c:pt>
                <c:pt idx="18">
                  <c:v>0.63892566143545326</c:v>
                </c:pt>
                <c:pt idx="19">
                  <c:v>0.72950918884920313</c:v>
                </c:pt>
                <c:pt idx="20">
                  <c:v>0.71077180924614092</c:v>
                </c:pt>
                <c:pt idx="21">
                  <c:v>0.71949106936863794</c:v>
                </c:pt>
                <c:pt idx="22">
                  <c:v>0.76329719589176581</c:v>
                </c:pt>
                <c:pt idx="23">
                  <c:v>0.70339038643300311</c:v>
                </c:pt>
                <c:pt idx="24">
                  <c:v>0.60847117558754005</c:v>
                </c:pt>
                <c:pt idx="25">
                  <c:v>0.60949590535373255</c:v>
                </c:pt>
                <c:pt idx="26">
                  <c:v>0.6495214826153084</c:v>
                </c:pt>
                <c:pt idx="27">
                  <c:v>0.63445169859276618</c:v>
                </c:pt>
                <c:pt idx="28">
                  <c:v>0.69805319600087579</c:v>
                </c:pt>
                <c:pt idx="29">
                  <c:v>0.6927329967524184</c:v>
                </c:pt>
                <c:pt idx="30">
                  <c:v>0.77867947208357524</c:v>
                </c:pt>
                <c:pt idx="31">
                  <c:v>0.72956763859434326</c:v>
                </c:pt>
                <c:pt idx="32">
                  <c:v>0.59804679922961002</c:v>
                </c:pt>
                <c:pt idx="33">
                  <c:v>0.62942289760350689</c:v>
                </c:pt>
                <c:pt idx="34">
                  <c:v>0.68237654035640605</c:v>
                </c:pt>
                <c:pt idx="35">
                  <c:v>0.78350480118920862</c:v>
                </c:pt>
                <c:pt idx="36">
                  <c:v>0.77573215129453776</c:v>
                </c:pt>
                <c:pt idx="37">
                  <c:v>0.84739269537618911</c:v>
                </c:pt>
                <c:pt idx="38">
                  <c:v>0.80267249955694042</c:v>
                </c:pt>
                <c:pt idx="39">
                  <c:v>0.77550443410226466</c:v>
                </c:pt>
                <c:pt idx="40">
                  <c:v>0.71800315701394368</c:v>
                </c:pt>
                <c:pt idx="41">
                  <c:v>0.78285945608479057</c:v>
                </c:pt>
                <c:pt idx="42">
                  <c:v>0.87254175292843195</c:v>
                </c:pt>
                <c:pt idx="43">
                  <c:v>0.78575591487561081</c:v>
                </c:pt>
                <c:pt idx="44">
                  <c:v>0.66509742951425954</c:v>
                </c:pt>
                <c:pt idx="45">
                  <c:v>0.71254250187618329</c:v>
                </c:pt>
                <c:pt idx="46">
                  <c:v>0.76027756587989759</c:v>
                </c:pt>
                <c:pt idx="47">
                  <c:v>0.71269616094893828</c:v>
                </c:pt>
                <c:pt idx="48">
                  <c:v>0.63101314928659158</c:v>
                </c:pt>
                <c:pt idx="49">
                  <c:v>0.66867868599992797</c:v>
                </c:pt>
                <c:pt idx="50">
                  <c:v>0.60265353105226394</c:v>
                </c:pt>
                <c:pt idx="51">
                  <c:v>0.5884175548421321</c:v>
                </c:pt>
                <c:pt idx="52">
                  <c:v>0.68065800796140186</c:v>
                </c:pt>
                <c:pt idx="53">
                  <c:v>0.73845131267274378</c:v>
                </c:pt>
                <c:pt idx="54">
                  <c:v>0.72830856649853537</c:v>
                </c:pt>
                <c:pt idx="55">
                  <c:v>0.77758286327748483</c:v>
                </c:pt>
                <c:pt idx="56">
                  <c:v>0.79699956956636397</c:v>
                </c:pt>
                <c:pt idx="57">
                  <c:v>0.8153160475525173</c:v>
                </c:pt>
                <c:pt idx="58">
                  <c:v>0.78958144417686205</c:v>
                </c:pt>
                <c:pt idx="59">
                  <c:v>0.83693514937477076</c:v>
                </c:pt>
                <c:pt idx="60">
                  <c:v>0.7833362203573816</c:v>
                </c:pt>
                <c:pt idx="61">
                  <c:v>0.76405493140912972</c:v>
                </c:pt>
                <c:pt idx="62">
                  <c:v>0.79361014873528613</c:v>
                </c:pt>
                <c:pt idx="63">
                  <c:v>0.79239077894536381</c:v>
                </c:pt>
                <c:pt idx="64">
                  <c:v>0.74572571469884041</c:v>
                </c:pt>
                <c:pt idx="65">
                  <c:v>0.73705555362221065</c:v>
                </c:pt>
                <c:pt idx="66">
                  <c:v>0.91030963292277434</c:v>
                </c:pt>
                <c:pt idx="67">
                  <c:v>0.92724857035753971</c:v>
                </c:pt>
                <c:pt idx="68">
                  <c:v>0.82134299428948521</c:v>
                </c:pt>
                <c:pt idx="69">
                  <c:v>0.81977995924386438</c:v>
                </c:pt>
                <c:pt idx="70">
                  <c:v>0.90412280533358014</c:v>
                </c:pt>
                <c:pt idx="71">
                  <c:v>1.0842756867434415</c:v>
                </c:pt>
                <c:pt idx="72">
                  <c:v>0.73367003295325495</c:v>
                </c:pt>
                <c:pt idx="73">
                  <c:v>0.74214927169668543</c:v>
                </c:pt>
                <c:pt idx="74">
                  <c:v>0.85518658090572208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728-4491-96DA-66C5DC77E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6070384"/>
        <c:axId val="-1506069840"/>
      </c:scatterChart>
      <c:valAx>
        <c:axId val="-1506070384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06069840"/>
        <c:crosses val="autoZero"/>
        <c:crossBetween val="midCat"/>
      </c:valAx>
      <c:valAx>
        <c:axId val="-1506069840"/>
        <c:scaling>
          <c:orientation val="minMax"/>
          <c:max val="1.2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 (g/cm3)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0607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Extensión VAR-1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[1]Rates!$A$3:$A$34</c:f>
              <c:numCache>
                <c:formatCode>General</c:formatCode>
                <c:ptCount val="3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</c:numCache>
            </c:numRef>
          </c:xVal>
          <c:yVal>
            <c:numRef>
              <c:f>[1]Rates!$C$3:$C$34</c:f>
              <c:numCache>
                <c:formatCode>General</c:formatCode>
                <c:ptCount val="32"/>
                <c:pt idx="0">
                  <c:v>1.5996000000000001</c:v>
                </c:pt>
                <c:pt idx="1">
                  <c:v>1.5691999999999999</c:v>
                </c:pt>
                <c:pt idx="2">
                  <c:v>1.9347000000000003</c:v>
                </c:pt>
                <c:pt idx="3">
                  <c:v>1.5386999999999995</c:v>
                </c:pt>
                <c:pt idx="4">
                  <c:v>1.5082000000000004</c:v>
                </c:pt>
                <c:pt idx="5">
                  <c:v>1.3101000000000003</c:v>
                </c:pt>
                <c:pt idx="6">
                  <c:v>1.2187999999999999</c:v>
                </c:pt>
                <c:pt idx="7">
                  <c:v>1.2492000000000001</c:v>
                </c:pt>
                <c:pt idx="8">
                  <c:v>1.3101000000000003</c:v>
                </c:pt>
                <c:pt idx="9">
                  <c:v>0.91409999999999947</c:v>
                </c:pt>
                <c:pt idx="10">
                  <c:v>1.904300000000001</c:v>
                </c:pt>
                <c:pt idx="11">
                  <c:v>1.1882999999999981</c:v>
                </c:pt>
                <c:pt idx="12">
                  <c:v>1.5234000000000023</c:v>
                </c:pt>
                <c:pt idx="13">
                  <c:v>1.0815999999999981</c:v>
                </c:pt>
                <c:pt idx="14">
                  <c:v>1.8890999999999991</c:v>
                </c:pt>
                <c:pt idx="15">
                  <c:v>1.7062000000000026</c:v>
                </c:pt>
                <c:pt idx="16">
                  <c:v>1.6148599999999966</c:v>
                </c:pt>
                <c:pt idx="17">
                  <c:v>1.385929999999906</c:v>
                </c:pt>
                <c:pt idx="18">
                  <c:v>1.1574799999999215</c:v>
                </c:pt>
                <c:pt idx="19">
                  <c:v>1.3097799999999111</c:v>
                </c:pt>
                <c:pt idx="20">
                  <c:v>1.0660999999999277</c:v>
                </c:pt>
                <c:pt idx="21">
                  <c:v>1.4011600000001856</c:v>
                </c:pt>
                <c:pt idx="22">
                  <c:v>1.4468500000002393</c:v>
                </c:pt>
                <c:pt idx="23">
                  <c:v>1.172710000000194</c:v>
                </c:pt>
                <c:pt idx="24">
                  <c:v>1.203170000000199</c:v>
                </c:pt>
                <c:pt idx="25">
                  <c:v>1.0965600000001814</c:v>
                </c:pt>
                <c:pt idx="26">
                  <c:v>1.2793200000002116</c:v>
                </c:pt>
                <c:pt idx="27">
                  <c:v>1.2793200000002116</c:v>
                </c:pt>
                <c:pt idx="28">
                  <c:v>0.82242000000013604</c:v>
                </c:pt>
                <c:pt idx="29">
                  <c:v>1.8428300000003048</c:v>
                </c:pt>
                <c:pt idx="30">
                  <c:v>1.203170000000199</c:v>
                </c:pt>
                <c:pt idx="31">
                  <c:v>1.0661000000001764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6B-406D-9CC7-6564F104B412}"/>
            </c:ext>
          </c:extLst>
        </c:ser>
        <c:ser>
          <c:idx val="0"/>
          <c:order val="1"/>
          <c:tx>
            <c:v>Extensión VAR-2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[2]VarRates!$AP$3:$AP$68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[2]VarRates!$AR$3:$AR$68</c:f>
              <c:numCache>
                <c:formatCode>General</c:formatCode>
                <c:ptCount val="66"/>
                <c:pt idx="0">
                  <c:v>1.35375</c:v>
                </c:pt>
                <c:pt idx="1">
                  <c:v>0.86145000000000016</c:v>
                </c:pt>
                <c:pt idx="2">
                  <c:v>1.7228000000000003</c:v>
                </c:pt>
                <c:pt idx="3">
                  <c:v>1.1075999999999997</c:v>
                </c:pt>
                <c:pt idx="4">
                  <c:v>1.1998499999999992</c:v>
                </c:pt>
                <c:pt idx="5">
                  <c:v>0.89225000000000065</c:v>
                </c:pt>
                <c:pt idx="6">
                  <c:v>0.92294999999999927</c:v>
                </c:pt>
                <c:pt idx="7">
                  <c:v>1.1383500000000009</c:v>
                </c:pt>
                <c:pt idx="8">
                  <c:v>1.1998500000000005</c:v>
                </c:pt>
                <c:pt idx="9">
                  <c:v>1.1382999999999992</c:v>
                </c:pt>
                <c:pt idx="10">
                  <c:v>1.1999000000000004</c:v>
                </c:pt>
                <c:pt idx="11">
                  <c:v>1.0459999999999994</c:v>
                </c:pt>
                <c:pt idx="12">
                  <c:v>1.0767999999999995</c:v>
                </c:pt>
                <c:pt idx="13">
                  <c:v>1.1998500000000014</c:v>
                </c:pt>
                <c:pt idx="14">
                  <c:v>1.4152499999999986</c:v>
                </c:pt>
                <c:pt idx="15">
                  <c:v>1.0459999999999994</c:v>
                </c:pt>
                <c:pt idx="16">
                  <c:v>1.169100000000002</c:v>
                </c:pt>
                <c:pt idx="17">
                  <c:v>0.98449999999999882</c:v>
                </c:pt>
                <c:pt idx="18">
                  <c:v>1.4767499999999991</c:v>
                </c:pt>
                <c:pt idx="19">
                  <c:v>0.98450000000000237</c:v>
                </c:pt>
                <c:pt idx="20">
                  <c:v>1.3536999999999981</c:v>
                </c:pt>
                <c:pt idx="21">
                  <c:v>0.98445000000000249</c:v>
                </c:pt>
                <c:pt idx="22">
                  <c:v>1.0767999999999986</c:v>
                </c:pt>
                <c:pt idx="23">
                  <c:v>0.76915000000000155</c:v>
                </c:pt>
                <c:pt idx="24">
                  <c:v>0.73839999999999684</c:v>
                </c:pt>
                <c:pt idx="25">
                  <c:v>0.73835000000000051</c:v>
                </c:pt>
                <c:pt idx="26">
                  <c:v>1.1997999999999998</c:v>
                </c:pt>
                <c:pt idx="27">
                  <c:v>0.86150000000000304</c:v>
                </c:pt>
                <c:pt idx="28">
                  <c:v>0.89214999999999911</c:v>
                </c:pt>
                <c:pt idx="29">
                  <c:v>1.2917500000000146</c:v>
                </c:pt>
                <c:pt idx="30">
                  <c:v>0.5843500000000077</c:v>
                </c:pt>
                <c:pt idx="31">
                  <c:v>0.953599999999998</c:v>
                </c:pt>
                <c:pt idx="32">
                  <c:v>0.89200000000001012</c:v>
                </c:pt>
                <c:pt idx="33">
                  <c:v>1.0151000000000039</c:v>
                </c:pt>
                <c:pt idx="34">
                  <c:v>0.98425000000000651</c:v>
                </c:pt>
                <c:pt idx="35">
                  <c:v>1.3534000000000113</c:v>
                </c:pt>
                <c:pt idx="36">
                  <c:v>1.1072500000000076</c:v>
                </c:pt>
                <c:pt idx="37">
                  <c:v>1.4763000000000126</c:v>
                </c:pt>
                <c:pt idx="38">
                  <c:v>0.98425000000000651</c:v>
                </c:pt>
                <c:pt idx="39">
                  <c:v>0.98400000000001597</c:v>
                </c:pt>
                <c:pt idx="40">
                  <c:v>1.1377500000000147</c:v>
                </c:pt>
                <c:pt idx="41">
                  <c:v>1.0147500000000136</c:v>
                </c:pt>
                <c:pt idx="42">
                  <c:v>1.0147500000000171</c:v>
                </c:pt>
                <c:pt idx="43">
                  <c:v>1.0147500000000171</c:v>
                </c:pt>
                <c:pt idx="44">
                  <c:v>1.0762500000000124</c:v>
                </c:pt>
                <c:pt idx="45">
                  <c:v>1.0147500000000171</c:v>
                </c:pt>
                <c:pt idx="46">
                  <c:v>1.2300000000000146</c:v>
                </c:pt>
                <c:pt idx="47">
                  <c:v>1.1070000000000171</c:v>
                </c:pt>
                <c:pt idx="48">
                  <c:v>0.95325000000001481</c:v>
                </c:pt>
                <c:pt idx="49">
                  <c:v>1.1685000000000159</c:v>
                </c:pt>
                <c:pt idx="50">
                  <c:v>1.0147500000000171</c:v>
                </c:pt>
                <c:pt idx="51">
                  <c:v>1.1070000000000135</c:v>
                </c:pt>
                <c:pt idx="52">
                  <c:v>1.199250000000017</c:v>
                </c:pt>
                <c:pt idx="53">
                  <c:v>1.0762500000000159</c:v>
                </c:pt>
                <c:pt idx="54">
                  <c:v>1.0455000000000183</c:v>
                </c:pt>
                <c:pt idx="55">
                  <c:v>1.4452500000000192</c:v>
                </c:pt>
                <c:pt idx="56">
                  <c:v>1.4452500000000228</c:v>
                </c:pt>
                <c:pt idx="57">
                  <c:v>1.0147500000000136</c:v>
                </c:pt>
                <c:pt idx="58">
                  <c:v>1.1992500000000135</c:v>
                </c:pt>
                <c:pt idx="59">
                  <c:v>0.92250000000001364</c:v>
                </c:pt>
                <c:pt idx="60">
                  <c:v>1.2607500000000229</c:v>
                </c:pt>
                <c:pt idx="61">
                  <c:v>1.1685000000000159</c:v>
                </c:pt>
                <c:pt idx="62">
                  <c:v>1.3530000000000229</c:v>
                </c:pt>
                <c:pt idx="63">
                  <c:v>1.1070000000000135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6B-406D-9CC7-6564F104B412}"/>
            </c:ext>
          </c:extLst>
        </c:ser>
        <c:ser>
          <c:idx val="3"/>
          <c:order val="2"/>
          <c:tx>
            <c:v>Extensión VAR-3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[3]VarRates!$AP$3:$AP$77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[3]VarRates!$AR$3:$AR$77</c:f>
              <c:numCache>
                <c:formatCode>General</c:formatCode>
                <c:ptCount val="75"/>
                <c:pt idx="0">
                  <c:v>0.92297000000000018</c:v>
                </c:pt>
                <c:pt idx="1">
                  <c:v>0.58455000000000046</c:v>
                </c:pt>
                <c:pt idx="2">
                  <c:v>1.1075600000000003</c:v>
                </c:pt>
                <c:pt idx="3">
                  <c:v>0.39991999999999894</c:v>
                </c:pt>
                <c:pt idx="4">
                  <c:v>0.95376499999999886</c:v>
                </c:pt>
                <c:pt idx="5">
                  <c:v>0.49223999999999934</c:v>
                </c:pt>
                <c:pt idx="6">
                  <c:v>0.8614099999999989</c:v>
                </c:pt>
                <c:pt idx="7">
                  <c:v>0.67684999999999862</c:v>
                </c:pt>
                <c:pt idx="8">
                  <c:v>0.55375000000000218</c:v>
                </c:pt>
                <c:pt idx="9">
                  <c:v>1.0768150000000034</c:v>
                </c:pt>
                <c:pt idx="10">
                  <c:v>0.64605000000000246</c:v>
                </c:pt>
                <c:pt idx="11">
                  <c:v>1.2613750000000028</c:v>
                </c:pt>
                <c:pt idx="12">
                  <c:v>0.58457000000000292</c:v>
                </c:pt>
                <c:pt idx="13">
                  <c:v>1.0767800000000056</c:v>
                </c:pt>
                <c:pt idx="14">
                  <c:v>0.9537050000000038</c:v>
                </c:pt>
                <c:pt idx="15">
                  <c:v>1.0768049999999993</c:v>
                </c:pt>
                <c:pt idx="16">
                  <c:v>0.64608999999999739</c:v>
                </c:pt>
                <c:pt idx="17">
                  <c:v>1.046014999999989</c:v>
                </c:pt>
                <c:pt idx="18">
                  <c:v>0.67681499999999506</c:v>
                </c:pt>
                <c:pt idx="19">
                  <c:v>0.7691549999999916</c:v>
                </c:pt>
                <c:pt idx="20">
                  <c:v>0.86141499999999738</c:v>
                </c:pt>
                <c:pt idx="21">
                  <c:v>0.89219499999999208</c:v>
                </c:pt>
                <c:pt idx="22">
                  <c:v>0.83067999999999564</c:v>
                </c:pt>
                <c:pt idx="23">
                  <c:v>0.89217999999999265</c:v>
                </c:pt>
                <c:pt idx="24">
                  <c:v>1.2305899999999941</c:v>
                </c:pt>
                <c:pt idx="25">
                  <c:v>0.76915499999999248</c:v>
                </c:pt>
                <c:pt idx="26">
                  <c:v>0.76914499999999286</c:v>
                </c:pt>
                <c:pt idx="27">
                  <c:v>1.1690849999999902</c:v>
                </c:pt>
                <c:pt idx="28">
                  <c:v>0.86142499999999345</c:v>
                </c:pt>
                <c:pt idx="29">
                  <c:v>1.1075449999999947</c:v>
                </c:pt>
                <c:pt idx="30">
                  <c:v>1.2613499999999895</c:v>
                </c:pt>
                <c:pt idx="31">
                  <c:v>0.86142999999999681</c:v>
                </c:pt>
                <c:pt idx="32">
                  <c:v>1.2306149999999896</c:v>
                </c:pt>
                <c:pt idx="33">
                  <c:v>1.1383499999999902</c:v>
                </c:pt>
                <c:pt idx="34">
                  <c:v>0.86142999999999148</c:v>
                </c:pt>
                <c:pt idx="35">
                  <c:v>1.2306099999999915</c:v>
                </c:pt>
                <c:pt idx="36">
                  <c:v>0.95372499999999505</c:v>
                </c:pt>
                <c:pt idx="37">
                  <c:v>0.7383299999999906</c:v>
                </c:pt>
                <c:pt idx="38">
                  <c:v>1.0765200000000021</c:v>
                </c:pt>
                <c:pt idx="39">
                  <c:v>0.70741500000000102</c:v>
                </c:pt>
                <c:pt idx="40">
                  <c:v>0.86123999999999512</c:v>
                </c:pt>
                <c:pt idx="41">
                  <c:v>0.95347500000000096</c:v>
                </c:pt>
                <c:pt idx="42">
                  <c:v>0.89194500000000332</c:v>
                </c:pt>
                <c:pt idx="43">
                  <c:v>0.95347500000000096</c:v>
                </c:pt>
                <c:pt idx="44">
                  <c:v>0.79964999999999975</c:v>
                </c:pt>
                <c:pt idx="45">
                  <c:v>0.98423999999999978</c:v>
                </c:pt>
                <c:pt idx="46">
                  <c:v>0.92265000000000441</c:v>
                </c:pt>
                <c:pt idx="47">
                  <c:v>0.67663500000000454</c:v>
                </c:pt>
                <c:pt idx="48">
                  <c:v>1.3532550000000008</c:v>
                </c:pt>
                <c:pt idx="49">
                  <c:v>0.70741500000000457</c:v>
                </c:pt>
                <c:pt idx="50">
                  <c:v>1.0149450000000009</c:v>
                </c:pt>
                <c:pt idx="51">
                  <c:v>1.2610050000000044</c:v>
                </c:pt>
                <c:pt idx="52">
                  <c:v>1.2610050000000008</c:v>
                </c:pt>
                <c:pt idx="53">
                  <c:v>0.92271000000000214</c:v>
                </c:pt>
                <c:pt idx="54">
                  <c:v>1.1994600000000055</c:v>
                </c:pt>
                <c:pt idx="55">
                  <c:v>1.0148850000000031</c:v>
                </c:pt>
                <c:pt idx="56">
                  <c:v>1.0765349999999998</c:v>
                </c:pt>
                <c:pt idx="57">
                  <c:v>1.1380200000000009</c:v>
                </c:pt>
                <c:pt idx="58">
                  <c:v>1.16875500000004</c:v>
                </c:pt>
                <c:pt idx="59">
                  <c:v>0.98418000000003758</c:v>
                </c:pt>
                <c:pt idx="60">
                  <c:v>1.0764300000000375</c:v>
                </c:pt>
                <c:pt idx="61">
                  <c:v>1.1072850000000543</c:v>
                </c:pt>
                <c:pt idx="62">
                  <c:v>0.92265000000003283</c:v>
                </c:pt>
                <c:pt idx="63">
                  <c:v>1.0764750000000447</c:v>
                </c:pt>
                <c:pt idx="64">
                  <c:v>1.0764900000000495</c:v>
                </c:pt>
                <c:pt idx="65">
                  <c:v>1.3841100000000637</c:v>
                </c:pt>
                <c:pt idx="66">
                  <c:v>0.95341500000003521</c:v>
                </c:pt>
                <c:pt idx="67">
                  <c:v>1.0150650000000567</c:v>
                </c:pt>
                <c:pt idx="68">
                  <c:v>1.3841400000000661</c:v>
                </c:pt>
                <c:pt idx="69">
                  <c:v>1.4455800000000636</c:v>
                </c:pt>
                <c:pt idx="70">
                  <c:v>1.107300000000059</c:v>
                </c:pt>
                <c:pt idx="71">
                  <c:v>1.1072400000000471</c:v>
                </c:pt>
                <c:pt idx="72">
                  <c:v>1.3536600000001044</c:v>
                </c:pt>
                <c:pt idx="73">
                  <c:v>1.230600000000095</c:v>
                </c:pt>
                <c:pt idx="74">
                  <c:v>0.86142000000006647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6B-406D-9CC7-6564F104B412}"/>
            </c:ext>
          </c:extLst>
        </c:ser>
        <c:ser>
          <c:idx val="4"/>
          <c:order val="3"/>
          <c:tx>
            <c:v>Extensión VAR-4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[4]VarRates!$AP$3:$AP$68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[4]VarRates!$AR$3:$AR$68</c:f>
              <c:numCache>
                <c:formatCode>General</c:formatCode>
                <c:ptCount val="66"/>
                <c:pt idx="0">
                  <c:v>1.4390499999999999</c:v>
                </c:pt>
                <c:pt idx="1">
                  <c:v>1.0073499999999997</c:v>
                </c:pt>
                <c:pt idx="2">
                  <c:v>1.03135</c:v>
                </c:pt>
                <c:pt idx="3">
                  <c:v>1.1991499999999999</c:v>
                </c:pt>
                <c:pt idx="4">
                  <c:v>0.71960000000000024</c:v>
                </c:pt>
                <c:pt idx="5">
                  <c:v>1.1512000000000002</c:v>
                </c:pt>
                <c:pt idx="6">
                  <c:v>0.95940000000000003</c:v>
                </c:pt>
                <c:pt idx="7">
                  <c:v>1.1273</c:v>
                </c:pt>
                <c:pt idx="8">
                  <c:v>1.2231500000000004</c:v>
                </c:pt>
                <c:pt idx="9">
                  <c:v>1.1756000000000038</c:v>
                </c:pt>
                <c:pt idx="10">
                  <c:v>1.0316500000000044</c:v>
                </c:pt>
                <c:pt idx="11">
                  <c:v>0.88769999999999261</c:v>
                </c:pt>
                <c:pt idx="12">
                  <c:v>1.3195499999999845</c:v>
                </c:pt>
                <c:pt idx="13">
                  <c:v>1.2235999999999869</c:v>
                </c:pt>
                <c:pt idx="14">
                  <c:v>1.0316499999999902</c:v>
                </c:pt>
                <c:pt idx="15">
                  <c:v>1.3195499999999853</c:v>
                </c:pt>
                <c:pt idx="16">
                  <c:v>1.0076999999999892</c:v>
                </c:pt>
                <c:pt idx="17">
                  <c:v>1.3195499999999871</c:v>
                </c:pt>
                <c:pt idx="18">
                  <c:v>1.5354499999999849</c:v>
                </c:pt>
                <c:pt idx="19">
                  <c:v>1.1036499999999876</c:v>
                </c:pt>
                <c:pt idx="20">
                  <c:v>1.2715499999999889</c:v>
                </c:pt>
                <c:pt idx="21">
                  <c:v>1.2475999999999861</c:v>
                </c:pt>
                <c:pt idx="22">
                  <c:v>1.4154500000000247</c:v>
                </c:pt>
                <c:pt idx="23">
                  <c:v>0.93570000000001663</c:v>
                </c:pt>
                <c:pt idx="24">
                  <c:v>1.0796500000000187</c:v>
                </c:pt>
                <c:pt idx="25">
                  <c:v>1.0200000000000031</c:v>
                </c:pt>
                <c:pt idx="26">
                  <c:v>1.1279999999999966</c:v>
                </c:pt>
                <c:pt idx="27">
                  <c:v>0.60300000000000509</c:v>
                </c:pt>
                <c:pt idx="28">
                  <c:v>1.0410000000000004</c:v>
                </c:pt>
                <c:pt idx="29">
                  <c:v>0.88500000000000867</c:v>
                </c:pt>
                <c:pt idx="30">
                  <c:v>0.9930000000000021</c:v>
                </c:pt>
                <c:pt idx="31">
                  <c:v>0.93300000000001049</c:v>
                </c:pt>
                <c:pt idx="32">
                  <c:v>0.93000000000000682</c:v>
                </c:pt>
                <c:pt idx="33">
                  <c:v>0.92399999999999949</c:v>
                </c:pt>
                <c:pt idx="34">
                  <c:v>0.84000000000001052</c:v>
                </c:pt>
                <c:pt idx="35">
                  <c:v>0.83099999999999952</c:v>
                </c:pt>
                <c:pt idx="36">
                  <c:v>0.83700000000000685</c:v>
                </c:pt>
                <c:pt idx="37">
                  <c:v>0.78900000000000148</c:v>
                </c:pt>
                <c:pt idx="38">
                  <c:v>0.93000000000000682</c:v>
                </c:pt>
                <c:pt idx="39">
                  <c:v>0.9030000000000058</c:v>
                </c:pt>
                <c:pt idx="40">
                  <c:v>0.69600000000000151</c:v>
                </c:pt>
                <c:pt idx="41">
                  <c:v>0.97800000000000864</c:v>
                </c:pt>
                <c:pt idx="42">
                  <c:v>0.69300000000000139</c:v>
                </c:pt>
                <c:pt idx="43">
                  <c:v>0.72000000000000597</c:v>
                </c:pt>
                <c:pt idx="44">
                  <c:v>1.0920000000000059</c:v>
                </c:pt>
                <c:pt idx="45">
                  <c:v>1.0650000000000048</c:v>
                </c:pt>
                <c:pt idx="46">
                  <c:v>0.74400000000000333</c:v>
                </c:pt>
                <c:pt idx="47">
                  <c:v>0.86700000000001509</c:v>
                </c:pt>
                <c:pt idx="48">
                  <c:v>0.43799999999999883</c:v>
                </c:pt>
                <c:pt idx="49">
                  <c:v>1.4250000000000149</c:v>
                </c:pt>
                <c:pt idx="50">
                  <c:v>1.1220000000000105</c:v>
                </c:pt>
                <c:pt idx="51">
                  <c:v>1.4580000000000055</c:v>
                </c:pt>
                <c:pt idx="52">
                  <c:v>1.374000000000013</c:v>
                </c:pt>
                <c:pt idx="53">
                  <c:v>0.59999999999999787</c:v>
                </c:pt>
                <c:pt idx="54">
                  <c:v>1.2900000000000205</c:v>
                </c:pt>
                <c:pt idx="55">
                  <c:v>0.80399999999999849</c:v>
                </c:pt>
                <c:pt idx="56">
                  <c:v>1.044000000000004</c:v>
                </c:pt>
                <c:pt idx="57">
                  <c:v>0.86400000000000787</c:v>
                </c:pt>
                <c:pt idx="58">
                  <c:v>1.0020000000000095</c:v>
                </c:pt>
                <c:pt idx="59">
                  <c:v>1.0230000000000068</c:v>
                </c:pt>
                <c:pt idx="60">
                  <c:v>1.1430000000000149</c:v>
                </c:pt>
                <c:pt idx="61">
                  <c:v>0.9480000000000004</c:v>
                </c:pt>
                <c:pt idx="62">
                  <c:v>1.0200000000000067</c:v>
                </c:pt>
                <c:pt idx="63">
                  <c:v>1.1640000000000086</c:v>
                </c:pt>
                <c:pt idx="64">
                  <c:v>1.1340000000000074</c:v>
                </c:pt>
                <c:pt idx="65">
                  <c:v>1.527000000000001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6B-406D-9CC7-6564F104B412}"/>
            </c:ext>
          </c:extLst>
        </c:ser>
        <c:ser>
          <c:idx val="2"/>
          <c:order val="4"/>
          <c:tx>
            <c:v>Extensión Promedio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DATA!$U$3:$U$77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DATA!$W$3:$W$77</c:f>
              <c:numCache>
                <c:formatCode>General</c:formatCode>
                <c:ptCount val="75"/>
                <c:pt idx="0">
                  <c:v>1.2089300000000001</c:v>
                </c:pt>
                <c:pt idx="1">
                  <c:v>1.0416250000000002</c:v>
                </c:pt>
                <c:pt idx="2">
                  <c:v>1.4790650000000003</c:v>
                </c:pt>
                <c:pt idx="3">
                  <c:v>0.93285499999999955</c:v>
                </c:pt>
                <c:pt idx="4">
                  <c:v>1.4089287499999994</c:v>
                </c:pt>
                <c:pt idx="5">
                  <c:v>0.80037250000000026</c:v>
                </c:pt>
                <c:pt idx="6">
                  <c:v>1.0553899999999996</c:v>
                </c:pt>
                <c:pt idx="7">
                  <c:v>1.0131250000000001</c:v>
                </c:pt>
                <c:pt idx="8">
                  <c:v>1.3062500000000004</c:v>
                </c:pt>
                <c:pt idx="9">
                  <c:v>1.3470037500000007</c:v>
                </c:pt>
                <c:pt idx="10">
                  <c:v>0.9930625000000004</c:v>
                </c:pt>
                <c:pt idx="11">
                  <c:v>1.2694937500000014</c:v>
                </c:pt>
                <c:pt idx="12">
                  <c:v>0.9495674999999999</c:v>
                </c:pt>
                <c:pt idx="13">
                  <c:v>1.2553325000000013</c:v>
                </c:pt>
                <c:pt idx="14">
                  <c:v>1.3915387500000012</c:v>
                </c:pt>
                <c:pt idx="15">
                  <c:v>1.2591662499999987</c:v>
                </c:pt>
                <c:pt idx="16">
                  <c:v>1.1120799999999771</c:v>
                </c:pt>
                <c:pt idx="17">
                  <c:v>1.2325312499999772</c:v>
                </c:pt>
                <c:pt idx="18">
                  <c:v>1.1258537499999763</c:v>
                </c:pt>
                <c:pt idx="19">
                  <c:v>1.0407137499999803</c:v>
                </c:pt>
                <c:pt idx="20">
                  <c:v>1.2158687500000451</c:v>
                </c:pt>
                <c:pt idx="21">
                  <c:v>1.2146237500000585</c:v>
                </c:pt>
                <c:pt idx="22">
                  <c:v>1.0578475000000478</c:v>
                </c:pt>
                <c:pt idx="23">
                  <c:v>1.1577725000000814</c:v>
                </c:pt>
                <c:pt idx="24">
                  <c:v>1.1828700000000563</c:v>
                </c:pt>
                <c:pt idx="25">
                  <c:v>0.95424875000003029</c:v>
                </c:pt>
                <c:pt idx="26">
                  <c:v>0.98029875000003885</c:v>
                </c:pt>
                <c:pt idx="27">
                  <c:v>1.2608537500000678</c:v>
                </c:pt>
                <c:pt idx="28">
                  <c:v>0.91918625000004406</c:v>
                </c:pt>
                <c:pt idx="29">
                  <c:v>1.1550412500000373</c:v>
                </c:pt>
                <c:pt idx="30">
                  <c:v>0.94152750000003582</c:v>
                </c:pt>
                <c:pt idx="31">
                  <c:v>0.87294000000002514</c:v>
                </c:pt>
                <c:pt idx="32">
                  <c:v>1.0375383333333243</c:v>
                </c:pt>
                <c:pt idx="33">
                  <c:v>0.98781666666665835</c:v>
                </c:pt>
                <c:pt idx="34">
                  <c:v>0.97522666666665836</c:v>
                </c:pt>
                <c:pt idx="35">
                  <c:v>1.1013366666666602</c:v>
                </c:pt>
                <c:pt idx="36">
                  <c:v>0.95699166666666124</c:v>
                </c:pt>
                <c:pt idx="37">
                  <c:v>1.0382099999999934</c:v>
                </c:pt>
                <c:pt idx="38">
                  <c:v>1.0169233333333274</c:v>
                </c:pt>
                <c:pt idx="39">
                  <c:v>0.80380500000000055</c:v>
                </c:pt>
                <c:pt idx="40">
                  <c:v>0.96632999999999569</c:v>
                </c:pt>
                <c:pt idx="41">
                  <c:v>0.8960749999999974</c:v>
                </c:pt>
                <c:pt idx="42">
                  <c:v>0.9355649999999992</c:v>
                </c:pt>
                <c:pt idx="43">
                  <c:v>0.98607499999999959</c:v>
                </c:pt>
                <c:pt idx="44">
                  <c:v>0.98529999999999396</c:v>
                </c:pt>
                <c:pt idx="45">
                  <c:v>0.93632999999999933</c:v>
                </c:pt>
                <c:pt idx="46">
                  <c:v>0.9275500000000001</c:v>
                </c:pt>
                <c:pt idx="47">
                  <c:v>0.80454500000000329</c:v>
                </c:pt>
                <c:pt idx="48">
                  <c:v>1.0988349999999965</c:v>
                </c:pt>
                <c:pt idx="49">
                  <c:v>0.98530499999999677</c:v>
                </c:pt>
                <c:pt idx="50">
                  <c:v>1.1265649999999947</c:v>
                </c:pt>
                <c:pt idx="51">
                  <c:v>1.2093349999999958</c:v>
                </c:pt>
                <c:pt idx="52">
                  <c:v>1.1500849999999971</c:v>
                </c:pt>
                <c:pt idx="53">
                  <c:v>0.9663199999999984</c:v>
                </c:pt>
                <c:pt idx="54">
                  <c:v>0.98832000000000286</c:v>
                </c:pt>
                <c:pt idx="55">
                  <c:v>1.2100449999999963</c:v>
                </c:pt>
                <c:pt idx="56">
                  <c:v>1.2005949999999999</c:v>
                </c:pt>
                <c:pt idx="57">
                  <c:v>1.0175899999999973</c:v>
                </c:pt>
                <c:pt idx="58">
                  <c:v>1.1193350000000091</c:v>
                </c:pt>
                <c:pt idx="59">
                  <c:v>0.96556000000001063</c:v>
                </c:pt>
                <c:pt idx="60">
                  <c:v>1.1390600000000102</c:v>
                </c:pt>
                <c:pt idx="61">
                  <c:v>1.1185950000000133</c:v>
                </c:pt>
                <c:pt idx="62">
                  <c:v>1.058550000000011</c:v>
                </c:pt>
                <c:pt idx="63">
                  <c:v>1.2078250000000093</c:v>
                </c:pt>
                <c:pt idx="64">
                  <c:v>1.2078300000000108</c:v>
                </c:pt>
                <c:pt idx="65">
                  <c:v>1.2788700000000119</c:v>
                </c:pt>
                <c:pt idx="66">
                  <c:v>0.95341500000003521</c:v>
                </c:pt>
                <c:pt idx="67">
                  <c:v>1.0150650000000567</c:v>
                </c:pt>
                <c:pt idx="68">
                  <c:v>1.3841400000000661</c:v>
                </c:pt>
                <c:pt idx="69">
                  <c:v>1.4455800000000636</c:v>
                </c:pt>
                <c:pt idx="70">
                  <c:v>1.107300000000059</c:v>
                </c:pt>
                <c:pt idx="71">
                  <c:v>1.1072400000000471</c:v>
                </c:pt>
                <c:pt idx="72">
                  <c:v>1.3536600000001044</c:v>
                </c:pt>
                <c:pt idx="73">
                  <c:v>1.230600000000095</c:v>
                </c:pt>
                <c:pt idx="74">
                  <c:v>0.86142000000006647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6B-406D-9CC7-6564F104B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6482688"/>
        <c:axId val="-1506479968"/>
      </c:scatterChart>
      <c:valAx>
        <c:axId val="-1506482688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06479968"/>
        <c:crosses val="autoZero"/>
        <c:crossBetween val="midCat"/>
      </c:valAx>
      <c:valAx>
        <c:axId val="-1506479968"/>
        <c:scaling>
          <c:orientation val="minMax"/>
          <c:max val="2.5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Extensión</a:t>
                </a:r>
                <a:r>
                  <a:rPr lang="es-CO" baseline="0"/>
                  <a:t> lineal (cm/año)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0648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Calcificación VAR-1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[1]Rates!$A$3:$A$34</c:f>
              <c:numCache>
                <c:formatCode>General</c:formatCode>
                <c:ptCount val="3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</c:numCache>
            </c:numRef>
          </c:xVal>
          <c:yVal>
            <c:numRef>
              <c:f>[1]Rates!$D$3:$D$34</c:f>
              <c:numCache>
                <c:formatCode>General</c:formatCode>
                <c:ptCount val="32"/>
                <c:pt idx="0">
                  <c:v>1.0394048015414064</c:v>
                </c:pt>
                <c:pt idx="1">
                  <c:v>0.9809638945814062</c:v>
                </c:pt>
                <c:pt idx="2">
                  <c:v>1.1854979097675056</c:v>
                </c:pt>
                <c:pt idx="3">
                  <c:v>0.91649801569583977</c:v>
                </c:pt>
                <c:pt idx="4">
                  <c:v>0.79796507503981229</c:v>
                </c:pt>
                <c:pt idx="5">
                  <c:v>0.83595693762244272</c:v>
                </c:pt>
                <c:pt idx="6">
                  <c:v>0.70366626080572059</c:v>
                </c:pt>
                <c:pt idx="7">
                  <c:v>0.85176945814922889</c:v>
                </c:pt>
                <c:pt idx="8">
                  <c:v>0.826432585603744</c:v>
                </c:pt>
                <c:pt idx="9">
                  <c:v>0.69826860590518691</c:v>
                </c:pt>
                <c:pt idx="10">
                  <c:v>1.1615183935609938</c:v>
                </c:pt>
                <c:pt idx="11">
                  <c:v>0.74777381897280237</c:v>
                </c:pt>
                <c:pt idx="12">
                  <c:v>0.99029152056243319</c:v>
                </c:pt>
                <c:pt idx="13">
                  <c:v>0.74740536419061065</c:v>
                </c:pt>
                <c:pt idx="14">
                  <c:v>1.2682523398275345</c:v>
                </c:pt>
                <c:pt idx="15">
                  <c:v>1.129519931892744</c:v>
                </c:pt>
                <c:pt idx="16">
                  <c:v>1.1153850059393811</c:v>
                </c:pt>
                <c:pt idx="17">
                  <c:v>0.92135518064358424</c:v>
                </c:pt>
                <c:pt idx="18">
                  <c:v>0.76848630091164172</c:v>
                </c:pt>
                <c:pt idx="19">
                  <c:v>0.81387545118852545</c:v>
                </c:pt>
                <c:pt idx="20">
                  <c:v>0.8312808439336884</c:v>
                </c:pt>
                <c:pt idx="21">
                  <c:v>1.0485779731510843</c:v>
                </c:pt>
                <c:pt idx="22">
                  <c:v>1.0021125335115231</c:v>
                </c:pt>
                <c:pt idx="23">
                  <c:v>0.89160335481058273</c:v>
                </c:pt>
                <c:pt idx="24">
                  <c:v>0.93805974586163166</c:v>
                </c:pt>
                <c:pt idx="25">
                  <c:v>0.82414114726641052</c:v>
                </c:pt>
                <c:pt idx="26">
                  <c:v>0.8142697154924865</c:v>
                </c:pt>
                <c:pt idx="27">
                  <c:v>1.0221205860514517</c:v>
                </c:pt>
                <c:pt idx="28">
                  <c:v>0.61791873992036239</c:v>
                </c:pt>
                <c:pt idx="29">
                  <c:v>1.4460023572240763</c:v>
                </c:pt>
                <c:pt idx="30">
                  <c:v>1.0762814623940216</c:v>
                </c:pt>
                <c:pt idx="31">
                  <c:v>0.86659431228755457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F0-42E4-8E9E-DBB8490CA522}"/>
            </c:ext>
          </c:extLst>
        </c:ser>
        <c:ser>
          <c:idx val="0"/>
          <c:order val="1"/>
          <c:tx>
            <c:v>Calcificación VAR-2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[2]VarRates!$AP$3:$AP$68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[2]VarRates!$AS$3:$AS$68</c:f>
              <c:numCache>
                <c:formatCode>General</c:formatCode>
                <c:ptCount val="66"/>
                <c:pt idx="0">
                  <c:v>0.81009438801886469</c:v>
                </c:pt>
                <c:pt idx="1">
                  <c:v>0.56149233377870889</c:v>
                </c:pt>
                <c:pt idx="2">
                  <c:v>1.0863757026639427</c:v>
                </c:pt>
                <c:pt idx="3">
                  <c:v>0.62224998411163934</c:v>
                </c:pt>
                <c:pt idx="4">
                  <c:v>0.6777687247394939</c:v>
                </c:pt>
                <c:pt idx="5">
                  <c:v>0.547942083886645</c:v>
                </c:pt>
                <c:pt idx="6">
                  <c:v>0.69454069755618275</c:v>
                </c:pt>
                <c:pt idx="7">
                  <c:v>0.76597106495393241</c:v>
                </c:pt>
                <c:pt idx="8">
                  <c:v>0.79190421356481677</c:v>
                </c:pt>
                <c:pt idx="9">
                  <c:v>0.7785860357571599</c:v>
                </c:pt>
                <c:pt idx="10">
                  <c:v>0.84297111283401027</c:v>
                </c:pt>
                <c:pt idx="11">
                  <c:v>0.72659751620929547</c:v>
                </c:pt>
                <c:pt idx="12">
                  <c:v>0.63436953618382286</c:v>
                </c:pt>
                <c:pt idx="13">
                  <c:v>0.62825932422899133</c:v>
                </c:pt>
                <c:pt idx="14">
                  <c:v>0.70817841468913467</c:v>
                </c:pt>
                <c:pt idx="15">
                  <c:v>0.7112400589340323</c:v>
                </c:pt>
                <c:pt idx="16">
                  <c:v>0.83845006315563886</c:v>
                </c:pt>
                <c:pt idx="17">
                  <c:v>0.5878509286592386</c:v>
                </c:pt>
                <c:pt idx="18">
                  <c:v>0.77563411951750616</c:v>
                </c:pt>
                <c:pt idx="19">
                  <c:v>0.59923534487344865</c:v>
                </c:pt>
                <c:pt idx="20">
                  <c:v>0.87073936792275708</c:v>
                </c:pt>
                <c:pt idx="21">
                  <c:v>0.76456859730954474</c:v>
                </c:pt>
                <c:pt idx="22">
                  <c:v>0.95349089884239235</c:v>
                </c:pt>
                <c:pt idx="23">
                  <c:v>0.56062985979710434</c:v>
                </c:pt>
                <c:pt idx="24">
                  <c:v>0.46578869706002546</c:v>
                </c:pt>
                <c:pt idx="25">
                  <c:v>0.45654865897371777</c:v>
                </c:pt>
                <c:pt idx="26">
                  <c:v>0.73933151141646281</c:v>
                </c:pt>
                <c:pt idx="27">
                  <c:v>0.4475926524383611</c:v>
                </c:pt>
                <c:pt idx="28">
                  <c:v>0.49782862848653975</c:v>
                </c:pt>
                <c:pt idx="29">
                  <c:v>0.7917263393273033</c:v>
                </c:pt>
                <c:pt idx="30">
                  <c:v>0.43740082648687018</c:v>
                </c:pt>
                <c:pt idx="31">
                  <c:v>0.8207217989291149</c:v>
                </c:pt>
                <c:pt idx="32">
                  <c:v>0.62844632968363867</c:v>
                </c:pt>
                <c:pt idx="33">
                  <c:v>0.92498358043147844</c:v>
                </c:pt>
                <c:pt idx="34">
                  <c:v>0.74184980576599502</c:v>
                </c:pt>
                <c:pt idx="35">
                  <c:v>1.327986978907326</c:v>
                </c:pt>
                <c:pt idx="36">
                  <c:v>0.91672792466913133</c:v>
                </c:pt>
                <c:pt idx="37">
                  <c:v>1.2794970652312596</c:v>
                </c:pt>
                <c:pt idx="38">
                  <c:v>0.97314973128323734</c:v>
                </c:pt>
                <c:pt idx="39">
                  <c:v>0.92114050930935454</c:v>
                </c:pt>
                <c:pt idx="40">
                  <c:v>0.9282087796393661</c:v>
                </c:pt>
                <c:pt idx="41">
                  <c:v>1.0406172215315421</c:v>
                </c:pt>
                <c:pt idx="42">
                  <c:v>1.1751815183538787</c:v>
                </c:pt>
                <c:pt idx="43">
                  <c:v>1.1492558233494645</c:v>
                </c:pt>
                <c:pt idx="44">
                  <c:v>0.92293524783444103</c:v>
                </c:pt>
                <c:pt idx="45">
                  <c:v>0.90029527806292453</c:v>
                </c:pt>
                <c:pt idx="46">
                  <c:v>1.0342960447019784</c:v>
                </c:pt>
                <c:pt idx="47">
                  <c:v>0.89666196306588142</c:v>
                </c:pt>
                <c:pt idx="48">
                  <c:v>0.73662903919935274</c:v>
                </c:pt>
                <c:pt idx="49">
                  <c:v>0.87664602037562023</c:v>
                </c:pt>
                <c:pt idx="50">
                  <c:v>0.74159735890132206</c:v>
                </c:pt>
                <c:pt idx="51">
                  <c:v>0.67195068269831959</c:v>
                </c:pt>
                <c:pt idx="52">
                  <c:v>0.88358319507871808</c:v>
                </c:pt>
                <c:pt idx="53">
                  <c:v>0.92843315787561553</c:v>
                </c:pt>
                <c:pt idx="54">
                  <c:v>1.0192212592081</c:v>
                </c:pt>
                <c:pt idx="55">
                  <c:v>1.3226994493873183</c:v>
                </c:pt>
                <c:pt idx="56">
                  <c:v>1.1399065468476559</c:v>
                </c:pt>
                <c:pt idx="57">
                  <c:v>0.86285922324616426</c:v>
                </c:pt>
                <c:pt idx="58">
                  <c:v>0.85360651340615123</c:v>
                </c:pt>
                <c:pt idx="59">
                  <c:v>0.70135020064800435</c:v>
                </c:pt>
                <c:pt idx="60">
                  <c:v>0.89050069080297301</c:v>
                </c:pt>
                <c:pt idx="61">
                  <c:v>0.89590347631260991</c:v>
                </c:pt>
                <c:pt idx="62">
                  <c:v>1.0098077511960828</c:v>
                </c:pt>
                <c:pt idx="63">
                  <c:v>0.81664394793153006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F0-42E4-8E9E-DBB8490CA522}"/>
            </c:ext>
          </c:extLst>
        </c:ser>
        <c:ser>
          <c:idx val="3"/>
          <c:order val="2"/>
          <c:tx>
            <c:v>Calcificación VAR-3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[3]VarRates!$AP$3:$AP$77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[3]VarRates!$AS$3:$AS$77</c:f>
              <c:numCache>
                <c:formatCode>General</c:formatCode>
                <c:ptCount val="75"/>
                <c:pt idx="0">
                  <c:v>0.80273306821906132</c:v>
                </c:pt>
                <c:pt idx="1">
                  <c:v>0.57184535872604447</c:v>
                </c:pt>
                <c:pt idx="2">
                  <c:v>0.81911390836867304</c:v>
                </c:pt>
                <c:pt idx="3">
                  <c:v>0.3332438628114216</c:v>
                </c:pt>
                <c:pt idx="4">
                  <c:v>0.97416419687066325</c:v>
                </c:pt>
                <c:pt idx="5">
                  <c:v>0.5414923044455715</c:v>
                </c:pt>
                <c:pt idx="6">
                  <c:v>0.69041147188642205</c:v>
                </c:pt>
                <c:pt idx="7">
                  <c:v>0.50055146875764767</c:v>
                </c:pt>
                <c:pt idx="8">
                  <c:v>0.38587639627129827</c:v>
                </c:pt>
                <c:pt idx="9">
                  <c:v>0.81349696431528118</c:v>
                </c:pt>
                <c:pt idx="10">
                  <c:v>0.50458820135457705</c:v>
                </c:pt>
                <c:pt idx="11">
                  <c:v>0.90370719823487544</c:v>
                </c:pt>
                <c:pt idx="12">
                  <c:v>0.37911076647705816</c:v>
                </c:pt>
                <c:pt idx="13">
                  <c:v>0.62647157661039521</c:v>
                </c:pt>
                <c:pt idx="14">
                  <c:v>0.58866546257953456</c:v>
                </c:pt>
                <c:pt idx="15">
                  <c:v>0.66875173366356611</c:v>
                </c:pt>
                <c:pt idx="16">
                  <c:v>0.50528802514439874</c:v>
                </c:pt>
                <c:pt idx="17">
                  <c:v>0.82375700707598087</c:v>
                </c:pt>
                <c:pt idx="18">
                  <c:v>0.62144878240544599</c:v>
                </c:pt>
                <c:pt idx="19">
                  <c:v>0.67375155745040671</c:v>
                </c:pt>
                <c:pt idx="20">
                  <c:v>0.81863076055485229</c:v>
                </c:pt>
                <c:pt idx="21">
                  <c:v>0.7999788573989165</c:v>
                </c:pt>
                <c:pt idx="22">
                  <c:v>0.69876024894084698</c:v>
                </c:pt>
                <c:pt idx="23">
                  <c:v>0.67626144002035093</c:v>
                </c:pt>
                <c:pt idx="24">
                  <c:v>0.88033315134721746</c:v>
                </c:pt>
                <c:pt idx="25">
                  <c:v>0.49377464301957863</c:v>
                </c:pt>
                <c:pt idx="26">
                  <c:v>0.56669523292913615</c:v>
                </c:pt>
                <c:pt idx="27">
                  <c:v>0.89518719348544318</c:v>
                </c:pt>
                <c:pt idx="28">
                  <c:v>0.63374823708626882</c:v>
                </c:pt>
                <c:pt idx="29">
                  <c:v>0.75615211479779942</c:v>
                </c:pt>
                <c:pt idx="30">
                  <c:v>1.012853224027475</c:v>
                </c:pt>
                <c:pt idx="31">
                  <c:v>0.71606383114216565</c:v>
                </c:pt>
                <c:pt idx="32">
                  <c:v>0.90795334864859023</c:v>
                </c:pt>
                <c:pt idx="33">
                  <c:v>0.73967183057288455</c:v>
                </c:pt>
                <c:pt idx="34">
                  <c:v>0.60607286225580248</c:v>
                </c:pt>
                <c:pt idx="35">
                  <c:v>0.77974920521602742</c:v>
                </c:pt>
                <c:pt idx="36">
                  <c:v>0.65831252100356119</c:v>
                </c:pt>
                <c:pt idx="37">
                  <c:v>0.68869756811126792</c:v>
                </c:pt>
                <c:pt idx="38">
                  <c:v>0.67563385752836846</c:v>
                </c:pt>
                <c:pt idx="39">
                  <c:v>0.45985156509652597</c:v>
                </c:pt>
                <c:pt idx="40">
                  <c:v>0.54267287426988464</c:v>
                </c:pt>
                <c:pt idx="41">
                  <c:v>0.63785842104464152</c:v>
                </c:pt>
                <c:pt idx="42">
                  <c:v>0.61387519227535847</c:v>
                </c:pt>
                <c:pt idx="43">
                  <c:v>0.67605759180060399</c:v>
                </c:pt>
                <c:pt idx="44">
                  <c:v>0.63111449566052158</c:v>
                </c:pt>
                <c:pt idx="45">
                  <c:v>0.80534259936605412</c:v>
                </c:pt>
                <c:pt idx="46">
                  <c:v>0.95156462265335007</c:v>
                </c:pt>
                <c:pt idx="47">
                  <c:v>0.60826095019868331</c:v>
                </c:pt>
                <c:pt idx="48">
                  <c:v>1.0441840510101925</c:v>
                </c:pt>
                <c:pt idx="49">
                  <c:v>0.60851395436719313</c:v>
                </c:pt>
                <c:pt idx="50">
                  <c:v>0.87206700053226061</c:v>
                </c:pt>
                <c:pt idx="51">
                  <c:v>1.0671738064581544</c:v>
                </c:pt>
                <c:pt idx="52">
                  <c:v>1.0010492821638104</c:v>
                </c:pt>
                <c:pt idx="53">
                  <c:v>0.79186606329985609</c:v>
                </c:pt>
                <c:pt idx="54">
                  <c:v>1.0207158141092219</c:v>
                </c:pt>
                <c:pt idx="55">
                  <c:v>0.82764086090285738</c:v>
                </c:pt>
                <c:pt idx="56">
                  <c:v>0.96583956000759019</c:v>
                </c:pt>
                <c:pt idx="57">
                  <c:v>0.95269003737528679</c:v>
                </c:pt>
                <c:pt idx="58">
                  <c:v>1.0283348047695038</c:v>
                </c:pt>
                <c:pt idx="59">
                  <c:v>0.92137314114077862</c:v>
                </c:pt>
                <c:pt idx="60">
                  <c:v>0.97256471706855141</c:v>
                </c:pt>
                <c:pt idx="61">
                  <c:v>0.91456713426370073</c:v>
                </c:pt>
                <c:pt idx="62">
                  <c:v>0.88413647487280755</c:v>
                </c:pt>
                <c:pt idx="63">
                  <c:v>1.0179676130590996</c:v>
                </c:pt>
                <c:pt idx="64">
                  <c:v>1.0742736086467166</c:v>
                </c:pt>
                <c:pt idx="65">
                  <c:v>1.1348092104240819</c:v>
                </c:pt>
                <c:pt idx="66">
                  <c:v>0.93890308692116276</c:v>
                </c:pt>
                <c:pt idx="67">
                  <c:v>0.96436350342106958</c:v>
                </c:pt>
                <c:pt idx="68">
                  <c:v>1.1913470353023083</c:v>
                </c:pt>
                <c:pt idx="69">
                  <c:v>1.328919093083321</c:v>
                </c:pt>
                <c:pt idx="70">
                  <c:v>1.058345772406081</c:v>
                </c:pt>
                <c:pt idx="71">
                  <c:v>1.3153701853360829</c:v>
                </c:pt>
                <c:pt idx="72">
                  <c:v>1.1207109330318745</c:v>
                </c:pt>
                <c:pt idx="73">
                  <c:v>1.0304717200779236</c:v>
                </c:pt>
                <c:pt idx="74">
                  <c:v>0.81703806443890459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F0-42E4-8E9E-DBB8490CA522}"/>
            </c:ext>
          </c:extLst>
        </c:ser>
        <c:ser>
          <c:idx val="4"/>
          <c:order val="3"/>
          <c:tx>
            <c:v>Calcificación VAR-4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[4]VarRates!$AP$3:$AP$68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[4]VarRates!$AS$3:$AS$68</c:f>
              <c:numCache>
                <c:formatCode>General</c:formatCode>
                <c:ptCount val="66"/>
                <c:pt idx="0">
                  <c:v>0.94224551223117836</c:v>
                </c:pt>
                <c:pt idx="1">
                  <c:v>0.59035193597506752</c:v>
                </c:pt>
                <c:pt idx="2">
                  <c:v>0.72954067225031727</c:v>
                </c:pt>
                <c:pt idx="3">
                  <c:v>0.84186905818513824</c:v>
                </c:pt>
                <c:pt idx="4">
                  <c:v>0.62442205924461569</c:v>
                </c:pt>
                <c:pt idx="5">
                  <c:v>1.0660270797252034</c:v>
                </c:pt>
                <c:pt idx="6">
                  <c:v>0.85303667042341358</c:v>
                </c:pt>
                <c:pt idx="7">
                  <c:v>0.86046214528915987</c:v>
                </c:pt>
                <c:pt idx="8">
                  <c:v>0.81615429954249064</c:v>
                </c:pt>
                <c:pt idx="9">
                  <c:v>0.66655535124986298</c:v>
                </c:pt>
                <c:pt idx="10">
                  <c:v>0.58778303980303059</c:v>
                </c:pt>
                <c:pt idx="11">
                  <c:v>0.72216228091457602</c:v>
                </c:pt>
                <c:pt idx="12">
                  <c:v>0.86711791008229389</c:v>
                </c:pt>
                <c:pt idx="13">
                  <c:v>0.76740102844449143</c:v>
                </c:pt>
                <c:pt idx="14">
                  <c:v>0.67660225365017856</c:v>
                </c:pt>
                <c:pt idx="15">
                  <c:v>0.84933692316568532</c:v>
                </c:pt>
                <c:pt idx="16">
                  <c:v>0.61307990451259997</c:v>
                </c:pt>
                <c:pt idx="17">
                  <c:v>0.78511972544326492</c:v>
                </c:pt>
                <c:pt idx="18">
                  <c:v>0.98620649847595199</c:v>
                </c:pt>
                <c:pt idx="19">
                  <c:v>0.71499252085800902</c:v>
                </c:pt>
                <c:pt idx="20">
                  <c:v>0.85931527864834778</c:v>
                </c:pt>
                <c:pt idx="21">
                  <c:v>0.73689299675418307</c:v>
                </c:pt>
                <c:pt idx="22">
                  <c:v>0.88614639314944976</c:v>
                </c:pt>
                <c:pt idx="23">
                  <c:v>0.67411294070926564</c:v>
                </c:pt>
                <c:pt idx="24">
                  <c:v>0.77140239564987256</c:v>
                </c:pt>
                <c:pt idx="25">
                  <c:v>0.71175330077180055</c:v>
                </c:pt>
                <c:pt idx="26">
                  <c:v>0.68353208322814885</c:v>
                </c:pt>
                <c:pt idx="27">
                  <c:v>0.35778121859322787</c:v>
                </c:pt>
                <c:pt idx="28">
                  <c:v>0.56801761946606488</c:v>
                </c:pt>
                <c:pt idx="29">
                  <c:v>0.66101702534165863</c:v>
                </c:pt>
                <c:pt idx="30">
                  <c:v>0.71403098065436832</c:v>
                </c:pt>
                <c:pt idx="31">
                  <c:v>0.67827243701352591</c:v>
                </c:pt>
                <c:pt idx="32">
                  <c:v>0.52652250003774048</c:v>
                </c:pt>
                <c:pt idx="33">
                  <c:v>0.50775924024450148</c:v>
                </c:pt>
                <c:pt idx="34">
                  <c:v>0.55254091119033366</c:v>
                </c:pt>
                <c:pt idx="35">
                  <c:v>0.59762986233369286</c:v>
                </c:pt>
                <c:pt idx="36">
                  <c:v>0.78343807983958935</c:v>
                </c:pt>
                <c:pt idx="37">
                  <c:v>0.70852095309558738</c:v>
                </c:pt>
                <c:pt idx="38">
                  <c:v>0.77922178985457735</c:v>
                </c:pt>
                <c:pt idx="39">
                  <c:v>0.82357098239122628</c:v>
                </c:pt>
                <c:pt idx="40">
                  <c:v>0.58182458272241888</c:v>
                </c:pt>
                <c:pt idx="41">
                  <c:v>0.75963975662583105</c:v>
                </c:pt>
                <c:pt idx="42">
                  <c:v>0.59815787851029278</c:v>
                </c:pt>
                <c:pt idx="43">
                  <c:v>0.57193036130474184</c:v>
                </c:pt>
                <c:pt idx="44">
                  <c:v>0.60026796721310727</c:v>
                </c:pt>
                <c:pt idx="45">
                  <c:v>0.6354508977337705</c:v>
                </c:pt>
                <c:pt idx="46">
                  <c:v>0.49394757415446322</c:v>
                </c:pt>
                <c:pt idx="47">
                  <c:v>0.5103891570542739</c:v>
                </c:pt>
                <c:pt idx="48">
                  <c:v>0.2609159171175478</c:v>
                </c:pt>
                <c:pt idx="49">
                  <c:v>0.6882097268431886</c:v>
                </c:pt>
                <c:pt idx="50">
                  <c:v>0.46159285575274389</c:v>
                </c:pt>
                <c:pt idx="51">
                  <c:v>0.51071460438909422</c:v>
                </c:pt>
                <c:pt idx="52">
                  <c:v>0.62326186123463767</c:v>
                </c:pt>
                <c:pt idx="53">
                  <c:v>0.39774891462493367</c:v>
                </c:pt>
                <c:pt idx="54">
                  <c:v>0.71669224900973794</c:v>
                </c:pt>
                <c:pt idx="55">
                  <c:v>0.42566206791597178</c:v>
                </c:pt>
                <c:pt idx="56">
                  <c:v>0.74411168982485276</c:v>
                </c:pt>
                <c:pt idx="57">
                  <c:v>0.63762640799446246</c:v>
                </c:pt>
                <c:pt idx="58">
                  <c:v>0.76501193413366853</c:v>
                </c:pt>
                <c:pt idx="59">
                  <c:v>0.83855543805109067</c:v>
                </c:pt>
                <c:pt idx="60">
                  <c:v>0.90676911708187391</c:v>
                </c:pt>
                <c:pt idx="61">
                  <c:v>0.77209145919252853</c:v>
                </c:pt>
                <c:pt idx="62">
                  <c:v>0.78089827769615028</c:v>
                </c:pt>
                <c:pt idx="63">
                  <c:v>0.86378464025948409</c:v>
                </c:pt>
                <c:pt idx="64">
                  <c:v>0.73815054191562068</c:v>
                </c:pt>
                <c:pt idx="65">
                  <c:v>0.82440259542845151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F0-42E4-8E9E-DBB8490CA522}"/>
            </c:ext>
          </c:extLst>
        </c:ser>
        <c:ser>
          <c:idx val="2"/>
          <c:order val="4"/>
          <c:tx>
            <c:v>Calcificación Promedio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DATA!$U$3:$U$77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DATA!$X$3:$X$77</c:f>
              <c:numCache>
                <c:formatCode>General</c:formatCode>
                <c:ptCount val="75"/>
                <c:pt idx="0">
                  <c:v>0.77660609551060589</c:v>
                </c:pt>
                <c:pt idx="1">
                  <c:v>0.6971862819998621</c:v>
                </c:pt>
                <c:pt idx="2">
                  <c:v>0.91146488069230047</c:v>
                </c:pt>
                <c:pt idx="3">
                  <c:v>0.61889062630032943</c:v>
                </c:pt>
                <c:pt idx="4">
                  <c:v>0.99577348280573275</c:v>
                </c:pt>
                <c:pt idx="5">
                  <c:v>0.63855109253861697</c:v>
                </c:pt>
                <c:pt idx="6">
                  <c:v>0.76825821858526511</c:v>
                </c:pt>
                <c:pt idx="7">
                  <c:v>0.69382241745940054</c:v>
                </c:pt>
                <c:pt idx="8">
                  <c:v>0.85174488922804992</c:v>
                </c:pt>
                <c:pt idx="9">
                  <c:v>0.83891408044627802</c:v>
                </c:pt>
                <c:pt idx="10">
                  <c:v>0.70252032537768905</c:v>
                </c:pt>
                <c:pt idx="11">
                  <c:v>0.84876055582088639</c:v>
                </c:pt>
                <c:pt idx="12">
                  <c:v>0.58821838165263074</c:v>
                </c:pt>
                <c:pt idx="13">
                  <c:v>0.7343456518012883</c:v>
                </c:pt>
                <c:pt idx="14">
                  <c:v>0.78963501523226465</c:v>
                </c:pt>
                <c:pt idx="15">
                  <c:v>0.78830127061194899</c:v>
                </c:pt>
                <c:pt idx="16">
                  <c:v>0.70089170238723342</c:v>
                </c:pt>
                <c:pt idx="17">
                  <c:v>0.77817519120737866</c:v>
                </c:pt>
                <c:pt idx="18">
                  <c:v>0.68834662348619413</c:v>
                </c:pt>
                <c:pt idx="19">
                  <c:v>0.73587851252430203</c:v>
                </c:pt>
                <c:pt idx="20">
                  <c:v>0.85163350404673643</c:v>
                </c:pt>
                <c:pt idx="21">
                  <c:v>0.83931401599263689</c:v>
                </c:pt>
                <c:pt idx="22">
                  <c:v>0.80326939944439668</c:v>
                </c:pt>
                <c:pt idx="23">
                  <c:v>0.82634902443954483</c:v>
                </c:pt>
                <c:pt idx="24">
                  <c:v>0.72065695593129986</c:v>
                </c:pt>
                <c:pt idx="25">
                  <c:v>0.56580712370527098</c:v>
                </c:pt>
                <c:pt idx="26">
                  <c:v>0.64423403730854512</c:v>
                </c:pt>
                <c:pt idx="27">
                  <c:v>0.82170472754568036</c:v>
                </c:pt>
                <c:pt idx="28">
                  <c:v>0.6608767336786644</c:v>
                </c:pt>
                <c:pt idx="29">
                  <c:v>0.78331271908998512</c:v>
                </c:pt>
                <c:pt idx="30">
                  <c:v>0.7068663050831302</c:v>
                </c:pt>
                <c:pt idx="31">
                  <c:v>0.65498335407311314</c:v>
                </c:pt>
                <c:pt idx="32">
                  <c:v>0.6278229852992715</c:v>
                </c:pt>
                <c:pt idx="33">
                  <c:v>0.66156289772172228</c:v>
                </c:pt>
                <c:pt idx="34">
                  <c:v>0.67073800209767309</c:v>
                </c:pt>
                <c:pt idx="35">
                  <c:v>0.86493592824676824</c:v>
                </c:pt>
                <c:pt idx="36">
                  <c:v>0.73148265149957903</c:v>
                </c:pt>
                <c:pt idx="37">
                  <c:v>0.88082791781131986</c:v>
                </c:pt>
                <c:pt idx="38">
                  <c:v>0.80806068222353</c:v>
                </c:pt>
                <c:pt idx="39">
                  <c:v>0.63762576019612982</c:v>
                </c:pt>
                <c:pt idx="40">
                  <c:v>0.70056439336935394</c:v>
                </c:pt>
                <c:pt idx="41">
                  <c:v>0.72243039667917996</c:v>
                </c:pt>
                <c:pt idx="42">
                  <c:v>0.84406736689164674</c:v>
                </c:pt>
                <c:pt idx="43">
                  <c:v>0.78107340598182329</c:v>
                </c:pt>
                <c:pt idx="44">
                  <c:v>0.65904917293609133</c:v>
                </c:pt>
                <c:pt idx="45">
                  <c:v>0.67913903808295473</c:v>
                </c:pt>
                <c:pt idx="46">
                  <c:v>0.73901711953124349</c:v>
                </c:pt>
                <c:pt idx="47">
                  <c:v>0.58181206867267277</c:v>
                </c:pt>
                <c:pt idx="48">
                  <c:v>0.67988565446118188</c:v>
                </c:pt>
                <c:pt idx="49">
                  <c:v>0.6396696069831086</c:v>
                </c:pt>
                <c:pt idx="50">
                  <c:v>0.64899354278563759</c:v>
                </c:pt>
                <c:pt idx="51">
                  <c:v>0.71229641489407969</c:v>
                </c:pt>
                <c:pt idx="52">
                  <c:v>0.78957000488779094</c:v>
                </c:pt>
                <c:pt idx="53">
                  <c:v>0.71201784187237627</c:v>
                </c:pt>
                <c:pt idx="54">
                  <c:v>0.74345661184642775</c:v>
                </c:pt>
                <c:pt idx="55">
                  <c:v>0.9378914858500732</c:v>
                </c:pt>
                <c:pt idx="56">
                  <c:v>0.95447223846547724</c:v>
                </c:pt>
                <c:pt idx="57">
                  <c:v>0.82339824044485399</c:v>
                </c:pt>
                <c:pt idx="58">
                  <c:v>0.88013658958479368</c:v>
                </c:pt>
                <c:pt idx="59">
                  <c:v>0.80616409259755972</c:v>
                </c:pt>
                <c:pt idx="60">
                  <c:v>0.87289327740962896</c:v>
                </c:pt>
                <c:pt idx="61">
                  <c:v>0.85554494833527894</c:v>
                </c:pt>
                <c:pt idx="62">
                  <c:v>0.82276710715175305</c:v>
                </c:pt>
                <c:pt idx="63">
                  <c:v>0.94277482894854703</c:v>
                </c:pt>
                <c:pt idx="64">
                  <c:v>0.87030250392010577</c:v>
                </c:pt>
                <c:pt idx="65">
                  <c:v>0.91232492057290049</c:v>
                </c:pt>
                <c:pt idx="66">
                  <c:v>0.85294783101851801</c:v>
                </c:pt>
                <c:pt idx="67">
                  <c:v>0.87652275742797991</c:v>
                </c:pt>
                <c:pt idx="68">
                  <c:v>1.0702706796149679</c:v>
                </c:pt>
                <c:pt idx="69">
                  <c:v>1.1953526748214651</c:v>
                </c:pt>
                <c:pt idx="70">
                  <c:v>0.96586806976738449</c:v>
                </c:pt>
                <c:pt idx="71">
                  <c:v>1.2342839600195603</c:v>
                </c:pt>
                <c:pt idx="72">
                  <c:v>0.9931397768075797</c:v>
                </c:pt>
                <c:pt idx="73">
                  <c:v>0.91328889375001154</c:v>
                </c:pt>
                <c:pt idx="74">
                  <c:v>0.7366748245238639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DF0-42E4-8E9E-DBB8490CA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6484864"/>
        <c:axId val="-1506485408"/>
      </c:scatterChart>
      <c:valAx>
        <c:axId val="-1506484864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06485408"/>
        <c:crosses val="autoZero"/>
        <c:crossBetween val="midCat"/>
      </c:valAx>
      <c:valAx>
        <c:axId val="-1506485408"/>
        <c:scaling>
          <c:orientation val="minMax"/>
          <c:max val="1.6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Calcificación</a:t>
                </a:r>
                <a:r>
                  <a:rPr lang="es-CO" baseline="0"/>
                  <a:t> (g/cm2*año)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06484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Densidad-match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Densidad VAR-1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'DATA-Match'!$F$3:$F$36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'DATA-Match'!$G$3:$G$36</c:f>
              <c:numCache>
                <c:formatCode>0.000</c:formatCode>
                <c:ptCount val="34"/>
                <c:pt idx="0">
                  <c:v>0.68516075480084349</c:v>
                </c:pt>
                <c:pt idx="1">
                  <c:v>0.64420237085499898</c:v>
                </c:pt>
                <c:pt idx="2">
                  <c:v>0.61752516082970488</c:v>
                </c:pt>
                <c:pt idx="3">
                  <c:v>0.61419012154780461</c:v>
                </c:pt>
                <c:pt idx="4">
                  <c:v>0.4988369422880844</c:v>
                </c:pt>
                <c:pt idx="5">
                  <c:v>0.63175884013242101</c:v>
                </c:pt>
                <c:pt idx="6">
                  <c:v>0.56872467451258357</c:v>
                </c:pt>
                <c:pt idx="7">
                  <c:v>0.66884488872990155</c:v>
                </c:pt>
                <c:pt idx="8">
                  <c:v>0.64346527424406053</c:v>
                </c:pt>
                <c:pt idx="9">
                  <c:v>0.70462818863201526</c:v>
                </c:pt>
                <c:pt idx="10">
                  <c:v>0.64314227048131334</c:v>
                </c:pt>
                <c:pt idx="11">
                  <c:v>0.61592095412051839</c:v>
                </c:pt>
                <c:pt idx="12">
                  <c:v>0.63199033945172534</c:v>
                </c:pt>
                <c:pt idx="13">
                  <c:v>0.67841986217550831</c:v>
                </c:pt>
                <c:pt idx="14">
                  <c:v>0.68850185521429286</c:v>
                </c:pt>
                <c:pt idx="15">
                  <c:v>0.62470719277071884</c:v>
                </c:pt>
                <c:pt idx="16">
                  <c:v>0.70055476321953836</c:v>
                </c:pt>
                <c:pt idx="17">
                  <c:v>0.6600458248145854</c:v>
                </c:pt>
                <c:pt idx="18">
                  <c:v>0.65863837292458283</c:v>
                </c:pt>
                <c:pt idx="19">
                  <c:v>0.62495721684407146</c:v>
                </c:pt>
                <c:pt idx="20">
                  <c:v>0.76493760761763485</c:v>
                </c:pt>
                <c:pt idx="21">
                  <c:v>0.76138875784810711</c:v>
                </c:pt>
                <c:pt idx="22">
                  <c:v>0.70068539995430679</c:v>
                </c:pt>
                <c:pt idx="23">
                  <c:v>0.72845399828482826</c:v>
                </c:pt>
                <c:pt idx="24">
                  <c:v>0.78127200406874742</c:v>
                </c:pt>
                <c:pt idx="25">
                  <c:v>0.75557288227660302</c:v>
                </c:pt>
                <c:pt idx="26">
                  <c:v>0.60147413784412451</c:v>
                </c:pt>
                <c:pt idx="27">
                  <c:v>0.76226637929128449</c:v>
                </c:pt>
                <c:pt idx="28">
                  <c:v>0.79306361067364506</c:v>
                </c:pt>
                <c:pt idx="29">
                  <c:v>0.74093721810166024</c:v>
                </c:pt>
                <c:pt idx="30">
                  <c:v>0.91683388290840029</c:v>
                </c:pt>
                <c:pt idx="31">
                  <c:v>0.80486669348556328</c:v>
                </c:pt>
                <c:pt idx="32">
                  <c:v>0.80811610157442026</c:v>
                </c:pt>
                <c:pt idx="33">
                  <c:v>0.80287254435759992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4C-46A0-8483-9084C65D6323}"/>
            </c:ext>
          </c:extLst>
        </c:ser>
        <c:ser>
          <c:idx val="0"/>
          <c:order val="1"/>
          <c:tx>
            <c:v>Densidad VAR-2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'DATA-Match'!$K$3:$K$67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'DATA-Match'!$L$3:$L$67</c:f>
              <c:numCache>
                <c:formatCode>0.000</c:formatCode>
                <c:ptCount val="65"/>
                <c:pt idx="0">
                  <c:v>0.6211932743214883</c:v>
                </c:pt>
                <c:pt idx="1">
                  <c:v>0.64016044547260831</c:v>
                </c:pt>
                <c:pt idx="2">
                  <c:v>0.57414765617912422</c:v>
                </c:pt>
                <c:pt idx="3">
                  <c:v>0.52600275868127733</c:v>
                </c:pt>
                <c:pt idx="4">
                  <c:v>0.62489176601921459</c:v>
                </c:pt>
                <c:pt idx="5">
                  <c:v>0.74676148601992631</c:v>
                </c:pt>
                <c:pt idx="6">
                  <c:v>0.64925692520316236</c:v>
                </c:pt>
                <c:pt idx="7">
                  <c:v>0.66878828682890168</c:v>
                </c:pt>
                <c:pt idx="8">
                  <c:v>0.66820878270452211</c:v>
                </c:pt>
                <c:pt idx="9">
                  <c:v>0.68828896411449936</c:v>
                </c:pt>
                <c:pt idx="10">
                  <c:v>0.71016198852487178</c:v>
                </c:pt>
                <c:pt idx="11">
                  <c:v>0.61407763404099669</c:v>
                </c:pt>
                <c:pt idx="12">
                  <c:v>0.53957047445624007</c:v>
                </c:pt>
                <c:pt idx="13">
                  <c:v>0.48742451916175678</c:v>
                </c:pt>
                <c:pt idx="14">
                  <c:v>0.62380953543353201</c:v>
                </c:pt>
                <c:pt idx="15">
                  <c:v>0.7008806818208736</c:v>
                </c:pt>
                <c:pt idx="16">
                  <c:v>0.59948203148410917</c:v>
                </c:pt>
                <c:pt idx="17">
                  <c:v>0.52908184724585228</c:v>
                </c:pt>
                <c:pt idx="18">
                  <c:v>0.57386193314575706</c:v>
                </c:pt>
                <c:pt idx="19">
                  <c:v>0.60864243427221498</c:v>
                </c:pt>
                <c:pt idx="20">
                  <c:v>0.77288175141005988</c:v>
                </c:pt>
                <c:pt idx="21">
                  <c:v>0.89485913084837687</c:v>
                </c:pt>
                <c:pt idx="22">
                  <c:v>0.73340451505927184</c:v>
                </c:pt>
                <c:pt idx="23">
                  <c:v>0.63733925213484843</c:v>
                </c:pt>
                <c:pt idx="24">
                  <c:v>0.60051194166138622</c:v>
                </c:pt>
                <c:pt idx="25">
                  <c:v>0.60682863482004068</c:v>
                </c:pt>
                <c:pt idx="26">
                  <c:v>0.57305042588842547</c:v>
                </c:pt>
                <c:pt idx="27">
                  <c:v>0.52716806175559072</c:v>
                </c:pt>
                <c:pt idx="28">
                  <c:v>0.56424657468312156</c:v>
                </c:pt>
                <c:pt idx="29">
                  <c:v>0.77308993976563956</c:v>
                </c:pt>
                <c:pt idx="30">
                  <c:v>0.77746703677571294</c:v>
                </c:pt>
                <c:pt idx="31">
                  <c:v>0.6711455359921854</c:v>
                </c:pt>
                <c:pt idx="32">
                  <c:v>0.78033679487186247</c:v>
                </c:pt>
                <c:pt idx="33">
                  <c:v>0.74777002756884015</c:v>
                </c:pt>
                <c:pt idx="34">
                  <c:v>0.93029318572324948</c:v>
                </c:pt>
                <c:pt idx="35">
                  <c:v>0.85337161306901299</c:v>
                </c:pt>
                <c:pt idx="36">
                  <c:v>0.82012318739592382</c:v>
                </c:pt>
                <c:pt idx="37">
                  <c:v>0.9895689464205436</c:v>
                </c:pt>
                <c:pt idx="38">
                  <c:v>0.91516845475343067</c:v>
                </c:pt>
                <c:pt idx="39">
                  <c:v>0.85404013161630354</c:v>
                </c:pt>
                <c:pt idx="40">
                  <c:v>0.89822413356091457</c:v>
                </c:pt>
                <c:pt idx="41">
                  <c:v>1.0672407384702209</c:v>
                </c:pt>
                <c:pt idx="42">
                  <c:v>1.14852263409818</c:v>
                </c:pt>
                <c:pt idx="43">
                  <c:v>0.85798613598789975</c:v>
                </c:pt>
                <c:pt idx="44">
                  <c:v>0.86006293352650398</c:v>
                </c:pt>
                <c:pt idx="45">
                  <c:v>0.86926447850477984</c:v>
                </c:pt>
                <c:pt idx="46">
                  <c:v>0.78928831408450084</c:v>
                </c:pt>
                <c:pt idx="47">
                  <c:v>0.80596840063187669</c:v>
                </c:pt>
                <c:pt idx="48">
                  <c:v>0.77106668049929805</c:v>
                </c:pt>
                <c:pt idx="49">
                  <c:v>0.73602325490666343</c:v>
                </c:pt>
                <c:pt idx="50">
                  <c:v>0.64331767435975162</c:v>
                </c:pt>
                <c:pt idx="51">
                  <c:v>0.67956555718654232</c:v>
                </c:pt>
                <c:pt idx="52">
                  <c:v>0.83939595241303389</c:v>
                </c:pt>
                <c:pt idx="53">
                  <c:v>0.97069644014368572</c:v>
                </c:pt>
                <c:pt idx="54">
                  <c:v>0.93128588043147176</c:v>
                </c:pt>
                <c:pt idx="55">
                  <c:v>0.76617173703511665</c:v>
                </c:pt>
                <c:pt idx="56">
                  <c:v>0.87291380798157425</c:v>
                </c:pt>
                <c:pt idx="57">
                  <c:v>0.69201293904788752</c:v>
                </c:pt>
                <c:pt idx="58">
                  <c:v>0.75992428640024401</c:v>
                </c:pt>
                <c:pt idx="59">
                  <c:v>0.70946068030296328</c:v>
                </c:pt>
                <c:pt idx="60">
                  <c:v>0.74330277007338164</c:v>
                </c:pt>
                <c:pt idx="61">
                  <c:v>0.73710362281210862</c:v>
                </c:pt>
                <c:pt idx="62">
                  <c:v>0.73597317448817812</c:v>
                </c:pt>
                <c:pt idx="63">
                  <c:v>0.79436286427064873</c:v>
                </c:pt>
                <c:pt idx="64">
                  <c:v>0.8840593156021278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4C-46A0-8483-9084C65D6323}"/>
            </c:ext>
          </c:extLst>
        </c:ser>
        <c:ser>
          <c:idx val="3"/>
          <c:order val="2"/>
          <c:tx>
            <c:v>Densidad VAR-3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'DATA-Match'!$P$3:$P$76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'DATA-Match'!$Q$3:$Q$76</c:f>
              <c:numCache>
                <c:formatCode>0.000</c:formatCode>
                <c:ptCount val="74"/>
                <c:pt idx="0">
                  <c:v>1.0125992706391531</c:v>
                </c:pt>
                <c:pt idx="1">
                  <c:v>0.70969203905973333</c:v>
                </c:pt>
                <c:pt idx="2">
                  <c:v>0.79106191531897641</c:v>
                </c:pt>
                <c:pt idx="3">
                  <c:v>0.87570355164583891</c:v>
                </c:pt>
                <c:pt idx="4">
                  <c:v>1.1571420690941947</c:v>
                </c:pt>
                <c:pt idx="5">
                  <c:v>0.800878820130699</c:v>
                </c:pt>
                <c:pt idx="6">
                  <c:v>0.76428239312599699</c:v>
                </c:pt>
                <c:pt idx="7">
                  <c:v>0.69483669452694241</c:v>
                </c:pt>
                <c:pt idx="8">
                  <c:v>0.6976166506065884</c:v>
                </c:pt>
                <c:pt idx="9">
                  <c:v>0.80800203012841554</c:v>
                </c:pt>
                <c:pt idx="10">
                  <c:v>0.77179205309270993</c:v>
                </c:pt>
                <c:pt idx="11">
                  <c:v>0.66640379250559534</c:v>
                </c:pt>
                <c:pt idx="12">
                  <c:v>0.57355839221412375</c:v>
                </c:pt>
                <c:pt idx="13">
                  <c:v>0.63824346727065517</c:v>
                </c:pt>
                <c:pt idx="14">
                  <c:v>0.55921950833705458</c:v>
                </c:pt>
                <c:pt idx="15">
                  <c:v>0.7458976377903157</c:v>
                </c:pt>
                <c:pt idx="16">
                  <c:v>0.76988592132089084</c:v>
                </c:pt>
                <c:pt idx="17">
                  <c:v>0.88970843637835006</c:v>
                </c:pt>
                <c:pt idx="18">
                  <c:v>0.92425463709827382</c:v>
                </c:pt>
                <c:pt idx="19">
                  <c:v>0.93248217281424917</c:v>
                </c:pt>
                <c:pt idx="20">
                  <c:v>0.89821092981784645</c:v>
                </c:pt>
                <c:pt idx="21">
                  <c:v>0.83442382931871206</c:v>
                </c:pt>
                <c:pt idx="22">
                  <c:v>0.7951994346568938</c:v>
                </c:pt>
                <c:pt idx="23">
                  <c:v>0.73397240666837393</c:v>
                </c:pt>
                <c:pt idx="24">
                  <c:v>0.67807066578332076</c:v>
                </c:pt>
                <c:pt idx="25">
                  <c:v>0.71726364179987789</c:v>
                </c:pt>
                <c:pt idx="26">
                  <c:v>0.73716266196337643</c:v>
                </c:pt>
                <c:pt idx="27">
                  <c:v>0.75722308165373586</c:v>
                </c:pt>
                <c:pt idx="28">
                  <c:v>0.66275702259992308</c:v>
                </c:pt>
                <c:pt idx="29">
                  <c:v>0.78319910724484387</c:v>
                </c:pt>
                <c:pt idx="30">
                  <c:v>0.80699207711055865</c:v>
                </c:pt>
                <c:pt idx="31">
                  <c:v>0.767450460620835</c:v>
                </c:pt>
                <c:pt idx="32">
                  <c:v>0.66536298599220101</c:v>
                </c:pt>
                <c:pt idx="33">
                  <c:v>0.66076015791343479</c:v>
                </c:pt>
                <c:pt idx="34">
                  <c:v>0.67817969424034652</c:v>
                </c:pt>
                <c:pt idx="35">
                  <c:v>0.62270223021697901</c:v>
                </c:pt>
                <c:pt idx="36">
                  <c:v>0.94102333078191425</c:v>
                </c:pt>
                <c:pt idx="37">
                  <c:v>0.58396358572640739</c:v>
                </c:pt>
                <c:pt idx="38">
                  <c:v>0.6949071979868533</c:v>
                </c:pt>
                <c:pt idx="39">
                  <c:v>0.58990273393689596</c:v>
                </c:pt>
                <c:pt idx="40">
                  <c:v>0.66688544810036199</c:v>
                </c:pt>
                <c:pt idx="41">
                  <c:v>0.63046331522771881</c:v>
                </c:pt>
                <c:pt idx="42">
                  <c:v>0.71200347713312007</c:v>
                </c:pt>
                <c:pt idx="43">
                  <c:v>0.75856741738393207</c:v>
                </c:pt>
                <c:pt idx="44">
                  <c:v>0.75128274208852364</c:v>
                </c:pt>
                <c:pt idx="45">
                  <c:v>0.99569462095956263</c:v>
                </c:pt>
                <c:pt idx="46">
                  <c:v>0.92779852290412601</c:v>
                </c:pt>
                <c:pt idx="47">
                  <c:v>0.79998842210400412</c:v>
                </c:pt>
                <c:pt idx="48">
                  <c:v>0.83339101809092442</c:v>
                </c:pt>
                <c:pt idx="49">
                  <c:v>0.81070761023016269</c:v>
                </c:pt>
                <c:pt idx="50">
                  <c:v>0.8355585291121167</c:v>
                </c:pt>
                <c:pt idx="51">
                  <c:v>0.76381904641653642</c:v>
                </c:pt>
                <c:pt idx="52">
                  <c:v>0.80878178592437378</c:v>
                </c:pt>
                <c:pt idx="53">
                  <c:v>0.87478177247717248</c:v>
                </c:pt>
                <c:pt idx="54">
                  <c:v>0.85833821831563029</c:v>
                </c:pt>
                <c:pt idx="55">
                  <c:v>0.87734873654828371</c:v>
                </c:pt>
                <c:pt idx="56">
                  <c:v>0.83035521688795821</c:v>
                </c:pt>
                <c:pt idx="57">
                  <c:v>0.83317542328973249</c:v>
                </c:pt>
                <c:pt idx="58">
                  <c:v>0.93022634301734897</c:v>
                </c:pt>
                <c:pt idx="59">
                  <c:v>0.94143153684461511</c:v>
                </c:pt>
                <c:pt idx="60">
                  <c:v>0.81724860190439597</c:v>
                </c:pt>
                <c:pt idx="61">
                  <c:v>0.95252946662586591</c:v>
                </c:pt>
                <c:pt idx="62">
                  <c:v>0.92836792152646264</c:v>
                </c:pt>
                <c:pt idx="63">
                  <c:v>0.99935069030124746</c:v>
                </c:pt>
                <c:pt idx="64">
                  <c:v>0.82382176492747328</c:v>
                </c:pt>
                <c:pt idx="65">
                  <c:v>0.91671249258132748</c:v>
                </c:pt>
                <c:pt idx="66">
                  <c:v>1.0171164551613876</c:v>
                </c:pt>
                <c:pt idx="67">
                  <c:v>0.87428227202022857</c:v>
                </c:pt>
                <c:pt idx="68">
                  <c:v>0.92687696322540614</c:v>
                </c:pt>
                <c:pt idx="69">
                  <c:v>0.90129086559029259</c:v>
                </c:pt>
                <c:pt idx="70">
                  <c:v>1.1285432382207232</c:v>
                </c:pt>
                <c:pt idx="71">
                  <c:v>0.86681328293455451</c:v>
                </c:pt>
                <c:pt idx="72">
                  <c:v>0.77607042771597012</c:v>
                </c:pt>
                <c:pt idx="73">
                  <c:v>0.95796688669110053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4C-46A0-8483-9084C65D6323}"/>
            </c:ext>
          </c:extLst>
        </c:ser>
        <c:ser>
          <c:idx val="4"/>
          <c:order val="3"/>
          <c:tx>
            <c:v>Densidad VAR-4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'DATA-Match'!$U$3:$U$67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'DATA-Match'!$V$3:$V$67</c:f>
              <c:numCache>
                <c:formatCode>0.000</c:formatCode>
                <c:ptCount val="65"/>
                <c:pt idx="0">
                  <c:v>0.55244605627649401</c:v>
                </c:pt>
                <c:pt idx="1">
                  <c:v>0.67373320339800391</c:v>
                </c:pt>
                <c:pt idx="2">
                  <c:v>0.67404673033737983</c:v>
                </c:pt>
                <c:pt idx="3">
                  <c:v>0.8139976531699179</c:v>
                </c:pt>
                <c:pt idx="4">
                  <c:v>0.87813464862065171</c:v>
                </c:pt>
                <c:pt idx="5">
                  <c:v>0.90217622539549125</c:v>
                </c:pt>
                <c:pt idx="6">
                  <c:v>0.77777580124600243</c:v>
                </c:pt>
                <c:pt idx="7">
                  <c:v>0.66820373847957271</c:v>
                </c:pt>
                <c:pt idx="8">
                  <c:v>0.59938447286610241</c:v>
                </c:pt>
                <c:pt idx="9">
                  <c:v>0.49762252465903345</c:v>
                </c:pt>
                <c:pt idx="10">
                  <c:v>0.77793406015117639</c:v>
                </c:pt>
                <c:pt idx="11">
                  <c:v>0.66970273199329577</c:v>
                </c:pt>
                <c:pt idx="12">
                  <c:v>0.62307428228363904</c:v>
                </c:pt>
                <c:pt idx="13">
                  <c:v>0.6337686664119806</c:v>
                </c:pt>
                <c:pt idx="14">
                  <c:v>0.65815546901621802</c:v>
                </c:pt>
                <c:pt idx="15">
                  <c:v>0.58441029209961781</c:v>
                </c:pt>
                <c:pt idx="16">
                  <c:v>0.59344571135751201</c:v>
                </c:pt>
                <c:pt idx="17">
                  <c:v>0.62401770500127918</c:v>
                </c:pt>
                <c:pt idx="18">
                  <c:v>0.63222931534719606</c:v>
                </c:pt>
                <c:pt idx="19">
                  <c:v>0.67847662948526399</c:v>
                </c:pt>
                <c:pt idx="20">
                  <c:v>0.61099528959601646</c:v>
                </c:pt>
                <c:pt idx="21">
                  <c:v>0.58168746946499805</c:v>
                </c:pt>
                <c:pt idx="22">
                  <c:v>0.71008642432951685</c:v>
                </c:pt>
                <c:pt idx="23">
                  <c:v>0.696114013318891</c:v>
                </c:pt>
                <c:pt idx="24">
                  <c:v>0.69062458573055774</c:v>
                </c:pt>
                <c:pt idx="25">
                  <c:v>0.65612063454261005</c:v>
                </c:pt>
                <c:pt idx="26">
                  <c:v>0.61801030748080499</c:v>
                </c:pt>
                <c:pt idx="27">
                  <c:v>0.51458256390804591</c:v>
                </c:pt>
                <c:pt idx="28">
                  <c:v>0.69222194439247486</c:v>
                </c:pt>
                <c:pt idx="29">
                  <c:v>0.71920155873373504</c:v>
                </c:pt>
                <c:pt idx="30">
                  <c:v>0.73203931506742381</c:v>
                </c:pt>
                <c:pt idx="31">
                  <c:v>0.58660047407673177</c:v>
                </c:pt>
                <c:pt idx="32">
                  <c:v>0.53763329283502936</c:v>
                </c:pt>
                <c:pt idx="33">
                  <c:v>0.61020537473973224</c:v>
                </c:pt>
                <c:pt idx="34">
                  <c:v>0.69449600397336675</c:v>
                </c:pt>
                <c:pt idx="35">
                  <c:v>0.89039353245495834</c:v>
                </c:pt>
                <c:pt idx="36">
                  <c:v>0.90963101077115072</c:v>
                </c:pt>
                <c:pt idx="37">
                  <c:v>0.80159334194226006</c:v>
                </c:pt>
                <c:pt idx="38">
                  <c:v>0.89431009363676717</c:v>
                </c:pt>
                <c:pt idx="39">
                  <c:v>0.85699678792268497</c:v>
                </c:pt>
                <c:pt idx="40">
                  <c:v>0.77929609978813352</c:v>
                </c:pt>
                <c:pt idx="41">
                  <c:v>0.80884510620716243</c:v>
                </c:pt>
                <c:pt idx="42">
                  <c:v>0.82623385027551632</c:v>
                </c:pt>
                <c:pt idx="43">
                  <c:v>0.54778338096695889</c:v>
                </c:pt>
                <c:pt idx="44">
                  <c:v>0.5761617043441265</c:v>
                </c:pt>
                <c:pt idx="45">
                  <c:v>0.6468045266738256</c:v>
                </c:pt>
                <c:pt idx="46">
                  <c:v>0.5773347216552891</c:v>
                </c:pt>
                <c:pt idx="47">
                  <c:v>0.6151197557920649</c:v>
                </c:pt>
                <c:pt idx="48">
                  <c:v>0.45673324284023353</c:v>
                </c:pt>
                <c:pt idx="49">
                  <c:v>0.44310650123246753</c:v>
                </c:pt>
                <c:pt idx="50">
                  <c:v>0.2952666627398528</c:v>
                </c:pt>
                <c:pt idx="51">
                  <c:v>0.42788612018341732</c:v>
                </c:pt>
                <c:pt idx="52">
                  <c:v>0.59760319061078238</c:v>
                </c:pt>
                <c:pt idx="53">
                  <c:v>0.5682564106044169</c:v>
                </c:pt>
                <c:pt idx="54">
                  <c:v>0.50806891727469961</c:v>
                </c:pt>
                <c:pt idx="55">
                  <c:v>0.6546286432681816</c:v>
                </c:pt>
                <c:pt idx="56">
                  <c:v>0.74147591975231064</c:v>
                </c:pt>
                <c:pt idx="57">
                  <c:v>0.76023920803179224</c:v>
                </c:pt>
                <c:pt idx="58">
                  <c:v>0.79021060603461424</c:v>
                </c:pt>
                <c:pt idx="59">
                  <c:v>0.81179865688327302</c:v>
                </c:pt>
                <c:pt idx="60">
                  <c:v>0.79626087929069644</c:v>
                </c:pt>
                <c:pt idx="61">
                  <c:v>0.77776588381632716</c:v>
                </c:pt>
                <c:pt idx="62">
                  <c:v>0.68994119646482943</c:v>
                </c:pt>
                <c:pt idx="63">
                  <c:v>0.69539047312418112</c:v>
                </c:pt>
                <c:pt idx="64">
                  <c:v>0.51351744124259158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4C-46A0-8483-9084C65D6323}"/>
            </c:ext>
          </c:extLst>
        </c:ser>
        <c:ser>
          <c:idx val="2"/>
          <c:order val="4"/>
          <c:tx>
            <c:v>Densidad Promedio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'DATA-Match'!$Z$3:$Z$76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'DATA-Match'!$AA$3:$AA$76</c:f>
              <c:numCache>
                <c:formatCode>General</c:formatCode>
                <c:ptCount val="74"/>
                <c:pt idx="0" formatCode="0.000">
                  <c:v>0.71784983900949462</c:v>
                </c:pt>
                <c:pt idx="1">
                  <c:v>0.66694701469633622</c:v>
                </c:pt>
                <c:pt idx="2">
                  <c:v>0.66419536566629633</c:v>
                </c:pt>
                <c:pt idx="3">
                  <c:v>0.70747352126120966</c:v>
                </c:pt>
                <c:pt idx="4">
                  <c:v>0.78975135650553629</c:v>
                </c:pt>
                <c:pt idx="5">
                  <c:v>0.77039384291963442</c:v>
                </c:pt>
                <c:pt idx="6">
                  <c:v>0.69000994852193631</c:v>
                </c:pt>
                <c:pt idx="7">
                  <c:v>0.67516840214132967</c:v>
                </c:pt>
                <c:pt idx="8">
                  <c:v>0.65216879510531833</c:v>
                </c:pt>
                <c:pt idx="9">
                  <c:v>0.67463542688349087</c:v>
                </c:pt>
                <c:pt idx="10">
                  <c:v>0.72575759306251786</c:v>
                </c:pt>
                <c:pt idx="11">
                  <c:v>0.64152627816510144</c:v>
                </c:pt>
                <c:pt idx="12">
                  <c:v>0.59204837210143202</c:v>
                </c:pt>
                <c:pt idx="13">
                  <c:v>0.60946412875497524</c:v>
                </c:pt>
                <c:pt idx="14">
                  <c:v>0.63242159200027437</c:v>
                </c:pt>
                <c:pt idx="15">
                  <c:v>0.66397395112038149</c:v>
                </c:pt>
                <c:pt idx="16">
                  <c:v>0.66584210684551259</c:v>
                </c:pt>
                <c:pt idx="17">
                  <c:v>0.67571345336001676</c:v>
                </c:pt>
                <c:pt idx="18">
                  <c:v>0.69724606462895244</c:v>
                </c:pt>
                <c:pt idx="19">
                  <c:v>0.71113961335394993</c:v>
                </c:pt>
                <c:pt idx="20">
                  <c:v>0.76175639461038935</c:v>
                </c:pt>
                <c:pt idx="21">
                  <c:v>0.76808979687004852</c:v>
                </c:pt>
                <c:pt idx="22">
                  <c:v>0.73484394349999738</c:v>
                </c:pt>
                <c:pt idx="23">
                  <c:v>0.69896991760173544</c:v>
                </c:pt>
                <c:pt idx="24">
                  <c:v>0.68761979931100303</c:v>
                </c:pt>
                <c:pt idx="25">
                  <c:v>0.68394644835978291</c:v>
                </c:pt>
                <c:pt idx="26">
                  <c:v>0.63242438329418282</c:v>
                </c:pt>
                <c:pt idx="27">
                  <c:v>0.64031002165216422</c:v>
                </c:pt>
                <c:pt idx="28">
                  <c:v>0.67807228808729114</c:v>
                </c:pt>
                <c:pt idx="29">
                  <c:v>0.7541069559614697</c:v>
                </c:pt>
                <c:pt idx="30">
                  <c:v>0.80833307796552389</c:v>
                </c:pt>
                <c:pt idx="31">
                  <c:v>0.70751579104382889</c:v>
                </c:pt>
                <c:pt idx="32">
                  <c:v>0.69786229381837828</c:v>
                </c:pt>
                <c:pt idx="33">
                  <c:v>0.70540202614490166</c:v>
                </c:pt>
                <c:pt idx="34">
                  <c:v>0.76765629464565421</c:v>
                </c:pt>
                <c:pt idx="35">
                  <c:v>0.78882245858031685</c:v>
                </c:pt>
                <c:pt idx="36">
                  <c:v>0.89025917631632956</c:v>
                </c:pt>
                <c:pt idx="37">
                  <c:v>0.79170862469640368</c:v>
                </c:pt>
                <c:pt idx="38">
                  <c:v>0.83479524879235034</c:v>
                </c:pt>
                <c:pt idx="39">
                  <c:v>0.76697988449196153</c:v>
                </c:pt>
                <c:pt idx="40">
                  <c:v>0.78146856048313673</c:v>
                </c:pt>
                <c:pt idx="41">
                  <c:v>0.83551638663503403</c:v>
                </c:pt>
                <c:pt idx="42">
                  <c:v>0.89558665383560543</c:v>
                </c:pt>
                <c:pt idx="43">
                  <c:v>0.72144564477959694</c:v>
                </c:pt>
                <c:pt idx="44">
                  <c:v>0.72916912665305134</c:v>
                </c:pt>
                <c:pt idx="45">
                  <c:v>0.83725454204605609</c:v>
                </c:pt>
                <c:pt idx="46">
                  <c:v>0.76480718621463861</c:v>
                </c:pt>
                <c:pt idx="47">
                  <c:v>0.74035885950931524</c:v>
                </c:pt>
                <c:pt idx="48">
                  <c:v>0.68706364714348533</c:v>
                </c:pt>
                <c:pt idx="49">
                  <c:v>0.66327912212309792</c:v>
                </c:pt>
                <c:pt idx="50">
                  <c:v>0.59138095540390712</c:v>
                </c:pt>
                <c:pt idx="51">
                  <c:v>0.62375690792883198</c:v>
                </c:pt>
                <c:pt idx="52">
                  <c:v>0.74859364298273012</c:v>
                </c:pt>
                <c:pt idx="53">
                  <c:v>0.80457820774175837</c:v>
                </c:pt>
                <c:pt idx="54">
                  <c:v>0.76589767200726711</c:v>
                </c:pt>
                <c:pt idx="55">
                  <c:v>0.7660497056171941</c:v>
                </c:pt>
                <c:pt idx="56">
                  <c:v>0.81491498154061437</c:v>
                </c:pt>
                <c:pt idx="57">
                  <c:v>0.76180919012313753</c:v>
                </c:pt>
                <c:pt idx="58">
                  <c:v>0.82678707848406907</c:v>
                </c:pt>
                <c:pt idx="59">
                  <c:v>0.82089695801028384</c:v>
                </c:pt>
                <c:pt idx="60">
                  <c:v>0.78560408375615809</c:v>
                </c:pt>
                <c:pt idx="61">
                  <c:v>0.82246632441810041</c:v>
                </c:pt>
                <c:pt idx="62">
                  <c:v>0.78476076415982343</c:v>
                </c:pt>
                <c:pt idx="63">
                  <c:v>0.8297013425653591</c:v>
                </c:pt>
                <c:pt idx="64">
                  <c:v>0.74046617392406422</c:v>
                </c:pt>
                <c:pt idx="65">
                  <c:v>0.91671249258132748</c:v>
                </c:pt>
                <c:pt idx="66">
                  <c:v>1.0171164551613876</c:v>
                </c:pt>
                <c:pt idx="67">
                  <c:v>0.87428227202022857</c:v>
                </c:pt>
                <c:pt idx="68">
                  <c:v>0.92687696322540614</c:v>
                </c:pt>
                <c:pt idx="69">
                  <c:v>0.90129086559029259</c:v>
                </c:pt>
                <c:pt idx="70">
                  <c:v>1.1285432382207232</c:v>
                </c:pt>
                <c:pt idx="71">
                  <c:v>0.86681328293455451</c:v>
                </c:pt>
                <c:pt idx="72">
                  <c:v>0.77607042771597012</c:v>
                </c:pt>
                <c:pt idx="73">
                  <c:v>0.95796688669110053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4C-46A0-8483-9084C65D6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6070384"/>
        <c:axId val="-1506069840"/>
      </c:scatterChart>
      <c:valAx>
        <c:axId val="-1506070384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06069840"/>
        <c:crosses val="autoZero"/>
        <c:crossBetween val="midCat"/>
      </c:valAx>
      <c:valAx>
        <c:axId val="-1506069840"/>
        <c:scaling>
          <c:orientation val="minMax"/>
          <c:max val="1.2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 (g/cm3)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0607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Promedio-Extension-match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Extensión VAR-1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'DATA-Match'!$F$3:$F$36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'DATA-Match'!$H$3:$H$36</c:f>
              <c:numCache>
                <c:formatCode>0.000</c:formatCode>
                <c:ptCount val="34"/>
                <c:pt idx="0">
                  <c:v>1.4472000000000003</c:v>
                </c:pt>
                <c:pt idx="1">
                  <c:v>1.6300000000000003</c:v>
                </c:pt>
                <c:pt idx="2">
                  <c:v>1.63</c:v>
                </c:pt>
                <c:pt idx="3">
                  <c:v>1.9499999999999993</c:v>
                </c:pt>
                <c:pt idx="4">
                  <c:v>1.3711000000000002</c:v>
                </c:pt>
                <c:pt idx="5">
                  <c:v>1.4930000000000003</c:v>
                </c:pt>
                <c:pt idx="6">
                  <c:v>1.0968999999999998</c:v>
                </c:pt>
                <c:pt idx="7">
                  <c:v>1.234</c:v>
                </c:pt>
                <c:pt idx="8">
                  <c:v>1.4473000000000003</c:v>
                </c:pt>
                <c:pt idx="9">
                  <c:v>0.79219999999999935</c:v>
                </c:pt>
                <c:pt idx="10">
                  <c:v>2.011000000000001</c:v>
                </c:pt>
                <c:pt idx="11">
                  <c:v>1.2491999999999983</c:v>
                </c:pt>
                <c:pt idx="12">
                  <c:v>1.1730000000000018</c:v>
                </c:pt>
                <c:pt idx="13">
                  <c:v>1.3101999999999983</c:v>
                </c:pt>
                <c:pt idx="14">
                  <c:v>1.9194999999999993</c:v>
                </c:pt>
                <c:pt idx="15">
                  <c:v>1.5234000000000023</c:v>
                </c:pt>
                <c:pt idx="16">
                  <c:v>1.7061999999999991</c:v>
                </c:pt>
                <c:pt idx="17">
                  <c:v>1.4316299999999167</c:v>
                </c:pt>
                <c:pt idx="18">
                  <c:v>0.92902999999993696</c:v>
                </c:pt>
                <c:pt idx="19">
                  <c:v>1.4620799999999008</c:v>
                </c:pt>
                <c:pt idx="20">
                  <c:v>1.0813299999999266</c:v>
                </c:pt>
                <c:pt idx="21">
                  <c:v>1.2793200000001228</c:v>
                </c:pt>
                <c:pt idx="22">
                  <c:v>1.3554700000002242</c:v>
                </c:pt>
                <c:pt idx="23">
                  <c:v>1.3707000000002267</c:v>
                </c:pt>
                <c:pt idx="24">
                  <c:v>1.1574800000001915</c:v>
                </c:pt>
                <c:pt idx="25">
                  <c:v>1.1422500000001889</c:v>
                </c:pt>
                <c:pt idx="26">
                  <c:v>0.80719000000013352</c:v>
                </c:pt>
                <c:pt idx="27">
                  <c:v>1.7362200000002872</c:v>
                </c:pt>
                <c:pt idx="28">
                  <c:v>0.62443000000010329</c:v>
                </c:pt>
                <c:pt idx="29">
                  <c:v>1.8428300000003048</c:v>
                </c:pt>
                <c:pt idx="30">
                  <c:v>1.2945500000002141</c:v>
                </c:pt>
                <c:pt idx="31">
                  <c:v>1.0965600000001814</c:v>
                </c:pt>
                <c:pt idx="32">
                  <c:v>0.8681100000001436</c:v>
                </c:pt>
                <c:pt idx="33">
                  <c:v>0.83765000000013856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70-43A5-BFA9-3DAFAB940A20}"/>
            </c:ext>
          </c:extLst>
        </c:ser>
        <c:ser>
          <c:idx val="0"/>
          <c:order val="1"/>
          <c:tx>
            <c:v>Extensión VAR-2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'DATA-Match'!$K$3:$K$67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'DATA-Match'!$M$3:$M$67</c:f>
              <c:numCache>
                <c:formatCode>0.000</c:formatCode>
                <c:ptCount val="65"/>
                <c:pt idx="0">
                  <c:v>0.86139999999999983</c:v>
                </c:pt>
                <c:pt idx="1">
                  <c:v>1.6613499999999999</c:v>
                </c:pt>
                <c:pt idx="2">
                  <c:v>1.2922000000000002</c:v>
                </c:pt>
                <c:pt idx="3">
                  <c:v>1.0768</c:v>
                </c:pt>
                <c:pt idx="4">
                  <c:v>0.95369999999999955</c:v>
                </c:pt>
                <c:pt idx="5">
                  <c:v>0.89220000000000121</c:v>
                </c:pt>
                <c:pt idx="6">
                  <c:v>0.92299999999999915</c:v>
                </c:pt>
                <c:pt idx="7">
                  <c:v>1.2921500000000004</c:v>
                </c:pt>
                <c:pt idx="8">
                  <c:v>1.1075499999999998</c:v>
                </c:pt>
                <c:pt idx="9">
                  <c:v>1.230599999999999</c:v>
                </c:pt>
                <c:pt idx="10">
                  <c:v>1.1998500000000023</c:v>
                </c:pt>
                <c:pt idx="11">
                  <c:v>0.95379999999999932</c:v>
                </c:pt>
                <c:pt idx="12">
                  <c:v>1.2613499999999984</c:v>
                </c:pt>
                <c:pt idx="13">
                  <c:v>1.4152500000000003</c:v>
                </c:pt>
                <c:pt idx="14">
                  <c:v>0.92295000000000016</c:v>
                </c:pt>
                <c:pt idx="15">
                  <c:v>1.2921499999999995</c:v>
                </c:pt>
                <c:pt idx="16">
                  <c:v>0.98450000000000237</c:v>
                </c:pt>
                <c:pt idx="17">
                  <c:v>1.4152000000000005</c:v>
                </c:pt>
                <c:pt idx="18">
                  <c:v>1.0459999999999958</c:v>
                </c:pt>
                <c:pt idx="19">
                  <c:v>1.2922000000000011</c:v>
                </c:pt>
                <c:pt idx="20">
                  <c:v>1.0460499999999993</c:v>
                </c:pt>
                <c:pt idx="21">
                  <c:v>1.1383500000000009</c:v>
                </c:pt>
                <c:pt idx="22">
                  <c:v>0.76910000000000167</c:v>
                </c:pt>
                <c:pt idx="23">
                  <c:v>0.73834999999999695</c:v>
                </c:pt>
                <c:pt idx="24">
                  <c:v>0.73840000000000217</c:v>
                </c:pt>
                <c:pt idx="25">
                  <c:v>1.2306500000000025</c:v>
                </c:pt>
                <c:pt idx="26">
                  <c:v>0.79984999999999928</c:v>
                </c:pt>
                <c:pt idx="27">
                  <c:v>0.95374999999999766</c:v>
                </c:pt>
                <c:pt idx="28">
                  <c:v>1.1994500000000112</c:v>
                </c:pt>
                <c:pt idx="29">
                  <c:v>0.70745000000000857</c:v>
                </c:pt>
                <c:pt idx="30">
                  <c:v>0.89205000000000112</c:v>
                </c:pt>
                <c:pt idx="31">
                  <c:v>0.86125000000000895</c:v>
                </c:pt>
                <c:pt idx="32">
                  <c:v>0.95355000000000345</c:v>
                </c:pt>
                <c:pt idx="33">
                  <c:v>1.0458500000000086</c:v>
                </c:pt>
                <c:pt idx="34">
                  <c:v>1.3533500000000096</c:v>
                </c:pt>
                <c:pt idx="35">
                  <c:v>1.1072500000000076</c:v>
                </c:pt>
                <c:pt idx="36">
                  <c:v>1.2302500000000123</c:v>
                </c:pt>
                <c:pt idx="37">
                  <c:v>1.1688000000000045</c:v>
                </c:pt>
                <c:pt idx="38">
                  <c:v>0.92255000000001175</c:v>
                </c:pt>
                <c:pt idx="39">
                  <c:v>1.1377500000000182</c:v>
                </c:pt>
                <c:pt idx="40">
                  <c:v>1.0762500000000159</c:v>
                </c:pt>
                <c:pt idx="41">
                  <c:v>1.0762500000000159</c:v>
                </c:pt>
                <c:pt idx="42">
                  <c:v>1.0455000000000148</c:v>
                </c:pt>
                <c:pt idx="43">
                  <c:v>0.95325000000001481</c:v>
                </c:pt>
                <c:pt idx="44">
                  <c:v>1.0762500000000159</c:v>
                </c:pt>
                <c:pt idx="45">
                  <c:v>1.2607500000000194</c:v>
                </c:pt>
                <c:pt idx="46">
                  <c:v>1.0147500000000171</c:v>
                </c:pt>
                <c:pt idx="47">
                  <c:v>0.98400000000000887</c:v>
                </c:pt>
                <c:pt idx="48">
                  <c:v>1.0762500000000159</c:v>
                </c:pt>
                <c:pt idx="49">
                  <c:v>1.1377500000000182</c:v>
                </c:pt>
                <c:pt idx="50">
                  <c:v>1.0455000000000148</c:v>
                </c:pt>
                <c:pt idx="51">
                  <c:v>1.1070000000000135</c:v>
                </c:pt>
                <c:pt idx="52">
                  <c:v>1.1377500000000182</c:v>
                </c:pt>
                <c:pt idx="53">
                  <c:v>1.1685000000000159</c:v>
                </c:pt>
                <c:pt idx="54">
                  <c:v>1.4145000000000252</c:v>
                </c:pt>
                <c:pt idx="55">
                  <c:v>1.291500000000017</c:v>
                </c:pt>
                <c:pt idx="56">
                  <c:v>1.2915000000000205</c:v>
                </c:pt>
                <c:pt idx="57">
                  <c:v>1.1070000000000135</c:v>
                </c:pt>
                <c:pt idx="58">
                  <c:v>0.92250000000001364</c:v>
                </c:pt>
                <c:pt idx="59">
                  <c:v>1.1992500000000206</c:v>
                </c:pt>
                <c:pt idx="60">
                  <c:v>1.1992500000000206</c:v>
                </c:pt>
                <c:pt idx="61">
                  <c:v>1.4145000000000181</c:v>
                </c:pt>
                <c:pt idx="62">
                  <c:v>0.95325000000001125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70-43A5-BFA9-3DAFAB940A20}"/>
            </c:ext>
          </c:extLst>
        </c:ser>
        <c:ser>
          <c:idx val="3"/>
          <c:order val="2"/>
          <c:tx>
            <c:v>Extensión VAR-3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'DATA-Match'!$P$3:$P$76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'DATA-Match'!$R$3:$R$76</c:f>
              <c:numCache>
                <c:formatCode>0.000</c:formatCode>
                <c:ptCount val="74"/>
                <c:pt idx="0">
                  <c:v>0.73838500000000062</c:v>
                </c:pt>
                <c:pt idx="1">
                  <c:v>0.98448000000000069</c:v>
                </c:pt>
                <c:pt idx="2">
                  <c:v>0.55374999999999885</c:v>
                </c:pt>
                <c:pt idx="3">
                  <c:v>0.6768499999999984</c:v>
                </c:pt>
                <c:pt idx="4">
                  <c:v>0.70761999999999947</c:v>
                </c:pt>
                <c:pt idx="5">
                  <c:v>0.76912999999999876</c:v>
                </c:pt>
                <c:pt idx="6">
                  <c:v>0.76911499999999844</c:v>
                </c:pt>
                <c:pt idx="7">
                  <c:v>0.55380000000000251</c:v>
                </c:pt>
                <c:pt idx="8">
                  <c:v>0.98450000000000237</c:v>
                </c:pt>
                <c:pt idx="9">
                  <c:v>0.7383650000000026</c:v>
                </c:pt>
                <c:pt idx="10">
                  <c:v>1.230590000000003</c:v>
                </c:pt>
                <c:pt idx="11">
                  <c:v>0.64607000000000259</c:v>
                </c:pt>
                <c:pt idx="12">
                  <c:v>0.86145500000000386</c:v>
                </c:pt>
                <c:pt idx="13">
                  <c:v>1.1075500000000051</c:v>
                </c:pt>
                <c:pt idx="14">
                  <c:v>0.83064500000000319</c:v>
                </c:pt>
                <c:pt idx="15">
                  <c:v>0.83066499999999621</c:v>
                </c:pt>
                <c:pt idx="16">
                  <c:v>1.0459999999999905</c:v>
                </c:pt>
                <c:pt idx="17">
                  <c:v>0.67684999999999462</c:v>
                </c:pt>
                <c:pt idx="18">
                  <c:v>0.86143499999999129</c:v>
                </c:pt>
                <c:pt idx="19">
                  <c:v>0.79991499999999505</c:v>
                </c:pt>
                <c:pt idx="20">
                  <c:v>0.92292999999999559</c:v>
                </c:pt>
                <c:pt idx="21">
                  <c:v>0.76916499999999211</c:v>
                </c:pt>
                <c:pt idx="22">
                  <c:v>0.89219499999999385</c:v>
                </c:pt>
                <c:pt idx="23">
                  <c:v>1.3229049999999933</c:v>
                </c:pt>
                <c:pt idx="24">
                  <c:v>0.64604499999999376</c:v>
                </c:pt>
                <c:pt idx="25">
                  <c:v>0.76912499999999184</c:v>
                </c:pt>
                <c:pt idx="26">
                  <c:v>1.0768049999999931</c:v>
                </c:pt>
                <c:pt idx="27">
                  <c:v>1.0152549999999927</c:v>
                </c:pt>
                <c:pt idx="28">
                  <c:v>0.98450999999999134</c:v>
                </c:pt>
                <c:pt idx="29">
                  <c:v>1.3228849999999941</c:v>
                </c:pt>
                <c:pt idx="30">
                  <c:v>0.86142999999999503</c:v>
                </c:pt>
                <c:pt idx="31">
                  <c:v>1.0767849999999886</c:v>
                </c:pt>
                <c:pt idx="32">
                  <c:v>1.3228949999999919</c:v>
                </c:pt>
                <c:pt idx="33">
                  <c:v>0.89219499999999385</c:v>
                </c:pt>
                <c:pt idx="34">
                  <c:v>1.1998449999999909</c:v>
                </c:pt>
                <c:pt idx="35">
                  <c:v>0.98448999999999209</c:v>
                </c:pt>
                <c:pt idx="36">
                  <c:v>0.7999299999999927</c:v>
                </c:pt>
                <c:pt idx="37">
                  <c:v>0.86122499999999746</c:v>
                </c:pt>
                <c:pt idx="38">
                  <c:v>0.92271000000000214</c:v>
                </c:pt>
                <c:pt idx="39">
                  <c:v>0.76897499999999752</c:v>
                </c:pt>
                <c:pt idx="40">
                  <c:v>1.0149749999999997</c:v>
                </c:pt>
                <c:pt idx="41">
                  <c:v>0.79968000000000217</c:v>
                </c:pt>
                <c:pt idx="42">
                  <c:v>0.98422499999999857</c:v>
                </c:pt>
                <c:pt idx="43">
                  <c:v>0.86119500000000215</c:v>
                </c:pt>
                <c:pt idx="44">
                  <c:v>0.86118000000000094</c:v>
                </c:pt>
                <c:pt idx="45">
                  <c:v>1.0149450000000044</c:v>
                </c:pt>
                <c:pt idx="46">
                  <c:v>0.73813500000000332</c:v>
                </c:pt>
                <c:pt idx="47">
                  <c:v>1.1379900000000021</c:v>
                </c:pt>
                <c:pt idx="48">
                  <c:v>0.8919150000000009</c:v>
                </c:pt>
                <c:pt idx="49">
                  <c:v>0.86120999999999981</c:v>
                </c:pt>
                <c:pt idx="50">
                  <c:v>1.3839900000000078</c:v>
                </c:pt>
                <c:pt idx="51">
                  <c:v>1.1687100000000044</c:v>
                </c:pt>
                <c:pt idx="52">
                  <c:v>0.9227249999999998</c:v>
                </c:pt>
                <c:pt idx="53">
                  <c:v>1.2609900000000032</c:v>
                </c:pt>
                <c:pt idx="54">
                  <c:v>1.0148850000000067</c:v>
                </c:pt>
                <c:pt idx="55">
                  <c:v>1.0765349999999998</c:v>
                </c:pt>
                <c:pt idx="56">
                  <c:v>1.0765049999999974</c:v>
                </c:pt>
                <c:pt idx="57">
                  <c:v>1.1995050000000305</c:v>
                </c:pt>
                <c:pt idx="58">
                  <c:v>1.01494500000004</c:v>
                </c:pt>
                <c:pt idx="59">
                  <c:v>1.0456950000000411</c:v>
                </c:pt>
                <c:pt idx="60">
                  <c:v>1.0764900000000459</c:v>
                </c:pt>
                <c:pt idx="61">
                  <c:v>0.95344500000004118</c:v>
                </c:pt>
                <c:pt idx="62">
                  <c:v>1.0457100000000423</c:v>
                </c:pt>
                <c:pt idx="63">
                  <c:v>1.0456800000000328</c:v>
                </c:pt>
                <c:pt idx="64">
                  <c:v>1.3225950000000637</c:v>
                </c:pt>
                <c:pt idx="65">
                  <c:v>0.9842100000000471</c:v>
                </c:pt>
                <c:pt idx="66">
                  <c:v>1.1380650000000543</c:v>
                </c:pt>
                <c:pt idx="67">
                  <c:v>1.1996250000000686</c:v>
                </c:pt>
                <c:pt idx="68">
                  <c:v>1.5070950000000636</c:v>
                </c:pt>
                <c:pt idx="69">
                  <c:v>1.1380350000000519</c:v>
                </c:pt>
                <c:pt idx="70">
                  <c:v>1.0764750000000447</c:v>
                </c:pt>
                <c:pt idx="71">
                  <c:v>1.4767200000001139</c:v>
                </c:pt>
                <c:pt idx="72">
                  <c:v>1.1075400000000855</c:v>
                </c:pt>
                <c:pt idx="73">
                  <c:v>0.92295000000007121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70-43A5-BFA9-3DAFAB940A20}"/>
            </c:ext>
          </c:extLst>
        </c:ser>
        <c:ser>
          <c:idx val="4"/>
          <c:order val="3"/>
          <c:tx>
            <c:v>Extensión VAR-4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'DATA-Match'!$U$3:$U$68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'DATA-Match'!$W$3:$W$68</c:f>
              <c:numCache>
                <c:formatCode>0.000</c:formatCode>
                <c:ptCount val="66"/>
                <c:pt idx="0">
                  <c:v>1.0072999999999999</c:v>
                </c:pt>
                <c:pt idx="1">
                  <c:v>1.0793499999999998</c:v>
                </c:pt>
                <c:pt idx="2">
                  <c:v>1.1512000000000002</c:v>
                </c:pt>
                <c:pt idx="3">
                  <c:v>0.86345000000000027</c:v>
                </c:pt>
                <c:pt idx="4">
                  <c:v>1.0793499999999998</c:v>
                </c:pt>
                <c:pt idx="5">
                  <c:v>0.93534999999999968</c:v>
                </c:pt>
                <c:pt idx="6">
                  <c:v>1.0553499999999998</c:v>
                </c:pt>
                <c:pt idx="7">
                  <c:v>1.2471500000000013</c:v>
                </c:pt>
                <c:pt idx="8">
                  <c:v>1.2235000000000031</c:v>
                </c:pt>
                <c:pt idx="9">
                  <c:v>0.98365000000000347</c:v>
                </c:pt>
                <c:pt idx="10">
                  <c:v>1.0316499999999946</c:v>
                </c:pt>
                <c:pt idx="11">
                  <c:v>1.1995999999999878</c:v>
                </c:pt>
                <c:pt idx="12">
                  <c:v>1.1036499999999876</c:v>
                </c:pt>
                <c:pt idx="13">
                  <c:v>1.2235499999999888</c:v>
                </c:pt>
                <c:pt idx="14">
                  <c:v>1.2475999999999861</c:v>
                </c:pt>
                <c:pt idx="15">
                  <c:v>1.0556499999999875</c:v>
                </c:pt>
                <c:pt idx="16">
                  <c:v>1.2475999999999878</c:v>
                </c:pt>
                <c:pt idx="17">
                  <c:v>1.5114499999999875</c:v>
                </c:pt>
                <c:pt idx="18">
                  <c:v>1.1516499999999859</c:v>
                </c:pt>
                <c:pt idx="19">
                  <c:v>1.2715499999999871</c:v>
                </c:pt>
                <c:pt idx="20">
                  <c:v>1.1515999999999877</c:v>
                </c:pt>
                <c:pt idx="21">
                  <c:v>1.3675000000000122</c:v>
                </c:pt>
                <c:pt idx="22">
                  <c:v>1.1516000000000233</c:v>
                </c:pt>
                <c:pt idx="23">
                  <c:v>0.93570000000001663</c:v>
                </c:pt>
                <c:pt idx="24">
                  <c:v>1.1249000000000073</c:v>
                </c:pt>
                <c:pt idx="25">
                  <c:v>1.0830000000000002</c:v>
                </c:pt>
                <c:pt idx="26">
                  <c:v>0.71699999999999875</c:v>
                </c:pt>
                <c:pt idx="27">
                  <c:v>0.94500000000000028</c:v>
                </c:pt>
                <c:pt idx="28">
                  <c:v>0.91200000000001324</c:v>
                </c:pt>
                <c:pt idx="29">
                  <c:v>0.99299999999999855</c:v>
                </c:pt>
                <c:pt idx="30">
                  <c:v>1.0020000000000095</c:v>
                </c:pt>
                <c:pt idx="31">
                  <c:v>0.85800000000000409</c:v>
                </c:pt>
                <c:pt idx="32">
                  <c:v>0.90300000000000225</c:v>
                </c:pt>
                <c:pt idx="33">
                  <c:v>0.86100000000000776</c:v>
                </c:pt>
                <c:pt idx="34">
                  <c:v>0.92400000000000304</c:v>
                </c:pt>
                <c:pt idx="35">
                  <c:v>0.81600000000000605</c:v>
                </c:pt>
                <c:pt idx="36">
                  <c:v>0.81300000000000594</c:v>
                </c:pt>
                <c:pt idx="37">
                  <c:v>0.83400000000000318</c:v>
                </c:pt>
                <c:pt idx="38">
                  <c:v>0.92700000000000315</c:v>
                </c:pt>
                <c:pt idx="39">
                  <c:v>0.74400000000000688</c:v>
                </c:pt>
                <c:pt idx="40">
                  <c:v>0.90600000000000591</c:v>
                </c:pt>
                <c:pt idx="41">
                  <c:v>0.72000000000000242</c:v>
                </c:pt>
                <c:pt idx="42">
                  <c:v>0.81000000000000227</c:v>
                </c:pt>
                <c:pt idx="43">
                  <c:v>0.97500000000000853</c:v>
                </c:pt>
                <c:pt idx="44">
                  <c:v>1.0200000000000031</c:v>
                </c:pt>
                <c:pt idx="45">
                  <c:v>0.81300000000000594</c:v>
                </c:pt>
                <c:pt idx="46">
                  <c:v>0.86700000000001154</c:v>
                </c:pt>
                <c:pt idx="47">
                  <c:v>0.57900000000000418</c:v>
                </c:pt>
                <c:pt idx="48">
                  <c:v>1.1670000000000122</c:v>
                </c:pt>
                <c:pt idx="49">
                  <c:v>1.3560000000000123</c:v>
                </c:pt>
                <c:pt idx="50">
                  <c:v>1.1550000000000011</c:v>
                </c:pt>
                <c:pt idx="51">
                  <c:v>1.3500000000000121</c:v>
                </c:pt>
                <c:pt idx="52">
                  <c:v>0.90300000000000225</c:v>
                </c:pt>
                <c:pt idx="53">
                  <c:v>1.2420000000000186</c:v>
                </c:pt>
                <c:pt idx="54">
                  <c:v>0.72000000000000597</c:v>
                </c:pt>
                <c:pt idx="55">
                  <c:v>1.0410000000000004</c:v>
                </c:pt>
                <c:pt idx="56">
                  <c:v>1.0440000000000076</c:v>
                </c:pt>
                <c:pt idx="57">
                  <c:v>0.882000000000005</c:v>
                </c:pt>
                <c:pt idx="58">
                  <c:v>1.1190000000000104</c:v>
                </c:pt>
                <c:pt idx="59">
                  <c:v>1.0950000000000131</c:v>
                </c:pt>
                <c:pt idx="60">
                  <c:v>0.9480000000000004</c:v>
                </c:pt>
                <c:pt idx="61">
                  <c:v>1.1400000000000112</c:v>
                </c:pt>
                <c:pt idx="62">
                  <c:v>0.85800000000000409</c:v>
                </c:pt>
                <c:pt idx="63">
                  <c:v>1.3680000000000092</c:v>
                </c:pt>
                <c:pt idx="64">
                  <c:v>1.2959999999999994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70-43A5-BFA9-3DAFAB940A20}"/>
            </c:ext>
          </c:extLst>
        </c:ser>
        <c:ser>
          <c:idx val="2"/>
          <c:order val="4"/>
          <c:tx>
            <c:v>Extensión Promedio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'DATA-Match'!$Z$3:$Z$76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'DATA-Match'!$AB$3:$AB$76</c:f>
              <c:numCache>
                <c:formatCode>General</c:formatCode>
                <c:ptCount val="74"/>
                <c:pt idx="0">
                  <c:v>1.01357125</c:v>
                </c:pt>
                <c:pt idx="1">
                  <c:v>1.3387950000000002</c:v>
                </c:pt>
                <c:pt idx="2">
                  <c:v>1.1567874999999999</c:v>
                </c:pt>
                <c:pt idx="3">
                  <c:v>1.1417749999999995</c:v>
                </c:pt>
                <c:pt idx="4">
                  <c:v>1.0279424999999998</c:v>
                </c:pt>
                <c:pt idx="5">
                  <c:v>1.0224199999999999</c:v>
                </c:pt>
                <c:pt idx="6">
                  <c:v>0.96109124999999929</c:v>
                </c:pt>
                <c:pt idx="7">
                  <c:v>1.081775000000001</c:v>
                </c:pt>
                <c:pt idx="8">
                  <c:v>1.1907125000000014</c:v>
                </c:pt>
                <c:pt idx="9">
                  <c:v>0.93620375000000111</c:v>
                </c:pt>
                <c:pt idx="10">
                  <c:v>1.3682725000000002</c:v>
                </c:pt>
                <c:pt idx="11">
                  <c:v>1.012167499999997</c:v>
                </c:pt>
                <c:pt idx="12">
                  <c:v>1.0998637499999979</c:v>
                </c:pt>
                <c:pt idx="13">
                  <c:v>1.2641374999999981</c:v>
                </c:pt>
                <c:pt idx="14">
                  <c:v>1.2301737499999972</c:v>
                </c:pt>
                <c:pt idx="15">
                  <c:v>1.1754662499999964</c:v>
                </c:pt>
                <c:pt idx="16">
                  <c:v>1.2460749999999949</c:v>
                </c:pt>
                <c:pt idx="17">
                  <c:v>1.2587824999999748</c:v>
                </c:pt>
                <c:pt idx="18">
                  <c:v>0.99702874999997748</c:v>
                </c:pt>
                <c:pt idx="19">
                  <c:v>1.206436249999971</c:v>
                </c:pt>
                <c:pt idx="20">
                  <c:v>1.0504774999999773</c:v>
                </c:pt>
                <c:pt idx="21">
                  <c:v>1.138583750000032</c:v>
                </c:pt>
                <c:pt idx="22">
                  <c:v>1.0420912500000608</c:v>
                </c:pt>
                <c:pt idx="23">
                  <c:v>1.0919137500000584</c:v>
                </c:pt>
                <c:pt idx="24">
                  <c:v>0.91670625000004868</c:v>
                </c:pt>
                <c:pt idx="25">
                  <c:v>1.0562562500000459</c:v>
                </c:pt>
                <c:pt idx="26">
                  <c:v>0.85021125000003117</c:v>
                </c:pt>
                <c:pt idx="27">
                  <c:v>1.1625562500000695</c:v>
                </c:pt>
                <c:pt idx="28">
                  <c:v>0.93009750000002978</c:v>
                </c:pt>
                <c:pt idx="29">
                  <c:v>1.2165412500000765</c:v>
                </c:pt>
                <c:pt idx="30">
                  <c:v>1.012507500000055</c:v>
                </c:pt>
                <c:pt idx="31">
                  <c:v>0.97314875000004575</c:v>
                </c:pt>
                <c:pt idx="32">
                  <c:v>1.0118887500000353</c:v>
                </c:pt>
                <c:pt idx="33">
                  <c:v>0.9091737500000372</c:v>
                </c:pt>
                <c:pt idx="34">
                  <c:v>1.1590650000000011</c:v>
                </c:pt>
                <c:pt idx="35">
                  <c:v>0.96924666666666859</c:v>
                </c:pt>
                <c:pt idx="36">
                  <c:v>0.94772666666667027</c:v>
                </c:pt>
                <c:pt idx="37">
                  <c:v>0.95467500000000172</c:v>
                </c:pt>
                <c:pt idx="38">
                  <c:v>0.92408666666667238</c:v>
                </c:pt>
                <c:pt idx="39">
                  <c:v>0.88357500000000755</c:v>
                </c:pt>
                <c:pt idx="40">
                  <c:v>0.99907500000000715</c:v>
                </c:pt>
                <c:pt idx="41">
                  <c:v>0.8653100000000068</c:v>
                </c:pt>
                <c:pt idx="42">
                  <c:v>0.94657500000000516</c:v>
                </c:pt>
                <c:pt idx="43">
                  <c:v>0.9298150000000085</c:v>
                </c:pt>
                <c:pt idx="44">
                  <c:v>0.98581000000000663</c:v>
                </c:pt>
                <c:pt idx="45">
                  <c:v>1.0295650000000098</c:v>
                </c:pt>
                <c:pt idx="46">
                  <c:v>0.8732950000000107</c:v>
                </c:pt>
                <c:pt idx="47">
                  <c:v>0.90033000000000507</c:v>
                </c:pt>
                <c:pt idx="48">
                  <c:v>1.0450550000000096</c:v>
                </c:pt>
                <c:pt idx="49">
                  <c:v>1.1183200000000102</c:v>
                </c:pt>
                <c:pt idx="50">
                  <c:v>1.1948300000000078</c:v>
                </c:pt>
                <c:pt idx="51">
                  <c:v>1.2085700000000099</c:v>
                </c:pt>
                <c:pt idx="52">
                  <c:v>0.98782500000000673</c:v>
                </c:pt>
                <c:pt idx="53">
                  <c:v>1.2238300000000126</c:v>
                </c:pt>
                <c:pt idx="54">
                  <c:v>1.0497950000000127</c:v>
                </c:pt>
                <c:pt idx="55">
                  <c:v>1.1363450000000057</c:v>
                </c:pt>
                <c:pt idx="56">
                  <c:v>1.1373350000000084</c:v>
                </c:pt>
                <c:pt idx="57">
                  <c:v>1.0628350000000164</c:v>
                </c:pt>
                <c:pt idx="58">
                  <c:v>1.0188150000000213</c:v>
                </c:pt>
                <c:pt idx="59">
                  <c:v>1.1133150000000249</c:v>
                </c:pt>
                <c:pt idx="60">
                  <c:v>1.0745800000000223</c:v>
                </c:pt>
                <c:pt idx="61">
                  <c:v>1.1693150000000234</c:v>
                </c:pt>
                <c:pt idx="62">
                  <c:v>0.95232000000001926</c:v>
                </c:pt>
                <c:pt idx="63">
                  <c:v>1.2145600000000201</c:v>
                </c:pt>
                <c:pt idx="64">
                  <c:v>1.1803650000000256</c:v>
                </c:pt>
                <c:pt idx="65">
                  <c:v>0.9842100000000471</c:v>
                </c:pt>
                <c:pt idx="66">
                  <c:v>1.1380650000000543</c:v>
                </c:pt>
                <c:pt idx="67">
                  <c:v>1.1996250000000686</c:v>
                </c:pt>
                <c:pt idx="68">
                  <c:v>1.5070950000000636</c:v>
                </c:pt>
                <c:pt idx="69">
                  <c:v>1.1380350000000519</c:v>
                </c:pt>
                <c:pt idx="70">
                  <c:v>1.0764750000000447</c:v>
                </c:pt>
                <c:pt idx="71">
                  <c:v>1.4767200000001139</c:v>
                </c:pt>
                <c:pt idx="72">
                  <c:v>1.1075400000000855</c:v>
                </c:pt>
                <c:pt idx="73">
                  <c:v>0.92295000000007121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D70-43A5-BFA9-3DAFAB94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6482688"/>
        <c:axId val="-1506479968"/>
      </c:scatterChart>
      <c:valAx>
        <c:axId val="-1506482688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06479968"/>
        <c:crosses val="autoZero"/>
        <c:crossBetween val="midCat"/>
      </c:valAx>
      <c:valAx>
        <c:axId val="-1506479968"/>
        <c:scaling>
          <c:orientation val="minMax"/>
          <c:max val="2.5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Extensión</a:t>
                </a:r>
                <a:r>
                  <a:rPr lang="es-CO" baseline="0"/>
                  <a:t> lineal (cm/año)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0648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Promedio-Calcificacion-match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Calcificación VAR-1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'DATA-Match'!$F$3:$F$36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'DATA-Match'!$I$3:$I$36</c:f>
              <c:numCache>
                <c:formatCode>0.000</c:formatCode>
                <c:ptCount val="34"/>
                <c:pt idx="0">
                  <c:v>0.99156464434778091</c:v>
                </c:pt>
                <c:pt idx="1">
                  <c:v>1.0500498644936485</c:v>
                </c:pt>
                <c:pt idx="2">
                  <c:v>1.0065660121524189</c:v>
                </c:pt>
                <c:pt idx="3">
                  <c:v>1.1976707370182185</c:v>
                </c:pt>
                <c:pt idx="4">
                  <c:v>0.68395533157119259</c:v>
                </c:pt>
                <c:pt idx="5">
                  <c:v>0.94321594831770472</c:v>
                </c:pt>
                <c:pt idx="6">
                  <c:v>0.62383409547285273</c:v>
                </c:pt>
                <c:pt idx="7">
                  <c:v>0.82535459269269851</c:v>
                </c:pt>
                <c:pt idx="8">
                  <c:v>0.93128729141342892</c:v>
                </c:pt>
                <c:pt idx="9">
                  <c:v>0.55820645103428201</c:v>
                </c:pt>
                <c:pt idx="10">
                  <c:v>1.2933591059379217</c:v>
                </c:pt>
                <c:pt idx="11">
                  <c:v>0.76940845588735052</c:v>
                </c:pt>
                <c:pt idx="12">
                  <c:v>0.74132466817687492</c:v>
                </c:pt>
                <c:pt idx="13">
                  <c:v>0.88886570342234983</c:v>
                </c:pt>
                <c:pt idx="14">
                  <c:v>1.3215793110838348</c:v>
                </c:pt>
                <c:pt idx="15">
                  <c:v>0.95167893746691457</c:v>
                </c:pt>
                <c:pt idx="16">
                  <c:v>1.1952865370051757</c:v>
                </c:pt>
                <c:pt idx="17">
                  <c:v>0.94494140417924988</c:v>
                </c:pt>
                <c:pt idx="18">
                  <c:v>0.61189480759808368</c:v>
                </c:pt>
                <c:pt idx="19">
                  <c:v>0.91373744760331799</c:v>
                </c:pt>
                <c:pt idx="20">
                  <c:v>0.82714998324512101</c:v>
                </c:pt>
                <c:pt idx="21">
                  <c:v>0.97405986569033387</c:v>
                </c:pt>
                <c:pt idx="22">
                  <c:v>0.94975803907622136</c:v>
                </c:pt>
                <c:pt idx="23">
                  <c:v>0.99849189544917927</c:v>
                </c:pt>
                <c:pt idx="24">
                  <c:v>0.90430671926964334</c:v>
                </c:pt>
                <c:pt idx="25">
                  <c:v>0.8630531247805926</c:v>
                </c:pt>
                <c:pt idx="26">
                  <c:v>0.48550390932647919</c:v>
                </c:pt>
                <c:pt idx="27">
                  <c:v>1.3234621330533329</c:v>
                </c:pt>
                <c:pt idx="28">
                  <c:v>0.49521271041302611</c:v>
                </c:pt>
                <c:pt idx="29">
                  <c:v>1.3654213336345085</c:v>
                </c:pt>
                <c:pt idx="30">
                  <c:v>1.1868873031192659</c:v>
                </c:pt>
                <c:pt idx="31">
                  <c:v>0.88258462140867522</c:v>
                </c:pt>
                <c:pt idx="32">
                  <c:v>0.70153366893788605</c:v>
                </c:pt>
                <c:pt idx="33">
                  <c:v>0.67252618678125486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CD-4A2A-A621-FCF6734D3EB1}"/>
            </c:ext>
          </c:extLst>
        </c:ser>
        <c:ser>
          <c:idx val="0"/>
          <c:order val="1"/>
          <c:tx>
            <c:v>Calcificación VAR-2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'DATA-Match'!$K$3:$K$67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'DATA-Match'!$N$3:$N$67</c:f>
              <c:numCache>
                <c:formatCode>0.000</c:formatCode>
                <c:ptCount val="65"/>
                <c:pt idx="0">
                  <c:v>0.53509588650052986</c:v>
                </c:pt>
                <c:pt idx="1">
                  <c:v>1.0734864708168383</c:v>
                </c:pt>
                <c:pt idx="2">
                  <c:v>0.73143770914895678</c:v>
                </c:pt>
                <c:pt idx="3">
                  <c:v>0.59076554657097979</c:v>
                </c:pt>
                <c:pt idx="4">
                  <c:v>0.57115761037816193</c:v>
                </c:pt>
                <c:pt idx="5">
                  <c:v>0.66344322330202021</c:v>
                </c:pt>
                <c:pt idx="6">
                  <c:v>0.5992641419625182</c:v>
                </c:pt>
                <c:pt idx="7">
                  <c:v>0.8783075602746081</c:v>
                </c:pt>
                <c:pt idx="8">
                  <c:v>0.7343547747957766</c:v>
                </c:pt>
                <c:pt idx="9">
                  <c:v>0.84950836220993464</c:v>
                </c:pt>
                <c:pt idx="10">
                  <c:v>0.84455712695417406</c:v>
                </c:pt>
                <c:pt idx="11">
                  <c:v>0.56230553024880203</c:v>
                </c:pt>
                <c:pt idx="12">
                  <c:v>0.68729686357868069</c:v>
                </c:pt>
                <c:pt idx="13">
                  <c:v>0.68549348102283114</c:v>
                </c:pt>
                <c:pt idx="14">
                  <c:v>0.57250079151618039</c:v>
                </c:pt>
                <c:pt idx="15">
                  <c:v>0.95516296848436011</c:v>
                </c:pt>
                <c:pt idx="16">
                  <c:v>0.5990667066578822</c:v>
                </c:pt>
                <c:pt idx="17">
                  <c:v>0.74921562145335474</c:v>
                </c:pt>
                <c:pt idx="18">
                  <c:v>0.60289639981529231</c:v>
                </c:pt>
                <c:pt idx="19">
                  <c:v>0.79120339990616539</c:v>
                </c:pt>
                <c:pt idx="20">
                  <c:v>0.78622843797023045</c:v>
                </c:pt>
                <c:pt idx="21">
                  <c:v>1.0130280950080974</c:v>
                </c:pt>
                <c:pt idx="22">
                  <c:v>0.57455076794984894</c:v>
                </c:pt>
                <c:pt idx="23">
                  <c:v>0.47057667544607579</c:v>
                </c:pt>
                <c:pt idx="24">
                  <c:v>0.45723833644729583</c:v>
                </c:pt>
                <c:pt idx="25">
                  <c:v>0.74679819294960936</c:v>
                </c:pt>
                <c:pt idx="26">
                  <c:v>0.42651678705360857</c:v>
                </c:pt>
                <c:pt idx="27">
                  <c:v>0.51919709233718891</c:v>
                </c:pt>
                <c:pt idx="28">
                  <c:v>0.66795130760748378</c:v>
                </c:pt>
                <c:pt idx="29">
                  <c:v>0.55675474827985494</c:v>
                </c:pt>
                <c:pt idx="30">
                  <c:v>0.78144572922296007</c:v>
                </c:pt>
                <c:pt idx="31">
                  <c:v>0.60069712483454496</c:v>
                </c:pt>
                <c:pt idx="32">
                  <c:v>0.81450770768202641</c:v>
                </c:pt>
                <c:pt idx="33">
                  <c:v>0.81981085639979945</c:v>
                </c:pt>
                <c:pt idx="34">
                  <c:v>1.3046115979613848</c:v>
                </c:pt>
                <c:pt idx="35">
                  <c:v>0.91452633287095164</c:v>
                </c:pt>
                <c:pt idx="36">
                  <c:v>0.98323202488688777</c:v>
                </c:pt>
                <c:pt idx="37">
                  <c:v>1.1586644851100418</c:v>
                </c:pt>
                <c:pt idx="38">
                  <c:v>0.84070675809853523</c:v>
                </c:pt>
                <c:pt idx="39">
                  <c:v>0.96829987095576286</c:v>
                </c:pt>
                <c:pt idx="40">
                  <c:v>0.97974578802897239</c:v>
                </c:pt>
                <c:pt idx="41">
                  <c:v>1.2456628726409276</c:v>
                </c:pt>
                <c:pt idx="42">
                  <c:v>1.2007804139496634</c:v>
                </c:pt>
                <c:pt idx="43">
                  <c:v>0.81968863550018189</c:v>
                </c:pt>
                <c:pt idx="44">
                  <c:v>0.93425005249656412</c:v>
                </c:pt>
                <c:pt idx="45">
                  <c:v>1.0670397011655373</c:v>
                </c:pt>
                <c:pt idx="46">
                  <c:v>0.80664215934946937</c:v>
                </c:pt>
                <c:pt idx="47">
                  <c:v>0.76708603436549416</c:v>
                </c:pt>
                <c:pt idx="48">
                  <c:v>0.80674068460658444</c:v>
                </c:pt>
                <c:pt idx="49">
                  <c:v>0.82547989892099372</c:v>
                </c:pt>
                <c:pt idx="50">
                  <c:v>0.65666893258770243</c:v>
                </c:pt>
                <c:pt idx="51">
                  <c:v>0.73914905190428082</c:v>
                </c:pt>
                <c:pt idx="52">
                  <c:v>0.93600494211824947</c:v>
                </c:pt>
                <c:pt idx="53">
                  <c:v>1.1129723658102828</c:v>
                </c:pt>
                <c:pt idx="54">
                  <c:v>1.3286855951720937</c:v>
                </c:pt>
                <c:pt idx="55">
                  <c:v>0.97497523955496601</c:v>
                </c:pt>
                <c:pt idx="56">
                  <c:v>1.1286541718233529</c:v>
                </c:pt>
                <c:pt idx="57">
                  <c:v>0.76605832352602077</c:v>
                </c:pt>
                <c:pt idx="58">
                  <c:v>0.70103015420423542</c:v>
                </c:pt>
                <c:pt idx="59">
                  <c:v>0.86444872940372286</c:v>
                </c:pt>
                <c:pt idx="60">
                  <c:v>0.8875642512814399</c:v>
                </c:pt>
                <c:pt idx="61">
                  <c:v>1.0416869359712728</c:v>
                </c:pt>
                <c:pt idx="62">
                  <c:v>0.67776853917132118</c:v>
                </c:pt>
                <c:pt idx="63">
                  <c:v>0.97706632305291241</c:v>
                </c:pt>
                <c:pt idx="64">
                  <c:v>0.81554471864297495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CD-4A2A-A621-FCF6734D3EB1}"/>
            </c:ext>
          </c:extLst>
        </c:ser>
        <c:ser>
          <c:idx val="3"/>
          <c:order val="2"/>
          <c:tx>
            <c:v>Calcificación VAR-3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'DATA-Match'!$P$3:$P$76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'DATA-Match'!$S$3:$S$76</c:f>
              <c:numCache>
                <c:formatCode>0.000</c:formatCode>
                <c:ptCount val="74"/>
                <c:pt idx="0">
                  <c:v>0.74769124603587001</c:v>
                </c:pt>
                <c:pt idx="1">
                  <c:v>0.72911794367672156</c:v>
                </c:pt>
                <c:pt idx="2">
                  <c:v>0.43686880931474409</c:v>
                </c:pt>
                <c:pt idx="3">
                  <c:v>0.59760797188018988</c:v>
                </c:pt>
                <c:pt idx="4">
                  <c:v>0.85115901872641309</c:v>
                </c:pt>
                <c:pt idx="5">
                  <c:v>0.61447358754057646</c:v>
                </c:pt>
                <c:pt idx="6">
                  <c:v>0.58352026927277212</c:v>
                </c:pt>
                <c:pt idx="7">
                  <c:v>0.3861398246573936</c:v>
                </c:pt>
                <c:pt idx="8">
                  <c:v>0.68999357550681195</c:v>
                </c:pt>
                <c:pt idx="9">
                  <c:v>0.60450574529205836</c:v>
                </c:pt>
                <c:pt idx="10">
                  <c:v>0.89528306928747248</c:v>
                </c:pt>
                <c:pt idx="11">
                  <c:v>0.41388145793266212</c:v>
                </c:pt>
                <c:pt idx="12">
                  <c:v>0.48394386405730438</c:v>
                </c:pt>
                <c:pt idx="13">
                  <c:v>0.68993728343819227</c:v>
                </c:pt>
                <c:pt idx="14">
                  <c:v>0.46487505860880418</c:v>
                </c:pt>
                <c:pt idx="15">
                  <c:v>0.60869180207901241</c:v>
                </c:pt>
                <c:pt idx="16">
                  <c:v>0.79896581383635323</c:v>
                </c:pt>
                <c:pt idx="17">
                  <c:v>0.61555175104352811</c:v>
                </c:pt>
                <c:pt idx="18">
                  <c:v>0.74016234589913432</c:v>
                </c:pt>
                <c:pt idx="19">
                  <c:v>0.7515839672923621</c:v>
                </c:pt>
                <c:pt idx="20">
                  <c:v>0.83918389470895627</c:v>
                </c:pt>
                <c:pt idx="21">
                  <c:v>0.63748879392704572</c:v>
                </c:pt>
                <c:pt idx="22">
                  <c:v>0.69254222979469859</c:v>
                </c:pt>
                <c:pt idx="23">
                  <c:v>0.95252981733793385</c:v>
                </c:pt>
                <c:pt idx="24">
                  <c:v>0.4179670843583041</c:v>
                </c:pt>
                <c:pt idx="25">
                  <c:v>0.54206162644762446</c:v>
                </c:pt>
                <c:pt idx="26">
                  <c:v>0.79402770664940436</c:v>
                </c:pt>
                <c:pt idx="27">
                  <c:v>0.76925528541902533</c:v>
                </c:pt>
                <c:pt idx="28">
                  <c:v>0.63683172569335844</c:v>
                </c:pt>
                <c:pt idx="29">
                  <c:v>1.0434160876062517</c:v>
                </c:pt>
                <c:pt idx="30">
                  <c:v>0.703406215282397</c:v>
                </c:pt>
                <c:pt idx="31">
                  <c:v>0.82951931499231246</c:v>
                </c:pt>
                <c:pt idx="32">
                  <c:v>0.88282402665577842</c:v>
                </c:pt>
                <c:pt idx="33">
                  <c:v>0.58965696231728137</c:v>
                </c:pt>
                <c:pt idx="34">
                  <c:v>0.78488313733350923</c:v>
                </c:pt>
                <c:pt idx="35">
                  <c:v>0.61304392582567535</c:v>
                </c:pt>
                <c:pt idx="36">
                  <c:v>0.74575634970463023</c:v>
                </c:pt>
                <c:pt idx="37">
                  <c:v>0.50061300155262867</c:v>
                </c:pt>
                <c:pt idx="38">
                  <c:v>0.63740937276119392</c:v>
                </c:pt>
                <c:pt idx="39">
                  <c:v>0.45169534367231928</c:v>
                </c:pt>
                <c:pt idx="40">
                  <c:v>0.6817840371234688</c:v>
                </c:pt>
                <c:pt idx="41">
                  <c:v>0.50356561583088877</c:v>
                </c:pt>
                <c:pt idx="42">
                  <c:v>0.69673135474760839</c:v>
                </c:pt>
                <c:pt idx="43">
                  <c:v>0.65343001643443488</c:v>
                </c:pt>
                <c:pt idx="44">
                  <c:v>0.66326874486604059</c:v>
                </c:pt>
                <c:pt idx="45">
                  <c:v>1.023181335455865</c:v>
                </c:pt>
                <c:pt idx="46">
                  <c:v>0.66940443360427415</c:v>
                </c:pt>
                <c:pt idx="47">
                  <c:v>0.88941273418498468</c:v>
                </c:pt>
                <c:pt idx="48">
                  <c:v>0.72849599383080332</c:v>
                </c:pt>
                <c:pt idx="49">
                  <c:v>0.69820667159594074</c:v>
                </c:pt>
                <c:pt idx="50">
                  <c:v>1.2168493738058528</c:v>
                </c:pt>
                <c:pt idx="51">
                  <c:v>0.91948260763958412</c:v>
                </c:pt>
                <c:pt idx="52">
                  <c:v>0.74628942123734443</c:v>
                </c:pt>
                <c:pt idx="53">
                  <c:v>1.0816424748159748</c:v>
                </c:pt>
                <c:pt idx="54">
                  <c:v>0.82625431420923423</c:v>
                </c:pt>
                <c:pt idx="55">
                  <c:v>0.95198198166607595</c:v>
                </c:pt>
                <c:pt idx="56">
                  <c:v>0.89571931377933445</c:v>
                </c:pt>
                <c:pt idx="57">
                  <c:v>1.0099910079924499</c:v>
                </c:pt>
                <c:pt idx="58">
                  <c:v>0.94171082115941984</c:v>
                </c:pt>
                <c:pt idx="59">
                  <c:v>0.94915060274267704</c:v>
                </c:pt>
                <c:pt idx="60">
                  <c:v>0.87713599293962607</c:v>
                </c:pt>
                <c:pt idx="61">
                  <c:v>0.89381247865645308</c:v>
                </c:pt>
                <c:pt idx="62">
                  <c:v>0.96668411986550884</c:v>
                </c:pt>
                <c:pt idx="63">
                  <c:v>1.0434647553960963</c:v>
                </c:pt>
                <c:pt idx="64">
                  <c:v>1.0908906787482013</c:v>
                </c:pt>
                <c:pt idx="65">
                  <c:v>0.89458554208374386</c:v>
                </c:pt>
                <c:pt idx="66">
                  <c:v>1.1325751216687574</c:v>
                </c:pt>
                <c:pt idx="67">
                  <c:v>0.94991514880745576</c:v>
                </c:pt>
                <c:pt idx="68">
                  <c:v>1.4099798308222125</c:v>
                </c:pt>
                <c:pt idx="69">
                  <c:v>1.019697769510739</c:v>
                </c:pt>
                <c:pt idx="70">
                  <c:v>1.2628864014932168</c:v>
                </c:pt>
                <c:pt idx="71">
                  <c:v>1.280040511175214</c:v>
                </c:pt>
                <c:pt idx="72">
                  <c:v>0.85952904151261189</c:v>
                </c:pt>
                <c:pt idx="73">
                  <c:v>0.88415553807161951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CD-4A2A-A621-FCF6734D3EB1}"/>
            </c:ext>
          </c:extLst>
        </c:ser>
        <c:ser>
          <c:idx val="4"/>
          <c:order val="3"/>
          <c:tx>
            <c:v>Calcificación VAR-4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'DATA-Match'!$U$3:$U$68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'DATA-Match'!$X$3:$X$68</c:f>
              <c:numCache>
                <c:formatCode>0.000</c:formatCode>
                <c:ptCount val="66"/>
                <c:pt idx="0">
                  <c:v>0.55736198388340186</c:v>
                </c:pt>
                <c:pt idx="1">
                  <c:v>0.72389922923782857</c:v>
                </c:pt>
                <c:pt idx="2">
                  <c:v>0.77596259596439188</c:v>
                </c:pt>
                <c:pt idx="3">
                  <c:v>0.70353139995100311</c:v>
                </c:pt>
                <c:pt idx="4">
                  <c:v>0.95343917686455504</c:v>
                </c:pt>
                <c:pt idx="5">
                  <c:v>0.85350325071764555</c:v>
                </c:pt>
                <c:pt idx="6">
                  <c:v>0.80829391201731071</c:v>
                </c:pt>
                <c:pt idx="7">
                  <c:v>0.83334690022595492</c:v>
                </c:pt>
                <c:pt idx="8">
                  <c:v>0.73356373044708678</c:v>
                </c:pt>
                <c:pt idx="9">
                  <c:v>0.49186980532400687</c:v>
                </c:pt>
                <c:pt idx="10">
                  <c:v>0.80504638349825564</c:v>
                </c:pt>
                <c:pt idx="11">
                  <c:v>0.80547256969190562</c:v>
                </c:pt>
                <c:pt idx="12">
                  <c:v>0.6880923761639508</c:v>
                </c:pt>
                <c:pt idx="13">
                  <c:v>0.77256183454304428</c:v>
                </c:pt>
                <c:pt idx="14">
                  <c:v>0.82114886811073906</c:v>
                </c:pt>
                <c:pt idx="15">
                  <c:v>0.61695033819938527</c:v>
                </c:pt>
                <c:pt idx="16">
                  <c:v>0.74042744581713982</c:v>
                </c:pt>
                <c:pt idx="17">
                  <c:v>0.93585019329516306</c:v>
                </c:pt>
                <c:pt idx="18">
                  <c:v>0.73271709184670231</c:v>
                </c:pt>
                <c:pt idx="19">
                  <c:v>0.86267398383628779</c:v>
                </c:pt>
                <c:pt idx="20">
                  <c:v>0.70253588367933661</c:v>
                </c:pt>
                <c:pt idx="21">
                  <c:v>0.79347078434578355</c:v>
                </c:pt>
                <c:pt idx="22">
                  <c:v>0.81775951261910995</c:v>
                </c:pt>
                <c:pt idx="23">
                  <c:v>0.6498766383529706</c:v>
                </c:pt>
                <c:pt idx="24">
                  <c:v>0.76539271288288591</c:v>
                </c:pt>
                <c:pt idx="25">
                  <c:v>0.66071671664697651</c:v>
                </c:pt>
                <c:pt idx="26">
                  <c:v>0.43838210576861875</c:v>
                </c:pt>
                <c:pt idx="27">
                  <c:v>0.48818425706850832</c:v>
                </c:pt>
                <c:pt idx="28">
                  <c:v>0.62598317157331329</c:v>
                </c:pt>
                <c:pt idx="29">
                  <c:v>0.71378456596511053</c:v>
                </c:pt>
                <c:pt idx="30">
                  <c:v>0.73015132869826527</c:v>
                </c:pt>
                <c:pt idx="31">
                  <c:v>0.50206452623965259</c:v>
                </c:pt>
                <c:pt idx="32">
                  <c:v>0.47971216269493039</c:v>
                </c:pt>
                <c:pt idx="33">
                  <c:v>0.52944101674623034</c:v>
                </c:pt>
                <c:pt idx="34">
                  <c:v>0.64134373561817148</c:v>
                </c:pt>
                <c:pt idx="35">
                  <c:v>0.73173887207270949</c:v>
                </c:pt>
                <c:pt idx="36">
                  <c:v>0.73964033205184576</c:v>
                </c:pt>
                <c:pt idx="37">
                  <c:v>0.66995887101354046</c:v>
                </c:pt>
                <c:pt idx="38">
                  <c:v>0.82840047949949747</c:v>
                </c:pt>
                <c:pt idx="39">
                  <c:v>0.6382020135217048</c:v>
                </c:pt>
                <c:pt idx="40">
                  <c:v>0.70596584376849925</c:v>
                </c:pt>
                <c:pt idx="41">
                  <c:v>0.58236847646915901</c:v>
                </c:pt>
                <c:pt idx="42">
                  <c:v>0.67775363034208125</c:v>
                </c:pt>
                <c:pt idx="43">
                  <c:v>0.5350999424776286</c:v>
                </c:pt>
                <c:pt idx="44">
                  <c:v>0.5808967932842366</c:v>
                </c:pt>
                <c:pt idx="45">
                  <c:v>0.52622047499847757</c:v>
                </c:pt>
                <c:pt idx="46">
                  <c:v>0.51938703498260574</c:v>
                </c:pt>
                <c:pt idx="47">
                  <c:v>0.34934929050925223</c:v>
                </c:pt>
                <c:pt idx="48">
                  <c:v>0.54462181778776408</c:v>
                </c:pt>
                <c:pt idx="49">
                  <c:v>0.595061463748772</c:v>
                </c:pt>
                <c:pt idx="50">
                  <c:v>0.34533991835577238</c:v>
                </c:pt>
                <c:pt idx="51">
                  <c:v>0.57926117310164982</c:v>
                </c:pt>
                <c:pt idx="52">
                  <c:v>0.5408819890937917</c:v>
                </c:pt>
                <c:pt idx="53">
                  <c:v>0.70869313053137106</c:v>
                </c:pt>
                <c:pt idx="54">
                  <c:v>0.36580962043778859</c:v>
                </c:pt>
                <c:pt idx="55">
                  <c:v>0.68081290028210217</c:v>
                </c:pt>
                <c:pt idx="56">
                  <c:v>0.77605341933320804</c:v>
                </c:pt>
                <c:pt idx="57">
                  <c:v>0.67212076111604602</c:v>
                </c:pt>
                <c:pt idx="58">
                  <c:v>0.8730306048777966</c:v>
                </c:pt>
                <c:pt idx="59">
                  <c:v>0.88015424807688747</c:v>
                </c:pt>
                <c:pt idx="60">
                  <c:v>0.75427320126818742</c:v>
                </c:pt>
                <c:pt idx="61">
                  <c:v>0.88548524113250748</c:v>
                </c:pt>
                <c:pt idx="62">
                  <c:v>0.59377598598415271</c:v>
                </c:pt>
                <c:pt idx="63">
                  <c:v>0.95589615237272119</c:v>
                </c:pt>
                <c:pt idx="64">
                  <c:v>0.66143976702722362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CD-4A2A-A621-FCF6734D3EB1}"/>
            </c:ext>
          </c:extLst>
        </c:ser>
        <c:ser>
          <c:idx val="2"/>
          <c:order val="4"/>
          <c:tx>
            <c:v>Calcificación Promedio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'DATA-Match'!$Z$3:$Z$76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'DATA-Match'!$AC$3:$AC$76</c:f>
              <c:numCache>
                <c:formatCode>General</c:formatCode>
                <c:ptCount val="74"/>
                <c:pt idx="0">
                  <c:v>0.7079284401918956</c:v>
                </c:pt>
                <c:pt idx="1">
                  <c:v>0.8941383770562592</c:v>
                </c:pt>
                <c:pt idx="2">
                  <c:v>0.73770878164512799</c:v>
                </c:pt>
                <c:pt idx="3">
                  <c:v>0.77239391385509781</c:v>
                </c:pt>
                <c:pt idx="4">
                  <c:v>0.7649277843850808</c:v>
                </c:pt>
                <c:pt idx="5">
                  <c:v>0.76865900246948682</c:v>
                </c:pt>
                <c:pt idx="6">
                  <c:v>0.65372810468136344</c:v>
                </c:pt>
                <c:pt idx="7">
                  <c:v>0.73078721946266378</c:v>
                </c:pt>
                <c:pt idx="8">
                  <c:v>0.77229984304077615</c:v>
                </c:pt>
                <c:pt idx="9">
                  <c:v>0.62602259096507051</c:v>
                </c:pt>
                <c:pt idx="10">
                  <c:v>0.959561421419456</c:v>
                </c:pt>
                <c:pt idx="11">
                  <c:v>0.63776700344018011</c:v>
                </c:pt>
                <c:pt idx="12">
                  <c:v>0.65016444299420273</c:v>
                </c:pt>
                <c:pt idx="13">
                  <c:v>0.75921457560660432</c:v>
                </c:pt>
                <c:pt idx="14">
                  <c:v>0.79502600732988959</c:v>
                </c:pt>
                <c:pt idx="15">
                  <c:v>0.78312101155741809</c:v>
                </c:pt>
                <c:pt idx="16">
                  <c:v>0.83343662582913769</c:v>
                </c:pt>
                <c:pt idx="17">
                  <c:v>0.81138974249282403</c:v>
                </c:pt>
                <c:pt idx="18">
                  <c:v>0.67191766128980324</c:v>
                </c:pt>
                <c:pt idx="19">
                  <c:v>0.82979969965953337</c:v>
                </c:pt>
                <c:pt idx="20">
                  <c:v>0.78877454990091111</c:v>
                </c:pt>
                <c:pt idx="21">
                  <c:v>0.85451188474281525</c:v>
                </c:pt>
                <c:pt idx="22">
                  <c:v>0.75865263735996979</c:v>
                </c:pt>
                <c:pt idx="23">
                  <c:v>0.76786875664653986</c:v>
                </c:pt>
                <c:pt idx="24">
                  <c:v>0.63622621323953232</c:v>
                </c:pt>
                <c:pt idx="25">
                  <c:v>0.70315741520620079</c:v>
                </c:pt>
                <c:pt idx="26">
                  <c:v>0.53610762719952776</c:v>
                </c:pt>
                <c:pt idx="27">
                  <c:v>0.77502469196951385</c:v>
                </c:pt>
                <c:pt idx="28">
                  <c:v>0.60649472882179545</c:v>
                </c:pt>
                <c:pt idx="29">
                  <c:v>0.91984418387143141</c:v>
                </c:pt>
                <c:pt idx="30">
                  <c:v>0.85047264408072198</c:v>
                </c:pt>
                <c:pt idx="31">
                  <c:v>0.70371639686879628</c:v>
                </c:pt>
                <c:pt idx="32">
                  <c:v>0.71964439149265536</c:v>
                </c:pt>
                <c:pt idx="33">
                  <c:v>0.65285875556114148</c:v>
                </c:pt>
                <c:pt idx="34">
                  <c:v>0.91027949030435507</c:v>
                </c:pt>
                <c:pt idx="35">
                  <c:v>0.75310304358977886</c:v>
                </c:pt>
                <c:pt idx="36">
                  <c:v>0.82287623554778788</c:v>
                </c:pt>
                <c:pt idx="37">
                  <c:v>0.77641211922540376</c:v>
                </c:pt>
                <c:pt idx="38">
                  <c:v>0.76883887011974217</c:v>
                </c:pt>
                <c:pt idx="39">
                  <c:v>0.68606574271659559</c:v>
                </c:pt>
                <c:pt idx="40">
                  <c:v>0.78916522297364688</c:v>
                </c:pt>
                <c:pt idx="41">
                  <c:v>0.77719898831365841</c:v>
                </c:pt>
                <c:pt idx="42">
                  <c:v>0.85842179967978438</c:v>
                </c:pt>
                <c:pt idx="43">
                  <c:v>0.6694061981374152</c:v>
                </c:pt>
                <c:pt idx="44">
                  <c:v>0.72613853021561381</c:v>
                </c:pt>
                <c:pt idx="45">
                  <c:v>0.87214717053995994</c:v>
                </c:pt>
                <c:pt idx="46">
                  <c:v>0.66514454264544975</c:v>
                </c:pt>
                <c:pt idx="47">
                  <c:v>0.66861601968657691</c:v>
                </c:pt>
                <c:pt idx="48">
                  <c:v>0.69328616540838395</c:v>
                </c:pt>
                <c:pt idx="49">
                  <c:v>0.70624934475523549</c:v>
                </c:pt>
                <c:pt idx="50">
                  <c:v>0.7396194082497759</c:v>
                </c:pt>
                <c:pt idx="51">
                  <c:v>0.74596427754850492</c:v>
                </c:pt>
                <c:pt idx="52">
                  <c:v>0.7410587841497952</c:v>
                </c:pt>
                <c:pt idx="53">
                  <c:v>0.96776932371920965</c:v>
                </c:pt>
                <c:pt idx="54">
                  <c:v>0.84024984327303887</c:v>
                </c:pt>
                <c:pt idx="55">
                  <c:v>0.86925670716771464</c:v>
                </c:pt>
                <c:pt idx="56">
                  <c:v>0.93347563497863184</c:v>
                </c:pt>
                <c:pt idx="57">
                  <c:v>0.81605669754483889</c:v>
                </c:pt>
                <c:pt idx="58">
                  <c:v>0.83859052674715062</c:v>
                </c:pt>
                <c:pt idx="59">
                  <c:v>0.89791786007442909</c:v>
                </c:pt>
                <c:pt idx="60">
                  <c:v>0.83965781516308446</c:v>
                </c:pt>
                <c:pt idx="61">
                  <c:v>0.94032821858674442</c:v>
                </c:pt>
                <c:pt idx="62">
                  <c:v>0.74607621500699428</c:v>
                </c:pt>
                <c:pt idx="63">
                  <c:v>0.99214241027390992</c:v>
                </c:pt>
                <c:pt idx="64">
                  <c:v>0.85595838813946656</c:v>
                </c:pt>
                <c:pt idx="65">
                  <c:v>0.89458554208374386</c:v>
                </c:pt>
                <c:pt idx="66">
                  <c:v>1.1325751216687574</c:v>
                </c:pt>
                <c:pt idx="67">
                  <c:v>0.94991514880745576</c:v>
                </c:pt>
                <c:pt idx="68">
                  <c:v>1.4099798308222125</c:v>
                </c:pt>
                <c:pt idx="69">
                  <c:v>1.019697769510739</c:v>
                </c:pt>
                <c:pt idx="70">
                  <c:v>1.2628864014932168</c:v>
                </c:pt>
                <c:pt idx="71">
                  <c:v>1.280040511175214</c:v>
                </c:pt>
                <c:pt idx="72">
                  <c:v>0.85952904151261189</c:v>
                </c:pt>
                <c:pt idx="73">
                  <c:v>0.88415553807161951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CD-4A2A-A621-FCF6734D3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6484864"/>
        <c:axId val="-1506485408"/>
      </c:scatterChart>
      <c:valAx>
        <c:axId val="-1506484864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06485408"/>
        <c:crosses val="autoZero"/>
        <c:crossBetween val="midCat"/>
      </c:valAx>
      <c:valAx>
        <c:axId val="-1506485408"/>
        <c:scaling>
          <c:orientation val="minMax"/>
          <c:max val="1.6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Calcificación</a:t>
                </a:r>
                <a:r>
                  <a:rPr lang="es-CO" baseline="0"/>
                  <a:t> (g/cm2*año)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506484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200025</xdr:colOff>
      <xdr:row>5</xdr:row>
      <xdr:rowOff>155257</xdr:rowOff>
    </xdr:from>
    <xdr:to>
      <xdr:col>25</xdr:col>
      <xdr:colOff>192405</xdr:colOff>
      <xdr:row>21</xdr:row>
      <xdr:rowOff>952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8760DD-FE91-472E-8ECB-1D16C46D9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638175</xdr:colOff>
      <xdr:row>3</xdr:row>
      <xdr:rowOff>12382</xdr:rowOff>
    </xdr:from>
    <xdr:to>
      <xdr:col>30</xdr:col>
      <xdr:colOff>106680</xdr:colOff>
      <xdr:row>18</xdr:row>
      <xdr:rowOff>39052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3AF138-9B98-409B-BA87-4CF37F81B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73</xdr:row>
      <xdr:rowOff>182879</xdr:rowOff>
    </xdr:from>
    <xdr:to>
      <xdr:col>6</xdr:col>
      <xdr:colOff>0</xdr:colOff>
      <xdr:row>91</xdr:row>
      <xdr:rowOff>182879</xdr:rowOff>
    </xdr:to>
    <xdr:graphicFrame macro="">
      <xdr:nvGraphicFramePr>
        <xdr:cNvPr id="2" name="Chart 1-XLSTAT">
          <a:extLst>
            <a:ext uri="{FF2B5EF4-FFF2-40B4-BE49-F238E27FC236}">
              <a16:creationId xmlns:a16="http://schemas.microsoft.com/office/drawing/2014/main" id="{BB804449-A1DF-496D-A639-2BF025817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150</xdr:row>
      <xdr:rowOff>0</xdr:rowOff>
    </xdr:from>
    <xdr:to>
      <xdr:col>6</xdr:col>
      <xdr:colOff>0</xdr:colOff>
      <xdr:row>168</xdr:row>
      <xdr:rowOff>0</xdr:rowOff>
    </xdr:to>
    <xdr:graphicFrame macro="">
      <xdr:nvGraphicFramePr>
        <xdr:cNvPr id="3" name="Chart 2-XLSTAT">
          <a:extLst>
            <a:ext uri="{FF2B5EF4-FFF2-40B4-BE49-F238E27FC236}">
              <a16:creationId xmlns:a16="http://schemas.microsoft.com/office/drawing/2014/main" id="{251131EC-696D-431B-89E4-A65C07380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226</xdr:row>
      <xdr:rowOff>1</xdr:rowOff>
    </xdr:from>
    <xdr:to>
      <xdr:col>6</xdr:col>
      <xdr:colOff>0</xdr:colOff>
      <xdr:row>244</xdr:row>
      <xdr:rowOff>1</xdr:rowOff>
    </xdr:to>
    <xdr:graphicFrame macro="">
      <xdr:nvGraphicFramePr>
        <xdr:cNvPr id="4" name="Chart 3-XLSTAT">
          <a:extLst>
            <a:ext uri="{FF2B5EF4-FFF2-40B4-BE49-F238E27FC236}">
              <a16:creationId xmlns:a16="http://schemas.microsoft.com/office/drawing/2014/main" id="{AEABCBB4-C5F7-4B1B-AA1B-9EF925976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105</xdr:row>
      <xdr:rowOff>0</xdr:rowOff>
    </xdr:from>
    <xdr:to>
      <xdr:col>6</xdr:col>
      <xdr:colOff>0</xdr:colOff>
      <xdr:row>123</xdr:row>
      <xdr:rowOff>0</xdr:rowOff>
    </xdr:to>
    <xdr:graphicFrame macro="">
      <xdr:nvGraphicFramePr>
        <xdr:cNvPr id="2" name="Chart 1-XLSTAT">
          <a:extLst>
            <a:ext uri="{FF2B5EF4-FFF2-40B4-BE49-F238E27FC236}">
              <a16:creationId xmlns:a16="http://schemas.microsoft.com/office/drawing/2014/main" id="{A4B4DC2B-3308-43B0-9A48-6BF8CE872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212</xdr:row>
      <xdr:rowOff>1</xdr:rowOff>
    </xdr:from>
    <xdr:to>
      <xdr:col>6</xdr:col>
      <xdr:colOff>0</xdr:colOff>
      <xdr:row>230</xdr:row>
      <xdr:rowOff>1</xdr:rowOff>
    </xdr:to>
    <xdr:graphicFrame macro="">
      <xdr:nvGraphicFramePr>
        <xdr:cNvPr id="3" name="Chart 2-XLSTAT">
          <a:extLst>
            <a:ext uri="{FF2B5EF4-FFF2-40B4-BE49-F238E27FC236}">
              <a16:creationId xmlns:a16="http://schemas.microsoft.com/office/drawing/2014/main" id="{1471C74C-7EB2-4620-B40B-1C46CD561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319</xdr:row>
      <xdr:rowOff>0</xdr:rowOff>
    </xdr:from>
    <xdr:to>
      <xdr:col>6</xdr:col>
      <xdr:colOff>0</xdr:colOff>
      <xdr:row>337</xdr:row>
      <xdr:rowOff>0</xdr:rowOff>
    </xdr:to>
    <xdr:graphicFrame macro="">
      <xdr:nvGraphicFramePr>
        <xdr:cNvPr id="4" name="Chart 3-XLSTAT">
          <a:extLst>
            <a:ext uri="{FF2B5EF4-FFF2-40B4-BE49-F238E27FC236}">
              <a16:creationId xmlns:a16="http://schemas.microsoft.com/office/drawing/2014/main" id="{D63F5DD2-E5E0-4365-B445-645597EAF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105</xdr:row>
      <xdr:rowOff>0</xdr:rowOff>
    </xdr:from>
    <xdr:to>
      <xdr:col>6</xdr:col>
      <xdr:colOff>0</xdr:colOff>
      <xdr:row>123</xdr:row>
      <xdr:rowOff>0</xdr:rowOff>
    </xdr:to>
    <xdr:graphicFrame macro="">
      <xdr:nvGraphicFramePr>
        <xdr:cNvPr id="2" name="Chart 1-XLSTAT">
          <a:extLst>
            <a:ext uri="{FF2B5EF4-FFF2-40B4-BE49-F238E27FC236}">
              <a16:creationId xmlns:a16="http://schemas.microsoft.com/office/drawing/2014/main" id="{8FC59BDC-0873-490D-B826-61653AAC2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212</xdr:row>
      <xdr:rowOff>1</xdr:rowOff>
    </xdr:from>
    <xdr:to>
      <xdr:col>6</xdr:col>
      <xdr:colOff>0</xdr:colOff>
      <xdr:row>230</xdr:row>
      <xdr:rowOff>1</xdr:rowOff>
    </xdr:to>
    <xdr:graphicFrame macro="">
      <xdr:nvGraphicFramePr>
        <xdr:cNvPr id="3" name="Chart 2-XLSTAT">
          <a:extLst>
            <a:ext uri="{FF2B5EF4-FFF2-40B4-BE49-F238E27FC236}">
              <a16:creationId xmlns:a16="http://schemas.microsoft.com/office/drawing/2014/main" id="{034D99BA-BA46-4E50-8848-F15F5975B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319</xdr:row>
      <xdr:rowOff>0</xdr:rowOff>
    </xdr:from>
    <xdr:to>
      <xdr:col>6</xdr:col>
      <xdr:colOff>0</xdr:colOff>
      <xdr:row>337</xdr:row>
      <xdr:rowOff>0</xdr:rowOff>
    </xdr:to>
    <xdr:graphicFrame macro="">
      <xdr:nvGraphicFramePr>
        <xdr:cNvPr id="4" name="Chart 3-XLSTAT">
          <a:extLst>
            <a:ext uri="{FF2B5EF4-FFF2-40B4-BE49-F238E27FC236}">
              <a16:creationId xmlns:a16="http://schemas.microsoft.com/office/drawing/2014/main" id="{AA75DEB2-D813-4DF3-85A2-7587CEFB2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105</xdr:row>
      <xdr:rowOff>0</xdr:rowOff>
    </xdr:from>
    <xdr:to>
      <xdr:col>6</xdr:col>
      <xdr:colOff>0</xdr:colOff>
      <xdr:row>123</xdr:row>
      <xdr:rowOff>0</xdr:rowOff>
    </xdr:to>
    <xdr:graphicFrame macro="">
      <xdr:nvGraphicFramePr>
        <xdr:cNvPr id="2" name="Chart 1-XLSTAT">
          <a:extLst>
            <a:ext uri="{FF2B5EF4-FFF2-40B4-BE49-F238E27FC236}">
              <a16:creationId xmlns:a16="http://schemas.microsoft.com/office/drawing/2014/main" id="{251F82C4-7D73-4162-9877-125E8ED0F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212</xdr:row>
      <xdr:rowOff>1</xdr:rowOff>
    </xdr:from>
    <xdr:to>
      <xdr:col>6</xdr:col>
      <xdr:colOff>0</xdr:colOff>
      <xdr:row>230</xdr:row>
      <xdr:rowOff>1</xdr:rowOff>
    </xdr:to>
    <xdr:graphicFrame macro="">
      <xdr:nvGraphicFramePr>
        <xdr:cNvPr id="3" name="Chart 2-XLSTAT">
          <a:extLst>
            <a:ext uri="{FF2B5EF4-FFF2-40B4-BE49-F238E27FC236}">
              <a16:creationId xmlns:a16="http://schemas.microsoft.com/office/drawing/2014/main" id="{E2E643CC-F2FB-44B6-AB27-CED2D3AEB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319</xdr:row>
      <xdr:rowOff>0</xdr:rowOff>
    </xdr:from>
    <xdr:to>
      <xdr:col>6</xdr:col>
      <xdr:colOff>0</xdr:colOff>
      <xdr:row>337</xdr:row>
      <xdr:rowOff>0</xdr:rowOff>
    </xdr:to>
    <xdr:graphicFrame macro="">
      <xdr:nvGraphicFramePr>
        <xdr:cNvPr id="4" name="Chart 3-XLSTAT">
          <a:extLst>
            <a:ext uri="{FF2B5EF4-FFF2-40B4-BE49-F238E27FC236}">
              <a16:creationId xmlns:a16="http://schemas.microsoft.com/office/drawing/2014/main" id="{FFD39685-0D70-4F8F-9672-7A155640C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495299</xdr:colOff>
      <xdr:row>1</xdr:row>
      <xdr:rowOff>104775</xdr:rowOff>
    </xdr:from>
    <xdr:to>
      <xdr:col>12</xdr:col>
      <xdr:colOff>649941</xdr:colOff>
      <xdr:row>15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504265</xdr:colOff>
      <xdr:row>16</xdr:row>
      <xdr:rowOff>78442</xdr:rowOff>
    </xdr:from>
    <xdr:to>
      <xdr:col>12</xdr:col>
      <xdr:colOff>638735</xdr:colOff>
      <xdr:row>30</xdr:row>
      <xdr:rowOff>154642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504263</xdr:colOff>
      <xdr:row>31</xdr:row>
      <xdr:rowOff>134471</xdr:rowOff>
    </xdr:from>
    <xdr:to>
      <xdr:col>12</xdr:col>
      <xdr:colOff>638734</xdr:colOff>
      <xdr:row>46</xdr:row>
      <xdr:rowOff>20171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728383</xdr:colOff>
      <xdr:row>1</xdr:row>
      <xdr:rowOff>134470</xdr:rowOff>
    </xdr:from>
    <xdr:to>
      <xdr:col>26</xdr:col>
      <xdr:colOff>121025</xdr:colOff>
      <xdr:row>16</xdr:row>
      <xdr:rowOff>20170</xdr:rowOff>
    </xdr:to>
    <xdr:graphicFrame macro="">
      <xdr:nvGraphicFramePr>
        <xdr:cNvPr id="6" name="Gráfico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739588</xdr:colOff>
      <xdr:row>17</xdr:row>
      <xdr:rowOff>0</xdr:rowOff>
    </xdr:from>
    <xdr:to>
      <xdr:col>26</xdr:col>
      <xdr:colOff>112058</xdr:colOff>
      <xdr:row>31</xdr:row>
      <xdr:rowOff>76200</xdr:rowOff>
    </xdr:to>
    <xdr:graphicFrame macro="">
      <xdr:nvGraphicFramePr>
        <xdr:cNvPr id="7" name="Gráfico 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11206</xdr:colOff>
      <xdr:row>32</xdr:row>
      <xdr:rowOff>33617</xdr:rowOff>
    </xdr:from>
    <xdr:to>
      <xdr:col>26</xdr:col>
      <xdr:colOff>145677</xdr:colOff>
      <xdr:row>46</xdr:row>
      <xdr:rowOff>109817</xdr:rowOff>
    </xdr:to>
    <xdr:graphicFrame macro="">
      <xdr:nvGraphicFramePr>
        <xdr:cNvPr id="8" name="Gráfico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OLOGIA\Cartagena\X-Ray\Densitometria\VAR-1\Densitometria_VAR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OLOGIA\Cartagena\Tomografia\Varadero\VAR-2\VAR%202%20Rat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OLOGIA\Cartagena\Tomografia\Varadero\VAR-3\VAR%203%20Rat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OLOGIA\Cartagena\Tomografia\Varadero\VAR-4\VAR%204%20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sor Lajas"/>
      <sheetName val="Cuña"/>
      <sheetName val="Varadero"/>
      <sheetName val="Rates"/>
      <sheetName val="Disepimentos"/>
      <sheetName val="Hoja2"/>
    </sheetNames>
    <sheetDataSet>
      <sheetData sheetId="0"/>
      <sheetData sheetId="1"/>
      <sheetData sheetId="2"/>
      <sheetData sheetId="3">
        <row r="3">
          <cell r="A3">
            <v>2015</v>
          </cell>
          <cell r="B3">
            <v>0.64979044857552282</v>
          </cell>
          <cell r="C3">
            <v>1.5996000000000001</v>
          </cell>
          <cell r="D3">
            <v>1.0394048015414064</v>
          </cell>
        </row>
        <row r="4">
          <cell r="A4">
            <v>2014</v>
          </cell>
          <cell r="B4">
            <v>0.62513630804321074</v>
          </cell>
          <cell r="C4">
            <v>1.5691999999999999</v>
          </cell>
          <cell r="D4">
            <v>0.9809638945814062</v>
          </cell>
        </row>
        <row r="5">
          <cell r="A5">
            <v>2013</v>
          </cell>
          <cell r="B5">
            <v>0.61275541932470423</v>
          </cell>
          <cell r="C5">
            <v>1.9347000000000003</v>
          </cell>
          <cell r="D5">
            <v>1.1854979097675056</v>
          </cell>
        </row>
        <row r="6">
          <cell r="A6">
            <v>2012</v>
          </cell>
          <cell r="B6">
            <v>0.59563138733725873</v>
          </cell>
          <cell r="C6">
            <v>1.5386999999999995</v>
          </cell>
          <cell r="D6">
            <v>0.91649801569583977</v>
          </cell>
        </row>
        <row r="7">
          <cell r="A7">
            <v>2011</v>
          </cell>
          <cell r="B7">
            <v>0.5290843887016391</v>
          </cell>
          <cell r="C7">
            <v>1.5082000000000004</v>
          </cell>
          <cell r="D7">
            <v>0.79796507503981229</v>
          </cell>
        </row>
        <row r="8">
          <cell r="A8">
            <v>2010</v>
          </cell>
          <cell r="B8">
            <v>0.6380863580050703</v>
          </cell>
          <cell r="C8">
            <v>1.3101000000000003</v>
          </cell>
          <cell r="D8">
            <v>0.83595693762244272</v>
          </cell>
        </row>
        <row r="9">
          <cell r="A9">
            <v>2009</v>
          </cell>
          <cell r="B9">
            <v>0.5773435024661312</v>
          </cell>
          <cell r="C9">
            <v>1.2187999999999999</v>
          </cell>
          <cell r="D9">
            <v>0.70366626080572059</v>
          </cell>
        </row>
        <row r="10">
          <cell r="A10">
            <v>2008</v>
          </cell>
          <cell r="B10">
            <v>0.68185195176851487</v>
          </cell>
          <cell r="C10">
            <v>1.2492000000000001</v>
          </cell>
          <cell r="D10">
            <v>0.85176945814922889</v>
          </cell>
        </row>
        <row r="11">
          <cell r="A11">
            <v>2007</v>
          </cell>
          <cell r="B11">
            <v>0.63081641523833587</v>
          </cell>
          <cell r="C11">
            <v>1.3101000000000003</v>
          </cell>
          <cell r="D11">
            <v>0.826432585603744</v>
          </cell>
        </row>
        <row r="12">
          <cell r="A12">
            <v>2006</v>
          </cell>
          <cell r="B12">
            <v>0.76388645214439044</v>
          </cell>
          <cell r="C12">
            <v>0.91409999999999947</v>
          </cell>
          <cell r="D12">
            <v>0.69826860590518691</v>
          </cell>
        </row>
        <row r="13">
          <cell r="A13">
            <v>2005</v>
          </cell>
          <cell r="B13">
            <v>0.60994506829858386</v>
          </cell>
          <cell r="C13">
            <v>1.904300000000001</v>
          </cell>
          <cell r="D13">
            <v>1.1615183935609938</v>
          </cell>
        </row>
        <row r="14">
          <cell r="A14">
            <v>2004</v>
          </cell>
          <cell r="B14">
            <v>0.62928033238475434</v>
          </cell>
          <cell r="C14">
            <v>1.1882999999999981</v>
          </cell>
          <cell r="D14">
            <v>0.74777381897280237</v>
          </cell>
        </row>
        <row r="15">
          <cell r="A15">
            <v>2003</v>
          </cell>
          <cell r="B15">
            <v>0.65005351225051311</v>
          </cell>
          <cell r="C15">
            <v>1.5234000000000023</v>
          </cell>
          <cell r="D15">
            <v>0.99029152056243319</v>
          </cell>
        </row>
        <row r="16">
          <cell r="A16">
            <v>2002</v>
          </cell>
          <cell r="B16">
            <v>0.69101827310522557</v>
          </cell>
          <cell r="C16">
            <v>1.0815999999999981</v>
          </cell>
          <cell r="D16">
            <v>0.74740536419061065</v>
          </cell>
        </row>
        <row r="17">
          <cell r="A17">
            <v>2001</v>
          </cell>
          <cell r="B17">
            <v>0.67135267578610724</v>
          </cell>
          <cell r="C17">
            <v>1.8890999999999991</v>
          </cell>
          <cell r="D17">
            <v>1.2682523398275345</v>
          </cell>
        </row>
        <row r="18">
          <cell r="A18">
            <v>2000</v>
          </cell>
          <cell r="B18">
            <v>0.66200910320756201</v>
          </cell>
          <cell r="C18">
            <v>1.7062000000000026</v>
          </cell>
          <cell r="D18">
            <v>1.129519931892744</v>
          </cell>
        </row>
        <row r="19">
          <cell r="A19">
            <v>1999</v>
          </cell>
          <cell r="B19">
            <v>0.69070074553793115</v>
          </cell>
          <cell r="C19">
            <v>1.6148599999999966</v>
          </cell>
          <cell r="D19">
            <v>1.1153850059393811</v>
          </cell>
        </row>
        <row r="20">
          <cell r="A20">
            <v>1998</v>
          </cell>
          <cell r="B20">
            <v>0.66479200294650287</v>
          </cell>
          <cell r="C20">
            <v>1.385929999999906</v>
          </cell>
          <cell r="D20">
            <v>0.92135518064358424</v>
          </cell>
        </row>
        <row r="21">
          <cell r="A21">
            <v>1997</v>
          </cell>
          <cell r="B21">
            <v>0.66393052226534699</v>
          </cell>
          <cell r="C21">
            <v>1.1574799999999215</v>
          </cell>
          <cell r="D21">
            <v>0.76848630091164172</v>
          </cell>
        </row>
        <row r="22">
          <cell r="A22">
            <v>1996</v>
          </cell>
          <cell r="B22">
            <v>0.62138332482445957</v>
          </cell>
          <cell r="C22">
            <v>1.3097799999999111</v>
          </cell>
          <cell r="D22">
            <v>0.81387545118852545</v>
          </cell>
        </row>
        <row r="23">
          <cell r="A23">
            <v>1995</v>
          </cell>
          <cell r="B23">
            <v>0.77974002807780207</v>
          </cell>
          <cell r="C23">
            <v>1.0660999999999277</v>
          </cell>
          <cell r="D23">
            <v>0.8312808439336884</v>
          </cell>
        </row>
        <row r="24">
          <cell r="A24">
            <v>1994</v>
          </cell>
          <cell r="B24">
            <v>0.74836419334761584</v>
          </cell>
          <cell r="C24">
            <v>1.4011600000001856</v>
          </cell>
          <cell r="D24">
            <v>1.0485779731510843</v>
          </cell>
        </row>
        <row r="25">
          <cell r="A25">
            <v>1993</v>
          </cell>
          <cell r="B25">
            <v>0.6926167422409768</v>
          </cell>
          <cell r="C25">
            <v>1.4468500000002393</v>
          </cell>
          <cell r="D25">
            <v>1.0021125335115231</v>
          </cell>
        </row>
        <row r="26">
          <cell r="A26">
            <v>1992</v>
          </cell>
          <cell r="B26">
            <v>0.76029312857435793</v>
          </cell>
          <cell r="C26">
            <v>1.172710000000194</v>
          </cell>
          <cell r="D26">
            <v>0.89160335481058273</v>
          </cell>
        </row>
        <row r="27">
          <cell r="A27">
            <v>1991</v>
          </cell>
          <cell r="B27">
            <v>0.77965686134251722</v>
          </cell>
          <cell r="C27">
            <v>1.203170000000199</v>
          </cell>
          <cell r="D27">
            <v>0.93805974586163166</v>
          </cell>
        </row>
        <row r="28">
          <cell r="A28">
            <v>1990</v>
          </cell>
          <cell r="B28">
            <v>0.75156958786229133</v>
          </cell>
          <cell r="C28">
            <v>1.0965600000001814</v>
          </cell>
          <cell r="D28">
            <v>0.82414114726641052</v>
          </cell>
        </row>
        <row r="29">
          <cell r="A29">
            <v>1989</v>
          </cell>
          <cell r="B29">
            <v>0.63648634860109421</v>
          </cell>
          <cell r="C29">
            <v>1.2793200000002116</v>
          </cell>
          <cell r="D29">
            <v>0.8142697154924865</v>
          </cell>
        </row>
        <row r="30">
          <cell r="A30">
            <v>1988</v>
          </cell>
          <cell r="B30">
            <v>0.79895615330901004</v>
          </cell>
          <cell r="C30">
            <v>1.2793200000002116</v>
          </cell>
          <cell r="D30">
            <v>1.0221205860514517</v>
          </cell>
        </row>
        <row r="31">
          <cell r="A31">
            <v>1987</v>
          </cell>
          <cell r="B31">
            <v>0.75134206356880939</v>
          </cell>
          <cell r="C31">
            <v>0.82242000000013604</v>
          </cell>
          <cell r="D31">
            <v>0.61791873992036239</v>
          </cell>
        </row>
        <row r="32">
          <cell r="A32">
            <v>1986</v>
          </cell>
          <cell r="B32">
            <v>0.78466399897105932</v>
          </cell>
          <cell r="C32">
            <v>1.8428300000003048</v>
          </cell>
          <cell r="D32">
            <v>1.4460023572240763</v>
          </cell>
        </row>
        <row r="33">
          <cell r="A33">
            <v>1985</v>
          </cell>
          <cell r="B33">
            <v>0.89453814705639556</v>
          </cell>
          <cell r="C33">
            <v>1.203170000000199</v>
          </cell>
          <cell r="D33">
            <v>1.0762814623940216</v>
          </cell>
        </row>
        <row r="34">
          <cell r="A34">
            <v>1984</v>
          </cell>
          <cell r="B34">
            <v>0.81286400177038853</v>
          </cell>
          <cell r="C34">
            <v>1.0661000000001764</v>
          </cell>
          <cell r="D34">
            <v>0.86659431228755457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-Wedge"/>
      <sheetName val="Var-Cor"/>
      <sheetName val="Var-Sag"/>
      <sheetName val="VarRates"/>
      <sheetName val="Disepimentos"/>
      <sheetName val="Hoja4"/>
    </sheetNames>
    <sheetDataSet>
      <sheetData sheetId="0"/>
      <sheetData sheetId="1"/>
      <sheetData sheetId="2"/>
      <sheetData sheetId="3">
        <row r="3">
          <cell r="AP3">
            <v>2015</v>
          </cell>
          <cell r="AQ3">
            <v>0.60311461165644642</v>
          </cell>
          <cell r="AR3">
            <v>1.35375</v>
          </cell>
          <cell r="AS3">
            <v>0.81009438801886469</v>
          </cell>
        </row>
        <row r="4">
          <cell r="AP4">
            <v>2014</v>
          </cell>
          <cell r="AQ4">
            <v>0.64102677557786503</v>
          </cell>
          <cell r="AR4">
            <v>0.86145000000000016</v>
          </cell>
          <cell r="AS4">
            <v>0.56149233377870889</v>
          </cell>
        </row>
        <row r="5">
          <cell r="AP5">
            <v>2013</v>
          </cell>
          <cell r="AQ5">
            <v>0.63058724324584547</v>
          </cell>
          <cell r="AR5">
            <v>1.7228000000000003</v>
          </cell>
          <cell r="AS5">
            <v>1.0863757026639427</v>
          </cell>
        </row>
        <row r="6">
          <cell r="AP6">
            <v>2012</v>
          </cell>
          <cell r="AQ6">
            <v>0.56774704600464365</v>
          </cell>
          <cell r="AR6">
            <v>1.1075999999999997</v>
          </cell>
          <cell r="AS6">
            <v>0.62224998411163934</v>
          </cell>
        </row>
        <row r="7">
          <cell r="AP7">
            <v>2011</v>
          </cell>
          <cell r="AQ7">
            <v>0.54462781209836308</v>
          </cell>
          <cell r="AR7">
            <v>1.1998499999999992</v>
          </cell>
          <cell r="AS7">
            <v>0.6777687247394939</v>
          </cell>
        </row>
        <row r="8">
          <cell r="AP8">
            <v>2010</v>
          </cell>
          <cell r="AQ8">
            <v>0.64980151729207092</v>
          </cell>
          <cell r="AR8">
            <v>0.89225000000000065</v>
          </cell>
          <cell r="AS8">
            <v>0.547942083886645</v>
          </cell>
        </row>
        <row r="9">
          <cell r="AP9">
            <v>2009</v>
          </cell>
          <cell r="AQ9">
            <v>0.75252079510261094</v>
          </cell>
          <cell r="AR9">
            <v>0.92294999999999927</v>
          </cell>
          <cell r="AS9">
            <v>0.69454069755618275</v>
          </cell>
        </row>
        <row r="10">
          <cell r="AP10">
            <v>2008</v>
          </cell>
          <cell r="AQ10">
            <v>0.67717083779683862</v>
          </cell>
          <cell r="AR10">
            <v>1.1383500000000009</v>
          </cell>
          <cell r="AS10">
            <v>0.76597106495393241</v>
          </cell>
        </row>
        <row r="11">
          <cell r="AP11">
            <v>2007</v>
          </cell>
          <cell r="AQ11">
            <v>0.64508840275284474</v>
          </cell>
          <cell r="AR11">
            <v>1.1998500000000005</v>
          </cell>
          <cell r="AS11">
            <v>0.79190421356481677</v>
          </cell>
        </row>
        <row r="12">
          <cell r="AP12">
            <v>2006</v>
          </cell>
          <cell r="AQ12">
            <v>0.69052091653728864</v>
          </cell>
          <cell r="AR12">
            <v>1.1382999999999992</v>
          </cell>
          <cell r="AS12">
            <v>0.7785860357571599</v>
          </cell>
        </row>
        <row r="13">
          <cell r="AP13">
            <v>2005</v>
          </cell>
          <cell r="AQ13">
            <v>0.7031560281539655</v>
          </cell>
          <cell r="AR13">
            <v>1.1999000000000004</v>
          </cell>
          <cell r="AS13">
            <v>0.84297111283401027</v>
          </cell>
        </row>
        <row r="14">
          <cell r="AP14">
            <v>2004</v>
          </cell>
          <cell r="AQ14">
            <v>0.70080849236217024</v>
          </cell>
          <cell r="AR14">
            <v>1.0459999999999994</v>
          </cell>
          <cell r="AS14">
            <v>0.72659751620929547</v>
          </cell>
        </row>
        <row r="15">
          <cell r="AP15">
            <v>2003</v>
          </cell>
          <cell r="AQ15">
            <v>0.62037105025182027</v>
          </cell>
          <cell r="AR15">
            <v>1.0767999999999995</v>
          </cell>
          <cell r="AS15">
            <v>0.63436953618382286</v>
          </cell>
        </row>
        <row r="16">
          <cell r="AP16">
            <v>2002</v>
          </cell>
          <cell r="AQ16">
            <v>0.52215420691536796</v>
          </cell>
          <cell r="AR16">
            <v>1.1998500000000014</v>
          </cell>
          <cell r="AS16">
            <v>0.62825932422899133</v>
          </cell>
        </row>
        <row r="17">
          <cell r="AP17">
            <v>2001</v>
          </cell>
          <cell r="AQ17">
            <v>0.50351096863508704</v>
          </cell>
          <cell r="AR17">
            <v>1.4152499999999986</v>
          </cell>
          <cell r="AS17">
            <v>0.70817841468913467</v>
          </cell>
        </row>
        <row r="18">
          <cell r="AP18">
            <v>2000</v>
          </cell>
          <cell r="AQ18">
            <v>0.66985526297371667</v>
          </cell>
          <cell r="AR18">
            <v>1.0459999999999994</v>
          </cell>
          <cell r="AS18">
            <v>0.7112400589340323</v>
          </cell>
        </row>
        <row r="19">
          <cell r="AP19">
            <v>1999</v>
          </cell>
          <cell r="AQ19">
            <v>0.70042237285114906</v>
          </cell>
          <cell r="AR19">
            <v>1.169100000000002</v>
          </cell>
          <cell r="AS19">
            <v>0.83845006315563886</v>
          </cell>
        </row>
        <row r="20">
          <cell r="AP20">
            <v>1998</v>
          </cell>
          <cell r="AQ20">
            <v>0.59090813888701132</v>
          </cell>
          <cell r="AR20">
            <v>0.98449999999999882</v>
          </cell>
          <cell r="AS20">
            <v>0.5878509286592386</v>
          </cell>
        </row>
        <row r="21">
          <cell r="AP21">
            <v>1997</v>
          </cell>
          <cell r="AQ21">
            <v>0.52523046681410579</v>
          </cell>
          <cell r="AR21">
            <v>1.4767499999999991</v>
          </cell>
          <cell r="AS21">
            <v>0.77563411951750616</v>
          </cell>
        </row>
        <row r="22">
          <cell r="AP22">
            <v>1996</v>
          </cell>
          <cell r="AQ22">
            <v>0.60600382818448817</v>
          </cell>
          <cell r="AR22">
            <v>0.98450000000000237</v>
          </cell>
          <cell r="AS22">
            <v>0.59923534487344865</v>
          </cell>
        </row>
        <row r="23">
          <cell r="AP23">
            <v>1995</v>
          </cell>
          <cell r="AQ23">
            <v>0.64387738475042722</v>
          </cell>
          <cell r="AR23">
            <v>1.3536999999999981</v>
          </cell>
          <cell r="AS23">
            <v>0.87073936792275708</v>
          </cell>
        </row>
        <row r="24">
          <cell r="AP24">
            <v>1994</v>
          </cell>
          <cell r="AQ24">
            <v>0.81865739524132075</v>
          </cell>
          <cell r="AR24">
            <v>0.98445000000000249</v>
          </cell>
          <cell r="AS24">
            <v>0.76456859730954474</v>
          </cell>
        </row>
        <row r="25">
          <cell r="AP25">
            <v>1993</v>
          </cell>
          <cell r="AQ25">
            <v>0.88679283828880051</v>
          </cell>
          <cell r="AR25">
            <v>1.0767999999999986</v>
          </cell>
          <cell r="AS25">
            <v>0.95349089884239235</v>
          </cell>
        </row>
        <row r="26">
          <cell r="AP26">
            <v>1992</v>
          </cell>
          <cell r="AQ26">
            <v>0.71387630066026131</v>
          </cell>
          <cell r="AR26">
            <v>0.76915000000000155</v>
          </cell>
          <cell r="AS26">
            <v>0.56062985979710434</v>
          </cell>
        </row>
        <row r="27">
          <cell r="AP27">
            <v>1991</v>
          </cell>
          <cell r="AQ27">
            <v>0.63080809461000487</v>
          </cell>
          <cell r="AR27">
            <v>0.73839999999999684</v>
          </cell>
          <cell r="AS27">
            <v>0.46578869706002546</v>
          </cell>
        </row>
        <row r="28">
          <cell r="AP28">
            <v>1990</v>
          </cell>
          <cell r="AQ28">
            <v>0.59964177730052426</v>
          </cell>
          <cell r="AR28">
            <v>0.73835000000000051</v>
          </cell>
          <cell r="AS28">
            <v>0.45654865897371777</v>
          </cell>
        </row>
        <row r="29">
          <cell r="AP29">
            <v>1989</v>
          </cell>
          <cell r="AQ29">
            <v>0.61377281046343302</v>
          </cell>
          <cell r="AR29">
            <v>1.1997999999999998</v>
          </cell>
          <cell r="AS29">
            <v>0.73933151141646281</v>
          </cell>
        </row>
        <row r="30">
          <cell r="AP30">
            <v>1988</v>
          </cell>
          <cell r="AQ30">
            <v>0.56183076562933643</v>
          </cell>
          <cell r="AR30">
            <v>0.86150000000000304</v>
          </cell>
          <cell r="AS30">
            <v>0.4475926524383611</v>
          </cell>
        </row>
        <row r="31">
          <cell r="AP31">
            <v>1987</v>
          </cell>
          <cell r="AQ31">
            <v>0.54292598843672168</v>
          </cell>
          <cell r="AR31">
            <v>0.89214999999999911</v>
          </cell>
          <cell r="AS31">
            <v>0.49782862848653975</v>
          </cell>
        </row>
        <row r="32">
          <cell r="AP32">
            <v>1986</v>
          </cell>
          <cell r="AQ32">
            <v>0.63018579966265575</v>
          </cell>
          <cell r="AR32">
            <v>1.2917500000000146</v>
          </cell>
          <cell r="AS32">
            <v>0.7917263393273033</v>
          </cell>
        </row>
        <row r="33">
          <cell r="AP33">
            <v>1985</v>
          </cell>
          <cell r="AQ33">
            <v>0.85131910619378748</v>
          </cell>
          <cell r="AR33">
            <v>0.5843500000000077</v>
          </cell>
          <cell r="AS33">
            <v>0.43740082648687018</v>
          </cell>
        </row>
        <row r="34">
          <cell r="AP34">
            <v>1984</v>
          </cell>
          <cell r="AQ34">
            <v>0.77308150928458519</v>
          </cell>
          <cell r="AR34">
            <v>0.953599999999998</v>
          </cell>
          <cell r="AS34">
            <v>0.8207217989291149</v>
          </cell>
        </row>
        <row r="35">
          <cell r="AP35">
            <v>1983</v>
          </cell>
          <cell r="AQ35">
            <v>0.68415360113140322</v>
          </cell>
          <cell r="AR35">
            <v>0.89200000000001012</v>
          </cell>
          <cell r="AS35">
            <v>0.62844632968363867</v>
          </cell>
        </row>
        <row r="36">
          <cell r="AP36">
            <v>1982</v>
          </cell>
          <cell r="AQ36">
            <v>0.80671152144700775</v>
          </cell>
          <cell r="AR36">
            <v>1.0151000000000039</v>
          </cell>
          <cell r="AS36">
            <v>0.92498358043147844</v>
          </cell>
        </row>
        <row r="37">
          <cell r="AP37">
            <v>1981</v>
          </cell>
          <cell r="AQ37">
            <v>0.75366653046391963</v>
          </cell>
          <cell r="AR37">
            <v>0.98425000000000651</v>
          </cell>
          <cell r="AS37">
            <v>0.74184980576599502</v>
          </cell>
        </row>
        <row r="38">
          <cell r="AP38">
            <v>1980</v>
          </cell>
          <cell r="AQ38">
            <v>0.94822180507999421</v>
          </cell>
          <cell r="AR38">
            <v>1.3534000000000113</v>
          </cell>
          <cell r="AS38">
            <v>1.327986978907326</v>
          </cell>
        </row>
        <row r="39">
          <cell r="AP39">
            <v>1979</v>
          </cell>
          <cell r="AQ39">
            <v>0.85356214540044717</v>
          </cell>
          <cell r="AR39">
            <v>1.1072500000000076</v>
          </cell>
          <cell r="AS39">
            <v>0.91672792466913133</v>
          </cell>
        </row>
        <row r="40">
          <cell r="AP40">
            <v>1978</v>
          </cell>
          <cell r="AQ40">
            <v>0.87640622204459429</v>
          </cell>
          <cell r="AR40">
            <v>1.4763000000000126</v>
          </cell>
          <cell r="AS40">
            <v>1.2794970652312596</v>
          </cell>
        </row>
        <row r="41">
          <cell r="AP41">
            <v>1977</v>
          </cell>
          <cell r="AQ41">
            <v>0.98869926642806205</v>
          </cell>
          <cell r="AR41">
            <v>0.98425000000000651</v>
          </cell>
          <cell r="AS41">
            <v>0.97314973128323734</v>
          </cell>
        </row>
        <row r="42">
          <cell r="AP42">
            <v>1976</v>
          </cell>
          <cell r="AQ42">
            <v>0.93611840376965394</v>
          </cell>
          <cell r="AR42">
            <v>0.98400000000001597</v>
          </cell>
          <cell r="AS42">
            <v>0.92114050930935454</v>
          </cell>
        </row>
        <row r="43">
          <cell r="AP43">
            <v>1975</v>
          </cell>
          <cell r="AQ43">
            <v>0.82021214508385309</v>
          </cell>
          <cell r="AR43">
            <v>1.1377500000000147</v>
          </cell>
          <cell r="AS43">
            <v>0.9282087796393661</v>
          </cell>
        </row>
        <row r="44">
          <cell r="AP44">
            <v>1974</v>
          </cell>
          <cell r="AQ44">
            <v>0.97093270860352487</v>
          </cell>
          <cell r="AR44">
            <v>1.0147500000000136</v>
          </cell>
          <cell r="AS44">
            <v>1.0406172215315421</v>
          </cell>
        </row>
        <row r="45">
          <cell r="AP45">
            <v>1973</v>
          </cell>
          <cell r="AQ45">
            <v>1.1005528097566177</v>
          </cell>
          <cell r="AR45">
            <v>1.0147500000000171</v>
          </cell>
          <cell r="AS45">
            <v>1.1751815183538787</v>
          </cell>
        </row>
        <row r="46">
          <cell r="AP46">
            <v>1972</v>
          </cell>
          <cell r="AQ46">
            <v>1.1266270205108111</v>
          </cell>
          <cell r="AR46">
            <v>1.0147500000000171</v>
          </cell>
          <cell r="AS46">
            <v>1.1492558233494645</v>
          </cell>
        </row>
        <row r="47">
          <cell r="AP47">
            <v>1971</v>
          </cell>
          <cell r="AQ47">
            <v>0.85241701838706752</v>
          </cell>
          <cell r="AR47">
            <v>1.0762500000000124</v>
          </cell>
          <cell r="AS47">
            <v>0.92293524783444103</v>
          </cell>
        </row>
        <row r="48">
          <cell r="AP48">
            <v>1970</v>
          </cell>
          <cell r="AQ48">
            <v>0.8895090264520441</v>
          </cell>
          <cell r="AR48">
            <v>1.0147500000000171</v>
          </cell>
          <cell r="AS48">
            <v>0.90029527806292453</v>
          </cell>
        </row>
        <row r="49">
          <cell r="AP49">
            <v>1969</v>
          </cell>
          <cell r="AQ49">
            <v>0.85961933339383811</v>
          </cell>
          <cell r="AR49">
            <v>1.2300000000000146</v>
          </cell>
          <cell r="AS49">
            <v>1.0342960447019784</v>
          </cell>
        </row>
        <row r="50">
          <cell r="AP50">
            <v>1968</v>
          </cell>
          <cell r="AQ50">
            <v>0.82636692775196496</v>
          </cell>
          <cell r="AR50">
            <v>1.1070000000000171</v>
          </cell>
          <cell r="AS50">
            <v>0.89666196306588142</v>
          </cell>
        </row>
        <row r="51">
          <cell r="AP51">
            <v>1967</v>
          </cell>
          <cell r="AQ51">
            <v>0.79746528643389225</v>
          </cell>
          <cell r="AR51">
            <v>0.95325000000001481</v>
          </cell>
          <cell r="AS51">
            <v>0.73662903919935274</v>
          </cell>
        </row>
        <row r="52">
          <cell r="AP52">
            <v>1966</v>
          </cell>
          <cell r="AQ52">
            <v>0.77333051291731758</v>
          </cell>
          <cell r="AR52">
            <v>1.1685000000000159</v>
          </cell>
          <cell r="AS52">
            <v>0.87664602037562023</v>
          </cell>
        </row>
        <row r="53">
          <cell r="AP53">
            <v>1965</v>
          </cell>
          <cell r="AQ53">
            <v>0.72839785236252608</v>
          </cell>
          <cell r="AR53">
            <v>1.0147500000000171</v>
          </cell>
          <cell r="AS53">
            <v>0.74159735890132206</v>
          </cell>
        </row>
        <row r="54">
          <cell r="AP54">
            <v>1964</v>
          </cell>
          <cell r="AQ54">
            <v>0.62790656272557666</v>
          </cell>
          <cell r="AR54">
            <v>1.1070000000000135</v>
          </cell>
          <cell r="AS54">
            <v>0.67195068269831959</v>
          </cell>
        </row>
        <row r="55">
          <cell r="AP55">
            <v>1963</v>
          </cell>
          <cell r="AQ55">
            <v>0.74150239435190646</v>
          </cell>
          <cell r="AR55">
            <v>1.199250000000017</v>
          </cell>
          <cell r="AS55">
            <v>0.88358319507871808</v>
          </cell>
        </row>
        <row r="56">
          <cell r="AP56">
            <v>1962</v>
          </cell>
          <cell r="AQ56">
            <v>0.88927649387487695</v>
          </cell>
          <cell r="AR56">
            <v>1.0762500000000159</v>
          </cell>
          <cell r="AS56">
            <v>0.92843315787561553</v>
          </cell>
        </row>
        <row r="57">
          <cell r="AP57">
            <v>1961</v>
          </cell>
          <cell r="AQ57">
            <v>0.98628149131298914</v>
          </cell>
          <cell r="AR57">
            <v>1.0455000000000183</v>
          </cell>
          <cell r="AS57">
            <v>1.0192212592081</v>
          </cell>
        </row>
        <row r="58">
          <cell r="AP58">
            <v>1960</v>
          </cell>
          <cell r="AQ58">
            <v>0.90130521284457887</v>
          </cell>
          <cell r="AR58">
            <v>1.4452500000000192</v>
          </cell>
          <cell r="AS58">
            <v>1.3226994493873183</v>
          </cell>
        </row>
        <row r="59">
          <cell r="AP59">
            <v>1959</v>
          </cell>
          <cell r="AQ59">
            <v>0.79565694771959972</v>
          </cell>
          <cell r="AR59">
            <v>1.4452500000000228</v>
          </cell>
          <cell r="AS59">
            <v>1.1399065468476559</v>
          </cell>
        </row>
        <row r="60">
          <cell r="AP60">
            <v>1958</v>
          </cell>
          <cell r="AQ60">
            <v>0.85788620649012826</v>
          </cell>
          <cell r="AR60">
            <v>1.0147500000000136</v>
          </cell>
          <cell r="AS60">
            <v>0.86285922324616426</v>
          </cell>
        </row>
        <row r="61">
          <cell r="AP61">
            <v>1957</v>
          </cell>
          <cell r="AQ61">
            <v>0.71171791436877285</v>
          </cell>
          <cell r="AR61">
            <v>1.1992500000000135</v>
          </cell>
          <cell r="AS61">
            <v>0.85360651340615123</v>
          </cell>
        </row>
        <row r="62">
          <cell r="AP62">
            <v>1956</v>
          </cell>
          <cell r="AQ62">
            <v>0.76027122021462756</v>
          </cell>
          <cell r="AR62">
            <v>0.92250000000001364</v>
          </cell>
          <cell r="AS62">
            <v>0.70135020064800435</v>
          </cell>
        </row>
        <row r="63">
          <cell r="AP63">
            <v>1955</v>
          </cell>
          <cell r="AQ63">
            <v>0.70422167156568538</v>
          </cell>
          <cell r="AR63">
            <v>1.2607500000000229</v>
          </cell>
          <cell r="AS63">
            <v>0.89050069080297301</v>
          </cell>
        </row>
        <row r="64">
          <cell r="AP64">
            <v>1954</v>
          </cell>
          <cell r="AQ64">
            <v>0.76671243158972913</v>
          </cell>
          <cell r="AR64">
            <v>1.1685000000000159</v>
          </cell>
          <cell r="AS64">
            <v>0.89590347631260991</v>
          </cell>
        </row>
        <row r="65">
          <cell r="AP65">
            <v>1953</v>
          </cell>
          <cell r="AQ65">
            <v>0.75039076425955098</v>
          </cell>
          <cell r="AR65">
            <v>1.3530000000000229</v>
          </cell>
          <cell r="AS65">
            <v>1.0098077511960828</v>
          </cell>
        </row>
        <row r="66">
          <cell r="AP66">
            <v>1952</v>
          </cell>
          <cell r="AQ66">
            <v>0.76098212776803975</v>
          </cell>
          <cell r="AR66">
            <v>1.1070000000000135</v>
          </cell>
          <cell r="AS66">
            <v>0.81664394793153006</v>
          </cell>
        </row>
        <row r="67">
          <cell r="AP67">
            <v>1951</v>
          </cell>
          <cell r="AQ67">
            <v>0.84550235845936894</v>
          </cell>
          <cell r="AR67">
            <v>1.1070000000000277</v>
          </cell>
          <cell r="AS67">
            <v>0.93597111081454487</v>
          </cell>
        </row>
        <row r="68">
          <cell r="AP68">
            <v>1950</v>
          </cell>
          <cell r="AQ68">
            <v>0.89334446172789617</v>
          </cell>
          <cell r="AR68">
            <v>0.92250000000001364</v>
          </cell>
          <cell r="AS68">
            <v>0.82411026594399639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-Wedge"/>
      <sheetName val="Var-Cor"/>
      <sheetName val="Var-Sag"/>
      <sheetName val="VarRates"/>
      <sheetName val="Disepimentos"/>
      <sheetName val="Hoja4"/>
    </sheetNames>
    <sheetDataSet>
      <sheetData sheetId="0"/>
      <sheetData sheetId="1"/>
      <sheetData sheetId="2"/>
      <sheetData sheetId="3">
        <row r="3">
          <cell r="AP3">
            <v>2015</v>
          </cell>
          <cell r="AQ3">
            <v>0.86303084525477902</v>
          </cell>
          <cell r="AR3">
            <v>0.92297000000000018</v>
          </cell>
          <cell r="AS3">
            <v>0.80273306821906132</v>
          </cell>
        </row>
        <row r="4">
          <cell r="AP4">
            <v>2014</v>
          </cell>
          <cell r="AQ4">
            <v>0.9936851437929628</v>
          </cell>
          <cell r="AR4">
            <v>0.58455000000000046</v>
          </cell>
          <cell r="AS4">
            <v>0.57184535872604447</v>
          </cell>
        </row>
        <row r="5">
          <cell r="AP5">
            <v>2013</v>
          </cell>
          <cell r="AQ5">
            <v>0.72341999491147657</v>
          </cell>
          <cell r="AR5">
            <v>1.1075600000000003</v>
          </cell>
          <cell r="AS5">
            <v>0.81911390836867304</v>
          </cell>
        </row>
        <row r="6">
          <cell r="AP6">
            <v>2012</v>
          </cell>
          <cell r="AQ6">
            <v>0.84687863813545272</v>
          </cell>
          <cell r="AR6">
            <v>0.39991999999999894</v>
          </cell>
          <cell r="AS6">
            <v>0.3332438628114216</v>
          </cell>
        </row>
        <row r="7">
          <cell r="AP7">
            <v>2011</v>
          </cell>
          <cell r="AQ7">
            <v>0.98101026212272124</v>
          </cell>
          <cell r="AR7">
            <v>0.95376499999999886</v>
          </cell>
          <cell r="AS7">
            <v>0.97416419687066325</v>
          </cell>
        </row>
        <row r="8">
          <cell r="AP8">
            <v>2010</v>
          </cell>
          <cell r="AQ8">
            <v>1.0892913311634178</v>
          </cell>
          <cell r="AR8">
            <v>0.49223999999999934</v>
          </cell>
          <cell r="AS8">
            <v>0.5414923044455715</v>
          </cell>
        </row>
        <row r="9">
          <cell r="AP9">
            <v>2009</v>
          </cell>
          <cell r="AQ9">
            <v>0.80148944144358425</v>
          </cell>
          <cell r="AR9">
            <v>0.8614099999999989</v>
          </cell>
          <cell r="AS9">
            <v>0.69041147188642205</v>
          </cell>
        </row>
        <row r="10">
          <cell r="AP10">
            <v>2008</v>
          </cell>
          <cell r="AQ10">
            <v>0.74437876846585238</v>
          </cell>
          <cell r="AR10">
            <v>0.67684999999999862</v>
          </cell>
          <cell r="AS10">
            <v>0.50055146875764767</v>
          </cell>
        </row>
        <row r="11">
          <cell r="AP11">
            <v>2007</v>
          </cell>
          <cell r="AQ11">
            <v>0.69468300226944102</v>
          </cell>
          <cell r="AR11">
            <v>0.55375000000000218</v>
          </cell>
          <cell r="AS11">
            <v>0.38587639627129827</v>
          </cell>
        </row>
        <row r="12">
          <cell r="AP12">
            <v>2006</v>
          </cell>
          <cell r="AQ12">
            <v>0.74207018808284131</v>
          </cell>
          <cell r="AR12">
            <v>1.0768150000000034</v>
          </cell>
          <cell r="AS12">
            <v>0.81349696431528118</v>
          </cell>
        </row>
        <row r="13">
          <cell r="AP13">
            <v>2005</v>
          </cell>
          <cell r="AQ13">
            <v>0.77648659330841974</v>
          </cell>
          <cell r="AR13">
            <v>0.64605000000000246</v>
          </cell>
          <cell r="AS13">
            <v>0.50458820135457705</v>
          </cell>
        </row>
        <row r="14">
          <cell r="AP14">
            <v>2004</v>
          </cell>
          <cell r="AQ14">
            <v>0.78008881149936804</v>
          </cell>
          <cell r="AR14">
            <v>1.2613750000000028</v>
          </cell>
          <cell r="AS14">
            <v>0.90370719823487544</v>
          </cell>
        </row>
        <row r="15">
          <cell r="AP15">
            <v>2003</v>
          </cell>
          <cell r="AQ15">
            <v>0.66227543335241434</v>
          </cell>
          <cell r="AR15">
            <v>0.58457000000000292</v>
          </cell>
          <cell r="AS15">
            <v>0.37911076647705816</v>
          </cell>
        </row>
        <row r="16">
          <cell r="AP16">
            <v>2002</v>
          </cell>
          <cell r="AQ16">
            <v>0.60562454931002585</v>
          </cell>
          <cell r="AR16">
            <v>1.0767800000000056</v>
          </cell>
          <cell r="AS16">
            <v>0.62647157661039521</v>
          </cell>
        </row>
        <row r="17">
          <cell r="AP17">
            <v>2001</v>
          </cell>
          <cell r="AQ17">
            <v>0.62936320664467615</v>
          </cell>
          <cell r="AR17">
            <v>0.9537050000000038</v>
          </cell>
          <cell r="AS17">
            <v>0.58866546257953456</v>
          </cell>
        </row>
        <row r="18">
          <cell r="AP18">
            <v>2000</v>
          </cell>
          <cell r="AQ18">
            <v>0.62193908215059568</v>
          </cell>
          <cell r="AR18">
            <v>1.0768049999999993</v>
          </cell>
          <cell r="AS18">
            <v>0.66875173366356611</v>
          </cell>
        </row>
        <row r="19">
          <cell r="AP19">
            <v>1999</v>
          </cell>
          <cell r="AQ19">
            <v>0.80984904859476003</v>
          </cell>
          <cell r="AR19">
            <v>0.64608999999999739</v>
          </cell>
          <cell r="AS19">
            <v>0.50528802514439874</v>
          </cell>
        </row>
        <row r="20">
          <cell r="AP20">
            <v>1998</v>
          </cell>
          <cell r="AQ20">
            <v>0.80991578635941353</v>
          </cell>
          <cell r="AR20">
            <v>1.046014999999989</v>
          </cell>
          <cell r="AS20">
            <v>0.82375700707598087</v>
          </cell>
        </row>
        <row r="21">
          <cell r="AP21">
            <v>1997</v>
          </cell>
          <cell r="AQ21">
            <v>0.91820027507934587</v>
          </cell>
          <cell r="AR21">
            <v>0.67681499999999506</v>
          </cell>
          <cell r="AS21">
            <v>0.62144878240544599</v>
          </cell>
        </row>
        <row r="22">
          <cell r="AP22">
            <v>1996</v>
          </cell>
          <cell r="AQ22">
            <v>0.94443999368509923</v>
          </cell>
          <cell r="AR22">
            <v>0.7691549999999916</v>
          </cell>
          <cell r="AS22">
            <v>0.67375155745040671</v>
          </cell>
        </row>
        <row r="23">
          <cell r="AP23">
            <v>1995</v>
          </cell>
          <cell r="AQ23">
            <v>0.94370646738689645</v>
          </cell>
          <cell r="AR23">
            <v>0.86141499999999738</v>
          </cell>
          <cell r="AS23">
            <v>0.81863076055485229</v>
          </cell>
        </row>
        <row r="24">
          <cell r="AP24">
            <v>1994</v>
          </cell>
          <cell r="AQ24">
            <v>0.89126076557692313</v>
          </cell>
          <cell r="AR24">
            <v>0.89219499999999208</v>
          </cell>
          <cell r="AS24">
            <v>0.7999788573989165</v>
          </cell>
        </row>
        <row r="25">
          <cell r="AP25">
            <v>1993</v>
          </cell>
          <cell r="AQ25">
            <v>0.85112734808303858</v>
          </cell>
          <cell r="AR25">
            <v>0.83067999999999564</v>
          </cell>
          <cell r="AS25">
            <v>0.69876024894084698</v>
          </cell>
        </row>
        <row r="26">
          <cell r="AP26">
            <v>1992</v>
          </cell>
          <cell r="AQ26">
            <v>0.79132451277874005</v>
          </cell>
          <cell r="AR26">
            <v>0.89217999999999265</v>
          </cell>
          <cell r="AS26">
            <v>0.67626144002035093</v>
          </cell>
        </row>
        <row r="27">
          <cell r="AP27">
            <v>1991</v>
          </cell>
          <cell r="AQ27">
            <v>0.7188468066042405</v>
          </cell>
          <cell r="AR27">
            <v>1.2305899999999941</v>
          </cell>
          <cell r="AS27">
            <v>0.88033315134721746</v>
          </cell>
        </row>
        <row r="28">
          <cell r="AP28">
            <v>1990</v>
          </cell>
          <cell r="AQ28">
            <v>0.68039077213142352</v>
          </cell>
          <cell r="AR28">
            <v>0.76915499999999248</v>
          </cell>
          <cell r="AS28">
            <v>0.49377464301957863</v>
          </cell>
        </row>
        <row r="29">
          <cell r="AP29">
            <v>1989</v>
          </cell>
          <cell r="AQ29">
            <v>0.73866638849214838</v>
          </cell>
          <cell r="AR29">
            <v>0.76914499999999286</v>
          </cell>
          <cell r="AS29">
            <v>0.56669523292913615</v>
          </cell>
        </row>
        <row r="30">
          <cell r="AP30">
            <v>1988</v>
          </cell>
          <cell r="AQ30">
            <v>0.76571584674322613</v>
          </cell>
          <cell r="AR30">
            <v>1.1690849999999902</v>
          </cell>
          <cell r="AS30">
            <v>0.89518719348544318</v>
          </cell>
        </row>
        <row r="31">
          <cell r="AP31">
            <v>1987</v>
          </cell>
          <cell r="AQ31">
            <v>0.73071616800517813</v>
          </cell>
          <cell r="AR31">
            <v>0.86142499999999345</v>
          </cell>
          <cell r="AS31">
            <v>0.63374823708626882</v>
          </cell>
        </row>
        <row r="32">
          <cell r="AP32">
            <v>1986</v>
          </cell>
          <cell r="AQ32">
            <v>0.70857739472446823</v>
          </cell>
          <cell r="AR32">
            <v>1.1075449999999947</v>
          </cell>
          <cell r="AS32">
            <v>0.75615211479779942</v>
          </cell>
        </row>
        <row r="33">
          <cell r="AP33">
            <v>1985</v>
          </cell>
          <cell r="AQ33">
            <v>0.800872030500968</v>
          </cell>
          <cell r="AR33">
            <v>1.2613499999999895</v>
          </cell>
          <cell r="AS33">
            <v>1.012853224027475</v>
          </cell>
        </row>
        <row r="34">
          <cell r="AP34">
            <v>1984</v>
          </cell>
          <cell r="AQ34">
            <v>0.82871209351422614</v>
          </cell>
          <cell r="AR34">
            <v>0.86142999999999681</v>
          </cell>
          <cell r="AS34">
            <v>0.71606383114216565</v>
          </cell>
        </row>
        <row r="35">
          <cell r="AP35">
            <v>1983</v>
          </cell>
          <cell r="AQ35">
            <v>0.73580702397438635</v>
          </cell>
          <cell r="AR35">
            <v>1.2306149999999896</v>
          </cell>
          <cell r="AS35">
            <v>0.90795334864859023</v>
          </cell>
        </row>
        <row r="36">
          <cell r="AP36">
            <v>1982</v>
          </cell>
          <cell r="AQ36">
            <v>0.64730269763380133</v>
          </cell>
          <cell r="AR36">
            <v>1.1383499999999902</v>
          </cell>
          <cell r="AS36">
            <v>0.73967183057288455</v>
          </cell>
        </row>
        <row r="37">
          <cell r="AP37">
            <v>1981</v>
          </cell>
          <cell r="AQ37">
            <v>0.69801054903425075</v>
          </cell>
          <cell r="AR37">
            <v>0.86142999999999148</v>
          </cell>
          <cell r="AS37">
            <v>0.60607286225580248</v>
          </cell>
        </row>
        <row r="38">
          <cell r="AP38">
            <v>1980</v>
          </cell>
          <cell r="AQ38">
            <v>0.65977767268341858</v>
          </cell>
          <cell r="AR38">
            <v>1.2306099999999915</v>
          </cell>
          <cell r="AS38">
            <v>0.77974920521602742</v>
          </cell>
        </row>
        <row r="39">
          <cell r="AP39">
            <v>1979</v>
          </cell>
          <cell r="AQ39">
            <v>0.69254596760836451</v>
          </cell>
          <cell r="AR39">
            <v>0.95372499999999505</v>
          </cell>
          <cell r="AS39">
            <v>0.65831252100356119</v>
          </cell>
        </row>
        <row r="40">
          <cell r="AP40">
            <v>1978</v>
          </cell>
          <cell r="AQ40">
            <v>0.93277643806693411</v>
          </cell>
          <cell r="AR40">
            <v>0.7383299999999906</v>
          </cell>
          <cell r="AS40">
            <v>0.68869756811126792</v>
          </cell>
        </row>
        <row r="41">
          <cell r="AP41">
            <v>1977</v>
          </cell>
          <cell r="AQ41">
            <v>0.62794305692561192</v>
          </cell>
          <cell r="AR41">
            <v>1.0765200000000021</v>
          </cell>
          <cell r="AS41">
            <v>0.67563385752836846</v>
          </cell>
        </row>
        <row r="42">
          <cell r="AP42">
            <v>1976</v>
          </cell>
          <cell r="AQ42">
            <v>0.65341132554593973</v>
          </cell>
          <cell r="AR42">
            <v>0.70741500000000102</v>
          </cell>
          <cell r="AS42">
            <v>0.45985156509652597</v>
          </cell>
        </row>
        <row r="43">
          <cell r="AP43">
            <v>1975</v>
          </cell>
          <cell r="AQ43">
            <v>0.63707615591142464</v>
          </cell>
          <cell r="AR43">
            <v>0.86123999999999512</v>
          </cell>
          <cell r="AS43">
            <v>0.54267287426988464</v>
          </cell>
        </row>
        <row r="44">
          <cell r="AP44">
            <v>1974</v>
          </cell>
          <cell r="AQ44">
            <v>0.66766372240483518</v>
          </cell>
          <cell r="AR44">
            <v>0.95347500000000096</v>
          </cell>
          <cell r="AS44">
            <v>0.63785842104464152</v>
          </cell>
        </row>
        <row r="45">
          <cell r="AP45">
            <v>1973</v>
          </cell>
          <cell r="AQ45">
            <v>0.69213824235933785</v>
          </cell>
          <cell r="AR45">
            <v>0.89194500000000332</v>
          </cell>
          <cell r="AS45">
            <v>0.61387519227535847</v>
          </cell>
        </row>
        <row r="46">
          <cell r="AP46">
            <v>1972</v>
          </cell>
          <cell r="AQ46">
            <v>0.71103267463946951</v>
          </cell>
          <cell r="AR46">
            <v>0.95347500000000096</v>
          </cell>
          <cell r="AS46">
            <v>0.67605759180060399</v>
          </cell>
        </row>
        <row r="47">
          <cell r="AP47">
            <v>1971</v>
          </cell>
          <cell r="AQ47">
            <v>0.7761372952697938</v>
          </cell>
          <cell r="AR47">
            <v>0.79964999999999975</v>
          </cell>
          <cell r="AS47">
            <v>0.63111449566052158</v>
          </cell>
        </row>
        <row r="48">
          <cell r="AP48">
            <v>1970</v>
          </cell>
          <cell r="AQ48">
            <v>0.81826167849275788</v>
          </cell>
          <cell r="AR48">
            <v>0.98423999999999978</v>
          </cell>
          <cell r="AS48">
            <v>0.80534259936605412</v>
          </cell>
        </row>
        <row r="49">
          <cell r="AP49">
            <v>1969</v>
          </cell>
          <cell r="AQ49">
            <v>1.0136273549729762</v>
          </cell>
          <cell r="AR49">
            <v>0.92265000000000441</v>
          </cell>
          <cell r="AS49">
            <v>0.95156462265335007</v>
          </cell>
        </row>
        <row r="50">
          <cell r="AP50">
            <v>1968</v>
          </cell>
          <cell r="AQ50">
            <v>0.92234171095431172</v>
          </cell>
          <cell r="AR50">
            <v>0.67663500000000454</v>
          </cell>
          <cell r="AS50">
            <v>0.60826095019868331</v>
          </cell>
        </row>
        <row r="51">
          <cell r="AP51">
            <v>1967</v>
          </cell>
          <cell r="AQ51">
            <v>0.79901555001334201</v>
          </cell>
          <cell r="AR51">
            <v>1.3532550000000008</v>
          </cell>
          <cell r="AS51">
            <v>1.0441840510101925</v>
          </cell>
        </row>
        <row r="52">
          <cell r="AP52">
            <v>1966</v>
          </cell>
          <cell r="AQ52">
            <v>0.86373958479554425</v>
          </cell>
          <cell r="AR52">
            <v>0.70741500000000457</v>
          </cell>
          <cell r="AS52">
            <v>0.60851395436719313</v>
          </cell>
        </row>
        <row r="53">
          <cell r="AP53">
            <v>1965</v>
          </cell>
          <cell r="AQ53">
            <v>0.85621573575200494</v>
          </cell>
          <cell r="AR53">
            <v>1.0149450000000009</v>
          </cell>
          <cell r="AS53">
            <v>0.87206700053226061</v>
          </cell>
        </row>
        <row r="54">
          <cell r="AP54">
            <v>1964</v>
          </cell>
          <cell r="AQ54">
            <v>0.82202113451250336</v>
          </cell>
          <cell r="AR54">
            <v>1.2610050000000044</v>
          </cell>
          <cell r="AS54">
            <v>1.0671738064581544</v>
          </cell>
        </row>
        <row r="55">
          <cell r="AP55">
            <v>1963</v>
          </cell>
          <cell r="AQ55">
            <v>0.78516065626050024</v>
          </cell>
          <cell r="AR55">
            <v>1.2610050000000008</v>
          </cell>
          <cell r="AS55">
            <v>1.0010492821638104</v>
          </cell>
        </row>
        <row r="56">
          <cell r="AP56">
            <v>1962</v>
          </cell>
          <cell r="AQ56">
            <v>0.86162316030526176</v>
          </cell>
          <cell r="AR56">
            <v>0.92271000000000214</v>
          </cell>
          <cell r="AS56">
            <v>0.79186606329985609</v>
          </cell>
        </row>
        <row r="57">
          <cell r="AP57">
            <v>1961</v>
          </cell>
          <cell r="AQ57">
            <v>0.87030314227090122</v>
          </cell>
          <cell r="AR57">
            <v>1.1994600000000055</v>
          </cell>
          <cell r="AS57">
            <v>1.0207158141092219</v>
          </cell>
        </row>
        <row r="58">
          <cell r="AP58">
            <v>1960</v>
          </cell>
          <cell r="AQ58">
            <v>0.87564283823838385</v>
          </cell>
          <cell r="AR58">
            <v>1.0148850000000031</v>
          </cell>
          <cell r="AS58">
            <v>0.82764086090285738</v>
          </cell>
        </row>
        <row r="59">
          <cell r="AP59">
            <v>1959</v>
          </cell>
          <cell r="AQ59">
            <v>0.89420572831265766</v>
          </cell>
          <cell r="AR59">
            <v>1.0765349999999998</v>
          </cell>
          <cell r="AS59">
            <v>0.96583956000759019</v>
          </cell>
        </row>
        <row r="60">
          <cell r="AP60">
            <v>1958</v>
          </cell>
          <cell r="AQ60">
            <v>0.8353760196914517</v>
          </cell>
          <cell r="AR60">
            <v>1.1380200000000009</v>
          </cell>
          <cell r="AS60">
            <v>0.95269003737528679</v>
          </cell>
        </row>
        <row r="61">
          <cell r="AP61">
            <v>1957</v>
          </cell>
          <cell r="AQ61">
            <v>0.87401798027250288</v>
          </cell>
          <cell r="AR61">
            <v>1.16875500000004</v>
          </cell>
          <cell r="AS61">
            <v>1.0283348047695038</v>
          </cell>
        </row>
        <row r="62">
          <cell r="AP62">
            <v>1956</v>
          </cell>
          <cell r="AQ62">
            <v>0.94672835484061346</v>
          </cell>
          <cell r="AR62">
            <v>0.98418000000003758</v>
          </cell>
          <cell r="AS62">
            <v>0.92137314114077862</v>
          </cell>
        </row>
        <row r="63">
          <cell r="AP63">
            <v>1955</v>
          </cell>
          <cell r="AQ63">
            <v>0.94499069442316741</v>
          </cell>
          <cell r="AR63">
            <v>1.0764300000000375</v>
          </cell>
          <cell r="AS63">
            <v>0.97256471706855141</v>
          </cell>
        </row>
        <row r="64">
          <cell r="AP64">
            <v>1954</v>
          </cell>
          <cell r="AQ64">
            <v>0.82300442442223321</v>
          </cell>
          <cell r="AR64">
            <v>1.1072850000000543</v>
          </cell>
          <cell r="AS64">
            <v>0.91456713426370073</v>
          </cell>
        </row>
        <row r="65">
          <cell r="AP65">
            <v>1953</v>
          </cell>
          <cell r="AQ65">
            <v>0.98857663574924493</v>
          </cell>
          <cell r="AR65">
            <v>0.92265000000003283</v>
          </cell>
          <cell r="AS65">
            <v>0.88413647487280755</v>
          </cell>
        </row>
        <row r="66">
          <cell r="AP66">
            <v>1952</v>
          </cell>
          <cell r="AQ66">
            <v>0.94927877573228847</v>
          </cell>
          <cell r="AR66">
            <v>1.0764750000000447</v>
          </cell>
          <cell r="AS66">
            <v>1.0179676130590996</v>
          </cell>
        </row>
        <row r="67">
          <cell r="AP67">
            <v>1951</v>
          </cell>
          <cell r="AQ67">
            <v>0.99753664228078365</v>
          </cell>
          <cell r="AR67">
            <v>1.0764900000000495</v>
          </cell>
          <cell r="AS67">
            <v>1.0742736086467166</v>
          </cell>
        </row>
        <row r="68">
          <cell r="AP68">
            <v>1950</v>
          </cell>
          <cell r="AQ68">
            <v>0.81843251804458306</v>
          </cell>
          <cell r="AR68">
            <v>1.3841100000000637</v>
          </cell>
          <cell r="AS68">
            <v>1.1348092104240819</v>
          </cell>
        </row>
        <row r="69">
          <cell r="AP69">
            <v>1949</v>
          </cell>
          <cell r="AQ69">
            <v>0.99993197784758081</v>
          </cell>
          <cell r="AR69">
            <v>0.95341500000003521</v>
          </cell>
          <cell r="AS69">
            <v>0.93890308692116276</v>
          </cell>
        </row>
        <row r="70">
          <cell r="AP70">
            <v>1948</v>
          </cell>
          <cell r="AQ70">
            <v>1.011369469449138</v>
          </cell>
          <cell r="AR70">
            <v>1.0150650000000567</v>
          </cell>
          <cell r="AS70">
            <v>0.96436350342106958</v>
          </cell>
        </row>
        <row r="71">
          <cell r="AP71">
            <v>1947</v>
          </cell>
          <cell r="AQ71">
            <v>0.90742545725050894</v>
          </cell>
          <cell r="AR71">
            <v>1.3841400000000661</v>
          </cell>
          <cell r="AS71">
            <v>1.1913470353023083</v>
          </cell>
        </row>
        <row r="72">
          <cell r="AP72">
            <v>1946</v>
          </cell>
          <cell r="AQ72">
            <v>0.91246356940837914</v>
          </cell>
          <cell r="AR72">
            <v>1.4455800000000636</v>
          </cell>
          <cell r="AS72">
            <v>1.328919093083321</v>
          </cell>
        </row>
        <row r="73">
          <cell r="AP73">
            <v>1945</v>
          </cell>
          <cell r="AQ73">
            <v>0.98597494056265533</v>
          </cell>
          <cell r="AR73">
            <v>1.107300000000059</v>
          </cell>
          <cell r="AS73">
            <v>1.058345772406081</v>
          </cell>
        </row>
        <row r="74">
          <cell r="AP74">
            <v>1944</v>
          </cell>
          <cell r="AQ74">
            <v>1.1595417547813924</v>
          </cell>
          <cell r="AR74">
            <v>1.1072400000000471</v>
          </cell>
          <cell r="AS74">
            <v>1.3153701853360829</v>
          </cell>
        </row>
        <row r="75">
          <cell r="AP75">
            <v>1943</v>
          </cell>
          <cell r="AQ75">
            <v>0.8279116861189576</v>
          </cell>
          <cell r="AR75">
            <v>1.3536600000001044</v>
          </cell>
          <cell r="AS75">
            <v>1.1207109330318745</v>
          </cell>
        </row>
        <row r="76">
          <cell r="AP76">
            <v>1942</v>
          </cell>
          <cell r="AQ76">
            <v>0.83737341140731691</v>
          </cell>
          <cell r="AR76">
            <v>1.230600000000095</v>
          </cell>
          <cell r="AS76">
            <v>1.0304717200779236</v>
          </cell>
        </row>
        <row r="77">
          <cell r="AP77">
            <v>1941</v>
          </cell>
          <cell r="AQ77">
            <v>0.94847816911476579</v>
          </cell>
          <cell r="AR77">
            <v>0.86142000000006647</v>
          </cell>
          <cell r="AS77">
            <v>0.81703806443890459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-Wedge"/>
      <sheetName val="Var-Cor"/>
      <sheetName val="Var-Cor HiRes"/>
      <sheetName val="Var-Sag"/>
      <sheetName val="VarRates"/>
      <sheetName val="Var-Cor CT-2"/>
      <sheetName val="Disepimentos"/>
      <sheetName val="Hoja4"/>
    </sheetNames>
    <sheetDataSet>
      <sheetData sheetId="0"/>
      <sheetData sheetId="1"/>
      <sheetData sheetId="2"/>
      <sheetData sheetId="3"/>
      <sheetData sheetId="4">
        <row r="3">
          <cell r="AP3">
            <v>2015</v>
          </cell>
          <cell r="AQ3">
            <v>0.65508785848341433</v>
          </cell>
          <cell r="AR3">
            <v>1.4390499999999999</v>
          </cell>
          <cell r="AS3">
            <v>0.94224551223117836</v>
          </cell>
        </row>
        <row r="4">
          <cell r="AP4">
            <v>2014</v>
          </cell>
          <cell r="AQ4">
            <v>0.58511756538378434</v>
          </cell>
          <cell r="AR4">
            <v>1.0073499999999997</v>
          </cell>
          <cell r="AS4">
            <v>0.59035193597506752</v>
          </cell>
        </row>
        <row r="5">
          <cell r="AP5">
            <v>2013</v>
          </cell>
          <cell r="AQ5">
            <v>0.70898552032566364</v>
          </cell>
          <cell r="AR5">
            <v>1.03135</v>
          </cell>
          <cell r="AS5">
            <v>0.72954067225031727</v>
          </cell>
        </row>
        <row r="6">
          <cell r="AP6">
            <v>2012</v>
          </cell>
          <cell r="AQ6">
            <v>0.70447938650449871</v>
          </cell>
          <cell r="AR6">
            <v>1.1991499999999999</v>
          </cell>
          <cell r="AS6">
            <v>0.84186905818513824</v>
          </cell>
        </row>
        <row r="7">
          <cell r="AP7">
            <v>2011</v>
          </cell>
          <cell r="AQ7">
            <v>0.86584836711706359</v>
          </cell>
          <cell r="AR7">
            <v>0.71960000000000024</v>
          </cell>
          <cell r="AS7">
            <v>0.62442205924461569</v>
          </cell>
        </row>
        <row r="8">
          <cell r="AP8">
            <v>2010</v>
          </cell>
          <cell r="AQ8">
            <v>0.92601379406289364</v>
          </cell>
          <cell r="AR8">
            <v>1.1512000000000002</v>
          </cell>
          <cell r="AS8">
            <v>1.0660270797252034</v>
          </cell>
        </row>
        <row r="9">
          <cell r="AP9">
            <v>2009</v>
          </cell>
          <cell r="AQ9">
            <v>0.87451166834640648</v>
          </cell>
          <cell r="AR9">
            <v>0.95940000000000003</v>
          </cell>
          <cell r="AS9">
            <v>0.85303667042341358</v>
          </cell>
        </row>
        <row r="10">
          <cell r="AP10">
            <v>2008</v>
          </cell>
          <cell r="AQ10">
            <v>0.78415777830393485</v>
          </cell>
          <cell r="AR10">
            <v>1.1273</v>
          </cell>
          <cell r="AS10">
            <v>0.86046214528915987</v>
          </cell>
        </row>
        <row r="11">
          <cell r="AP11">
            <v>2007</v>
          </cell>
          <cell r="AQ11">
            <v>0.66665193184032612</v>
          </cell>
          <cell r="AR11">
            <v>1.2231500000000004</v>
          </cell>
          <cell r="AS11">
            <v>0.81615429954249064</v>
          </cell>
        </row>
        <row r="12">
          <cell r="AP12">
            <v>2006</v>
          </cell>
          <cell r="AQ12">
            <v>0.56516294261391486</v>
          </cell>
          <cell r="AR12">
            <v>1.1756000000000038</v>
          </cell>
          <cell r="AS12">
            <v>0.66655535124986298</v>
          </cell>
        </row>
        <row r="13">
          <cell r="AP13">
            <v>2005</v>
          </cell>
          <cell r="AQ13">
            <v>0.5691676754804309</v>
          </cell>
          <cell r="AR13">
            <v>1.0316500000000044</v>
          </cell>
          <cell r="AS13">
            <v>0.58778303980303059</v>
          </cell>
        </row>
        <row r="14">
          <cell r="AP14">
            <v>2004</v>
          </cell>
          <cell r="AQ14">
            <v>0.80563849615659056</v>
          </cell>
          <cell r="AR14">
            <v>0.88769999999999261</v>
          </cell>
          <cell r="AS14">
            <v>0.72216228091457602</v>
          </cell>
        </row>
        <row r="15">
          <cell r="AP15">
            <v>2003</v>
          </cell>
          <cell r="AQ15">
            <v>0.65673617565810216</v>
          </cell>
          <cell r="AR15">
            <v>1.3195499999999845</v>
          </cell>
          <cell r="AS15">
            <v>0.86711791008229389</v>
          </cell>
        </row>
        <row r="16">
          <cell r="AP16">
            <v>2002</v>
          </cell>
          <cell r="AQ16">
            <v>0.62713508472075397</v>
          </cell>
          <cell r="AR16">
            <v>1.2235999999999869</v>
          </cell>
          <cell r="AS16">
            <v>0.76740102844449143</v>
          </cell>
        </row>
        <row r="17">
          <cell r="AP17">
            <v>2001</v>
          </cell>
          <cell r="AQ17">
            <v>0.66104843636926169</v>
          </cell>
          <cell r="AR17">
            <v>1.0316499999999902</v>
          </cell>
          <cell r="AS17">
            <v>0.67660225365017856</v>
          </cell>
        </row>
        <row r="18">
          <cell r="AP18">
            <v>2000</v>
          </cell>
          <cell r="AQ18">
            <v>0.64524795306982008</v>
          </cell>
          <cell r="AR18">
            <v>1.3195499999999853</v>
          </cell>
          <cell r="AS18">
            <v>0.84933692316568532</v>
          </cell>
        </row>
        <row r="19">
          <cell r="AP19">
            <v>1999</v>
          </cell>
          <cell r="AQ19">
            <v>0.60593418693571999</v>
          </cell>
          <cell r="AR19">
            <v>1.0076999999999892</v>
          </cell>
          <cell r="AS19">
            <v>0.61307990451259997</v>
          </cell>
        </row>
        <row r="20">
          <cell r="AP20">
            <v>1998</v>
          </cell>
          <cell r="AQ20">
            <v>0.60318615585659519</v>
          </cell>
          <cell r="AR20">
            <v>1.3195499999999871</v>
          </cell>
          <cell r="AS20">
            <v>0.78511972544326492</v>
          </cell>
        </row>
        <row r="21">
          <cell r="AP21">
            <v>1997</v>
          </cell>
          <cell r="AQ21">
            <v>0.64527470135587928</v>
          </cell>
          <cell r="AR21">
            <v>1.5354499999999849</v>
          </cell>
          <cell r="AS21">
            <v>0.98620649847595199</v>
          </cell>
        </row>
        <row r="22">
          <cell r="AP22">
            <v>1996</v>
          </cell>
          <cell r="AQ22">
            <v>0.64743934325617758</v>
          </cell>
          <cell r="AR22">
            <v>1.1036499999999876</v>
          </cell>
          <cell r="AS22">
            <v>0.71499252085800902</v>
          </cell>
        </row>
        <row r="23">
          <cell r="AP23">
            <v>1995</v>
          </cell>
          <cell r="AQ23">
            <v>0.67609911024772607</v>
          </cell>
          <cell r="AR23">
            <v>1.2715499999999889</v>
          </cell>
          <cell r="AS23">
            <v>0.85931527864834778</v>
          </cell>
        </row>
        <row r="24">
          <cell r="AP24">
            <v>1994</v>
          </cell>
          <cell r="AQ24">
            <v>0.59064665406301531</v>
          </cell>
          <cell r="AR24">
            <v>1.2475999999999861</v>
          </cell>
          <cell r="AS24">
            <v>0.73689299675418307</v>
          </cell>
        </row>
        <row r="25">
          <cell r="AP25">
            <v>1993</v>
          </cell>
          <cell r="AQ25">
            <v>0.6315007225604512</v>
          </cell>
          <cell r="AR25">
            <v>1.4154500000000247</v>
          </cell>
          <cell r="AS25">
            <v>0.88614639314944976</v>
          </cell>
        </row>
        <row r="26">
          <cell r="AP26">
            <v>1992</v>
          </cell>
          <cell r="AQ26">
            <v>0.72181261486688919</v>
          </cell>
          <cell r="AR26">
            <v>0.93570000000001663</v>
          </cell>
          <cell r="AS26">
            <v>0.67411294070926564</v>
          </cell>
        </row>
        <row r="27">
          <cell r="AP27">
            <v>1991</v>
          </cell>
          <cell r="AQ27">
            <v>0.72068407818409153</v>
          </cell>
          <cell r="AR27">
            <v>1.0796500000000187</v>
          </cell>
          <cell r="AS27">
            <v>0.77140239564987256</v>
          </cell>
        </row>
        <row r="28">
          <cell r="AP28">
            <v>1990</v>
          </cell>
          <cell r="AQ28">
            <v>0.70792138943959504</v>
          </cell>
          <cell r="AR28">
            <v>1.0200000000000031</v>
          </cell>
          <cell r="AS28">
            <v>0.71175330077180055</v>
          </cell>
        </row>
        <row r="29">
          <cell r="AP29">
            <v>1989</v>
          </cell>
          <cell r="AQ29">
            <v>0.65555884168929268</v>
          </cell>
          <cell r="AR29">
            <v>1.1279999999999966</v>
          </cell>
          <cell r="AS29">
            <v>0.68353208322814885</v>
          </cell>
        </row>
        <row r="30">
          <cell r="AP30">
            <v>1988</v>
          </cell>
          <cell r="AQ30">
            <v>0.59366937345136073</v>
          </cell>
          <cell r="AR30">
            <v>0.60300000000000509</v>
          </cell>
          <cell r="AS30">
            <v>0.35778121859322787</v>
          </cell>
        </row>
        <row r="31">
          <cell r="AP31">
            <v>1987</v>
          </cell>
          <cell r="AQ31">
            <v>0.54611420143105827</v>
          </cell>
          <cell r="AR31">
            <v>1.0410000000000004</v>
          </cell>
          <cell r="AS31">
            <v>0.56801761946606488</v>
          </cell>
        </row>
        <row r="32">
          <cell r="AP32">
            <v>1986</v>
          </cell>
          <cell r="AQ32">
            <v>0.74993755744080226</v>
          </cell>
          <cell r="AR32">
            <v>0.88500000000000867</v>
          </cell>
          <cell r="AS32">
            <v>0.66101702534165863</v>
          </cell>
        </row>
        <row r="33">
          <cell r="AP33">
            <v>1985</v>
          </cell>
          <cell r="AQ33">
            <v>0.71813857737882236</v>
          </cell>
          <cell r="AR33">
            <v>0.9930000000000021</v>
          </cell>
          <cell r="AS33">
            <v>0.71403098065436832</v>
          </cell>
        </row>
        <row r="34">
          <cell r="AP34">
            <v>1984</v>
          </cell>
          <cell r="AQ34">
            <v>0.73055866486001309</v>
          </cell>
          <cell r="AR34">
            <v>0.93300000000001049</v>
          </cell>
          <cell r="AS34">
            <v>0.67827243701352591</v>
          </cell>
        </row>
        <row r="35">
          <cell r="AP35">
            <v>1983</v>
          </cell>
          <cell r="AQ35">
            <v>0.56462932123694742</v>
          </cell>
          <cell r="AR35">
            <v>0.93000000000000682</v>
          </cell>
          <cell r="AS35">
            <v>0.52652250003774048</v>
          </cell>
        </row>
        <row r="36">
          <cell r="AP36">
            <v>1982</v>
          </cell>
          <cell r="AQ36">
            <v>0.56071088239991851</v>
          </cell>
          <cell r="AR36">
            <v>0.92399999999999949</v>
          </cell>
          <cell r="AS36">
            <v>0.50775924024450148</v>
          </cell>
        </row>
        <row r="37">
          <cell r="AP37">
            <v>1981</v>
          </cell>
          <cell r="AQ37">
            <v>0.65013162364133381</v>
          </cell>
          <cell r="AR37">
            <v>0.84000000000001052</v>
          </cell>
          <cell r="AS37">
            <v>0.55254091119033366</v>
          </cell>
        </row>
        <row r="38">
          <cell r="AP38">
            <v>1980</v>
          </cell>
          <cell r="AQ38">
            <v>0.72170924885888699</v>
          </cell>
          <cell r="AR38">
            <v>0.83099999999999952</v>
          </cell>
          <cell r="AS38">
            <v>0.59762986233369286</v>
          </cell>
        </row>
        <row r="39">
          <cell r="AP39">
            <v>1979</v>
          </cell>
          <cell r="AQ39">
            <v>0.93414123273951255</v>
          </cell>
          <cell r="AR39">
            <v>0.83700000000000685</v>
          </cell>
          <cell r="AS39">
            <v>0.78343807983958935</v>
          </cell>
        </row>
        <row r="40">
          <cell r="AP40">
            <v>1978</v>
          </cell>
          <cell r="AQ40">
            <v>0.89850219767701822</v>
          </cell>
          <cell r="AR40">
            <v>0.78900000000000148</v>
          </cell>
          <cell r="AS40">
            <v>0.70852095309558738</v>
          </cell>
        </row>
        <row r="41">
          <cell r="AP41">
            <v>1977</v>
          </cell>
          <cell r="AQ41">
            <v>0.83815791539917583</v>
          </cell>
          <cell r="AR41">
            <v>0.93000000000000682</v>
          </cell>
          <cell r="AS41">
            <v>0.77922178985457735</v>
          </cell>
        </row>
        <row r="42">
          <cell r="AP42">
            <v>1976</v>
          </cell>
          <cell r="AQ42">
            <v>0.91245053099845341</v>
          </cell>
          <cell r="AR42">
            <v>0.9030000000000058</v>
          </cell>
          <cell r="AS42">
            <v>0.82357098239122628</v>
          </cell>
        </row>
        <row r="43">
          <cell r="AP43">
            <v>1975</v>
          </cell>
          <cell r="AQ43">
            <v>0.83651741578158367</v>
          </cell>
          <cell r="AR43">
            <v>0.69600000000000151</v>
          </cell>
          <cell r="AS43">
            <v>0.58182458272241888</v>
          </cell>
        </row>
        <row r="44">
          <cell r="AP44">
            <v>1974</v>
          </cell>
          <cell r="AQ44">
            <v>0.77760515894126869</v>
          </cell>
          <cell r="AR44">
            <v>0.97800000000000864</v>
          </cell>
          <cell r="AS44">
            <v>0.75963975662583105</v>
          </cell>
        </row>
        <row r="45">
          <cell r="AP45">
            <v>1973</v>
          </cell>
          <cell r="AQ45">
            <v>0.86191908780269311</v>
          </cell>
          <cell r="AR45">
            <v>0.69300000000000139</v>
          </cell>
          <cell r="AS45">
            <v>0.59815787851029278</v>
          </cell>
        </row>
        <row r="46">
          <cell r="AP46">
            <v>1972</v>
          </cell>
          <cell r="AQ46">
            <v>0.79434772403436049</v>
          </cell>
          <cell r="AR46">
            <v>0.72000000000000597</v>
          </cell>
          <cell r="AS46">
            <v>0.57193036130474184</v>
          </cell>
        </row>
        <row r="47">
          <cell r="AP47">
            <v>1971</v>
          </cell>
          <cell r="AQ47">
            <v>0.55004963420995834</v>
          </cell>
          <cell r="AR47">
            <v>1.0920000000000059</v>
          </cell>
          <cell r="AS47">
            <v>0.60026796721310727</v>
          </cell>
        </row>
        <row r="48">
          <cell r="AP48">
            <v>1970</v>
          </cell>
          <cell r="AQ48">
            <v>0.60773503247699301</v>
          </cell>
          <cell r="AR48">
            <v>1.0650000000000048</v>
          </cell>
          <cell r="AS48">
            <v>0.6354508977337705</v>
          </cell>
        </row>
        <row r="49">
          <cell r="AP49">
            <v>1969</v>
          </cell>
          <cell r="AQ49">
            <v>0.65959454314915544</v>
          </cell>
          <cell r="AR49">
            <v>0.74400000000000333</v>
          </cell>
          <cell r="AS49">
            <v>0.49394757415446322</v>
          </cell>
        </row>
        <row r="50">
          <cell r="AP50">
            <v>1968</v>
          </cell>
          <cell r="AQ50">
            <v>0.56831847635100208</v>
          </cell>
          <cell r="AR50">
            <v>0.86700000000001509</v>
          </cell>
          <cell r="AS50">
            <v>0.5103891570542739</v>
          </cell>
        </row>
        <row r="51">
          <cell r="AP51">
            <v>1967</v>
          </cell>
          <cell r="AQ51">
            <v>0.62907115654009393</v>
          </cell>
          <cell r="AR51">
            <v>0.43799999999999883</v>
          </cell>
          <cell r="AS51">
            <v>0.2609159171175478</v>
          </cell>
        </row>
        <row r="52">
          <cell r="AP52">
            <v>1966</v>
          </cell>
          <cell r="AQ52">
            <v>0.47193867822033486</v>
          </cell>
          <cell r="AR52">
            <v>1.4250000000000149</v>
          </cell>
          <cell r="AS52">
            <v>0.6882097268431886</v>
          </cell>
        </row>
        <row r="53">
          <cell r="AP53">
            <v>1965</v>
          </cell>
          <cell r="AQ53">
            <v>0.4202955079473672</v>
          </cell>
          <cell r="AR53">
            <v>1.1220000000000105</v>
          </cell>
          <cell r="AS53">
            <v>0.46159285575274389</v>
          </cell>
        </row>
        <row r="54">
          <cell r="AP54">
            <v>1964</v>
          </cell>
          <cell r="AQ54">
            <v>0.35003523813225945</v>
          </cell>
          <cell r="AR54">
            <v>1.4580000000000055</v>
          </cell>
          <cell r="AS54">
            <v>0.51071460438909422</v>
          </cell>
        </row>
        <row r="55">
          <cell r="AP55">
            <v>1963</v>
          </cell>
          <cell r="AQ55">
            <v>0.45177673628155507</v>
          </cell>
          <cell r="AR55">
            <v>1.374000000000013</v>
          </cell>
          <cell r="AS55">
            <v>0.62326186123463767</v>
          </cell>
        </row>
        <row r="56">
          <cell r="AP56">
            <v>1962</v>
          </cell>
          <cell r="AQ56">
            <v>0.65781474272405216</v>
          </cell>
          <cell r="AR56">
            <v>0.59999999999999787</v>
          </cell>
          <cell r="AS56">
            <v>0.39774891462493367</v>
          </cell>
        </row>
        <row r="57">
          <cell r="AP57">
            <v>1961</v>
          </cell>
          <cell r="AQ57">
            <v>0.54986747666888836</v>
          </cell>
          <cell r="AR57">
            <v>1.2900000000000205</v>
          </cell>
          <cell r="AS57">
            <v>0.71669224900973794</v>
          </cell>
        </row>
        <row r="58">
          <cell r="AP58">
            <v>1960</v>
          </cell>
          <cell r="AQ58">
            <v>0.5510299696283808</v>
          </cell>
          <cell r="AR58">
            <v>0.80399999999999849</v>
          </cell>
          <cell r="AS58">
            <v>0.42566206791597178</v>
          </cell>
        </row>
        <row r="59">
          <cell r="AP59">
            <v>1959</v>
          </cell>
          <cell r="AQ59">
            <v>0.71147576233653853</v>
          </cell>
          <cell r="AR59">
            <v>1.044000000000004</v>
          </cell>
          <cell r="AS59">
            <v>0.74411168982485276</v>
          </cell>
        </row>
        <row r="60">
          <cell r="AP60">
            <v>1958</v>
          </cell>
          <cell r="AQ60">
            <v>0.74920030942153759</v>
          </cell>
          <cell r="AR60">
            <v>0.86400000000000787</v>
          </cell>
          <cell r="AS60">
            <v>0.63762640799446246</v>
          </cell>
        </row>
        <row r="61">
          <cell r="AP61">
            <v>1957</v>
          </cell>
          <cell r="AQ61">
            <v>0.77189763501658892</v>
          </cell>
          <cell r="AR61">
            <v>1.0020000000000095</v>
          </cell>
          <cell r="AS61">
            <v>0.76501193413366853</v>
          </cell>
        </row>
        <row r="62">
          <cell r="AP62">
            <v>1956</v>
          </cell>
          <cell r="AQ62">
            <v>0.82302384576596244</v>
          </cell>
          <cell r="AR62">
            <v>1.0230000000000068</v>
          </cell>
          <cell r="AS62">
            <v>0.83855543805109067</v>
          </cell>
        </row>
        <row r="63">
          <cell r="AP63">
            <v>1955</v>
          </cell>
          <cell r="AQ63">
            <v>0.80264504892954358</v>
          </cell>
          <cell r="AR63">
            <v>1.1430000000000149</v>
          </cell>
          <cell r="AS63">
            <v>0.90676911708187391</v>
          </cell>
        </row>
        <row r="64">
          <cell r="AP64">
            <v>1954</v>
          </cell>
          <cell r="AQ64">
            <v>0.81580220590321406</v>
          </cell>
          <cell r="AR64">
            <v>0.9480000000000004</v>
          </cell>
          <cell r="AS64">
            <v>0.77209145919252853</v>
          </cell>
        </row>
        <row r="65">
          <cell r="AP65">
            <v>1953</v>
          </cell>
          <cell r="AQ65">
            <v>0.76368924594892862</v>
          </cell>
          <cell r="AR65">
            <v>1.0200000000000067</v>
          </cell>
          <cell r="AS65">
            <v>0.78089827769615028</v>
          </cell>
        </row>
        <row r="66">
          <cell r="AP66">
            <v>1952</v>
          </cell>
          <cell r="AQ66">
            <v>0.74555461439303161</v>
          </cell>
          <cell r="AR66">
            <v>1.1640000000000086</v>
          </cell>
          <cell r="AS66">
            <v>0.86378464025948409</v>
          </cell>
        </row>
        <row r="67">
          <cell r="AP67">
            <v>1951</v>
          </cell>
          <cell r="AQ67">
            <v>0.64143159137846939</v>
          </cell>
          <cell r="AR67">
            <v>1.1340000000000074</v>
          </cell>
          <cell r="AS67">
            <v>0.73815054191562068</v>
          </cell>
        </row>
        <row r="68">
          <cell r="AP68">
            <v>1950</v>
          </cell>
          <cell r="AQ68">
            <v>0.54052646132832138</v>
          </cell>
          <cell r="AR68">
            <v>1.527000000000001</v>
          </cell>
          <cell r="AS68">
            <v>0.82440259542845151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"/>
  <sheetViews>
    <sheetView topLeftCell="D1" zoomScale="85" zoomScaleNormal="85" workbookViewId="0">
      <selection activeCell="Q12" sqref="Q12"/>
    </sheetView>
  </sheetViews>
  <sheetFormatPr baseColWidth="10" defaultColWidth="11.44140625" defaultRowHeight="14.4" x14ac:dyDescent="0.3"/>
  <sheetData>
    <row r="1" spans="1:24" x14ac:dyDescent="0.3">
      <c r="A1" s="1" t="s">
        <v>6</v>
      </c>
      <c r="F1" s="1" t="s">
        <v>7</v>
      </c>
      <c r="K1" s="1" t="s">
        <v>8</v>
      </c>
      <c r="P1" s="1" t="s">
        <v>9</v>
      </c>
      <c r="U1" s="1" t="s">
        <v>4</v>
      </c>
    </row>
    <row r="2" spans="1:24" x14ac:dyDescent="0.3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P2" t="s">
        <v>0</v>
      </c>
      <c r="Q2" t="s">
        <v>1</v>
      </c>
      <c r="R2" t="s">
        <v>2</v>
      </c>
      <c r="S2" t="s">
        <v>3</v>
      </c>
      <c r="U2" t="s">
        <v>0</v>
      </c>
      <c r="V2" t="s">
        <v>1</v>
      </c>
      <c r="W2" t="s">
        <v>2</v>
      </c>
      <c r="X2" t="s">
        <v>3</v>
      </c>
    </row>
    <row r="3" spans="1:24" x14ac:dyDescent="0.3">
      <c r="A3">
        <v>2015</v>
      </c>
      <c r="B3">
        <v>0.64979044857552282</v>
      </c>
      <c r="C3">
        <v>1.5996000000000001</v>
      </c>
      <c r="D3">
        <v>1.0394048015414064</v>
      </c>
      <c r="F3">
        <v>2015</v>
      </c>
      <c r="G3" s="2">
        <v>0.60311461165644642</v>
      </c>
      <c r="H3" s="2">
        <v>1.35375</v>
      </c>
      <c r="I3" s="2">
        <v>0.81009438801886469</v>
      </c>
      <c r="K3">
        <v>2015</v>
      </c>
      <c r="L3">
        <v>0.77141124443400388</v>
      </c>
      <c r="M3">
        <v>0.92297000000000018</v>
      </c>
      <c r="N3">
        <v>0.7183186969450932</v>
      </c>
      <c r="P3">
        <v>2015</v>
      </c>
      <c r="Q3">
        <v>0.56139930741823962</v>
      </c>
      <c r="R3">
        <v>0.95940000000000003</v>
      </c>
      <c r="S3">
        <v>0.53860649553705908</v>
      </c>
      <c r="U3">
        <v>2015</v>
      </c>
      <c r="V3">
        <f>AVERAGE(Q3,L3,G3,B3)</f>
        <v>0.64642890302105316</v>
      </c>
      <c r="W3">
        <f t="shared" ref="W3:X3" si="0">AVERAGE(R3,M3,H3,C3)</f>
        <v>1.2089300000000001</v>
      </c>
      <c r="X3">
        <f t="shared" si="0"/>
        <v>0.77660609551060589</v>
      </c>
    </row>
    <row r="4" spans="1:24" x14ac:dyDescent="0.3">
      <c r="A4">
        <v>2014</v>
      </c>
      <c r="B4">
        <v>0.62513630804321074</v>
      </c>
      <c r="C4">
        <v>1.5691999999999999</v>
      </c>
      <c r="D4">
        <v>0.9809638945814062</v>
      </c>
      <c r="F4">
        <v>2014</v>
      </c>
      <c r="G4" s="2">
        <v>0.64102677557786503</v>
      </c>
      <c r="H4" s="2">
        <v>0.86145000000000016</v>
      </c>
      <c r="I4" s="2">
        <v>0.56149233377870889</v>
      </c>
      <c r="K4">
        <v>2014</v>
      </c>
      <c r="L4">
        <v>0.91130493367891185</v>
      </c>
      <c r="M4">
        <v>0.58455000000000046</v>
      </c>
      <c r="N4">
        <v>0.52333970332166002</v>
      </c>
      <c r="P4">
        <v>2014</v>
      </c>
      <c r="Q4">
        <v>0.62794162800110576</v>
      </c>
      <c r="R4">
        <v>1.1513</v>
      </c>
      <c r="S4">
        <v>0.72294919631767307</v>
      </c>
      <c r="U4">
        <v>2014</v>
      </c>
      <c r="V4">
        <f t="shared" ref="V4:V67" si="1">AVERAGE(Q4,L4,G4,B4)</f>
        <v>0.70135241132527337</v>
      </c>
      <c r="W4">
        <f t="shared" ref="W4:W67" si="2">AVERAGE(R4,M4,H4,C4)</f>
        <v>1.0416250000000002</v>
      </c>
      <c r="X4">
        <f t="shared" ref="X4:X67" si="3">AVERAGE(S4,N4,I4,D4)</f>
        <v>0.6971862819998621</v>
      </c>
    </row>
    <row r="5" spans="1:24" x14ac:dyDescent="0.3">
      <c r="A5">
        <v>2013</v>
      </c>
      <c r="B5">
        <v>0.61275541932470423</v>
      </c>
      <c r="C5">
        <v>1.9347000000000003</v>
      </c>
      <c r="D5">
        <v>1.1854979097675056</v>
      </c>
      <c r="F5">
        <v>2013</v>
      </c>
      <c r="G5" s="2">
        <v>0.63058724324584547</v>
      </c>
      <c r="H5" s="2">
        <v>1.7228000000000003</v>
      </c>
      <c r="I5" s="2">
        <v>1.0863757026639427</v>
      </c>
      <c r="K5">
        <v>2013</v>
      </c>
      <c r="L5">
        <v>0.62972335378673261</v>
      </c>
      <c r="M5">
        <v>1.1075600000000003</v>
      </c>
      <c r="N5">
        <v>0.71588970719589384</v>
      </c>
      <c r="P5">
        <v>2013</v>
      </c>
      <c r="Q5">
        <v>0.57166105206902362</v>
      </c>
      <c r="R5">
        <v>1.1512000000000002</v>
      </c>
      <c r="S5">
        <v>0.65809620314186013</v>
      </c>
      <c r="U5">
        <v>2013</v>
      </c>
      <c r="V5">
        <f t="shared" si="1"/>
        <v>0.61118176710657646</v>
      </c>
      <c r="W5">
        <f t="shared" si="2"/>
        <v>1.4790650000000003</v>
      </c>
      <c r="X5">
        <f t="shared" si="3"/>
        <v>0.91146488069230047</v>
      </c>
    </row>
    <row r="6" spans="1:24" x14ac:dyDescent="0.3">
      <c r="A6">
        <v>2012</v>
      </c>
      <c r="B6">
        <v>0.60951216172174183</v>
      </c>
      <c r="C6">
        <v>1.2644999999999991</v>
      </c>
      <c r="D6">
        <v>0.77072812849714201</v>
      </c>
      <c r="F6">
        <v>2012</v>
      </c>
      <c r="G6" s="2">
        <v>0.56774704600464365</v>
      </c>
      <c r="H6" s="2">
        <v>1.1075999999999997</v>
      </c>
      <c r="I6" s="2">
        <v>0.62224998411163934</v>
      </c>
      <c r="K6">
        <v>2012</v>
      </c>
      <c r="L6">
        <v>0.7511080307206337</v>
      </c>
      <c r="M6">
        <v>0.39991999999999894</v>
      </c>
      <c r="N6">
        <v>0.29478449497209369</v>
      </c>
      <c r="P6">
        <v>2012</v>
      </c>
      <c r="Q6">
        <v>0.82113810467004622</v>
      </c>
      <c r="R6">
        <v>0.95940000000000047</v>
      </c>
      <c r="S6">
        <v>0.78779989762044278</v>
      </c>
      <c r="U6">
        <v>2012</v>
      </c>
      <c r="V6">
        <f t="shared" si="1"/>
        <v>0.68737633577926627</v>
      </c>
      <c r="W6">
        <f t="shared" si="2"/>
        <v>0.93285499999999955</v>
      </c>
      <c r="X6">
        <f t="shared" si="3"/>
        <v>0.61889062630032943</v>
      </c>
    </row>
    <row r="7" spans="1:24" x14ac:dyDescent="0.3">
      <c r="A7">
        <v>2011</v>
      </c>
      <c r="B7">
        <v>0.5628402363802083</v>
      </c>
      <c r="C7">
        <v>2.3308</v>
      </c>
      <c r="D7">
        <v>1.3118680229549895</v>
      </c>
      <c r="F7">
        <v>2011</v>
      </c>
      <c r="G7" s="2">
        <v>0.54462781209836308</v>
      </c>
      <c r="H7" s="2">
        <v>1.1998499999999992</v>
      </c>
      <c r="I7" s="2">
        <v>0.6777687247394939</v>
      </c>
      <c r="K7">
        <v>2011</v>
      </c>
      <c r="L7">
        <v>0.89300458987960307</v>
      </c>
      <c r="M7">
        <v>0.95376499999999886</v>
      </c>
      <c r="N7">
        <v>0.89246024326264395</v>
      </c>
      <c r="P7">
        <v>2011</v>
      </c>
      <c r="Q7">
        <v>0.95630760033510298</v>
      </c>
      <c r="R7">
        <v>1.1512999999999991</v>
      </c>
      <c r="S7">
        <v>1.1009969402658033</v>
      </c>
      <c r="U7">
        <v>2011</v>
      </c>
      <c r="V7">
        <f t="shared" si="1"/>
        <v>0.73919505967331933</v>
      </c>
      <c r="W7">
        <f t="shared" si="2"/>
        <v>1.4089287499999994</v>
      </c>
      <c r="X7">
        <f t="shared" si="3"/>
        <v>0.99577348280573275</v>
      </c>
    </row>
    <row r="8" spans="1:24" x14ac:dyDescent="0.3">
      <c r="A8">
        <v>2010</v>
      </c>
      <c r="B8">
        <v>0.61516816099470384</v>
      </c>
      <c r="C8">
        <v>0.76170000000000115</v>
      </c>
      <c r="D8">
        <v>0.4685735882296666</v>
      </c>
      <c r="F8">
        <v>2010</v>
      </c>
      <c r="G8" s="2">
        <v>0.64980151729207092</v>
      </c>
      <c r="H8" s="2">
        <v>0.89225000000000065</v>
      </c>
      <c r="I8" s="2">
        <v>0.547942083886645</v>
      </c>
      <c r="K8">
        <v>2010</v>
      </c>
      <c r="L8">
        <v>1.0052080041532008</v>
      </c>
      <c r="M8">
        <v>0.49223999999999934</v>
      </c>
      <c r="N8">
        <v>0.50069912933219418</v>
      </c>
      <c r="P8">
        <v>2010</v>
      </c>
      <c r="Q8">
        <v>0.98264907486587927</v>
      </c>
      <c r="R8">
        <v>1.0552999999999999</v>
      </c>
      <c r="S8">
        <v>1.0369895687059623</v>
      </c>
      <c r="U8">
        <v>2010</v>
      </c>
      <c r="V8">
        <f t="shared" si="1"/>
        <v>0.81320668932646378</v>
      </c>
      <c r="W8">
        <f t="shared" si="2"/>
        <v>0.80037250000000026</v>
      </c>
      <c r="X8">
        <f t="shared" si="3"/>
        <v>0.63855109253861697</v>
      </c>
    </row>
    <row r="9" spans="1:24" x14ac:dyDescent="0.3">
      <c r="A9">
        <v>2009</v>
      </c>
      <c r="B9">
        <v>0.60836364241667484</v>
      </c>
      <c r="C9">
        <v>1.4778000000000002</v>
      </c>
      <c r="D9">
        <v>0.89903979076336227</v>
      </c>
      <c r="F9">
        <v>2009</v>
      </c>
      <c r="G9" s="2">
        <v>0.75252079510261094</v>
      </c>
      <c r="H9" s="2">
        <v>0.92294999999999927</v>
      </c>
      <c r="I9" s="2">
        <v>0.69454069755618275</v>
      </c>
      <c r="K9">
        <v>2009</v>
      </c>
      <c r="L9">
        <v>0.70576041080307728</v>
      </c>
      <c r="M9">
        <v>0.8614099999999989</v>
      </c>
      <c r="N9">
        <v>0.60794954476931062</v>
      </c>
      <c r="P9">
        <v>2009</v>
      </c>
      <c r="Q9">
        <v>0.90838319913717303</v>
      </c>
      <c r="R9">
        <v>0.95940000000000047</v>
      </c>
      <c r="S9">
        <v>0.87150284125220423</v>
      </c>
      <c r="U9">
        <v>2009</v>
      </c>
      <c r="V9">
        <f t="shared" si="1"/>
        <v>0.74375701186488397</v>
      </c>
      <c r="W9">
        <f t="shared" si="2"/>
        <v>1.0553899999999996</v>
      </c>
      <c r="X9">
        <f t="shared" si="3"/>
        <v>0.76825821858526511</v>
      </c>
    </row>
    <row r="10" spans="1:24" x14ac:dyDescent="0.3">
      <c r="A10">
        <v>2008</v>
      </c>
      <c r="B10">
        <v>0.66298356501186084</v>
      </c>
      <c r="C10">
        <v>0.99019999999999975</v>
      </c>
      <c r="D10">
        <v>0.65648632607474444</v>
      </c>
      <c r="F10">
        <v>2008</v>
      </c>
      <c r="G10" s="2">
        <v>0.67717083779683862</v>
      </c>
      <c r="H10" s="2">
        <v>1.1383500000000009</v>
      </c>
      <c r="I10" s="2">
        <v>0.76597106495393241</v>
      </c>
      <c r="K10">
        <v>2008</v>
      </c>
      <c r="L10">
        <v>0.64737146474737717</v>
      </c>
      <c r="M10">
        <v>0.67684999999999862</v>
      </c>
      <c r="N10">
        <v>0.43490667411756045</v>
      </c>
      <c r="P10">
        <v>2008</v>
      </c>
      <c r="Q10">
        <v>0.73604811538077441</v>
      </c>
      <c r="R10">
        <v>1.2471000000000014</v>
      </c>
      <c r="S10">
        <v>0.91792560469136486</v>
      </c>
      <c r="U10">
        <v>2008</v>
      </c>
      <c r="V10">
        <f t="shared" si="1"/>
        <v>0.68089349573421276</v>
      </c>
      <c r="W10">
        <f t="shared" si="2"/>
        <v>1.0131250000000001</v>
      </c>
      <c r="X10">
        <f t="shared" si="3"/>
        <v>0.69382241745940054</v>
      </c>
    </row>
    <row r="11" spans="1:24" x14ac:dyDescent="0.3">
      <c r="A11">
        <v>2007</v>
      </c>
      <c r="B11">
        <v>0.68530774752103119</v>
      </c>
      <c r="C11">
        <v>2.2241999999999997</v>
      </c>
      <c r="D11">
        <v>1.5242614920362774</v>
      </c>
      <c r="F11">
        <v>2007</v>
      </c>
      <c r="G11" s="2">
        <v>0.64508840275284474</v>
      </c>
      <c r="H11" s="2">
        <v>1.1998500000000005</v>
      </c>
      <c r="I11" s="2">
        <v>0.79190421356481677</v>
      </c>
      <c r="K11">
        <v>2007</v>
      </c>
      <c r="L11">
        <v>0.59712320688232023</v>
      </c>
      <c r="M11">
        <v>0.55375000000000218</v>
      </c>
      <c r="N11">
        <v>0.3318510831173313</v>
      </c>
      <c r="P11">
        <v>2007</v>
      </c>
      <c r="Q11">
        <v>0.60853332921245573</v>
      </c>
      <c r="R11">
        <v>1.2471999999999994</v>
      </c>
      <c r="S11">
        <v>0.7589627681937744</v>
      </c>
      <c r="U11">
        <v>2007</v>
      </c>
      <c r="V11">
        <f t="shared" si="1"/>
        <v>0.63401317159216297</v>
      </c>
      <c r="W11">
        <f t="shared" si="2"/>
        <v>1.3062500000000004</v>
      </c>
      <c r="X11">
        <f t="shared" si="3"/>
        <v>0.85174488922804992</v>
      </c>
    </row>
    <row r="12" spans="1:24" x14ac:dyDescent="0.3">
      <c r="A12">
        <v>2006</v>
      </c>
      <c r="B12">
        <v>0.61661593225570988</v>
      </c>
      <c r="C12">
        <v>2.1176000000000013</v>
      </c>
      <c r="D12">
        <v>1.3057458981446921</v>
      </c>
      <c r="F12">
        <v>2006</v>
      </c>
      <c r="G12" s="2">
        <v>0.69052091653728864</v>
      </c>
      <c r="H12" s="2">
        <v>1.1382999999999992</v>
      </c>
      <c r="I12" s="2">
        <v>0.7785860357571599</v>
      </c>
      <c r="K12">
        <v>2006</v>
      </c>
      <c r="L12">
        <v>0.6463232357135178</v>
      </c>
      <c r="M12">
        <v>1.0768150000000034</v>
      </c>
      <c r="N12">
        <v>0.71107920002924152</v>
      </c>
      <c r="P12">
        <v>2006</v>
      </c>
      <c r="Q12">
        <v>0.53088712958781359</v>
      </c>
      <c r="R12">
        <v>1.055299999999999</v>
      </c>
      <c r="S12">
        <v>0.56024518785401911</v>
      </c>
      <c r="U12">
        <v>2006</v>
      </c>
      <c r="V12">
        <f t="shared" si="1"/>
        <v>0.62108680352358248</v>
      </c>
      <c r="W12">
        <f t="shared" si="2"/>
        <v>1.3470037500000007</v>
      </c>
      <c r="X12">
        <f t="shared" si="3"/>
        <v>0.83891408044627802</v>
      </c>
    </row>
    <row r="13" spans="1:24" x14ac:dyDescent="0.3">
      <c r="A13">
        <v>2005</v>
      </c>
      <c r="B13">
        <v>0.61940246633885276</v>
      </c>
      <c r="C13">
        <v>0.97499999999999787</v>
      </c>
      <c r="D13">
        <v>0.60391740468038013</v>
      </c>
      <c r="F13">
        <v>2005</v>
      </c>
      <c r="G13" s="2">
        <v>0.7031560281539655</v>
      </c>
      <c r="H13" s="2">
        <v>1.1999000000000004</v>
      </c>
      <c r="I13" s="2">
        <v>0.84297111283401027</v>
      </c>
      <c r="K13">
        <v>2005</v>
      </c>
      <c r="L13">
        <v>0.68197759316233653</v>
      </c>
      <c r="M13">
        <v>0.64605000000000246</v>
      </c>
      <c r="N13">
        <v>0.44359110900031651</v>
      </c>
      <c r="P13">
        <v>2005</v>
      </c>
      <c r="Q13">
        <v>0.79875069486324057</v>
      </c>
      <c r="R13">
        <v>1.1513000000000009</v>
      </c>
      <c r="S13">
        <v>0.91960167499604961</v>
      </c>
      <c r="U13">
        <v>2005</v>
      </c>
      <c r="V13">
        <f t="shared" si="1"/>
        <v>0.70082169562959895</v>
      </c>
      <c r="W13">
        <f t="shared" si="2"/>
        <v>0.9930625000000004</v>
      </c>
      <c r="X13">
        <f t="shared" si="3"/>
        <v>0.70252032537768905</v>
      </c>
    </row>
    <row r="14" spans="1:24" x14ac:dyDescent="0.3">
      <c r="A14">
        <v>2004</v>
      </c>
      <c r="B14">
        <v>0.65005351225051311</v>
      </c>
      <c r="C14">
        <v>1.5234000000000023</v>
      </c>
      <c r="D14">
        <v>0.99029152056243319</v>
      </c>
      <c r="F14">
        <v>2004</v>
      </c>
      <c r="G14" s="2">
        <v>0.70080849236217024</v>
      </c>
      <c r="H14" s="2">
        <v>1.0459999999999994</v>
      </c>
      <c r="I14" s="2">
        <v>0.72659751620929547</v>
      </c>
      <c r="K14">
        <v>2004</v>
      </c>
      <c r="L14">
        <v>0.68882015491751147</v>
      </c>
      <c r="M14">
        <v>1.2613750000000028</v>
      </c>
      <c r="N14">
        <v>0.78795049782009685</v>
      </c>
      <c r="P14">
        <v>2004</v>
      </c>
      <c r="Q14">
        <v>0.71376097553858198</v>
      </c>
      <c r="R14">
        <v>1.2472000000000012</v>
      </c>
      <c r="S14">
        <v>0.89020268869172026</v>
      </c>
      <c r="U14">
        <v>2004</v>
      </c>
      <c r="V14">
        <f t="shared" si="1"/>
        <v>0.68836078376719412</v>
      </c>
      <c r="W14">
        <f t="shared" si="2"/>
        <v>1.2694937500000014</v>
      </c>
      <c r="X14">
        <f t="shared" si="3"/>
        <v>0.84876055582088639</v>
      </c>
    </row>
    <row r="15" spans="1:24" x14ac:dyDescent="0.3">
      <c r="A15">
        <v>2003</v>
      </c>
      <c r="B15">
        <v>0.69101827310522557</v>
      </c>
      <c r="C15">
        <v>1.0815999999999981</v>
      </c>
      <c r="D15">
        <v>0.74740536419061065</v>
      </c>
      <c r="F15">
        <v>2003</v>
      </c>
      <c r="G15" s="2">
        <v>0.62037105025182027</v>
      </c>
      <c r="H15" s="2">
        <v>1.0767999999999995</v>
      </c>
      <c r="I15" s="2">
        <v>0.63436953618382286</v>
      </c>
      <c r="K15">
        <v>2003</v>
      </c>
      <c r="L15">
        <v>0.5662484278518497</v>
      </c>
      <c r="M15">
        <v>0.58457000000000292</v>
      </c>
      <c r="N15">
        <v>0.32309429071643947</v>
      </c>
      <c r="P15">
        <v>2003</v>
      </c>
      <c r="Q15">
        <v>0.61404750831010213</v>
      </c>
      <c r="R15">
        <v>1.055299999999999</v>
      </c>
      <c r="S15">
        <v>0.6480043355196502</v>
      </c>
      <c r="U15">
        <v>2003</v>
      </c>
      <c r="V15">
        <f t="shared" si="1"/>
        <v>0.62292131487974944</v>
      </c>
      <c r="W15">
        <f t="shared" si="2"/>
        <v>0.9495674999999999</v>
      </c>
      <c r="X15">
        <f t="shared" si="3"/>
        <v>0.58821838165263074</v>
      </c>
    </row>
    <row r="16" spans="1:24" x14ac:dyDescent="0.3">
      <c r="A16">
        <v>2002</v>
      </c>
      <c r="B16">
        <v>0.68820456467381586</v>
      </c>
      <c r="C16">
        <v>1.4015999999999984</v>
      </c>
      <c r="D16">
        <v>0.96458751784681918</v>
      </c>
      <c r="F16">
        <v>2002</v>
      </c>
      <c r="G16" s="2">
        <v>0.52215420691536796</v>
      </c>
      <c r="H16" s="2">
        <v>1.1998500000000014</v>
      </c>
      <c r="I16" s="2">
        <v>0.62825932422899133</v>
      </c>
      <c r="K16">
        <v>2002</v>
      </c>
      <c r="L16">
        <v>0.51151305724612239</v>
      </c>
      <c r="M16">
        <v>1.0767800000000056</v>
      </c>
      <c r="N16">
        <v>0.52574215787199041</v>
      </c>
      <c r="P16">
        <v>2002</v>
      </c>
      <c r="Q16">
        <v>0.60962966812400599</v>
      </c>
      <c r="R16">
        <v>1.3430999999999997</v>
      </c>
      <c r="S16">
        <v>0.81879360725735228</v>
      </c>
      <c r="U16">
        <v>2002</v>
      </c>
      <c r="V16">
        <f t="shared" si="1"/>
        <v>0.58287537423982805</v>
      </c>
      <c r="W16">
        <f t="shared" si="2"/>
        <v>1.2553325000000013</v>
      </c>
      <c r="X16">
        <f t="shared" si="3"/>
        <v>0.7343456518012883</v>
      </c>
    </row>
    <row r="17" spans="1:24" x14ac:dyDescent="0.3">
      <c r="A17">
        <v>2001</v>
      </c>
      <c r="B17">
        <v>0.6343516002254318</v>
      </c>
      <c r="C17">
        <v>1.9500000000000028</v>
      </c>
      <c r="D17">
        <v>1.2369856204395937</v>
      </c>
      <c r="F17">
        <v>2001</v>
      </c>
      <c r="G17" s="2">
        <v>0.50351096863508704</v>
      </c>
      <c r="H17" s="2">
        <v>1.4152499999999986</v>
      </c>
      <c r="I17" s="2">
        <v>0.70817841468913467</v>
      </c>
      <c r="K17">
        <v>2001</v>
      </c>
      <c r="L17">
        <v>0.53494854251811197</v>
      </c>
      <c r="M17">
        <v>0.9537050000000038</v>
      </c>
      <c r="N17">
        <v>0.49886380919229079</v>
      </c>
      <c r="P17">
        <v>2001</v>
      </c>
      <c r="Q17">
        <v>0.57289305372677979</v>
      </c>
      <c r="R17">
        <v>1.2471999999999994</v>
      </c>
      <c r="S17">
        <v>0.71451221660803943</v>
      </c>
      <c r="U17">
        <v>2001</v>
      </c>
      <c r="V17">
        <f t="shared" si="1"/>
        <v>0.56142604127635265</v>
      </c>
      <c r="W17">
        <f t="shared" si="2"/>
        <v>1.3915387500000012</v>
      </c>
      <c r="X17">
        <f t="shared" si="3"/>
        <v>0.78963501523226465</v>
      </c>
    </row>
    <row r="18" spans="1:24" x14ac:dyDescent="0.3">
      <c r="A18">
        <v>2000</v>
      </c>
      <c r="B18">
        <v>0.70601716998630637</v>
      </c>
      <c r="C18">
        <v>1.8585599999999971</v>
      </c>
      <c r="D18">
        <v>1.3121752714497474</v>
      </c>
      <c r="F18">
        <v>2000</v>
      </c>
      <c r="G18" s="2">
        <v>0.66985526297371667</v>
      </c>
      <c r="H18" s="2">
        <v>1.0459999999999994</v>
      </c>
      <c r="I18" s="2">
        <v>0.7112400589340323</v>
      </c>
      <c r="K18">
        <v>2000</v>
      </c>
      <c r="L18">
        <v>0.52667239802415378</v>
      </c>
      <c r="M18">
        <v>1.0768049999999993</v>
      </c>
      <c r="N18">
        <v>0.56616832046431131</v>
      </c>
      <c r="P18">
        <v>2000</v>
      </c>
      <c r="Q18">
        <v>0.53408645086677264</v>
      </c>
      <c r="R18">
        <v>1.055299999999999</v>
      </c>
      <c r="S18">
        <v>0.56362143159970468</v>
      </c>
      <c r="U18">
        <v>2000</v>
      </c>
      <c r="V18">
        <f t="shared" si="1"/>
        <v>0.60915782046273736</v>
      </c>
      <c r="W18">
        <f t="shared" si="2"/>
        <v>1.2591662499999987</v>
      </c>
      <c r="X18">
        <f t="shared" si="3"/>
        <v>0.78830127061194899</v>
      </c>
    </row>
    <row r="19" spans="1:24" x14ac:dyDescent="0.3">
      <c r="A19">
        <v>1999</v>
      </c>
      <c r="B19">
        <v>0.66479200294650287</v>
      </c>
      <c r="C19">
        <v>1.385929999999906</v>
      </c>
      <c r="D19">
        <v>0.92135518064358424</v>
      </c>
      <c r="F19">
        <v>1999</v>
      </c>
      <c r="G19" s="2">
        <v>0.70042237285114906</v>
      </c>
      <c r="H19" s="2">
        <v>1.169100000000002</v>
      </c>
      <c r="I19" s="2">
        <v>0.83845006315563886</v>
      </c>
      <c r="K19">
        <v>1999</v>
      </c>
      <c r="L19">
        <v>0.71308219546143758</v>
      </c>
      <c r="M19">
        <v>0.64608999999999739</v>
      </c>
      <c r="N19">
        <v>0.44260506374199293</v>
      </c>
      <c r="P19">
        <v>1999</v>
      </c>
      <c r="Q19">
        <v>0.48200489256551976</v>
      </c>
      <c r="R19">
        <v>1.247200000000003</v>
      </c>
      <c r="S19">
        <v>0.60115650200771764</v>
      </c>
      <c r="U19">
        <v>1999</v>
      </c>
      <c r="V19">
        <f t="shared" si="1"/>
        <v>0.64007536595615233</v>
      </c>
      <c r="W19">
        <f t="shared" si="2"/>
        <v>1.1120799999999771</v>
      </c>
      <c r="X19">
        <f t="shared" si="3"/>
        <v>0.70089170238723342</v>
      </c>
    </row>
    <row r="20" spans="1:24" x14ac:dyDescent="0.3">
      <c r="A20">
        <v>1998</v>
      </c>
      <c r="B20">
        <v>0.66611236516281425</v>
      </c>
      <c r="C20">
        <v>1.1727099999999204</v>
      </c>
      <c r="D20">
        <v>0.78115663175003092</v>
      </c>
      <c r="F20">
        <v>1998</v>
      </c>
      <c r="G20" s="2">
        <v>0.59090813888701132</v>
      </c>
      <c r="H20" s="2">
        <v>0.98449999999999882</v>
      </c>
      <c r="I20" s="2">
        <v>0.5878509286592386</v>
      </c>
      <c r="K20">
        <v>1998</v>
      </c>
      <c r="L20">
        <v>0.71589061918852981</v>
      </c>
      <c r="M20">
        <v>1.046014999999989</v>
      </c>
      <c r="N20">
        <v>0.72476010484365416</v>
      </c>
      <c r="P20">
        <v>1998</v>
      </c>
      <c r="Q20">
        <v>0.59003596014626836</v>
      </c>
      <c r="R20">
        <v>1.7269000000000005</v>
      </c>
      <c r="S20">
        <v>1.0189330995765911</v>
      </c>
      <c r="U20">
        <v>1998</v>
      </c>
      <c r="V20">
        <f t="shared" si="1"/>
        <v>0.64073677084615599</v>
      </c>
      <c r="W20">
        <f t="shared" si="2"/>
        <v>1.2325312499999772</v>
      </c>
      <c r="X20">
        <f t="shared" si="3"/>
        <v>0.77817519120737866</v>
      </c>
    </row>
    <row r="21" spans="1:24" x14ac:dyDescent="0.3">
      <c r="A21">
        <v>1997</v>
      </c>
      <c r="B21">
        <v>0.61890940418207974</v>
      </c>
      <c r="C21">
        <v>1.2945499999999122</v>
      </c>
      <c r="D21">
        <v>0.80120916918385698</v>
      </c>
      <c r="F21">
        <v>1997</v>
      </c>
      <c r="G21" s="2">
        <v>0.52523046681410579</v>
      </c>
      <c r="H21" s="2">
        <v>1.4767499999999991</v>
      </c>
      <c r="I21" s="2">
        <v>0.77563411951750616</v>
      </c>
      <c r="K21">
        <v>1997</v>
      </c>
      <c r="L21">
        <v>0.82718193710588928</v>
      </c>
      <c r="M21">
        <v>0.67681499999999506</v>
      </c>
      <c r="N21">
        <v>0.55984610728219797</v>
      </c>
      <c r="P21">
        <v>1997</v>
      </c>
      <c r="Q21">
        <v>0.58438083763973847</v>
      </c>
      <c r="R21">
        <v>1.055299999999999</v>
      </c>
      <c r="S21">
        <v>0.61669709796121541</v>
      </c>
      <c r="U21">
        <v>1997</v>
      </c>
      <c r="V21">
        <f t="shared" si="1"/>
        <v>0.63892566143545326</v>
      </c>
      <c r="W21">
        <f t="shared" si="2"/>
        <v>1.1258537499999763</v>
      </c>
      <c r="X21">
        <f t="shared" si="3"/>
        <v>0.68834662348619413</v>
      </c>
    </row>
    <row r="22" spans="1:24" x14ac:dyDescent="0.3">
      <c r="A22">
        <v>1996</v>
      </c>
      <c r="B22">
        <v>0.77974002807780207</v>
      </c>
      <c r="C22">
        <v>1.0660999999999277</v>
      </c>
      <c r="D22">
        <v>0.8312808439336884</v>
      </c>
      <c r="F22">
        <v>1996</v>
      </c>
      <c r="G22" s="2">
        <v>0.60600382818448817</v>
      </c>
      <c r="H22" s="2">
        <v>0.98450000000000237</v>
      </c>
      <c r="I22" s="2">
        <v>0.59923534487344865</v>
      </c>
      <c r="K22">
        <v>1996</v>
      </c>
      <c r="L22">
        <v>0.85441688999434573</v>
      </c>
      <c r="M22">
        <v>0.7691549999999916</v>
      </c>
      <c r="N22">
        <v>0.60254259341390037</v>
      </c>
      <c r="P22">
        <v>1996</v>
      </c>
      <c r="Q22">
        <v>0.67787600914017643</v>
      </c>
      <c r="R22">
        <v>1.3430999999999997</v>
      </c>
      <c r="S22">
        <v>0.91045526787617082</v>
      </c>
      <c r="U22">
        <v>1996</v>
      </c>
      <c r="V22">
        <f t="shared" si="1"/>
        <v>0.72950918884920313</v>
      </c>
      <c r="W22">
        <f t="shared" si="2"/>
        <v>1.0407137499999803</v>
      </c>
      <c r="X22">
        <f t="shared" si="3"/>
        <v>0.73587851252430203</v>
      </c>
    </row>
    <row r="23" spans="1:24" x14ac:dyDescent="0.3">
      <c r="A23">
        <v>1995</v>
      </c>
      <c r="B23">
        <v>0.74836419334761584</v>
      </c>
      <c r="C23">
        <v>1.4011600000001856</v>
      </c>
      <c r="D23">
        <v>1.0485779731510843</v>
      </c>
      <c r="F23">
        <v>1995</v>
      </c>
      <c r="G23" s="2">
        <v>0.64387738475042722</v>
      </c>
      <c r="H23" s="2">
        <v>1.3536999999999981</v>
      </c>
      <c r="I23" s="2">
        <v>0.87073936792275708</v>
      </c>
      <c r="K23">
        <v>1995</v>
      </c>
      <c r="L23">
        <v>0.85121325443096763</v>
      </c>
      <c r="M23">
        <v>0.86141499999999738</v>
      </c>
      <c r="N23">
        <v>0.73935514027613891</v>
      </c>
      <c r="P23">
        <v>1995</v>
      </c>
      <c r="Q23">
        <v>0.59963240445555288</v>
      </c>
      <c r="R23">
        <v>1.2471999999999994</v>
      </c>
      <c r="S23">
        <v>0.74786153483696516</v>
      </c>
      <c r="U23">
        <v>1995</v>
      </c>
      <c r="V23">
        <f t="shared" si="1"/>
        <v>0.71077180924614092</v>
      </c>
      <c r="W23">
        <f t="shared" si="2"/>
        <v>1.2158687500000451</v>
      </c>
      <c r="X23">
        <f t="shared" si="3"/>
        <v>0.85163350404673643</v>
      </c>
    </row>
    <row r="24" spans="1:24" x14ac:dyDescent="0.3">
      <c r="A24">
        <v>1994</v>
      </c>
      <c r="B24">
        <v>0.6926167422409768</v>
      </c>
      <c r="C24">
        <v>1.4468500000002393</v>
      </c>
      <c r="D24">
        <v>1.0021125335115231</v>
      </c>
      <c r="F24">
        <v>1994</v>
      </c>
      <c r="G24" s="2">
        <v>0.81865739524132075</v>
      </c>
      <c r="H24" s="2">
        <v>0.98445000000000249</v>
      </c>
      <c r="I24" s="2">
        <v>0.76456859730954474</v>
      </c>
      <c r="K24">
        <v>1994</v>
      </c>
      <c r="L24">
        <v>0.79686434305029263</v>
      </c>
      <c r="M24">
        <v>0.89219499999999208</v>
      </c>
      <c r="N24">
        <v>0.71589233484356884</v>
      </c>
      <c r="P24">
        <v>1994</v>
      </c>
      <c r="Q24">
        <v>0.56982579694196167</v>
      </c>
      <c r="R24">
        <v>1.5350000000000001</v>
      </c>
      <c r="S24">
        <v>0.87468259830591122</v>
      </c>
      <c r="U24">
        <v>1994</v>
      </c>
      <c r="V24">
        <f t="shared" si="1"/>
        <v>0.71949106936863794</v>
      </c>
      <c r="W24">
        <f t="shared" si="2"/>
        <v>1.2146237500000585</v>
      </c>
      <c r="X24">
        <f t="shared" si="3"/>
        <v>0.83931401599263689</v>
      </c>
    </row>
    <row r="25" spans="1:24" x14ac:dyDescent="0.3">
      <c r="A25">
        <v>1993</v>
      </c>
      <c r="B25">
        <v>0.76029312857435793</v>
      </c>
      <c r="C25">
        <v>1.172710000000194</v>
      </c>
      <c r="D25">
        <v>0.89160335481058273</v>
      </c>
      <c r="F25">
        <v>1993</v>
      </c>
      <c r="G25" s="2">
        <v>0.88679283828880051</v>
      </c>
      <c r="H25" s="2">
        <v>1.0767999999999986</v>
      </c>
      <c r="I25" s="2">
        <v>0.95349089884239235</v>
      </c>
      <c r="K25">
        <v>1993</v>
      </c>
      <c r="L25">
        <v>0.75598229542607998</v>
      </c>
      <c r="M25">
        <v>0.83067999999999564</v>
      </c>
      <c r="N25">
        <v>0.61956460002957803</v>
      </c>
      <c r="P25">
        <v>1993</v>
      </c>
      <c r="Q25">
        <v>0.6501205212778246</v>
      </c>
      <c r="R25">
        <v>1.1512000000000029</v>
      </c>
      <c r="S25">
        <v>0.74841874409503351</v>
      </c>
      <c r="U25">
        <v>1993</v>
      </c>
      <c r="V25">
        <f t="shared" si="1"/>
        <v>0.76329719589176581</v>
      </c>
      <c r="W25">
        <f t="shared" si="2"/>
        <v>1.0578475000000478</v>
      </c>
      <c r="X25">
        <f t="shared" si="3"/>
        <v>0.80326939944439668</v>
      </c>
    </row>
    <row r="26" spans="1:24" x14ac:dyDescent="0.3">
      <c r="A26">
        <v>1992</v>
      </c>
      <c r="B26">
        <v>0.76810429618206189</v>
      </c>
      <c r="C26">
        <v>2.0103600000003325</v>
      </c>
      <c r="D26">
        <v>1.5441661528728254</v>
      </c>
      <c r="F26">
        <v>1992</v>
      </c>
      <c r="G26" s="2">
        <v>0.71387630066026131</v>
      </c>
      <c r="H26" s="2">
        <v>0.76915000000000155</v>
      </c>
      <c r="I26" s="2">
        <v>0.56062985979710434</v>
      </c>
      <c r="K26">
        <v>1992</v>
      </c>
      <c r="L26">
        <v>0.69779790221756244</v>
      </c>
      <c r="M26">
        <v>0.89217999999999265</v>
      </c>
      <c r="N26">
        <v>0.59254863011101266</v>
      </c>
      <c r="P26">
        <v>1992</v>
      </c>
      <c r="Q26">
        <v>0.63378304667212648</v>
      </c>
      <c r="R26">
        <v>0.9593999999999987</v>
      </c>
      <c r="S26">
        <v>0.60805145497723734</v>
      </c>
      <c r="U26">
        <v>1992</v>
      </c>
      <c r="V26">
        <f t="shared" si="1"/>
        <v>0.70339038643300311</v>
      </c>
      <c r="W26">
        <f t="shared" si="2"/>
        <v>1.1577725000000814</v>
      </c>
      <c r="X26">
        <f t="shared" si="3"/>
        <v>0.82634902443954483</v>
      </c>
    </row>
    <row r="27" spans="1:24" x14ac:dyDescent="0.3">
      <c r="A27">
        <v>1991</v>
      </c>
      <c r="B27">
        <v>0.65620243433983938</v>
      </c>
      <c r="C27">
        <v>1.5686900000002595</v>
      </c>
      <c r="D27">
        <v>1.0293781967247329</v>
      </c>
      <c r="F27">
        <v>1991</v>
      </c>
      <c r="G27" s="2">
        <v>0.63080809461000487</v>
      </c>
      <c r="H27" s="2">
        <v>0.73839999999999684</v>
      </c>
      <c r="I27" s="2">
        <v>0.46578869706002546</v>
      </c>
      <c r="K27">
        <v>1991</v>
      </c>
      <c r="L27">
        <v>0.62302583738571038</v>
      </c>
      <c r="M27">
        <v>1.2305899999999941</v>
      </c>
      <c r="N27">
        <v>0.76209078640621852</v>
      </c>
      <c r="P27">
        <v>1991</v>
      </c>
      <c r="Q27">
        <v>0.52384833601460545</v>
      </c>
      <c r="R27">
        <v>1.1937999999999747</v>
      </c>
      <c r="S27">
        <v>0.62537014353422271</v>
      </c>
      <c r="U27">
        <v>1991</v>
      </c>
      <c r="V27">
        <f t="shared" si="1"/>
        <v>0.60847117558754005</v>
      </c>
      <c r="W27">
        <f t="shared" si="2"/>
        <v>1.1828700000000563</v>
      </c>
      <c r="X27">
        <f t="shared" si="3"/>
        <v>0.72065695593129986</v>
      </c>
    </row>
    <row r="28" spans="1:24" x14ac:dyDescent="0.3">
      <c r="A28">
        <v>1990</v>
      </c>
      <c r="B28">
        <v>0.78449149465825085</v>
      </c>
      <c r="C28">
        <v>0.95949000000015872</v>
      </c>
      <c r="D28">
        <v>0.75271174420976961</v>
      </c>
      <c r="F28">
        <v>1990</v>
      </c>
      <c r="G28" s="2">
        <v>0.59964177730052426</v>
      </c>
      <c r="H28" s="2">
        <v>0.73835000000000051</v>
      </c>
      <c r="I28" s="2">
        <v>0.45654865897371777</v>
      </c>
      <c r="K28">
        <v>1990</v>
      </c>
      <c r="L28">
        <v>0.58447851851907329</v>
      </c>
      <c r="M28">
        <v>0.76915499999999248</v>
      </c>
      <c r="N28">
        <v>0.42031611987255058</v>
      </c>
      <c r="P28">
        <v>1990</v>
      </c>
      <c r="Q28">
        <v>0.46937183093708179</v>
      </c>
      <c r="R28">
        <v>1.3499999999999694</v>
      </c>
      <c r="S28">
        <v>0.63365197176504606</v>
      </c>
      <c r="U28">
        <v>1990</v>
      </c>
      <c r="V28">
        <f t="shared" si="1"/>
        <v>0.60949590535373255</v>
      </c>
      <c r="W28">
        <f t="shared" si="2"/>
        <v>0.95424875000003029</v>
      </c>
      <c r="X28">
        <f t="shared" si="3"/>
        <v>0.56580712370527098</v>
      </c>
    </row>
    <row r="29" spans="1:24" x14ac:dyDescent="0.3">
      <c r="A29">
        <v>1989</v>
      </c>
      <c r="B29">
        <v>0.776338462589375</v>
      </c>
      <c r="C29">
        <v>1.1422500000001889</v>
      </c>
      <c r="D29">
        <v>0.88677260889286025</v>
      </c>
      <c r="F29">
        <v>1989</v>
      </c>
      <c r="G29" s="2">
        <v>0.61377281046343302</v>
      </c>
      <c r="H29" s="2">
        <v>1.1997999999999998</v>
      </c>
      <c r="I29" s="2">
        <v>0.73933151141646281</v>
      </c>
      <c r="K29">
        <v>1989</v>
      </c>
      <c r="L29">
        <v>0.64083837890739348</v>
      </c>
      <c r="M29">
        <v>0.76914499999999286</v>
      </c>
      <c r="N29">
        <v>0.4914516433390364</v>
      </c>
      <c r="P29">
        <v>1989</v>
      </c>
      <c r="Q29">
        <v>0.56713627850103188</v>
      </c>
      <c r="R29">
        <v>0.80999999999997385</v>
      </c>
      <c r="S29">
        <v>0.45938038558582101</v>
      </c>
      <c r="U29">
        <v>1989</v>
      </c>
      <c r="V29">
        <f t="shared" si="1"/>
        <v>0.6495214826153084</v>
      </c>
      <c r="W29">
        <f t="shared" si="2"/>
        <v>0.98029875000003885</v>
      </c>
      <c r="X29">
        <f t="shared" si="3"/>
        <v>0.64423403730854512</v>
      </c>
    </row>
    <row r="30" spans="1:24" x14ac:dyDescent="0.3">
      <c r="A30">
        <v>1988</v>
      </c>
      <c r="B30">
        <v>0.78466399897105932</v>
      </c>
      <c r="C30">
        <v>1.8428300000003048</v>
      </c>
      <c r="D30">
        <v>1.4460023572240763</v>
      </c>
      <c r="F30">
        <v>1988</v>
      </c>
      <c r="G30" s="2">
        <v>0.56183076562933643</v>
      </c>
      <c r="H30" s="2">
        <v>0.86150000000000304</v>
      </c>
      <c r="I30" s="2">
        <v>0.4475926524383611</v>
      </c>
      <c r="K30">
        <v>1988</v>
      </c>
      <c r="L30">
        <v>0.66826842508304585</v>
      </c>
      <c r="M30">
        <v>1.1690849999999902</v>
      </c>
      <c r="N30">
        <v>0.7812628830357784</v>
      </c>
      <c r="P30">
        <v>1988</v>
      </c>
      <c r="Q30">
        <v>0.52304360468762334</v>
      </c>
      <c r="R30">
        <v>1.1699999999999733</v>
      </c>
      <c r="S30">
        <v>0.61196101748450538</v>
      </c>
      <c r="U30">
        <v>1988</v>
      </c>
      <c r="V30">
        <f t="shared" si="1"/>
        <v>0.63445169859276618</v>
      </c>
      <c r="W30">
        <f t="shared" si="2"/>
        <v>1.2608537500000678</v>
      </c>
      <c r="X30">
        <f t="shared" si="3"/>
        <v>0.82170472754568036</v>
      </c>
    </row>
    <row r="31" spans="1:24" x14ac:dyDescent="0.3">
      <c r="A31">
        <v>1987</v>
      </c>
      <c r="B31">
        <v>0.89453814705639556</v>
      </c>
      <c r="C31">
        <v>1.203170000000199</v>
      </c>
      <c r="D31">
        <v>1.0762814623940216</v>
      </c>
      <c r="F31">
        <v>1987</v>
      </c>
      <c r="G31" s="2">
        <v>0.54292598843672168</v>
      </c>
      <c r="H31" s="2">
        <v>0.89214999999999911</v>
      </c>
      <c r="I31" s="2">
        <v>0.49782862848653975</v>
      </c>
      <c r="K31">
        <v>1987</v>
      </c>
      <c r="L31">
        <v>0.63480148686461924</v>
      </c>
      <c r="M31">
        <v>0.86142499999999345</v>
      </c>
      <c r="N31">
        <v>0.55103488744915496</v>
      </c>
      <c r="P31">
        <v>1987</v>
      </c>
      <c r="Q31">
        <v>0.719947161645767</v>
      </c>
      <c r="R31">
        <v>0.71999999999998465</v>
      </c>
      <c r="S31">
        <v>0.5183619563849412</v>
      </c>
      <c r="U31">
        <v>1987</v>
      </c>
      <c r="V31">
        <f t="shared" si="1"/>
        <v>0.69805319600087579</v>
      </c>
      <c r="W31">
        <f t="shared" si="2"/>
        <v>0.91918625000004406</v>
      </c>
      <c r="X31">
        <f t="shared" si="3"/>
        <v>0.6608767336786644</v>
      </c>
    </row>
    <row r="32" spans="1:24" x14ac:dyDescent="0.3">
      <c r="A32">
        <v>1986</v>
      </c>
      <c r="B32">
        <v>0.81054867661912278</v>
      </c>
      <c r="C32">
        <v>1.0508700000001738</v>
      </c>
      <c r="D32">
        <v>0.85178128779887841</v>
      </c>
      <c r="F32">
        <v>1986</v>
      </c>
      <c r="G32" s="2">
        <v>0.63018579966265575</v>
      </c>
      <c r="H32" s="2">
        <v>1.2917500000000146</v>
      </c>
      <c r="I32" s="2">
        <v>0.7917263393273033</v>
      </c>
      <c r="K32">
        <v>1986</v>
      </c>
      <c r="L32">
        <v>0.61315743141499279</v>
      </c>
      <c r="M32">
        <v>1.1075449999999947</v>
      </c>
      <c r="N32">
        <v>0.65080635643768725</v>
      </c>
      <c r="P32">
        <v>1986</v>
      </c>
      <c r="Q32">
        <v>0.71704007931290226</v>
      </c>
      <c r="R32">
        <v>1.1699999999999662</v>
      </c>
      <c r="S32">
        <v>0.83893689279607142</v>
      </c>
      <c r="U32">
        <v>1986</v>
      </c>
      <c r="V32">
        <f t="shared" si="1"/>
        <v>0.6927329967524184</v>
      </c>
      <c r="W32">
        <f t="shared" si="2"/>
        <v>1.1550412500000373</v>
      </c>
      <c r="X32">
        <f t="shared" si="3"/>
        <v>0.78331271908998512</v>
      </c>
    </row>
    <row r="33" spans="1:24" x14ac:dyDescent="0.3">
      <c r="A33">
        <v>1985</v>
      </c>
      <c r="B33">
        <v>0.7934496045361924</v>
      </c>
      <c r="C33">
        <v>1.0204100000001688</v>
      </c>
      <c r="D33">
        <v>0.80964391096491006</v>
      </c>
      <c r="F33">
        <v>1985</v>
      </c>
      <c r="G33" s="2">
        <v>0.85131910619378748</v>
      </c>
      <c r="H33" s="2">
        <v>0.5843500000000077</v>
      </c>
      <c r="I33" s="2">
        <v>0.43740082648687018</v>
      </c>
      <c r="K33">
        <v>1985</v>
      </c>
      <c r="L33">
        <v>0.70504648019082516</v>
      </c>
      <c r="M33">
        <v>1.2613499999999895</v>
      </c>
      <c r="N33">
        <v>0.89200805520861148</v>
      </c>
      <c r="P33">
        <v>1985</v>
      </c>
      <c r="Q33">
        <v>0.76490269741349592</v>
      </c>
      <c r="R33">
        <v>0.89999999999997726</v>
      </c>
      <c r="S33">
        <v>0.68841242767212896</v>
      </c>
      <c r="U33">
        <v>1985</v>
      </c>
      <c r="V33">
        <f t="shared" si="1"/>
        <v>0.77867947208357524</v>
      </c>
      <c r="W33">
        <f t="shared" si="2"/>
        <v>0.94152750000003582</v>
      </c>
      <c r="X33">
        <f t="shared" si="3"/>
        <v>0.7068663050831302</v>
      </c>
    </row>
    <row r="34" spans="1:24" x14ac:dyDescent="0.3">
      <c r="A34">
        <v>1984</v>
      </c>
      <c r="B34">
        <v>0.85550138424563937</v>
      </c>
      <c r="C34">
        <v>0.77673000000012848</v>
      </c>
      <c r="D34">
        <v>0.66449359018522536</v>
      </c>
      <c r="F34">
        <v>1984</v>
      </c>
      <c r="G34" s="2">
        <v>0.77308150928458519</v>
      </c>
      <c r="H34" s="2">
        <v>0.953599999999998</v>
      </c>
      <c r="I34" s="2">
        <v>0.8207217989291149</v>
      </c>
      <c r="K34">
        <v>1984</v>
      </c>
      <c r="L34">
        <v>0.73257958006057211</v>
      </c>
      <c r="M34">
        <v>0.86142999999999681</v>
      </c>
      <c r="N34">
        <v>0.63332075447020586</v>
      </c>
      <c r="P34">
        <v>1984</v>
      </c>
      <c r="Q34">
        <v>0.55710808078657648</v>
      </c>
      <c r="R34">
        <v>0.89999999999997726</v>
      </c>
      <c r="S34">
        <v>0.50139727270790613</v>
      </c>
      <c r="U34">
        <v>1984</v>
      </c>
      <c r="V34">
        <f t="shared" si="1"/>
        <v>0.72956763859434326</v>
      </c>
      <c r="W34">
        <f t="shared" si="2"/>
        <v>0.87294000000002514</v>
      </c>
      <c r="X34">
        <f t="shared" si="3"/>
        <v>0.65498335407311314</v>
      </c>
    </row>
    <row r="35" spans="1:24" x14ac:dyDescent="0.3">
      <c r="F35">
        <v>1983</v>
      </c>
      <c r="G35" s="2">
        <v>0.68415360113140322</v>
      </c>
      <c r="H35" s="2">
        <v>0.89200000000001012</v>
      </c>
      <c r="I35" s="2">
        <v>0.62844632968363867</v>
      </c>
      <c r="K35">
        <v>1983</v>
      </c>
      <c r="L35">
        <v>0.6386833972293422</v>
      </c>
      <c r="M35">
        <v>1.2306149999999896</v>
      </c>
      <c r="N35">
        <v>0.78843226087938445</v>
      </c>
      <c r="P35">
        <v>1983</v>
      </c>
      <c r="Q35">
        <v>0.47130339932808457</v>
      </c>
      <c r="R35">
        <v>0.98999999999997357</v>
      </c>
      <c r="S35">
        <v>0.46659036533479126</v>
      </c>
      <c r="U35">
        <v>1983</v>
      </c>
      <c r="V35">
        <f t="shared" si="1"/>
        <v>0.59804679922961002</v>
      </c>
      <c r="W35">
        <f t="shared" si="2"/>
        <v>1.0375383333333243</v>
      </c>
      <c r="X35">
        <f t="shared" si="3"/>
        <v>0.6278229852992715</v>
      </c>
    </row>
    <row r="36" spans="1:24" x14ac:dyDescent="0.3">
      <c r="F36">
        <v>1982</v>
      </c>
      <c r="G36" s="2">
        <v>0.80671152144700775</v>
      </c>
      <c r="H36" s="2">
        <v>1.0151000000000039</v>
      </c>
      <c r="I36" s="2">
        <v>0.92498358043147844</v>
      </c>
      <c r="K36">
        <v>1982</v>
      </c>
      <c r="L36">
        <v>0.5508457004534677</v>
      </c>
      <c r="M36">
        <v>1.1383499999999902</v>
      </c>
      <c r="N36">
        <v>0.62982882129656192</v>
      </c>
      <c r="P36">
        <v>1982</v>
      </c>
      <c r="Q36">
        <v>0.53071147091004511</v>
      </c>
      <c r="R36">
        <v>0.80999999999998096</v>
      </c>
      <c r="S36">
        <v>0.42987629143712641</v>
      </c>
      <c r="U36">
        <v>1982</v>
      </c>
      <c r="V36">
        <f t="shared" si="1"/>
        <v>0.62942289760350689</v>
      </c>
      <c r="W36">
        <f t="shared" si="2"/>
        <v>0.98781666666665835</v>
      </c>
      <c r="X36">
        <f t="shared" si="3"/>
        <v>0.66156289772172228</v>
      </c>
    </row>
    <row r="37" spans="1:24" x14ac:dyDescent="0.3">
      <c r="F37">
        <v>1981</v>
      </c>
      <c r="G37" s="2">
        <v>0.75366653046391963</v>
      </c>
      <c r="H37" s="2">
        <v>0.98425000000000651</v>
      </c>
      <c r="I37" s="2">
        <v>0.74184980576599502</v>
      </c>
      <c r="K37">
        <v>1981</v>
      </c>
      <c r="L37">
        <v>0.60134254851155777</v>
      </c>
      <c r="M37">
        <v>0.86142999999999148</v>
      </c>
      <c r="N37">
        <v>0.5228740150658</v>
      </c>
      <c r="P37">
        <v>1981</v>
      </c>
      <c r="Q37">
        <v>0.69212054209374074</v>
      </c>
      <c r="R37">
        <v>1.079999999999977</v>
      </c>
      <c r="S37">
        <v>0.74749018546122403</v>
      </c>
      <c r="U37">
        <v>1981</v>
      </c>
      <c r="V37">
        <f t="shared" si="1"/>
        <v>0.68237654035640605</v>
      </c>
      <c r="W37">
        <f t="shared" si="2"/>
        <v>0.97522666666665836</v>
      </c>
      <c r="X37">
        <f t="shared" si="3"/>
        <v>0.67073800209767309</v>
      </c>
    </row>
    <row r="38" spans="1:24" x14ac:dyDescent="0.3">
      <c r="F38">
        <v>1980</v>
      </c>
      <c r="G38" s="2">
        <v>0.94822180507999421</v>
      </c>
      <c r="H38" s="2">
        <v>1.3534000000000113</v>
      </c>
      <c r="I38" s="2">
        <v>1.327986978907326</v>
      </c>
      <c r="K38">
        <v>1980</v>
      </c>
      <c r="L38">
        <v>0.56583395758951227</v>
      </c>
      <c r="M38">
        <v>1.2306099999999915</v>
      </c>
      <c r="N38">
        <v>0.66457058438635119</v>
      </c>
      <c r="P38">
        <v>1980</v>
      </c>
      <c r="Q38">
        <v>0.83645864089811961</v>
      </c>
      <c r="R38">
        <v>0.71999999999997755</v>
      </c>
      <c r="S38">
        <v>0.60225022144662732</v>
      </c>
      <c r="U38">
        <v>1980</v>
      </c>
      <c r="V38">
        <f t="shared" si="1"/>
        <v>0.78350480118920862</v>
      </c>
      <c r="W38">
        <f t="shared" si="2"/>
        <v>1.1013366666666602</v>
      </c>
      <c r="X38">
        <f t="shared" si="3"/>
        <v>0.86493592824676824</v>
      </c>
    </row>
    <row r="39" spans="1:24" x14ac:dyDescent="0.3">
      <c r="F39">
        <v>1979</v>
      </c>
      <c r="G39" s="2">
        <v>0.85356214540044717</v>
      </c>
      <c r="H39" s="2">
        <v>1.1072500000000076</v>
      </c>
      <c r="I39" s="2">
        <v>0.91672792466913133</v>
      </c>
      <c r="K39">
        <v>1979</v>
      </c>
      <c r="L39">
        <v>0.60077672934333548</v>
      </c>
      <c r="M39">
        <v>0.95372499999999505</v>
      </c>
      <c r="N39">
        <v>0.57070539072635973</v>
      </c>
      <c r="P39">
        <v>1979</v>
      </c>
      <c r="Q39">
        <v>0.87285757913983075</v>
      </c>
      <c r="R39">
        <v>0.80999999999998096</v>
      </c>
      <c r="S39">
        <v>0.70701463910324625</v>
      </c>
      <c r="U39">
        <v>1979</v>
      </c>
      <c r="V39">
        <f t="shared" si="1"/>
        <v>0.77573215129453776</v>
      </c>
      <c r="W39">
        <f t="shared" si="2"/>
        <v>0.95699166666666124</v>
      </c>
      <c r="X39">
        <f t="shared" si="3"/>
        <v>0.73148265149957903</v>
      </c>
    </row>
    <row r="40" spans="1:24" x14ac:dyDescent="0.3">
      <c r="F40">
        <v>1978</v>
      </c>
      <c r="G40" s="2">
        <v>0.87640622204459429</v>
      </c>
      <c r="H40" s="2">
        <v>1.4763000000000126</v>
      </c>
      <c r="I40" s="2">
        <v>1.2794970652312596</v>
      </c>
      <c r="K40">
        <v>1978</v>
      </c>
      <c r="L40">
        <v>0.84251149435847561</v>
      </c>
      <c r="M40">
        <v>0.7383299999999906</v>
      </c>
      <c r="N40">
        <v>0.62205235544977144</v>
      </c>
      <c r="P40">
        <v>1978</v>
      </c>
      <c r="Q40">
        <v>0.82326036972549699</v>
      </c>
      <c r="R40">
        <v>0.89999999999997726</v>
      </c>
      <c r="S40">
        <v>0.74093433275292853</v>
      </c>
      <c r="U40">
        <v>1978</v>
      </c>
      <c r="V40">
        <f t="shared" si="1"/>
        <v>0.84739269537618911</v>
      </c>
      <c r="W40">
        <f t="shared" si="2"/>
        <v>1.0382099999999934</v>
      </c>
      <c r="X40">
        <f t="shared" si="3"/>
        <v>0.88082791781131986</v>
      </c>
    </row>
    <row r="41" spans="1:24" x14ac:dyDescent="0.3">
      <c r="F41">
        <v>1977</v>
      </c>
      <c r="G41" s="2">
        <v>0.98869926642806205</v>
      </c>
      <c r="H41" s="2">
        <v>0.98425000000000651</v>
      </c>
      <c r="I41" s="2">
        <v>0.97314973128323734</v>
      </c>
      <c r="K41">
        <v>1977</v>
      </c>
      <c r="L41">
        <v>0.53492841323756024</v>
      </c>
      <c r="M41">
        <v>1.0765200000000021</v>
      </c>
      <c r="N41">
        <v>0.57548639457222928</v>
      </c>
      <c r="P41">
        <v>1977</v>
      </c>
      <c r="Q41">
        <v>0.88438981900519875</v>
      </c>
      <c r="R41">
        <v>0.98999999999997357</v>
      </c>
      <c r="S41">
        <v>0.87554592081512339</v>
      </c>
      <c r="U41">
        <v>1977</v>
      </c>
      <c r="V41">
        <f t="shared" si="1"/>
        <v>0.80267249955694042</v>
      </c>
      <c r="W41">
        <f t="shared" si="2"/>
        <v>1.0169233333333274</v>
      </c>
      <c r="X41">
        <f t="shared" si="3"/>
        <v>0.80806068222353</v>
      </c>
    </row>
    <row r="42" spans="1:24" x14ac:dyDescent="0.3">
      <c r="F42">
        <v>1976</v>
      </c>
      <c r="G42" s="2">
        <v>0.93611840376965394</v>
      </c>
      <c r="H42" s="2">
        <v>0.98400000000001597</v>
      </c>
      <c r="I42" s="2">
        <v>0.92114050930935454</v>
      </c>
      <c r="K42">
        <v>1976</v>
      </c>
      <c r="L42">
        <v>0.55824824841531795</v>
      </c>
      <c r="M42">
        <v>0.70741500000000102</v>
      </c>
      <c r="N42">
        <v>0.39259118319133557</v>
      </c>
      <c r="P42">
        <v>1976</v>
      </c>
      <c r="Q42">
        <v>0.8321466501218221</v>
      </c>
      <c r="R42">
        <v>0.71999999999998465</v>
      </c>
      <c r="S42">
        <v>0.59914558808769913</v>
      </c>
      <c r="U42">
        <v>1976</v>
      </c>
      <c r="V42">
        <f t="shared" si="1"/>
        <v>0.77550443410226466</v>
      </c>
      <c r="W42">
        <f t="shared" si="2"/>
        <v>0.80380500000000055</v>
      </c>
      <c r="X42">
        <f t="shared" si="3"/>
        <v>0.63762576019612982</v>
      </c>
    </row>
    <row r="43" spans="1:24" x14ac:dyDescent="0.3">
      <c r="F43">
        <v>1975</v>
      </c>
      <c r="G43" s="2">
        <v>0.82021214508385309</v>
      </c>
      <c r="H43" s="2">
        <v>1.1377500000000147</v>
      </c>
      <c r="I43" s="2">
        <v>0.9282087796393661</v>
      </c>
      <c r="K43">
        <v>1975</v>
      </c>
      <c r="L43">
        <v>0.5417641195775279</v>
      </c>
      <c r="M43">
        <v>0.86123999999999512</v>
      </c>
      <c r="N43">
        <v>0.46065451472630842</v>
      </c>
      <c r="P43">
        <v>1975</v>
      </c>
      <c r="Q43">
        <v>0.79203320638045016</v>
      </c>
      <c r="R43">
        <v>0.89999999999997726</v>
      </c>
      <c r="S43">
        <v>0.71282988574238715</v>
      </c>
      <c r="U43">
        <v>1975</v>
      </c>
      <c r="V43">
        <f t="shared" si="1"/>
        <v>0.71800315701394368</v>
      </c>
      <c r="W43">
        <f t="shared" si="2"/>
        <v>0.96632999999999569</v>
      </c>
      <c r="X43">
        <f t="shared" si="3"/>
        <v>0.70056439336935394</v>
      </c>
    </row>
    <row r="44" spans="1:24" x14ac:dyDescent="0.3">
      <c r="F44">
        <v>1974</v>
      </c>
      <c r="G44" s="2">
        <v>0.97093270860352487</v>
      </c>
      <c r="H44" s="2">
        <v>1.0147500000000136</v>
      </c>
      <c r="I44" s="2">
        <v>1.0406172215315421</v>
      </c>
      <c r="K44">
        <v>1974</v>
      </c>
      <c r="L44">
        <v>0.57183168482134739</v>
      </c>
      <c r="M44">
        <v>0.95347500000000096</v>
      </c>
      <c r="N44">
        <v>0.54648790662877644</v>
      </c>
      <c r="P44">
        <v>1974</v>
      </c>
      <c r="Q44">
        <v>0.80581397482949957</v>
      </c>
      <c r="R44">
        <v>0.71999999999997755</v>
      </c>
      <c r="S44">
        <v>0.58018606187722155</v>
      </c>
      <c r="U44">
        <v>1974</v>
      </c>
      <c r="V44">
        <f t="shared" si="1"/>
        <v>0.78285945608479057</v>
      </c>
      <c r="W44">
        <f t="shared" si="2"/>
        <v>0.8960749999999974</v>
      </c>
      <c r="X44">
        <f t="shared" si="3"/>
        <v>0.72243039667917996</v>
      </c>
    </row>
    <row r="45" spans="1:24" x14ac:dyDescent="0.3">
      <c r="F45">
        <v>1973</v>
      </c>
      <c r="G45" s="2">
        <v>1.1005528097566177</v>
      </c>
      <c r="H45" s="2">
        <v>1.0147500000000171</v>
      </c>
      <c r="I45" s="2">
        <v>1.1751815183538787</v>
      </c>
      <c r="K45">
        <v>1973</v>
      </c>
      <c r="L45">
        <v>0.59634735854301235</v>
      </c>
      <c r="M45">
        <v>0.89194500000000332</v>
      </c>
      <c r="N45">
        <v>0.5283680008839835</v>
      </c>
      <c r="P45">
        <v>1973</v>
      </c>
      <c r="Q45">
        <v>0.92072509048566575</v>
      </c>
      <c r="R45">
        <v>0.89999999999997726</v>
      </c>
      <c r="S45">
        <v>0.82865258143707821</v>
      </c>
      <c r="U45">
        <v>1973</v>
      </c>
      <c r="V45">
        <f t="shared" si="1"/>
        <v>0.87254175292843195</v>
      </c>
      <c r="W45">
        <f t="shared" si="2"/>
        <v>0.9355649999999992</v>
      </c>
      <c r="X45">
        <f t="shared" si="3"/>
        <v>0.84406736689164674</v>
      </c>
    </row>
    <row r="46" spans="1:24" x14ac:dyDescent="0.3">
      <c r="F46">
        <v>1972</v>
      </c>
      <c r="G46" s="2">
        <v>1.1266270205108111</v>
      </c>
      <c r="H46" s="2">
        <v>1.0147500000000171</v>
      </c>
      <c r="I46" s="2">
        <v>1.1492558233494645</v>
      </c>
      <c r="K46">
        <v>1972</v>
      </c>
      <c r="L46">
        <v>0.61544760749300309</v>
      </c>
      <c r="M46">
        <v>0.95347500000000096</v>
      </c>
      <c r="N46">
        <v>0.58492320913922879</v>
      </c>
      <c r="P46">
        <v>1972</v>
      </c>
      <c r="Q46">
        <v>0.61519311662301845</v>
      </c>
      <c r="R46">
        <v>0.98999999999998067</v>
      </c>
      <c r="S46">
        <v>0.60904118545677643</v>
      </c>
      <c r="U46">
        <v>1972</v>
      </c>
      <c r="V46">
        <f t="shared" si="1"/>
        <v>0.78575591487561081</v>
      </c>
      <c r="W46">
        <f t="shared" si="2"/>
        <v>0.98607499999999959</v>
      </c>
      <c r="X46">
        <f t="shared" si="3"/>
        <v>0.78107340598182329</v>
      </c>
    </row>
    <row r="47" spans="1:24" x14ac:dyDescent="0.3">
      <c r="F47">
        <v>1971</v>
      </c>
      <c r="G47" s="2">
        <v>0.85241701838706752</v>
      </c>
      <c r="H47" s="2">
        <v>1.0762500000000124</v>
      </c>
      <c r="I47" s="2">
        <v>0.92293524783444103</v>
      </c>
      <c r="K47">
        <v>1971</v>
      </c>
      <c r="L47">
        <v>0.67984931825788331</v>
      </c>
      <c r="M47">
        <v>0.79964999999999975</v>
      </c>
      <c r="N47">
        <v>0.55414424292419306</v>
      </c>
      <c r="P47">
        <v>1971</v>
      </c>
      <c r="Q47">
        <v>0.46302595189782775</v>
      </c>
      <c r="R47">
        <v>1.0799999999999699</v>
      </c>
      <c r="S47">
        <v>0.50006802804964001</v>
      </c>
      <c r="U47">
        <v>1971</v>
      </c>
      <c r="V47">
        <f t="shared" si="1"/>
        <v>0.66509742951425954</v>
      </c>
      <c r="W47">
        <f t="shared" si="2"/>
        <v>0.98529999999999396</v>
      </c>
      <c r="X47">
        <f t="shared" si="3"/>
        <v>0.65904917293609133</v>
      </c>
    </row>
    <row r="48" spans="1:24" x14ac:dyDescent="0.3">
      <c r="F48">
        <v>1970</v>
      </c>
      <c r="G48" s="2">
        <v>0.8895090264520441</v>
      </c>
      <c r="H48" s="2">
        <v>1.0147500000000171</v>
      </c>
      <c r="I48" s="2">
        <v>0.90029527806292453</v>
      </c>
      <c r="K48">
        <v>1970</v>
      </c>
      <c r="L48">
        <v>0.72411222338617454</v>
      </c>
      <c r="M48">
        <v>0.98423999999999978</v>
      </c>
      <c r="N48">
        <v>0.71267676899578136</v>
      </c>
      <c r="P48">
        <v>1970</v>
      </c>
      <c r="Q48">
        <v>0.52400625579033133</v>
      </c>
      <c r="R48">
        <v>0.80999999999998096</v>
      </c>
      <c r="S48">
        <v>0.4244450671901584</v>
      </c>
      <c r="U48">
        <v>1970</v>
      </c>
      <c r="V48">
        <f t="shared" si="1"/>
        <v>0.71254250187618329</v>
      </c>
      <c r="W48">
        <f t="shared" si="2"/>
        <v>0.93632999999999933</v>
      </c>
      <c r="X48">
        <f t="shared" si="3"/>
        <v>0.67913903808295473</v>
      </c>
    </row>
    <row r="49" spans="6:24" x14ac:dyDescent="0.3">
      <c r="F49">
        <v>1969</v>
      </c>
      <c r="G49" s="2">
        <v>0.85961933339383811</v>
      </c>
      <c r="H49" s="2">
        <v>1.2300000000000146</v>
      </c>
      <c r="I49" s="2">
        <v>1.0342960447019784</v>
      </c>
      <c r="K49">
        <v>1969</v>
      </c>
      <c r="L49">
        <v>0.9233631628752117</v>
      </c>
      <c r="M49">
        <v>0.92265000000000441</v>
      </c>
      <c r="N49">
        <v>0.86910968702825619</v>
      </c>
      <c r="P49">
        <v>1969</v>
      </c>
      <c r="Q49">
        <v>0.49785020137064318</v>
      </c>
      <c r="R49">
        <v>0.62999999999998124</v>
      </c>
      <c r="S49">
        <v>0.31364562686349584</v>
      </c>
      <c r="U49">
        <v>1969</v>
      </c>
      <c r="V49">
        <f t="shared" si="1"/>
        <v>0.76027756587989759</v>
      </c>
      <c r="W49">
        <f t="shared" si="2"/>
        <v>0.9275500000000001</v>
      </c>
      <c r="X49">
        <f t="shared" si="3"/>
        <v>0.73901711953124349</v>
      </c>
    </row>
    <row r="50" spans="6:24" x14ac:dyDescent="0.3">
      <c r="F50">
        <v>1968</v>
      </c>
      <c r="G50" s="2">
        <v>0.82636692775196496</v>
      </c>
      <c r="H50" s="2">
        <v>1.1070000000000171</v>
      </c>
      <c r="I50" s="2">
        <v>0.89666196306588142</v>
      </c>
      <c r="K50">
        <v>1968</v>
      </c>
      <c r="L50">
        <v>0.83003411487843337</v>
      </c>
      <c r="M50">
        <v>0.67663500000000454</v>
      </c>
      <c r="N50">
        <v>0.54531115561580024</v>
      </c>
      <c r="P50">
        <v>1968</v>
      </c>
      <c r="Q50">
        <v>0.48168744021641641</v>
      </c>
      <c r="R50">
        <v>0.62999999999998835</v>
      </c>
      <c r="S50">
        <v>0.3034630873363367</v>
      </c>
      <c r="U50">
        <v>1968</v>
      </c>
      <c r="V50">
        <f t="shared" si="1"/>
        <v>0.71269616094893828</v>
      </c>
      <c r="W50">
        <f t="shared" si="2"/>
        <v>0.80454500000000329</v>
      </c>
      <c r="X50">
        <f t="shared" si="3"/>
        <v>0.58181206867267277</v>
      </c>
    </row>
    <row r="51" spans="6:24" x14ac:dyDescent="0.3">
      <c r="F51">
        <v>1967</v>
      </c>
      <c r="G51" s="2">
        <v>0.79746528643389225</v>
      </c>
      <c r="H51" s="2">
        <v>0.95325000000001481</v>
      </c>
      <c r="I51" s="2">
        <v>0.73662903919935274</v>
      </c>
      <c r="K51">
        <v>1967</v>
      </c>
      <c r="L51">
        <v>0.70445743493143065</v>
      </c>
      <c r="M51">
        <v>1.3532550000000008</v>
      </c>
      <c r="N51">
        <v>0.91582236495469593</v>
      </c>
      <c r="P51">
        <v>1967</v>
      </c>
      <c r="Q51">
        <v>0.39111672649445189</v>
      </c>
      <c r="R51">
        <v>0.98999999999997357</v>
      </c>
      <c r="S51">
        <v>0.38720555922949701</v>
      </c>
      <c r="U51">
        <v>1967</v>
      </c>
      <c r="V51">
        <f t="shared" si="1"/>
        <v>0.63101314928659158</v>
      </c>
      <c r="W51">
        <f t="shared" si="2"/>
        <v>1.0988349999999965</v>
      </c>
      <c r="X51">
        <f t="shared" si="3"/>
        <v>0.67988565446118188</v>
      </c>
    </row>
    <row r="52" spans="6:24" x14ac:dyDescent="0.3">
      <c r="F52">
        <v>1966</v>
      </c>
      <c r="G52" s="2">
        <v>0.77333051291731758</v>
      </c>
      <c r="H52" s="2">
        <v>1.1685000000000159</v>
      </c>
      <c r="I52" s="2">
        <v>0.87664602037562023</v>
      </c>
      <c r="K52">
        <v>1966</v>
      </c>
      <c r="L52">
        <v>0.7686173339860185</v>
      </c>
      <c r="M52">
        <v>0.70741500000000457</v>
      </c>
      <c r="N52">
        <v>0.54114753258955561</v>
      </c>
      <c r="P52">
        <v>1966</v>
      </c>
      <c r="Q52">
        <v>0.46408821109644793</v>
      </c>
      <c r="R52">
        <v>1.0799999999999699</v>
      </c>
      <c r="S52">
        <v>0.50121526798414984</v>
      </c>
      <c r="U52">
        <v>1966</v>
      </c>
      <c r="V52">
        <f t="shared" si="1"/>
        <v>0.66867868599992797</v>
      </c>
      <c r="W52">
        <f t="shared" si="2"/>
        <v>0.98530499999999677</v>
      </c>
      <c r="X52">
        <f t="shared" si="3"/>
        <v>0.6396696069831086</v>
      </c>
    </row>
    <row r="53" spans="6:24" x14ac:dyDescent="0.3">
      <c r="F53">
        <v>1965</v>
      </c>
      <c r="G53" s="2">
        <v>0.72839785236252608</v>
      </c>
      <c r="H53" s="2">
        <v>1.0147500000000171</v>
      </c>
      <c r="I53" s="2">
        <v>0.74159735890132206</v>
      </c>
      <c r="K53">
        <v>1965</v>
      </c>
      <c r="L53">
        <v>0.76220929399675741</v>
      </c>
      <c r="M53">
        <v>1.0149450000000009</v>
      </c>
      <c r="N53">
        <v>0.77695611627896499</v>
      </c>
      <c r="P53">
        <v>1965</v>
      </c>
      <c r="Q53">
        <v>0.31735344679750849</v>
      </c>
      <c r="R53">
        <v>1.3499999999999659</v>
      </c>
      <c r="S53">
        <v>0.42842715317662561</v>
      </c>
      <c r="U53">
        <v>1965</v>
      </c>
      <c r="V53">
        <f t="shared" si="1"/>
        <v>0.60265353105226394</v>
      </c>
      <c r="W53">
        <f t="shared" si="2"/>
        <v>1.1265649999999947</v>
      </c>
      <c r="X53">
        <f t="shared" si="3"/>
        <v>0.64899354278563759</v>
      </c>
    </row>
    <row r="54" spans="6:24" x14ac:dyDescent="0.3">
      <c r="F54">
        <v>1964</v>
      </c>
      <c r="G54" s="2">
        <v>0.62790656272557666</v>
      </c>
      <c r="H54" s="2">
        <v>1.1070000000000135</v>
      </c>
      <c r="I54" s="2">
        <v>0.67195068269831959</v>
      </c>
      <c r="K54">
        <v>1964</v>
      </c>
      <c r="L54">
        <v>0.72740343555107478</v>
      </c>
      <c r="M54">
        <v>1.2610050000000044</v>
      </c>
      <c r="N54">
        <v>0.94841080250925347</v>
      </c>
      <c r="P54">
        <v>1964</v>
      </c>
      <c r="Q54">
        <v>0.4099426662497449</v>
      </c>
      <c r="R54">
        <v>1.2599999999999696</v>
      </c>
      <c r="S54">
        <v>0.51652775947466611</v>
      </c>
      <c r="U54">
        <v>1964</v>
      </c>
      <c r="V54">
        <f t="shared" si="1"/>
        <v>0.5884175548421321</v>
      </c>
      <c r="W54">
        <f t="shared" si="2"/>
        <v>1.2093349999999958</v>
      </c>
      <c r="X54">
        <f t="shared" si="3"/>
        <v>0.71229641489407969</v>
      </c>
    </row>
    <row r="55" spans="6:24" x14ac:dyDescent="0.3">
      <c r="F55">
        <v>1963</v>
      </c>
      <c r="G55" s="2">
        <v>0.74150239435190646</v>
      </c>
      <c r="H55" s="2">
        <v>1.199250000000017</v>
      </c>
      <c r="I55" s="2">
        <v>0.88358319507871808</v>
      </c>
      <c r="K55">
        <v>1963</v>
      </c>
      <c r="L55">
        <v>0.68854305993008857</v>
      </c>
      <c r="M55">
        <v>1.2610050000000008</v>
      </c>
      <c r="N55">
        <v>0.87931753567848281</v>
      </c>
      <c r="P55">
        <v>1963</v>
      </c>
      <c r="Q55">
        <v>0.61192856960221054</v>
      </c>
      <c r="R55">
        <v>0.98999999999997357</v>
      </c>
      <c r="S55">
        <v>0.60580928390617228</v>
      </c>
      <c r="U55">
        <v>1963</v>
      </c>
      <c r="V55">
        <f t="shared" si="1"/>
        <v>0.68065800796140186</v>
      </c>
      <c r="W55">
        <f t="shared" si="2"/>
        <v>1.1500849999999971</v>
      </c>
      <c r="X55">
        <f t="shared" si="3"/>
        <v>0.78957000488779094</v>
      </c>
    </row>
    <row r="56" spans="6:24" x14ac:dyDescent="0.3">
      <c r="F56">
        <v>1962</v>
      </c>
      <c r="G56" s="2">
        <v>0.88927649387487695</v>
      </c>
      <c r="H56" s="2">
        <v>1.0762500000000159</v>
      </c>
      <c r="I56" s="2">
        <v>0.92843315787561553</v>
      </c>
      <c r="K56">
        <v>1962</v>
      </c>
      <c r="L56">
        <v>0.7663551521374008</v>
      </c>
      <c r="M56">
        <v>0.92271000000000214</v>
      </c>
      <c r="N56">
        <v>0.70387030493616765</v>
      </c>
      <c r="P56">
        <v>1962</v>
      </c>
      <c r="Q56">
        <v>0.55972229200595403</v>
      </c>
      <c r="R56">
        <v>0.89999999999997726</v>
      </c>
      <c r="S56">
        <v>0.50375006280534584</v>
      </c>
      <c r="U56">
        <v>1962</v>
      </c>
      <c r="V56">
        <f t="shared" si="1"/>
        <v>0.73845131267274378</v>
      </c>
      <c r="W56">
        <f t="shared" si="2"/>
        <v>0.9663199999999984</v>
      </c>
      <c r="X56">
        <f t="shared" si="3"/>
        <v>0.71201784187237627</v>
      </c>
    </row>
    <row r="57" spans="6:24" x14ac:dyDescent="0.3">
      <c r="F57">
        <v>1961</v>
      </c>
      <c r="G57" s="2">
        <v>0.98628149131298914</v>
      </c>
      <c r="H57" s="2">
        <v>1.0455000000000183</v>
      </c>
      <c r="I57" s="2">
        <v>1.0192212592081</v>
      </c>
      <c r="K57">
        <v>1961</v>
      </c>
      <c r="L57">
        <v>0.77571477688989254</v>
      </c>
      <c r="M57">
        <v>1.1994600000000055</v>
      </c>
      <c r="N57">
        <v>0.9066393858004278</v>
      </c>
      <c r="P57">
        <v>1961</v>
      </c>
      <c r="Q57">
        <v>0.4229294312927247</v>
      </c>
      <c r="R57">
        <v>0.71999999999998465</v>
      </c>
      <c r="S57">
        <v>0.30450919053075531</v>
      </c>
      <c r="U57">
        <v>1961</v>
      </c>
      <c r="V57">
        <f t="shared" si="1"/>
        <v>0.72830856649853537</v>
      </c>
      <c r="W57">
        <f t="shared" si="2"/>
        <v>0.98832000000000286</v>
      </c>
      <c r="X57">
        <f t="shared" si="3"/>
        <v>0.74345661184642775</v>
      </c>
    </row>
    <row r="58" spans="6:24" x14ac:dyDescent="0.3">
      <c r="F58">
        <v>1960</v>
      </c>
      <c r="G58" s="2">
        <v>0.90130521284457887</v>
      </c>
      <c r="H58" s="2">
        <v>1.4452500000000192</v>
      </c>
      <c r="I58" s="2">
        <v>1.3226994493873183</v>
      </c>
      <c r="K58">
        <v>1960</v>
      </c>
      <c r="L58">
        <v>0.78189626364275777</v>
      </c>
      <c r="M58">
        <v>1.0148850000000031</v>
      </c>
      <c r="N58">
        <v>0.73100488554913579</v>
      </c>
      <c r="P58">
        <v>1960</v>
      </c>
      <c r="Q58">
        <v>0.64954711334511761</v>
      </c>
      <c r="R58">
        <v>1.1699999999999662</v>
      </c>
      <c r="S58">
        <v>0.75997012261376562</v>
      </c>
      <c r="U58">
        <v>1960</v>
      </c>
      <c r="V58">
        <f t="shared" si="1"/>
        <v>0.77758286327748483</v>
      </c>
      <c r="W58">
        <f t="shared" si="2"/>
        <v>1.2100449999999963</v>
      </c>
      <c r="X58">
        <f t="shared" si="3"/>
        <v>0.9378914858500732</v>
      </c>
    </row>
    <row r="59" spans="6:24" x14ac:dyDescent="0.3">
      <c r="F59">
        <v>1959</v>
      </c>
      <c r="G59" s="2">
        <v>0.79565694771959972</v>
      </c>
      <c r="H59" s="2">
        <v>1.4452500000000228</v>
      </c>
      <c r="I59" s="2">
        <v>1.1399065468476559</v>
      </c>
      <c r="K59">
        <v>1959</v>
      </c>
      <c r="L59">
        <v>0.79962808812185582</v>
      </c>
      <c r="M59">
        <v>1.0765349999999998</v>
      </c>
      <c r="N59">
        <v>0.8641394018625469</v>
      </c>
      <c r="P59">
        <v>1959</v>
      </c>
      <c r="Q59">
        <v>0.79571367285763661</v>
      </c>
      <c r="R59">
        <v>1.079999999999977</v>
      </c>
      <c r="S59">
        <v>0.85937076668622925</v>
      </c>
      <c r="U59">
        <v>1959</v>
      </c>
      <c r="V59">
        <f t="shared" si="1"/>
        <v>0.79699956956636397</v>
      </c>
      <c r="W59">
        <f t="shared" si="2"/>
        <v>1.2005949999999999</v>
      </c>
      <c r="X59">
        <f t="shared" si="3"/>
        <v>0.95447223846547724</v>
      </c>
    </row>
    <row r="60" spans="6:24" x14ac:dyDescent="0.3">
      <c r="F60">
        <v>1958</v>
      </c>
      <c r="G60" s="2">
        <v>0.85788620649012826</v>
      </c>
      <c r="H60" s="2">
        <v>1.0147500000000136</v>
      </c>
      <c r="I60" s="2">
        <v>0.86285922324616426</v>
      </c>
      <c r="K60">
        <v>1958</v>
      </c>
      <c r="L60">
        <v>0.73950163746874953</v>
      </c>
      <c r="M60">
        <v>1.1380200000000009</v>
      </c>
      <c r="N60">
        <v>0.84363122925961043</v>
      </c>
      <c r="P60">
        <v>1958</v>
      </c>
      <c r="Q60">
        <v>0.84856029869867444</v>
      </c>
      <c r="R60">
        <v>0.89999999999997726</v>
      </c>
      <c r="S60">
        <v>0.76370426882878772</v>
      </c>
      <c r="U60">
        <v>1958</v>
      </c>
      <c r="V60">
        <f t="shared" si="1"/>
        <v>0.8153160475525173</v>
      </c>
      <c r="W60">
        <f t="shared" si="2"/>
        <v>1.0175899999999973</v>
      </c>
      <c r="X60">
        <f t="shared" si="3"/>
        <v>0.82339824044485399</v>
      </c>
    </row>
    <row r="61" spans="6:24" x14ac:dyDescent="0.3">
      <c r="F61">
        <v>1957</v>
      </c>
      <c r="G61" s="2">
        <v>0.71171791436877285</v>
      </c>
      <c r="H61" s="2">
        <v>1.1992500000000135</v>
      </c>
      <c r="I61" s="2">
        <v>0.85360651340615123</v>
      </c>
      <c r="K61">
        <v>1957</v>
      </c>
      <c r="L61">
        <v>0.77987733712765017</v>
      </c>
      <c r="M61">
        <v>1.16875500000004</v>
      </c>
      <c r="N61">
        <v>0.91842566512443158</v>
      </c>
      <c r="P61">
        <v>1957</v>
      </c>
      <c r="Q61">
        <v>0.87714908103416311</v>
      </c>
      <c r="R61">
        <v>0.98999999999997357</v>
      </c>
      <c r="S61">
        <v>0.86837759022379835</v>
      </c>
      <c r="U61">
        <v>1957</v>
      </c>
      <c r="V61">
        <f t="shared" si="1"/>
        <v>0.78958144417686205</v>
      </c>
      <c r="W61">
        <f t="shared" si="2"/>
        <v>1.1193350000000091</v>
      </c>
      <c r="X61">
        <f t="shared" si="3"/>
        <v>0.88013658958479368</v>
      </c>
    </row>
    <row r="62" spans="6:24" x14ac:dyDescent="0.3">
      <c r="F62">
        <v>1956</v>
      </c>
      <c r="G62" s="2">
        <v>0.76027122021462756</v>
      </c>
      <c r="H62" s="2">
        <v>0.92250000000001364</v>
      </c>
      <c r="I62" s="2">
        <v>0.70135020064800435</v>
      </c>
      <c r="K62">
        <v>1956</v>
      </c>
      <c r="L62">
        <v>0.85525670235684603</v>
      </c>
      <c r="M62">
        <v>0.98418000000003758</v>
      </c>
      <c r="N62">
        <v>0.83081732684738241</v>
      </c>
      <c r="P62">
        <v>1956</v>
      </c>
      <c r="Q62">
        <v>0.89527752555283835</v>
      </c>
      <c r="R62">
        <v>0.98999999999998067</v>
      </c>
      <c r="S62">
        <v>0.88632475029729263</v>
      </c>
      <c r="U62">
        <v>1956</v>
      </c>
      <c r="V62">
        <f t="shared" si="1"/>
        <v>0.83693514937477076</v>
      </c>
      <c r="W62">
        <f t="shared" si="2"/>
        <v>0.96556000000001063</v>
      </c>
      <c r="X62">
        <f t="shared" si="3"/>
        <v>0.80616409259755972</v>
      </c>
    </row>
    <row r="63" spans="6:24" x14ac:dyDescent="0.3">
      <c r="F63">
        <v>1955</v>
      </c>
      <c r="G63" s="2">
        <v>0.70422167156568538</v>
      </c>
      <c r="H63" s="2">
        <v>1.2607500000000229</v>
      </c>
      <c r="I63" s="2">
        <v>0.89050069080297301</v>
      </c>
      <c r="K63">
        <v>1955</v>
      </c>
      <c r="L63">
        <v>0.85393605187783328</v>
      </c>
      <c r="M63">
        <v>1.0764300000000375</v>
      </c>
      <c r="N63">
        <v>0.87298012878702158</v>
      </c>
      <c r="P63">
        <v>1955</v>
      </c>
      <c r="Q63">
        <v>0.79185093762862613</v>
      </c>
      <c r="R63">
        <v>1.0799999999999699</v>
      </c>
      <c r="S63">
        <v>0.85519901263889231</v>
      </c>
      <c r="U63">
        <v>1955</v>
      </c>
      <c r="V63">
        <f t="shared" si="1"/>
        <v>0.7833362203573816</v>
      </c>
      <c r="W63">
        <f t="shared" si="2"/>
        <v>1.1390600000000102</v>
      </c>
      <c r="X63">
        <f t="shared" si="3"/>
        <v>0.87289327740962896</v>
      </c>
    </row>
    <row r="64" spans="6:24" x14ac:dyDescent="0.3">
      <c r="F64">
        <v>1954</v>
      </c>
      <c r="G64" s="2">
        <v>0.76671243158972913</v>
      </c>
      <c r="H64" s="2">
        <v>1.1685000000000159</v>
      </c>
      <c r="I64" s="2">
        <v>0.89590347631260991</v>
      </c>
      <c r="K64">
        <v>1954</v>
      </c>
      <c r="L64">
        <v>0.72822203851944267</v>
      </c>
      <c r="M64">
        <v>1.1072850000000543</v>
      </c>
      <c r="N64">
        <v>0.80972261864557638</v>
      </c>
      <c r="P64">
        <v>1954</v>
      </c>
      <c r="Q64">
        <v>0.79723032411821726</v>
      </c>
      <c r="R64">
        <v>1.0799999999999699</v>
      </c>
      <c r="S64">
        <v>0.86100875004765065</v>
      </c>
      <c r="U64">
        <v>1954</v>
      </c>
      <c r="V64">
        <f t="shared" si="1"/>
        <v>0.76405493140912972</v>
      </c>
      <c r="W64">
        <f t="shared" si="2"/>
        <v>1.1185950000000133</v>
      </c>
      <c r="X64">
        <f t="shared" si="3"/>
        <v>0.85554494833527894</v>
      </c>
    </row>
    <row r="65" spans="1:24" x14ac:dyDescent="0.3">
      <c r="F65">
        <v>1953</v>
      </c>
      <c r="G65" s="2">
        <v>0.75039076425955098</v>
      </c>
      <c r="H65" s="2">
        <v>1.3530000000000229</v>
      </c>
      <c r="I65" s="2">
        <v>1.0098077511960828</v>
      </c>
      <c r="K65">
        <v>1953</v>
      </c>
      <c r="L65">
        <v>0.89748802316416065</v>
      </c>
      <c r="M65">
        <v>0.92265000000003283</v>
      </c>
      <c r="N65">
        <v>0.79883707735526066</v>
      </c>
      <c r="P65">
        <v>1953</v>
      </c>
      <c r="Q65">
        <v>0.73295165878214696</v>
      </c>
      <c r="R65">
        <v>0.89999999999997726</v>
      </c>
      <c r="S65">
        <v>0.65965649290391559</v>
      </c>
      <c r="U65">
        <v>1953</v>
      </c>
      <c r="V65">
        <f t="shared" si="1"/>
        <v>0.79361014873528613</v>
      </c>
      <c r="W65">
        <f t="shared" si="2"/>
        <v>1.058550000000011</v>
      </c>
      <c r="X65">
        <f t="shared" si="3"/>
        <v>0.82276710715175305</v>
      </c>
    </row>
    <row r="66" spans="1:24" x14ac:dyDescent="0.3">
      <c r="F66">
        <v>1952</v>
      </c>
      <c r="G66" s="2">
        <v>0.76098212776803975</v>
      </c>
      <c r="H66" s="2">
        <v>1.1070000000000135</v>
      </c>
      <c r="I66" s="2">
        <v>0.81664394793153006</v>
      </c>
      <c r="K66">
        <v>1952</v>
      </c>
      <c r="L66">
        <v>0.85688327568223754</v>
      </c>
      <c r="M66">
        <v>1.0764750000000447</v>
      </c>
      <c r="N66">
        <v>0.91827855483856236</v>
      </c>
      <c r="P66">
        <v>1952</v>
      </c>
      <c r="Q66">
        <v>0.75930693338581368</v>
      </c>
      <c r="R66">
        <v>1.4399999999999693</v>
      </c>
      <c r="S66">
        <v>1.0934019840755484</v>
      </c>
      <c r="U66">
        <v>1952</v>
      </c>
      <c r="V66">
        <f t="shared" si="1"/>
        <v>0.79239077894536381</v>
      </c>
      <c r="W66">
        <f t="shared" si="2"/>
        <v>1.2078250000000093</v>
      </c>
      <c r="X66">
        <f t="shared" si="3"/>
        <v>0.94277482894854703</v>
      </c>
    </row>
    <row r="67" spans="1:24" x14ac:dyDescent="0.3">
      <c r="F67">
        <v>1951</v>
      </c>
      <c r="G67" s="2">
        <v>0.84550235845936894</v>
      </c>
      <c r="H67" s="2">
        <v>1.1070000000000277</v>
      </c>
      <c r="I67" s="2">
        <v>0.93597111081454487</v>
      </c>
      <c r="K67">
        <v>1951</v>
      </c>
      <c r="L67">
        <v>0.90648260011106097</v>
      </c>
      <c r="M67">
        <v>1.0764900000000495</v>
      </c>
      <c r="N67">
        <v>0.97625965378822244</v>
      </c>
      <c r="P67">
        <v>1951</v>
      </c>
      <c r="Q67">
        <v>0.48519218552609139</v>
      </c>
      <c r="R67">
        <v>1.4399999999999551</v>
      </c>
      <c r="S67">
        <v>0.69867674715754979</v>
      </c>
      <c r="U67">
        <v>1951</v>
      </c>
      <c r="V67">
        <f t="shared" si="1"/>
        <v>0.74572571469884041</v>
      </c>
      <c r="W67">
        <f t="shared" si="2"/>
        <v>1.2078300000000108</v>
      </c>
      <c r="X67">
        <f t="shared" si="3"/>
        <v>0.87030250392010577</v>
      </c>
    </row>
    <row r="68" spans="1:24" x14ac:dyDescent="0.3">
      <c r="F68">
        <v>1950</v>
      </c>
      <c r="G68">
        <v>0.89334446172789617</v>
      </c>
      <c r="H68">
        <v>0.92250000000001364</v>
      </c>
      <c r="I68">
        <v>0.82411026594399639</v>
      </c>
      <c r="K68">
        <v>1950</v>
      </c>
      <c r="L68">
        <v>0.7230478583965424</v>
      </c>
      <c r="M68">
        <v>1.3841100000000637</v>
      </c>
      <c r="N68">
        <v>1.0028597544391737</v>
      </c>
      <c r="P68">
        <v>1950</v>
      </c>
      <c r="Q68">
        <v>0.5947743407421936</v>
      </c>
      <c r="R68">
        <v>1.5299999999999585</v>
      </c>
      <c r="S68">
        <v>0.91000474133553155</v>
      </c>
      <c r="U68">
        <v>1950</v>
      </c>
      <c r="V68">
        <f t="shared" ref="V68:V77" si="4">AVERAGE(Q68,L68,G68,B68)</f>
        <v>0.73705555362221065</v>
      </c>
      <c r="W68">
        <f t="shared" ref="W68:W77" si="5">AVERAGE(R68,M68,H68,C68)</f>
        <v>1.2788700000000119</v>
      </c>
      <c r="X68">
        <f t="shared" ref="X68:X77" si="6">AVERAGE(S68,N68,I68,D68)</f>
        <v>0.91232492057290049</v>
      </c>
    </row>
    <row r="69" spans="1:24" x14ac:dyDescent="0.3">
      <c r="K69">
        <v>1949</v>
      </c>
      <c r="L69">
        <v>0.91030963292277434</v>
      </c>
      <c r="M69">
        <v>0.95341500000003521</v>
      </c>
      <c r="N69">
        <v>0.85294783101851801</v>
      </c>
      <c r="U69">
        <v>1949</v>
      </c>
      <c r="V69">
        <f t="shared" si="4"/>
        <v>0.91030963292277434</v>
      </c>
      <c r="W69">
        <f t="shared" si="5"/>
        <v>0.95341500000003521</v>
      </c>
      <c r="X69">
        <f t="shared" si="6"/>
        <v>0.85294783101851801</v>
      </c>
    </row>
    <row r="70" spans="1:24" x14ac:dyDescent="0.3">
      <c r="K70">
        <v>1948</v>
      </c>
      <c r="L70">
        <v>0.92724857035753971</v>
      </c>
      <c r="M70">
        <v>1.0150650000000567</v>
      </c>
      <c r="N70">
        <v>0.87652275742797991</v>
      </c>
      <c r="U70">
        <v>1948</v>
      </c>
      <c r="V70">
        <f t="shared" si="4"/>
        <v>0.92724857035753971</v>
      </c>
      <c r="W70">
        <f t="shared" si="5"/>
        <v>1.0150650000000567</v>
      </c>
      <c r="X70">
        <f t="shared" si="6"/>
        <v>0.87652275742797991</v>
      </c>
    </row>
    <row r="71" spans="1:24" x14ac:dyDescent="0.3">
      <c r="K71">
        <v>1947</v>
      </c>
      <c r="L71">
        <v>0.82134299428948521</v>
      </c>
      <c r="M71">
        <v>1.3841400000000661</v>
      </c>
      <c r="N71">
        <v>1.0702706796149679</v>
      </c>
      <c r="U71">
        <v>1947</v>
      </c>
      <c r="V71">
        <f t="shared" si="4"/>
        <v>0.82134299428948521</v>
      </c>
      <c r="W71">
        <f t="shared" si="5"/>
        <v>1.3841400000000661</v>
      </c>
      <c r="X71">
        <f t="shared" si="6"/>
        <v>1.0702706796149679</v>
      </c>
    </row>
    <row r="72" spans="1:24" x14ac:dyDescent="0.3">
      <c r="K72">
        <v>1946</v>
      </c>
      <c r="L72">
        <v>0.81977995924386438</v>
      </c>
      <c r="M72">
        <v>1.4455800000000636</v>
      </c>
      <c r="N72">
        <v>1.1953526748214651</v>
      </c>
      <c r="U72">
        <v>1946</v>
      </c>
      <c r="V72">
        <f t="shared" si="4"/>
        <v>0.81977995924386438</v>
      </c>
      <c r="W72">
        <f t="shared" si="5"/>
        <v>1.4455800000000636</v>
      </c>
      <c r="X72">
        <f t="shared" si="6"/>
        <v>1.1953526748214651</v>
      </c>
    </row>
    <row r="73" spans="1:24" x14ac:dyDescent="0.3">
      <c r="K73">
        <v>1945</v>
      </c>
      <c r="L73">
        <v>0.90412280533358014</v>
      </c>
      <c r="M73">
        <v>1.107300000000059</v>
      </c>
      <c r="N73">
        <v>0.96586806976738449</v>
      </c>
      <c r="U73">
        <v>1945</v>
      </c>
      <c r="V73">
        <f t="shared" si="4"/>
        <v>0.90412280533358014</v>
      </c>
      <c r="W73">
        <f t="shared" si="5"/>
        <v>1.107300000000059</v>
      </c>
      <c r="X73">
        <f t="shared" si="6"/>
        <v>0.96586806976738449</v>
      </c>
    </row>
    <row r="74" spans="1:24" x14ac:dyDescent="0.3">
      <c r="K74">
        <v>1944</v>
      </c>
      <c r="L74">
        <v>1.0842756867434415</v>
      </c>
      <c r="M74">
        <v>1.1072400000000471</v>
      </c>
      <c r="N74">
        <v>1.2342839600195603</v>
      </c>
      <c r="U74">
        <v>1944</v>
      </c>
      <c r="V74">
        <f t="shared" si="4"/>
        <v>1.0842756867434415</v>
      </c>
      <c r="W74">
        <f t="shared" si="5"/>
        <v>1.1072400000000471</v>
      </c>
      <c r="X74">
        <f t="shared" si="6"/>
        <v>1.2342839600195603</v>
      </c>
    </row>
    <row r="75" spans="1:24" x14ac:dyDescent="0.3">
      <c r="K75">
        <v>1943</v>
      </c>
      <c r="L75">
        <v>0.73367003295325495</v>
      </c>
      <c r="M75">
        <v>1.3536600000001044</v>
      </c>
      <c r="N75">
        <v>0.9931397768075797</v>
      </c>
      <c r="U75">
        <v>1943</v>
      </c>
      <c r="V75">
        <f t="shared" si="4"/>
        <v>0.73367003295325495</v>
      </c>
      <c r="W75">
        <f t="shared" si="5"/>
        <v>1.3536600000001044</v>
      </c>
      <c r="X75">
        <f t="shared" si="6"/>
        <v>0.9931397768075797</v>
      </c>
    </row>
    <row r="76" spans="1:24" x14ac:dyDescent="0.3">
      <c r="K76">
        <v>1942</v>
      </c>
      <c r="L76">
        <v>0.74214927169668543</v>
      </c>
      <c r="M76">
        <v>1.230600000000095</v>
      </c>
      <c r="N76">
        <v>0.91328889375001154</v>
      </c>
      <c r="U76">
        <v>1942</v>
      </c>
      <c r="V76">
        <f t="shared" si="4"/>
        <v>0.74214927169668543</v>
      </c>
      <c r="W76">
        <f t="shared" si="5"/>
        <v>1.230600000000095</v>
      </c>
      <c r="X76">
        <f t="shared" si="6"/>
        <v>0.91328889375001154</v>
      </c>
    </row>
    <row r="77" spans="1:24" x14ac:dyDescent="0.3">
      <c r="K77">
        <v>1941</v>
      </c>
      <c r="L77">
        <v>0.85518658090572208</v>
      </c>
      <c r="M77">
        <v>0.86142000000006647</v>
      </c>
      <c r="N77">
        <v>0.7366748245238639</v>
      </c>
      <c r="U77">
        <v>1941</v>
      </c>
      <c r="V77">
        <f t="shared" si="4"/>
        <v>0.85518658090572208</v>
      </c>
      <c r="W77">
        <f t="shared" si="5"/>
        <v>0.86142000000006647</v>
      </c>
      <c r="X77">
        <f t="shared" si="6"/>
        <v>0.7366748245238639</v>
      </c>
    </row>
    <row r="79" spans="1:24" x14ac:dyDescent="0.3">
      <c r="A79" t="s">
        <v>4</v>
      </c>
      <c r="B79">
        <f>AVERAGE(B3:B34)</f>
        <v>0.69663086164236254</v>
      </c>
      <c r="C79">
        <f>AVERAGE(C3:C34)</f>
        <v>1.4242271875000685</v>
      </c>
      <c r="D79">
        <f>AVERAGE(D3:D34)</f>
        <v>0.97926436093788838</v>
      </c>
      <c r="F79" t="s">
        <v>4</v>
      </c>
      <c r="G79" s="2">
        <f>AVERAGE(G3:G68)</f>
        <v>0.74844431729253647</v>
      </c>
      <c r="H79" s="2">
        <f>AVERAGE(H3:H68)</f>
        <v>1.0984333333333416</v>
      </c>
      <c r="I79" s="2">
        <f>AVERAGE(I3:I68)</f>
        <v>0.81922322995457053</v>
      </c>
      <c r="K79" t="s">
        <v>4</v>
      </c>
      <c r="L79">
        <f>AVERAGE(L3:L77)</f>
        <v>0.73030226934840137</v>
      </c>
      <c r="M79">
        <f t="shared" ref="M79:N79" si="7">AVERAGE(M3:M77)</f>
        <v>0.97410293333334497</v>
      </c>
      <c r="N79">
        <f t="shared" si="7"/>
        <v>0.70269041361860896</v>
      </c>
      <c r="P79" t="s">
        <v>4</v>
      </c>
      <c r="Q79">
        <f>AVERAGE(Q3:Q68)</f>
        <v>0.65494535688291033</v>
      </c>
      <c r="R79">
        <f>AVERAGE(R3:R68)</f>
        <v>1.0618999999999839</v>
      </c>
      <c r="S79">
        <f>AVERAGE(S3:S68)</f>
        <v>0.68813420603224551</v>
      </c>
      <c r="U79" t="s">
        <v>4</v>
      </c>
      <c r="V79">
        <f>AVERAGE(V3:V77)</f>
        <v>0.72752676286821605</v>
      </c>
      <c r="W79">
        <f t="shared" ref="W79:X79" si="8">AVERAGE(W3:W77)</f>
        <v>1.0933149611111252</v>
      </c>
      <c r="X79">
        <f t="shared" si="8"/>
        <v>0.78744549816014831</v>
      </c>
    </row>
    <row r="80" spans="1:24" x14ac:dyDescent="0.3">
      <c r="A80" t="s">
        <v>5</v>
      </c>
      <c r="B80">
        <f>_xlfn.STDEV.S(B3:B34)</f>
        <v>8.2517873414047413E-2</v>
      </c>
      <c r="C80">
        <f>_xlfn.STDEV.S(C3:C34)</f>
        <v>0.42445836338405729</v>
      </c>
      <c r="D80">
        <f>_xlfn.STDEV.S(D3:D34)</f>
        <v>0.26697919474403781</v>
      </c>
      <c r="F80" t="s">
        <v>5</v>
      </c>
      <c r="G80" s="2">
        <f>_xlfn.STDEV.S(G3:G68)</f>
        <v>0.14046393595160542</v>
      </c>
      <c r="H80" s="2">
        <f>_xlfn.STDEV.S(H3:H68)</f>
        <v>0.19975552872551675</v>
      </c>
      <c r="I80" s="2">
        <f>_xlfn.STDEV.S(I3:I68)</f>
        <v>0.20390247783548707</v>
      </c>
      <c r="K80" t="s">
        <v>5</v>
      </c>
      <c r="L80">
        <f>_xlfn.STDEV.S(L3:L77)</f>
        <v>0.12509256341490363</v>
      </c>
      <c r="M80">
        <f t="shared" ref="M80:N80" si="9">_xlfn.STDEV.S(M3:M77)</f>
        <v>0.22727820720504166</v>
      </c>
      <c r="N80">
        <f t="shared" si="9"/>
        <v>0.20139799317541882</v>
      </c>
      <c r="P80" t="s">
        <v>5</v>
      </c>
      <c r="Q80">
        <f>_xlfn.STDEV.S(Q3:Q68)</f>
        <v>0.15689888033757637</v>
      </c>
      <c r="R80">
        <f>_xlfn.STDEV.S(R3:R68)</f>
        <v>0.22648808628881659</v>
      </c>
      <c r="S80">
        <f>_xlfn.STDEV.S(S3:S68)</f>
        <v>0.18948473115442555</v>
      </c>
      <c r="U80" t="s">
        <v>5</v>
      </c>
      <c r="V80">
        <f>_xlfn.STDEV.S(V3:V77)</f>
        <v>9.372598190187785E-2</v>
      </c>
      <c r="W80">
        <f t="shared" ref="W80:X80" si="10">_xlfn.STDEV.S(W3:W77)</f>
        <v>0.1582440740207261</v>
      </c>
      <c r="X80">
        <f t="shared" si="10"/>
        <v>0.13006070659626651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80"/>
  <sheetViews>
    <sheetView topLeftCell="F1" zoomScale="80" zoomScaleNormal="85" workbookViewId="0">
      <selection activeCell="N19" sqref="N19"/>
    </sheetView>
  </sheetViews>
  <sheetFormatPr baseColWidth="10" defaultColWidth="11.44140625" defaultRowHeight="14.4" x14ac:dyDescent="0.3"/>
  <cols>
    <col min="1" max="1" width="10.88671875" customWidth="1"/>
    <col min="2" max="2" width="9.77734375" customWidth="1"/>
    <col min="3" max="3" width="10.44140625" customWidth="1"/>
    <col min="5" max="5" width="6.88671875" customWidth="1"/>
    <col min="32" max="39" width="6.44140625" customWidth="1"/>
    <col min="40" max="40" width="5.44140625" customWidth="1"/>
  </cols>
  <sheetData>
    <row r="1" spans="1:40" x14ac:dyDescent="0.3">
      <c r="A1" s="1" t="s">
        <v>6</v>
      </c>
      <c r="B1" s="30" t="s">
        <v>80</v>
      </c>
      <c r="C1" s="30"/>
      <c r="F1" s="1" t="s">
        <v>6</v>
      </c>
      <c r="G1" s="30" t="s">
        <v>77</v>
      </c>
      <c r="H1" s="30"/>
      <c r="K1" s="1" t="s">
        <v>7</v>
      </c>
      <c r="P1" s="1" t="s">
        <v>8</v>
      </c>
      <c r="U1" s="1" t="s">
        <v>9</v>
      </c>
      <c r="Z1" s="1" t="s">
        <v>4</v>
      </c>
    </row>
    <row r="2" spans="1:40" x14ac:dyDescent="0.3">
      <c r="A2" s="5" t="s">
        <v>0</v>
      </c>
      <c r="B2" s="5" t="s">
        <v>1</v>
      </c>
      <c r="C2" s="5" t="s">
        <v>78</v>
      </c>
      <c r="D2" s="5" t="s">
        <v>79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P2" t="s">
        <v>0</v>
      </c>
      <c r="Q2" t="s">
        <v>1</v>
      </c>
      <c r="R2" t="s">
        <v>2</v>
      </c>
      <c r="S2" t="s">
        <v>3</v>
      </c>
      <c r="U2" t="s">
        <v>0</v>
      </c>
      <c r="V2" t="s">
        <v>1</v>
      </c>
      <c r="W2" t="s">
        <v>2</v>
      </c>
      <c r="X2" t="s">
        <v>3</v>
      </c>
      <c r="Z2" t="s">
        <v>0</v>
      </c>
      <c r="AA2" t="s">
        <v>1</v>
      </c>
      <c r="AB2" t="s">
        <v>2</v>
      </c>
      <c r="AC2" t="s">
        <v>3</v>
      </c>
    </row>
    <row r="3" spans="1:40" x14ac:dyDescent="0.3">
      <c r="A3">
        <v>2015</v>
      </c>
      <c r="B3" s="2">
        <v>0.41375667475411337</v>
      </c>
      <c r="C3" s="2">
        <v>1.8519000000000001</v>
      </c>
      <c r="D3" s="2">
        <v>0.7662359859771426</v>
      </c>
      <c r="F3">
        <v>2015</v>
      </c>
      <c r="G3" s="33">
        <v>0.68516075480084349</v>
      </c>
      <c r="H3" s="33">
        <v>1.4472000000000003</v>
      </c>
      <c r="I3" s="33">
        <v>0.99156464434778091</v>
      </c>
      <c r="K3">
        <v>2015</v>
      </c>
      <c r="L3" s="2">
        <v>0.6211932743214883</v>
      </c>
      <c r="M3" s="2">
        <v>0.86139999999999983</v>
      </c>
      <c r="N3" s="2">
        <v>0.53509588650052986</v>
      </c>
      <c r="P3">
        <v>2015</v>
      </c>
      <c r="Q3" s="2">
        <v>1.0125992706391531</v>
      </c>
      <c r="R3" s="2">
        <v>0.73838500000000062</v>
      </c>
      <c r="S3" s="2">
        <v>0.74769124603587001</v>
      </c>
      <c r="U3">
        <v>2015</v>
      </c>
      <c r="V3" s="2">
        <v>0.55244605627649401</v>
      </c>
      <c r="W3" s="2">
        <v>1.0072999999999999</v>
      </c>
      <c r="X3" s="2">
        <v>0.55736198388340186</v>
      </c>
      <c r="Z3">
        <v>2015</v>
      </c>
      <c r="AA3" s="2">
        <f>AVERAGE(V3,Q3,L3,G3)</f>
        <v>0.71784983900949462</v>
      </c>
      <c r="AB3">
        <f t="shared" ref="AB3:AC18" si="0">AVERAGE(W3,R3,M3,H3)</f>
        <v>1.01357125</v>
      </c>
      <c r="AC3">
        <f t="shared" si="0"/>
        <v>0.7079284401918956</v>
      </c>
      <c r="AD3">
        <f>(AA3-AA$79)/AA$80</f>
        <v>-0.19584292175272514</v>
      </c>
      <c r="AF3" s="34" t="s">
        <v>14</v>
      </c>
      <c r="AG3" s="34"/>
      <c r="AH3" s="3"/>
      <c r="AI3" s="34" t="s">
        <v>2</v>
      </c>
      <c r="AJ3" s="34"/>
      <c r="AK3" s="3"/>
      <c r="AL3" s="34" t="s">
        <v>15</v>
      </c>
      <c r="AM3" s="34"/>
    </row>
    <row r="4" spans="1:40" x14ac:dyDescent="0.3">
      <c r="A4">
        <v>2014</v>
      </c>
      <c r="B4" s="2">
        <v>0.41972960334231096</v>
      </c>
      <c r="C4" s="2">
        <v>1.5741000000000001</v>
      </c>
      <c r="D4" s="2">
        <v>0.66069636862113168</v>
      </c>
      <c r="F4">
        <v>2014</v>
      </c>
      <c r="G4" s="33">
        <v>0.64420237085499898</v>
      </c>
      <c r="H4" s="33">
        <v>1.6300000000000003</v>
      </c>
      <c r="I4" s="33">
        <v>1.0500498644936485</v>
      </c>
      <c r="K4">
        <v>2014</v>
      </c>
      <c r="L4" s="2">
        <v>0.64016044547260831</v>
      </c>
      <c r="M4" s="2">
        <v>1.6613499999999999</v>
      </c>
      <c r="N4" s="2">
        <v>1.0734864708168383</v>
      </c>
      <c r="P4">
        <v>2014</v>
      </c>
      <c r="Q4" s="2">
        <v>0.70969203905973333</v>
      </c>
      <c r="R4" s="2">
        <v>0.98448000000000069</v>
      </c>
      <c r="S4" s="2">
        <v>0.72911794367672156</v>
      </c>
      <c r="U4">
        <v>2014</v>
      </c>
      <c r="V4" s="2">
        <v>0.67373320339800391</v>
      </c>
      <c r="W4" s="2">
        <v>1.0793499999999998</v>
      </c>
      <c r="X4" s="2">
        <v>0.72389922923782857</v>
      </c>
      <c r="Z4">
        <v>2014</v>
      </c>
      <c r="AA4">
        <f t="shared" ref="AA4:AC67" si="1">AVERAGE(V4,Q4,L4,G4)</f>
        <v>0.66694701469633622</v>
      </c>
      <c r="AB4">
        <f t="shared" si="0"/>
        <v>1.3387950000000002</v>
      </c>
      <c r="AC4">
        <f t="shared" si="0"/>
        <v>0.8941383770562592</v>
      </c>
      <c r="AD4">
        <f t="shared" ref="AD4:AD17" si="2">(AA4-AA$79)/AA$80</f>
        <v>-0.91060096996589723</v>
      </c>
      <c r="AF4" t="s">
        <v>12</v>
      </c>
      <c r="AG4" t="s">
        <v>13</v>
      </c>
      <c r="AH4" t="s">
        <v>16</v>
      </c>
      <c r="AI4" t="s">
        <v>12</v>
      </c>
      <c r="AJ4" t="s">
        <v>13</v>
      </c>
      <c r="AK4" t="s">
        <v>16</v>
      </c>
      <c r="AL4" t="s">
        <v>12</v>
      </c>
      <c r="AM4" t="s">
        <v>13</v>
      </c>
      <c r="AN4" t="s">
        <v>16</v>
      </c>
    </row>
    <row r="5" spans="1:40" x14ac:dyDescent="0.3">
      <c r="A5">
        <v>2013</v>
      </c>
      <c r="B5" s="2">
        <v>0.37647562622888664</v>
      </c>
      <c r="C5" s="2">
        <v>1.9629000000000003</v>
      </c>
      <c r="D5" s="2">
        <v>0.73898400672468167</v>
      </c>
      <c r="F5">
        <v>2013</v>
      </c>
      <c r="G5" s="33">
        <v>0.61752516082970488</v>
      </c>
      <c r="H5" s="33">
        <v>1.63</v>
      </c>
      <c r="I5" s="33">
        <v>1.0065660121524189</v>
      </c>
      <c r="K5">
        <v>2013</v>
      </c>
      <c r="L5" s="2">
        <v>0.57414765617912422</v>
      </c>
      <c r="M5" s="2">
        <v>1.2922000000000002</v>
      </c>
      <c r="N5" s="2">
        <v>0.73143770914895678</v>
      </c>
      <c r="P5">
        <v>2013</v>
      </c>
      <c r="Q5" s="2">
        <v>0.79106191531897641</v>
      </c>
      <c r="R5" s="2">
        <v>0.55374999999999885</v>
      </c>
      <c r="S5" s="2">
        <v>0.43686880931474409</v>
      </c>
      <c r="U5">
        <v>2013</v>
      </c>
      <c r="V5" s="2">
        <v>0.67404673033737983</v>
      </c>
      <c r="W5" s="2">
        <v>1.1512000000000002</v>
      </c>
      <c r="X5" s="2">
        <v>0.77596259596439188</v>
      </c>
      <c r="Z5">
        <v>2013</v>
      </c>
      <c r="AA5">
        <f t="shared" si="1"/>
        <v>0.66419536566629633</v>
      </c>
      <c r="AB5">
        <f t="shared" si="0"/>
        <v>1.1567874999999999</v>
      </c>
      <c r="AC5">
        <f t="shared" si="0"/>
        <v>0.73770878164512799</v>
      </c>
      <c r="AD5">
        <f t="shared" si="2"/>
        <v>-0.94923857635840869</v>
      </c>
      <c r="AE5" t="s">
        <v>10</v>
      </c>
      <c r="AF5">
        <f>AVERAGE(AA34:AA67)</f>
        <v>0.76748869166518963</v>
      </c>
      <c r="AG5">
        <f>_xlfn.STDEV.S(AA34:AA67)</f>
        <v>6.7647260937798076E-2</v>
      </c>
      <c r="AH5">
        <f>AG5/SQRT(34)</f>
        <v>1.1601409539598475E-2</v>
      </c>
      <c r="AI5">
        <f>AVERAGE(AB34:AB67)</f>
        <v>1.0338344485294251</v>
      </c>
      <c r="AJ5">
        <f>_xlfn.STDEV.S(AB34:AB67)</f>
        <v>0.10918555817492641</v>
      </c>
      <c r="AK5">
        <f>AJ5/SQRT(34)</f>
        <v>1.8725168744994969E-2</v>
      </c>
      <c r="AL5">
        <f>AVERAGE(AC34:AC67)</f>
        <v>0.79363797465897867</v>
      </c>
      <c r="AM5">
        <f>_xlfn.STDEV.S(AC34:AC67)</f>
        <v>9.386665299289107E-2</v>
      </c>
      <c r="AN5">
        <f>AM5/SQRT(34)</f>
        <v>1.6097998180343659E-2</v>
      </c>
    </row>
    <row r="6" spans="1:40" x14ac:dyDescent="0.3">
      <c r="A6">
        <v>2012</v>
      </c>
      <c r="B6" s="2">
        <v>0.31552183562034619</v>
      </c>
      <c r="C6" s="2">
        <v>1.4444999999999997</v>
      </c>
      <c r="D6" s="2">
        <v>0.45577129155358997</v>
      </c>
      <c r="F6">
        <v>2012</v>
      </c>
      <c r="G6" s="33">
        <v>0.61419012154780461</v>
      </c>
      <c r="H6" s="33">
        <v>1.9499999999999993</v>
      </c>
      <c r="I6" s="33">
        <v>1.1976707370182185</v>
      </c>
      <c r="K6">
        <v>2012</v>
      </c>
      <c r="L6" s="2">
        <v>0.52600275868127733</v>
      </c>
      <c r="M6" s="2">
        <v>1.0768</v>
      </c>
      <c r="N6" s="2">
        <v>0.59076554657097979</v>
      </c>
      <c r="P6">
        <v>2012</v>
      </c>
      <c r="Q6" s="2">
        <v>0.87570355164583891</v>
      </c>
      <c r="R6" s="2">
        <v>0.6768499999999984</v>
      </c>
      <c r="S6" s="2">
        <v>0.59760797188018988</v>
      </c>
      <c r="U6">
        <v>2012</v>
      </c>
      <c r="V6" s="2">
        <v>0.8139976531699179</v>
      </c>
      <c r="W6" s="2">
        <v>0.86345000000000027</v>
      </c>
      <c r="X6" s="2">
        <v>0.70353139995100311</v>
      </c>
      <c r="Z6">
        <v>2012</v>
      </c>
      <c r="AA6">
        <f t="shared" si="1"/>
        <v>0.70747352126120966</v>
      </c>
      <c r="AB6">
        <f t="shared" si="0"/>
        <v>1.1417749999999995</v>
      </c>
      <c r="AC6">
        <f t="shared" si="0"/>
        <v>0.77239391385509781</v>
      </c>
      <c r="AD6">
        <f t="shared" si="2"/>
        <v>-0.34154321876918498</v>
      </c>
      <c r="AE6" t="s">
        <v>11</v>
      </c>
      <c r="AF6">
        <f>AVERAGE(AA3:AA34)</f>
        <v>0.69311610888628494</v>
      </c>
      <c r="AG6">
        <f>_xlfn.STDEV.S(AA3:AA34)</f>
        <v>5.1738532319515973E-2</v>
      </c>
      <c r="AH6">
        <f>AG6/SQRT(32)</f>
        <v>9.1461667629422743E-3</v>
      </c>
      <c r="AI6">
        <f>AVERAGE(AB3:AB34)</f>
        <v>1.0990802734375134</v>
      </c>
      <c r="AJ6">
        <f>_xlfn.STDEV.S(AB3:AB34)</f>
        <v>0.12806916193007492</v>
      </c>
      <c r="AK6">
        <f>AJ6/SQRT(32)</f>
        <v>2.2639643215408501E-2</v>
      </c>
      <c r="AL6">
        <f>AVERAGE(AC3:AC34)</f>
        <v>0.75190137435248827</v>
      </c>
      <c r="AM6">
        <f>_xlfn.STDEV.S(AC3:AC34)</f>
        <v>9.4707642999364336E-2</v>
      </c>
      <c r="AN6">
        <f>AM6/SQRT(32)</f>
        <v>1.6742104148761292E-2</v>
      </c>
    </row>
    <row r="7" spans="1:40" x14ac:dyDescent="0.3">
      <c r="A7">
        <v>2011</v>
      </c>
      <c r="B7" s="2">
        <v>0.29768369786326226</v>
      </c>
      <c r="C7" s="2">
        <v>1.2407000000000004</v>
      </c>
      <c r="D7" s="2">
        <v>0.36933616393894958</v>
      </c>
      <c r="F7">
        <v>2011</v>
      </c>
      <c r="G7" s="33">
        <v>0.4988369422880844</v>
      </c>
      <c r="H7" s="33">
        <v>1.3711000000000002</v>
      </c>
      <c r="I7" s="33">
        <v>0.68395533157119259</v>
      </c>
      <c r="K7">
        <v>2011</v>
      </c>
      <c r="L7" s="2">
        <v>0.62489176601921459</v>
      </c>
      <c r="M7" s="2">
        <v>0.95369999999999955</v>
      </c>
      <c r="N7" s="2">
        <v>0.57115761037816193</v>
      </c>
      <c r="P7">
        <v>2011</v>
      </c>
      <c r="Q7" s="2">
        <v>1.1571420690941947</v>
      </c>
      <c r="R7" s="2">
        <v>0.70761999999999947</v>
      </c>
      <c r="S7" s="2">
        <v>0.85115901872641309</v>
      </c>
      <c r="U7">
        <v>2011</v>
      </c>
      <c r="V7" s="2">
        <v>0.87813464862065171</v>
      </c>
      <c r="W7" s="2">
        <v>1.0793499999999998</v>
      </c>
      <c r="X7" s="2">
        <v>0.95343917686455504</v>
      </c>
      <c r="Z7">
        <v>2011</v>
      </c>
      <c r="AA7">
        <f t="shared" si="1"/>
        <v>0.78975135650553629</v>
      </c>
      <c r="AB7">
        <f t="shared" si="0"/>
        <v>1.0279424999999998</v>
      </c>
      <c r="AC7">
        <f t="shared" si="0"/>
        <v>0.7649277843850808</v>
      </c>
      <c r="AD7">
        <f t="shared" si="2"/>
        <v>0.8137707686953134</v>
      </c>
    </row>
    <row r="8" spans="1:40" x14ac:dyDescent="0.3">
      <c r="A8">
        <v>2010</v>
      </c>
      <c r="B8" s="2">
        <v>0.32389780087924541</v>
      </c>
      <c r="C8" s="2">
        <v>1.5740999999999996</v>
      </c>
      <c r="D8" s="2">
        <v>0.50984752836402003</v>
      </c>
      <c r="F8">
        <v>2010</v>
      </c>
      <c r="G8" s="33">
        <v>0.63175884013242101</v>
      </c>
      <c r="H8" s="33">
        <v>1.4930000000000003</v>
      </c>
      <c r="I8" s="33">
        <v>0.94321594831770472</v>
      </c>
      <c r="K8">
        <v>2010</v>
      </c>
      <c r="L8" s="2">
        <v>0.74676148601992631</v>
      </c>
      <c r="M8" s="2">
        <v>0.89220000000000121</v>
      </c>
      <c r="N8" s="2">
        <v>0.66344322330202021</v>
      </c>
      <c r="P8">
        <v>2010</v>
      </c>
      <c r="Q8" s="2">
        <v>0.800878820130699</v>
      </c>
      <c r="R8" s="2">
        <v>0.76912999999999876</v>
      </c>
      <c r="S8" s="2">
        <v>0.61447358754057646</v>
      </c>
      <c r="U8">
        <v>2010</v>
      </c>
      <c r="V8" s="2">
        <v>0.90217622539549125</v>
      </c>
      <c r="W8" s="2">
        <v>0.93534999999999968</v>
      </c>
      <c r="X8" s="2">
        <v>0.85350325071764555</v>
      </c>
      <c r="Z8">
        <v>2010</v>
      </c>
      <c r="AA8">
        <f t="shared" si="1"/>
        <v>0.77039384291963442</v>
      </c>
      <c r="AB8">
        <f t="shared" si="0"/>
        <v>1.0224199999999999</v>
      </c>
      <c r="AC8">
        <f t="shared" si="0"/>
        <v>0.76865900246948682</v>
      </c>
      <c r="AD8">
        <f t="shared" si="2"/>
        <v>0.54195994452965723</v>
      </c>
    </row>
    <row r="9" spans="1:40" x14ac:dyDescent="0.3">
      <c r="A9">
        <v>2009</v>
      </c>
      <c r="B9" s="2">
        <v>0.31922051715254235</v>
      </c>
      <c r="C9" s="2">
        <v>1.4259000000000004</v>
      </c>
      <c r="D9" s="2">
        <v>0.45517653540781028</v>
      </c>
      <c r="F9">
        <v>2009</v>
      </c>
      <c r="G9" s="33">
        <v>0.56872467451258357</v>
      </c>
      <c r="H9" s="33">
        <v>1.0968999999999998</v>
      </c>
      <c r="I9" s="33">
        <v>0.62383409547285273</v>
      </c>
      <c r="K9">
        <v>2009</v>
      </c>
      <c r="L9" s="2">
        <v>0.64925692520316236</v>
      </c>
      <c r="M9" s="2">
        <v>0.92299999999999915</v>
      </c>
      <c r="N9" s="2">
        <v>0.5992641419625182</v>
      </c>
      <c r="P9">
        <v>2009</v>
      </c>
      <c r="Q9" s="2">
        <v>0.76428239312599699</v>
      </c>
      <c r="R9" s="2">
        <v>0.76911499999999844</v>
      </c>
      <c r="S9" s="2">
        <v>0.58352026927277212</v>
      </c>
      <c r="U9">
        <v>2009</v>
      </c>
      <c r="V9" s="2">
        <v>0.77777580124600243</v>
      </c>
      <c r="W9" s="2">
        <v>1.0553499999999998</v>
      </c>
      <c r="X9" s="2">
        <v>0.80829391201731071</v>
      </c>
      <c r="Z9">
        <v>2009</v>
      </c>
      <c r="AA9">
        <f t="shared" si="1"/>
        <v>0.69000994852193631</v>
      </c>
      <c r="AB9">
        <f t="shared" si="0"/>
        <v>0.96109124999999929</v>
      </c>
      <c r="AC9">
        <f t="shared" si="0"/>
        <v>0.65372810468136344</v>
      </c>
      <c r="AD9">
        <f t="shared" si="2"/>
        <v>-0.58676004778362367</v>
      </c>
    </row>
    <row r="10" spans="1:40" x14ac:dyDescent="0.3">
      <c r="A10">
        <v>2008</v>
      </c>
      <c r="B10" s="2">
        <v>0.33470409851190769</v>
      </c>
      <c r="C10" s="2">
        <v>1.4259000000000004</v>
      </c>
      <c r="D10" s="2">
        <v>0.47725457406812932</v>
      </c>
      <c r="F10">
        <v>2008</v>
      </c>
      <c r="G10" s="33">
        <v>0.66884488872990155</v>
      </c>
      <c r="H10" s="33">
        <v>1.234</v>
      </c>
      <c r="I10" s="33">
        <v>0.82535459269269851</v>
      </c>
      <c r="K10">
        <v>2008</v>
      </c>
      <c r="L10" s="2">
        <v>0.66878828682890168</v>
      </c>
      <c r="M10" s="2">
        <v>1.2921500000000004</v>
      </c>
      <c r="N10" s="2">
        <v>0.8783075602746081</v>
      </c>
      <c r="P10">
        <v>2008</v>
      </c>
      <c r="Q10" s="2">
        <v>0.69483669452694241</v>
      </c>
      <c r="R10" s="2">
        <v>0.55380000000000251</v>
      </c>
      <c r="S10" s="2">
        <v>0.3861398246573936</v>
      </c>
      <c r="U10">
        <v>2008</v>
      </c>
      <c r="V10" s="2">
        <v>0.66820373847957271</v>
      </c>
      <c r="W10" s="2">
        <v>1.2471500000000013</v>
      </c>
      <c r="X10" s="2">
        <v>0.83334690022595492</v>
      </c>
      <c r="Z10">
        <v>2008</v>
      </c>
      <c r="AA10">
        <f t="shared" si="1"/>
        <v>0.67516840214132967</v>
      </c>
      <c r="AB10">
        <f t="shared" si="0"/>
        <v>1.081775000000001</v>
      </c>
      <c r="AC10">
        <f t="shared" si="0"/>
        <v>0.73078721946266378</v>
      </c>
      <c r="AD10">
        <f t="shared" si="2"/>
        <v>-0.79515938252791352</v>
      </c>
    </row>
    <row r="11" spans="1:40" x14ac:dyDescent="0.3">
      <c r="A11">
        <v>2007</v>
      </c>
      <c r="B11" s="2">
        <v>0.31712281038115014</v>
      </c>
      <c r="C11" s="2">
        <v>1.2407999999999983</v>
      </c>
      <c r="D11" s="2">
        <v>0.39348598312093058</v>
      </c>
      <c r="F11">
        <v>2007</v>
      </c>
      <c r="G11" s="33">
        <v>0.64346527424406053</v>
      </c>
      <c r="H11" s="33">
        <v>1.4473000000000003</v>
      </c>
      <c r="I11" s="33">
        <v>0.93128729141342892</v>
      </c>
      <c r="K11">
        <v>2007</v>
      </c>
      <c r="L11" s="2">
        <v>0.66820878270452211</v>
      </c>
      <c r="M11" s="2">
        <v>1.1075499999999998</v>
      </c>
      <c r="N11" s="2">
        <v>0.7343547747957766</v>
      </c>
      <c r="P11">
        <v>2007</v>
      </c>
      <c r="Q11" s="2">
        <v>0.6976166506065884</v>
      </c>
      <c r="R11" s="2">
        <v>0.98450000000000237</v>
      </c>
      <c r="S11" s="2">
        <v>0.68999357550681195</v>
      </c>
      <c r="U11">
        <v>2007</v>
      </c>
      <c r="V11" s="2">
        <v>0.59938447286610241</v>
      </c>
      <c r="W11" s="2">
        <v>1.2235000000000031</v>
      </c>
      <c r="X11" s="2">
        <v>0.73356373044708678</v>
      </c>
      <c r="Z11">
        <v>2007</v>
      </c>
      <c r="AA11">
        <f t="shared" si="1"/>
        <v>0.65216879510531833</v>
      </c>
      <c r="AB11">
        <f t="shared" si="0"/>
        <v>1.1907125000000014</v>
      </c>
      <c r="AC11">
        <f t="shared" si="0"/>
        <v>0.77229984304077615</v>
      </c>
      <c r="AD11">
        <f t="shared" si="2"/>
        <v>-1.1181110940792092</v>
      </c>
    </row>
    <row r="12" spans="1:40" x14ac:dyDescent="0.3">
      <c r="A12">
        <v>2006</v>
      </c>
      <c r="B12" s="2">
        <v>0.47727574184544824</v>
      </c>
      <c r="C12" s="2">
        <v>1.1295999999999999</v>
      </c>
      <c r="D12" s="2">
        <v>0.53913067798861836</v>
      </c>
      <c r="F12">
        <v>2006</v>
      </c>
      <c r="G12" s="33">
        <v>0.70462818863201526</v>
      </c>
      <c r="H12" s="33">
        <v>0.79219999999999935</v>
      </c>
      <c r="I12" s="33">
        <v>0.55820645103428201</v>
      </c>
      <c r="K12">
        <v>2006</v>
      </c>
      <c r="L12" s="2">
        <v>0.68828896411449936</v>
      </c>
      <c r="M12" s="2">
        <v>1.230599999999999</v>
      </c>
      <c r="N12" s="2">
        <v>0.84950836220993464</v>
      </c>
      <c r="P12">
        <v>2006</v>
      </c>
      <c r="Q12" s="2">
        <v>0.80800203012841554</v>
      </c>
      <c r="R12" s="2">
        <v>0.7383650000000026</v>
      </c>
      <c r="S12" s="2">
        <v>0.60450574529205836</v>
      </c>
      <c r="U12">
        <v>2006</v>
      </c>
      <c r="V12" s="2">
        <v>0.49762252465903345</v>
      </c>
      <c r="W12" s="2">
        <v>0.98365000000000347</v>
      </c>
      <c r="X12" s="2">
        <v>0.49186980532400687</v>
      </c>
      <c r="Z12">
        <v>2006</v>
      </c>
      <c r="AA12">
        <f t="shared" si="1"/>
        <v>0.67463542688349087</v>
      </c>
      <c r="AB12">
        <f t="shared" si="0"/>
        <v>0.93620375000000111</v>
      </c>
      <c r="AC12">
        <f t="shared" si="0"/>
        <v>0.62602259096507051</v>
      </c>
      <c r="AD12">
        <f t="shared" si="2"/>
        <v>-0.8026432178588403</v>
      </c>
    </row>
    <row r="13" spans="1:40" x14ac:dyDescent="0.3">
      <c r="A13">
        <v>2005</v>
      </c>
      <c r="B13" s="2">
        <v>0.34423836810193181</v>
      </c>
      <c r="C13" s="2">
        <v>1.463000000000001</v>
      </c>
      <c r="D13" s="2">
        <v>0.50362073253312656</v>
      </c>
      <c r="F13">
        <v>2005</v>
      </c>
      <c r="G13" s="33">
        <v>0.64314227048131334</v>
      </c>
      <c r="H13" s="33">
        <v>2.011000000000001</v>
      </c>
      <c r="I13" s="33">
        <v>1.2933591059379217</v>
      </c>
      <c r="K13">
        <v>2005</v>
      </c>
      <c r="L13" s="2">
        <v>0.71016198852487178</v>
      </c>
      <c r="M13" s="2">
        <v>1.1998500000000023</v>
      </c>
      <c r="N13" s="2">
        <v>0.84455712695417406</v>
      </c>
      <c r="P13">
        <v>2005</v>
      </c>
      <c r="Q13" s="2">
        <v>0.77179205309270993</v>
      </c>
      <c r="R13" s="2">
        <v>1.230590000000003</v>
      </c>
      <c r="S13" s="2">
        <v>0.89528306928747248</v>
      </c>
      <c r="U13">
        <v>2005</v>
      </c>
      <c r="V13" s="2">
        <v>0.77793406015117639</v>
      </c>
      <c r="W13" s="2">
        <v>1.0316499999999946</v>
      </c>
      <c r="X13" s="2">
        <v>0.80504638349825564</v>
      </c>
      <c r="Z13">
        <v>2005</v>
      </c>
      <c r="AA13">
        <f t="shared" si="1"/>
        <v>0.72575759306251786</v>
      </c>
      <c r="AB13">
        <f t="shared" si="0"/>
        <v>1.3682725000000002</v>
      </c>
      <c r="AC13">
        <f t="shared" si="0"/>
        <v>0.959561421419456</v>
      </c>
      <c r="AD13">
        <f t="shared" si="2"/>
        <v>-8.4805254806853622E-2</v>
      </c>
    </row>
    <row r="14" spans="1:40" x14ac:dyDescent="0.3">
      <c r="A14">
        <v>2004</v>
      </c>
      <c r="B14" s="2">
        <v>0.42125236882128492</v>
      </c>
      <c r="C14" s="2">
        <v>1.4258999999999986</v>
      </c>
      <c r="D14" s="2">
        <v>0.60066375270226957</v>
      </c>
      <c r="F14">
        <v>2004</v>
      </c>
      <c r="G14" s="33">
        <v>0.61592095412051839</v>
      </c>
      <c r="H14" s="33">
        <v>1.2491999999999983</v>
      </c>
      <c r="I14" s="33">
        <v>0.76940845588735052</v>
      </c>
      <c r="K14">
        <v>2004</v>
      </c>
      <c r="L14" s="2">
        <v>0.61407763404099669</v>
      </c>
      <c r="M14" s="2">
        <v>0.95379999999999932</v>
      </c>
      <c r="N14" s="2">
        <v>0.56230553024880203</v>
      </c>
      <c r="P14">
        <v>2004</v>
      </c>
      <c r="Q14" s="2">
        <v>0.66640379250559534</v>
      </c>
      <c r="R14" s="2">
        <v>0.64607000000000259</v>
      </c>
      <c r="S14" s="2">
        <v>0.41388145793266212</v>
      </c>
      <c r="U14">
        <v>2004</v>
      </c>
      <c r="V14" s="2">
        <v>0.66970273199329577</v>
      </c>
      <c r="W14" s="2">
        <v>1.1995999999999878</v>
      </c>
      <c r="X14" s="2">
        <v>0.80547256969190562</v>
      </c>
      <c r="Z14">
        <v>2004</v>
      </c>
      <c r="AA14">
        <f t="shared" si="1"/>
        <v>0.64152627816510144</v>
      </c>
      <c r="AB14">
        <f t="shared" si="0"/>
        <v>1.012167499999997</v>
      </c>
      <c r="AC14">
        <f t="shared" si="0"/>
        <v>0.63776700344018011</v>
      </c>
      <c r="AD14">
        <f t="shared" si="2"/>
        <v>-1.2675492586389441</v>
      </c>
    </row>
    <row r="15" spans="1:40" x14ac:dyDescent="0.3">
      <c r="A15">
        <v>2003</v>
      </c>
      <c r="B15" s="2">
        <v>0.40402218956126484</v>
      </c>
      <c r="C15" s="2">
        <v>1.0741000000000014</v>
      </c>
      <c r="D15" s="2">
        <v>0.43396023380775511</v>
      </c>
      <c r="F15">
        <v>2003</v>
      </c>
      <c r="G15" s="33">
        <v>0.63199033945172534</v>
      </c>
      <c r="H15" s="33">
        <v>1.1730000000000018</v>
      </c>
      <c r="I15" s="33">
        <v>0.74132466817687492</v>
      </c>
      <c r="K15">
        <v>2003</v>
      </c>
      <c r="L15" s="2">
        <v>0.53957047445624007</v>
      </c>
      <c r="M15" s="2">
        <v>1.2613499999999984</v>
      </c>
      <c r="N15" s="2">
        <v>0.68729686357868069</v>
      </c>
      <c r="P15">
        <v>2003</v>
      </c>
      <c r="Q15" s="2">
        <v>0.57355839221412375</v>
      </c>
      <c r="R15" s="2">
        <v>0.86145500000000386</v>
      </c>
      <c r="S15" s="2">
        <v>0.48394386405730438</v>
      </c>
      <c r="U15">
        <v>2003</v>
      </c>
      <c r="V15" s="2">
        <v>0.62307428228363904</v>
      </c>
      <c r="W15" s="2">
        <v>1.1036499999999876</v>
      </c>
      <c r="X15" s="2">
        <v>0.6880923761639508</v>
      </c>
      <c r="Z15">
        <v>2003</v>
      </c>
      <c r="AA15">
        <f t="shared" si="1"/>
        <v>0.59204837210143202</v>
      </c>
      <c r="AB15">
        <f t="shared" si="0"/>
        <v>1.0998637499999979</v>
      </c>
      <c r="AC15">
        <f t="shared" si="0"/>
        <v>0.65016444299420273</v>
      </c>
      <c r="AD15">
        <f t="shared" si="2"/>
        <v>-1.9622991481573777</v>
      </c>
    </row>
    <row r="16" spans="1:40" x14ac:dyDescent="0.3">
      <c r="A16">
        <v>2002</v>
      </c>
      <c r="B16" s="2">
        <v>0.47814479386536979</v>
      </c>
      <c r="C16" s="2">
        <v>1.1111000000000004</v>
      </c>
      <c r="D16" s="2">
        <v>0.53126668046381254</v>
      </c>
      <c r="F16">
        <v>2002</v>
      </c>
      <c r="G16" s="33">
        <v>0.67841986217550831</v>
      </c>
      <c r="H16" s="33">
        <v>1.3101999999999983</v>
      </c>
      <c r="I16" s="33">
        <v>0.88886570342234983</v>
      </c>
      <c r="K16">
        <v>2002</v>
      </c>
      <c r="L16" s="2">
        <v>0.48742451916175678</v>
      </c>
      <c r="M16" s="2">
        <v>1.4152500000000003</v>
      </c>
      <c r="N16" s="2">
        <v>0.68549348102283114</v>
      </c>
      <c r="P16">
        <v>2002</v>
      </c>
      <c r="Q16" s="2">
        <v>0.63824346727065517</v>
      </c>
      <c r="R16" s="2">
        <v>1.1075500000000051</v>
      </c>
      <c r="S16" s="2">
        <v>0.68993728343819227</v>
      </c>
      <c r="U16">
        <v>2002</v>
      </c>
      <c r="V16" s="2">
        <v>0.6337686664119806</v>
      </c>
      <c r="W16" s="2">
        <v>1.2235499999999888</v>
      </c>
      <c r="X16" s="2">
        <v>0.77256183454304428</v>
      </c>
      <c r="Z16">
        <v>2002</v>
      </c>
      <c r="AA16">
        <f t="shared" si="1"/>
        <v>0.60946412875497524</v>
      </c>
      <c r="AB16">
        <f t="shared" si="0"/>
        <v>1.2641374999999981</v>
      </c>
      <c r="AC16">
        <f t="shared" si="0"/>
        <v>0.75921457560660432</v>
      </c>
      <c r="AD16">
        <f t="shared" si="2"/>
        <v>-1.7177537343850362</v>
      </c>
    </row>
    <row r="17" spans="1:30" x14ac:dyDescent="0.3">
      <c r="A17">
        <v>2001</v>
      </c>
      <c r="B17" s="2">
        <v>0.51216369404405071</v>
      </c>
      <c r="C17" s="2">
        <v>1.3888999999999996</v>
      </c>
      <c r="D17" s="2">
        <v>0.71134415465778178</v>
      </c>
      <c r="F17">
        <v>2001</v>
      </c>
      <c r="G17" s="33">
        <v>0.68850185521429286</v>
      </c>
      <c r="H17" s="33">
        <v>1.9194999999999993</v>
      </c>
      <c r="I17" s="33">
        <v>1.3215793110838348</v>
      </c>
      <c r="K17">
        <v>2001</v>
      </c>
      <c r="L17" s="2">
        <v>0.62380953543353201</v>
      </c>
      <c r="M17" s="2">
        <v>0.92295000000000016</v>
      </c>
      <c r="N17" s="2">
        <v>0.57250079151618039</v>
      </c>
      <c r="P17">
        <v>2001</v>
      </c>
      <c r="Q17" s="2">
        <v>0.55921950833705458</v>
      </c>
      <c r="R17" s="2">
        <v>0.83064500000000319</v>
      </c>
      <c r="S17" s="2">
        <v>0.46487505860880418</v>
      </c>
      <c r="U17">
        <v>2001</v>
      </c>
      <c r="V17" s="2">
        <v>0.65815546901621802</v>
      </c>
      <c r="W17" s="2">
        <v>1.2475999999999861</v>
      </c>
      <c r="X17" s="2">
        <v>0.82114886811073906</v>
      </c>
      <c r="Z17">
        <v>2001</v>
      </c>
      <c r="AA17">
        <f t="shared" si="1"/>
        <v>0.63242159200027437</v>
      </c>
      <c r="AB17">
        <f t="shared" si="0"/>
        <v>1.2301737499999972</v>
      </c>
      <c r="AC17">
        <f t="shared" si="0"/>
        <v>0.79502600732988959</v>
      </c>
      <c r="AD17">
        <f t="shared" si="2"/>
        <v>-1.3953937898722149</v>
      </c>
    </row>
    <row r="18" spans="1:30" x14ac:dyDescent="0.3">
      <c r="A18">
        <v>2000</v>
      </c>
      <c r="B18" s="2">
        <v>0.50600677513695391</v>
      </c>
      <c r="C18" s="2">
        <v>1.7962999999999987</v>
      </c>
      <c r="D18" s="2">
        <v>0.90893997017850969</v>
      </c>
      <c r="F18">
        <v>2000</v>
      </c>
      <c r="G18" s="33">
        <v>0.62470719277071884</v>
      </c>
      <c r="H18" s="33">
        <v>1.5234000000000023</v>
      </c>
      <c r="I18" s="33">
        <v>0.95167893746691457</v>
      </c>
      <c r="K18">
        <v>2000</v>
      </c>
      <c r="L18" s="2">
        <v>0.7008806818208736</v>
      </c>
      <c r="M18" s="2">
        <v>1.2921499999999995</v>
      </c>
      <c r="N18" s="2">
        <v>0.95516296848436011</v>
      </c>
      <c r="P18">
        <v>2000</v>
      </c>
      <c r="Q18" s="2">
        <v>0.7458976377903157</v>
      </c>
      <c r="R18" s="2">
        <v>0.83066499999999621</v>
      </c>
      <c r="S18" s="2">
        <v>0.60869180207901241</v>
      </c>
      <c r="U18">
        <v>2000</v>
      </c>
      <c r="V18" s="2">
        <v>0.58441029209961781</v>
      </c>
      <c r="W18" s="2">
        <v>1.0556499999999875</v>
      </c>
      <c r="X18" s="2">
        <v>0.61695033819938527</v>
      </c>
      <c r="Z18">
        <v>2000</v>
      </c>
      <c r="AA18">
        <f t="shared" si="1"/>
        <v>0.66397395112038149</v>
      </c>
      <c r="AB18">
        <f t="shared" si="0"/>
        <v>1.1754662499999964</v>
      </c>
      <c r="AC18">
        <f t="shared" si="0"/>
        <v>0.78312101155741809</v>
      </c>
    </row>
    <row r="19" spans="1:30" x14ac:dyDescent="0.3">
      <c r="A19">
        <v>1999</v>
      </c>
      <c r="B19" s="2">
        <v>0.57639853627103521</v>
      </c>
      <c r="C19" s="2">
        <v>1.2407000000000004</v>
      </c>
      <c r="D19" s="2">
        <v>0.7151376639514736</v>
      </c>
      <c r="F19">
        <v>1999</v>
      </c>
      <c r="G19" s="33">
        <v>0.70055476321953836</v>
      </c>
      <c r="H19" s="33">
        <v>1.7061999999999991</v>
      </c>
      <c r="I19" s="33">
        <v>1.1952865370051757</v>
      </c>
      <c r="K19">
        <v>1999</v>
      </c>
      <c r="L19" s="2">
        <v>0.59948203148410917</v>
      </c>
      <c r="M19" s="2">
        <v>0.98450000000000237</v>
      </c>
      <c r="N19" s="2">
        <v>0.5990667066578822</v>
      </c>
      <c r="P19">
        <v>1999</v>
      </c>
      <c r="Q19" s="2">
        <v>0.76988592132089084</v>
      </c>
      <c r="R19" s="2">
        <v>1.0459999999999905</v>
      </c>
      <c r="S19" s="2">
        <v>0.79896581383635323</v>
      </c>
      <c r="U19">
        <v>1999</v>
      </c>
      <c r="V19" s="2">
        <v>0.59344571135751201</v>
      </c>
      <c r="W19" s="2">
        <v>1.2475999999999878</v>
      </c>
      <c r="X19" s="2">
        <v>0.74042744581713982</v>
      </c>
      <c r="Z19">
        <v>1999</v>
      </c>
      <c r="AA19">
        <f t="shared" si="1"/>
        <v>0.66584210684551259</v>
      </c>
      <c r="AB19">
        <f t="shared" si="1"/>
        <v>1.2460749999999949</v>
      </c>
      <c r="AC19">
        <f t="shared" si="1"/>
        <v>0.83343662582913769</v>
      </c>
    </row>
    <row r="20" spans="1:30" x14ac:dyDescent="0.3">
      <c r="A20">
        <v>1998</v>
      </c>
      <c r="B20" s="2">
        <v>0.69909852841590103</v>
      </c>
      <c r="C20" s="2">
        <v>0.53649999999998599</v>
      </c>
      <c r="D20" s="2">
        <v>0.3750663604951211</v>
      </c>
      <c r="F20">
        <v>1998</v>
      </c>
      <c r="G20" s="33">
        <v>0.6600458248145854</v>
      </c>
      <c r="H20" s="33">
        <v>1.4316299999999167</v>
      </c>
      <c r="I20" s="33">
        <v>0.94494140417924988</v>
      </c>
      <c r="K20">
        <v>1998</v>
      </c>
      <c r="L20" s="2">
        <v>0.52908184724585228</v>
      </c>
      <c r="M20" s="2">
        <v>1.4152000000000005</v>
      </c>
      <c r="N20" s="2">
        <v>0.74921562145335474</v>
      </c>
      <c r="P20">
        <v>1998</v>
      </c>
      <c r="Q20" s="2">
        <v>0.88970843637835006</v>
      </c>
      <c r="R20" s="2">
        <v>0.67684999999999462</v>
      </c>
      <c r="S20" s="2">
        <v>0.61555175104352811</v>
      </c>
      <c r="U20">
        <v>1998</v>
      </c>
      <c r="V20" s="2">
        <v>0.62401770500127918</v>
      </c>
      <c r="W20" s="2">
        <v>1.5114499999999875</v>
      </c>
      <c r="X20" s="2">
        <v>0.93585019329516306</v>
      </c>
      <c r="Z20">
        <v>1998</v>
      </c>
      <c r="AA20">
        <f t="shared" si="1"/>
        <v>0.67571345336001676</v>
      </c>
      <c r="AB20">
        <f t="shared" si="1"/>
        <v>1.2587824999999748</v>
      </c>
      <c r="AC20">
        <f t="shared" si="1"/>
        <v>0.81138974249282403</v>
      </c>
    </row>
    <row r="21" spans="1:30" x14ac:dyDescent="0.3">
      <c r="A21">
        <v>1997</v>
      </c>
      <c r="B21" s="2">
        <v>0.58289746142720678</v>
      </c>
      <c r="C21" s="2">
        <v>0.79549999999997922</v>
      </c>
      <c r="D21" s="2">
        <v>0.4636949305653309</v>
      </c>
      <c r="F21">
        <v>1997</v>
      </c>
      <c r="G21" s="33">
        <v>0.65863837292458283</v>
      </c>
      <c r="H21" s="33">
        <v>0.92902999999993696</v>
      </c>
      <c r="I21" s="33">
        <v>0.61189480759808368</v>
      </c>
      <c r="K21">
        <v>1997</v>
      </c>
      <c r="L21" s="2">
        <v>0.57386193314575706</v>
      </c>
      <c r="M21" s="2">
        <v>1.0459999999999958</v>
      </c>
      <c r="N21" s="2">
        <v>0.60289639981529231</v>
      </c>
      <c r="P21">
        <v>1997</v>
      </c>
      <c r="Q21" s="2">
        <v>0.92425463709827382</v>
      </c>
      <c r="R21" s="2">
        <v>0.86143499999999129</v>
      </c>
      <c r="S21" s="2">
        <v>0.74016234589913432</v>
      </c>
      <c r="U21">
        <v>1997</v>
      </c>
      <c r="V21" s="2">
        <v>0.63222931534719606</v>
      </c>
      <c r="W21" s="2">
        <v>1.1516499999999859</v>
      </c>
      <c r="X21" s="2">
        <v>0.73271709184670231</v>
      </c>
      <c r="Z21">
        <v>1997</v>
      </c>
      <c r="AA21">
        <f t="shared" si="1"/>
        <v>0.69724606462895244</v>
      </c>
      <c r="AB21">
        <f t="shared" si="1"/>
        <v>0.99702874999997748</v>
      </c>
      <c r="AC21">
        <f t="shared" si="1"/>
        <v>0.67191766128980324</v>
      </c>
    </row>
    <row r="22" spans="1:30" x14ac:dyDescent="0.3">
      <c r="A22">
        <v>1996</v>
      </c>
      <c r="B22" s="2">
        <v>0.48903560954381936</v>
      </c>
      <c r="C22" s="2">
        <v>1.14699999999997</v>
      </c>
      <c r="D22" s="2">
        <v>0.56092384414674612</v>
      </c>
      <c r="F22">
        <v>1996</v>
      </c>
      <c r="G22" s="33">
        <v>0.62495721684407146</v>
      </c>
      <c r="H22" s="33">
        <v>1.4620799999999008</v>
      </c>
      <c r="I22" s="33">
        <v>0.91373744760331799</v>
      </c>
      <c r="K22">
        <v>1996</v>
      </c>
      <c r="L22" s="2">
        <v>0.60864243427221498</v>
      </c>
      <c r="M22" s="2">
        <v>1.2922000000000011</v>
      </c>
      <c r="N22" s="2">
        <v>0.79120339990616539</v>
      </c>
      <c r="P22">
        <v>1996</v>
      </c>
      <c r="Q22" s="2">
        <v>0.93248217281424917</v>
      </c>
      <c r="R22" s="2">
        <v>0.79991499999999505</v>
      </c>
      <c r="S22" s="2">
        <v>0.7515839672923621</v>
      </c>
      <c r="U22">
        <v>1996</v>
      </c>
      <c r="V22" s="2">
        <v>0.67847662948526399</v>
      </c>
      <c r="W22" s="2">
        <v>1.2715499999999871</v>
      </c>
      <c r="X22" s="2">
        <v>0.86267398383628779</v>
      </c>
      <c r="Z22">
        <v>1996</v>
      </c>
      <c r="AA22">
        <f t="shared" si="1"/>
        <v>0.71113961335394993</v>
      </c>
      <c r="AB22">
        <f t="shared" si="1"/>
        <v>1.206436249999971</v>
      </c>
      <c r="AC22">
        <f t="shared" si="1"/>
        <v>0.82979969965953337</v>
      </c>
    </row>
    <row r="23" spans="1:30" x14ac:dyDescent="0.3">
      <c r="A23">
        <v>1995</v>
      </c>
      <c r="B23" s="2">
        <v>0.44657551499493858</v>
      </c>
      <c r="C23" s="2">
        <v>1.2394999999999676</v>
      </c>
      <c r="D23" s="2">
        <v>0.55353035083621194</v>
      </c>
      <c r="F23">
        <v>1995</v>
      </c>
      <c r="G23" s="33">
        <v>0.76493760761763485</v>
      </c>
      <c r="H23" s="33">
        <v>1.0813299999999266</v>
      </c>
      <c r="I23" s="33">
        <v>0.82714998324512101</v>
      </c>
      <c r="K23">
        <v>1995</v>
      </c>
      <c r="L23" s="2">
        <v>0.77288175141005988</v>
      </c>
      <c r="M23" s="2">
        <v>1.0460499999999993</v>
      </c>
      <c r="N23" s="2">
        <v>0.78622843797023045</v>
      </c>
      <c r="P23">
        <v>1995</v>
      </c>
      <c r="Q23" s="2">
        <v>0.89821092981784645</v>
      </c>
      <c r="R23" s="2">
        <v>0.92292999999999559</v>
      </c>
      <c r="S23" s="2">
        <v>0.83918389470895627</v>
      </c>
      <c r="U23">
        <v>1995</v>
      </c>
      <c r="V23" s="2">
        <v>0.61099528959601646</v>
      </c>
      <c r="W23" s="2">
        <v>1.1515999999999877</v>
      </c>
      <c r="X23" s="2">
        <v>0.70253588367933661</v>
      </c>
      <c r="Z23">
        <v>1995</v>
      </c>
      <c r="AA23">
        <f t="shared" si="1"/>
        <v>0.76175639461038935</v>
      </c>
      <c r="AB23">
        <f t="shared" si="1"/>
        <v>1.0504774999999773</v>
      </c>
      <c r="AC23">
        <f t="shared" si="1"/>
        <v>0.78877454990091111</v>
      </c>
    </row>
    <row r="24" spans="1:30" x14ac:dyDescent="0.3">
      <c r="A24">
        <v>1994</v>
      </c>
      <c r="B24" s="2">
        <v>0.53508168327680505</v>
      </c>
      <c r="C24" s="2">
        <v>1.1284999999999705</v>
      </c>
      <c r="D24" s="2">
        <v>0.60383967957785878</v>
      </c>
      <c r="F24">
        <v>1994</v>
      </c>
      <c r="G24" s="33">
        <v>0.76138875784810711</v>
      </c>
      <c r="H24" s="33">
        <v>1.2793200000001228</v>
      </c>
      <c r="I24" s="33">
        <v>0.97405986569033387</v>
      </c>
      <c r="K24">
        <v>1994</v>
      </c>
      <c r="L24" s="2">
        <v>0.89485913084837687</v>
      </c>
      <c r="M24" s="2">
        <v>1.1383500000000009</v>
      </c>
      <c r="N24" s="2">
        <v>1.0130280950080974</v>
      </c>
      <c r="P24">
        <v>1994</v>
      </c>
      <c r="Q24" s="2">
        <v>0.83442382931871206</v>
      </c>
      <c r="R24" s="2">
        <v>0.76916499999999211</v>
      </c>
      <c r="S24" s="2">
        <v>0.63748879392704572</v>
      </c>
      <c r="U24">
        <v>1994</v>
      </c>
      <c r="V24" s="2">
        <v>0.58168746946499805</v>
      </c>
      <c r="W24" s="2">
        <v>1.3675000000000122</v>
      </c>
      <c r="X24" s="2">
        <v>0.79347078434578355</v>
      </c>
      <c r="Z24">
        <v>1994</v>
      </c>
      <c r="AA24">
        <f t="shared" si="1"/>
        <v>0.76808979687004852</v>
      </c>
      <c r="AB24">
        <f t="shared" si="1"/>
        <v>1.138583750000032</v>
      </c>
      <c r="AC24">
        <f t="shared" si="1"/>
        <v>0.85451188474281525</v>
      </c>
    </row>
    <row r="25" spans="1:30" x14ac:dyDescent="0.3">
      <c r="A25">
        <v>1993</v>
      </c>
      <c r="B25" s="2">
        <v>0.50508939748172965</v>
      </c>
      <c r="C25" s="2">
        <v>1.072999999999972</v>
      </c>
      <c r="D25" s="2">
        <v>0.54196092349788172</v>
      </c>
      <c r="F25">
        <v>1993</v>
      </c>
      <c r="G25" s="33">
        <v>0.70068539995430679</v>
      </c>
      <c r="H25" s="33">
        <v>1.3554700000002242</v>
      </c>
      <c r="I25" s="33">
        <v>0.94975803907622136</v>
      </c>
      <c r="K25">
        <v>1993</v>
      </c>
      <c r="L25" s="2">
        <v>0.73340451505927184</v>
      </c>
      <c r="M25" s="2">
        <v>0.76910000000000167</v>
      </c>
      <c r="N25" s="2">
        <v>0.57455076794984894</v>
      </c>
      <c r="P25">
        <v>1993</v>
      </c>
      <c r="Q25" s="2">
        <v>0.7951994346568938</v>
      </c>
      <c r="R25" s="2">
        <v>0.89219499999999385</v>
      </c>
      <c r="S25" s="2">
        <v>0.69254222979469859</v>
      </c>
      <c r="U25">
        <v>1993</v>
      </c>
      <c r="V25" s="2">
        <v>0.71008642432951685</v>
      </c>
      <c r="W25" s="2">
        <v>1.1516000000000233</v>
      </c>
      <c r="X25" s="2">
        <v>0.81775951261910995</v>
      </c>
      <c r="Z25">
        <v>1993</v>
      </c>
      <c r="AA25">
        <f t="shared" si="1"/>
        <v>0.73484394349999738</v>
      </c>
      <c r="AB25">
        <f t="shared" si="1"/>
        <v>1.0420912500000608</v>
      </c>
      <c r="AC25">
        <f t="shared" si="1"/>
        <v>0.75865263735996979</v>
      </c>
    </row>
    <row r="26" spans="1:30" x14ac:dyDescent="0.3">
      <c r="A26">
        <v>1992</v>
      </c>
      <c r="B26" s="2">
        <v>0.5348040118152394</v>
      </c>
      <c r="C26" s="2">
        <v>1.4430000000002075</v>
      </c>
      <c r="D26" s="2">
        <v>0.77172218904950141</v>
      </c>
      <c r="F26">
        <v>1992</v>
      </c>
      <c r="G26" s="33">
        <v>0.72845399828482826</v>
      </c>
      <c r="H26" s="33">
        <v>1.3707000000002267</v>
      </c>
      <c r="I26" s="33">
        <v>0.99849189544917927</v>
      </c>
      <c r="K26">
        <v>1992</v>
      </c>
      <c r="L26" s="2">
        <v>0.63733925213484843</v>
      </c>
      <c r="M26" s="2">
        <v>0.73834999999999695</v>
      </c>
      <c r="N26" s="2">
        <v>0.47057667544607579</v>
      </c>
      <c r="P26">
        <v>1992</v>
      </c>
      <c r="Q26" s="2">
        <v>0.73397240666837393</v>
      </c>
      <c r="R26" s="2">
        <v>1.3229049999999933</v>
      </c>
      <c r="S26" s="2">
        <v>0.95252981733793385</v>
      </c>
      <c r="U26">
        <v>1992</v>
      </c>
      <c r="V26" s="2">
        <v>0.696114013318891</v>
      </c>
      <c r="W26" s="2">
        <v>0.93570000000001663</v>
      </c>
      <c r="X26" s="2">
        <v>0.6498766383529706</v>
      </c>
      <c r="Z26">
        <v>1992</v>
      </c>
      <c r="AA26">
        <f t="shared" si="1"/>
        <v>0.69896991760173544</v>
      </c>
      <c r="AB26">
        <f t="shared" si="1"/>
        <v>1.0919137500000584</v>
      </c>
      <c r="AC26">
        <f t="shared" si="1"/>
        <v>0.76786875664653986</v>
      </c>
    </row>
    <row r="27" spans="1:30" x14ac:dyDescent="0.3">
      <c r="A27">
        <v>1991</v>
      </c>
      <c r="B27" s="2">
        <v>0.52895345454356213</v>
      </c>
      <c r="C27" s="2">
        <v>1.1470000000001903</v>
      </c>
      <c r="D27" s="2">
        <v>0.6067096123615664</v>
      </c>
      <c r="F27">
        <v>1991</v>
      </c>
      <c r="G27" s="33">
        <v>0.78127200406874742</v>
      </c>
      <c r="H27" s="33">
        <v>1.1574800000001915</v>
      </c>
      <c r="I27" s="33">
        <v>0.90430671926964334</v>
      </c>
      <c r="K27">
        <v>1991</v>
      </c>
      <c r="L27" s="2">
        <v>0.60051194166138622</v>
      </c>
      <c r="M27" s="2">
        <v>0.73840000000000217</v>
      </c>
      <c r="N27" s="2">
        <v>0.45723833644729583</v>
      </c>
      <c r="P27">
        <v>1991</v>
      </c>
      <c r="Q27" s="2">
        <v>0.67807066578332076</v>
      </c>
      <c r="R27" s="2">
        <v>0.64604499999999376</v>
      </c>
      <c r="S27" s="2">
        <v>0.4179670843583041</v>
      </c>
      <c r="U27">
        <v>1991</v>
      </c>
      <c r="V27" s="2">
        <v>0.69062458573055774</v>
      </c>
      <c r="W27" s="2">
        <v>1.1249000000000073</v>
      </c>
      <c r="X27" s="2">
        <v>0.76539271288288591</v>
      </c>
      <c r="Z27">
        <v>1991</v>
      </c>
      <c r="AA27">
        <f t="shared" si="1"/>
        <v>0.68761979931100303</v>
      </c>
      <c r="AB27">
        <f t="shared" si="1"/>
        <v>0.91670625000004868</v>
      </c>
      <c r="AC27">
        <f t="shared" si="1"/>
        <v>0.63622621323953232</v>
      </c>
    </row>
    <row r="28" spans="1:30" x14ac:dyDescent="0.3">
      <c r="A28">
        <v>1990</v>
      </c>
      <c r="B28" s="2">
        <v>0.50252146365523376</v>
      </c>
      <c r="C28" s="2">
        <v>1.1840000000001965</v>
      </c>
      <c r="D28" s="2">
        <v>0.59498541296789553</v>
      </c>
      <c r="F28">
        <v>1990</v>
      </c>
      <c r="G28" s="33">
        <v>0.75557288227660302</v>
      </c>
      <c r="H28" s="33">
        <v>1.1422500000001889</v>
      </c>
      <c r="I28" s="33">
        <v>0.8630531247805926</v>
      </c>
      <c r="K28">
        <v>1990</v>
      </c>
      <c r="L28" s="2">
        <v>0.60682863482004068</v>
      </c>
      <c r="M28" s="2">
        <v>1.2306500000000025</v>
      </c>
      <c r="N28" s="2">
        <v>0.74679819294960936</v>
      </c>
      <c r="P28">
        <v>1990</v>
      </c>
      <c r="Q28" s="2">
        <v>0.71726364179987789</v>
      </c>
      <c r="R28" s="2">
        <v>0.76912499999999184</v>
      </c>
      <c r="S28" s="2">
        <v>0.54206162644762446</v>
      </c>
      <c r="U28">
        <v>1990</v>
      </c>
      <c r="V28" s="2">
        <v>0.65612063454261005</v>
      </c>
      <c r="W28" s="2">
        <v>1.0830000000000002</v>
      </c>
      <c r="X28" s="2">
        <v>0.66071671664697651</v>
      </c>
      <c r="Z28">
        <v>1990</v>
      </c>
      <c r="AA28">
        <f t="shared" si="1"/>
        <v>0.68394644835978291</v>
      </c>
      <c r="AB28">
        <f t="shared" si="1"/>
        <v>1.0562562500000459</v>
      </c>
      <c r="AC28">
        <f t="shared" si="1"/>
        <v>0.70315741520620079</v>
      </c>
    </row>
    <row r="29" spans="1:30" x14ac:dyDescent="0.3">
      <c r="A29">
        <v>1989</v>
      </c>
      <c r="B29" s="2">
        <v>0.60903768230943323</v>
      </c>
      <c r="C29" s="2">
        <v>1.1100000000001842</v>
      </c>
      <c r="D29" s="2">
        <v>0.67603182736358303</v>
      </c>
      <c r="F29">
        <v>1989</v>
      </c>
      <c r="G29" s="33">
        <v>0.60147413784412451</v>
      </c>
      <c r="H29" s="33">
        <v>0.80719000000013352</v>
      </c>
      <c r="I29" s="33">
        <v>0.48550390932647919</v>
      </c>
      <c r="K29">
        <v>1989</v>
      </c>
      <c r="L29" s="2">
        <v>0.57305042588842547</v>
      </c>
      <c r="M29" s="2">
        <v>0.79984999999999928</v>
      </c>
      <c r="N29" s="2">
        <v>0.42651678705360857</v>
      </c>
      <c r="P29">
        <v>1989</v>
      </c>
      <c r="Q29" s="2">
        <v>0.73716266196337643</v>
      </c>
      <c r="R29" s="2">
        <v>1.0768049999999931</v>
      </c>
      <c r="S29" s="2">
        <v>0.79402770664940436</v>
      </c>
      <c r="U29">
        <v>1989</v>
      </c>
      <c r="V29" s="2">
        <v>0.61801030748080499</v>
      </c>
      <c r="W29" s="2">
        <v>0.71699999999999875</v>
      </c>
      <c r="X29" s="2">
        <v>0.43838210576861875</v>
      </c>
      <c r="Z29">
        <v>1989</v>
      </c>
      <c r="AA29">
        <f t="shared" si="1"/>
        <v>0.63242438329418282</v>
      </c>
      <c r="AB29">
        <f t="shared" si="1"/>
        <v>0.85021125000003117</v>
      </c>
      <c r="AC29">
        <f t="shared" si="1"/>
        <v>0.53610762719952776</v>
      </c>
    </row>
    <row r="30" spans="1:30" x14ac:dyDescent="0.3">
      <c r="A30">
        <v>1988</v>
      </c>
      <c r="B30" s="2">
        <v>0.49803532779906218</v>
      </c>
      <c r="C30" s="2">
        <v>1.073000000000178</v>
      </c>
      <c r="D30" s="2">
        <v>0.53439190672848236</v>
      </c>
      <c r="F30">
        <v>1988</v>
      </c>
      <c r="G30" s="33">
        <v>0.76226637929128449</v>
      </c>
      <c r="H30" s="33">
        <v>1.7362200000002872</v>
      </c>
      <c r="I30" s="33">
        <v>1.3234621330533329</v>
      </c>
      <c r="K30">
        <v>1988</v>
      </c>
      <c r="L30" s="2">
        <v>0.52716806175559072</v>
      </c>
      <c r="M30" s="2">
        <v>0.95374999999999766</v>
      </c>
      <c r="N30" s="2">
        <v>0.51919709233718891</v>
      </c>
      <c r="P30">
        <v>1988</v>
      </c>
      <c r="Q30" s="2">
        <v>0.75722308165373586</v>
      </c>
      <c r="R30" s="2">
        <v>1.0152549999999927</v>
      </c>
      <c r="S30" s="2">
        <v>0.76925528541902533</v>
      </c>
      <c r="U30">
        <v>1988</v>
      </c>
      <c r="V30" s="2">
        <v>0.51458256390804591</v>
      </c>
      <c r="W30" s="2">
        <v>0.94500000000000028</v>
      </c>
      <c r="X30" s="2">
        <v>0.48818425706850832</v>
      </c>
      <c r="Z30">
        <v>1988</v>
      </c>
      <c r="AA30">
        <f t="shared" si="1"/>
        <v>0.64031002165216422</v>
      </c>
      <c r="AB30">
        <f t="shared" si="1"/>
        <v>1.1625562500000695</v>
      </c>
      <c r="AC30">
        <f t="shared" si="1"/>
        <v>0.77502469196951385</v>
      </c>
    </row>
    <row r="31" spans="1:30" x14ac:dyDescent="0.3">
      <c r="A31">
        <v>1987</v>
      </c>
      <c r="B31" s="2">
        <v>0.5799252661491463</v>
      </c>
      <c r="C31" s="2">
        <v>0.98050000000016269</v>
      </c>
      <c r="D31" s="2">
        <v>0.56861672345933234</v>
      </c>
      <c r="F31">
        <v>1987</v>
      </c>
      <c r="G31" s="33">
        <v>0.79306361067364506</v>
      </c>
      <c r="H31" s="33">
        <v>0.62443000000010329</v>
      </c>
      <c r="I31" s="33">
        <v>0.49521271041302611</v>
      </c>
      <c r="K31">
        <v>1987</v>
      </c>
      <c r="L31" s="2">
        <v>0.56424657468312156</v>
      </c>
      <c r="M31" s="2">
        <v>1.1994500000000112</v>
      </c>
      <c r="N31" s="2">
        <v>0.66795130760748378</v>
      </c>
      <c r="P31">
        <v>1987</v>
      </c>
      <c r="Q31" s="2">
        <v>0.66275702259992308</v>
      </c>
      <c r="R31" s="2">
        <v>0.98450999999999134</v>
      </c>
      <c r="S31" s="2">
        <v>0.63683172569335844</v>
      </c>
      <c r="U31">
        <v>1987</v>
      </c>
      <c r="V31" s="2">
        <v>0.69222194439247486</v>
      </c>
      <c r="W31" s="2">
        <v>0.91200000000001324</v>
      </c>
      <c r="X31" s="2">
        <v>0.62598317157331329</v>
      </c>
      <c r="Z31">
        <v>1987</v>
      </c>
      <c r="AA31">
        <f t="shared" si="1"/>
        <v>0.67807228808729114</v>
      </c>
      <c r="AB31">
        <f t="shared" si="1"/>
        <v>0.93009750000002978</v>
      </c>
      <c r="AC31">
        <f t="shared" si="1"/>
        <v>0.60649472882179545</v>
      </c>
    </row>
    <row r="32" spans="1:30" x14ac:dyDescent="0.3">
      <c r="A32">
        <v>1986</v>
      </c>
      <c r="B32" s="2">
        <v>0.87408361663777001</v>
      </c>
      <c r="C32" s="2">
        <v>0.94350000000015655</v>
      </c>
      <c r="D32" s="2">
        <v>0.82469789229787283</v>
      </c>
      <c r="F32">
        <v>1986</v>
      </c>
      <c r="G32" s="33">
        <v>0.74093721810166024</v>
      </c>
      <c r="H32" s="33">
        <v>1.8428300000003048</v>
      </c>
      <c r="I32" s="33">
        <v>1.3654213336345085</v>
      </c>
      <c r="K32">
        <v>1986</v>
      </c>
      <c r="L32" s="2">
        <v>0.77308993976563956</v>
      </c>
      <c r="M32" s="2">
        <v>0.70745000000000857</v>
      </c>
      <c r="N32" s="2">
        <v>0.55675474827985494</v>
      </c>
      <c r="P32">
        <v>1986</v>
      </c>
      <c r="Q32" s="2">
        <v>0.78319910724484387</v>
      </c>
      <c r="R32" s="2">
        <v>1.3228849999999941</v>
      </c>
      <c r="S32" s="2">
        <v>1.0434160876062517</v>
      </c>
      <c r="U32">
        <v>1986</v>
      </c>
      <c r="V32" s="2">
        <v>0.71920155873373504</v>
      </c>
      <c r="W32" s="2">
        <v>0.99299999999999855</v>
      </c>
      <c r="X32" s="2">
        <v>0.71378456596511053</v>
      </c>
      <c r="Z32">
        <v>1986</v>
      </c>
      <c r="AA32">
        <f t="shared" si="1"/>
        <v>0.7541069559614697</v>
      </c>
      <c r="AB32">
        <f t="shared" si="1"/>
        <v>1.2165412500000765</v>
      </c>
      <c r="AC32">
        <f t="shared" si="1"/>
        <v>0.91984418387143141</v>
      </c>
    </row>
    <row r="33" spans="1:29" x14ac:dyDescent="0.3">
      <c r="A33">
        <v>1985</v>
      </c>
      <c r="B33" s="2">
        <v>0.82439130410840933</v>
      </c>
      <c r="C33" s="2">
        <v>0.72150000000011971</v>
      </c>
      <c r="D33" s="2">
        <v>0.59479832591431603</v>
      </c>
      <c r="F33">
        <v>1985</v>
      </c>
      <c r="G33" s="33">
        <v>0.91683388290840029</v>
      </c>
      <c r="H33" s="33">
        <v>1.2945500000002141</v>
      </c>
      <c r="I33" s="33">
        <v>1.1868873031192659</v>
      </c>
      <c r="K33">
        <v>1985</v>
      </c>
      <c r="L33" s="2">
        <v>0.77746703677571294</v>
      </c>
      <c r="M33" s="2">
        <v>0.89205000000000112</v>
      </c>
      <c r="N33" s="2">
        <v>0.78144572922296007</v>
      </c>
      <c r="P33">
        <v>1985</v>
      </c>
      <c r="Q33" s="2">
        <v>0.80699207711055865</v>
      </c>
      <c r="R33" s="2">
        <v>0.86142999999999503</v>
      </c>
      <c r="S33" s="2">
        <v>0.703406215282397</v>
      </c>
      <c r="U33">
        <v>1985</v>
      </c>
      <c r="V33" s="2">
        <v>0.73203931506742381</v>
      </c>
      <c r="W33" s="2">
        <v>1.0020000000000095</v>
      </c>
      <c r="X33" s="2">
        <v>0.73015132869826527</v>
      </c>
      <c r="Z33">
        <v>1985</v>
      </c>
      <c r="AA33">
        <f t="shared" si="1"/>
        <v>0.80833307796552389</v>
      </c>
      <c r="AB33">
        <f t="shared" si="1"/>
        <v>1.012507500000055</v>
      </c>
      <c r="AC33">
        <f t="shared" si="1"/>
        <v>0.85047264408072198</v>
      </c>
    </row>
    <row r="34" spans="1:29" x14ac:dyDescent="0.3">
      <c r="A34">
        <v>1984</v>
      </c>
      <c r="B34" s="2">
        <v>1.0347599991589467</v>
      </c>
      <c r="C34" s="2">
        <v>1.7020000000002824</v>
      </c>
      <c r="D34" s="2">
        <v>1.7611615185688194</v>
      </c>
      <c r="F34">
        <v>1984</v>
      </c>
      <c r="G34" s="33">
        <v>0.80486669348556328</v>
      </c>
      <c r="H34" s="33">
        <v>1.0965600000001814</v>
      </c>
      <c r="I34" s="33">
        <v>0.88258462140867522</v>
      </c>
      <c r="K34">
        <v>1984</v>
      </c>
      <c r="L34" s="2">
        <v>0.6711455359921854</v>
      </c>
      <c r="M34" s="2">
        <v>0.86125000000000895</v>
      </c>
      <c r="N34" s="2">
        <v>0.60069712483454496</v>
      </c>
      <c r="P34">
        <v>1984</v>
      </c>
      <c r="Q34" s="2">
        <v>0.767450460620835</v>
      </c>
      <c r="R34" s="2">
        <v>1.0767849999999886</v>
      </c>
      <c r="S34" s="2">
        <v>0.82951931499231246</v>
      </c>
      <c r="U34">
        <v>1984</v>
      </c>
      <c r="V34" s="2">
        <v>0.58660047407673177</v>
      </c>
      <c r="W34" s="2">
        <v>0.85800000000000409</v>
      </c>
      <c r="X34" s="2">
        <v>0.50206452623965259</v>
      </c>
      <c r="Z34">
        <v>1984</v>
      </c>
      <c r="AA34">
        <f t="shared" si="1"/>
        <v>0.70751579104382889</v>
      </c>
      <c r="AB34">
        <f t="shared" si="1"/>
        <v>0.97314875000004575</v>
      </c>
      <c r="AC34">
        <f t="shared" si="1"/>
        <v>0.70371639686879628</v>
      </c>
    </row>
    <row r="35" spans="1:29" x14ac:dyDescent="0.3">
      <c r="A35">
        <v>1983</v>
      </c>
      <c r="B35" s="2">
        <v>0.87794557710629029</v>
      </c>
      <c r="C35" s="2">
        <v>1.073000000000178</v>
      </c>
      <c r="D35" s="2">
        <v>0.94203560423520583</v>
      </c>
      <c r="F35">
        <v>1983</v>
      </c>
      <c r="G35" s="33">
        <v>0.80811610157442026</v>
      </c>
      <c r="H35" s="33">
        <v>0.8681100000001436</v>
      </c>
      <c r="I35" s="33">
        <v>0.70153366893788605</v>
      </c>
      <c r="K35">
        <v>1983</v>
      </c>
      <c r="L35" s="2">
        <v>0.78033679487186247</v>
      </c>
      <c r="M35" s="2">
        <v>0.95355000000000345</v>
      </c>
      <c r="N35" s="2">
        <v>0.81450770768202641</v>
      </c>
      <c r="P35">
        <v>1983</v>
      </c>
      <c r="Q35" s="2">
        <v>0.66536298599220101</v>
      </c>
      <c r="R35" s="2">
        <v>1.3228949999999919</v>
      </c>
      <c r="S35" s="2">
        <v>0.88282402665577842</v>
      </c>
      <c r="U35">
        <v>1983</v>
      </c>
      <c r="V35" s="2">
        <v>0.53763329283502936</v>
      </c>
      <c r="W35" s="2">
        <v>0.90300000000000225</v>
      </c>
      <c r="X35" s="2">
        <v>0.47971216269493039</v>
      </c>
      <c r="Z35">
        <v>1983</v>
      </c>
      <c r="AA35">
        <f t="shared" si="1"/>
        <v>0.69786229381837828</v>
      </c>
      <c r="AB35">
        <f t="shared" si="1"/>
        <v>1.0118887500000353</v>
      </c>
      <c r="AC35">
        <f t="shared" si="1"/>
        <v>0.71964439149265536</v>
      </c>
    </row>
    <row r="36" spans="1:29" x14ac:dyDescent="0.3">
      <c r="A36">
        <v>1982</v>
      </c>
      <c r="B36" s="2">
        <v>0.84868267893576177</v>
      </c>
      <c r="C36" s="2">
        <v>0.99900000000016576</v>
      </c>
      <c r="D36" s="2">
        <v>0.84783399625696665</v>
      </c>
      <c r="F36">
        <v>1982</v>
      </c>
      <c r="G36" s="33">
        <v>0.80287254435759992</v>
      </c>
      <c r="H36" s="33">
        <v>0.83765000000013856</v>
      </c>
      <c r="I36" s="33">
        <v>0.67252618678125486</v>
      </c>
      <c r="K36">
        <v>1982</v>
      </c>
      <c r="L36" s="2">
        <v>0.74777002756884015</v>
      </c>
      <c r="M36" s="2">
        <v>1.0458500000000086</v>
      </c>
      <c r="N36" s="2">
        <v>0.81981085639979945</v>
      </c>
      <c r="P36">
        <v>1982</v>
      </c>
      <c r="Q36" s="2">
        <v>0.66076015791343479</v>
      </c>
      <c r="R36" s="2">
        <v>0.89219499999999385</v>
      </c>
      <c r="S36" s="2">
        <v>0.58965696231728137</v>
      </c>
      <c r="U36">
        <v>1982</v>
      </c>
      <c r="V36" s="2">
        <v>0.61020537473973224</v>
      </c>
      <c r="W36" s="2">
        <v>0.86100000000000776</v>
      </c>
      <c r="X36" s="2">
        <v>0.52944101674623034</v>
      </c>
      <c r="Z36">
        <v>1982</v>
      </c>
      <c r="AA36">
        <f t="shared" si="1"/>
        <v>0.70540202614490166</v>
      </c>
      <c r="AB36">
        <f t="shared" si="1"/>
        <v>0.9091737500000372</v>
      </c>
      <c r="AC36">
        <f t="shared" si="1"/>
        <v>0.65285875556114148</v>
      </c>
    </row>
    <row r="37" spans="1:29" x14ac:dyDescent="0.3">
      <c r="B37" s="2"/>
      <c r="C37" s="2"/>
      <c r="D37" s="2"/>
      <c r="K37">
        <v>1981</v>
      </c>
      <c r="L37" s="2">
        <v>0.93029318572324948</v>
      </c>
      <c r="M37" s="2">
        <v>1.3533500000000096</v>
      </c>
      <c r="N37" s="2">
        <v>1.3046115979613848</v>
      </c>
      <c r="P37">
        <v>1981</v>
      </c>
      <c r="Q37" s="2">
        <v>0.67817969424034652</v>
      </c>
      <c r="R37" s="2">
        <v>1.1998449999999909</v>
      </c>
      <c r="S37" s="2">
        <v>0.78488313733350923</v>
      </c>
      <c r="U37">
        <v>1981</v>
      </c>
      <c r="V37" s="2">
        <v>0.69449600397336675</v>
      </c>
      <c r="W37" s="2">
        <v>0.92400000000000304</v>
      </c>
      <c r="X37" s="2">
        <v>0.64134373561817148</v>
      </c>
      <c r="Z37">
        <v>1981</v>
      </c>
      <c r="AA37">
        <f t="shared" si="1"/>
        <v>0.76765629464565421</v>
      </c>
      <c r="AB37">
        <f t="shared" si="1"/>
        <v>1.1590650000000011</v>
      </c>
      <c r="AC37">
        <f t="shared" si="1"/>
        <v>0.91027949030435507</v>
      </c>
    </row>
    <row r="38" spans="1:29" x14ac:dyDescent="0.3">
      <c r="K38">
        <v>1980</v>
      </c>
      <c r="L38" s="2">
        <v>0.85337161306901299</v>
      </c>
      <c r="M38" s="2">
        <v>1.1072500000000076</v>
      </c>
      <c r="N38" s="2">
        <v>0.91452633287095164</v>
      </c>
      <c r="P38">
        <v>1980</v>
      </c>
      <c r="Q38" s="2">
        <v>0.62270223021697901</v>
      </c>
      <c r="R38" s="2">
        <v>0.98448999999999209</v>
      </c>
      <c r="S38" s="2">
        <v>0.61304392582567535</v>
      </c>
      <c r="U38">
        <v>1980</v>
      </c>
      <c r="V38" s="2">
        <v>0.89039353245495834</v>
      </c>
      <c r="W38" s="2">
        <v>0.81600000000000605</v>
      </c>
      <c r="X38" s="2">
        <v>0.73173887207270949</v>
      </c>
      <c r="Z38">
        <v>1980</v>
      </c>
      <c r="AA38">
        <f t="shared" si="1"/>
        <v>0.78882245858031685</v>
      </c>
      <c r="AB38">
        <f t="shared" si="1"/>
        <v>0.96924666666666859</v>
      </c>
      <c r="AC38">
        <f t="shared" si="1"/>
        <v>0.75310304358977886</v>
      </c>
    </row>
    <row r="39" spans="1:29" x14ac:dyDescent="0.3">
      <c r="K39">
        <v>1979</v>
      </c>
      <c r="L39" s="2">
        <v>0.82012318739592382</v>
      </c>
      <c r="M39" s="2">
        <v>1.2302500000000123</v>
      </c>
      <c r="N39" s="2">
        <v>0.98323202488688777</v>
      </c>
      <c r="P39">
        <v>1979</v>
      </c>
      <c r="Q39" s="2">
        <v>0.94102333078191425</v>
      </c>
      <c r="R39" s="2">
        <v>0.7999299999999927</v>
      </c>
      <c r="S39" s="2">
        <v>0.74575634970463023</v>
      </c>
      <c r="U39">
        <v>1979</v>
      </c>
      <c r="V39" s="2">
        <v>0.90963101077115072</v>
      </c>
      <c r="W39" s="2">
        <v>0.81300000000000594</v>
      </c>
      <c r="X39" s="2">
        <v>0.73964033205184576</v>
      </c>
      <c r="Z39">
        <v>1979</v>
      </c>
      <c r="AA39">
        <f t="shared" si="1"/>
        <v>0.89025917631632956</v>
      </c>
      <c r="AB39">
        <f t="shared" si="1"/>
        <v>0.94772666666667027</v>
      </c>
      <c r="AC39">
        <f t="shared" si="1"/>
        <v>0.82287623554778788</v>
      </c>
    </row>
    <row r="40" spans="1:29" x14ac:dyDescent="0.3">
      <c r="K40">
        <v>1978</v>
      </c>
      <c r="L40" s="2">
        <v>0.9895689464205436</v>
      </c>
      <c r="M40" s="2">
        <v>1.1688000000000045</v>
      </c>
      <c r="N40" s="2">
        <v>1.1586644851100418</v>
      </c>
      <c r="P40">
        <v>1978</v>
      </c>
      <c r="Q40" s="2">
        <v>0.58396358572640739</v>
      </c>
      <c r="R40" s="2">
        <v>0.86122499999999746</v>
      </c>
      <c r="S40" s="2">
        <v>0.50061300155262867</v>
      </c>
      <c r="U40">
        <v>1978</v>
      </c>
      <c r="V40" s="2">
        <v>0.80159334194226006</v>
      </c>
      <c r="W40" s="2">
        <v>0.83400000000000318</v>
      </c>
      <c r="X40" s="2">
        <v>0.66995887101354046</v>
      </c>
      <c r="Z40">
        <v>1978</v>
      </c>
      <c r="AA40">
        <f t="shared" si="1"/>
        <v>0.79170862469640368</v>
      </c>
      <c r="AB40">
        <f t="shared" si="1"/>
        <v>0.95467500000000172</v>
      </c>
      <c r="AC40">
        <f t="shared" si="1"/>
        <v>0.77641211922540376</v>
      </c>
    </row>
    <row r="41" spans="1:29" x14ac:dyDescent="0.3">
      <c r="K41">
        <v>1977</v>
      </c>
      <c r="L41" s="2">
        <v>0.91516845475343067</v>
      </c>
      <c r="M41" s="2">
        <v>0.92255000000001175</v>
      </c>
      <c r="N41" s="2">
        <v>0.84070675809853523</v>
      </c>
      <c r="P41">
        <v>1977</v>
      </c>
      <c r="Q41" s="2">
        <v>0.6949071979868533</v>
      </c>
      <c r="R41" s="2">
        <v>0.92271000000000214</v>
      </c>
      <c r="S41" s="2">
        <v>0.63740937276119392</v>
      </c>
      <c r="U41">
        <v>1977</v>
      </c>
      <c r="V41" s="2">
        <v>0.89431009363676717</v>
      </c>
      <c r="W41" s="2">
        <v>0.92700000000000315</v>
      </c>
      <c r="X41" s="2">
        <v>0.82840047949949747</v>
      </c>
      <c r="Z41">
        <v>1977</v>
      </c>
      <c r="AA41">
        <f t="shared" si="1"/>
        <v>0.83479524879235034</v>
      </c>
      <c r="AB41">
        <f t="shared" si="1"/>
        <v>0.92408666666667238</v>
      </c>
      <c r="AC41">
        <f t="shared" si="1"/>
        <v>0.76883887011974217</v>
      </c>
    </row>
    <row r="42" spans="1:29" x14ac:dyDescent="0.3">
      <c r="K42">
        <v>1976</v>
      </c>
      <c r="L42" s="2">
        <v>0.85404013161630354</v>
      </c>
      <c r="M42" s="2">
        <v>1.1377500000000182</v>
      </c>
      <c r="N42" s="2">
        <v>0.96829987095576286</v>
      </c>
      <c r="P42">
        <v>1976</v>
      </c>
      <c r="Q42" s="2">
        <v>0.58990273393689596</v>
      </c>
      <c r="R42" s="2">
        <v>0.76897499999999752</v>
      </c>
      <c r="S42" s="2">
        <v>0.45169534367231928</v>
      </c>
      <c r="U42">
        <v>1976</v>
      </c>
      <c r="V42" s="2">
        <v>0.85699678792268497</v>
      </c>
      <c r="W42" s="2">
        <v>0.74400000000000688</v>
      </c>
      <c r="X42" s="2">
        <v>0.6382020135217048</v>
      </c>
      <c r="Z42">
        <v>1976</v>
      </c>
      <c r="AA42">
        <f t="shared" si="1"/>
        <v>0.76697988449196153</v>
      </c>
      <c r="AB42">
        <f t="shared" si="1"/>
        <v>0.88357500000000755</v>
      </c>
      <c r="AC42">
        <f t="shared" si="1"/>
        <v>0.68606574271659559</v>
      </c>
    </row>
    <row r="43" spans="1:29" x14ac:dyDescent="0.3">
      <c r="K43">
        <v>1975</v>
      </c>
      <c r="L43" s="2">
        <v>0.89822413356091457</v>
      </c>
      <c r="M43" s="2">
        <v>1.0762500000000159</v>
      </c>
      <c r="N43" s="2">
        <v>0.97974578802897239</v>
      </c>
      <c r="P43">
        <v>1975</v>
      </c>
      <c r="Q43" s="2">
        <v>0.66688544810036199</v>
      </c>
      <c r="R43" s="2">
        <v>1.0149749999999997</v>
      </c>
      <c r="S43" s="2">
        <v>0.6817840371234688</v>
      </c>
      <c r="U43">
        <v>1975</v>
      </c>
      <c r="V43" s="2">
        <v>0.77929609978813352</v>
      </c>
      <c r="W43" s="2">
        <v>0.90600000000000591</v>
      </c>
      <c r="X43" s="2">
        <v>0.70596584376849925</v>
      </c>
      <c r="Z43">
        <v>1975</v>
      </c>
      <c r="AA43">
        <f t="shared" si="1"/>
        <v>0.78146856048313673</v>
      </c>
      <c r="AB43">
        <f t="shared" si="1"/>
        <v>0.99907500000000715</v>
      </c>
      <c r="AC43">
        <f t="shared" si="1"/>
        <v>0.78916522297364688</v>
      </c>
    </row>
    <row r="44" spans="1:29" x14ac:dyDescent="0.3">
      <c r="K44">
        <v>1974</v>
      </c>
      <c r="L44" s="2">
        <v>1.0672407384702209</v>
      </c>
      <c r="M44" s="2">
        <v>1.0762500000000159</v>
      </c>
      <c r="N44" s="2">
        <v>1.2456628726409276</v>
      </c>
      <c r="P44">
        <v>1974</v>
      </c>
      <c r="Q44" s="2">
        <v>0.63046331522771881</v>
      </c>
      <c r="R44" s="2">
        <v>0.79968000000000217</v>
      </c>
      <c r="S44" s="2">
        <v>0.50356561583088877</v>
      </c>
      <c r="U44">
        <v>1974</v>
      </c>
      <c r="V44" s="2">
        <v>0.80884510620716243</v>
      </c>
      <c r="W44" s="2">
        <v>0.72000000000000242</v>
      </c>
      <c r="X44" s="2">
        <v>0.58236847646915901</v>
      </c>
      <c r="Z44">
        <v>1974</v>
      </c>
      <c r="AA44">
        <f t="shared" si="1"/>
        <v>0.83551638663503403</v>
      </c>
      <c r="AB44">
        <f t="shared" si="1"/>
        <v>0.8653100000000068</v>
      </c>
      <c r="AC44">
        <f t="shared" si="1"/>
        <v>0.77719898831365841</v>
      </c>
    </row>
    <row r="45" spans="1:29" x14ac:dyDescent="0.3">
      <c r="K45">
        <v>1973</v>
      </c>
      <c r="L45" s="2">
        <v>1.14852263409818</v>
      </c>
      <c r="M45" s="2">
        <v>1.0455000000000148</v>
      </c>
      <c r="N45" s="2">
        <v>1.2007804139496634</v>
      </c>
      <c r="P45">
        <v>1973</v>
      </c>
      <c r="Q45" s="2">
        <v>0.71200347713312007</v>
      </c>
      <c r="R45" s="2">
        <v>0.98422499999999857</v>
      </c>
      <c r="S45" s="2">
        <v>0.69673135474760839</v>
      </c>
      <c r="U45">
        <v>1973</v>
      </c>
      <c r="V45" s="2">
        <v>0.82623385027551632</v>
      </c>
      <c r="W45" s="2">
        <v>0.81000000000000227</v>
      </c>
      <c r="X45" s="2">
        <v>0.67775363034208125</v>
      </c>
      <c r="Z45">
        <v>1973</v>
      </c>
      <c r="AA45">
        <f t="shared" si="1"/>
        <v>0.89558665383560543</v>
      </c>
      <c r="AB45">
        <f t="shared" si="1"/>
        <v>0.94657500000000516</v>
      </c>
      <c r="AC45">
        <f t="shared" si="1"/>
        <v>0.85842179967978438</v>
      </c>
    </row>
    <row r="46" spans="1:29" x14ac:dyDescent="0.3">
      <c r="K46">
        <v>1972</v>
      </c>
      <c r="L46" s="2">
        <v>0.85798613598789975</v>
      </c>
      <c r="M46" s="2">
        <v>0.95325000000001481</v>
      </c>
      <c r="N46" s="2">
        <v>0.81968863550018189</v>
      </c>
      <c r="P46">
        <v>1972</v>
      </c>
      <c r="Q46" s="2">
        <v>0.75856741738393207</v>
      </c>
      <c r="R46" s="2">
        <v>0.86119500000000215</v>
      </c>
      <c r="S46" s="2">
        <v>0.65343001643443488</v>
      </c>
      <c r="U46">
        <v>1972</v>
      </c>
      <c r="V46" s="2">
        <v>0.54778338096695889</v>
      </c>
      <c r="W46" s="2">
        <v>0.97500000000000853</v>
      </c>
      <c r="X46" s="2">
        <v>0.5350999424776286</v>
      </c>
      <c r="Z46">
        <v>1972</v>
      </c>
      <c r="AA46">
        <f t="shared" si="1"/>
        <v>0.72144564477959694</v>
      </c>
      <c r="AB46">
        <f t="shared" si="1"/>
        <v>0.9298150000000085</v>
      </c>
      <c r="AC46">
        <f t="shared" si="1"/>
        <v>0.6694061981374152</v>
      </c>
    </row>
    <row r="47" spans="1:29" x14ac:dyDescent="0.3">
      <c r="K47">
        <v>1971</v>
      </c>
      <c r="L47" s="2">
        <v>0.86006293352650398</v>
      </c>
      <c r="M47" s="2">
        <v>1.0762500000000159</v>
      </c>
      <c r="N47" s="2">
        <v>0.93425005249656412</v>
      </c>
      <c r="P47">
        <v>1971</v>
      </c>
      <c r="Q47" s="2">
        <v>0.75128274208852364</v>
      </c>
      <c r="R47" s="2">
        <v>0.86118000000000094</v>
      </c>
      <c r="S47" s="2">
        <v>0.66326874486604059</v>
      </c>
      <c r="U47">
        <v>1971</v>
      </c>
      <c r="V47" s="2">
        <v>0.5761617043441265</v>
      </c>
      <c r="W47" s="2">
        <v>1.0200000000000031</v>
      </c>
      <c r="X47" s="2">
        <v>0.5808967932842366</v>
      </c>
      <c r="Z47">
        <v>1971</v>
      </c>
      <c r="AA47">
        <f t="shared" si="1"/>
        <v>0.72916912665305134</v>
      </c>
      <c r="AB47">
        <f t="shared" si="1"/>
        <v>0.98581000000000663</v>
      </c>
      <c r="AC47">
        <f t="shared" si="1"/>
        <v>0.72613853021561381</v>
      </c>
    </row>
    <row r="48" spans="1:29" x14ac:dyDescent="0.3">
      <c r="K48">
        <v>1970</v>
      </c>
      <c r="L48" s="2">
        <v>0.86926447850477984</v>
      </c>
      <c r="M48" s="2">
        <v>1.2607500000000194</v>
      </c>
      <c r="N48" s="2">
        <v>1.0670397011655373</v>
      </c>
      <c r="P48">
        <v>1970</v>
      </c>
      <c r="Q48" s="2">
        <v>0.99569462095956263</v>
      </c>
      <c r="R48" s="2">
        <v>1.0149450000000044</v>
      </c>
      <c r="S48" s="2">
        <v>1.023181335455865</v>
      </c>
      <c r="U48">
        <v>1970</v>
      </c>
      <c r="V48" s="2">
        <v>0.6468045266738256</v>
      </c>
      <c r="W48" s="2">
        <v>0.81300000000000594</v>
      </c>
      <c r="X48" s="2">
        <v>0.52622047499847757</v>
      </c>
      <c r="Z48">
        <v>1970</v>
      </c>
      <c r="AA48">
        <f t="shared" si="1"/>
        <v>0.83725454204605609</v>
      </c>
      <c r="AB48">
        <f t="shared" si="1"/>
        <v>1.0295650000000098</v>
      </c>
      <c r="AC48">
        <f t="shared" si="1"/>
        <v>0.87214717053995994</v>
      </c>
    </row>
    <row r="49" spans="11:29" x14ac:dyDescent="0.3">
      <c r="K49">
        <v>1969</v>
      </c>
      <c r="L49" s="2">
        <v>0.78928831408450084</v>
      </c>
      <c r="M49" s="2">
        <v>1.0147500000000171</v>
      </c>
      <c r="N49" s="2">
        <v>0.80664215934946937</v>
      </c>
      <c r="P49">
        <v>1969</v>
      </c>
      <c r="Q49" s="2">
        <v>0.92779852290412601</v>
      </c>
      <c r="R49" s="2">
        <v>0.73813500000000332</v>
      </c>
      <c r="S49" s="2">
        <v>0.66940443360427415</v>
      </c>
      <c r="U49">
        <v>1969</v>
      </c>
      <c r="V49" s="2">
        <v>0.5773347216552891</v>
      </c>
      <c r="W49" s="2">
        <v>0.86700000000001154</v>
      </c>
      <c r="X49" s="2">
        <v>0.51938703498260574</v>
      </c>
      <c r="Z49">
        <v>1969</v>
      </c>
      <c r="AA49">
        <f t="shared" si="1"/>
        <v>0.76480718621463861</v>
      </c>
      <c r="AB49">
        <f t="shared" si="1"/>
        <v>0.8732950000000107</v>
      </c>
      <c r="AC49">
        <f t="shared" si="1"/>
        <v>0.66514454264544975</v>
      </c>
    </row>
    <row r="50" spans="11:29" x14ac:dyDescent="0.3">
      <c r="K50">
        <v>1968</v>
      </c>
      <c r="L50" s="2">
        <v>0.80596840063187669</v>
      </c>
      <c r="M50" s="2">
        <v>0.98400000000000887</v>
      </c>
      <c r="N50" s="2">
        <v>0.76708603436549416</v>
      </c>
      <c r="P50">
        <v>1968</v>
      </c>
      <c r="Q50" s="2">
        <v>0.79998842210400412</v>
      </c>
      <c r="R50" s="2">
        <v>1.1379900000000021</v>
      </c>
      <c r="S50" s="2">
        <v>0.88941273418498468</v>
      </c>
      <c r="U50">
        <v>1968</v>
      </c>
      <c r="V50" s="2">
        <v>0.6151197557920649</v>
      </c>
      <c r="W50" s="2">
        <v>0.57900000000000418</v>
      </c>
      <c r="X50" s="2">
        <v>0.34934929050925223</v>
      </c>
      <c r="Z50">
        <v>1968</v>
      </c>
      <c r="AA50">
        <f t="shared" si="1"/>
        <v>0.74035885950931524</v>
      </c>
      <c r="AB50">
        <f t="shared" si="1"/>
        <v>0.90033000000000507</v>
      </c>
      <c r="AC50">
        <f t="shared" si="1"/>
        <v>0.66861601968657691</v>
      </c>
    </row>
    <row r="51" spans="11:29" x14ac:dyDescent="0.3">
      <c r="K51">
        <v>1967</v>
      </c>
      <c r="L51" s="2">
        <v>0.77106668049929805</v>
      </c>
      <c r="M51" s="2">
        <v>1.0762500000000159</v>
      </c>
      <c r="N51" s="2">
        <v>0.80674068460658444</v>
      </c>
      <c r="P51">
        <v>1967</v>
      </c>
      <c r="Q51" s="2">
        <v>0.83339101809092442</v>
      </c>
      <c r="R51" s="2">
        <v>0.8919150000000009</v>
      </c>
      <c r="S51" s="2">
        <v>0.72849599383080332</v>
      </c>
      <c r="U51">
        <v>1967</v>
      </c>
      <c r="V51" s="2">
        <v>0.45673324284023353</v>
      </c>
      <c r="W51" s="2">
        <v>1.1670000000000122</v>
      </c>
      <c r="X51" s="2">
        <v>0.54462181778776408</v>
      </c>
      <c r="Z51">
        <v>1967</v>
      </c>
      <c r="AA51">
        <f t="shared" si="1"/>
        <v>0.68706364714348533</v>
      </c>
      <c r="AB51">
        <f t="shared" si="1"/>
        <v>1.0450550000000096</v>
      </c>
      <c r="AC51">
        <f t="shared" si="1"/>
        <v>0.69328616540838395</v>
      </c>
    </row>
    <row r="52" spans="11:29" x14ac:dyDescent="0.3">
      <c r="K52">
        <v>1966</v>
      </c>
      <c r="L52" s="2">
        <v>0.73602325490666343</v>
      </c>
      <c r="M52" s="2">
        <v>1.1377500000000182</v>
      </c>
      <c r="N52" s="2">
        <v>0.82547989892099372</v>
      </c>
      <c r="P52">
        <v>1966</v>
      </c>
      <c r="Q52" s="2">
        <v>0.81070761023016269</v>
      </c>
      <c r="R52" s="2">
        <v>0.86120999999999981</v>
      </c>
      <c r="S52" s="2">
        <v>0.69820667159594074</v>
      </c>
      <c r="U52">
        <v>1966</v>
      </c>
      <c r="V52" s="2">
        <v>0.44310650123246753</v>
      </c>
      <c r="W52" s="2">
        <v>1.3560000000000123</v>
      </c>
      <c r="X52" s="2">
        <v>0.595061463748772</v>
      </c>
      <c r="Z52">
        <v>1966</v>
      </c>
      <c r="AA52">
        <f t="shared" si="1"/>
        <v>0.66327912212309792</v>
      </c>
      <c r="AB52">
        <f t="shared" si="1"/>
        <v>1.1183200000000102</v>
      </c>
      <c r="AC52">
        <f t="shared" si="1"/>
        <v>0.70624934475523549</v>
      </c>
    </row>
    <row r="53" spans="11:29" x14ac:dyDescent="0.3">
      <c r="K53">
        <v>1965</v>
      </c>
      <c r="L53" s="2">
        <v>0.64331767435975162</v>
      </c>
      <c r="M53" s="2">
        <v>1.0455000000000148</v>
      </c>
      <c r="N53" s="2">
        <v>0.65666893258770243</v>
      </c>
      <c r="P53">
        <v>1965</v>
      </c>
      <c r="Q53" s="2">
        <v>0.8355585291121167</v>
      </c>
      <c r="R53" s="2">
        <v>1.3839900000000078</v>
      </c>
      <c r="S53" s="2">
        <v>1.2168493738058528</v>
      </c>
      <c r="U53">
        <v>1965</v>
      </c>
      <c r="V53" s="2">
        <v>0.2952666627398528</v>
      </c>
      <c r="W53" s="2">
        <v>1.1550000000000011</v>
      </c>
      <c r="X53" s="2">
        <v>0.34533991835577238</v>
      </c>
      <c r="Z53">
        <v>1965</v>
      </c>
      <c r="AA53">
        <f t="shared" si="1"/>
        <v>0.59138095540390712</v>
      </c>
      <c r="AB53">
        <f t="shared" si="1"/>
        <v>1.1948300000000078</v>
      </c>
      <c r="AC53">
        <f t="shared" si="1"/>
        <v>0.7396194082497759</v>
      </c>
    </row>
    <row r="54" spans="11:29" x14ac:dyDescent="0.3">
      <c r="K54">
        <v>1964</v>
      </c>
      <c r="L54" s="2">
        <v>0.67956555718654232</v>
      </c>
      <c r="M54" s="2">
        <v>1.1070000000000135</v>
      </c>
      <c r="N54" s="2">
        <v>0.73914905190428082</v>
      </c>
      <c r="P54">
        <v>1964</v>
      </c>
      <c r="Q54" s="2">
        <v>0.76381904641653642</v>
      </c>
      <c r="R54" s="2">
        <v>1.1687100000000044</v>
      </c>
      <c r="S54" s="2">
        <v>0.91948260763958412</v>
      </c>
      <c r="U54">
        <v>1964</v>
      </c>
      <c r="V54" s="2">
        <v>0.42788612018341732</v>
      </c>
      <c r="W54" s="2">
        <v>1.3500000000000121</v>
      </c>
      <c r="X54" s="2">
        <v>0.57926117310164982</v>
      </c>
      <c r="Z54">
        <v>1964</v>
      </c>
      <c r="AA54">
        <f t="shared" si="1"/>
        <v>0.62375690792883198</v>
      </c>
      <c r="AB54">
        <f t="shared" si="1"/>
        <v>1.2085700000000099</v>
      </c>
      <c r="AC54">
        <f t="shared" si="1"/>
        <v>0.74596427754850492</v>
      </c>
    </row>
    <row r="55" spans="11:29" x14ac:dyDescent="0.3">
      <c r="K55">
        <v>1963</v>
      </c>
      <c r="L55" s="2">
        <v>0.83939595241303389</v>
      </c>
      <c r="M55" s="2">
        <v>1.1377500000000182</v>
      </c>
      <c r="N55" s="2">
        <v>0.93600494211824947</v>
      </c>
      <c r="P55">
        <v>1963</v>
      </c>
      <c r="Q55" s="2">
        <v>0.80878178592437378</v>
      </c>
      <c r="R55" s="2">
        <v>0.9227249999999998</v>
      </c>
      <c r="S55" s="2">
        <v>0.74628942123734443</v>
      </c>
      <c r="U55">
        <v>1963</v>
      </c>
      <c r="V55" s="2">
        <v>0.59760319061078238</v>
      </c>
      <c r="W55" s="2">
        <v>0.90300000000000225</v>
      </c>
      <c r="X55" s="2">
        <v>0.5408819890937917</v>
      </c>
      <c r="Z55">
        <v>1963</v>
      </c>
      <c r="AA55">
        <f t="shared" si="1"/>
        <v>0.74859364298273012</v>
      </c>
      <c r="AB55">
        <f t="shared" si="1"/>
        <v>0.98782500000000673</v>
      </c>
      <c r="AC55">
        <f t="shared" si="1"/>
        <v>0.7410587841497952</v>
      </c>
    </row>
    <row r="56" spans="11:29" x14ac:dyDescent="0.3">
      <c r="K56">
        <v>1962</v>
      </c>
      <c r="L56" s="2">
        <v>0.97069644014368572</v>
      </c>
      <c r="M56" s="2">
        <v>1.1685000000000159</v>
      </c>
      <c r="N56" s="2">
        <v>1.1129723658102828</v>
      </c>
      <c r="P56">
        <v>1962</v>
      </c>
      <c r="Q56" s="2">
        <v>0.87478177247717248</v>
      </c>
      <c r="R56" s="2">
        <v>1.2609900000000032</v>
      </c>
      <c r="S56" s="2">
        <v>1.0816424748159748</v>
      </c>
      <c r="U56">
        <v>1962</v>
      </c>
      <c r="V56" s="2">
        <v>0.5682564106044169</v>
      </c>
      <c r="W56" s="2">
        <v>1.2420000000000186</v>
      </c>
      <c r="X56" s="2">
        <v>0.70869313053137106</v>
      </c>
      <c r="Z56">
        <v>1962</v>
      </c>
      <c r="AA56">
        <f t="shared" si="1"/>
        <v>0.80457820774175837</v>
      </c>
      <c r="AB56">
        <f t="shared" si="1"/>
        <v>1.2238300000000126</v>
      </c>
      <c r="AC56">
        <f t="shared" si="1"/>
        <v>0.96776932371920965</v>
      </c>
    </row>
    <row r="57" spans="11:29" x14ac:dyDescent="0.3">
      <c r="K57">
        <v>1961</v>
      </c>
      <c r="L57" s="2">
        <v>0.93128588043147176</v>
      </c>
      <c r="M57" s="2">
        <v>1.4145000000000252</v>
      </c>
      <c r="N57" s="2">
        <v>1.3286855951720937</v>
      </c>
      <c r="P57">
        <v>1961</v>
      </c>
      <c r="Q57" s="2">
        <v>0.85833821831563029</v>
      </c>
      <c r="R57" s="2">
        <v>1.0148850000000067</v>
      </c>
      <c r="S57" s="2">
        <v>0.82625431420923423</v>
      </c>
      <c r="U57">
        <v>1961</v>
      </c>
      <c r="V57" s="2">
        <v>0.50806891727469961</v>
      </c>
      <c r="W57" s="2">
        <v>0.72000000000000597</v>
      </c>
      <c r="X57" s="2">
        <v>0.36580962043778859</v>
      </c>
      <c r="Z57">
        <v>1961</v>
      </c>
      <c r="AA57">
        <f t="shared" si="1"/>
        <v>0.76589767200726711</v>
      </c>
      <c r="AB57">
        <f t="shared" si="1"/>
        <v>1.0497950000000127</v>
      </c>
      <c r="AC57">
        <f t="shared" si="1"/>
        <v>0.84024984327303887</v>
      </c>
    </row>
    <row r="58" spans="11:29" x14ac:dyDescent="0.3">
      <c r="K58">
        <v>1960</v>
      </c>
      <c r="L58" s="2">
        <v>0.76617173703511665</v>
      </c>
      <c r="M58" s="2">
        <v>1.291500000000017</v>
      </c>
      <c r="N58" s="2">
        <v>0.97497523955496601</v>
      </c>
      <c r="P58">
        <v>1960</v>
      </c>
      <c r="Q58" s="2">
        <v>0.87734873654828371</v>
      </c>
      <c r="R58" s="2">
        <v>1.0765349999999998</v>
      </c>
      <c r="S58" s="2">
        <v>0.95198198166607595</v>
      </c>
      <c r="U58">
        <v>1960</v>
      </c>
      <c r="V58" s="2">
        <v>0.6546286432681816</v>
      </c>
      <c r="W58" s="2">
        <v>1.0410000000000004</v>
      </c>
      <c r="X58" s="2">
        <v>0.68081290028210217</v>
      </c>
      <c r="Z58">
        <v>1960</v>
      </c>
      <c r="AA58">
        <f t="shared" si="1"/>
        <v>0.7660497056171941</v>
      </c>
      <c r="AB58">
        <f t="shared" si="1"/>
        <v>1.1363450000000057</v>
      </c>
      <c r="AC58">
        <f t="shared" si="1"/>
        <v>0.86925670716771464</v>
      </c>
    </row>
    <row r="59" spans="11:29" x14ac:dyDescent="0.3">
      <c r="K59">
        <v>1959</v>
      </c>
      <c r="L59" s="2">
        <v>0.87291380798157425</v>
      </c>
      <c r="M59" s="2">
        <v>1.2915000000000205</v>
      </c>
      <c r="N59" s="2">
        <v>1.1286541718233529</v>
      </c>
      <c r="P59">
        <v>1959</v>
      </c>
      <c r="Q59" s="2">
        <v>0.83035521688795821</v>
      </c>
      <c r="R59" s="2">
        <v>1.0765049999999974</v>
      </c>
      <c r="S59" s="2">
        <v>0.89571931377933445</v>
      </c>
      <c r="U59">
        <v>1959</v>
      </c>
      <c r="V59" s="2">
        <v>0.74147591975231064</v>
      </c>
      <c r="W59" s="2">
        <v>1.0440000000000076</v>
      </c>
      <c r="X59" s="2">
        <v>0.77605341933320804</v>
      </c>
      <c r="Z59">
        <v>1959</v>
      </c>
      <c r="AA59">
        <f t="shared" si="1"/>
        <v>0.81491498154061437</v>
      </c>
      <c r="AB59">
        <f t="shared" si="1"/>
        <v>1.1373350000000084</v>
      </c>
      <c r="AC59">
        <f t="shared" si="1"/>
        <v>0.93347563497863184</v>
      </c>
    </row>
    <row r="60" spans="11:29" x14ac:dyDescent="0.3">
      <c r="K60">
        <v>1958</v>
      </c>
      <c r="L60" s="2">
        <v>0.69201293904788752</v>
      </c>
      <c r="M60" s="2">
        <v>1.1070000000000135</v>
      </c>
      <c r="N60" s="2">
        <v>0.76605832352602077</v>
      </c>
      <c r="P60">
        <v>1958</v>
      </c>
      <c r="Q60" s="2">
        <v>0.83317542328973249</v>
      </c>
      <c r="R60" s="2">
        <v>1.1995050000000305</v>
      </c>
      <c r="S60" s="2">
        <v>1.0099910079924499</v>
      </c>
      <c r="U60">
        <v>1958</v>
      </c>
      <c r="V60" s="2">
        <v>0.76023920803179224</v>
      </c>
      <c r="W60" s="2">
        <v>0.882000000000005</v>
      </c>
      <c r="X60" s="2">
        <v>0.67212076111604602</v>
      </c>
      <c r="Z60">
        <v>1958</v>
      </c>
      <c r="AA60">
        <f t="shared" si="1"/>
        <v>0.76180919012313753</v>
      </c>
      <c r="AB60">
        <f t="shared" si="1"/>
        <v>1.0628350000000164</v>
      </c>
      <c r="AC60">
        <f t="shared" si="1"/>
        <v>0.81605669754483889</v>
      </c>
    </row>
    <row r="61" spans="11:29" x14ac:dyDescent="0.3">
      <c r="K61">
        <v>1957</v>
      </c>
      <c r="L61" s="2">
        <v>0.75992428640024401</v>
      </c>
      <c r="M61" s="2">
        <v>0.92250000000001364</v>
      </c>
      <c r="N61" s="2">
        <v>0.70103015420423542</v>
      </c>
      <c r="P61">
        <v>1957</v>
      </c>
      <c r="Q61" s="2">
        <v>0.93022634301734897</v>
      </c>
      <c r="R61" s="2">
        <v>1.01494500000004</v>
      </c>
      <c r="S61" s="2">
        <v>0.94171082115941984</v>
      </c>
      <c r="U61">
        <v>1957</v>
      </c>
      <c r="V61" s="2">
        <v>0.79021060603461424</v>
      </c>
      <c r="W61" s="2">
        <v>1.1190000000000104</v>
      </c>
      <c r="X61" s="2">
        <v>0.8730306048777966</v>
      </c>
      <c r="Z61">
        <v>1957</v>
      </c>
      <c r="AA61">
        <f t="shared" si="1"/>
        <v>0.82678707848406907</v>
      </c>
      <c r="AB61">
        <f t="shared" si="1"/>
        <v>1.0188150000000213</v>
      </c>
      <c r="AC61">
        <f t="shared" si="1"/>
        <v>0.83859052674715062</v>
      </c>
    </row>
    <row r="62" spans="11:29" x14ac:dyDescent="0.3">
      <c r="K62">
        <v>1956</v>
      </c>
      <c r="L62" s="2">
        <v>0.70946068030296328</v>
      </c>
      <c r="M62" s="2">
        <v>1.1992500000000206</v>
      </c>
      <c r="N62" s="2">
        <v>0.86444872940372286</v>
      </c>
      <c r="P62">
        <v>1956</v>
      </c>
      <c r="Q62" s="2">
        <v>0.94143153684461511</v>
      </c>
      <c r="R62" s="2">
        <v>1.0456950000000411</v>
      </c>
      <c r="S62" s="2">
        <v>0.94915060274267704</v>
      </c>
      <c r="U62">
        <v>1956</v>
      </c>
      <c r="V62" s="2">
        <v>0.81179865688327302</v>
      </c>
      <c r="W62" s="2">
        <v>1.0950000000000131</v>
      </c>
      <c r="X62" s="2">
        <v>0.88015424807688747</v>
      </c>
      <c r="Z62">
        <v>1956</v>
      </c>
      <c r="AA62">
        <f t="shared" si="1"/>
        <v>0.82089695801028384</v>
      </c>
      <c r="AB62">
        <f t="shared" si="1"/>
        <v>1.1133150000000249</v>
      </c>
      <c r="AC62">
        <f t="shared" si="1"/>
        <v>0.89791786007442909</v>
      </c>
    </row>
    <row r="63" spans="11:29" x14ac:dyDescent="0.3">
      <c r="K63">
        <v>1955</v>
      </c>
      <c r="L63" s="2">
        <v>0.74330277007338164</v>
      </c>
      <c r="M63" s="2">
        <v>1.1992500000000206</v>
      </c>
      <c r="N63" s="2">
        <v>0.8875642512814399</v>
      </c>
      <c r="P63">
        <v>1955</v>
      </c>
      <c r="Q63" s="2">
        <v>0.81724860190439597</v>
      </c>
      <c r="R63" s="2">
        <v>1.0764900000000459</v>
      </c>
      <c r="S63" s="2">
        <v>0.87713599293962607</v>
      </c>
      <c r="U63">
        <v>1955</v>
      </c>
      <c r="V63" s="2">
        <v>0.79626087929069644</v>
      </c>
      <c r="W63" s="2">
        <v>0.9480000000000004</v>
      </c>
      <c r="X63" s="2">
        <v>0.75427320126818742</v>
      </c>
      <c r="Z63">
        <v>1955</v>
      </c>
      <c r="AA63">
        <f t="shared" si="1"/>
        <v>0.78560408375615809</v>
      </c>
      <c r="AB63">
        <f t="shared" si="1"/>
        <v>1.0745800000000223</v>
      </c>
      <c r="AC63">
        <f t="shared" si="1"/>
        <v>0.83965781516308446</v>
      </c>
    </row>
    <row r="64" spans="11:29" x14ac:dyDescent="0.3">
      <c r="K64">
        <v>1954</v>
      </c>
      <c r="L64" s="2">
        <v>0.73710362281210862</v>
      </c>
      <c r="M64" s="2">
        <v>1.4145000000000181</v>
      </c>
      <c r="N64" s="2">
        <v>1.0416869359712728</v>
      </c>
      <c r="P64">
        <v>1954</v>
      </c>
      <c r="Q64" s="2">
        <v>0.95252946662586591</v>
      </c>
      <c r="R64" s="2">
        <v>0.95344500000004118</v>
      </c>
      <c r="S64" s="2">
        <v>0.89381247865645308</v>
      </c>
      <c r="U64">
        <v>1954</v>
      </c>
      <c r="V64" s="2">
        <v>0.77776588381632716</v>
      </c>
      <c r="W64" s="2">
        <v>1.1400000000000112</v>
      </c>
      <c r="X64" s="2">
        <v>0.88548524113250748</v>
      </c>
      <c r="Z64">
        <v>1954</v>
      </c>
      <c r="AA64">
        <f t="shared" si="1"/>
        <v>0.82246632441810041</v>
      </c>
      <c r="AB64">
        <f t="shared" si="1"/>
        <v>1.1693150000000234</v>
      </c>
      <c r="AC64">
        <f t="shared" si="1"/>
        <v>0.94032821858674442</v>
      </c>
    </row>
    <row r="65" spans="1:29" x14ac:dyDescent="0.3">
      <c r="K65">
        <v>1953</v>
      </c>
      <c r="L65" s="2">
        <v>0.73597317448817812</v>
      </c>
      <c r="M65" s="2">
        <v>0.95325000000001125</v>
      </c>
      <c r="N65" s="2">
        <v>0.67776853917132118</v>
      </c>
      <c r="P65">
        <v>1953</v>
      </c>
      <c r="Q65" s="2">
        <v>0.92836792152646264</v>
      </c>
      <c r="R65" s="2">
        <v>1.0457100000000423</v>
      </c>
      <c r="S65" s="2">
        <v>0.96668411986550884</v>
      </c>
      <c r="U65">
        <v>1953</v>
      </c>
      <c r="V65" s="2">
        <v>0.68994119646482943</v>
      </c>
      <c r="W65" s="2">
        <v>0.85800000000000409</v>
      </c>
      <c r="X65" s="2">
        <v>0.59377598598415271</v>
      </c>
      <c r="Z65">
        <v>1953</v>
      </c>
      <c r="AA65">
        <f t="shared" si="1"/>
        <v>0.78476076415982343</v>
      </c>
      <c r="AB65">
        <f t="shared" si="1"/>
        <v>0.95232000000001926</v>
      </c>
      <c r="AC65">
        <f t="shared" si="1"/>
        <v>0.74607621500699428</v>
      </c>
    </row>
    <row r="66" spans="1:29" x14ac:dyDescent="0.3">
      <c r="K66">
        <v>1952</v>
      </c>
      <c r="L66" s="2">
        <v>0.79436286427064873</v>
      </c>
      <c r="M66" s="2">
        <v>1.2300000000000182</v>
      </c>
      <c r="N66" s="2">
        <v>0.97706632305291241</v>
      </c>
      <c r="P66">
        <v>1952</v>
      </c>
      <c r="Q66" s="2">
        <v>0.99935069030124746</v>
      </c>
      <c r="R66" s="2">
        <v>1.0456800000000328</v>
      </c>
      <c r="S66" s="2">
        <v>1.0434647553960963</v>
      </c>
      <c r="U66">
        <v>1952</v>
      </c>
      <c r="V66" s="2">
        <v>0.69539047312418112</v>
      </c>
      <c r="W66" s="2">
        <v>1.3680000000000092</v>
      </c>
      <c r="X66" s="2">
        <v>0.95589615237272119</v>
      </c>
      <c r="Z66">
        <v>1952</v>
      </c>
      <c r="AA66">
        <f t="shared" si="1"/>
        <v>0.8297013425653591</v>
      </c>
      <c r="AB66">
        <f t="shared" si="1"/>
        <v>1.2145600000000201</v>
      </c>
      <c r="AC66">
        <f t="shared" si="1"/>
        <v>0.99214241027390992</v>
      </c>
    </row>
    <row r="67" spans="1:29" x14ac:dyDescent="0.3">
      <c r="K67">
        <v>1951</v>
      </c>
      <c r="L67" s="2">
        <v>0.8840593156021278</v>
      </c>
      <c r="M67" s="2">
        <v>0.92250000000001364</v>
      </c>
      <c r="N67" s="2">
        <v>0.81554471864297495</v>
      </c>
      <c r="P67">
        <v>1951</v>
      </c>
      <c r="Q67" s="2">
        <v>0.82382176492747328</v>
      </c>
      <c r="R67" s="2">
        <v>1.3225950000000637</v>
      </c>
      <c r="S67" s="2">
        <v>1.0908906787482013</v>
      </c>
      <c r="U67">
        <v>1951</v>
      </c>
      <c r="V67" s="2">
        <v>0.51351744124259158</v>
      </c>
      <c r="W67" s="2">
        <v>1.2959999999999994</v>
      </c>
      <c r="X67" s="2">
        <v>0.66143976702722362</v>
      </c>
      <c r="Z67">
        <v>1951</v>
      </c>
      <c r="AA67">
        <f t="shared" si="1"/>
        <v>0.74046617392406422</v>
      </c>
      <c r="AB67">
        <f t="shared" si="1"/>
        <v>1.1803650000000256</v>
      </c>
      <c r="AC67">
        <f t="shared" si="1"/>
        <v>0.85595838813946656</v>
      </c>
    </row>
    <row r="68" spans="1:29" x14ac:dyDescent="0.3">
      <c r="P68">
        <v>1950</v>
      </c>
      <c r="Q68" s="2">
        <v>0.91671249258132748</v>
      </c>
      <c r="R68" s="2">
        <v>0.9842100000000471</v>
      </c>
      <c r="S68" s="2">
        <v>0.89458554208374386</v>
      </c>
      <c r="Z68">
        <v>1950</v>
      </c>
      <c r="AA68">
        <f t="shared" ref="AA68:AC76" si="3">AVERAGE(V68,Q68,L68,G68)</f>
        <v>0.91671249258132748</v>
      </c>
      <c r="AB68">
        <f t="shared" si="3"/>
        <v>0.9842100000000471</v>
      </c>
      <c r="AC68">
        <f t="shared" si="3"/>
        <v>0.89458554208374386</v>
      </c>
    </row>
    <row r="69" spans="1:29" x14ac:dyDescent="0.3">
      <c r="P69">
        <v>1949</v>
      </c>
      <c r="Q69" s="2">
        <v>1.0171164551613876</v>
      </c>
      <c r="R69" s="2">
        <v>1.1380650000000543</v>
      </c>
      <c r="S69" s="2">
        <v>1.1325751216687574</v>
      </c>
      <c r="Z69">
        <v>1949</v>
      </c>
      <c r="AA69">
        <f t="shared" si="3"/>
        <v>1.0171164551613876</v>
      </c>
      <c r="AB69">
        <f t="shared" si="3"/>
        <v>1.1380650000000543</v>
      </c>
      <c r="AC69">
        <f t="shared" si="3"/>
        <v>1.1325751216687574</v>
      </c>
    </row>
    <row r="70" spans="1:29" x14ac:dyDescent="0.3">
      <c r="P70">
        <v>1948</v>
      </c>
      <c r="Q70" s="2">
        <v>0.87428227202022857</v>
      </c>
      <c r="R70" s="2">
        <v>1.1996250000000686</v>
      </c>
      <c r="S70" s="2">
        <v>0.94991514880745576</v>
      </c>
      <c r="Z70">
        <v>1948</v>
      </c>
      <c r="AA70">
        <f t="shared" si="3"/>
        <v>0.87428227202022857</v>
      </c>
      <c r="AB70">
        <f t="shared" si="3"/>
        <v>1.1996250000000686</v>
      </c>
      <c r="AC70">
        <f t="shared" si="3"/>
        <v>0.94991514880745576</v>
      </c>
    </row>
    <row r="71" spans="1:29" x14ac:dyDescent="0.3">
      <c r="P71">
        <v>1947</v>
      </c>
      <c r="Q71" s="2">
        <v>0.92687696322540614</v>
      </c>
      <c r="R71" s="2">
        <v>1.5070950000000636</v>
      </c>
      <c r="S71" s="2">
        <v>1.4099798308222125</v>
      </c>
      <c r="Z71">
        <v>1947</v>
      </c>
      <c r="AA71">
        <f t="shared" si="3"/>
        <v>0.92687696322540614</v>
      </c>
      <c r="AB71">
        <f t="shared" si="3"/>
        <v>1.5070950000000636</v>
      </c>
      <c r="AC71">
        <f t="shared" si="3"/>
        <v>1.4099798308222125</v>
      </c>
    </row>
    <row r="72" spans="1:29" x14ac:dyDescent="0.3">
      <c r="P72">
        <v>1946</v>
      </c>
      <c r="Q72" s="2">
        <v>0.90129086559029259</v>
      </c>
      <c r="R72" s="2">
        <v>1.1380350000000519</v>
      </c>
      <c r="S72" s="2">
        <v>1.019697769510739</v>
      </c>
      <c r="Z72">
        <v>1946</v>
      </c>
      <c r="AA72">
        <f t="shared" si="3"/>
        <v>0.90129086559029259</v>
      </c>
      <c r="AB72">
        <f t="shared" si="3"/>
        <v>1.1380350000000519</v>
      </c>
      <c r="AC72">
        <f t="shared" si="3"/>
        <v>1.019697769510739</v>
      </c>
    </row>
    <row r="73" spans="1:29" x14ac:dyDescent="0.3">
      <c r="P73">
        <v>1945</v>
      </c>
      <c r="Q73" s="2">
        <v>1.1285432382207232</v>
      </c>
      <c r="R73" s="2">
        <v>1.0764750000000447</v>
      </c>
      <c r="S73" s="2">
        <v>1.2628864014932168</v>
      </c>
      <c r="Z73">
        <v>1945</v>
      </c>
      <c r="AA73">
        <f t="shared" si="3"/>
        <v>1.1285432382207232</v>
      </c>
      <c r="AB73">
        <f t="shared" si="3"/>
        <v>1.0764750000000447</v>
      </c>
      <c r="AC73">
        <f t="shared" si="3"/>
        <v>1.2628864014932168</v>
      </c>
    </row>
    <row r="74" spans="1:29" x14ac:dyDescent="0.3">
      <c r="P74">
        <v>1944</v>
      </c>
      <c r="Q74" s="2">
        <v>0.86681328293455451</v>
      </c>
      <c r="R74" s="2">
        <v>1.4767200000001139</v>
      </c>
      <c r="S74" s="2">
        <v>1.280040511175214</v>
      </c>
      <c r="Z74">
        <v>1944</v>
      </c>
      <c r="AA74">
        <f t="shared" si="3"/>
        <v>0.86681328293455451</v>
      </c>
      <c r="AB74">
        <f t="shared" si="3"/>
        <v>1.4767200000001139</v>
      </c>
      <c r="AC74">
        <f t="shared" si="3"/>
        <v>1.280040511175214</v>
      </c>
    </row>
    <row r="75" spans="1:29" x14ac:dyDescent="0.3">
      <c r="P75">
        <v>1943</v>
      </c>
      <c r="Q75" s="2">
        <v>0.77607042771597012</v>
      </c>
      <c r="R75" s="2">
        <v>1.1075400000000855</v>
      </c>
      <c r="S75" s="2">
        <v>0.85952904151261189</v>
      </c>
      <c r="Z75">
        <v>1943</v>
      </c>
      <c r="AA75">
        <f t="shared" si="3"/>
        <v>0.77607042771597012</v>
      </c>
      <c r="AB75">
        <f t="shared" si="3"/>
        <v>1.1075400000000855</v>
      </c>
      <c r="AC75">
        <f t="shared" si="3"/>
        <v>0.85952904151261189</v>
      </c>
    </row>
    <row r="76" spans="1:29" x14ac:dyDescent="0.3">
      <c r="P76">
        <v>1942</v>
      </c>
      <c r="Q76" s="2">
        <v>0.95796688669110053</v>
      </c>
      <c r="R76" s="2">
        <v>0.92295000000007121</v>
      </c>
      <c r="S76" s="2">
        <v>0.88415553807161951</v>
      </c>
      <c r="Z76">
        <v>1942</v>
      </c>
      <c r="AA76">
        <f t="shared" si="3"/>
        <v>0.95796688669110053</v>
      </c>
      <c r="AB76">
        <f t="shared" si="3"/>
        <v>0.92295000000007121</v>
      </c>
      <c r="AC76">
        <f t="shared" si="3"/>
        <v>0.88415553807161951</v>
      </c>
    </row>
    <row r="79" spans="1:29" x14ac:dyDescent="0.3">
      <c r="A79" t="s">
        <v>4</v>
      </c>
      <c r="B79" s="2">
        <f>AVERAGE(B3:B36)</f>
        <v>0.52378040322765773</v>
      </c>
      <c r="C79" s="2">
        <f t="shared" ref="C79:D79" si="4">AVERAGE(C3:C36)</f>
        <v>1.2549088235294668</v>
      </c>
      <c r="D79" s="2">
        <f t="shared" si="4"/>
        <v>0.63508392359948318</v>
      </c>
      <c r="F79" t="s">
        <v>4</v>
      </c>
      <c r="G79" s="2">
        <f>AVERAGE(G3:G36)</f>
        <v>0.69196932608459405</v>
      </c>
      <c r="H79" s="2">
        <f t="shared" ref="H79:I79" si="5">AVERAGE(H3:H36)</f>
        <v>1.3323832352941807</v>
      </c>
      <c r="I79" s="2">
        <f t="shared" si="5"/>
        <v>0.91393331885473006</v>
      </c>
      <c r="K79" t="s">
        <v>4</v>
      </c>
      <c r="L79" s="2">
        <f>AVERAGE(L3:L68)</f>
        <v>0.73816235344868175</v>
      </c>
      <c r="M79" s="2">
        <f>AVERAGE(M3:M68)</f>
        <v>1.0949807692307774</v>
      </c>
      <c r="N79" s="2">
        <f>AVERAGE(N3:N68)</f>
        <v>0.81143473261414523</v>
      </c>
      <c r="P79" t="s">
        <v>4</v>
      </c>
      <c r="Q79" s="2">
        <f>AVERAGE(Q3:Q67)</f>
        <v>0.79006009749959594</v>
      </c>
      <c r="R79" s="2">
        <f t="shared" ref="R79:S79" si="6">AVERAGE(R3:R67)</f>
        <v>0.94697423076923448</v>
      </c>
      <c r="S79" s="2">
        <f t="shared" si="6"/>
        <v>0.74440934138072057</v>
      </c>
      <c r="U79" t="s">
        <v>4</v>
      </c>
      <c r="V79" s="2">
        <f>AVERAGE(V3:V68)</f>
        <v>0.66803090824017464</v>
      </c>
      <c r="W79" s="2">
        <f>AVERAGE(W3:W68)</f>
        <v>1.0324138461538492</v>
      </c>
      <c r="X79" s="2">
        <f>AVERAGE(X3:X68)</f>
        <v>0.68080316366237847</v>
      </c>
      <c r="Z79" t="s">
        <v>4</v>
      </c>
      <c r="AA79" s="2">
        <f>AVERAGE(AA3:AA67)</f>
        <v>0.73179715707590332</v>
      </c>
      <c r="AB79" s="2">
        <f t="shared" ref="AB79:AC79" si="7">AVERAGE(AB3:AB67)</f>
        <v>1.0668890961538591</v>
      </c>
      <c r="AC79" s="2">
        <f t="shared" si="7"/>
        <v>0.7744741341664011</v>
      </c>
    </row>
    <row r="80" spans="1:29" x14ac:dyDescent="0.3">
      <c r="A80" t="s">
        <v>5</v>
      </c>
      <c r="B80" s="2">
        <f>_xlfn.STDEV.S(B3:B36)</f>
        <v>0.18444553373083716</v>
      </c>
      <c r="C80" s="2">
        <f t="shared" ref="C80:D80" si="8">_xlfn.STDEV.S(C3:C36)</f>
        <v>0.31423999163699867</v>
      </c>
      <c r="D80" s="2">
        <f t="shared" si="8"/>
        <v>0.24802795691171137</v>
      </c>
      <c r="F80" t="s">
        <v>5</v>
      </c>
      <c r="G80" s="2">
        <f>_xlfn.STDEV.S(G3:G36)</f>
        <v>8.4329861293706398E-2</v>
      </c>
      <c r="H80" s="2">
        <f t="shared" ref="H80:I80" si="9">_xlfn.STDEV.S(H3:H36)</f>
        <v>0.34926140400217981</v>
      </c>
      <c r="I80" s="2">
        <f t="shared" si="9"/>
        <v>0.23690114609834975</v>
      </c>
      <c r="K80" t="s">
        <v>5</v>
      </c>
      <c r="L80" s="2">
        <f>_xlfn.STDEV.S(L3:L68)</f>
        <v>0.13885382169924687</v>
      </c>
      <c r="M80" s="2">
        <f>_xlfn.STDEV.S(M3:M68)</f>
        <v>0.19052121471692213</v>
      </c>
      <c r="N80" s="2">
        <f>_xlfn.STDEV.S(N3:N68)</f>
        <v>0.2107129903833477</v>
      </c>
      <c r="P80" t="s">
        <v>5</v>
      </c>
      <c r="Q80" s="2">
        <f>_xlfn.STDEV.S(Q3:Q67)</f>
        <v>0.12000571730686035</v>
      </c>
      <c r="R80" s="2">
        <f t="shared" ref="R80:S80" si="10">_xlfn.STDEV.S(R3:R67)</f>
        <v>0.19621606858582008</v>
      </c>
      <c r="S80" s="2">
        <f t="shared" si="10"/>
        <v>0.18800868544726901</v>
      </c>
      <c r="U80" t="s">
        <v>5</v>
      </c>
      <c r="V80" s="2">
        <f>_xlfn.STDEV.S(V3:V68)</f>
        <v>0.12658385600199243</v>
      </c>
      <c r="W80" s="2">
        <f>_xlfn.STDEV.S(W3:W68)</f>
        <v>0.19033207134745136</v>
      </c>
      <c r="X80" s="2">
        <f>_xlfn.STDEV.S(X3:X68)</f>
        <v>0.14428290195448215</v>
      </c>
      <c r="Z80" t="s">
        <v>5</v>
      </c>
      <c r="AA80" s="2">
        <f>_xlfn.STDEV.S(AA3:AA67)</f>
        <v>7.1216860643137453E-2</v>
      </c>
      <c r="AB80" s="2">
        <f t="shared" ref="AB80:AC80" si="11">_xlfn.STDEV.S(AB3:AB67)</f>
        <v>0.12269017368891393</v>
      </c>
      <c r="AC80" s="2">
        <f t="shared" si="11"/>
        <v>9.622579643952904E-2</v>
      </c>
    </row>
  </sheetData>
  <autoFilter ref="F2:I2" xr:uid="{65F42098-A0FE-4E53-BB53-D39D2B778773}">
    <sortState ref="F3:I36">
      <sortCondition descending="1" ref="F2"/>
    </sortState>
  </autoFilter>
  <mergeCells count="3">
    <mergeCell ref="AF3:AG3"/>
    <mergeCell ref="AI3:AJ3"/>
    <mergeCell ref="AL3:AM3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80"/>
  <sheetViews>
    <sheetView zoomScale="80" zoomScaleNormal="85" workbookViewId="0">
      <selection activeCell="G5" sqref="G5"/>
    </sheetView>
  </sheetViews>
  <sheetFormatPr baseColWidth="10" defaultColWidth="11.44140625" defaultRowHeight="14.4" x14ac:dyDescent="0.3"/>
  <cols>
    <col min="1" max="1" width="10.88671875" customWidth="1"/>
    <col min="2" max="2" width="9.77734375" customWidth="1"/>
    <col min="3" max="3" width="10.44140625" customWidth="1"/>
    <col min="5" max="5" width="8.77734375" customWidth="1"/>
    <col min="10" max="10" width="6.44140625" customWidth="1"/>
    <col min="15" max="15" width="5.6640625" customWidth="1"/>
    <col min="20" max="20" width="7.109375" customWidth="1"/>
    <col min="25" max="25" width="5.6640625" customWidth="1"/>
    <col min="32" max="39" width="6.44140625" customWidth="1"/>
    <col min="40" max="40" width="5.44140625" customWidth="1"/>
  </cols>
  <sheetData>
    <row r="1" spans="1:40" x14ac:dyDescent="0.3">
      <c r="A1" s="35" t="s">
        <v>6</v>
      </c>
      <c r="B1" s="35"/>
      <c r="C1" s="36" t="s">
        <v>80</v>
      </c>
      <c r="D1" s="36"/>
      <c r="F1" s="35" t="s">
        <v>6</v>
      </c>
      <c r="G1" s="35"/>
      <c r="H1" s="36" t="s">
        <v>77</v>
      </c>
      <c r="I1" s="36"/>
      <c r="K1" s="35" t="s">
        <v>7</v>
      </c>
      <c r="L1" s="35"/>
      <c r="M1" s="35"/>
      <c r="N1" s="35"/>
      <c r="P1" s="35" t="s">
        <v>8</v>
      </c>
      <c r="Q1" s="35"/>
      <c r="R1" s="35"/>
      <c r="S1" s="35"/>
      <c r="U1" s="35" t="s">
        <v>9</v>
      </c>
      <c r="V1" s="35"/>
      <c r="W1" s="35"/>
      <c r="X1" s="35"/>
      <c r="Z1" s="35" t="s">
        <v>4</v>
      </c>
      <c r="AA1" s="35"/>
      <c r="AB1" s="36" t="s">
        <v>81</v>
      </c>
      <c r="AC1" s="36"/>
    </row>
    <row r="2" spans="1:40" x14ac:dyDescent="0.3">
      <c r="A2" s="5" t="s">
        <v>0</v>
      </c>
      <c r="B2" s="5" t="s">
        <v>1</v>
      </c>
      <c r="C2" s="5" t="s">
        <v>78</v>
      </c>
      <c r="D2" s="5" t="s">
        <v>79</v>
      </c>
      <c r="E2" s="5"/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P2" t="s">
        <v>0</v>
      </c>
      <c r="Q2" t="s">
        <v>1</v>
      </c>
      <c r="R2" t="s">
        <v>2</v>
      </c>
      <c r="S2" t="s">
        <v>3</v>
      </c>
      <c r="U2" t="s">
        <v>0</v>
      </c>
      <c r="V2" t="s">
        <v>1</v>
      </c>
      <c r="W2" t="s">
        <v>2</v>
      </c>
      <c r="X2" t="s">
        <v>3</v>
      </c>
      <c r="Z2" t="s">
        <v>0</v>
      </c>
      <c r="AA2" t="s">
        <v>1</v>
      </c>
      <c r="AB2" t="s">
        <v>2</v>
      </c>
      <c r="AC2" t="s">
        <v>3</v>
      </c>
    </row>
    <row r="3" spans="1:40" x14ac:dyDescent="0.3">
      <c r="A3">
        <v>2015</v>
      </c>
      <c r="B3" s="2">
        <f>STANDARDIZE('DATA-Match'!B3,'DATA-Match'!B$79,'DATA-Match'!B$80)</f>
        <v>-0.59651066766464977</v>
      </c>
      <c r="C3" s="2">
        <f>STANDARDIZE('DATA-Match'!C3,'DATA-Match'!C$79,'DATA-Match'!C$80)</f>
        <v>1.8997937638700073</v>
      </c>
      <c r="D3" s="2">
        <f>STANDARDIZE('DATA-Match'!D3,'DATA-Match'!D$79,'DATA-Match'!D$80)</f>
        <v>0.52877935217740246</v>
      </c>
      <c r="E3" s="2"/>
      <c r="F3">
        <v>2015</v>
      </c>
      <c r="G3" s="2">
        <f>STANDARDIZE('DATA-Match'!G3,'DATA-Match'!G$79,'DATA-Match'!G$80)</f>
        <v>-8.0737370835195402E-2</v>
      </c>
      <c r="H3" s="2">
        <f>STANDARDIZE('DATA-Match'!H3,'DATA-Match'!H$79,'DATA-Match'!H$80)</f>
        <v>0.32874163417467961</v>
      </c>
      <c r="I3" s="2">
        <f>STANDARDIZE('DATA-Match'!I3,'DATA-Match'!I$79,'DATA-Match'!I$80)</f>
        <v>0.32769501866749995</v>
      </c>
      <c r="K3">
        <v>2015</v>
      </c>
      <c r="L3" s="2">
        <f>STANDARDIZE('DATA-Match'!L3,'DATA-Match'!L$79,'DATA-Match'!L$80)</f>
        <v>-0.84239005952997748</v>
      </c>
      <c r="M3" s="2">
        <f>STANDARDIZE('DATA-Match'!M3,'DATA-Match'!M$79,'DATA-Match'!M$80)</f>
        <v>-1.226009237752518</v>
      </c>
      <c r="N3" s="2">
        <f>STANDARDIZE('DATA-Match'!N3,'DATA-Match'!N$79,'DATA-Match'!N$80)</f>
        <v>-1.3114466536252716</v>
      </c>
      <c r="P3">
        <v>2015</v>
      </c>
      <c r="Q3" s="2">
        <f>STANDARDIZE('DATA-Match'!Q3,'DATA-Match'!Q$79,'DATA-Match'!Q$80)</f>
        <v>1.854404757820945</v>
      </c>
      <c r="R3" s="2">
        <f>STANDARDIZE('DATA-Match'!R3,'DATA-Match'!R$79,'DATA-Match'!R$80)</f>
        <v>-1.06305886297993</v>
      </c>
      <c r="S3" s="2">
        <f>STANDARDIZE('DATA-Match'!S3,'DATA-Match'!S$79,'DATA-Match'!S$80)</f>
        <v>1.7456133195877889E-2</v>
      </c>
      <c r="U3">
        <v>2015</v>
      </c>
      <c r="V3" s="2">
        <f>STANDARDIZE('DATA-Match'!V3,'DATA-Match'!V$79,'DATA-Match'!V$80)</f>
        <v>-0.9131089509697139</v>
      </c>
      <c r="W3" s="2">
        <f>STANDARDIZE('DATA-Match'!W3,'DATA-Match'!W$79,'DATA-Match'!W$80)</f>
        <v>-0.13194752716164174</v>
      </c>
      <c r="X3" s="2">
        <f>STANDARDIZE('DATA-Match'!X3,'DATA-Match'!X$79,'DATA-Match'!X$80)</f>
        <v>-0.85554960502471311</v>
      </c>
      <c r="Z3">
        <v>2015</v>
      </c>
      <c r="AA3" s="2">
        <f>STANDARDIZE('DATA-Match'!AA3,'DATA-Match'!AA$79,'DATA-Match'!AA$80)</f>
        <v>-0.19584292175272514</v>
      </c>
      <c r="AB3" s="2">
        <f>STANDARDIZE('DATA-Match'!AB3,'DATA-Match'!AB$79,'DATA-Match'!AB$80)</f>
        <v>-0.43457307582796867</v>
      </c>
      <c r="AC3" s="2">
        <f>STANDARDIZE('DATA-Match'!AC3,'DATA-Match'!AC$79,'DATA-Match'!AC$80)</f>
        <v>-0.69155773645713237</v>
      </c>
      <c r="AF3" s="34" t="s">
        <v>14</v>
      </c>
      <c r="AG3" s="34"/>
      <c r="AH3" s="4"/>
      <c r="AI3" s="34" t="s">
        <v>2</v>
      </c>
      <c r="AJ3" s="34"/>
      <c r="AK3" s="4"/>
      <c r="AL3" s="34" t="s">
        <v>15</v>
      </c>
      <c r="AM3" s="34"/>
    </row>
    <row r="4" spans="1:40" x14ac:dyDescent="0.3">
      <c r="A4">
        <v>2014</v>
      </c>
      <c r="B4" s="2">
        <f>STANDARDIZE('DATA-Match'!B4,'DATA-Match'!B$79,'DATA-Match'!B$80)</f>
        <v>-0.56412751114477477</v>
      </c>
      <c r="C4" s="2">
        <f>STANDARDIZE('DATA-Match'!C4,'DATA-Match'!C$79,'DATA-Match'!C$80)</f>
        <v>1.0157560621350006</v>
      </c>
      <c r="D4" s="2">
        <f>STANDARDIZE('DATA-Match'!D4,'DATA-Match'!D$79,'DATA-Match'!D$80)</f>
        <v>0.10326434705409265</v>
      </c>
      <c r="E4" s="2"/>
      <c r="F4">
        <v>2014</v>
      </c>
      <c r="G4" s="2">
        <f>STANDARDIZE('DATA-Match'!G4,'DATA-Match'!G$79,'DATA-Match'!G$80)</f>
        <v>-0.56642990391305137</v>
      </c>
      <c r="H4" s="2">
        <f>STANDARDIZE('DATA-Match'!H4,'DATA-Match'!H$79,'DATA-Match'!H$80)</f>
        <v>0.85213184536119591</v>
      </c>
      <c r="I4" s="2">
        <f>STANDARDIZE('DATA-Match'!I4,'DATA-Match'!I$79,'DATA-Match'!I$80)</f>
        <v>0.5745710727056148</v>
      </c>
      <c r="K4">
        <v>2014</v>
      </c>
      <c r="L4" s="2">
        <f>STANDARDIZE('DATA-Match'!L4,'DATA-Match'!L$79,'DATA-Match'!L$80)</f>
        <v>-0.7057919384339495</v>
      </c>
      <c r="M4" s="2">
        <f>STANDARDIZE('DATA-Match'!M4,'DATA-Match'!M$79,'DATA-Match'!M$80)</f>
        <v>2.9727357743899452</v>
      </c>
      <c r="N4" s="2">
        <f>STANDARDIZE('DATA-Match'!N4,'DATA-Match'!N$79,'DATA-Match'!N$80)</f>
        <v>1.2436430128296572</v>
      </c>
      <c r="P4">
        <v>2014</v>
      </c>
      <c r="Q4" s="2">
        <f>STANDARDIZE('DATA-Match'!Q4,'DATA-Match'!Q$79,'DATA-Match'!Q$80)</f>
        <v>-0.66970191290434644</v>
      </c>
      <c r="R4" s="2">
        <f>STANDARDIZE('DATA-Match'!R4,'DATA-Match'!R$79,'DATA-Match'!R$80)</f>
        <v>0.19114524871015906</v>
      </c>
      <c r="S4" s="2">
        <f>STANDARDIZE('DATA-Match'!S4,'DATA-Match'!S$79,'DATA-Match'!S$80)</f>
        <v>-8.1333464289806992E-2</v>
      </c>
      <c r="U4">
        <v>2014</v>
      </c>
      <c r="V4" s="2">
        <f>STANDARDIZE('DATA-Match'!V4,'DATA-Match'!V$79,'DATA-Match'!V$80)</f>
        <v>4.5047570345301532E-2</v>
      </c>
      <c r="W4" s="2">
        <f>STANDARDIZE('DATA-Match'!W4,'DATA-Match'!W$79,'DATA-Match'!W$80)</f>
        <v>0.246601392575971</v>
      </c>
      <c r="X4" s="2">
        <f>STANDARDIZE('DATA-Match'!X4,'DATA-Match'!X$79,'DATA-Match'!X$80)</f>
        <v>0.29869142491357625</v>
      </c>
      <c r="Z4">
        <v>2014</v>
      </c>
      <c r="AA4" s="2">
        <f>STANDARDIZE('DATA-Match'!AA4,'DATA-Match'!AA$79,'DATA-Match'!AA$80)</f>
        <v>-0.91060096996589723</v>
      </c>
      <c r="AB4" s="2">
        <f>STANDARDIZE('DATA-Match'!AB4,'DATA-Match'!AB$79,'DATA-Match'!AB$80)</f>
        <v>2.2161995184355181</v>
      </c>
      <c r="AC4" s="2">
        <f>STANDARDIZE('DATA-Match'!AC4,'DATA-Match'!AC$79,'DATA-Match'!AC$80)</f>
        <v>1.2435775781295657</v>
      </c>
      <c r="AF4" t="s">
        <v>12</v>
      </c>
      <c r="AG4" t="s">
        <v>13</v>
      </c>
      <c r="AH4" t="s">
        <v>16</v>
      </c>
      <c r="AI4" t="s">
        <v>12</v>
      </c>
      <c r="AJ4" t="s">
        <v>13</v>
      </c>
      <c r="AK4" t="s">
        <v>16</v>
      </c>
      <c r="AL4" t="s">
        <v>12</v>
      </c>
      <c r="AM4" t="s">
        <v>13</v>
      </c>
      <c r="AN4" t="s">
        <v>16</v>
      </c>
    </row>
    <row r="5" spans="1:40" x14ac:dyDescent="0.3">
      <c r="A5">
        <v>2013</v>
      </c>
      <c r="B5" s="2">
        <f>STANDARDIZE('DATA-Match'!B5,'DATA-Match'!B$79,'DATA-Match'!B$80)</f>
        <v>-0.79863564066416548</v>
      </c>
      <c r="C5" s="2">
        <f>STANDARDIZE('DATA-Match'!C5,'DATA-Match'!C$79,'DATA-Match'!C$80)</f>
        <v>2.2530269708267601</v>
      </c>
      <c r="D5" s="2">
        <f>STANDARDIZE('DATA-Match'!D5,'DATA-Match'!D$79,'DATA-Match'!D$80)</f>
        <v>0.41890472517250554</v>
      </c>
      <c r="E5" s="2"/>
      <c r="F5">
        <v>2013</v>
      </c>
      <c r="G5" s="2">
        <f>STANDARDIZE('DATA-Match'!G5,'DATA-Match'!G$79,'DATA-Match'!G$80)</f>
        <v>-0.8827734815738989</v>
      </c>
      <c r="H5" s="2">
        <f>STANDARDIZE('DATA-Match'!H5,'DATA-Match'!H$79,'DATA-Match'!H$80)</f>
        <v>0.85213184536119468</v>
      </c>
      <c r="I5" s="2">
        <f>STANDARDIZE('DATA-Match'!I5,'DATA-Match'!I$79,'DATA-Match'!I$80)</f>
        <v>0.39101834171470112</v>
      </c>
      <c r="K5">
        <v>2013</v>
      </c>
      <c r="L5" s="2">
        <f>STANDARDIZE('DATA-Match'!L5,'DATA-Match'!L$79,'DATA-Match'!L$80)</f>
        <v>-1.1812040551884004</v>
      </c>
      <c r="M5" s="2">
        <f>STANDARDIZE('DATA-Match'!M5,'DATA-Match'!M$79,'DATA-Match'!M$80)</f>
        <v>1.035156274130693</v>
      </c>
      <c r="N5" s="2">
        <f>STANDARDIZE('DATA-Match'!N5,'DATA-Match'!N$79,'DATA-Match'!N$80)</f>
        <v>-0.37964922485154229</v>
      </c>
      <c r="P5">
        <v>2013</v>
      </c>
      <c r="Q5" s="2">
        <f>STANDARDIZE('DATA-Match'!Q5,'DATA-Match'!Q$79,'DATA-Match'!Q$80)</f>
        <v>8.3480840901835728E-3</v>
      </c>
      <c r="R5" s="2">
        <f>STANDARDIZE('DATA-Match'!R5,'DATA-Match'!R$79,'DATA-Match'!R$80)</f>
        <v>-2.0040368436861686</v>
      </c>
      <c r="S5" s="2">
        <f>STANDARDIZE('DATA-Match'!S5,'DATA-Match'!S$79,'DATA-Match'!S$80)</f>
        <v>-1.6357783223383724</v>
      </c>
      <c r="U5">
        <v>2013</v>
      </c>
      <c r="V5" s="2">
        <f>STANDARDIZE('DATA-Match'!V5,'DATA-Match'!V$79,'DATA-Match'!V$80)</f>
        <v>4.7524402299061762E-2</v>
      </c>
      <c r="W5" s="2">
        <f>STANDARDIZE('DATA-Match'!W5,'DATA-Match'!W$79,'DATA-Match'!W$80)</f>
        <v>0.62409951725532775</v>
      </c>
      <c r="X5" s="2">
        <f>STANDARDIZE('DATA-Match'!X5,'DATA-Match'!X$79,'DATA-Match'!X$80)</f>
        <v>0.65953367317240374</v>
      </c>
      <c r="Z5">
        <v>2013</v>
      </c>
      <c r="AA5" s="2">
        <f>STANDARDIZE('DATA-Match'!AA5,'DATA-Match'!AA$79,'DATA-Match'!AA$80)</f>
        <v>-0.94923857635840869</v>
      </c>
      <c r="AB5" s="2">
        <f>STANDARDIZE('DATA-Match'!AB5,'DATA-Match'!AB$79,'DATA-Match'!AB$80)</f>
        <v>0.73272700773969035</v>
      </c>
      <c r="AC5" s="2">
        <f>STANDARDIZE('DATA-Match'!AC5,'DATA-Match'!AC$79,'DATA-Match'!AC$80)</f>
        <v>-0.38207376692774347</v>
      </c>
      <c r="AE5" t="s">
        <v>10</v>
      </c>
      <c r="AF5">
        <f>AVERAGE(AA34:AA67)</f>
        <v>0.50116691843710781</v>
      </c>
      <c r="AG5">
        <f>_xlfn.STDEV.S(AA34:AA67)</f>
        <v>0.94987704213435664</v>
      </c>
      <c r="AH5">
        <f>AG5/SQRT(34)</f>
        <v>0.16290256878539341</v>
      </c>
      <c r="AI5">
        <f>AVERAGE(AB34:AB67)</f>
        <v>-0.26941560705786682</v>
      </c>
      <c r="AJ5">
        <f>_xlfn.STDEV.S(AB34:AB67)</f>
        <v>0.88992911895105409</v>
      </c>
      <c r="AK5">
        <f>AJ5/SQRT(34)</f>
        <v>0.15262158477722521</v>
      </c>
      <c r="AL5">
        <f>AVERAGE(AC34:AC67)</f>
        <v>0.19915491688988554</v>
      </c>
      <c r="AM5">
        <f>_xlfn.STDEV.S(AC34:AC67)</f>
        <v>0.97548325361879407</v>
      </c>
      <c r="AN5">
        <f>AM5/SQRT(34)</f>
        <v>0.16729399782583429</v>
      </c>
    </row>
    <row r="6" spans="1:40" x14ac:dyDescent="0.3">
      <c r="A6">
        <v>2012</v>
      </c>
      <c r="B6" s="2">
        <f>STANDARDIZE('DATA-Match'!B6,'DATA-Match'!B$79,'DATA-Match'!B$80)</f>
        <v>-1.1291060477030848</v>
      </c>
      <c r="C6" s="2">
        <f>STANDARDIZE('DATA-Match'!C6,'DATA-Match'!C$79,'DATA-Match'!C$80)</f>
        <v>0.60333242590441316</v>
      </c>
      <c r="D6" s="2">
        <f>STANDARDIZE('DATA-Match'!D6,'DATA-Match'!D$79,'DATA-Match'!D$80)</f>
        <v>-0.72295330848417938</v>
      </c>
      <c r="E6" s="2"/>
      <c r="F6">
        <v>2012</v>
      </c>
      <c r="G6" s="2">
        <f>STANDARDIZE('DATA-Match'!G6,'DATA-Match'!G$79,'DATA-Match'!G$80)</f>
        <v>-0.92232103010222977</v>
      </c>
      <c r="H6" s="2">
        <f>STANDARDIZE('DATA-Match'!H6,'DATA-Match'!H$79,'DATA-Match'!H$80)</f>
        <v>1.7683510334338688</v>
      </c>
      <c r="I6" s="2">
        <f>STANDARDIZE('DATA-Match'!I6,'DATA-Match'!I$79,'DATA-Match'!I$80)</f>
        <v>1.1977038644029798</v>
      </c>
      <c r="K6">
        <v>2012</v>
      </c>
      <c r="L6" s="2">
        <f>STANDARDIZE('DATA-Match'!L6,'DATA-Match'!L$79,'DATA-Match'!L$80)</f>
        <v>-1.5279348610723558</v>
      </c>
      <c r="M6" s="2">
        <f>STANDARDIZE('DATA-Match'!M6,'DATA-Match'!M$79,'DATA-Match'!M$80)</f>
        <v>-9.5426481810912803E-2</v>
      </c>
      <c r="N6" s="2">
        <f>STANDARDIZE('DATA-Match'!N6,'DATA-Match'!N$79,'DATA-Match'!N$80)</f>
        <v>-1.0472500325760863</v>
      </c>
      <c r="P6">
        <v>2012</v>
      </c>
      <c r="Q6" s="2">
        <f>STANDARDIZE('DATA-Match'!Q6,'DATA-Match'!Q$79,'DATA-Match'!Q$80)</f>
        <v>0.71366144937285414</v>
      </c>
      <c r="R6" s="2">
        <f>STANDARDIZE('DATA-Match'!R6,'DATA-Match'!R$79,'DATA-Match'!R$80)</f>
        <v>-1.3766672256563453</v>
      </c>
      <c r="S6" s="2">
        <f>STANDARDIZE('DATA-Match'!S6,'DATA-Match'!S$79,'DATA-Match'!S$80)</f>
        <v>-0.78082227505230983</v>
      </c>
      <c r="U6">
        <v>2012</v>
      </c>
      <c r="V6" s="2">
        <f>STANDARDIZE('DATA-Match'!V6,'DATA-Match'!V$79,'DATA-Match'!V$80)</f>
        <v>1.153122914247815</v>
      </c>
      <c r="W6" s="2">
        <f>STANDARDIZE('DATA-Match'!W6,'DATA-Match'!W$79,'DATA-Match'!W$80)</f>
        <v>-0.88773187281404253</v>
      </c>
      <c r="X6" s="2">
        <f>STANDARDIZE('DATA-Match'!X6,'DATA-Match'!X$79,'DATA-Match'!X$80)</f>
        <v>0.15752550011639535</v>
      </c>
      <c r="Z6">
        <v>2012</v>
      </c>
      <c r="AA6" s="2">
        <f>STANDARDIZE('DATA-Match'!AA6,'DATA-Match'!AA$79,'DATA-Match'!AA$80)</f>
        <v>-0.34154321876918498</v>
      </c>
      <c r="AB6" s="2">
        <f>STANDARDIZE('DATA-Match'!AB6,'DATA-Match'!AB$79,'DATA-Match'!AB$80)</f>
        <v>0.6103659453284076</v>
      </c>
      <c r="AC6" s="2">
        <f>STANDARDIZE('DATA-Match'!AC6,'DATA-Match'!AC$79,'DATA-Match'!AC$80)</f>
        <v>-2.1618114770404116E-2</v>
      </c>
      <c r="AE6" t="s">
        <v>11</v>
      </c>
      <c r="AF6">
        <f>AVERAGE(AA3:AA34)</f>
        <v>-0.54314452842068461</v>
      </c>
      <c r="AG6">
        <f>_xlfn.STDEV.S(AA3:AA34)</f>
        <v>0.72649274135761244</v>
      </c>
      <c r="AH6">
        <f>AG6/SQRT(32)</f>
        <v>0.12842698597419308</v>
      </c>
      <c r="AI6">
        <f>AVERAGE(AB3:AB34)</f>
        <v>0.26237779535039762</v>
      </c>
      <c r="AJ6">
        <f>_xlfn.STDEV.S(AB3:AB34)</f>
        <v>1.0438420460207207</v>
      </c>
      <c r="AK6">
        <f>AJ6/SQRT(32)</f>
        <v>0.18452694730722294</v>
      </c>
      <c r="AL6">
        <f>AVERAGE(AC3:AC34)</f>
        <v>-0.23458116897061063</v>
      </c>
      <c r="AM6">
        <f>_xlfn.STDEV.S(AC3:AC34)</f>
        <v>0.98422300987532862</v>
      </c>
      <c r="AN6">
        <f>AM6/SQRT(32)</f>
        <v>0.17398769112066978</v>
      </c>
    </row>
    <row r="7" spans="1:40" x14ac:dyDescent="0.3">
      <c r="A7">
        <v>2011</v>
      </c>
      <c r="B7" s="2">
        <f>STANDARDIZE('DATA-Match'!B7,'DATA-Match'!B$79,'DATA-Match'!B$80)</f>
        <v>-1.2258182716115003</v>
      </c>
      <c r="C7" s="2">
        <f>STANDARDIZE('DATA-Match'!C7,'DATA-Match'!C$79,'DATA-Match'!C$80)</f>
        <v>-4.5216471192756506E-2</v>
      </c>
      <c r="D7" s="2">
        <f>STANDARDIZE('DATA-Match'!D7,'DATA-Match'!D$79,'DATA-Match'!D$80)</f>
        <v>-1.0714427638297639</v>
      </c>
      <c r="E7" s="2"/>
      <c r="F7">
        <v>2011</v>
      </c>
      <c r="G7" s="2">
        <f>STANDARDIZE('DATA-Match'!G7,'DATA-Match'!G$79,'DATA-Match'!G$80)</f>
        <v>-2.290201606330915</v>
      </c>
      <c r="H7" s="2">
        <f>STANDARDIZE('DATA-Match'!H7,'DATA-Match'!H$79,'DATA-Match'!H$80)</f>
        <v>0.11085325851114625</v>
      </c>
      <c r="I7" s="2">
        <f>STANDARDIZE('DATA-Match'!I7,'DATA-Match'!I$79,'DATA-Match'!I$80)</f>
        <v>-0.97077617002351635</v>
      </c>
      <c r="K7">
        <v>2011</v>
      </c>
      <c r="L7" s="2">
        <f>STANDARDIZE('DATA-Match'!L7,'DATA-Match'!L$79,'DATA-Match'!L$80)</f>
        <v>-0.81575419418277006</v>
      </c>
      <c r="M7" s="2">
        <f>STANDARDIZE('DATA-Match'!M7,'DATA-Match'!M$79,'DATA-Match'!M$80)</f>
        <v>-0.7415487531962982</v>
      </c>
      <c r="N7" s="2">
        <f>STANDARDIZE('DATA-Match'!N7,'DATA-Match'!N$79,'DATA-Match'!N$80)</f>
        <v>-1.140305217057809</v>
      </c>
      <c r="P7">
        <v>2011</v>
      </c>
      <c r="Q7" s="2">
        <f>STANDARDIZE('DATA-Match'!Q7,'DATA-Match'!Q$79,'DATA-Match'!Q$80)</f>
        <v>3.0588706924350331</v>
      </c>
      <c r="R7" s="2">
        <f>STANDARDIZE('DATA-Match'!R7,'DATA-Match'!R$79,'DATA-Match'!R$80)</f>
        <v>-1.2198503032617196</v>
      </c>
      <c r="S7" s="2">
        <f>STANDARDIZE('DATA-Match'!S7,'DATA-Match'!S$79,'DATA-Match'!S$80)</f>
        <v>0.56779120119763138</v>
      </c>
      <c r="U7">
        <v>2011</v>
      </c>
      <c r="V7" s="2">
        <f>STANDARDIZE('DATA-Match'!V7,'DATA-Match'!V$79,'DATA-Match'!V$80)</f>
        <v>1.6597988639022818</v>
      </c>
      <c r="W7" s="2">
        <f>STANDARDIZE('DATA-Match'!W7,'DATA-Match'!W$79,'DATA-Match'!W$80)</f>
        <v>0.246601392575971</v>
      </c>
      <c r="X7" s="2">
        <f>STANDARDIZE('DATA-Match'!X7,'DATA-Match'!X$79,'DATA-Match'!X$80)</f>
        <v>1.8895933579724282</v>
      </c>
      <c r="Z7">
        <v>2011</v>
      </c>
      <c r="AA7" s="2">
        <f>STANDARDIZE('DATA-Match'!AA7,'DATA-Match'!AA$79,'DATA-Match'!AA$80)</f>
        <v>0.8137707686953134</v>
      </c>
      <c r="AB7" s="2">
        <f>STANDARDIZE('DATA-Match'!AB7,'DATA-Match'!AB$79,'DATA-Match'!AB$80)</f>
        <v>-0.31743859335149399</v>
      </c>
      <c r="AC7" s="2">
        <f>STANDARDIZE('DATA-Match'!AC7,'DATA-Match'!AC$79,'DATA-Match'!AC$80)</f>
        <v>-9.9207802216731839E-2</v>
      </c>
    </row>
    <row r="8" spans="1:40" x14ac:dyDescent="0.3">
      <c r="A8">
        <v>2010</v>
      </c>
      <c r="B8" s="2">
        <f>STANDARDIZE('DATA-Match'!B8,'DATA-Match'!B$79,'DATA-Match'!B$80)</f>
        <v>-1.0836944560560766</v>
      </c>
      <c r="C8" s="2">
        <f>STANDARDIZE('DATA-Match'!C8,'DATA-Match'!C$79,'DATA-Match'!C$80)</f>
        <v>1.0157560621349992</v>
      </c>
      <c r="D8" s="2">
        <f>STANDARDIZE('DATA-Match'!D8,'DATA-Match'!D$79,'DATA-Match'!D$80)</f>
        <v>-0.5049285443255197</v>
      </c>
      <c r="E8" s="2"/>
      <c r="F8">
        <v>2010</v>
      </c>
      <c r="G8" s="2">
        <f>STANDARDIZE('DATA-Match'!G8,'DATA-Match'!G$79,'DATA-Match'!G$80)</f>
        <v>-0.71398772663066856</v>
      </c>
      <c r="H8" s="2">
        <f>STANDARDIZE('DATA-Match'!H8,'DATA-Match'!H$79,'DATA-Match'!H$80)</f>
        <v>0.45987550546758155</v>
      </c>
      <c r="I8" s="2">
        <f>STANDARDIZE('DATA-Match'!I8,'DATA-Match'!I$79,'DATA-Match'!I$80)</f>
        <v>0.12360695566587909</v>
      </c>
      <c r="K8">
        <v>2010</v>
      </c>
      <c r="L8" s="2">
        <f>STANDARDIZE('DATA-Match'!L8,'DATA-Match'!L$79,'DATA-Match'!L$80)</f>
        <v>6.1929390678709721E-2</v>
      </c>
      <c r="M8" s="2">
        <f>STANDARDIZE('DATA-Match'!M8,'DATA-Match'!M$79,'DATA-Match'!M$80)</f>
        <v>-1.0643474509233493</v>
      </c>
      <c r="N8" s="2">
        <f>STANDARDIZE('DATA-Match'!N8,'DATA-Match'!N$79,'DATA-Match'!N$80)</f>
        <v>-0.70233690406503069</v>
      </c>
      <c r="P8">
        <v>2010</v>
      </c>
      <c r="Q8" s="2">
        <f>STANDARDIZE('DATA-Match'!Q8,'DATA-Match'!Q$79,'DATA-Match'!Q$80)</f>
        <v>9.0151726716811917E-2</v>
      </c>
      <c r="R8" s="2">
        <f>STANDARDIZE('DATA-Match'!R8,'DATA-Match'!R$79,'DATA-Match'!R$80)</f>
        <v>-0.9063693511495009</v>
      </c>
      <c r="S8" s="2">
        <f>STANDARDIZE('DATA-Match'!S8,'DATA-Match'!S$79,'DATA-Match'!S$80)</f>
        <v>-0.69111569782549931</v>
      </c>
      <c r="U8">
        <v>2010</v>
      </c>
      <c r="V8" s="2">
        <f>STANDARDIZE('DATA-Match'!V8,'DATA-Match'!V$79,'DATA-Match'!V$80)</f>
        <v>1.8497249534856259</v>
      </c>
      <c r="W8" s="2">
        <f>STANDARDIZE('DATA-Match'!W8,'DATA-Match'!W$79,'DATA-Match'!W$80)</f>
        <v>-0.50997104937012649</v>
      </c>
      <c r="X8" s="2">
        <f>STANDARDIZE('DATA-Match'!X8,'DATA-Match'!X$79,'DATA-Match'!X$80)</f>
        <v>1.1969546267495359</v>
      </c>
      <c r="Z8">
        <v>2010</v>
      </c>
      <c r="AA8" s="2">
        <f>STANDARDIZE('DATA-Match'!AA8,'DATA-Match'!AA$79,'DATA-Match'!AA$80)</f>
        <v>0.54195994452965723</v>
      </c>
      <c r="AB8" s="2">
        <f>STANDARDIZE('DATA-Match'!AB8,'DATA-Match'!AB$79,'DATA-Match'!AB$80)</f>
        <v>-0.36245034803367748</v>
      </c>
      <c r="AC8" s="2">
        <f>STANDARDIZE('DATA-Match'!AC8,'DATA-Match'!AC$79,'DATA-Match'!AC$80)</f>
        <v>-6.0432149299680438E-2</v>
      </c>
    </row>
    <row r="9" spans="1:40" x14ac:dyDescent="0.3">
      <c r="A9">
        <v>2009</v>
      </c>
      <c r="B9" s="2">
        <f>STANDARDIZE('DATA-Match'!B9,'DATA-Match'!B$79,'DATA-Match'!B$80)</f>
        <v>-1.1090530734868931</v>
      </c>
      <c r="C9" s="2">
        <f>STANDARDIZE('DATA-Match'!C9,'DATA-Match'!C$79,'DATA-Match'!C$80)</f>
        <v>0.54414199663058127</v>
      </c>
      <c r="D9" s="2">
        <f>STANDARDIZE('DATA-Match'!D9,'DATA-Match'!D$79,'DATA-Match'!D$80)</f>
        <v>-0.72535124843089027</v>
      </c>
      <c r="E9" s="2"/>
      <c r="F9">
        <v>2009</v>
      </c>
      <c r="G9" s="2">
        <f>STANDARDIZE('DATA-Match'!G9,'DATA-Match'!G$79,'DATA-Match'!G$80)</f>
        <v>-1.4614591994023394</v>
      </c>
      <c r="H9" s="2">
        <f>STANDARDIZE('DATA-Match'!H9,'DATA-Match'!H$79,'DATA-Match'!H$80)</f>
        <v>-0.67423205826862909</v>
      </c>
      <c r="I9" s="2">
        <f>STANDARDIZE('DATA-Match'!I9,'DATA-Match'!I$79,'DATA-Match'!I$80)</f>
        <v>-1.2245581254446205</v>
      </c>
      <c r="K9">
        <v>2009</v>
      </c>
      <c r="L9" s="2">
        <f>STANDARDIZE('DATA-Match'!L9,'DATA-Match'!L$79,'DATA-Match'!L$80)</f>
        <v>-0.64028074386087719</v>
      </c>
      <c r="M9" s="2">
        <f>STANDARDIZE('DATA-Match'!M9,'DATA-Match'!M$79,'DATA-Match'!M$80)</f>
        <v>-0.90268566409419837</v>
      </c>
      <c r="N9" s="2">
        <f>STANDARDIZE('DATA-Match'!N9,'DATA-Match'!N$79,'DATA-Match'!N$80)</f>
        <v>-1.0069174675259818</v>
      </c>
      <c r="P9">
        <v>2009</v>
      </c>
      <c r="Q9" s="2">
        <f>STANDARDIZE('DATA-Match'!Q9,'DATA-Match'!Q$79,'DATA-Match'!Q$80)</f>
        <v>-0.21480396894494719</v>
      </c>
      <c r="R9" s="2">
        <f>STANDARDIZE('DATA-Match'!R9,'DATA-Match'!R$79,'DATA-Match'!R$80)</f>
        <v>-0.90644579748801146</v>
      </c>
      <c r="S9" s="2">
        <f>STANDARDIZE('DATA-Match'!S9,'DATA-Match'!S$79,'DATA-Match'!S$80)</f>
        <v>-0.85575340163246438</v>
      </c>
      <c r="U9">
        <v>2009</v>
      </c>
      <c r="V9" s="2">
        <f>STANDARDIZE('DATA-Match'!V9,'DATA-Match'!V$79,'DATA-Match'!V$80)</f>
        <v>0.86697385015748307</v>
      </c>
      <c r="W9" s="2">
        <f>STANDARDIZE('DATA-Match'!W9,'DATA-Match'!W$79,'DATA-Match'!W$80)</f>
        <v>0.12050598558495475</v>
      </c>
      <c r="X9" s="2">
        <f>STANDARDIZE('DATA-Match'!X9,'DATA-Match'!X$79,'DATA-Match'!X$80)</f>
        <v>0.88361646895037194</v>
      </c>
      <c r="Z9">
        <v>2009</v>
      </c>
      <c r="AA9" s="2">
        <f>STANDARDIZE('DATA-Match'!AA9,'DATA-Match'!AA$79,'DATA-Match'!AA$80)</f>
        <v>-0.58676004778362367</v>
      </c>
      <c r="AB9" s="2">
        <f>STANDARDIZE('DATA-Match'!AB9,'DATA-Match'!AB$79,'DATA-Match'!AB$80)</f>
        <v>-0.86231719275346908</v>
      </c>
      <c r="AC9" s="2">
        <f>STANDARDIZE('DATA-Match'!AC9,'DATA-Match'!AC$79,'DATA-Match'!AC$80)</f>
        <v>-1.2548197463963606</v>
      </c>
    </row>
    <row r="10" spans="1:40" x14ac:dyDescent="0.3">
      <c r="A10">
        <v>2008</v>
      </c>
      <c r="B10" s="2">
        <f>STANDARDIZE('DATA-Match'!B10,'DATA-Match'!B$79,'DATA-Match'!B$80)</f>
        <v>-1.02510644140438</v>
      </c>
      <c r="C10" s="2">
        <f>STANDARDIZE('DATA-Match'!C10,'DATA-Match'!C$79,'DATA-Match'!C$80)</f>
        <v>0.54414199663058127</v>
      </c>
      <c r="D10" s="2">
        <f>STANDARDIZE('DATA-Match'!D10,'DATA-Match'!D$79,'DATA-Match'!D$80)</f>
        <v>-0.63633693353179199</v>
      </c>
      <c r="E10" s="2"/>
      <c r="F10">
        <v>2008</v>
      </c>
      <c r="G10" s="2">
        <f>STANDARDIZE('DATA-Match'!G10,'DATA-Match'!G$79,'DATA-Match'!G$80)</f>
        <v>-0.27421410399519169</v>
      </c>
      <c r="H10" s="2">
        <f>STANDARDIZE('DATA-Match'!H10,'DATA-Match'!H$79,'DATA-Match'!H$80)</f>
        <v>-0.28168939987874142</v>
      </c>
      <c r="I10" s="2">
        <f>STANDARDIZE('DATA-Match'!I10,'DATA-Match'!I$79,'DATA-Match'!I$80)</f>
        <v>-0.37390585744679344</v>
      </c>
      <c r="K10">
        <v>2008</v>
      </c>
      <c r="L10" s="2">
        <f>STANDARDIZE('DATA-Match'!L10,'DATA-Match'!L$79,'DATA-Match'!L$80)</f>
        <v>-0.49961942545623395</v>
      </c>
      <c r="M10" s="2">
        <f>STANDARDIZE('DATA-Match'!M10,'DATA-Match'!M$79,'DATA-Match'!M$80)</f>
        <v>1.0348938361650619</v>
      </c>
      <c r="N10" s="2">
        <f>STANDARDIZE('DATA-Match'!N10,'DATA-Match'!N$79,'DATA-Match'!N$80)</f>
        <v>0.31736452289344819</v>
      </c>
      <c r="P10">
        <v>2008</v>
      </c>
      <c r="Q10" s="2">
        <f>STANDARDIZE('DATA-Match'!Q10,'DATA-Match'!Q$79,'DATA-Match'!Q$80)</f>
        <v>-0.79349055286393344</v>
      </c>
      <c r="R10" s="2">
        <f>STANDARDIZE('DATA-Match'!R10,'DATA-Match'!R$79,'DATA-Match'!R$80)</f>
        <v>-2.0037820225577869</v>
      </c>
      <c r="S10" s="2">
        <f>STANDARDIZE('DATA-Match'!S10,'DATA-Match'!S$79,'DATA-Match'!S$80)</f>
        <v>-1.9056008815284824</v>
      </c>
      <c r="U10">
        <v>2008</v>
      </c>
      <c r="V10" s="2">
        <f>STANDARDIZE('DATA-Match'!V10,'DATA-Match'!V$79,'DATA-Match'!V$80)</f>
        <v>1.3653418757866664E-3</v>
      </c>
      <c r="W10" s="2">
        <f>STANDARDIZE('DATA-Match'!W10,'DATA-Match'!W$79,'DATA-Match'!W$80)</f>
        <v>1.1282184464548333</v>
      </c>
      <c r="X10" s="2">
        <f>STANDARDIZE('DATA-Match'!X10,'DATA-Match'!X$79,'DATA-Match'!X$80)</f>
        <v>1.0572544251411051</v>
      </c>
      <c r="Z10">
        <v>2008</v>
      </c>
      <c r="AA10" s="2">
        <f>STANDARDIZE('DATA-Match'!AA10,'DATA-Match'!AA$79,'DATA-Match'!AA$80)</f>
        <v>-0.79515938252791352</v>
      </c>
      <c r="AB10" s="2">
        <f>STANDARDIZE('DATA-Match'!AB10,'DATA-Match'!AB$79,'DATA-Match'!AB$80)</f>
        <v>0.1213292262825041</v>
      </c>
      <c r="AC10" s="2">
        <f>STANDARDIZE('DATA-Match'!AC10,'DATA-Match'!AC$79,'DATA-Match'!AC$80)</f>
        <v>-0.45400418931519448</v>
      </c>
    </row>
    <row r="11" spans="1:40" x14ac:dyDescent="0.3">
      <c r="A11">
        <v>2007</v>
      </c>
      <c r="B11" s="2">
        <f>STANDARDIZE('DATA-Match'!B11,'DATA-Match'!B$79,'DATA-Match'!B$80)</f>
        <v>-1.1204261153218524</v>
      </c>
      <c r="C11" s="2">
        <f>STANDARDIZE('DATA-Match'!C11,'DATA-Match'!C$79,'DATA-Match'!C$80)</f>
        <v>-4.4898243078387454E-2</v>
      </c>
      <c r="D11" s="2">
        <f>STANDARDIZE('DATA-Match'!D11,'DATA-Match'!D$79,'DATA-Match'!D$80)</f>
        <v>-0.97407543684501818</v>
      </c>
      <c r="E11" s="2"/>
      <c r="F11">
        <v>2007</v>
      </c>
      <c r="G11" s="2">
        <f>STANDARDIZE('DATA-Match'!G11,'DATA-Match'!G$79,'DATA-Match'!G$80)</f>
        <v>-0.57517053978782506</v>
      </c>
      <c r="H11" s="2">
        <f>STANDARDIZE('DATA-Match'!H11,'DATA-Match'!H$79,'DATA-Match'!H$80)</f>
        <v>0.32902795267095231</v>
      </c>
      <c r="I11" s="2">
        <f>STANDARDIZE('DATA-Match'!I11,'DATA-Match'!I$79,'DATA-Match'!I$80)</f>
        <v>7.3254067548893756E-2</v>
      </c>
      <c r="K11">
        <v>2007</v>
      </c>
      <c r="L11" s="2">
        <f>STANDARDIZE('DATA-Match'!L11,'DATA-Match'!L$79,'DATA-Match'!L$80)</f>
        <v>-0.50379290888857875</v>
      </c>
      <c r="M11" s="2">
        <f>STANDARDIZE('DATA-Match'!M11,'DATA-Match'!M$79,'DATA-Match'!M$80)</f>
        <v>6.5972867052616208E-2</v>
      </c>
      <c r="N11" s="2">
        <f>STANDARDIZE('DATA-Match'!N11,'DATA-Match'!N$79,'DATA-Match'!N$80)</f>
        <v>-0.36580543837443508</v>
      </c>
      <c r="P11">
        <v>2007</v>
      </c>
      <c r="Q11" s="2">
        <f>STANDARDIZE('DATA-Match'!Q11,'DATA-Match'!Q$79,'DATA-Match'!Q$80)</f>
        <v>-0.77032535588804685</v>
      </c>
      <c r="R11" s="2">
        <f>STANDARDIZE('DATA-Match'!R11,'DATA-Match'!R$79,'DATA-Match'!R$80)</f>
        <v>0.19124717716151285</v>
      </c>
      <c r="S11" s="2">
        <f>STANDARDIZE('DATA-Match'!S11,'DATA-Match'!S$79,'DATA-Match'!S$80)</f>
        <v>-0.28943219162696959</v>
      </c>
      <c r="U11">
        <v>2007</v>
      </c>
      <c r="V11" s="2">
        <f>STANDARDIZE('DATA-Match'!V11,'DATA-Match'!V$79,'DATA-Match'!V$80)</f>
        <v>-0.54230008108610417</v>
      </c>
      <c r="W11" s="2">
        <f>STANDARDIZE('DATA-Match'!W11,'DATA-Match'!W$79,'DATA-Match'!W$80)</f>
        <v>1.0039619308157792</v>
      </c>
      <c r="X11" s="2">
        <f>STANDARDIZE('DATA-Match'!X11,'DATA-Match'!X$79,'DATA-Match'!X$80)</f>
        <v>0.36567442205558787</v>
      </c>
      <c r="Z11">
        <v>2007</v>
      </c>
      <c r="AA11" s="2">
        <f>STANDARDIZE('DATA-Match'!AA11,'DATA-Match'!AA$79,'DATA-Match'!AA$80)</f>
        <v>-1.1181110940792092</v>
      </c>
      <c r="AB11" s="2">
        <f>STANDARDIZE('DATA-Match'!AB11,'DATA-Match'!AB$79,'DATA-Match'!AB$80)</f>
        <v>1.0092365193002477</v>
      </c>
      <c r="AC11" s="2">
        <f>STANDARDIZE('DATA-Match'!AC11,'DATA-Match'!AC$79,'DATA-Match'!AC$80)</f>
        <v>-2.2595719714217533E-2</v>
      </c>
    </row>
    <row r="12" spans="1:40" x14ac:dyDescent="0.3">
      <c r="A12">
        <v>2006</v>
      </c>
      <c r="B12" s="2">
        <f>STANDARDIZE('DATA-Match'!B12,'DATA-Match'!B$79,'DATA-Match'!B$80)</f>
        <v>-0.25213221725430396</v>
      </c>
      <c r="C12" s="2">
        <f>STANDARDIZE('DATA-Match'!C12,'DATA-Match'!C$79,'DATA-Match'!C$80)</f>
        <v>-0.39876790626388542</v>
      </c>
      <c r="D12" s="2">
        <f>STANDARDIZE('DATA-Match'!D12,'DATA-Match'!D$79,'DATA-Match'!D$80)</f>
        <v>-0.38686463738045695</v>
      </c>
      <c r="E12" s="2"/>
      <c r="F12">
        <v>2006</v>
      </c>
      <c r="G12" s="2">
        <f>STANDARDIZE('DATA-Match'!G12,'DATA-Match'!G$79,'DATA-Match'!G$80)</f>
        <v>0.15011126964068602</v>
      </c>
      <c r="H12" s="2">
        <f>STANDARDIZE('DATA-Match'!H12,'DATA-Match'!H$79,'DATA-Match'!H$80)</f>
        <v>-1.5466445164115814</v>
      </c>
      <c r="I12" s="2">
        <f>STANDARDIZE('DATA-Match'!I12,'DATA-Match'!I$79,'DATA-Match'!I$80)</f>
        <v>-1.5015835663064614</v>
      </c>
      <c r="K12">
        <v>2006</v>
      </c>
      <c r="L12" s="2">
        <f>STANDARDIZE('DATA-Match'!L12,'DATA-Match'!L$79,'DATA-Match'!L$80)</f>
        <v>-0.35917909009524152</v>
      </c>
      <c r="M12" s="2">
        <f>STANDARDIZE('DATA-Match'!M12,'DATA-Match'!M$79,'DATA-Match'!M$80)</f>
        <v>0.71183270047236347</v>
      </c>
      <c r="N12" s="2">
        <f>STANDARDIZE('DATA-Match'!N12,'DATA-Match'!N$79,'DATA-Match'!N$80)</f>
        <v>0.18068952239974623</v>
      </c>
      <c r="P12">
        <v>2006</v>
      </c>
      <c r="Q12" s="2">
        <f>STANDARDIZE('DATA-Match'!Q12,'DATA-Match'!Q$79,'DATA-Match'!Q$80)</f>
        <v>0.14950898200075938</v>
      </c>
      <c r="R12" s="2">
        <f>STANDARDIZE('DATA-Match'!R12,'DATA-Match'!R$79,'DATA-Match'!R$80)</f>
        <v>-1.0631607914312651</v>
      </c>
      <c r="S12" s="2">
        <f>STANDARDIZE('DATA-Match'!S12,'DATA-Match'!S$79,'DATA-Match'!S$80)</f>
        <v>-0.74413368592963813</v>
      </c>
      <c r="U12">
        <v>2006</v>
      </c>
      <c r="V12" s="2">
        <f>STANDARDIZE('DATA-Match'!V12,'DATA-Match'!V$79,'DATA-Match'!V$80)</f>
        <v>-1.3462094532691353</v>
      </c>
      <c r="W12" s="2">
        <f>STANDARDIZE('DATA-Match'!W12,'DATA-Match'!W$79,'DATA-Match'!W$80)</f>
        <v>-0.25620404280068659</v>
      </c>
      <c r="X12" s="2">
        <f>STANDARDIZE('DATA-Match'!X12,'DATA-Match'!X$79,'DATA-Match'!X$80)</f>
        <v>-1.309464640501725</v>
      </c>
      <c r="Z12">
        <v>2006</v>
      </c>
      <c r="AA12" s="2">
        <f>STANDARDIZE('DATA-Match'!AA12,'DATA-Match'!AA$79,'DATA-Match'!AA$80)</f>
        <v>-0.8026432178588403</v>
      </c>
      <c r="AB12" s="2">
        <f>STANDARDIZE('DATA-Match'!AB12,'DATA-Match'!AB$79,'DATA-Match'!AB$80)</f>
        <v>-1.0651655485077081</v>
      </c>
      <c r="AC12" s="2">
        <f>STANDARDIZE('DATA-Match'!AC12,'DATA-Match'!AC$79,'DATA-Match'!AC$80)</f>
        <v>-1.5427416419943238</v>
      </c>
    </row>
    <row r="13" spans="1:40" x14ac:dyDescent="0.3">
      <c r="A13">
        <v>2005</v>
      </c>
      <c r="B13" s="2">
        <f>STANDARDIZE('DATA-Match'!B13,'DATA-Match'!B$79,'DATA-Match'!B$80)</f>
        <v>-0.9734149236041304</v>
      </c>
      <c r="C13" s="2">
        <f>STANDARDIZE('DATA-Match'!C13,'DATA-Match'!C$79,'DATA-Match'!C$80)</f>
        <v>0.66220462706387595</v>
      </c>
      <c r="D13" s="2">
        <f>STANDARDIZE('DATA-Match'!D13,'DATA-Match'!D$79,'DATA-Match'!D$80)</f>
        <v>-0.53003376193254126</v>
      </c>
      <c r="E13" s="2"/>
      <c r="F13">
        <v>2005</v>
      </c>
      <c r="G13" s="2">
        <f>STANDARDIZE('DATA-Match'!G13,'DATA-Match'!G$79,'DATA-Match'!G$80)</f>
        <v>-0.57900078162377711</v>
      </c>
      <c r="H13" s="2">
        <f>STANDARDIZE('DATA-Match'!H13,'DATA-Match'!H$79,'DATA-Match'!H$80)</f>
        <v>1.9430053161602274</v>
      </c>
      <c r="I13" s="2">
        <f>STANDARDIZE('DATA-Match'!I13,'DATA-Match'!I$79,'DATA-Match'!I$80)</f>
        <v>1.6016207322427753</v>
      </c>
      <c r="K13">
        <v>2005</v>
      </c>
      <c r="L13" s="2">
        <f>STANDARDIZE('DATA-Match'!L13,'DATA-Match'!L$79,'DATA-Match'!L$80)</f>
        <v>-0.20165354169695024</v>
      </c>
      <c r="M13" s="2">
        <f>STANDARDIZE('DATA-Match'!M13,'DATA-Match'!M$79,'DATA-Match'!M$80)</f>
        <v>0.55043335160885076</v>
      </c>
      <c r="N13" s="2">
        <f>STANDARDIZE('DATA-Match'!N13,'DATA-Match'!N$79,'DATA-Match'!N$80)</f>
        <v>0.1571919902981285</v>
      </c>
      <c r="P13">
        <v>2005</v>
      </c>
      <c r="Q13" s="2">
        <f>STANDARDIZE('DATA-Match'!Q13,'DATA-Match'!Q$79,'DATA-Match'!Q$80)</f>
        <v>-0.15222645067962676</v>
      </c>
      <c r="R13" s="2">
        <f>STANDARDIZE('DATA-Match'!R13,'DATA-Match'!R$79,'DATA-Match'!R$80)</f>
        <v>1.4454258067387682</v>
      </c>
      <c r="S13" s="2">
        <f>STANDARDIZE('DATA-Match'!S13,'DATA-Match'!S$79,'DATA-Match'!S$80)</f>
        <v>0.80248275523987755</v>
      </c>
      <c r="U13">
        <v>2005</v>
      </c>
      <c r="V13" s="2">
        <f>STANDARDIZE('DATA-Match'!V13,'DATA-Match'!V$79,'DATA-Match'!V$80)</f>
        <v>0.86822407992747408</v>
      </c>
      <c r="W13" s="2">
        <f>STANDARDIZE('DATA-Match'!W13,'DATA-Match'!W$79,'DATA-Match'!W$80)</f>
        <v>-4.0132288187007979E-3</v>
      </c>
      <c r="X13" s="2">
        <f>STANDARDIZE('DATA-Match'!X13,'DATA-Match'!X$79,'DATA-Match'!X$80)</f>
        <v>0.86110840683723544</v>
      </c>
      <c r="Z13">
        <v>2005</v>
      </c>
      <c r="AA13" s="2">
        <f>STANDARDIZE('DATA-Match'!AA13,'DATA-Match'!AA$79,'DATA-Match'!AA$80)</f>
        <v>-8.4805254806853622E-2</v>
      </c>
      <c r="AB13" s="2">
        <f>STANDARDIZE('DATA-Match'!AB13,'DATA-Match'!AB$79,'DATA-Match'!AB$80)</f>
        <v>2.4564591831967846</v>
      </c>
      <c r="AC13" s="2">
        <f>STANDARDIZE('DATA-Match'!AC13,'DATA-Match'!AC$79,'DATA-Match'!AC$80)</f>
        <v>1.9234684887162132</v>
      </c>
    </row>
    <row r="14" spans="1:40" x14ac:dyDescent="0.3">
      <c r="A14">
        <v>2004</v>
      </c>
      <c r="B14" s="2">
        <f>STANDARDIZE('DATA-Match'!B14,'DATA-Match'!B$79,'DATA-Match'!B$80)</f>
        <v>-0.55587160248614531</v>
      </c>
      <c r="C14" s="2">
        <f>STANDARDIZE('DATA-Match'!C14,'DATA-Match'!C$79,'DATA-Match'!C$80)</f>
        <v>0.54414199663057572</v>
      </c>
      <c r="D14" s="2">
        <f>STANDARDIZE('DATA-Match'!D14,'DATA-Match'!D$79,'DATA-Match'!D$80)</f>
        <v>-0.13877536760691012</v>
      </c>
      <c r="E14" s="2"/>
      <c r="F14">
        <v>2004</v>
      </c>
      <c r="G14" s="2">
        <f>STANDARDIZE('DATA-Match'!G14,'DATA-Match'!G$79,'DATA-Match'!G$80)</f>
        <v>-0.90179647870180002</v>
      </c>
      <c r="H14" s="2">
        <f>STANDARDIZE('DATA-Match'!H14,'DATA-Match'!H$79,'DATA-Match'!H$80)</f>
        <v>-0.23816898844529413</v>
      </c>
      <c r="I14" s="2">
        <f>STANDARDIZE('DATA-Match'!I14,'DATA-Match'!I$79,'DATA-Match'!I$80)</f>
        <v>-0.61006400917697501</v>
      </c>
      <c r="K14">
        <v>2004</v>
      </c>
      <c r="L14" s="2">
        <f>STANDARDIZE('DATA-Match'!L14,'DATA-Match'!L$79,'DATA-Match'!L$80)</f>
        <v>-0.8936356082186111</v>
      </c>
      <c r="M14" s="2">
        <f>STANDARDIZE('DATA-Match'!M14,'DATA-Match'!M$79,'DATA-Match'!M$80)</f>
        <v>-0.74102387726503582</v>
      </c>
      <c r="N14" s="2">
        <f>STANDARDIZE('DATA-Match'!N14,'DATA-Match'!N$79,'DATA-Match'!N$80)</f>
        <v>-1.1823153471084309</v>
      </c>
      <c r="P14">
        <v>2004</v>
      </c>
      <c r="Q14" s="2">
        <f>STANDARDIZE('DATA-Match'!Q14,'DATA-Match'!Q$79,'DATA-Match'!Q$80)</f>
        <v>-1.0304201147167473</v>
      </c>
      <c r="R14" s="2">
        <f>STANDARDIZE('DATA-Match'!R14,'DATA-Match'!R$79,'DATA-Match'!R$80)</f>
        <v>-1.5335351122766165</v>
      </c>
      <c r="S14" s="2">
        <f>STANDARDIZE('DATA-Match'!S14,'DATA-Match'!S$79,'DATA-Match'!S$80)</f>
        <v>-1.7580458193287136</v>
      </c>
      <c r="U14">
        <v>2004</v>
      </c>
      <c r="V14" s="2">
        <f>STANDARDIZE('DATA-Match'!V14,'DATA-Match'!V$79,'DATA-Match'!V$80)</f>
        <v>1.3207243055503248E-2</v>
      </c>
      <c r="W14" s="2">
        <f>STANDARDIZE('DATA-Match'!W14,'DATA-Match'!W$79,'DATA-Match'!W$80)</f>
        <v>0.87839192135381161</v>
      </c>
      <c r="X14" s="2">
        <f>STANDARDIZE('DATA-Match'!X14,'DATA-Match'!X$79,'DATA-Match'!X$80)</f>
        <v>0.86406223010996408</v>
      </c>
      <c r="Z14">
        <v>2004</v>
      </c>
      <c r="AA14" s="2">
        <f>STANDARDIZE('DATA-Match'!AA14,'DATA-Match'!AA$79,'DATA-Match'!AA$80)</f>
        <v>-1.2675492586389441</v>
      </c>
      <c r="AB14" s="2">
        <f>STANDARDIZE('DATA-Match'!AB14,'DATA-Match'!AB$79,'DATA-Match'!AB$80)</f>
        <v>-0.44601449740067184</v>
      </c>
      <c r="AC14" s="2">
        <f>STANDARDIZE('DATA-Match'!AC14,'DATA-Match'!AC$79,'DATA-Match'!AC$80)</f>
        <v>-1.4206910806098814</v>
      </c>
    </row>
    <row r="15" spans="1:40" x14ac:dyDescent="0.3">
      <c r="A15">
        <v>2003</v>
      </c>
      <c r="B15" s="2">
        <f>STANDARDIZE('DATA-Match'!B15,'DATA-Match'!B$79,'DATA-Match'!B$80)</f>
        <v>-0.6492876853345606</v>
      </c>
      <c r="C15" s="2">
        <f>STANDARDIZE('DATA-Match'!C15,'DATA-Match'!C$79,'DATA-Match'!C$80)</f>
        <v>-0.57538450974225686</v>
      </c>
      <c r="D15" s="2">
        <f>STANDARDIZE('DATA-Match'!D15,'DATA-Match'!D$79,'DATA-Match'!D$80)</f>
        <v>-0.81089120878143806</v>
      </c>
      <c r="E15" s="2"/>
      <c r="F15">
        <v>2003</v>
      </c>
      <c r="G15" s="2">
        <f>STANDARDIZE('DATA-Match'!G15,'DATA-Match'!G$79,'DATA-Match'!G$80)</f>
        <v>-0.71124256239402817</v>
      </c>
      <c r="H15" s="2">
        <f>STANDARDIZE('DATA-Match'!H15,'DATA-Match'!H$79,'DATA-Match'!H$80)</f>
        <v>-0.45634368260509001</v>
      </c>
      <c r="I15" s="2">
        <f>STANDARDIZE('DATA-Match'!I15,'DATA-Match'!I$79,'DATA-Match'!I$80)</f>
        <v>-0.72861045005749558</v>
      </c>
      <c r="K15">
        <v>2003</v>
      </c>
      <c r="L15" s="2">
        <f>STANDARDIZE('DATA-Match'!L15,'DATA-Match'!L$79,'DATA-Match'!L$80)</f>
        <v>-1.4302226367422974</v>
      </c>
      <c r="M15" s="2">
        <f>STANDARDIZE('DATA-Match'!M15,'DATA-Match'!M$79,'DATA-Match'!M$80)</f>
        <v>0.87323204933589016</v>
      </c>
      <c r="N15" s="2">
        <f>STANDARDIZE('DATA-Match'!N15,'DATA-Match'!N$79,'DATA-Match'!N$80)</f>
        <v>-0.58913249159257786</v>
      </c>
      <c r="P15">
        <v>2003</v>
      </c>
      <c r="Q15" s="2">
        <f>STANDARDIZE('DATA-Match'!Q15,'DATA-Match'!Q$79,'DATA-Match'!Q$80)</f>
        <v>-1.804094922676617</v>
      </c>
      <c r="R15" s="2">
        <f>STANDARDIZE('DATA-Match'!R15,'DATA-Match'!R$79,'DATA-Match'!R$80)</f>
        <v>-0.43584213762710577</v>
      </c>
      <c r="S15" s="2">
        <f>STANDARDIZE('DATA-Match'!S15,'DATA-Match'!S$79,'DATA-Match'!S$80)</f>
        <v>-1.3853906626907895</v>
      </c>
      <c r="U15">
        <v>2003</v>
      </c>
      <c r="V15" s="2">
        <f>STANDARDIZE('DATA-Match'!V15,'DATA-Match'!V$79,'DATA-Match'!V$80)</f>
        <v>-0.35515291899330342</v>
      </c>
      <c r="W15" s="2">
        <f>STANDARDIZE('DATA-Match'!W15,'DATA-Match'!W$79,'DATA-Match'!W$80)</f>
        <v>0.37427299215431059</v>
      </c>
      <c r="X15" s="2">
        <f>STANDARDIZE('DATA-Match'!X15,'DATA-Match'!X$79,'DATA-Match'!X$80)</f>
        <v>5.0520279276555606E-2</v>
      </c>
      <c r="Z15">
        <v>2003</v>
      </c>
      <c r="AA15" s="2">
        <f>STANDARDIZE('DATA-Match'!AA15,'DATA-Match'!AA$79,'DATA-Match'!AA$80)</f>
        <v>-1.9622991481573777</v>
      </c>
      <c r="AB15" s="2">
        <f>STANDARDIZE('DATA-Match'!AB15,'DATA-Match'!AB$79,'DATA-Match'!AB$80)</f>
        <v>0.26876360880984212</v>
      </c>
      <c r="AC15" s="2">
        <f>STANDARDIZE('DATA-Match'!AC15,'DATA-Match'!AC$79,'DATA-Match'!AC$80)</f>
        <v>-1.2918541157548955</v>
      </c>
    </row>
    <row r="16" spans="1:40" x14ac:dyDescent="0.3">
      <c r="A16">
        <v>2002</v>
      </c>
      <c r="B16" s="2">
        <f>STANDARDIZE('DATA-Match'!B16,'DATA-Match'!B$79,'DATA-Match'!B$80)</f>
        <v>-0.24742051726166681</v>
      </c>
      <c r="C16" s="2">
        <f>STANDARDIZE('DATA-Match'!C16,'DATA-Match'!C$79,'DATA-Match'!C$80)</f>
        <v>-0.45764010742334255</v>
      </c>
      <c r="D16" s="2">
        <f>STANDARDIZE('DATA-Match'!D16,'DATA-Match'!D$79,'DATA-Match'!D$80)</f>
        <v>-0.41857073060770195</v>
      </c>
      <c r="E16" s="2"/>
      <c r="F16">
        <v>2002</v>
      </c>
      <c r="G16" s="2">
        <f>STANDARDIZE('DATA-Match'!G16,'DATA-Match'!G$79,'DATA-Match'!G$80)</f>
        <v>-0.16067219489304368</v>
      </c>
      <c r="H16" s="2">
        <f>STANDARDIZE('DATA-Match'!H16,'DATA-Match'!H$79,'DATA-Match'!H$80)</f>
        <v>-6.3514705718940453E-2</v>
      </c>
      <c r="I16" s="2">
        <f>STANDARDIZE('DATA-Match'!I16,'DATA-Match'!I$79,'DATA-Match'!I$80)</f>
        <v>-0.10581466508386322</v>
      </c>
      <c r="K16">
        <v>2002</v>
      </c>
      <c r="L16" s="2">
        <f>STANDARDIZE('DATA-Match'!L16,'DATA-Match'!L$79,'DATA-Match'!L$80)</f>
        <v>-1.8057683340543227</v>
      </c>
      <c r="M16" s="2">
        <f>STANDARDIZE('DATA-Match'!M16,'DATA-Match'!M$79,'DATA-Match'!M$80)</f>
        <v>1.6810161075504448</v>
      </c>
      <c r="N16" s="2">
        <f>STANDARDIZE('DATA-Match'!N16,'DATA-Match'!N$79,'DATA-Match'!N$80)</f>
        <v>-0.59769096989317372</v>
      </c>
      <c r="P16">
        <v>2002</v>
      </c>
      <c r="Q16" s="2">
        <f>STANDARDIZE('DATA-Match'!Q16,'DATA-Match'!Q$79,'DATA-Match'!Q$80)</f>
        <v>-1.2650783115669264</v>
      </c>
      <c r="R16" s="2">
        <f>STANDARDIZE('DATA-Match'!R16,'DATA-Match'!R$79,'DATA-Match'!R$80)</f>
        <v>0.81836197406298949</v>
      </c>
      <c r="S16" s="2">
        <f>STANDARDIZE('DATA-Match'!S16,'DATA-Match'!S$79,'DATA-Match'!S$80)</f>
        <v>-0.2897316036912887</v>
      </c>
      <c r="U16">
        <v>2002</v>
      </c>
      <c r="V16" s="2">
        <f>STANDARDIZE('DATA-Match'!V16,'DATA-Match'!V$79,'DATA-Match'!V$80)</f>
        <v>-0.27066833726138628</v>
      </c>
      <c r="W16" s="2">
        <f>STANDARDIZE('DATA-Match'!W16,'DATA-Match'!W$79,'DATA-Match'!W$80)</f>
        <v>1.0042246295802684</v>
      </c>
      <c r="X16" s="2">
        <f>STANDARDIZE('DATA-Match'!X16,'DATA-Match'!X$79,'DATA-Match'!X$80)</f>
        <v>0.63596358014488441</v>
      </c>
      <c r="Z16">
        <v>2002</v>
      </c>
      <c r="AA16" s="2">
        <f>STANDARDIZE('DATA-Match'!AA16,'DATA-Match'!AA$79,'DATA-Match'!AA$80)</f>
        <v>-1.7177537343850362</v>
      </c>
      <c r="AB16" s="2">
        <f>STANDARDIZE('DATA-Match'!AB16,'DATA-Match'!AB$79,'DATA-Match'!AB$80)</f>
        <v>1.6076952042326604</v>
      </c>
      <c r="AC16" s="2">
        <f>STANDARDIZE('DATA-Match'!AC16,'DATA-Match'!AC$79,'DATA-Match'!AC$80)</f>
        <v>-0.15858074575029682</v>
      </c>
    </row>
    <row r="17" spans="1:29" x14ac:dyDescent="0.3">
      <c r="A17">
        <v>2001</v>
      </c>
      <c r="B17" s="2">
        <f>STANDARDIZE('DATA-Match'!B17,'DATA-Match'!B$79,'DATA-Match'!B$80)</f>
        <v>-6.2981786268456783E-2</v>
      </c>
      <c r="C17" s="2">
        <f>STANDARDIZE('DATA-Match'!C17,'DATA-Match'!C$79,'DATA-Match'!C$80)</f>
        <v>0.42639759431166135</v>
      </c>
      <c r="D17" s="2">
        <f>STANDARDIZE('DATA-Match'!D17,'DATA-Match'!D$79,'DATA-Match'!D$80)</f>
        <v>0.30746627117298869</v>
      </c>
      <c r="E17" s="2"/>
      <c r="F17">
        <v>2001</v>
      </c>
      <c r="G17" s="2">
        <f>STANDARDIZE('DATA-Match'!G17,'DATA-Match'!G$79,'DATA-Match'!G$80)</f>
        <v>-4.1117948222689327E-2</v>
      </c>
      <c r="H17" s="2">
        <f>STANDARDIZE('DATA-Match'!H17,'DATA-Match'!H$79,'DATA-Match'!H$80)</f>
        <v>1.6810238920706919</v>
      </c>
      <c r="I17" s="2">
        <f>STANDARDIZE('DATA-Match'!I17,'DATA-Match'!I$79,'DATA-Match'!I$80)</f>
        <v>1.7207430143029787</v>
      </c>
      <c r="K17">
        <v>2001</v>
      </c>
      <c r="L17" s="2">
        <f>STANDARDIZE('DATA-Match'!L17,'DATA-Match'!L$79,'DATA-Match'!L$80)</f>
        <v>-0.82354822226524271</v>
      </c>
      <c r="M17" s="2">
        <f>STANDARDIZE('DATA-Match'!M17,'DATA-Match'!M$79,'DATA-Match'!M$80)</f>
        <v>-0.90294810205982479</v>
      </c>
      <c r="N17" s="2">
        <f>STANDARDIZE('DATA-Match'!N17,'DATA-Match'!N$79,'DATA-Match'!N$80)</f>
        <v>-1.1339307589118026</v>
      </c>
      <c r="P17">
        <v>2001</v>
      </c>
      <c r="Q17" s="2">
        <f>STANDARDIZE('DATA-Match'!Q17,'DATA-Match'!Q$79,'DATA-Match'!Q$80)</f>
        <v>-1.9235799288818127</v>
      </c>
      <c r="R17" s="2">
        <f>STANDARDIZE('DATA-Match'!R17,'DATA-Match'!R$79,'DATA-Match'!R$80)</f>
        <v>-0.59286291692441973</v>
      </c>
      <c r="S17" s="2">
        <f>STANDARDIZE('DATA-Match'!S17,'DATA-Match'!S$79,'DATA-Match'!S$80)</f>
        <v>-1.4868157931475865</v>
      </c>
      <c r="U17">
        <v>2001</v>
      </c>
      <c r="V17" s="2">
        <f>STANDARDIZE('DATA-Match'!V17,'DATA-Match'!V$79,'DATA-Match'!V$80)</f>
        <v>-7.801499761392304E-2</v>
      </c>
      <c r="W17" s="2">
        <f>STANDARDIZE('DATA-Match'!W17,'DATA-Match'!W$79,'DATA-Match'!W$80)</f>
        <v>1.1305827353358346</v>
      </c>
      <c r="X17" s="2">
        <f>STANDARDIZE('DATA-Match'!X17,'DATA-Match'!X$79,'DATA-Match'!X$80)</f>
        <v>0.97271196064961563</v>
      </c>
      <c r="Z17">
        <v>2001</v>
      </c>
      <c r="AA17" s="2">
        <f>STANDARDIZE('DATA-Match'!AA17,'DATA-Match'!AA$79,'DATA-Match'!AA$80)</f>
        <v>-1.3953937898722149</v>
      </c>
      <c r="AB17" s="2">
        <f>STANDARDIZE('DATA-Match'!AB17,'DATA-Match'!AB$79,'DATA-Match'!AB$80)</f>
        <v>1.3308698564577239</v>
      </c>
      <c r="AC17" s="2">
        <f>STANDARDIZE('DATA-Match'!AC17,'DATA-Match'!AC$79,'DATA-Match'!AC$80)</f>
        <v>0.21357966287557689</v>
      </c>
    </row>
    <row r="18" spans="1:29" x14ac:dyDescent="0.3">
      <c r="A18">
        <v>2000</v>
      </c>
      <c r="B18" s="2">
        <f>STANDARDIZE('DATA-Match'!B18,'DATA-Match'!B$79,'DATA-Match'!B$80)</f>
        <v>-9.6362474770687684E-2</v>
      </c>
      <c r="C18" s="2">
        <f>STANDARDIZE('DATA-Match'!C18,'DATA-Match'!C$79,'DATA-Match'!C$80)</f>
        <v>1.7228589322772514</v>
      </c>
      <c r="D18" s="2">
        <f>STANDARDIZE('DATA-Match'!D18,'DATA-Match'!D$79,'DATA-Match'!D$80)</f>
        <v>1.1041337839044854</v>
      </c>
      <c r="E18" s="2"/>
      <c r="F18">
        <v>2000</v>
      </c>
      <c r="G18" s="2">
        <f>STANDARDIZE('DATA-Match'!G18,'DATA-Match'!G$79,'DATA-Match'!G$80)</f>
        <v>-0.79760754117231103</v>
      </c>
      <c r="H18" s="2">
        <f>STANDARDIZE('DATA-Match'!H18,'DATA-Match'!H$79,'DATA-Match'!H$80)</f>
        <v>0.54691632833449144</v>
      </c>
      <c r="I18" s="2">
        <f>STANDARDIZE('DATA-Match'!I18,'DATA-Match'!I$79,'DATA-Match'!I$80)</f>
        <v>0.15933067118431912</v>
      </c>
      <c r="K18">
        <v>2000</v>
      </c>
      <c r="L18" s="2">
        <f>STANDARDIZE('DATA-Match'!L18,'DATA-Match'!L$79,'DATA-Match'!L$80)</f>
        <v>-0.2684958265575082</v>
      </c>
      <c r="M18" s="2">
        <f>STANDARDIZE('DATA-Match'!M18,'DATA-Match'!M$79,'DATA-Match'!M$80)</f>
        <v>1.0348938361650573</v>
      </c>
      <c r="N18" s="2">
        <f>STANDARDIZE('DATA-Match'!N18,'DATA-Match'!N$79,'DATA-Match'!N$80)</f>
        <v>0.68210429555734442</v>
      </c>
      <c r="P18">
        <v>2000</v>
      </c>
      <c r="Q18" s="2">
        <f>STANDARDIZE('DATA-Match'!Q18,'DATA-Match'!Q$79,'DATA-Match'!Q$80)</f>
        <v>-0.3680029643617288</v>
      </c>
      <c r="R18" s="2">
        <f>STANDARDIZE('DATA-Match'!R18,'DATA-Match'!R$79,'DATA-Match'!R$80)</f>
        <v>-0.5927609884731101</v>
      </c>
      <c r="S18" s="2">
        <f>STANDARDIZE('DATA-Match'!S18,'DATA-Match'!S$79,'DATA-Match'!S$80)</f>
        <v>-0.7218684550601413</v>
      </c>
      <c r="U18">
        <v>2000</v>
      </c>
      <c r="V18" s="2">
        <f>STANDARDIZE('DATA-Match'!V18,'DATA-Match'!V$79,'DATA-Match'!V$80)</f>
        <v>-0.66059463490542303</v>
      </c>
      <c r="W18" s="2">
        <f>STANDARDIZE('DATA-Match'!W18,'DATA-Match'!W$79,'DATA-Match'!W$80)</f>
        <v>0.12208217817227811</v>
      </c>
      <c r="X18" s="2">
        <f>STANDARDIZE('DATA-Match'!X18,'DATA-Match'!X$79,'DATA-Match'!X$80)</f>
        <v>-0.44255296087084012</v>
      </c>
      <c r="Z18">
        <v>2000</v>
      </c>
      <c r="AA18" s="2">
        <f>STANDARDIZE('DATA-Match'!AA18,'DATA-Match'!AA$79,'DATA-Match'!AA$80)</f>
        <v>-0.95234759498005694</v>
      </c>
      <c r="AB18" s="2">
        <f>STANDARDIZE('DATA-Match'!AB18,'DATA-Match'!AB$79,'DATA-Match'!AB$80)</f>
        <v>0.88497025133764362</v>
      </c>
      <c r="AC18" s="2">
        <f>STANDARDIZE('DATA-Match'!AC18,'DATA-Match'!AC$79,'DATA-Match'!AC$80)</f>
        <v>8.9860283946321312E-2</v>
      </c>
    </row>
    <row r="19" spans="1:29" x14ac:dyDescent="0.3">
      <c r="A19">
        <v>1999</v>
      </c>
      <c r="B19" s="2">
        <f>STANDARDIZE('DATA-Match'!B19,'DATA-Match'!B$79,'DATA-Match'!B$80)</f>
        <v>0.28527734979022878</v>
      </c>
      <c r="C19" s="2">
        <f>STANDARDIZE('DATA-Match'!C19,'DATA-Match'!C$79,'DATA-Match'!C$80)</f>
        <v>-4.5216471192756506E-2</v>
      </c>
      <c r="D19" s="2">
        <f>STANDARDIZE('DATA-Match'!D19,'DATA-Match'!D$79,'DATA-Match'!D$80)</f>
        <v>0.3227609554534473</v>
      </c>
      <c r="E19" s="2"/>
      <c r="F19">
        <v>1999</v>
      </c>
      <c r="G19" s="2">
        <f>STANDARDIZE('DATA-Match'!G19,'DATA-Match'!G$79,'DATA-Match'!G$80)</f>
        <v>0.10180779386133113</v>
      </c>
      <c r="H19" s="2">
        <f>STANDARDIZE('DATA-Match'!H19,'DATA-Match'!H$79,'DATA-Match'!H$80)</f>
        <v>1.0703065395209981</v>
      </c>
      <c r="I19" s="2">
        <f>STANDARDIZE('DATA-Match'!I19,'DATA-Match'!I$79,'DATA-Match'!I$80)</f>
        <v>1.1876397509433811</v>
      </c>
      <c r="K19">
        <v>1999</v>
      </c>
      <c r="L19" s="2">
        <f>STANDARDIZE('DATA-Match'!L19,'DATA-Match'!L$79,'DATA-Match'!L$80)</f>
        <v>-0.99875048642845365</v>
      </c>
      <c r="M19" s="2">
        <f>STANDARDIZE('DATA-Match'!M19,'DATA-Match'!M$79,'DATA-Match'!M$80)</f>
        <v>-0.57988696636712167</v>
      </c>
      <c r="N19" s="2">
        <f>STANDARDIZE('DATA-Match'!N19,'DATA-Match'!N$79,'DATA-Match'!N$80)</f>
        <v>-1.0078544543926995</v>
      </c>
      <c r="P19">
        <v>1999</v>
      </c>
      <c r="Q19" s="2">
        <f>STANDARDIZE('DATA-Match'!Q19,'DATA-Match'!Q$79,'DATA-Match'!Q$80)</f>
        <v>-0.16811012534610131</v>
      </c>
      <c r="R19" s="2">
        <f>STANDARDIZE('DATA-Match'!R19,'DATA-Match'!R$79,'DATA-Match'!R$80)</f>
        <v>0.50467716504800209</v>
      </c>
      <c r="S19" s="2">
        <f>STANDARDIZE('DATA-Match'!S19,'DATA-Match'!S$79,'DATA-Match'!S$80)</f>
        <v>0.29018059631577059</v>
      </c>
      <c r="U19">
        <v>1999</v>
      </c>
      <c r="V19" s="2">
        <f>STANDARDIZE('DATA-Match'!V19,'DATA-Match'!V$79,'DATA-Match'!V$80)</f>
        <v>-0.5892157123218672</v>
      </c>
      <c r="W19" s="2">
        <f>STANDARDIZE('DATA-Match'!W19,'DATA-Match'!W$79,'DATA-Match'!W$80)</f>
        <v>1.130582735335844</v>
      </c>
      <c r="X19" s="2">
        <f>STANDARDIZE('DATA-Match'!X19,'DATA-Match'!X$79,'DATA-Match'!X$80)</f>
        <v>0.41324565383063472</v>
      </c>
      <c r="Z19">
        <v>1999</v>
      </c>
      <c r="AA19" s="2">
        <f>STANDARDIZE('DATA-Match'!AA19,'DATA-Match'!AA$79,'DATA-Match'!AA$80)</f>
        <v>-0.9261156646722567</v>
      </c>
      <c r="AB19" s="2">
        <f>STANDARDIZE('DATA-Match'!AB19,'DATA-Match'!AB$79,'DATA-Match'!AB$80)</f>
        <v>1.4604747752698535</v>
      </c>
      <c r="AC19" s="2">
        <f>STANDARDIZE('DATA-Match'!AC19,'DATA-Match'!AC$79,'DATA-Match'!AC$80)</f>
        <v>0.61275140185293508</v>
      </c>
    </row>
    <row r="20" spans="1:29" x14ac:dyDescent="0.3">
      <c r="A20">
        <v>1998</v>
      </c>
      <c r="B20" s="2">
        <f>STANDARDIZE('DATA-Match'!B20,'DATA-Match'!B$79,'DATA-Match'!B$80)</f>
        <v>0.95051434232116694</v>
      </c>
      <c r="C20" s="2">
        <f>STANDARDIZE('DATA-Match'!C20,'DATA-Match'!C$79,'DATA-Match'!C$80)</f>
        <v>-2.2861788526247375</v>
      </c>
      <c r="D20" s="2">
        <f>STANDARDIZE('DATA-Match'!D20,'DATA-Match'!D$79,'DATA-Match'!D$80)</f>
        <v>-1.0483397369471481</v>
      </c>
      <c r="E20" s="2"/>
      <c r="F20">
        <v>1998</v>
      </c>
      <c r="G20" s="2">
        <f>STANDARDIZE('DATA-Match'!G20,'DATA-Match'!G$79,'DATA-Match'!G$80)</f>
        <v>-0.37855512602854385</v>
      </c>
      <c r="H20" s="2">
        <f>STANDARDIZE('DATA-Match'!H20,'DATA-Match'!H$79,'DATA-Match'!H$80)</f>
        <v>0.2841618443047792</v>
      </c>
      <c r="I20" s="2">
        <f>STANDARDIZE('DATA-Match'!I20,'DATA-Match'!I$79,'DATA-Match'!I$80)</f>
        <v>0.13089039810574316</v>
      </c>
      <c r="K20">
        <v>1998</v>
      </c>
      <c r="L20" s="2">
        <f>STANDARDIZE('DATA-Match'!L20,'DATA-Match'!L$79,'DATA-Match'!L$80)</f>
        <v>-1.5057598245707018</v>
      </c>
      <c r="M20" s="2">
        <f>STANDARDIZE('DATA-Match'!M20,'DATA-Match'!M$79,'DATA-Match'!M$80)</f>
        <v>1.6807536695848138</v>
      </c>
      <c r="N20" s="2">
        <f>STANDARDIZE('DATA-Match'!N20,'DATA-Match'!N$79,'DATA-Match'!N$80)</f>
        <v>-0.29527895289035561</v>
      </c>
      <c r="P20">
        <v>1998</v>
      </c>
      <c r="Q20" s="2">
        <f>STANDARDIZE('DATA-Match'!Q20,'DATA-Match'!Q$79,'DATA-Match'!Q$80)</f>
        <v>0.83036326197649868</v>
      </c>
      <c r="R20" s="2">
        <f>STANDARDIZE('DATA-Match'!R20,'DATA-Match'!R$79,'DATA-Match'!R$80)</f>
        <v>-1.3766672256563646</v>
      </c>
      <c r="S20" s="2">
        <f>STANDARDIZE('DATA-Match'!S20,'DATA-Match'!S$79,'DATA-Match'!S$80)</f>
        <v>-0.68538105051180354</v>
      </c>
      <c r="U20">
        <v>1998</v>
      </c>
      <c r="V20" s="2">
        <f>STANDARDIZE('DATA-Match'!V20,'DATA-Match'!V$79,'DATA-Match'!V$80)</f>
        <v>-0.34769997240566514</v>
      </c>
      <c r="W20" s="2">
        <f>STANDARDIZE('DATA-Match'!W20,'DATA-Match'!W$79,'DATA-Match'!W$80)</f>
        <v>2.5168441159433259</v>
      </c>
      <c r="X20" s="2">
        <f>STANDARDIZE('DATA-Match'!X20,'DATA-Match'!X$79,'DATA-Match'!X$80)</f>
        <v>1.7676871353283836</v>
      </c>
      <c r="Z20">
        <v>1998</v>
      </c>
      <c r="AA20" s="2">
        <f>STANDARDIZE('DATA-Match'!AA20,'DATA-Match'!AA$79,'DATA-Match'!AA$80)</f>
        <v>-0.78750598115968562</v>
      </c>
      <c r="AB20" s="2">
        <f>STANDARDIZE('DATA-Match'!AB20,'DATA-Match'!AB$79,'DATA-Match'!AB$80)</f>
        <v>1.5640486770576225</v>
      </c>
      <c r="AC20" s="2">
        <f>STANDARDIZE('DATA-Match'!AC20,'DATA-Match'!AC$79,'DATA-Match'!AC$80)</f>
        <v>0.38363525886347666</v>
      </c>
    </row>
    <row r="21" spans="1:29" x14ac:dyDescent="0.3">
      <c r="A21">
        <v>1997</v>
      </c>
      <c r="B21" s="2">
        <f>STANDARDIZE('DATA-Match'!B21,'DATA-Match'!B$79,'DATA-Match'!B$80)</f>
        <v>0.32051227808974242</v>
      </c>
      <c r="C21" s="2">
        <f>STANDARDIZE('DATA-Match'!C21,'DATA-Match'!C$79,'DATA-Match'!C$80)</f>
        <v>-1.4619680363923375</v>
      </c>
      <c r="D21" s="2">
        <f>STANDARDIZE('DATA-Match'!D21,'DATA-Match'!D$79,'DATA-Match'!D$80)</f>
        <v>-0.69100675249750299</v>
      </c>
      <c r="E21" s="2"/>
      <c r="F21">
        <v>1997</v>
      </c>
      <c r="G21" s="2">
        <f>STANDARDIZE('DATA-Match'!G21,'DATA-Match'!G$79,'DATA-Match'!G$80)</f>
        <v>-0.39524496600231851</v>
      </c>
      <c r="H21" s="2">
        <f>STANDARDIZE('DATA-Match'!H21,'DATA-Match'!H$79,'DATA-Match'!H$80)</f>
        <v>-1.1548749179618092</v>
      </c>
      <c r="I21" s="2">
        <f>STANDARDIZE('DATA-Match'!I21,'DATA-Match'!I$79,'DATA-Match'!I$80)</f>
        <v>-1.2749558886948347</v>
      </c>
      <c r="K21">
        <v>1997</v>
      </c>
      <c r="L21" s="2">
        <f>STANDARDIZE('DATA-Match'!L21,'DATA-Match'!L$79,'DATA-Match'!L$80)</f>
        <v>-1.1832617805708969</v>
      </c>
      <c r="M21" s="2">
        <f>STANDARDIZE('DATA-Match'!M21,'DATA-Match'!M$79,'DATA-Match'!M$80)</f>
        <v>-0.25708826864009626</v>
      </c>
      <c r="N21" s="2">
        <f>STANDARDIZE('DATA-Match'!N21,'DATA-Match'!N$79,'DATA-Match'!N$80)</f>
        <v>-0.98967952768104872</v>
      </c>
      <c r="P21">
        <v>1997</v>
      </c>
      <c r="Q21" s="2">
        <f>STANDARDIZE('DATA-Match'!Q21,'DATA-Match'!Q$79,'DATA-Match'!Q$80)</f>
        <v>1.1182345525716582</v>
      </c>
      <c r="R21" s="2">
        <f>STANDARDIZE('DATA-Match'!R21,'DATA-Match'!R$79,'DATA-Match'!R$80)</f>
        <v>-0.43594406607851505</v>
      </c>
      <c r="S21" s="2">
        <f>STANDARDIZE('DATA-Match'!S21,'DATA-Match'!S$79,'DATA-Match'!S$80)</f>
        <v>-2.2589357887816335E-2</v>
      </c>
      <c r="U21">
        <v>1997</v>
      </c>
      <c r="V21" s="2">
        <f>STANDARDIZE('DATA-Match'!V21,'DATA-Match'!V$79,'DATA-Match'!V$80)</f>
        <v>-0.28282905912121253</v>
      </c>
      <c r="W21" s="2">
        <f>STANDARDIZE('DATA-Match'!W21,'DATA-Match'!W$79,'DATA-Match'!W$80)</f>
        <v>0.62646380613633379</v>
      </c>
      <c r="X21" s="2">
        <f>STANDARDIZE('DATA-Match'!X21,'DATA-Match'!X$79,'DATA-Match'!X$80)</f>
        <v>0.35980651540195285</v>
      </c>
      <c r="Z21">
        <v>1997</v>
      </c>
      <c r="AA21" s="2">
        <f>STANDARDIZE('DATA-Match'!AA21,'DATA-Match'!AA$79,'DATA-Match'!AA$80)</f>
        <v>-0.48515326475964587</v>
      </c>
      <c r="AB21" s="2">
        <f>STANDARDIZE('DATA-Match'!AB21,'DATA-Match'!AB$79,'DATA-Match'!AB$80)</f>
        <v>-0.56940457457510352</v>
      </c>
      <c r="AC21" s="2">
        <f>STANDARDIZE('DATA-Match'!AC21,'DATA-Match'!AC$79,'DATA-Match'!AC$80)</f>
        <v>-1.0657898055543473</v>
      </c>
    </row>
    <row r="22" spans="1:29" x14ac:dyDescent="0.3">
      <c r="A22">
        <v>1996</v>
      </c>
      <c r="B22" s="2">
        <f>STANDARDIZE('DATA-Match'!B22,'DATA-Match'!B$79,'DATA-Match'!B$80)</f>
        <v>-0.18837427494743095</v>
      </c>
      <c r="C22" s="2">
        <f>STANDARDIZE('DATA-Match'!C22,'DATA-Match'!C$79,'DATA-Match'!C$80)</f>
        <v>-0.34339621436265183</v>
      </c>
      <c r="D22" s="2">
        <f>STANDARDIZE('DATA-Match'!D22,'DATA-Match'!D$79,'DATA-Match'!D$80)</f>
        <v>-0.29899887245023454</v>
      </c>
      <c r="E22" s="2"/>
      <c r="F22">
        <v>1996</v>
      </c>
      <c r="G22" s="2">
        <f>STANDARDIZE('DATA-Match'!G22,'DATA-Match'!G$79,'DATA-Match'!G$80)</f>
        <v>-0.79464270677655857</v>
      </c>
      <c r="H22" s="2">
        <f>STANDARDIZE('DATA-Match'!H22,'DATA-Match'!H$79,'DATA-Match'!H$80)</f>
        <v>0.37134582641977426</v>
      </c>
      <c r="I22" s="2">
        <f>STANDARDIZE('DATA-Match'!I22,'DATA-Match'!I$79,'DATA-Match'!I$80)</f>
        <v>-8.2680584133077936E-4</v>
      </c>
      <c r="K22">
        <v>1996</v>
      </c>
      <c r="L22" s="2">
        <f>STANDARDIZE('DATA-Match'!L22,'DATA-Match'!L$79,'DATA-Match'!L$80)</f>
        <v>-0.9327789296070147</v>
      </c>
      <c r="M22" s="2">
        <f>STANDARDIZE('DATA-Match'!M22,'DATA-Match'!M$79,'DATA-Match'!M$80)</f>
        <v>1.0351562741306977</v>
      </c>
      <c r="N22" s="2">
        <f>STANDARDIZE('DATA-Match'!N22,'DATA-Match'!N$79,'DATA-Match'!N$80)</f>
        <v>-9.6013694605032202E-2</v>
      </c>
      <c r="P22">
        <v>1996</v>
      </c>
      <c r="Q22" s="2">
        <f>STANDARDIZE('DATA-Match'!Q22,'DATA-Match'!Q$79,'DATA-Match'!Q$80)</f>
        <v>1.1867940837391371</v>
      </c>
      <c r="R22" s="2">
        <f>STANDARDIZE('DATA-Match'!R22,'DATA-Match'!R$79,'DATA-Match'!R$80)</f>
        <v>-0.74947598241639091</v>
      </c>
      <c r="S22" s="2">
        <f>STANDARDIZE('DATA-Match'!S22,'DATA-Match'!S$79,'DATA-Match'!S$80)</f>
        <v>3.8161140771625704E-2</v>
      </c>
      <c r="U22">
        <v>1996</v>
      </c>
      <c r="V22" s="2">
        <f>STANDARDIZE('DATA-Match'!V22,'DATA-Match'!V$79,'DATA-Match'!V$80)</f>
        <v>8.2520169435547464E-2</v>
      </c>
      <c r="W22" s="2">
        <f>STANDARDIZE('DATA-Match'!W22,'DATA-Match'!W$79,'DATA-Match'!W$80)</f>
        <v>1.2564154435622916</v>
      </c>
      <c r="X22" s="2">
        <f>STANDARDIZE('DATA-Match'!X22,'DATA-Match'!X$79,'DATA-Match'!X$80)</f>
        <v>1.2605154021041611</v>
      </c>
      <c r="Z22">
        <v>1996</v>
      </c>
      <c r="AA22" s="2">
        <f>STANDARDIZE('DATA-Match'!AA22,'DATA-Match'!AA$79,'DATA-Match'!AA$80)</f>
        <v>-0.29006535159513486</v>
      </c>
      <c r="AB22" s="2">
        <f>STANDARDIZE('DATA-Match'!AB22,'DATA-Match'!AB$79,'DATA-Match'!AB$80)</f>
        <v>1.1373947044849704</v>
      </c>
      <c r="AC22" s="2">
        <f>STANDARDIZE('DATA-Match'!AC22,'DATA-Match'!AC$79,'DATA-Match'!AC$80)</f>
        <v>0.57495565160534057</v>
      </c>
    </row>
    <row r="23" spans="1:29" x14ac:dyDescent="0.3">
      <c r="A23">
        <v>1995</v>
      </c>
      <c r="B23" s="2">
        <f>STANDARDIZE('DATA-Match'!B23,'DATA-Match'!B$79,'DATA-Match'!B$80)</f>
        <v>-0.41857824730733167</v>
      </c>
      <c r="C23" s="2">
        <f>STANDARDIZE('DATA-Match'!C23,'DATA-Match'!C$79,'DATA-Match'!C$80)</f>
        <v>-4.9035208565366091E-2</v>
      </c>
      <c r="D23" s="2">
        <f>STANDARDIZE('DATA-Match'!D23,'DATA-Match'!D$79,'DATA-Match'!D$80)</f>
        <v>-0.32880798511073189</v>
      </c>
      <c r="E23" s="2"/>
      <c r="F23">
        <v>1995</v>
      </c>
      <c r="G23" s="2">
        <f>STANDARDIZE('DATA-Match'!G23,'DATA-Match'!G$79,'DATA-Match'!G$80)</f>
        <v>0.86527216354483061</v>
      </c>
      <c r="H23" s="2">
        <f>STANDARDIZE('DATA-Match'!H23,'DATA-Match'!H$79,'DATA-Match'!H$80)</f>
        <v>-0.71881184813849963</v>
      </c>
      <c r="I23" s="2">
        <f>STANDARDIZE('DATA-Match'!I23,'DATA-Match'!I$79,'DATA-Match'!I$80)</f>
        <v>-0.3663272087910493</v>
      </c>
      <c r="K23">
        <v>1995</v>
      </c>
      <c r="L23" s="2">
        <f>STANDARDIZE('DATA-Match'!L23,'DATA-Match'!L$79,'DATA-Match'!L$80)</f>
        <v>0.25004279706884325</v>
      </c>
      <c r="M23" s="2">
        <f>STANDARDIZE('DATA-Match'!M23,'DATA-Match'!M$79,'DATA-Match'!M$80)</f>
        <v>-0.25682583067444648</v>
      </c>
      <c r="N23" s="2">
        <f>STANDARDIZE('DATA-Match'!N23,'DATA-Match'!N$79,'DATA-Match'!N$80)</f>
        <v>-0.11962382859289905</v>
      </c>
      <c r="P23">
        <v>1995</v>
      </c>
      <c r="Q23" s="2">
        <f>STANDARDIZE('DATA-Match'!Q23,'DATA-Match'!Q$79,'DATA-Match'!Q$80)</f>
        <v>0.90121399834395943</v>
      </c>
      <c r="R23" s="2">
        <f>STANDARDIZE('DATA-Match'!R23,'DATA-Match'!R$79,'DATA-Match'!R$80)</f>
        <v>-0.12253956030477972</v>
      </c>
      <c r="S23" s="2">
        <f>STANDARDIZE('DATA-Match'!S23,'DATA-Match'!S$79,'DATA-Match'!S$80)</f>
        <v>0.50409667565500438</v>
      </c>
      <c r="U23">
        <v>1995</v>
      </c>
      <c r="V23" s="2">
        <f>STANDARDIZE('DATA-Match'!V23,'DATA-Match'!V$79,'DATA-Match'!V$80)</f>
        <v>-0.4505757720262562</v>
      </c>
      <c r="W23" s="2">
        <f>STANDARDIZE('DATA-Match'!W23,'DATA-Match'!W$79,'DATA-Match'!W$80)</f>
        <v>0.62620110737177903</v>
      </c>
      <c r="X23" s="2">
        <f>STANDARDIZE('DATA-Match'!X23,'DATA-Match'!X$79,'DATA-Match'!X$80)</f>
        <v>0.15062574790611227</v>
      </c>
      <c r="Z23">
        <v>1995</v>
      </c>
      <c r="AA23" s="2">
        <f>STANDARDIZE('DATA-Match'!AA23,'DATA-Match'!AA$79,'DATA-Match'!AA$80)</f>
        <v>0.42067618909249055</v>
      </c>
      <c r="AB23" s="2">
        <f>STANDARDIZE('DATA-Match'!AB23,'DATA-Match'!AB$79,'DATA-Match'!AB$80)</f>
        <v>-0.13376455229001516</v>
      </c>
      <c r="AC23" s="2">
        <f>STANDARDIZE('DATA-Match'!AC23,'DATA-Match'!AC$79,'DATA-Match'!AC$80)</f>
        <v>0.14861311897269458</v>
      </c>
    </row>
    <row r="24" spans="1:29" x14ac:dyDescent="0.3">
      <c r="A24">
        <v>1994</v>
      </c>
      <c r="B24" s="2">
        <f>STANDARDIZE('DATA-Match'!B24,'DATA-Match'!B$79,'DATA-Match'!B$80)</f>
        <v>6.1271638410281978E-2</v>
      </c>
      <c r="C24" s="2">
        <f>STANDARDIZE('DATA-Match'!C24,'DATA-Match'!C$79,'DATA-Match'!C$80)</f>
        <v>-0.40226841552210896</v>
      </c>
      <c r="D24" s="2">
        <f>STANDARDIZE('DATA-Match'!D24,'DATA-Match'!D$79,'DATA-Match'!D$80)</f>
        <v>-0.12597065431920715</v>
      </c>
      <c r="E24" s="2"/>
      <c r="F24">
        <v>1994</v>
      </c>
      <c r="G24" s="2">
        <f>STANDARDIZE('DATA-Match'!G24,'DATA-Match'!G$79,'DATA-Match'!G$80)</f>
        <v>0.82318920840788679</v>
      </c>
      <c r="H24" s="2">
        <f>STANDARDIZE('DATA-Match'!H24,'DATA-Match'!H$79,'DATA-Match'!H$80)</f>
        <v>-0.15192985736759707</v>
      </c>
      <c r="I24" s="2">
        <f>STANDARDIZE('DATA-Match'!I24,'DATA-Match'!I$79,'DATA-Match'!I$80)</f>
        <v>0.25380437294567676</v>
      </c>
      <c r="K24">
        <v>1994</v>
      </c>
      <c r="L24" s="2">
        <f>STANDARDIZE('DATA-Match'!L24,'DATA-Match'!L$79,'DATA-Match'!L$80)</f>
        <v>1.128501725642781</v>
      </c>
      <c r="M24" s="2">
        <f>STANDARDIZE('DATA-Match'!M24,'DATA-Match'!M$79,'DATA-Match'!M$80)</f>
        <v>0.22763465388178336</v>
      </c>
      <c r="N24" s="2">
        <f>STANDARDIZE('DATA-Match'!N24,'DATA-Match'!N$79,'DATA-Match'!N$80)</f>
        <v>0.9567201434861502</v>
      </c>
      <c r="P24">
        <v>1994</v>
      </c>
      <c r="Q24" s="2">
        <f>STANDARDIZE('DATA-Match'!Q24,'DATA-Match'!Q$79,'DATA-Match'!Q$80)</f>
        <v>0.36968015203538962</v>
      </c>
      <c r="R24" s="2">
        <f>STANDARDIZE('DATA-Match'!R24,'DATA-Match'!R$79,'DATA-Match'!R$80)</f>
        <v>-0.90619097635968071</v>
      </c>
      <c r="S24" s="2">
        <f>STANDARDIZE('DATA-Match'!S24,'DATA-Match'!S$79,'DATA-Match'!S$80)</f>
        <v>-0.56870004276298702</v>
      </c>
      <c r="U24">
        <v>1994</v>
      </c>
      <c r="V24" s="2">
        <f>STANDARDIZE('DATA-Match'!V24,'DATA-Match'!V$79,'DATA-Match'!V$80)</f>
        <v>-0.68210466565197336</v>
      </c>
      <c r="W24" s="2">
        <f>STANDARDIZE('DATA-Match'!W24,'DATA-Match'!W$79,'DATA-Match'!W$80)</f>
        <v>1.7605343727619234</v>
      </c>
      <c r="X24" s="2">
        <f>STANDARDIZE('DATA-Match'!X24,'DATA-Match'!X$79,'DATA-Match'!X$80)</f>
        <v>0.78087991825219216</v>
      </c>
      <c r="Z24">
        <v>1994</v>
      </c>
      <c r="AA24" s="2">
        <f>STANDARDIZE('DATA-Match'!AA24,'DATA-Match'!AA$79,'DATA-Match'!AA$80)</f>
        <v>0.50960740850407615</v>
      </c>
      <c r="AB24" s="2">
        <f>STANDARDIZE('DATA-Match'!AB24,'DATA-Match'!AB$79,'DATA-Match'!AB$80)</f>
        <v>0.58435530483441733</v>
      </c>
      <c r="AC24" s="2">
        <f>STANDARDIZE('DATA-Match'!AC24,'DATA-Match'!AC$79,'DATA-Match'!AC$80)</f>
        <v>0.83177020651330336</v>
      </c>
    </row>
    <row r="25" spans="1:29" x14ac:dyDescent="0.3">
      <c r="A25">
        <v>1993</v>
      </c>
      <c r="B25" s="2">
        <f>STANDARDIZE('DATA-Match'!B25,'DATA-Match'!B$79,'DATA-Match'!B$80)</f>
        <v>-0.10133617967244474</v>
      </c>
      <c r="C25" s="2">
        <f>STANDARDIZE('DATA-Match'!C25,'DATA-Match'!C$79,'DATA-Match'!C$80)</f>
        <v>-0.57888501900048039</v>
      </c>
      <c r="D25" s="2">
        <f>STANDARDIZE('DATA-Match'!D25,'DATA-Match'!D$79,'DATA-Match'!D$80)</f>
        <v>-0.37545364345661142</v>
      </c>
      <c r="E25" s="2"/>
      <c r="F25">
        <v>1993</v>
      </c>
      <c r="G25" s="2">
        <f>STANDARDIZE('DATA-Match'!G25,'DATA-Match'!G$79,'DATA-Match'!G$80)</f>
        <v>0.10335690983003223</v>
      </c>
      <c r="H25" s="2">
        <f>STANDARDIZE('DATA-Match'!H25,'DATA-Match'!H$79,'DATA-Match'!H$80)</f>
        <v>6.6101677544362872E-2</v>
      </c>
      <c r="I25" s="2">
        <f>STANDARDIZE('DATA-Match'!I25,'DATA-Match'!I$79,'DATA-Match'!I$80)</f>
        <v>0.15122223261266382</v>
      </c>
      <c r="K25">
        <v>1993</v>
      </c>
      <c r="L25" s="2">
        <f>STANDARDIZE('DATA-Match'!L25,'DATA-Match'!L$79,'DATA-Match'!L$80)</f>
        <v>-3.4265087782137098E-2</v>
      </c>
      <c r="M25" s="2">
        <f>STANDARDIZE('DATA-Match'!M25,'DATA-Match'!M$79,'DATA-Match'!M$80)</f>
        <v>-1.71046972230873</v>
      </c>
      <c r="N25" s="2">
        <f>STANDARDIZE('DATA-Match'!N25,'DATA-Match'!N$79,'DATA-Match'!N$80)</f>
        <v>-1.1242019973867583</v>
      </c>
      <c r="P25">
        <v>1993</v>
      </c>
      <c r="Q25" s="2">
        <f>STANDARDIZE('DATA-Match'!Q25,'DATA-Match'!Q$79,'DATA-Match'!Q$80)</f>
        <v>4.2825769243613053E-2</v>
      </c>
      <c r="R25" s="2">
        <f>STANDARDIZE('DATA-Match'!R25,'DATA-Match'!R$79,'DATA-Match'!R$80)</f>
        <v>-0.2791781079095545</v>
      </c>
      <c r="S25" s="2">
        <f>STANDARDIZE('DATA-Match'!S25,'DATA-Match'!S$79,'DATA-Match'!S$80)</f>
        <v>-0.27587614616117934</v>
      </c>
      <c r="U25">
        <v>1993</v>
      </c>
      <c r="V25" s="2">
        <f>STANDARDIZE('DATA-Match'!V25,'DATA-Match'!V$79,'DATA-Match'!V$80)</f>
        <v>0.33223443666213059</v>
      </c>
      <c r="W25" s="2">
        <f>STANDARDIZE('DATA-Match'!W25,'DATA-Match'!W$79,'DATA-Match'!W$80)</f>
        <v>0.62620110737196577</v>
      </c>
      <c r="X25" s="2">
        <f>STANDARDIZE('DATA-Match'!X25,'DATA-Match'!X$79,'DATA-Match'!X$80)</f>
        <v>0.94922092016099024</v>
      </c>
      <c r="Z25">
        <v>1993</v>
      </c>
      <c r="AA25" s="2">
        <f>STANDARDIZE('DATA-Match'!AA25,'DATA-Match'!AA$79,'DATA-Match'!AA$80)</f>
        <v>4.2781813134972181E-2</v>
      </c>
      <c r="AB25" s="2">
        <f>STANDARDIZE('DATA-Match'!AB25,'DATA-Match'!AB$79,'DATA-Match'!AB$80)</f>
        <v>-0.20211762204098185</v>
      </c>
      <c r="AC25" s="2">
        <f>STANDARDIZE('DATA-Match'!AC25,'DATA-Match'!AC$79,'DATA-Match'!AC$80)</f>
        <v>-0.16442053370141727</v>
      </c>
    </row>
    <row r="26" spans="1:29" x14ac:dyDescent="0.3">
      <c r="A26">
        <v>1992</v>
      </c>
      <c r="B26" s="2">
        <f>STANDARDIZE('DATA-Match'!B26,'DATA-Match'!B$79,'DATA-Match'!B$80)</f>
        <v>5.9766199617869345E-2</v>
      </c>
      <c r="C26" s="2">
        <f>STANDARDIZE('DATA-Match'!C26,'DATA-Match'!C$79,'DATA-Match'!C$80)</f>
        <v>0.59855900418944263</v>
      </c>
      <c r="D26" s="2">
        <f>STANDARDIZE('DATA-Match'!D26,'DATA-Match'!D$79,'DATA-Match'!D$80)</f>
        <v>0.55089864526302701</v>
      </c>
      <c r="E26" s="2"/>
      <c r="F26">
        <v>1992</v>
      </c>
      <c r="G26" s="2">
        <f>STANDARDIZE('DATA-Match'!G26,'DATA-Match'!G$79,'DATA-Match'!G$80)</f>
        <v>0.43264238361740426</v>
      </c>
      <c r="H26" s="2">
        <f>STANDARDIZE('DATA-Match'!H26,'DATA-Match'!H$79,'DATA-Match'!H$80)</f>
        <v>0.10970798452670401</v>
      </c>
      <c r="I26" s="2">
        <f>STANDARDIZE('DATA-Match'!I26,'DATA-Match'!I$79,'DATA-Match'!I$80)</f>
        <v>0.35693612288116422</v>
      </c>
      <c r="K26">
        <v>1992</v>
      </c>
      <c r="L26" s="2">
        <f>STANDARDIZE('DATA-Match'!L26,'DATA-Match'!L$79,'DATA-Match'!L$80)</f>
        <v>-0.72610966036075741</v>
      </c>
      <c r="M26" s="2">
        <f>STANDARDIZE('DATA-Match'!M26,'DATA-Match'!M$79,'DATA-Match'!M$80)</f>
        <v>-1.8718690711722845</v>
      </c>
      <c r="N26" s="2">
        <f>STANDARDIZE('DATA-Match'!N26,'DATA-Match'!N$79,'DATA-Match'!N$80)</f>
        <v>-1.6176414019275713</v>
      </c>
      <c r="P26">
        <v>1992</v>
      </c>
      <c r="Q26" s="2">
        <f>STANDARDIZE('DATA-Match'!Q26,'DATA-Match'!Q$79,'DATA-Match'!Q$80)</f>
        <v>-0.46737515586697503</v>
      </c>
      <c r="R26" s="2">
        <f>STANDARDIZE('DATA-Match'!R26,'DATA-Match'!R$79,'DATA-Match'!R$80)</f>
        <v>1.9159020560354159</v>
      </c>
      <c r="S26" s="2">
        <f>STANDARDIZE('DATA-Match'!S26,'DATA-Match'!S$79,'DATA-Match'!S$80)</f>
        <v>1.1069726670451352</v>
      </c>
      <c r="U26">
        <v>1992</v>
      </c>
      <c r="V26" s="2">
        <f>STANDARDIZE('DATA-Match'!V26,'DATA-Match'!V$79,'DATA-Match'!V$80)</f>
        <v>0.22185376528800274</v>
      </c>
      <c r="W26" s="2">
        <f>STANDARDIZE('DATA-Match'!W26,'DATA-Match'!W$79,'DATA-Match'!W$80)</f>
        <v>-0.50813215801808509</v>
      </c>
      <c r="X26" s="2">
        <f>STANDARDIZE('DATA-Match'!X26,'DATA-Match'!X$79,'DATA-Match'!X$80)</f>
        <v>-0.21434643253269511</v>
      </c>
      <c r="Z26">
        <v>1992</v>
      </c>
      <c r="AA26" s="2">
        <f>STANDARDIZE('DATA-Match'!AA26,'DATA-Match'!AA$79,'DATA-Match'!AA$80)</f>
        <v>-0.46094757867329772</v>
      </c>
      <c r="AB26" s="2">
        <f>STANDARDIZE('DATA-Match'!AB26,'DATA-Match'!AB$79,'DATA-Match'!AB$80)</f>
        <v>0.20396624353675136</v>
      </c>
      <c r="AC26" s="2">
        <f>STANDARDIZE('DATA-Match'!AC26,'DATA-Match'!AC$79,'DATA-Match'!AC$80)</f>
        <v>-6.8644560650763076E-2</v>
      </c>
    </row>
    <row r="27" spans="1:29" x14ac:dyDescent="0.3">
      <c r="A27">
        <v>1991</v>
      </c>
      <c r="B27" s="2">
        <f>STANDARDIZE('DATA-Match'!B27,'DATA-Match'!B$79,'DATA-Match'!B$80)</f>
        <v>2.8046498124771471E-2</v>
      </c>
      <c r="C27" s="2">
        <f>STANDARDIZE('DATA-Match'!C27,'DATA-Match'!C$79,'DATA-Match'!C$80)</f>
        <v>-0.34339621436195089</v>
      </c>
      <c r="D27" s="2">
        <f>STANDARDIZE('DATA-Match'!D27,'DATA-Match'!D$79,'DATA-Match'!D$80)</f>
        <v>-0.11439964910091556</v>
      </c>
      <c r="E27" s="2"/>
      <c r="F27">
        <v>1991</v>
      </c>
      <c r="G27" s="2">
        <f>STANDARDIZE('DATA-Match'!G27,'DATA-Match'!G$79,'DATA-Match'!G$80)</f>
        <v>1.0589686335795989</v>
      </c>
      <c r="H27" s="2">
        <f>STANDARDIZE('DATA-Match'!H27,'DATA-Match'!H$79,'DATA-Match'!H$80)</f>
        <v>-0.50078031322607175</v>
      </c>
      <c r="I27" s="2">
        <f>STANDARDIZE('DATA-Match'!I27,'DATA-Match'!I$79,'DATA-Match'!I$80)</f>
        <v>-4.0635512928629824E-2</v>
      </c>
      <c r="K27">
        <v>1991</v>
      </c>
      <c r="L27" s="2">
        <f>STANDARDIZE('DATA-Match'!L27,'DATA-Match'!L$79,'DATA-Match'!L$80)</f>
        <v>-0.99133326042290804</v>
      </c>
      <c r="M27" s="2">
        <f>STANDARDIZE('DATA-Match'!M27,'DATA-Match'!M$79,'DATA-Match'!M$80)</f>
        <v>-1.8716066332066255</v>
      </c>
      <c r="N27" s="2">
        <f>STANDARDIZE('DATA-Match'!N27,'DATA-Match'!N$79,'DATA-Match'!N$80)</f>
        <v>-1.6809423829184142</v>
      </c>
      <c r="P27">
        <v>1991</v>
      </c>
      <c r="Q27" s="2">
        <f>STANDARDIZE('DATA-Match'!Q27,'DATA-Match'!Q$79,'DATA-Match'!Q$80)</f>
        <v>-0.93320080267436634</v>
      </c>
      <c r="R27" s="2">
        <f>STANDARDIZE('DATA-Match'!R27,'DATA-Match'!R$79,'DATA-Match'!R$80)</f>
        <v>-1.5336625228408431</v>
      </c>
      <c r="S27" s="2">
        <f>STANDARDIZE('DATA-Match'!S27,'DATA-Match'!S$79,'DATA-Match'!S$80)</f>
        <v>-1.7363147678300961</v>
      </c>
      <c r="U27">
        <v>1991</v>
      </c>
      <c r="V27" s="2">
        <f>STANDARDIZE('DATA-Match'!V27,'DATA-Match'!V$79,'DATA-Match'!V$80)</f>
        <v>0.17848782778451208</v>
      </c>
      <c r="W27" s="2">
        <f>STANDARDIZE('DATA-Match'!W27,'DATA-Match'!W$79,'DATA-Match'!W$80)</f>
        <v>0.48591996709437657</v>
      </c>
      <c r="X27" s="2">
        <f>STANDARDIZE('DATA-Match'!X27,'DATA-Match'!X$79,'DATA-Match'!X$80)</f>
        <v>0.58627562985386472</v>
      </c>
      <c r="Z27">
        <v>1991</v>
      </c>
      <c r="AA27" s="2">
        <f>STANDARDIZE('DATA-Match'!AA27,'DATA-Match'!AA$79,'DATA-Match'!AA$80)</f>
        <v>-0.62032161156709553</v>
      </c>
      <c r="AB27" s="2">
        <f>STANDARDIZE('DATA-Match'!AB27,'DATA-Match'!AB$79,'DATA-Match'!AB$80)</f>
        <v>-1.2240821056672826</v>
      </c>
      <c r="AC27" s="2">
        <f>STANDARDIZE('DATA-Match'!AC27,'DATA-Match'!AC$79,'DATA-Match'!AC$80)</f>
        <v>-1.4367033170127887</v>
      </c>
    </row>
    <row r="28" spans="1:29" x14ac:dyDescent="0.3">
      <c r="A28">
        <v>1990</v>
      </c>
      <c r="B28" s="2">
        <f>STANDARDIZE('DATA-Match'!B28,'DATA-Match'!B$79,'DATA-Match'!B$80)</f>
        <v>-0.11525863024391425</v>
      </c>
      <c r="C28" s="2">
        <f>STANDARDIZE('DATA-Match'!C28,'DATA-Match'!C$79,'DATA-Match'!C$80)</f>
        <v>-0.22565181204301396</v>
      </c>
      <c r="D28" s="2">
        <f>STANDARDIZE('DATA-Match'!D28,'DATA-Match'!D$79,'DATA-Match'!D$80)</f>
        <v>-0.16166931797072057</v>
      </c>
      <c r="E28" s="2"/>
      <c r="F28">
        <v>1990</v>
      </c>
      <c r="G28" s="2">
        <f>STANDARDIZE('DATA-Match'!G28,'DATA-Match'!G$79,'DATA-Match'!G$80)</f>
        <v>0.75422341761583989</v>
      </c>
      <c r="H28" s="2">
        <f>STANDARDIZE('DATA-Match'!H28,'DATA-Match'!H$79,'DATA-Match'!H$80)</f>
        <v>-0.54438662020841289</v>
      </c>
      <c r="I28" s="2">
        <f>STANDARDIZE('DATA-Match'!I28,'DATA-Match'!I$79,'DATA-Match'!I$80)</f>
        <v>-0.21477394648405163</v>
      </c>
      <c r="K28">
        <v>1990</v>
      </c>
      <c r="L28" s="2">
        <f>STANDARDIZE('DATA-Match'!L28,'DATA-Match'!L$79,'DATA-Match'!L$80)</f>
        <v>-0.94584158377077943</v>
      </c>
      <c r="M28" s="2">
        <f>STANDARDIZE('DATA-Match'!M28,'DATA-Match'!M$79,'DATA-Match'!M$80)</f>
        <v>0.7120951384380132</v>
      </c>
      <c r="N28" s="2">
        <f>STANDARDIZE('DATA-Match'!N28,'DATA-Match'!N$79,'DATA-Match'!N$80)</f>
        <v>-0.30675156546800153</v>
      </c>
      <c r="P28">
        <v>1990</v>
      </c>
      <c r="Q28" s="2">
        <f>STANDARDIZE('DATA-Match'!Q28,'DATA-Match'!Q$79,'DATA-Match'!Q$80)</f>
        <v>-0.60660822945271875</v>
      </c>
      <c r="R28" s="2">
        <f>STANDARDIZE('DATA-Match'!R28,'DATA-Match'!R$79,'DATA-Match'!R$80)</f>
        <v>-0.90639483326237247</v>
      </c>
      <c r="S28" s="2">
        <f>STANDARDIZE('DATA-Match'!S28,'DATA-Match'!S$79,'DATA-Match'!S$80)</f>
        <v>-1.0762679099197723</v>
      </c>
      <c r="U28">
        <v>1990</v>
      </c>
      <c r="V28" s="2">
        <f>STANDARDIZE('DATA-Match'!V28,'DATA-Match'!V$79,'DATA-Match'!V$80)</f>
        <v>-9.4089989622192588E-2</v>
      </c>
      <c r="W28" s="2">
        <f>STANDARDIZE('DATA-Match'!W28,'DATA-Match'!W$79,'DATA-Match'!W$80)</f>
        <v>0.26577840238918998</v>
      </c>
      <c r="X28" s="2">
        <f>STANDARDIZE('DATA-Match'!X28,'DATA-Match'!X$79,'DATA-Match'!X$80)</f>
        <v>-0.13921571262642585</v>
      </c>
      <c r="Z28">
        <v>1990</v>
      </c>
      <c r="AA28" s="2">
        <f>STANDARDIZE('DATA-Match'!AA28,'DATA-Match'!AA$79,'DATA-Match'!AA$80)</f>
        <v>-0.6719014048638966</v>
      </c>
      <c r="AB28" s="2">
        <f>STANDARDIZE('DATA-Match'!AB28,'DATA-Match'!AB$79,'DATA-Match'!AB$80)</f>
        <v>-8.6664203286346636E-2</v>
      </c>
      <c r="AC28" s="2">
        <f>STANDARDIZE('DATA-Match'!AC28,'DATA-Match'!AC$79,'DATA-Match'!AC$80)</f>
        <v>-0.74113929527221645</v>
      </c>
    </row>
    <row r="29" spans="1:29" x14ac:dyDescent="0.3">
      <c r="A29">
        <v>1989</v>
      </c>
      <c r="B29" s="2">
        <f>STANDARDIZE('DATA-Match'!B29,'DATA-Match'!B$79,'DATA-Match'!B$80)</f>
        <v>0.46223553022537334</v>
      </c>
      <c r="C29" s="2">
        <f>STANDARDIZE('DATA-Match'!C29,'DATA-Match'!C$79,'DATA-Match'!C$80)</f>
        <v>-0.46114061668088779</v>
      </c>
      <c r="D29" s="2">
        <f>STANDARDIZE('DATA-Match'!D29,'DATA-Match'!D$79,'DATA-Match'!D$80)</f>
        <v>0.16509390422740031</v>
      </c>
      <c r="E29" s="2"/>
      <c r="F29">
        <v>1989</v>
      </c>
      <c r="G29" s="2">
        <f>STANDARDIZE('DATA-Match'!G29,'DATA-Match'!G$79,'DATA-Match'!G$80)</f>
        <v>-1.0731096535934095</v>
      </c>
      <c r="H29" s="2">
        <f>STANDARDIZE('DATA-Match'!H29,'DATA-Match'!H$79,'DATA-Match'!H$80)</f>
        <v>-1.5037253738199177</v>
      </c>
      <c r="I29" s="2">
        <f>STANDARDIZE('DATA-Match'!I29,'DATA-Match'!I$79,'DATA-Match'!I$80)</f>
        <v>-1.808473350949463</v>
      </c>
      <c r="K29">
        <v>1989</v>
      </c>
      <c r="L29" s="2">
        <f>STANDARDIZE('DATA-Match'!L29,'DATA-Match'!L$79,'DATA-Match'!L$80)</f>
        <v>-1.1891061084215864</v>
      </c>
      <c r="M29" s="2">
        <f>STANDARDIZE('DATA-Match'!M29,'DATA-Match'!M$79,'DATA-Match'!M$80)</f>
        <v>-1.5490703734452125</v>
      </c>
      <c r="N29" s="2">
        <f>STANDARDIZE('DATA-Match'!N29,'DATA-Match'!N$79,'DATA-Match'!N$80)</f>
        <v>-1.8267404627510619</v>
      </c>
      <c r="P29">
        <v>1989</v>
      </c>
      <c r="Q29" s="2">
        <f>STANDARDIZE('DATA-Match'!Q29,'DATA-Match'!Q$79,'DATA-Match'!Q$80)</f>
        <v>-0.44079096165858694</v>
      </c>
      <c r="R29" s="2">
        <f>STANDARDIZE('DATA-Match'!R29,'DATA-Match'!R$79,'DATA-Match'!R$80)</f>
        <v>0.66167246223248966</v>
      </c>
      <c r="S29" s="2">
        <f>STANDARDIZE('DATA-Match'!S29,'DATA-Match'!S$79,'DATA-Match'!S$80)</f>
        <v>0.26391528216179305</v>
      </c>
      <c r="U29">
        <v>1989</v>
      </c>
      <c r="V29" s="2">
        <f>STANDARDIZE('DATA-Match'!V29,'DATA-Match'!V$79,'DATA-Match'!V$80)</f>
        <v>-0.39515782137796723</v>
      </c>
      <c r="W29" s="2">
        <f>STANDARDIZE('DATA-Match'!W29,'DATA-Match'!W$79,'DATA-Match'!W$80)</f>
        <v>-1.6571765542238135</v>
      </c>
      <c r="X29" s="2">
        <f>STANDARDIZE('DATA-Match'!X29,'DATA-Match'!X$79,'DATA-Match'!X$80)</f>
        <v>-1.6801786948410411</v>
      </c>
      <c r="Z29">
        <v>1989</v>
      </c>
      <c r="AA29" s="2">
        <f>STANDARDIZE('DATA-Match'!AA29,'DATA-Match'!AA$79,'DATA-Match'!AA$80)</f>
        <v>-1.3953545955875575</v>
      </c>
      <c r="AB29" s="2">
        <f>STANDARDIZE('DATA-Match'!AB29,'DATA-Match'!AB$79,'DATA-Match'!AB$80)</f>
        <v>-1.7660570495500614</v>
      </c>
      <c r="AC29" s="2">
        <f>STANDARDIZE('DATA-Match'!AC29,'DATA-Match'!AC$79,'DATA-Match'!AC$80)</f>
        <v>-2.4771580572645036</v>
      </c>
    </row>
    <row r="30" spans="1:29" x14ac:dyDescent="0.3">
      <c r="A30">
        <v>1988</v>
      </c>
      <c r="B30" s="2">
        <f>STANDARDIZE('DATA-Match'!B30,'DATA-Match'!B$79,'DATA-Match'!B$80)</f>
        <v>-0.13958090991872726</v>
      </c>
      <c r="C30" s="2">
        <f>STANDARDIZE('DATA-Match'!C30,'DATA-Match'!C$79,'DATA-Match'!C$80)</f>
        <v>-0.5788850189998247</v>
      </c>
      <c r="D30" s="2">
        <f>STANDARDIZE('DATA-Match'!D30,'DATA-Match'!D$79,'DATA-Match'!D$80)</f>
        <v>-0.40597043222366824</v>
      </c>
      <c r="E30" s="2"/>
      <c r="F30">
        <v>1988</v>
      </c>
      <c r="G30" s="2">
        <f>STANDARDIZE('DATA-Match'!G30,'DATA-Match'!G$79,'DATA-Match'!G$80)</f>
        <v>0.83359621524643446</v>
      </c>
      <c r="H30" s="2">
        <f>STANDARDIZE('DATA-Match'!H30,'DATA-Match'!H$79,'DATA-Match'!H$80)</f>
        <v>1.156259352102891</v>
      </c>
      <c r="I30" s="2">
        <f>STANDARDIZE('DATA-Match'!I30,'DATA-Match'!I$79,'DATA-Match'!I$80)</f>
        <v>1.7286907258295263</v>
      </c>
      <c r="K30">
        <v>1988</v>
      </c>
      <c r="L30" s="2">
        <f>STANDARDIZE('DATA-Match'!L30,'DATA-Match'!L$79,'DATA-Match'!L$80)</f>
        <v>-1.5195425600175285</v>
      </c>
      <c r="M30" s="2">
        <f>STANDARDIZE('DATA-Match'!M30,'DATA-Match'!M$79,'DATA-Match'!M$80)</f>
        <v>-0.74128631523067634</v>
      </c>
      <c r="N30" s="2">
        <f>STANDARDIZE('DATA-Match'!N30,'DATA-Match'!N$79,'DATA-Match'!N$80)</f>
        <v>-1.3868990219601163</v>
      </c>
      <c r="P30">
        <v>1988</v>
      </c>
      <c r="Q30" s="2">
        <f>STANDARDIZE('DATA-Match'!Q30,'DATA-Match'!Q$79,'DATA-Match'!Q$80)</f>
        <v>-0.27362876188552132</v>
      </c>
      <c r="R30" s="2">
        <f>STANDARDIZE('DATA-Match'!R30,'DATA-Match'!R$79,'DATA-Match'!R$80)</f>
        <v>0.34798765321757469</v>
      </c>
      <c r="S30" s="2">
        <f>STANDARDIZE('DATA-Match'!S30,'DATA-Match'!S$79,'DATA-Match'!S$80)</f>
        <v>0.13215317143033439</v>
      </c>
      <c r="U30">
        <v>1988</v>
      </c>
      <c r="V30" s="2">
        <f>STANDARDIZE('DATA-Match'!V30,'DATA-Match'!V$79,'DATA-Match'!V$80)</f>
        <v>-1.2122268129493026</v>
      </c>
      <c r="W30" s="2">
        <f>STANDARDIZE('DATA-Match'!W30,'DATA-Match'!W$79,'DATA-Match'!W$80)</f>
        <v>-0.45927018780915224</v>
      </c>
      <c r="X30" s="2">
        <f>STANDARDIZE('DATA-Match'!X30,'DATA-Match'!X$79,'DATA-Match'!X$80)</f>
        <v>-1.3350085421392264</v>
      </c>
      <c r="Z30">
        <v>1988</v>
      </c>
      <c r="AA30" s="2">
        <f>STANDARDIZE('DATA-Match'!AA30,'DATA-Match'!AA$79,'DATA-Match'!AA$80)</f>
        <v>-1.2846274687980777</v>
      </c>
      <c r="AB30" s="2">
        <f>STANDARDIZE('DATA-Match'!AB30,'DATA-Match'!AB$79,'DATA-Match'!AB$80)</f>
        <v>0.77974585062352642</v>
      </c>
      <c r="AC30" s="2">
        <f>STANDARDIZE('DATA-Match'!AC30,'DATA-Match'!AC$79,'DATA-Match'!AC$80)</f>
        <v>5.7215198365101177E-3</v>
      </c>
    </row>
    <row r="31" spans="1:29" x14ac:dyDescent="0.3">
      <c r="A31">
        <v>1987</v>
      </c>
      <c r="B31" s="2">
        <f>STANDARDIZE('DATA-Match'!B31,'DATA-Match'!B$79,'DATA-Match'!B$80)</f>
        <v>0.30439806150807214</v>
      </c>
      <c r="C31" s="2">
        <f>STANDARDIZE('DATA-Match'!C31,'DATA-Match'!C$79,'DATA-Match'!C$80)</f>
        <v>-0.87324602479716695</v>
      </c>
      <c r="D31" s="2">
        <f>STANDARDIZE('DATA-Match'!D31,'DATA-Match'!D$79,'DATA-Match'!D$80)</f>
        <v>-0.26798269424043464</v>
      </c>
      <c r="E31" s="2"/>
      <c r="F31">
        <v>1987</v>
      </c>
      <c r="G31" s="2">
        <f>STANDARDIZE('DATA-Match'!G31,'DATA-Match'!G$79,'DATA-Match'!G$80)</f>
        <v>1.1987958125171938</v>
      </c>
      <c r="H31" s="2">
        <f>STANDARDIZE('DATA-Match'!H31,'DATA-Match'!H$79,'DATA-Match'!H$80)</f>
        <v>-2.0270010576080115</v>
      </c>
      <c r="I31" s="2">
        <f>STANDARDIZE('DATA-Match'!I31,'DATA-Match'!I$79,'DATA-Match'!I$80)</f>
        <v>-1.7674908515126881</v>
      </c>
      <c r="K31">
        <v>1987</v>
      </c>
      <c r="L31" s="2">
        <f>STANDARDIZE('DATA-Match'!L31,'DATA-Match'!L$79,'DATA-Match'!L$80)</f>
        <v>-1.2525098455140575</v>
      </c>
      <c r="M31" s="2">
        <f>STANDARDIZE('DATA-Match'!M31,'DATA-Match'!M$79,'DATA-Match'!M$80)</f>
        <v>0.54833384788384354</v>
      </c>
      <c r="N31" s="2">
        <f>STANDARDIZE('DATA-Match'!N31,'DATA-Match'!N$79,'DATA-Match'!N$80)</f>
        <v>-0.68094247414752984</v>
      </c>
      <c r="P31">
        <v>1987</v>
      </c>
      <c r="Q31" s="2">
        <f>STANDARDIZE('DATA-Match'!Q31,'DATA-Match'!Q$79,'DATA-Match'!Q$80)</f>
        <v>-1.0608084161036495</v>
      </c>
      <c r="R31" s="2">
        <f>STANDARDIZE('DATA-Match'!R31,'DATA-Match'!R$79,'DATA-Match'!R$80)</f>
        <v>0.19129814138712922</v>
      </c>
      <c r="S31" s="2">
        <f>STANDARDIZE('DATA-Match'!S31,'DATA-Match'!S$79,'DATA-Match'!S$80)</f>
        <v>-0.57219492509847125</v>
      </c>
      <c r="U31">
        <v>1987</v>
      </c>
      <c r="V31" s="2">
        <f>STANDARDIZE('DATA-Match'!V31,'DATA-Match'!V$79,'DATA-Match'!V$80)</f>
        <v>0.19110680395073018</v>
      </c>
      <c r="W31" s="2">
        <f>STANDARDIZE('DATA-Match'!W31,'DATA-Match'!W$79,'DATA-Match'!W$80)</f>
        <v>-0.63265137242173131</v>
      </c>
      <c r="X31" s="2">
        <f>STANDARDIZE('DATA-Match'!X31,'DATA-Match'!X$79,'DATA-Match'!X$80)</f>
        <v>-0.37994794495025885</v>
      </c>
      <c r="Z31">
        <v>1987</v>
      </c>
      <c r="AA31" s="2">
        <f>STANDARDIZE('DATA-Match'!AA31,'DATA-Match'!AA$79,'DATA-Match'!AA$80)</f>
        <v>-0.75438412341458871</v>
      </c>
      <c r="AB31" s="2">
        <f>STANDARDIZE('DATA-Match'!AB31,'DATA-Match'!AB$79,'DATA-Match'!AB$80)</f>
        <v>-1.1149352229353764</v>
      </c>
      <c r="AC31" s="2">
        <f>STANDARDIZE('DATA-Match'!AC31,'DATA-Match'!AC$79,'DATA-Match'!AC$80)</f>
        <v>-1.7456795533011624</v>
      </c>
    </row>
    <row r="32" spans="1:29" x14ac:dyDescent="0.3">
      <c r="A32">
        <v>1986</v>
      </c>
      <c r="B32" s="2">
        <f>STANDARDIZE('DATA-Match'!B32,'DATA-Match'!B$79,'DATA-Match'!B$80)</f>
        <v>1.8992230731990103</v>
      </c>
      <c r="C32" s="2">
        <f>STANDARDIZE('DATA-Match'!C32,'DATA-Match'!C$79,'DATA-Match'!C$80)</f>
        <v>-0.99099042711610386</v>
      </c>
      <c r="D32" s="2">
        <f>STANDARDIZE('DATA-Match'!D32,'DATA-Match'!D$79,'DATA-Match'!D$80)</f>
        <v>0.76448627428675342</v>
      </c>
      <c r="E32" s="2"/>
      <c r="F32">
        <v>1986</v>
      </c>
      <c r="G32" s="2">
        <f>STANDARDIZE('DATA-Match'!G32,'DATA-Match'!G$79,'DATA-Match'!G$80)</f>
        <v>0.58067084738251196</v>
      </c>
      <c r="H32" s="2">
        <f>STANDARDIZE('DATA-Match'!H32,'DATA-Match'!H$79,'DATA-Match'!H$80)</f>
        <v>1.4615035009792789</v>
      </c>
      <c r="I32" s="2">
        <f>STANDARDIZE('DATA-Match'!I32,'DATA-Match'!I$79,'DATA-Match'!I$80)</f>
        <v>1.9058076426204484</v>
      </c>
      <c r="K32">
        <v>1986</v>
      </c>
      <c r="L32" s="2">
        <f>STANDARDIZE('DATA-Match'!L32,'DATA-Match'!L$79,'DATA-Match'!L$80)</f>
        <v>0.2515421317866921</v>
      </c>
      <c r="M32" s="2">
        <f>STANDARDIZE('DATA-Match'!M32,'DATA-Match'!M$79,'DATA-Match'!M$80)</f>
        <v>-2.0340557339326488</v>
      </c>
      <c r="N32" s="2">
        <f>STANDARDIZE('DATA-Match'!N32,'DATA-Match'!N$79,'DATA-Match'!N$80)</f>
        <v>-1.2086582031366644</v>
      </c>
      <c r="P32">
        <v>1986</v>
      </c>
      <c r="Q32" s="2">
        <f>STANDARDIZE('DATA-Match'!Q32,'DATA-Match'!Q$79,'DATA-Match'!Q$80)</f>
        <v>-5.7172194864751183E-2</v>
      </c>
      <c r="R32" s="2">
        <f>STANDARDIZE('DATA-Match'!R32,'DATA-Match'!R$79,'DATA-Match'!R$80)</f>
        <v>1.9158001275840744</v>
      </c>
      <c r="S32" s="2">
        <f>STANDARDIZE('DATA-Match'!S32,'DATA-Match'!S$79,'DATA-Match'!S$80)</f>
        <v>1.5903879414623845</v>
      </c>
      <c r="U32">
        <v>1986</v>
      </c>
      <c r="V32" s="2">
        <f>STANDARDIZE('DATA-Match'!V32,'DATA-Match'!V$79,'DATA-Match'!V$80)</f>
        <v>0.40424310105354172</v>
      </c>
      <c r="W32" s="2">
        <f>STANDARDIZE('DATA-Match'!W32,'DATA-Match'!W$79,'DATA-Match'!W$80)</f>
        <v>-0.20707937382712907</v>
      </c>
      <c r="X32" s="2">
        <f>STANDARDIZE('DATA-Match'!X32,'DATA-Match'!X$79,'DATA-Match'!X$80)</f>
        <v>0.2285884318651763</v>
      </c>
      <c r="Z32">
        <v>1986</v>
      </c>
      <c r="AA32" s="2">
        <f>STANDARDIZE('DATA-Match'!AA32,'DATA-Match'!AA$79,'DATA-Match'!AA$80)</f>
        <v>0.31326568854753628</v>
      </c>
      <c r="AB32" s="2">
        <f>STANDARDIZE('DATA-Match'!AB32,'DATA-Match'!AB$79,'DATA-Match'!AB$80)</f>
        <v>1.2197566385851466</v>
      </c>
      <c r="AC32" s="2">
        <f>STANDARDIZE('DATA-Match'!AC32,'DATA-Match'!AC$79,'DATA-Match'!AC$80)</f>
        <v>1.5107180723246587</v>
      </c>
    </row>
    <row r="33" spans="1:29" x14ac:dyDescent="0.3">
      <c r="A33">
        <v>1985</v>
      </c>
      <c r="B33" s="2">
        <f>STANDARDIZE('DATA-Match'!B33,'DATA-Match'!B$79,'DATA-Match'!B$80)</f>
        <v>1.6298085120317172</v>
      </c>
      <c r="C33" s="2">
        <f>STANDARDIZE('DATA-Match'!C33,'DATA-Match'!C$79,'DATA-Match'!C$80)</f>
        <v>-1.6974568410297253</v>
      </c>
      <c r="D33" s="2">
        <f>STANDARDIZE('DATA-Match'!D33,'DATA-Match'!D$79,'DATA-Match'!D$80)</f>
        <v>-0.16242361621963169</v>
      </c>
      <c r="E33" s="2"/>
      <c r="F33">
        <v>1985</v>
      </c>
      <c r="G33" s="2">
        <f>STANDARDIZE('DATA-Match'!G33,'DATA-Match'!G$79,'DATA-Match'!G$80)</f>
        <v>2.6664879246112081</v>
      </c>
      <c r="H33" s="2">
        <f>STANDARDIZE('DATA-Match'!H33,'DATA-Match'!H$79,'DATA-Match'!H$80)</f>
        <v>-0.10832355038500165</v>
      </c>
      <c r="I33" s="2">
        <f>STANDARDIZE('DATA-Match'!I33,'DATA-Match'!I$79,'DATA-Match'!I$80)</f>
        <v>1.1521851572267985</v>
      </c>
      <c r="K33">
        <v>1985</v>
      </c>
      <c r="L33" s="2">
        <f>STANDARDIZE('DATA-Match'!L33,'DATA-Match'!L$79,'DATA-Match'!L$80)</f>
        <v>0.28306518931948399</v>
      </c>
      <c r="M33" s="2">
        <f>STANDARDIZE('DATA-Match'!M33,'DATA-Match'!M$79,'DATA-Match'!M$80)</f>
        <v>-1.0651347648202449</v>
      </c>
      <c r="N33" s="2">
        <f>STANDARDIZE('DATA-Match'!N33,'DATA-Match'!N$79,'DATA-Match'!N$80)</f>
        <v>-0.14232156895797696</v>
      </c>
      <c r="P33">
        <v>1985</v>
      </c>
      <c r="Q33" s="2">
        <f>STANDARDIZE('DATA-Match'!Q33,'DATA-Match'!Q$79,'DATA-Match'!Q$80)</f>
        <v>0.14109310781974521</v>
      </c>
      <c r="R33" s="2">
        <f>STANDARDIZE('DATA-Match'!R33,'DATA-Match'!R$79,'DATA-Match'!R$80)</f>
        <v>-0.43596954819133227</v>
      </c>
      <c r="S33" s="2">
        <f>STANDARDIZE('DATA-Match'!S33,'DATA-Match'!S$79,'DATA-Match'!S$80)</f>
        <v>-0.21809165890808679</v>
      </c>
      <c r="U33">
        <v>1985</v>
      </c>
      <c r="V33" s="2">
        <f>STANDARDIZE('DATA-Match'!V33,'DATA-Match'!V$79,'DATA-Match'!V$80)</f>
        <v>0.5056601121887272</v>
      </c>
      <c r="W33" s="2">
        <f>STANDARDIZE('DATA-Match'!W33,'DATA-Match'!W$79,'DATA-Match'!W$80)</f>
        <v>-0.15979359620544023</v>
      </c>
      <c r="X33" s="2">
        <f>STANDARDIZE('DATA-Match'!X33,'DATA-Match'!X$79,'DATA-Match'!X$80)</f>
        <v>0.34202365191861039</v>
      </c>
      <c r="Z33">
        <v>1985</v>
      </c>
      <c r="AA33" s="2">
        <f>STANDARDIZE('DATA-Match'!AA33,'DATA-Match'!AA$79,'DATA-Match'!AA$80)</f>
        <v>1.0746882156619701</v>
      </c>
      <c r="AB33" s="2">
        <f>STANDARDIZE('DATA-Match'!AB33,'DATA-Match'!AB$79,'DATA-Match'!AB$80)</f>
        <v>-0.44324328932560586</v>
      </c>
      <c r="AC33" s="2">
        <f>STANDARDIZE('DATA-Match'!AC33,'DATA-Match'!AC$79,'DATA-Match'!AC$80)</f>
        <v>0.78979351407167053</v>
      </c>
    </row>
    <row r="34" spans="1:29" x14ac:dyDescent="0.3">
      <c r="A34">
        <v>1984</v>
      </c>
      <c r="B34" s="2">
        <f>STANDARDIZE('DATA-Match'!B34,'DATA-Match'!B$79,'DATA-Match'!B$80)</f>
        <v>2.770354942163932</v>
      </c>
      <c r="C34" s="2">
        <f>STANDARDIZE('DATA-Match'!C34,'DATA-Match'!C$79,'DATA-Match'!C$80)</f>
        <v>1.4227698204221026</v>
      </c>
      <c r="D34" s="2">
        <f>STANDARDIZE('DATA-Match'!D34,'DATA-Match'!D$79,'DATA-Match'!D$80)</f>
        <v>4.5401236577946635</v>
      </c>
      <c r="E34" s="2"/>
      <c r="F34">
        <v>1984</v>
      </c>
      <c r="G34" s="2">
        <f>STANDARDIZE('DATA-Match'!G34,'DATA-Match'!G$79,'DATA-Match'!G$80)</f>
        <v>1.3387590785637262</v>
      </c>
      <c r="H34" s="2">
        <f>STANDARDIZE('DATA-Match'!H34,'DATA-Match'!H$79,'DATA-Match'!H$80)</f>
        <v>-0.6752055411554363</v>
      </c>
      <c r="I34" s="2">
        <f>STANDARDIZE('DATA-Match'!I34,'DATA-Match'!I$79,'DATA-Match'!I$80)</f>
        <v>-0.13232817975916586</v>
      </c>
      <c r="K34">
        <v>1984</v>
      </c>
      <c r="L34" s="2">
        <f>STANDARDIZE('DATA-Match'!L34,'DATA-Match'!L$79,'DATA-Match'!L$80)</f>
        <v>-0.48264294519493112</v>
      </c>
      <c r="M34" s="2">
        <f>STANDARDIZE('DATA-Match'!M34,'DATA-Match'!M$79,'DATA-Match'!M$80)</f>
        <v>-1.2267965516493655</v>
      </c>
      <c r="N34" s="2">
        <f>STANDARDIZE('DATA-Match'!N34,'DATA-Match'!N$79,'DATA-Match'!N$80)</f>
        <v>-1.0001168290393856</v>
      </c>
      <c r="P34">
        <v>1984</v>
      </c>
      <c r="Q34" s="2">
        <f>STANDARDIZE('DATA-Match'!Q34,'DATA-Match'!Q$79,'DATA-Match'!Q$80)</f>
        <v>-0.18840466426234526</v>
      </c>
      <c r="R34" s="2">
        <f>STANDARDIZE('DATA-Match'!R34,'DATA-Match'!R$79,'DATA-Match'!R$80)</f>
        <v>0.66157053378112118</v>
      </c>
      <c r="S34" s="2">
        <f>STANDARDIZE('DATA-Match'!S34,'DATA-Match'!S$79,'DATA-Match'!S$80)</f>
        <v>0.45269171160426402</v>
      </c>
      <c r="U34">
        <v>1984</v>
      </c>
      <c r="V34" s="2">
        <f>STANDARDIZE('DATA-Match'!V34,'DATA-Match'!V$79,'DATA-Match'!V$80)</f>
        <v>-0.64329241291370642</v>
      </c>
      <c r="W34" s="2">
        <f>STANDARDIZE('DATA-Match'!W34,'DATA-Match'!W$79,'DATA-Match'!W$80)</f>
        <v>-0.9163660381515657</v>
      </c>
      <c r="X34" s="2">
        <f>STANDARDIZE('DATA-Match'!X34,'DATA-Match'!X$79,'DATA-Match'!X$80)</f>
        <v>-1.2388067816872279</v>
      </c>
      <c r="Z34">
        <v>1984</v>
      </c>
      <c r="AA34" s="2">
        <f>STANDARDIZE('DATA-Match'!AA34,'DATA-Match'!AA$79,'DATA-Match'!AA$80)</f>
        <v>-0.3409496826003971</v>
      </c>
      <c r="AB34" s="2">
        <f>STANDARDIZE('DATA-Match'!AB34,'DATA-Match'!AB$79,'DATA-Match'!AB$80)</f>
        <v>-0.76404118875482152</v>
      </c>
      <c r="AC34" s="2">
        <f>STANDARDIZE('DATA-Match'!AC34,'DATA-Match'!AC$79,'DATA-Match'!AC$80)</f>
        <v>-0.73533023280374654</v>
      </c>
    </row>
    <row r="35" spans="1:29" x14ac:dyDescent="0.3">
      <c r="A35">
        <v>1983</v>
      </c>
      <c r="B35" s="2">
        <f>STANDARDIZE('DATA-Match'!B35,'DATA-Match'!B$79,'DATA-Match'!B$80)</f>
        <v>1.9201612894322972</v>
      </c>
      <c r="C35" s="2">
        <f>STANDARDIZE('DATA-Match'!C35,'DATA-Match'!C$79,'DATA-Match'!C$80)</f>
        <v>-0.5788850189998247</v>
      </c>
      <c r="D35" s="2">
        <f>STANDARDIZE('DATA-Match'!D35,'DATA-Match'!D$79,'DATA-Match'!D$80)</f>
        <v>1.2375688791606096</v>
      </c>
      <c r="E35" s="2"/>
      <c r="F35">
        <v>1983</v>
      </c>
      <c r="G35" s="2">
        <f>STANDARDIZE('DATA-Match'!G35,'DATA-Match'!G$79,'DATA-Match'!G$80)</f>
        <v>1.3772911956454781</v>
      </c>
      <c r="H35" s="2">
        <f>STANDARDIZE('DATA-Match'!H35,'DATA-Match'!H$79,'DATA-Match'!H$80)</f>
        <v>-1.3293001458905533</v>
      </c>
      <c r="I35" s="2">
        <f>STANDARDIZE('DATA-Match'!I35,'DATA-Match'!I$79,'DATA-Match'!I$80)</f>
        <v>-0.89657502048836046</v>
      </c>
      <c r="K35">
        <v>1983</v>
      </c>
      <c r="L35" s="2">
        <f>STANDARDIZE('DATA-Match'!L35,'DATA-Match'!L$79,'DATA-Match'!L$80)</f>
        <v>0.30373266581404773</v>
      </c>
      <c r="M35" s="2">
        <f>STANDARDIZE('DATA-Match'!M35,'DATA-Match'!M$79,'DATA-Match'!M$80)</f>
        <v>-0.7423360670931729</v>
      </c>
      <c r="N35" s="2">
        <f>STANDARDIZE('DATA-Match'!N35,'DATA-Match'!N$79,'DATA-Match'!N$80)</f>
        <v>1.4583700142504506E-2</v>
      </c>
      <c r="P35">
        <v>1983</v>
      </c>
      <c r="Q35" s="2">
        <f>STANDARDIZE('DATA-Match'!Q35,'DATA-Match'!Q$79,'DATA-Match'!Q$80)</f>
        <v>-1.0390930891112333</v>
      </c>
      <c r="R35" s="2">
        <f>STANDARDIZE('DATA-Match'!R35,'DATA-Match'!R$79,'DATA-Match'!R$80)</f>
        <v>1.915851091809736</v>
      </c>
      <c r="S35" s="2">
        <f>STANDARDIZE('DATA-Match'!S35,'DATA-Match'!S$79,'DATA-Match'!S$80)</f>
        <v>0.73621431342797805</v>
      </c>
      <c r="U35">
        <v>1983</v>
      </c>
      <c r="V35" s="2">
        <f>STANDARDIZE('DATA-Match'!V35,'DATA-Match'!V$79,'DATA-Match'!V$80)</f>
        <v>-1.0301283238132106</v>
      </c>
      <c r="W35" s="2">
        <f>STANDARDIZE('DATA-Match'!W35,'DATA-Match'!W$79,'DATA-Match'!W$80)</f>
        <v>-0.67993715004342015</v>
      </c>
      <c r="X35" s="2">
        <f>STANDARDIZE('DATA-Match'!X35,'DATA-Match'!X$79,'DATA-Match'!X$80)</f>
        <v>-1.393727172405276</v>
      </c>
      <c r="Z35">
        <v>1983</v>
      </c>
      <c r="AA35" s="2">
        <f>STANDARDIZE('DATA-Match'!AA35,'DATA-Match'!AA$79,'DATA-Match'!AA$80)</f>
        <v>-0.47650040946862554</v>
      </c>
      <c r="AB35" s="2">
        <f>STANDARDIZE('DATA-Match'!AB35,'DATA-Match'!AB$79,'DATA-Match'!AB$80)</f>
        <v>-0.44828648049092706</v>
      </c>
      <c r="AC35" s="2">
        <f>STANDARDIZE('DATA-Match'!AC35,'DATA-Match'!AC$79,'DATA-Match'!AC$80)</f>
        <v>-0.56980294996261494</v>
      </c>
    </row>
    <row r="36" spans="1:29" x14ac:dyDescent="0.3">
      <c r="A36">
        <v>1982</v>
      </c>
      <c r="B36" s="2">
        <f>STANDARDIZE('DATA-Match'!B36,'DATA-Match'!B$79,'DATA-Match'!B$80)</f>
        <v>1.7615079592126992</v>
      </c>
      <c r="C36" s="2">
        <f>STANDARDIZE('DATA-Match'!C36,'DATA-Match'!C$79,'DATA-Match'!C$80)</f>
        <v>-0.8143738236376985</v>
      </c>
      <c r="D36" s="2">
        <f>STANDARDIZE('DATA-Match'!D36,'DATA-Match'!D$79,'DATA-Match'!D$80)</f>
        <v>0.85776650062563109</v>
      </c>
      <c r="E36" s="2"/>
      <c r="F36">
        <v>1982</v>
      </c>
      <c r="G36" s="2">
        <f>STANDARDIZE('DATA-Match'!G36,'DATA-Match'!G$79,'DATA-Match'!G$80)</f>
        <v>1.3151120679156465</v>
      </c>
      <c r="H36" s="2">
        <f>STANDARDIZE('DATA-Match'!H36,'DATA-Match'!H$79,'DATA-Match'!H$80)</f>
        <v>-1.4165127598552356</v>
      </c>
      <c r="I36" s="2">
        <f>STANDARDIZE('DATA-Match'!I36,'DATA-Match'!I$79,'DATA-Match'!I$80)</f>
        <v>-1.0190205326117534</v>
      </c>
      <c r="K36">
        <v>1982</v>
      </c>
      <c r="L36" s="2">
        <f>STANDARDIZE('DATA-Match'!L36,'DATA-Match'!L$79,'DATA-Match'!L$80)</f>
        <v>6.9192723704561199E-2</v>
      </c>
      <c r="M36" s="2">
        <f>STANDARDIZE('DATA-Match'!M36,'DATA-Match'!M$79,'DATA-Match'!M$80)</f>
        <v>-0.25787558253692444</v>
      </c>
      <c r="N36" s="2">
        <f>STANDARDIZE('DATA-Match'!N36,'DATA-Match'!N$79,'DATA-Match'!N$80)</f>
        <v>3.9751340296654877E-2</v>
      </c>
      <c r="P36">
        <v>1982</v>
      </c>
      <c r="Q36" s="2">
        <f>STANDARDIZE('DATA-Match'!Q36,'DATA-Match'!Q$79,'DATA-Match'!Q$80)</f>
        <v>-1.077448162369923</v>
      </c>
      <c r="R36" s="2">
        <f>STANDARDIZE('DATA-Match'!R36,'DATA-Match'!R$79,'DATA-Match'!R$80)</f>
        <v>-0.2791781079095545</v>
      </c>
      <c r="S36" s="2">
        <f>STANDARDIZE('DATA-Match'!S36,'DATA-Match'!S$79,'DATA-Match'!S$80)</f>
        <v>-0.82311292531664848</v>
      </c>
      <c r="U36">
        <v>1982</v>
      </c>
      <c r="V36" s="2">
        <f>STANDARDIZE('DATA-Match'!V36,'DATA-Match'!V$79,'DATA-Match'!V$80)</f>
        <v>-0.45681602162231666</v>
      </c>
      <c r="W36" s="2">
        <f>STANDARDIZE('DATA-Match'!W36,'DATA-Match'!W$79,'DATA-Match'!W$80)</f>
        <v>-0.90060411227766946</v>
      </c>
      <c r="X36" s="2">
        <f>STANDARDIZE('DATA-Match'!X36,'DATA-Match'!X$79,'DATA-Match'!X$80)</f>
        <v>-1.0490650303381015</v>
      </c>
      <c r="Z36">
        <v>1982</v>
      </c>
      <c r="AA36" s="2">
        <f>STANDARDIZE('DATA-Match'!AA36,'DATA-Match'!AA$79,'DATA-Match'!AA$80)</f>
        <v>-0.37063036326840842</v>
      </c>
      <c r="AB36" s="2">
        <f>STANDARDIZE('DATA-Match'!AB36,'DATA-Match'!AB$79,'DATA-Match'!AB$80)</f>
        <v>-1.2854765904375989</v>
      </c>
      <c r="AC36" s="2">
        <f>STANDARDIZE('DATA-Match'!AC36,'DATA-Match'!AC$79,'DATA-Match'!AC$80)</f>
        <v>-1.2638542169062337</v>
      </c>
    </row>
    <row r="37" spans="1:29" x14ac:dyDescent="0.3">
      <c r="B37" s="2"/>
      <c r="C37" s="2"/>
      <c r="D37" s="2"/>
      <c r="E37" s="2"/>
      <c r="K37">
        <v>1981</v>
      </c>
      <c r="L37" s="2">
        <f>STANDARDIZE('DATA-Match'!L37,'DATA-Match'!L$79,'DATA-Match'!L$80)</f>
        <v>1.3836913519796181</v>
      </c>
      <c r="M37" s="2">
        <f>STANDARDIZE('DATA-Match'!M37,'DATA-Match'!M$79,'DATA-Match'!M$80)</f>
        <v>1.3561179060983797</v>
      </c>
      <c r="N37" s="2">
        <f>STANDARDIZE('DATA-Match'!N37,'DATA-Match'!N$79,'DATA-Match'!N$80)</f>
        <v>2.3405147658433809</v>
      </c>
      <c r="P37">
        <v>1981</v>
      </c>
      <c r="Q37" s="2">
        <f>STANDARDIZE('DATA-Match'!Q37,'DATA-Match'!Q$79,'DATA-Match'!Q$80)</f>
        <v>-0.93229227548522442</v>
      </c>
      <c r="R37" s="2">
        <f>STANDARDIZE('DATA-Match'!R37,'DATA-Match'!R$79,'DATA-Match'!R$80)</f>
        <v>1.2887362949082686</v>
      </c>
      <c r="S37" s="2">
        <f>STANDARDIZE('DATA-Match'!S37,'DATA-Match'!S$79,'DATA-Match'!S$80)</f>
        <v>0.21527620309935303</v>
      </c>
      <c r="U37">
        <v>1981</v>
      </c>
      <c r="V37" s="2">
        <f>STANDARDIZE('DATA-Match'!V37,'DATA-Match'!V$79,'DATA-Match'!V$80)</f>
        <v>0.2090716507543865</v>
      </c>
      <c r="W37" s="2">
        <f>STANDARDIZE('DATA-Match'!W37,'DATA-Match'!W$79,'DATA-Match'!W$80)</f>
        <v>-0.5696036689262769</v>
      </c>
      <c r="X37" s="2">
        <f>STANDARDIZE('DATA-Match'!X37,'DATA-Match'!X$79,'DATA-Match'!X$80)</f>
        <v>-0.27348651510111371</v>
      </c>
      <c r="Z37">
        <v>1981</v>
      </c>
      <c r="AA37" s="2">
        <f>STANDARDIZE('DATA-Match'!AA37,'DATA-Match'!AA$79,'DATA-Match'!AA$80)</f>
        <v>0.5035203355766894</v>
      </c>
      <c r="AB37" s="2">
        <f>STANDARDIZE('DATA-Match'!AB37,'DATA-Match'!AB$79,'DATA-Match'!AB$80)</f>
        <v>0.7512900265334852</v>
      </c>
      <c r="AC37" s="2">
        <f>STANDARDIZE('DATA-Match'!AC37,'DATA-Match'!AC$79,'DATA-Match'!AC$80)</f>
        <v>1.4113196373832855</v>
      </c>
    </row>
    <row r="38" spans="1:29" x14ac:dyDescent="0.3">
      <c r="K38">
        <v>1980</v>
      </c>
      <c r="L38" s="2">
        <f>STANDARDIZE('DATA-Match'!L38,'DATA-Match'!L$79,'DATA-Match'!L$80)</f>
        <v>0.82971615912647312</v>
      </c>
      <c r="M38" s="2">
        <f>STANDARDIZE('DATA-Match'!M38,'DATA-Match'!M$79,'DATA-Match'!M$80)</f>
        <v>6.4398239258866632E-2</v>
      </c>
      <c r="N38" s="2">
        <f>STANDARDIZE('DATA-Match'!N38,'DATA-Match'!N$79,'DATA-Match'!N$80)</f>
        <v>0.4892512799958515</v>
      </c>
      <c r="P38">
        <v>1980</v>
      </c>
      <c r="Q38" s="2">
        <f>STANDARDIZE('DATA-Match'!Q38,'DATA-Match'!Q$79,'DATA-Match'!Q$80)</f>
        <v>-1.394582450223391</v>
      </c>
      <c r="R38" s="2">
        <f>STANDARDIZE('DATA-Match'!R38,'DATA-Match'!R$79,'DATA-Match'!R$80)</f>
        <v>0.19119621293578787</v>
      </c>
      <c r="S38" s="2">
        <f>STANDARDIZE('DATA-Match'!S38,'DATA-Match'!S$79,'DATA-Match'!S$80)</f>
        <v>-0.69871993010604505</v>
      </c>
      <c r="U38">
        <v>1980</v>
      </c>
      <c r="V38" s="2">
        <f>STANDARDIZE('DATA-Match'!V38,'DATA-Match'!V$79,'DATA-Match'!V$80)</f>
        <v>1.756642839283421</v>
      </c>
      <c r="W38" s="2">
        <f>STANDARDIZE('DATA-Match'!W38,'DATA-Match'!W$79,'DATA-Match'!W$80)</f>
        <v>-1.1370330003858335</v>
      </c>
      <c r="X38" s="2">
        <f>STANDARDIZE('DATA-Match'!X38,'DATA-Match'!X$79,'DATA-Match'!X$80)</f>
        <v>0.3530266422448311</v>
      </c>
      <c r="Z38">
        <v>1980</v>
      </c>
      <c r="AA38" s="2">
        <f>STANDARDIZE('DATA-Match'!AA38,'DATA-Match'!AA$79,'DATA-Match'!AA$80)</f>
        <v>0.80072753824636</v>
      </c>
      <c r="AB38" s="2">
        <f>STANDARDIZE('DATA-Match'!AB38,'DATA-Match'!AB$79,'DATA-Match'!AB$80)</f>
        <v>-0.79584555593479678</v>
      </c>
      <c r="AC38" s="2">
        <f>STANDARDIZE('DATA-Match'!AC38,'DATA-Match'!AC$79,'DATA-Match'!AC$80)</f>
        <v>-0.22209315347212966</v>
      </c>
    </row>
    <row r="39" spans="1:29" x14ac:dyDescent="0.3">
      <c r="K39">
        <v>1979</v>
      </c>
      <c r="L39" s="2">
        <f>STANDARDIZE('DATA-Match'!L39,'DATA-Match'!L$79,'DATA-Match'!L$80)</f>
        <v>0.59026703726431617</v>
      </c>
      <c r="M39" s="2">
        <f>STANDARDIZE('DATA-Match'!M39,'DATA-Match'!M$79,'DATA-Match'!M$80)</f>
        <v>0.70999563471301064</v>
      </c>
      <c r="N39" s="2">
        <f>STANDARDIZE('DATA-Match'!N39,'DATA-Match'!N$79,'DATA-Match'!N$80)</f>
        <v>0.81531419567532937</v>
      </c>
      <c r="P39">
        <v>1979</v>
      </c>
      <c r="Q39" s="2">
        <f>STANDARDIZE('DATA-Match'!Q39,'DATA-Match'!Q$79,'DATA-Match'!Q$80)</f>
        <v>1.2579670091575563</v>
      </c>
      <c r="R39" s="2">
        <f>STANDARDIZE('DATA-Match'!R39,'DATA-Match'!R$79,'DATA-Match'!R$80)</f>
        <v>-0.74939953607789389</v>
      </c>
      <c r="S39" s="2">
        <f>STANDARDIZE('DATA-Match'!S39,'DATA-Match'!S$79,'DATA-Match'!S$80)</f>
        <v>7.1646068941184984E-3</v>
      </c>
      <c r="U39">
        <v>1979</v>
      </c>
      <c r="V39" s="2">
        <f>STANDARDIZE('DATA-Match'!V39,'DATA-Match'!V$79,'DATA-Match'!V$80)</f>
        <v>1.9086170240158689</v>
      </c>
      <c r="W39" s="2">
        <f>STANDARDIZE('DATA-Match'!W39,'DATA-Match'!W$79,'DATA-Match'!W$80)</f>
        <v>-1.1527949262597113</v>
      </c>
      <c r="X39" s="2">
        <f>STANDARDIZE('DATA-Match'!X39,'DATA-Match'!X$79,'DATA-Match'!X$80)</f>
        <v>0.40779030358031632</v>
      </c>
      <c r="Z39">
        <v>1979</v>
      </c>
      <c r="AA39" s="2">
        <f>STANDARDIZE('DATA-Match'!AA39,'DATA-Match'!AA$79,'DATA-Match'!AA$80)</f>
        <v>2.2250632477956027</v>
      </c>
      <c r="AB39" s="2">
        <f>STANDARDIZE('DATA-Match'!AB39,'DATA-Match'!AB$79,'DATA-Match'!AB$80)</f>
        <v>-0.97124672583258487</v>
      </c>
      <c r="AC39" s="2">
        <f>STANDARDIZE('DATA-Match'!AC39,'DATA-Match'!AC$79,'DATA-Match'!AC$80)</f>
        <v>0.50300546394338252</v>
      </c>
    </row>
    <row r="40" spans="1:29" x14ac:dyDescent="0.3">
      <c r="K40">
        <v>1978</v>
      </c>
      <c r="L40" s="2">
        <f>STANDARDIZE('DATA-Match'!L40,'DATA-Match'!L$79,'DATA-Match'!L$80)</f>
        <v>1.8105846126180152</v>
      </c>
      <c r="M40" s="2">
        <f>STANDARDIZE('DATA-Match'!M40,'DATA-Match'!M$79,'DATA-Match'!M$80)</f>
        <v>0.38745937495154181</v>
      </c>
      <c r="N40" s="2">
        <f>STANDARDIZE('DATA-Match'!N40,'DATA-Match'!N$79,'DATA-Match'!N$80)</f>
        <v>1.6478801419133464</v>
      </c>
      <c r="P40">
        <v>1978</v>
      </c>
      <c r="Q40" s="2">
        <f>STANDARDIZE('DATA-Match'!Q40,'DATA-Match'!Q$79,'DATA-Match'!Q$80)</f>
        <v>-1.7173891077721732</v>
      </c>
      <c r="R40" s="2">
        <f>STANDARDIZE('DATA-Match'!R40,'DATA-Match'!R$79,'DATA-Match'!R$80)</f>
        <v>-0.43701431481760838</v>
      </c>
      <c r="S40" s="2">
        <f>STANDARDIZE('DATA-Match'!S40,'DATA-Match'!S$79,'DATA-Match'!S$80)</f>
        <v>-1.2967291338062661</v>
      </c>
      <c r="U40">
        <v>1978</v>
      </c>
      <c r="V40" s="2">
        <f>STANDARDIZE('DATA-Match'!V40,'DATA-Match'!V$79,'DATA-Match'!V$80)</f>
        <v>1.0551300767767982</v>
      </c>
      <c r="W40" s="2">
        <f>STANDARDIZE('DATA-Match'!W40,'DATA-Match'!W$79,'DATA-Match'!W$80)</f>
        <v>-1.0424614451425867</v>
      </c>
      <c r="X40" s="2">
        <f>STANDARDIZE('DATA-Match'!X40,'DATA-Match'!X$79,'DATA-Match'!X$80)</f>
        <v>-7.5159928875419585E-2</v>
      </c>
      <c r="Z40">
        <v>1978</v>
      </c>
      <c r="AA40" s="2">
        <f>STANDARDIZE('DATA-Match'!AA40,'DATA-Match'!AA$79,'DATA-Match'!AA$80)</f>
        <v>0.84125398226569414</v>
      </c>
      <c r="AB40" s="2">
        <f>STANDARDIZE('DATA-Match'!AB40,'DATA-Match'!AB$79,'DATA-Match'!AB$80)</f>
        <v>-0.91461355689642188</v>
      </c>
      <c r="AC40" s="2">
        <f>STANDARDIZE('DATA-Match'!AC40,'DATA-Match'!AC$79,'DATA-Match'!AC$80)</f>
        <v>2.0139974213885053E-2</v>
      </c>
    </row>
    <row r="41" spans="1:29" x14ac:dyDescent="0.3">
      <c r="K41">
        <v>1977</v>
      </c>
      <c r="L41" s="2">
        <f>STANDARDIZE('DATA-Match'!L41,'DATA-Match'!L$79,'DATA-Match'!L$80)</f>
        <v>1.274765787060141</v>
      </c>
      <c r="M41" s="2">
        <f>STANDARDIZE('DATA-Match'!M41,'DATA-Match'!M$79,'DATA-Match'!M$80)</f>
        <v>-0.90504760578481802</v>
      </c>
      <c r="N41" s="2">
        <f>STANDARDIZE('DATA-Match'!N41,'DATA-Match'!N$79,'DATA-Match'!N$80)</f>
        <v>0.13891894102559008</v>
      </c>
      <c r="P41">
        <v>1977</v>
      </c>
      <c r="Q41" s="2">
        <f>STANDARDIZE('DATA-Match'!Q41,'DATA-Match'!Q$79,'DATA-Match'!Q$80)</f>
        <v>-0.79290305202236433</v>
      </c>
      <c r="R41" s="2">
        <f>STANDARDIZE('DATA-Match'!R41,'DATA-Match'!R$79,'DATA-Match'!R$80)</f>
        <v>-0.12366077326954375</v>
      </c>
      <c r="S41" s="2">
        <f>STANDARDIZE('DATA-Match'!S41,'DATA-Match'!S$79,'DATA-Match'!S$80)</f>
        <v>-0.56912247625675272</v>
      </c>
      <c r="U41">
        <v>1977</v>
      </c>
      <c r="V41" s="2">
        <f>STANDARDIZE('DATA-Match'!V41,'DATA-Match'!V$79,'DATA-Match'!V$80)</f>
        <v>1.7875832870269879</v>
      </c>
      <c r="W41" s="2">
        <f>STANDARDIZE('DATA-Match'!W41,'DATA-Match'!W$79,'DATA-Match'!W$80)</f>
        <v>-0.5538417430523993</v>
      </c>
      <c r="X41" s="2">
        <f>STANDARDIZE('DATA-Match'!X41,'DATA-Match'!X$79,'DATA-Match'!X$80)</f>
        <v>1.0229716330745999</v>
      </c>
      <c r="Z41">
        <v>1977</v>
      </c>
      <c r="AA41" s="2">
        <f>STANDARDIZE('DATA-Match'!AA41,'DATA-Match'!AA$79,'DATA-Match'!AA$80)</f>
        <v>1.4462599275832029</v>
      </c>
      <c r="AB41" s="2">
        <f>STANDARDIZE('DATA-Match'!AB41,'DATA-Match'!AB$79,'DATA-Match'!AB$80)</f>
        <v>-1.1639271931366584</v>
      </c>
      <c r="AC41" s="2">
        <f>STANDARDIZE('DATA-Match'!AC41,'DATA-Match'!AC$79,'DATA-Match'!AC$80)</f>
        <v>-5.8562924446151861E-2</v>
      </c>
    </row>
    <row r="42" spans="1:29" x14ac:dyDescent="0.3">
      <c r="K42">
        <v>1976</v>
      </c>
      <c r="L42" s="2">
        <f>STANDARDIZE('DATA-Match'!L42,'DATA-Match'!L$79,'DATA-Match'!L$80)</f>
        <v>0.83453070826245979</v>
      </c>
      <c r="M42" s="2">
        <f>STANDARDIZE('DATA-Match'!M42,'DATA-Match'!M$79,'DATA-Match'!M$80)</f>
        <v>0.22448539829429354</v>
      </c>
      <c r="N42" s="2">
        <f>STANDARDIZE('DATA-Match'!N42,'DATA-Match'!N$79,'DATA-Match'!N$80)</f>
        <v>0.74444930071105109</v>
      </c>
      <c r="P42">
        <v>1976</v>
      </c>
      <c r="Q42" s="2">
        <f>STANDARDIZE('DATA-Match'!Q42,'DATA-Match'!Q$79,'DATA-Match'!Q$80)</f>
        <v>-1.667898563956649</v>
      </c>
      <c r="R42" s="2">
        <f>STANDARDIZE('DATA-Match'!R42,'DATA-Match'!R$79,'DATA-Match'!R$80)</f>
        <v>-0.90715929664743267</v>
      </c>
      <c r="S42" s="2">
        <f>STANDARDIZE('DATA-Match'!S42,'DATA-Match'!S$79,'DATA-Match'!S$80)</f>
        <v>-1.5569174211927517</v>
      </c>
      <c r="U42">
        <v>1976</v>
      </c>
      <c r="V42" s="2">
        <f>STANDARDIZE('DATA-Match'!V42,'DATA-Match'!V$79,'DATA-Match'!V$80)</f>
        <v>1.4928118454499917</v>
      </c>
      <c r="W42" s="2">
        <f>STANDARDIZE('DATA-Match'!W42,'DATA-Match'!W$79,'DATA-Match'!W$80)</f>
        <v>-1.5153192213588778</v>
      </c>
      <c r="X42" s="2">
        <f>STANDARDIZE('DATA-Match'!X42,'DATA-Match'!X$79,'DATA-Match'!X$80)</f>
        <v>-0.29526125108097234</v>
      </c>
      <c r="Z42">
        <v>1976</v>
      </c>
      <c r="AA42" s="2">
        <f>STANDARDIZE('DATA-Match'!AA42,'DATA-Match'!AA$79,'DATA-Match'!AA$80)</f>
        <v>0.49402244213426255</v>
      </c>
      <c r="AB42" s="2">
        <f>STANDARDIZE('DATA-Match'!AB42,'DATA-Match'!AB$79,'DATA-Match'!AB$80)</f>
        <v>-1.4941220689657844</v>
      </c>
      <c r="AC42" s="2">
        <f>STANDARDIZE('DATA-Match'!AC42,'DATA-Match'!AC$79,'DATA-Match'!AC$80)</f>
        <v>-0.91875977878098192</v>
      </c>
    </row>
    <row r="43" spans="1:29" x14ac:dyDescent="0.3">
      <c r="K43">
        <v>1975</v>
      </c>
      <c r="L43" s="2">
        <f>STANDARDIZE('DATA-Match'!L43,'DATA-Match'!L$79,'DATA-Match'!L$80)</f>
        <v>1.1527358638995313</v>
      </c>
      <c r="M43" s="2">
        <f>STANDARDIZE('DATA-Match'!M43,'DATA-Match'!M$79,'DATA-Match'!M$80)</f>
        <v>-9.8313299432778473E-2</v>
      </c>
      <c r="N43" s="2">
        <f>STANDARDIZE('DATA-Match'!N43,'DATA-Match'!N$79,'DATA-Match'!N$80)</f>
        <v>0.79876924108295744</v>
      </c>
      <c r="P43">
        <v>1975</v>
      </c>
      <c r="Q43" s="2">
        <f>STANDARDIZE('DATA-Match'!Q43,'DATA-Match'!Q$79,'DATA-Match'!Q$80)</f>
        <v>-1.0264065093188059</v>
      </c>
      <c r="R43" s="2">
        <f>STANDARDIZE('DATA-Match'!R43,'DATA-Match'!R$79,'DATA-Match'!R$80)</f>
        <v>0.34656065489877752</v>
      </c>
      <c r="S43" s="2">
        <f>STANDARDIZE('DATA-Match'!S43,'DATA-Match'!S$79,'DATA-Match'!S$80)</f>
        <v>-0.33309793166346219</v>
      </c>
      <c r="U43">
        <v>1975</v>
      </c>
      <c r="V43" s="2">
        <f>STANDARDIZE('DATA-Match'!V43,'DATA-Match'!V$79,'DATA-Match'!V$80)</f>
        <v>0.87898405896410337</v>
      </c>
      <c r="W43" s="2">
        <f>STANDARDIZE('DATA-Match'!W43,'DATA-Match'!W$79,'DATA-Match'!W$80)</f>
        <v>-0.6641752241695239</v>
      </c>
      <c r="X43" s="2">
        <f>STANDARDIZE('DATA-Match'!X43,'DATA-Match'!X$79,'DATA-Match'!X$80)</f>
        <v>0.17439821188278432</v>
      </c>
      <c r="Z43">
        <v>1975</v>
      </c>
      <c r="AA43" s="2">
        <f>STANDARDIZE('DATA-Match'!AA43,'DATA-Match'!AA$79,'DATA-Match'!AA$80)</f>
        <v>0.69746690543034795</v>
      </c>
      <c r="AB43" s="2">
        <f>STANDARDIZE('DATA-Match'!AB43,'DATA-Match'!AB$79,'DATA-Match'!AB$80)</f>
        <v>-0.55272638480239988</v>
      </c>
      <c r="AC43" s="2">
        <f>STANDARDIZE('DATA-Match'!AC43,'DATA-Match'!AC$79,'DATA-Match'!AC$80)</f>
        <v>0.15267308092875154</v>
      </c>
    </row>
    <row r="44" spans="1:29" x14ac:dyDescent="0.3">
      <c r="K44">
        <v>1974</v>
      </c>
      <c r="L44" s="2">
        <f>STANDARDIZE('DATA-Match'!L44,'DATA-Match'!L$79,'DATA-Match'!L$80)</f>
        <v>2.3699627492739301</v>
      </c>
      <c r="M44" s="2">
        <f>STANDARDIZE('DATA-Match'!M44,'DATA-Match'!M$79,'DATA-Match'!M$80)</f>
        <v>-9.8313299432778473E-2</v>
      </c>
      <c r="N44" s="2">
        <f>STANDARDIZE('DATA-Match'!N44,'DATA-Match'!N$79,'DATA-Match'!N$80)</f>
        <v>2.0607563835376079</v>
      </c>
      <c r="P44">
        <v>1974</v>
      </c>
      <c r="Q44" s="2">
        <f>STANDARDIZE('DATA-Match'!Q44,'DATA-Match'!Q$79,'DATA-Match'!Q$80)</f>
        <v>-1.3299098230776834</v>
      </c>
      <c r="R44" s="2">
        <f>STANDARDIZE('DATA-Match'!R44,'DATA-Match'!R$79,'DATA-Match'!R$80)</f>
        <v>-0.75067364171966089</v>
      </c>
      <c r="S44" s="2">
        <f>STANDARDIZE('DATA-Match'!S44,'DATA-Match'!S$79,'DATA-Match'!S$80)</f>
        <v>-1.2810244642521129</v>
      </c>
      <c r="U44">
        <v>1974</v>
      </c>
      <c r="V44" s="2">
        <f>STANDARDIZE('DATA-Match'!V44,'DATA-Match'!V$79,'DATA-Match'!V$80)</f>
        <v>1.1124183005198656</v>
      </c>
      <c r="W44" s="2">
        <f>STANDARDIZE('DATA-Match'!W44,'DATA-Match'!W$79,'DATA-Match'!W$80)</f>
        <v>-1.6414146283499174</v>
      </c>
      <c r="X44" s="2">
        <f>STANDARDIZE('DATA-Match'!X44,'DATA-Match'!X$79,'DATA-Match'!X$80)</f>
        <v>-0.6822339020064434</v>
      </c>
      <c r="Z44">
        <v>1974</v>
      </c>
      <c r="AA44" s="2">
        <f>STANDARDIZE('DATA-Match'!AA44,'DATA-Match'!AA$79,'DATA-Match'!AA$80)</f>
        <v>1.4563858701784158</v>
      </c>
      <c r="AB44" s="2">
        <f>STANDARDIZE('DATA-Match'!AB44,'DATA-Match'!AB$79,'DATA-Match'!AB$80)</f>
        <v>-1.6429929968553514</v>
      </c>
      <c r="AC44" s="2">
        <f>STANDARDIZE('DATA-Match'!AC44,'DATA-Match'!AC$79,'DATA-Match'!AC$80)</f>
        <v>2.8317293782750764E-2</v>
      </c>
    </row>
    <row r="45" spans="1:29" x14ac:dyDescent="0.3">
      <c r="K45">
        <v>1973</v>
      </c>
      <c r="L45" s="2">
        <f>STANDARDIZE('DATA-Match'!L45,'DATA-Match'!L$79,'DATA-Match'!L$80)</f>
        <v>2.9553401960972026</v>
      </c>
      <c r="M45" s="2">
        <f>STANDARDIZE('DATA-Match'!M45,'DATA-Match'!M$79,'DATA-Match'!M$80)</f>
        <v>-0.25971264829631446</v>
      </c>
      <c r="N45" s="2">
        <f>STANDARDIZE('DATA-Match'!N45,'DATA-Match'!N$79,'DATA-Match'!N$80)</f>
        <v>1.8477535752645629</v>
      </c>
      <c r="P45">
        <v>1973</v>
      </c>
      <c r="Q45" s="2">
        <f>STANDARDIZE('DATA-Match'!Q45,'DATA-Match'!Q$79,'DATA-Match'!Q$80)</f>
        <v>-0.65044084663800938</v>
      </c>
      <c r="R45" s="2">
        <f>STANDARDIZE('DATA-Match'!R45,'DATA-Match'!R$79,'DATA-Match'!R$80)</f>
        <v>0.18984566095549674</v>
      </c>
      <c r="S45" s="2">
        <f>STANDARDIZE('DATA-Match'!S45,'DATA-Match'!S$79,'DATA-Match'!S$80)</f>
        <v>-0.25359459601394041</v>
      </c>
      <c r="U45">
        <v>1973</v>
      </c>
      <c r="V45" s="2">
        <f>STANDARDIZE('DATA-Match'!V45,'DATA-Match'!V$79,'DATA-Match'!V$80)</f>
        <v>1.24978766670571</v>
      </c>
      <c r="W45" s="2">
        <f>STANDARDIZE('DATA-Match'!W45,'DATA-Match'!W$79,'DATA-Match'!W$80)</f>
        <v>-1.1685568521336076</v>
      </c>
      <c r="X45" s="2">
        <f>STANDARDIZE('DATA-Match'!X45,'DATA-Match'!X$79,'DATA-Match'!X$80)</f>
        <v>-2.1135791413866088E-2</v>
      </c>
      <c r="Z45">
        <v>1973</v>
      </c>
      <c r="AA45" s="2">
        <f>STANDARDIZE('DATA-Match'!AA45,'DATA-Match'!AA$79,'DATA-Match'!AA$80)</f>
        <v>2.2998696555923668</v>
      </c>
      <c r="AB45" s="2">
        <f>STANDARDIZE('DATA-Match'!AB45,'DATA-Match'!AB$79,'DATA-Match'!AB$80)</f>
        <v>-0.98063351396759235</v>
      </c>
      <c r="AC45" s="2">
        <f>STANDARDIZE('DATA-Match'!AC45,'DATA-Match'!AC$79,'DATA-Match'!AC$80)</f>
        <v>0.87240291709238615</v>
      </c>
    </row>
    <row r="46" spans="1:29" x14ac:dyDescent="0.3">
      <c r="K46">
        <v>1972</v>
      </c>
      <c r="L46" s="2">
        <f>STANDARDIZE('DATA-Match'!L46,'DATA-Match'!L$79,'DATA-Match'!L$80)</f>
        <v>0.86294911492427362</v>
      </c>
      <c r="M46" s="2">
        <f>STANDARDIZE('DATA-Match'!M46,'DATA-Match'!M$79,'DATA-Match'!M$80)</f>
        <v>-0.74391069488690387</v>
      </c>
      <c r="N46" s="2">
        <f>STANDARDIZE('DATA-Match'!N46,'DATA-Match'!N$79,'DATA-Match'!N$80)</f>
        <v>3.9171305342971204E-2</v>
      </c>
      <c r="P46">
        <v>1972</v>
      </c>
      <c r="Q46" s="2">
        <f>STANDARDIZE('DATA-Match'!Q46,'DATA-Match'!Q$79,'DATA-Match'!Q$80)</f>
        <v>-0.26242649785706107</v>
      </c>
      <c r="R46" s="2">
        <f>STANDARDIZE('DATA-Match'!R46,'DATA-Match'!R$79,'DATA-Match'!R$80)</f>
        <v>-0.43716720749460231</v>
      </c>
      <c r="S46" s="2">
        <f>STANDARDIZE('DATA-Match'!S46,'DATA-Match'!S$79,'DATA-Match'!S$80)</f>
        <v>-0.48391022324233396</v>
      </c>
      <c r="U46">
        <v>1972</v>
      </c>
      <c r="V46" s="2">
        <f>STANDARDIZE('DATA-Match'!V46,'DATA-Match'!V$79,'DATA-Match'!V$80)</f>
        <v>-0.94994362686599665</v>
      </c>
      <c r="W46" s="2">
        <f>STANDARDIZE('DATA-Match'!W46,'DATA-Match'!W$79,'DATA-Match'!W$80)</f>
        <v>-0.30165092907033875</v>
      </c>
      <c r="X46" s="2">
        <f>STANDARDIZE('DATA-Match'!X46,'DATA-Match'!X$79,'DATA-Match'!X$80)</f>
        <v>-1.0098439885185828</v>
      </c>
      <c r="Z46">
        <v>1972</v>
      </c>
      <c r="AA46" s="2">
        <f>STANDARDIZE('DATA-Match'!AA46,'DATA-Match'!AA$79,'DATA-Match'!AA$80)</f>
        <v>-0.14535198831884849</v>
      </c>
      <c r="AB46" s="2">
        <f>STANDARDIZE('DATA-Match'!AB46,'DATA-Match'!AB$79,'DATA-Match'!AB$80)</f>
        <v>-1.1172377708210577</v>
      </c>
      <c r="AC46" s="2">
        <f>STANDARDIZE('DATA-Match'!AC46,'DATA-Match'!AC$79,'DATA-Match'!AC$80)</f>
        <v>-1.0918894923879743</v>
      </c>
    </row>
    <row r="47" spans="1:29" x14ac:dyDescent="0.3">
      <c r="K47">
        <v>1971</v>
      </c>
      <c r="L47" s="2">
        <f>STANDARDIZE('DATA-Match'!L47,'DATA-Match'!L$79,'DATA-Match'!L$80)</f>
        <v>0.87790583353085627</v>
      </c>
      <c r="M47" s="2">
        <f>STANDARDIZE('DATA-Match'!M47,'DATA-Match'!M$79,'DATA-Match'!M$80)</f>
        <v>-9.8313299432778473E-2</v>
      </c>
      <c r="N47" s="2">
        <f>STANDARDIZE('DATA-Match'!N47,'DATA-Match'!N$79,'DATA-Match'!N$80)</f>
        <v>0.58285594855344425</v>
      </c>
      <c r="P47">
        <v>1971</v>
      </c>
      <c r="Q47" s="2">
        <f>STANDARDIZE('DATA-Match'!Q47,'DATA-Match'!Q$79,'DATA-Match'!Q$80)</f>
        <v>-0.32312923318408865</v>
      </c>
      <c r="R47" s="2">
        <f>STANDARDIZE('DATA-Match'!R47,'DATA-Match'!R$79,'DATA-Match'!R$80)</f>
        <v>-0.43724365383311742</v>
      </c>
      <c r="S47" s="2">
        <f>STANDARDIZE('DATA-Match'!S47,'DATA-Match'!S$79,'DATA-Match'!S$80)</f>
        <v>-0.43157897903305942</v>
      </c>
      <c r="U47">
        <v>1971</v>
      </c>
      <c r="V47" s="2">
        <f>STANDARDIZE('DATA-Match'!V47,'DATA-Match'!V$79,'DATA-Match'!V$80)</f>
        <v>-0.7257576660850189</v>
      </c>
      <c r="W47" s="2">
        <f>STANDARDIZE('DATA-Match'!W47,'DATA-Match'!W$79,'DATA-Match'!W$80)</f>
        <v>-6.5222040962211889E-2</v>
      </c>
      <c r="X47" s="2">
        <f>STANDARDIZE('DATA-Match'!X47,'DATA-Match'!X$79,'DATA-Match'!X$80)</f>
        <v>-0.69243388526840122</v>
      </c>
      <c r="Z47">
        <v>1971</v>
      </c>
      <c r="AA47" s="2">
        <f>STANDARDIZE('DATA-Match'!AA47,'DATA-Match'!AA$79,'DATA-Match'!AA$80)</f>
        <v>-3.6901801049906563E-2</v>
      </c>
      <c r="AB47" s="2">
        <f>STANDARDIZE('DATA-Match'!AB47,'DATA-Match'!AB$79,'DATA-Match'!AB$80)</f>
        <v>-0.66084425277147207</v>
      </c>
      <c r="AC47" s="2">
        <f>STANDARDIZE('DATA-Match'!AC47,'DATA-Match'!AC$79,'DATA-Match'!AC$80)</f>
        <v>-0.50231440777071379</v>
      </c>
    </row>
    <row r="48" spans="1:29" x14ac:dyDescent="0.3">
      <c r="K48">
        <v>1970</v>
      </c>
      <c r="L48" s="2">
        <f>STANDARDIZE('DATA-Match'!L48,'DATA-Match'!L$79,'DATA-Match'!L$80)</f>
        <v>0.94417368893210063</v>
      </c>
      <c r="M48" s="2">
        <f>STANDARDIZE('DATA-Match'!M48,'DATA-Match'!M$79,'DATA-Match'!M$80)</f>
        <v>0.8700827937484189</v>
      </c>
      <c r="N48" s="2">
        <f>STANDARDIZE('DATA-Match'!N48,'DATA-Match'!N$79,'DATA-Match'!N$80)</f>
        <v>1.2130479857287055</v>
      </c>
      <c r="P48">
        <v>1970</v>
      </c>
      <c r="Q48" s="2">
        <f>STANDARDIZE('DATA-Match'!Q48,'DATA-Match'!Q$79,'DATA-Match'!Q$80)</f>
        <v>1.7135393885788739</v>
      </c>
      <c r="R48" s="2">
        <f>STANDARDIZE('DATA-Match'!R48,'DATA-Match'!R$79,'DATA-Match'!R$80)</f>
        <v>0.3464077622217836</v>
      </c>
      <c r="S48" s="2">
        <f>STANDARDIZE('DATA-Match'!S48,'DATA-Match'!S$79,'DATA-Match'!S$80)</f>
        <v>1.4827612533535419</v>
      </c>
      <c r="U48">
        <v>1970</v>
      </c>
      <c r="V48" s="2">
        <f>STANDARDIZE('DATA-Match'!V48,'DATA-Match'!V$79,'DATA-Match'!V$80)</f>
        <v>-0.16768632459746632</v>
      </c>
      <c r="W48" s="2">
        <f>STANDARDIZE('DATA-Match'!W48,'DATA-Match'!W$79,'DATA-Match'!W$80)</f>
        <v>-1.1527949262597113</v>
      </c>
      <c r="X48" s="2">
        <f>STANDARDIZE('DATA-Match'!X48,'DATA-Match'!X$79,'DATA-Match'!X$80)</f>
        <v>-1.0713860517767246</v>
      </c>
      <c r="Z48">
        <v>1970</v>
      </c>
      <c r="AA48" s="2">
        <f>STANDARDIZE('DATA-Match'!AA48,'DATA-Match'!AA$79,'DATA-Match'!AA$80)</f>
        <v>1.4807923856485632</v>
      </c>
      <c r="AB48" s="2">
        <f>STANDARDIZE('DATA-Match'!AB48,'DATA-Match'!AB$79,'DATA-Match'!AB$80)</f>
        <v>-0.30421422540721188</v>
      </c>
      <c r="AC48" s="2">
        <f>STANDARDIZE('DATA-Match'!AC48,'DATA-Match'!AC$79,'DATA-Match'!AC$80)</f>
        <v>1.0150400411072646</v>
      </c>
    </row>
    <row r="49" spans="11:29" x14ac:dyDescent="0.3">
      <c r="K49">
        <v>1969</v>
      </c>
      <c r="L49" s="2">
        <f>STANDARDIZE('DATA-Match'!L49,'DATA-Match'!L$79,'DATA-Match'!L$80)</f>
        <v>0.36819988107029822</v>
      </c>
      <c r="M49" s="2">
        <f>STANDARDIZE('DATA-Match'!M49,'DATA-Match'!M$79,'DATA-Match'!M$80)</f>
        <v>-0.42111199715983183</v>
      </c>
      <c r="N49" s="2">
        <f>STANDARDIZE('DATA-Match'!N49,'DATA-Match'!N$79,'DATA-Match'!N$80)</f>
        <v>-2.2744555311738426E-2</v>
      </c>
      <c r="P49">
        <v>1969</v>
      </c>
      <c r="Q49" s="2">
        <f>STANDARDIZE('DATA-Match'!Q49,'DATA-Match'!Q$79,'DATA-Match'!Q$80)</f>
        <v>1.1477655273067227</v>
      </c>
      <c r="R49" s="2">
        <f>STANDARDIZE('DATA-Match'!R49,'DATA-Match'!R$79,'DATA-Match'!R$80)</f>
        <v>-1.0643329686217315</v>
      </c>
      <c r="S49" s="2">
        <f>STANDARDIZE('DATA-Match'!S49,'DATA-Match'!S$79,'DATA-Match'!S$80)</f>
        <v>-0.39894384452511433</v>
      </c>
      <c r="U49">
        <v>1969</v>
      </c>
      <c r="V49" s="2">
        <f>STANDARDIZE('DATA-Match'!V49,'DATA-Match'!V$79,'DATA-Match'!V$80)</f>
        <v>-0.71649094481256748</v>
      </c>
      <c r="W49" s="2">
        <f>STANDARDIZE('DATA-Match'!W49,'DATA-Match'!W$79,'DATA-Match'!W$80)</f>
        <v>-0.86908026052989551</v>
      </c>
      <c r="X49" s="2">
        <f>STANDARDIZE('DATA-Match'!X49,'DATA-Match'!X$79,'DATA-Match'!X$80)</f>
        <v>-1.1187474502744317</v>
      </c>
      <c r="Z49">
        <v>1969</v>
      </c>
      <c r="AA49" s="2">
        <f>STANDARDIZE('DATA-Match'!AA49,'DATA-Match'!AA$79,'DATA-Match'!AA$80)</f>
        <v>0.46351424143990522</v>
      </c>
      <c r="AB49" s="2">
        <f>STANDARDIZE('DATA-Match'!AB49,'DATA-Match'!AB$79,'DATA-Match'!AB$80)</f>
        <v>-1.5779103601622924</v>
      </c>
      <c r="AC49" s="2">
        <f>STANDARDIZE('DATA-Match'!AC49,'DATA-Match'!AC$79,'DATA-Match'!AC$80)</f>
        <v>-1.1361775694904961</v>
      </c>
    </row>
    <row r="50" spans="11:29" x14ac:dyDescent="0.3">
      <c r="K50">
        <v>1968</v>
      </c>
      <c r="L50" s="2">
        <f>STANDARDIZE('DATA-Match'!L50,'DATA-Match'!L$79,'DATA-Match'!L$80)</f>
        <v>0.48832683431688878</v>
      </c>
      <c r="M50" s="2">
        <f>STANDARDIZE('DATA-Match'!M50,'DATA-Match'!M$79,'DATA-Match'!M$80)</f>
        <v>-0.58251134602340515</v>
      </c>
      <c r="N50" s="2">
        <f>STANDARDIZE('DATA-Match'!N50,'DATA-Match'!N$79,'DATA-Match'!N$80)</f>
        <v>-0.21046969229551529</v>
      </c>
      <c r="P50">
        <v>1968</v>
      </c>
      <c r="Q50" s="2">
        <f>STANDARDIZE('DATA-Match'!Q50,'DATA-Match'!Q$79,'DATA-Match'!Q$80)</f>
        <v>8.2732096663536273E-2</v>
      </c>
      <c r="R50" s="2">
        <f>STANDARDIZE('DATA-Match'!R50,'DATA-Match'!R$79,'DATA-Match'!R$80)</f>
        <v>0.97349707701039778</v>
      </c>
      <c r="S50" s="2">
        <f>STANDARDIZE('DATA-Match'!S50,'DATA-Match'!S$79,'DATA-Match'!S$80)</f>
        <v>0.77125901103613304</v>
      </c>
      <c r="U50">
        <v>1968</v>
      </c>
      <c r="V50" s="2">
        <f>STANDARDIZE('DATA-Match'!V50,'DATA-Match'!V$79,'DATA-Match'!V$80)</f>
        <v>-0.4179928951388312</v>
      </c>
      <c r="W50" s="2">
        <f>STANDARDIZE('DATA-Match'!W50,'DATA-Match'!W$79,'DATA-Match'!W$80)</f>
        <v>-2.3822251444221276</v>
      </c>
      <c r="X50" s="2">
        <f>STANDARDIZE('DATA-Match'!X50,'DATA-Match'!X$79,'DATA-Match'!X$80)</f>
        <v>-2.2972498380833239</v>
      </c>
      <c r="Z50">
        <v>1968</v>
      </c>
      <c r="AA50" s="2">
        <f>STANDARDIZE('DATA-Match'!AA50,'DATA-Match'!AA$79,'DATA-Match'!AA$80)</f>
        <v>0.12022016073291962</v>
      </c>
      <c r="AB50" s="2">
        <f>STANDARDIZE('DATA-Match'!AB50,'DATA-Match'!AB$79,'DATA-Match'!AB$80)</f>
        <v>-1.3575585651722326</v>
      </c>
      <c r="AC50" s="2">
        <f>STANDARDIZE('DATA-Match'!AC50,'DATA-Match'!AC$79,'DATA-Match'!AC$80)</f>
        <v>-1.100101203593034</v>
      </c>
    </row>
    <row r="51" spans="11:29" x14ac:dyDescent="0.3">
      <c r="K51">
        <v>1967</v>
      </c>
      <c r="L51" s="2">
        <f>STANDARDIZE('DATA-Match'!L51,'DATA-Match'!L$79,'DATA-Match'!L$80)</f>
        <v>0.23697098609130157</v>
      </c>
      <c r="M51" s="2">
        <f>STANDARDIZE('DATA-Match'!M51,'DATA-Match'!M$79,'DATA-Match'!M$80)</f>
        <v>-9.8313299432778473E-2</v>
      </c>
      <c r="N51" s="2">
        <f>STANDARDIZE('DATA-Match'!N51,'DATA-Match'!N$79,'DATA-Match'!N$80)</f>
        <v>-2.2276974945972548E-2</v>
      </c>
      <c r="P51">
        <v>1967</v>
      </c>
      <c r="Q51" s="2">
        <f>STANDARDIZE('DATA-Match'!Q51,'DATA-Match'!Q$79,'DATA-Match'!Q$80)</f>
        <v>0.36107380184670074</v>
      </c>
      <c r="R51" s="2">
        <f>STANDARDIZE('DATA-Match'!R51,'DATA-Match'!R$79,'DATA-Match'!R$80)</f>
        <v>-0.28060510622835166</v>
      </c>
      <c r="S51" s="2">
        <f>STANDARDIZE('DATA-Match'!S51,'DATA-Match'!S$79,'DATA-Match'!S$80)</f>
        <v>-8.4641555319956097E-2</v>
      </c>
      <c r="U51">
        <v>1967</v>
      </c>
      <c r="V51" s="2">
        <f>STANDARDIZE('DATA-Match'!V51,'DATA-Match'!V$79,'DATA-Match'!V$80)</f>
        <v>-1.669230754011912</v>
      </c>
      <c r="W51" s="2">
        <f>STANDARDIZE('DATA-Match'!W51,'DATA-Match'!W$79,'DATA-Match'!W$80)</f>
        <v>0.70711232685780989</v>
      </c>
      <c r="X51" s="2">
        <f>STANDARDIZE('DATA-Match'!X51,'DATA-Match'!X$79,'DATA-Match'!X$80)</f>
        <v>-0.94384950697468217</v>
      </c>
      <c r="Z51">
        <v>1967</v>
      </c>
      <c r="AA51" s="2">
        <f>STANDARDIZE('DATA-Match'!AA51,'DATA-Match'!AA$79,'DATA-Match'!AA$80)</f>
        <v>-0.62813088822567409</v>
      </c>
      <c r="AB51" s="2">
        <f>STANDARDIZE('DATA-Match'!AB51,'DATA-Match'!AB$79,'DATA-Match'!AB$80)</f>
        <v>-0.17796124577352643</v>
      </c>
      <c r="AC51" s="2">
        <f>STANDARDIZE('DATA-Match'!AC51,'DATA-Match'!AC$79,'DATA-Match'!AC$80)</f>
        <v>-0.8437235311327137</v>
      </c>
    </row>
    <row r="52" spans="11:29" x14ac:dyDescent="0.3">
      <c r="K52">
        <v>1966</v>
      </c>
      <c r="L52" s="2">
        <f>STANDARDIZE('DATA-Match'!L52,'DATA-Match'!L$79,'DATA-Match'!L$80)</f>
        <v>-1.5405399115708511E-2</v>
      </c>
      <c r="M52" s="2">
        <f>STANDARDIZE('DATA-Match'!M52,'DATA-Match'!M$79,'DATA-Match'!M$80)</f>
        <v>0.22448539829429354</v>
      </c>
      <c r="N52" s="2">
        <f>STANDARDIZE('DATA-Match'!N52,'DATA-Match'!N$79,'DATA-Match'!N$80)</f>
        <v>6.6655436294156711E-2</v>
      </c>
      <c r="P52">
        <v>1966</v>
      </c>
      <c r="Q52" s="2">
        <f>STANDARDIZE('DATA-Match'!Q52,'DATA-Match'!Q$79,'DATA-Match'!Q$80)</f>
        <v>0.17205440868929667</v>
      </c>
      <c r="R52" s="2">
        <f>STANDARDIZE('DATA-Match'!R52,'DATA-Match'!R$79,'DATA-Match'!R$80)</f>
        <v>-0.43709076115610535</v>
      </c>
      <c r="S52" s="2">
        <f>STANDARDIZE('DATA-Match'!S52,'DATA-Match'!S$79,'DATA-Match'!S$80)</f>
        <v>-0.24574752849776366</v>
      </c>
      <c r="U52">
        <v>1966</v>
      </c>
      <c r="V52" s="2">
        <f>STANDARDIZE('DATA-Match'!V52,'DATA-Match'!V$79,'DATA-Match'!V$80)</f>
        <v>-1.7768806711352418</v>
      </c>
      <c r="W52" s="2">
        <f>STANDARDIZE('DATA-Match'!W52,'DATA-Match'!W$79,'DATA-Match'!W$80)</f>
        <v>1.7001136569120623</v>
      </c>
      <c r="X52" s="2">
        <f>STANDARDIZE('DATA-Match'!X52,'DATA-Match'!X$79,'DATA-Match'!X$80)</f>
        <v>-0.59426098832317609</v>
      </c>
      <c r="Z52">
        <v>1966</v>
      </c>
      <c r="AA52" s="2">
        <f>STANDARDIZE('DATA-Match'!AA52,'DATA-Match'!AA$79,'DATA-Match'!AA$80)</f>
        <v>-0.96210411880052282</v>
      </c>
      <c r="AB52" s="2">
        <f>STANDARDIZE('DATA-Match'!AB52,'DATA-Match'!AB$79,'DATA-Match'!AB$80)</f>
        <v>0.41919334124146185</v>
      </c>
      <c r="AC52" s="2">
        <f>STANDARDIZE('DATA-Match'!AC52,'DATA-Match'!AC$79,'DATA-Match'!AC$80)</f>
        <v>-0.70900727180824075</v>
      </c>
    </row>
    <row r="53" spans="11:29" x14ac:dyDescent="0.3">
      <c r="K53">
        <v>1965</v>
      </c>
      <c r="L53" s="2">
        <f>STANDARDIZE('DATA-Match'!L53,'DATA-Match'!L$79,'DATA-Match'!L$80)</f>
        <v>-0.68305414952395627</v>
      </c>
      <c r="M53" s="2">
        <f>STANDARDIZE('DATA-Match'!M53,'DATA-Match'!M$79,'DATA-Match'!M$80)</f>
        <v>-0.25971264829631446</v>
      </c>
      <c r="N53" s="2">
        <f>STANDARDIZE('DATA-Match'!N53,'DATA-Match'!N$79,'DATA-Match'!N$80)</f>
        <v>-0.73448627796928501</v>
      </c>
      <c r="P53">
        <v>1965</v>
      </c>
      <c r="Q53" s="2">
        <f>STANDARDIZE('DATA-Match'!Q53,'DATA-Match'!Q$79,'DATA-Match'!Q$80)</f>
        <v>0.37913553315280052</v>
      </c>
      <c r="R53" s="2">
        <f>STANDARDIZE('DATA-Match'!R53,'DATA-Match'!R$79,'DATA-Match'!R$80)</f>
        <v>2.227217028556626</v>
      </c>
      <c r="S53" s="2">
        <f>STANDARDIZE('DATA-Match'!S53,'DATA-Match'!S$79,'DATA-Match'!S$80)</f>
        <v>2.512862803658281</v>
      </c>
      <c r="U53">
        <v>1965</v>
      </c>
      <c r="V53" s="2">
        <f>STANDARDIZE('DATA-Match'!V53,'DATA-Match'!V$79,'DATA-Match'!V$80)</f>
        <v>-2.9448008401202008</v>
      </c>
      <c r="W53" s="2">
        <f>STANDARDIZE('DATA-Match'!W53,'DATA-Match'!W$79,'DATA-Match'!W$80)</f>
        <v>0.64406462336224335</v>
      </c>
      <c r="X53" s="2">
        <f>STANDARDIZE('DATA-Match'!X53,'DATA-Match'!X$79,'DATA-Match'!X$80)</f>
        <v>-2.3250381075121211</v>
      </c>
      <c r="Z53">
        <v>1965</v>
      </c>
      <c r="AA53" s="2">
        <f>STANDARDIZE('DATA-Match'!AA53,'DATA-Match'!AA$79,'DATA-Match'!AA$80)</f>
        <v>-1.9716707589177744</v>
      </c>
      <c r="AB53" s="2">
        <f>STANDARDIZE('DATA-Match'!AB53,'DATA-Match'!AB$79,'DATA-Match'!AB$80)</f>
        <v>1.0427966641448261</v>
      </c>
      <c r="AC53" s="2">
        <f>STANDARDIZE('DATA-Match'!AC53,'DATA-Match'!AC$79,'DATA-Match'!AC$80)</f>
        <v>-0.36221810789094244</v>
      </c>
    </row>
    <row r="54" spans="11:29" x14ac:dyDescent="0.3">
      <c r="K54">
        <v>1964</v>
      </c>
      <c r="L54" s="2">
        <f>STANDARDIZE('DATA-Match'!L54,'DATA-Match'!L$79,'DATA-Match'!L$80)</f>
        <v>-0.42200348211558986</v>
      </c>
      <c r="M54" s="2">
        <f>STANDARDIZE('DATA-Match'!M54,'DATA-Match'!M$79,'DATA-Match'!M$80)</f>
        <v>6.3086049430738894E-2</v>
      </c>
      <c r="N54" s="2">
        <f>STANDARDIZE('DATA-Match'!N54,'DATA-Match'!N$79,'DATA-Match'!N$80)</f>
        <v>-0.34305279697448127</v>
      </c>
      <c r="P54">
        <v>1964</v>
      </c>
      <c r="Q54" s="2">
        <f>STANDARDIZE('DATA-Match'!Q54,'DATA-Match'!Q$79,'DATA-Match'!Q$80)</f>
        <v>-0.21866500756759694</v>
      </c>
      <c r="R54" s="2">
        <f>STANDARDIZE('DATA-Match'!R54,'DATA-Match'!R$79,'DATA-Match'!R$80)</f>
        <v>1.1300591782766665</v>
      </c>
      <c r="S54" s="2">
        <f>STANDARDIZE('DATA-Match'!S54,'DATA-Match'!S$79,'DATA-Match'!S$80)</f>
        <v>0.93119775739279087</v>
      </c>
      <c r="U54">
        <v>1964</v>
      </c>
      <c r="V54" s="2">
        <f>STANDARDIZE('DATA-Match'!V54,'DATA-Match'!V$79,'DATA-Match'!V$80)</f>
        <v>-1.8971201829479538</v>
      </c>
      <c r="W54" s="2">
        <f>STANDARDIZE('DATA-Match'!W54,'DATA-Match'!W$79,'DATA-Match'!W$80)</f>
        <v>1.6685898051643069</v>
      </c>
      <c r="X54" s="2">
        <f>STANDARDIZE('DATA-Match'!X54,'DATA-Match'!X$79,'DATA-Match'!X$80)</f>
        <v>-0.70377008769038174</v>
      </c>
      <c r="Z54">
        <v>1964</v>
      </c>
      <c r="AA54" s="2">
        <f>STANDARDIZE('DATA-Match'!AA54,'DATA-Match'!AA$79,'DATA-Match'!AA$80)</f>
        <v>-1.5170599794963333</v>
      </c>
      <c r="AB54" s="2">
        <f>STANDARDIZE('DATA-Match'!AB54,'DATA-Match'!AB$79,'DATA-Match'!AB$80)</f>
        <v>1.1547860728063577</v>
      </c>
      <c r="AC54" s="2">
        <f>STANDARDIZE('DATA-Match'!AC54,'DATA-Match'!AC$79,'DATA-Match'!AC$80)</f>
        <v>-0.29628080694361997</v>
      </c>
    </row>
    <row r="55" spans="11:29" x14ac:dyDescent="0.3">
      <c r="K55">
        <v>1963</v>
      </c>
      <c r="L55" s="2">
        <f>STANDARDIZE('DATA-Match'!L55,'DATA-Match'!L$79,'DATA-Match'!L$80)</f>
        <v>0.72906598986969917</v>
      </c>
      <c r="M55" s="2">
        <f>STANDARDIZE('DATA-Match'!M55,'DATA-Match'!M$79,'DATA-Match'!M$80)</f>
        <v>0.22448539829429354</v>
      </c>
      <c r="N55" s="2">
        <f>STANDARDIZE('DATA-Match'!N55,'DATA-Match'!N$79,'DATA-Match'!N$80)</f>
        <v>0.59118428948056356</v>
      </c>
      <c r="P55">
        <v>1963</v>
      </c>
      <c r="Q55" s="2">
        <f>STANDARDIZE('DATA-Match'!Q55,'DATA-Match'!Q$79,'DATA-Match'!Q$80)</f>
        <v>0.15600663739133017</v>
      </c>
      <c r="R55" s="2">
        <f>STANDARDIZE('DATA-Match'!R55,'DATA-Match'!R$79,'DATA-Match'!R$80)</f>
        <v>-0.12358432693104678</v>
      </c>
      <c r="S55" s="2">
        <f>STANDARDIZE('DATA-Match'!S55,'DATA-Match'!S$79,'DATA-Match'!S$80)</f>
        <v>9.9999627791194246E-3</v>
      </c>
      <c r="U55">
        <v>1963</v>
      </c>
      <c r="V55" s="2">
        <f>STANDARDIZE('DATA-Match'!V55,'DATA-Match'!V$79,'DATA-Match'!V$80)</f>
        <v>-0.55637203553258585</v>
      </c>
      <c r="W55" s="2">
        <f>STANDARDIZE('DATA-Match'!W55,'DATA-Match'!W$79,'DATA-Match'!W$80)</f>
        <v>-0.67993715004342015</v>
      </c>
      <c r="X55" s="2">
        <f>STANDARDIZE('DATA-Match'!X55,'DATA-Match'!X$79,'DATA-Match'!X$80)</f>
        <v>-0.96976961700374309</v>
      </c>
      <c r="Z55">
        <v>1963</v>
      </c>
      <c r="AA55" s="2">
        <f>STANDARDIZE('DATA-Match'!AA55,'DATA-Match'!AA$79,'DATA-Match'!AA$80)</f>
        <v>0.23584985009368478</v>
      </c>
      <c r="AB55" s="2">
        <f>STANDARDIZE('DATA-Match'!AB55,'DATA-Match'!AB$79,'DATA-Match'!AB$80)</f>
        <v>-0.64442076962351258</v>
      </c>
      <c r="AC55" s="2">
        <f>STANDARDIZE('DATA-Match'!AC55,'DATA-Match'!AC$79,'DATA-Match'!AC$80)</f>
        <v>-0.34725979158411047</v>
      </c>
    </row>
    <row r="56" spans="11:29" x14ac:dyDescent="0.3">
      <c r="K56">
        <v>1962</v>
      </c>
      <c r="L56" s="2">
        <f>STANDARDIZE('DATA-Match'!L56,'DATA-Match'!L$79,'DATA-Match'!L$80)</f>
        <v>1.6746682507498114</v>
      </c>
      <c r="M56" s="2">
        <f>STANDARDIZE('DATA-Match'!M56,'DATA-Match'!M$79,'DATA-Match'!M$80)</f>
        <v>0.3858847471578109</v>
      </c>
      <c r="N56" s="2">
        <f>STANDARDIZE('DATA-Match'!N56,'DATA-Match'!N$79,'DATA-Match'!N$80)</f>
        <v>1.4310348528942314</v>
      </c>
      <c r="P56">
        <v>1962</v>
      </c>
      <c r="Q56" s="2">
        <f>STANDARDIZE('DATA-Match'!Q56,'DATA-Match'!Q$79,'DATA-Match'!Q$80)</f>
        <v>0.70598032226197338</v>
      </c>
      <c r="R56" s="2">
        <f>STANDARDIZE('DATA-Match'!R56,'DATA-Match'!R$79,'DATA-Match'!R$80)</f>
        <v>1.6003570527835029</v>
      </c>
      <c r="S56" s="2">
        <f>STANDARDIZE('DATA-Match'!S56,'DATA-Match'!S$79,'DATA-Match'!S$80)</f>
        <v>1.7937103949904394</v>
      </c>
      <c r="U56">
        <v>1962</v>
      </c>
      <c r="V56" s="2">
        <f>STANDARDIZE('DATA-Match'!V56,'DATA-Match'!V$79,'DATA-Match'!V$80)</f>
        <v>-0.78820870833787282</v>
      </c>
      <c r="W56" s="2">
        <f>STANDARDIZE('DATA-Match'!W56,'DATA-Match'!W$79,'DATA-Match'!W$80)</f>
        <v>1.1011604737047689</v>
      </c>
      <c r="X56" s="2">
        <f>STANDARDIZE('DATA-Match'!X56,'DATA-Match'!X$79,'DATA-Match'!X$80)</f>
        <v>0.19330056778169885</v>
      </c>
      <c r="Z56">
        <v>1962</v>
      </c>
      <c r="AA56" s="2">
        <f>STANDARDIZE('DATA-Match'!AA56,'DATA-Match'!AA$79,'DATA-Match'!AA$80)</f>
        <v>1.0219637598258597</v>
      </c>
      <c r="AB56" s="2">
        <f>STANDARDIZE('DATA-Match'!AB56,'DATA-Match'!AB$79,'DATA-Match'!AB$80)</f>
        <v>1.2791644116837244</v>
      </c>
      <c r="AC56" s="2">
        <f>STANDARDIZE('DATA-Match'!AC56,'DATA-Match'!AC$79,'DATA-Match'!AC$80)</f>
        <v>2.0087668453259373</v>
      </c>
    </row>
    <row r="57" spans="11:29" x14ac:dyDescent="0.3">
      <c r="K57">
        <v>1961</v>
      </c>
      <c r="L57" s="2">
        <f>STANDARDIZE('DATA-Match'!L57,'DATA-Match'!L$79,'DATA-Match'!L$80)</f>
        <v>1.390840558937511</v>
      </c>
      <c r="M57" s="2">
        <f>STANDARDIZE('DATA-Match'!M57,'DATA-Match'!M$79,'DATA-Match'!M$80)</f>
        <v>1.677079538066099</v>
      </c>
      <c r="N57" s="2">
        <f>STANDARDIZE('DATA-Match'!N57,'DATA-Match'!N$79,'DATA-Match'!N$80)</f>
        <v>2.4547649464654269</v>
      </c>
      <c r="P57">
        <v>1961</v>
      </c>
      <c r="Q57" s="2">
        <f>STANDARDIZE('DATA-Match'!Q57,'DATA-Match'!Q$79,'DATA-Match'!Q$80)</f>
        <v>0.5689572326078759</v>
      </c>
      <c r="R57" s="2">
        <f>STANDARDIZE('DATA-Match'!R57,'DATA-Match'!R$79,'DATA-Match'!R$80)</f>
        <v>0.34610197686775951</v>
      </c>
      <c r="S57" s="2">
        <f>STANDARDIZE('DATA-Match'!S57,'DATA-Match'!S$79,'DATA-Match'!S$80)</f>
        <v>0.43532548846775915</v>
      </c>
      <c r="U57">
        <v>1961</v>
      </c>
      <c r="V57" s="2">
        <f>STANDARDIZE('DATA-Match'!V57,'DATA-Match'!V$79,'DATA-Match'!V$80)</f>
        <v>-1.2636839800721289</v>
      </c>
      <c r="W57" s="2">
        <f>STANDARDIZE('DATA-Match'!W57,'DATA-Match'!W$79,'DATA-Match'!W$80)</f>
        <v>-1.6414146283498987</v>
      </c>
      <c r="X57" s="2">
        <f>STANDARDIZE('DATA-Match'!X57,'DATA-Match'!X$79,'DATA-Match'!X$80)</f>
        <v>-2.1831661198772041</v>
      </c>
      <c r="Z57">
        <v>1961</v>
      </c>
      <c r="AA57" s="2">
        <f>STANDARDIZE('DATA-Match'!AA57,'DATA-Match'!AA$79,'DATA-Match'!AA$80)</f>
        <v>0.47882642710465728</v>
      </c>
      <c r="AB57" s="2">
        <f>STANDARDIZE('DATA-Match'!AB57,'DATA-Match'!AB$79,'DATA-Match'!AB$80)</f>
        <v>-0.13932734496887403</v>
      </c>
      <c r="AC57" s="2">
        <f>STANDARDIZE('DATA-Match'!AC57,'DATA-Match'!AC$79,'DATA-Match'!AC$80)</f>
        <v>0.68355588148312241</v>
      </c>
    </row>
    <row r="58" spans="11:29" x14ac:dyDescent="0.3">
      <c r="K58">
        <v>1960</v>
      </c>
      <c r="L58" s="2">
        <f>STANDARDIZE('DATA-Match'!L58,'DATA-Match'!L$79,'DATA-Match'!L$80)</f>
        <v>0.20171849246686466</v>
      </c>
      <c r="M58" s="2">
        <f>STANDARDIZE('DATA-Match'!M58,'DATA-Match'!M$79,'DATA-Match'!M$80)</f>
        <v>1.0314821426119363</v>
      </c>
      <c r="N58" s="2">
        <f>STANDARDIZE('DATA-Match'!N58,'DATA-Match'!N$79,'DATA-Match'!N$80)</f>
        <v>0.77612921084406539</v>
      </c>
      <c r="P58">
        <v>1960</v>
      </c>
      <c r="Q58" s="2">
        <f>STANDARDIZE('DATA-Match'!Q58,'DATA-Match'!Q$79,'DATA-Match'!Q$80)</f>
        <v>0.72737067039469927</v>
      </c>
      <c r="R58" s="2">
        <f>STANDARDIZE('DATA-Match'!R58,'DATA-Match'!R$79,'DATA-Match'!R$80)</f>
        <v>0.66029642813936318</v>
      </c>
      <c r="S58" s="2">
        <f>STANDARDIZE('DATA-Match'!S58,'DATA-Match'!S$79,'DATA-Match'!S$80)</f>
        <v>1.1040587821330918</v>
      </c>
      <c r="U58">
        <v>1960</v>
      </c>
      <c r="V58" s="2">
        <f>STANDARDIZE('DATA-Match'!V58,'DATA-Match'!V$79,'DATA-Match'!V$80)</f>
        <v>-0.10587657380086515</v>
      </c>
      <c r="W58" s="2">
        <f>STANDARDIZE('DATA-Match'!W58,'DATA-Match'!W$79,'DATA-Match'!W$80)</f>
        <v>4.5111440154912745E-2</v>
      </c>
      <c r="X58" s="2">
        <f>STANDARDIZE('DATA-Match'!X58,'DATA-Match'!X$79,'DATA-Match'!X$80)</f>
        <v>6.7482838172820282E-5</v>
      </c>
      <c r="Z58">
        <v>1960</v>
      </c>
      <c r="AA58" s="2">
        <f>STANDARDIZE('DATA-Match'!AA58,'DATA-Match'!AA$79,'DATA-Match'!AA$80)</f>
        <v>0.48096122508022127</v>
      </c>
      <c r="AB58" s="2">
        <f>STANDARDIZE('DATA-Match'!AB58,'DATA-Match'!AB$79,'DATA-Match'!AB$80)</f>
        <v>0.56610812225480256</v>
      </c>
      <c r="AC58" s="2">
        <f>STANDARDIZE('DATA-Match'!AC58,'DATA-Match'!AC$79,'DATA-Match'!AC$80)</f>
        <v>0.98500169921563119</v>
      </c>
    </row>
    <row r="59" spans="11:29" x14ac:dyDescent="0.3">
      <c r="K59">
        <v>1959</v>
      </c>
      <c r="L59" s="2">
        <f>STANDARDIZE('DATA-Match'!L59,'DATA-Match'!L$79,'DATA-Match'!L$80)</f>
        <v>0.97045549689485699</v>
      </c>
      <c r="M59" s="2">
        <f>STANDARDIZE('DATA-Match'!M59,'DATA-Match'!M$79,'DATA-Match'!M$80)</f>
        <v>1.0314821426119549</v>
      </c>
      <c r="N59" s="2">
        <f>STANDARDIZE('DATA-Match'!N59,'DATA-Match'!N$79,'DATA-Match'!N$80)</f>
        <v>1.5054574406261998</v>
      </c>
      <c r="P59">
        <v>1959</v>
      </c>
      <c r="Q59" s="2">
        <f>STANDARDIZE('DATA-Match'!Q59,'DATA-Match'!Q$79,'DATA-Match'!Q$80)</f>
        <v>0.33577666375115889</v>
      </c>
      <c r="R59" s="2">
        <f>STANDARDIZE('DATA-Match'!R59,'DATA-Match'!R$79,'DATA-Match'!R$80)</f>
        <v>0.66014353546233306</v>
      </c>
      <c r="S59" s="2">
        <f>STANDARDIZE('DATA-Match'!S59,'DATA-Match'!S$79,'DATA-Match'!S$80)</f>
        <v>0.8048030974667495</v>
      </c>
      <c r="U59">
        <v>1959</v>
      </c>
      <c r="V59" s="2">
        <f>STANDARDIZE('DATA-Match'!V59,'DATA-Match'!V$79,'DATA-Match'!V$80)</f>
        <v>0.58020836014807431</v>
      </c>
      <c r="W59" s="2">
        <f>STANDARDIZE('DATA-Match'!W59,'DATA-Match'!W$79,'DATA-Match'!W$80)</f>
        <v>6.0873366028827688E-2</v>
      </c>
      <c r="X59" s="2">
        <f>STANDARDIZE('DATA-Match'!X59,'DATA-Match'!X$79,'DATA-Match'!X$80)</f>
        <v>0.660163154334661</v>
      </c>
      <c r="Z59">
        <v>1959</v>
      </c>
      <c r="AA59" s="2">
        <f>STANDARDIZE('DATA-Match'!AA59,'DATA-Match'!AA$79,'DATA-Match'!AA$80)</f>
        <v>1.1671087957837467</v>
      </c>
      <c r="AB59" s="2">
        <f>STANDARDIZE('DATA-Match'!AB59,'DATA-Match'!AB$79,'DATA-Match'!AB$80)</f>
        <v>0.57417722811908223</v>
      </c>
      <c r="AC59" s="2">
        <f>STANDARDIZE('DATA-Match'!AC59,'DATA-Match'!AC$79,'DATA-Match'!AC$80)</f>
        <v>1.6523791612590257</v>
      </c>
    </row>
    <row r="60" spans="11:29" x14ac:dyDescent="0.3">
      <c r="K60">
        <v>1958</v>
      </c>
      <c r="L60" s="2">
        <f>STANDARDIZE('DATA-Match'!L60,'DATA-Match'!L$79,'DATA-Match'!L$80)</f>
        <v>-0.33235969911402546</v>
      </c>
      <c r="M60" s="2">
        <f>STANDARDIZE('DATA-Match'!M60,'DATA-Match'!M$79,'DATA-Match'!M$80)</f>
        <v>6.3086049430738894E-2</v>
      </c>
      <c r="N60" s="2">
        <f>STANDARDIZE('DATA-Match'!N60,'DATA-Match'!N$79,'DATA-Match'!N$80)</f>
        <v>-0.21534699405846636</v>
      </c>
      <c r="P60">
        <v>1958</v>
      </c>
      <c r="Q60" s="2">
        <f>STANDARDIZE('DATA-Match'!Q60,'DATA-Match'!Q$79,'DATA-Match'!Q$80)</f>
        <v>0.35927726409808125</v>
      </c>
      <c r="R60" s="2">
        <f>STANDARDIZE('DATA-Match'!R60,'DATA-Match'!R$79,'DATA-Match'!R$80)</f>
        <v>1.2870035112356011</v>
      </c>
      <c r="S60" s="2">
        <f>STANDARDIZE('DATA-Match'!S60,'DATA-Match'!S$79,'DATA-Match'!S$80)</f>
        <v>1.4126031783048518</v>
      </c>
      <c r="U60">
        <v>1958</v>
      </c>
      <c r="V60" s="2">
        <f>STANDARDIZE('DATA-Match'!V60,'DATA-Match'!V$79,'DATA-Match'!V$80)</f>
        <v>0.72843649027539692</v>
      </c>
      <c r="W60" s="2">
        <f>STANDARDIZE('DATA-Match'!W60,'DATA-Match'!W$79,'DATA-Match'!W$80)</f>
        <v>-0.79027063116054475</v>
      </c>
      <c r="X60" s="2">
        <f>STANDARDIZE('DATA-Match'!X60,'DATA-Match'!X$79,'DATA-Match'!X$80)</f>
        <v>-6.0176240072240511E-2</v>
      </c>
      <c r="Z60">
        <v>1958</v>
      </c>
      <c r="AA60" s="2">
        <f>STANDARDIZE('DATA-Match'!AA60,'DATA-Match'!AA$79,'DATA-Match'!AA$80)</f>
        <v>0.42141752354996859</v>
      </c>
      <c r="AB60" s="2">
        <f>STANDARDIZE('DATA-Match'!AB60,'DATA-Match'!AB$79,'DATA-Match'!AB$80)</f>
        <v>-3.304336469619807E-2</v>
      </c>
      <c r="AC60" s="2">
        <f>STANDARDIZE('DATA-Match'!AC60,'DATA-Match'!AC$79,'DATA-Match'!AC$80)</f>
        <v>0.43213529964981306</v>
      </c>
    </row>
    <row r="61" spans="11:29" x14ac:dyDescent="0.3">
      <c r="K61">
        <v>1957</v>
      </c>
      <c r="L61" s="2">
        <f>STANDARDIZE('DATA-Match'!L61,'DATA-Match'!L$79,'DATA-Match'!L$80)</f>
        <v>0.15672548789256904</v>
      </c>
      <c r="M61" s="2">
        <f>STANDARDIZE('DATA-Match'!M61,'DATA-Match'!M$79,'DATA-Match'!M$80)</f>
        <v>-0.90531004375043989</v>
      </c>
      <c r="N61" s="2">
        <f>STANDARDIZE('DATA-Match'!N61,'DATA-Match'!N$79,'DATA-Match'!N$80)</f>
        <v>-0.52395715237609242</v>
      </c>
      <c r="P61">
        <v>1957</v>
      </c>
      <c r="Q61" s="2">
        <f>STANDARDIZE('DATA-Match'!Q61,'DATA-Match'!Q$79,'DATA-Match'!Q$80)</f>
        <v>1.1679963976994632</v>
      </c>
      <c r="R61" s="2">
        <f>STANDARDIZE('DATA-Match'!R61,'DATA-Match'!R$79,'DATA-Match'!R$80)</f>
        <v>0.34640776222196468</v>
      </c>
      <c r="S61" s="2">
        <f>STANDARDIZE('DATA-Match'!S61,'DATA-Match'!S$79,'DATA-Match'!S$80)</f>
        <v>1.0494274735729516</v>
      </c>
      <c r="U61">
        <v>1957</v>
      </c>
      <c r="V61" s="2">
        <f>STANDARDIZE('DATA-Match'!V61,'DATA-Match'!V$79,'DATA-Match'!V$80)</f>
        <v>0.96520758375788851</v>
      </c>
      <c r="W61" s="2">
        <f>STANDARDIZE('DATA-Match'!W61,'DATA-Match'!W$79,'DATA-Match'!W$80)</f>
        <v>0.45492151287576804</v>
      </c>
      <c r="X61" s="2">
        <f>STANDARDIZE('DATA-Match'!X61,'DATA-Match'!X$79,'DATA-Match'!X$80)</f>
        <v>1.3322953628702405</v>
      </c>
      <c r="Z61">
        <v>1957</v>
      </c>
      <c r="AA61" s="2">
        <f>STANDARDIZE('DATA-Match'!AA61,'DATA-Match'!AA$79,'DATA-Match'!AA$80)</f>
        <v>1.3338122538727646</v>
      </c>
      <c r="AB61" s="2">
        <f>STANDARDIZE('DATA-Match'!AB61,'DATA-Match'!AB$79,'DATA-Match'!AB$80)</f>
        <v>-0.39183330423617801</v>
      </c>
      <c r="AC61" s="2">
        <f>STANDARDIZE('DATA-Match'!AC61,'DATA-Match'!AC$79,'DATA-Match'!AC$80)</f>
        <v>0.66631189299682281</v>
      </c>
    </row>
    <row r="62" spans="11:29" x14ac:dyDescent="0.3">
      <c r="K62">
        <v>1956</v>
      </c>
      <c r="L62" s="2">
        <f>STANDARDIZE('DATA-Match'!L62,'DATA-Match'!L$79,'DATA-Match'!L$80)</f>
        <v>-0.20670423611303562</v>
      </c>
      <c r="M62" s="2">
        <f>STANDARDIZE('DATA-Match'!M62,'DATA-Match'!M$79,'DATA-Match'!M$80)</f>
        <v>0.54728409602136552</v>
      </c>
      <c r="N62" s="2">
        <f>STANDARDIZE('DATA-Match'!N62,'DATA-Match'!N$79,'DATA-Match'!N$80)</f>
        <v>0.25159339579932821</v>
      </c>
      <c r="P62">
        <v>1956</v>
      </c>
      <c r="Q62" s="2">
        <f>STANDARDIZE('DATA-Match'!Q62,'DATA-Match'!Q$79,'DATA-Match'!Q$80)</f>
        <v>1.2613685642822765</v>
      </c>
      <c r="R62" s="2">
        <f>STANDARDIZE('DATA-Match'!R62,'DATA-Match'!R$79,'DATA-Match'!R$80)</f>
        <v>0.50312275616524549</v>
      </c>
      <c r="S62" s="2">
        <f>STANDARDIZE('DATA-Match'!S62,'DATA-Match'!S$79,'DATA-Match'!S$80)</f>
        <v>1.0889989516967313</v>
      </c>
      <c r="U62">
        <v>1956</v>
      </c>
      <c r="V62" s="2">
        <f>STANDARDIZE('DATA-Match'!V62,'DATA-Match'!V$79,'DATA-Match'!V$80)</f>
        <v>1.1357510600785892</v>
      </c>
      <c r="W62" s="2">
        <f>STANDARDIZE('DATA-Match'!W62,'DATA-Match'!W$79,'DATA-Match'!W$80)</f>
        <v>0.3288261058847658</v>
      </c>
      <c r="X62" s="2">
        <f>STANDARDIZE('DATA-Match'!X62,'DATA-Match'!X$79,'DATA-Match'!X$80)</f>
        <v>1.3816681097625798</v>
      </c>
      <c r="Z62">
        <v>1956</v>
      </c>
      <c r="AA62" s="2">
        <f>STANDARDIZE('DATA-Match'!AA62,'DATA-Match'!AA$79,'DATA-Match'!AA$80)</f>
        <v>1.251105428261619</v>
      </c>
      <c r="AB62" s="2">
        <f>STANDARDIZE('DATA-Match'!AB62,'DATA-Match'!AB$79,'DATA-Match'!AB$80)</f>
        <v>0.37839952826116846</v>
      </c>
      <c r="AC62" s="2">
        <f>STANDARDIZE('DATA-Match'!AC62,'DATA-Match'!AC$79,'DATA-Match'!AC$80)</f>
        <v>1.2828548110339981</v>
      </c>
    </row>
    <row r="63" spans="11:29" x14ac:dyDescent="0.3">
      <c r="K63">
        <v>1955</v>
      </c>
      <c r="L63" s="2">
        <f>STANDARDIZE('DATA-Match'!L63,'DATA-Match'!L$79,'DATA-Match'!L$80)</f>
        <v>3.7020346734379907E-2</v>
      </c>
      <c r="M63" s="2">
        <f>STANDARDIZE('DATA-Match'!M63,'DATA-Match'!M$79,'DATA-Match'!M$80)</f>
        <v>0.54728409602136552</v>
      </c>
      <c r="N63" s="2">
        <f>STANDARDIZE('DATA-Match'!N63,'DATA-Match'!N$79,'DATA-Match'!N$80)</f>
        <v>0.36129485196329436</v>
      </c>
      <c r="P63">
        <v>1955</v>
      </c>
      <c r="Q63" s="2">
        <f>STANDARDIZE('DATA-Match'!Q63,'DATA-Match'!Q$79,'DATA-Match'!Q$80)</f>
        <v>0.22656007576103832</v>
      </c>
      <c r="R63" s="2">
        <f>STANDARDIZE('DATA-Match'!R63,'DATA-Match'!R$79,'DATA-Match'!R$80)</f>
        <v>0.66006708912407153</v>
      </c>
      <c r="S63" s="2">
        <f>STANDARDIZE('DATA-Match'!S63,'DATA-Match'!S$79,'DATA-Match'!S$80)</f>
        <v>0.70596021265268349</v>
      </c>
      <c r="U63">
        <v>1955</v>
      </c>
      <c r="V63" s="2">
        <f>STANDARDIZE('DATA-Match'!V63,'DATA-Match'!V$79,'DATA-Match'!V$80)</f>
        <v>1.0130041468202982</v>
      </c>
      <c r="W63" s="2">
        <f>STANDARDIZE('DATA-Match'!W63,'DATA-Match'!W$79,'DATA-Match'!W$80)</f>
        <v>-0.44350826193527459</v>
      </c>
      <c r="X63" s="2">
        <f>STANDARDIZE('DATA-Match'!X63,'DATA-Match'!X$79,'DATA-Match'!X$80)</f>
        <v>0.50920820561945035</v>
      </c>
      <c r="Z63">
        <v>1955</v>
      </c>
      <c r="AA63" s="2">
        <f>STANDARDIZE('DATA-Match'!AA63,'DATA-Match'!AA$79,'DATA-Match'!AA$80)</f>
        <v>0.75553634622954524</v>
      </c>
      <c r="AB63" s="2">
        <f>STANDARDIZE('DATA-Match'!AB63,'DATA-Match'!AB$79,'DATA-Match'!AB$80)</f>
        <v>6.268557305708794E-2</v>
      </c>
      <c r="AC63" s="2">
        <f>STANDARDIZE('DATA-Match'!AC63,'DATA-Match'!AC$79,'DATA-Match'!AC$80)</f>
        <v>0.6774033929420018</v>
      </c>
    </row>
    <row r="64" spans="11:29" x14ac:dyDescent="0.3">
      <c r="K64">
        <v>1954</v>
      </c>
      <c r="L64" s="2">
        <f>STANDARDIZE('DATA-Match'!L64,'DATA-Match'!L$79,'DATA-Match'!L$80)</f>
        <v>-7.6247857179351777E-3</v>
      </c>
      <c r="M64" s="2">
        <f>STANDARDIZE('DATA-Match'!M64,'DATA-Match'!M$79,'DATA-Match'!M$80)</f>
        <v>1.6770795380660617</v>
      </c>
      <c r="N64" s="2">
        <f>STANDARDIZE('DATA-Match'!N64,'DATA-Match'!N$79,'DATA-Match'!N$80)</f>
        <v>1.0927290383864441</v>
      </c>
      <c r="P64">
        <v>1954</v>
      </c>
      <c r="Q64" s="2">
        <f>STANDARDIZE('DATA-Match'!Q64,'DATA-Match'!Q$79,'DATA-Match'!Q$80)</f>
        <v>1.3538469064005345</v>
      </c>
      <c r="R64" s="2">
        <f>STANDARDIZE('DATA-Match'!R64,'DATA-Match'!R$79,'DATA-Match'!R$80)</f>
        <v>3.2977774335421157E-2</v>
      </c>
      <c r="S64" s="2">
        <f>STANDARDIZE('DATA-Match'!S64,'DATA-Match'!S$79,'DATA-Match'!S$80)</f>
        <v>0.79466082601612453</v>
      </c>
      <c r="U64">
        <v>1954</v>
      </c>
      <c r="V64" s="2">
        <f>STANDARDIZE('DATA-Match'!V64,'DATA-Match'!V$79,'DATA-Match'!V$80)</f>
        <v>0.86689550343943778</v>
      </c>
      <c r="W64" s="2">
        <f>STANDARDIZE('DATA-Match'!W64,'DATA-Match'!W$79,'DATA-Match'!W$80)</f>
        <v>0.56525499399291135</v>
      </c>
      <c r="X64" s="2">
        <f>STANDARDIZE('DATA-Match'!X64,'DATA-Match'!X$79,'DATA-Match'!X$80)</f>
        <v>1.4186163065579411</v>
      </c>
      <c r="Z64">
        <v>1954</v>
      </c>
      <c r="AA64" s="2">
        <f>STANDARDIZE('DATA-Match'!AA64,'DATA-Match'!AA$79,'DATA-Match'!AA$80)</f>
        <v>1.2731418729131259</v>
      </c>
      <c r="AB64" s="2">
        <f>STANDARDIZE('DATA-Match'!AB64,'DATA-Match'!AB$79,'DATA-Match'!AB$80)</f>
        <v>0.83483379937067748</v>
      </c>
      <c r="AC64" s="2">
        <f>STANDARDIZE('DATA-Match'!AC64,'DATA-Match'!AC$79,'DATA-Match'!AC$80)</f>
        <v>1.7235927428729638</v>
      </c>
    </row>
    <row r="65" spans="6:29" x14ac:dyDescent="0.3">
      <c r="K65">
        <v>1953</v>
      </c>
      <c r="L65" s="2">
        <f>STANDARDIZE('DATA-Match'!L65,'DATA-Match'!L$79,'DATA-Match'!L$80)</f>
        <v>-1.5766069192141716E-2</v>
      </c>
      <c r="M65" s="2">
        <f>STANDARDIZE('DATA-Match'!M65,'DATA-Match'!M$79,'DATA-Match'!M$80)</f>
        <v>-0.74391069488692252</v>
      </c>
      <c r="N65" s="2">
        <f>STANDARDIZE('DATA-Match'!N65,'DATA-Match'!N$79,'DATA-Match'!N$80)</f>
        <v>-0.63435193625056852</v>
      </c>
      <c r="P65">
        <v>1953</v>
      </c>
      <c r="Q65" s="2">
        <f>STANDARDIZE('DATA-Match'!Q65,'DATA-Match'!Q$79,'DATA-Match'!Q$80)</f>
        <v>1.15251028976567</v>
      </c>
      <c r="R65" s="2">
        <f>STANDARDIZE('DATA-Match'!R65,'DATA-Match'!R$79,'DATA-Match'!R$80)</f>
        <v>0.50319920250376049</v>
      </c>
      <c r="S65" s="2">
        <f>STANDARDIZE('DATA-Match'!S65,'DATA-Match'!S$79,'DATA-Match'!S$80)</f>
        <v>1.1822580321542109</v>
      </c>
      <c r="U65">
        <v>1953</v>
      </c>
      <c r="V65" s="2">
        <f>STANDARDIZE('DATA-Match'!V65,'DATA-Match'!V$79,'DATA-Match'!V$80)</f>
        <v>0.17308911986620101</v>
      </c>
      <c r="W65" s="2">
        <f>STANDARDIZE('DATA-Match'!W65,'DATA-Match'!W$79,'DATA-Match'!W$80)</f>
        <v>-0.9163660381515657</v>
      </c>
      <c r="X65" s="2">
        <f>STANDARDIZE('DATA-Match'!X65,'DATA-Match'!X$79,'DATA-Match'!X$80)</f>
        <v>-0.60317041381438796</v>
      </c>
      <c r="Z65">
        <v>1953</v>
      </c>
      <c r="AA65" s="2">
        <f>STANDARDIZE('DATA-Match'!AA65,'DATA-Match'!AA$79,'DATA-Match'!AA$80)</f>
        <v>0.74369477404117723</v>
      </c>
      <c r="AB65" s="2">
        <f>STANDARDIZE('DATA-Match'!AB65,'DATA-Match'!AB$79,'DATA-Match'!AB$80)</f>
        <v>-0.93380824811883101</v>
      </c>
      <c r="AC65" s="2">
        <f>STANDARDIZE('DATA-Match'!AC65,'DATA-Match'!AC$79,'DATA-Match'!AC$80)</f>
        <v>-0.29511752783727652</v>
      </c>
    </row>
    <row r="66" spans="6:29" x14ac:dyDescent="0.3">
      <c r="K66">
        <v>1952</v>
      </c>
      <c r="L66" s="2">
        <f>STANDARDIZE('DATA-Match'!L66,'DATA-Match'!L$79,'DATA-Match'!L$80)</f>
        <v>0.40474586967937809</v>
      </c>
      <c r="M66" s="2">
        <f>STANDARDIZE('DATA-Match'!M66,'DATA-Match'!M$79,'DATA-Match'!M$80)</f>
        <v>0.70868344488488288</v>
      </c>
      <c r="N66" s="2">
        <f>STANDARDIZE('DATA-Match'!N66,'DATA-Match'!N$79,'DATA-Match'!N$80)</f>
        <v>0.78605305794120972</v>
      </c>
      <c r="P66">
        <v>1952</v>
      </c>
      <c r="Q66" s="2">
        <f>STANDARDIZE('DATA-Match'!Q66,'DATA-Match'!Q$79,'DATA-Match'!Q$80)</f>
        <v>1.7440051815738535</v>
      </c>
      <c r="R66" s="2">
        <f>STANDARDIZE('DATA-Match'!R66,'DATA-Match'!R$79,'DATA-Match'!R$80)</f>
        <v>0.50304630982669418</v>
      </c>
      <c r="S66" s="2">
        <f>STANDARDIZE('DATA-Match'!S66,'DATA-Match'!S$79,'DATA-Match'!S$80)</f>
        <v>1.5906468007258745</v>
      </c>
      <c r="U66">
        <v>1952</v>
      </c>
      <c r="V66" s="2">
        <f>STANDARDIZE('DATA-Match'!V66,'DATA-Match'!V$79,'DATA-Match'!V$80)</f>
        <v>0.21613786898367074</v>
      </c>
      <c r="W66" s="2">
        <f>STANDARDIZE('DATA-Match'!W66,'DATA-Match'!W$79,'DATA-Match'!W$80)</f>
        <v>1.763161360407554</v>
      </c>
      <c r="X66" s="2">
        <f>STANDARDIZE('DATA-Match'!X66,'DATA-Match'!X$79,'DATA-Match'!X$80)</f>
        <v>1.9066222330150253</v>
      </c>
      <c r="Z66">
        <v>1952</v>
      </c>
      <c r="AA66" s="2">
        <f>STANDARDIZE('DATA-Match'!AA66,'DATA-Match'!AA$79,'DATA-Match'!AA$80)</f>
        <v>1.374733238804875</v>
      </c>
      <c r="AB66" s="2">
        <f>STANDARDIZE('DATA-Match'!AB66,'DATA-Match'!AB$79,'DATA-Match'!AB$80)</f>
        <v>1.203608238591191</v>
      </c>
      <c r="AC66" s="2">
        <f>STANDARDIZE('DATA-Match'!AC66,'DATA-Match'!AC$79,'DATA-Match'!AC$80)</f>
        <v>2.2620574124766804</v>
      </c>
    </row>
    <row r="67" spans="6:29" x14ac:dyDescent="0.3">
      <c r="K67">
        <v>1951</v>
      </c>
      <c r="L67" s="2">
        <f>STANDARDIZE('DATA-Match'!L67,'DATA-Match'!L$79,'DATA-Match'!L$80)</f>
        <v>1.0507234181098335</v>
      </c>
      <c r="M67" s="2">
        <f>STANDARDIZE('DATA-Match'!M67,'DATA-Match'!M$79,'DATA-Match'!M$80)</f>
        <v>-0.90531004375043989</v>
      </c>
      <c r="N67" s="2">
        <f>STANDARDIZE('DATA-Match'!N67,'DATA-Match'!N$79,'DATA-Match'!N$80)</f>
        <v>1.9505138346489585E-2</v>
      </c>
      <c r="P67">
        <v>1951</v>
      </c>
      <c r="Q67" s="2">
        <f>STANDARDIZE('DATA-Match'!Q67,'DATA-Match'!Q$79,'DATA-Match'!Q$80)</f>
        <v>0.28133382463393092</v>
      </c>
      <c r="R67" s="2">
        <f>STANDARDIZE('DATA-Match'!R67,'DATA-Match'!R$79,'DATA-Match'!R$80)</f>
        <v>1.9143221650399234</v>
      </c>
      <c r="S67" s="2">
        <f>STANDARDIZE('DATA-Match'!S67,'DATA-Match'!S$79,'DATA-Match'!S$80)</f>
        <v>1.8429006965460579</v>
      </c>
      <c r="U67">
        <v>1951</v>
      </c>
      <c r="V67" s="2">
        <f>STANDARDIZE('DATA-Match'!V67,'DATA-Match'!V$79,'DATA-Match'!V$80)</f>
        <v>-1.220641177143087</v>
      </c>
      <c r="W67" s="2">
        <f>STANDARDIZE('DATA-Match'!W67,'DATA-Match'!W$79,'DATA-Match'!W$80)</f>
        <v>1.3848751394344538</v>
      </c>
      <c r="X67" s="2">
        <f>STANDARDIZE('DATA-Match'!X67,'DATA-Match'!X$79,'DATA-Match'!X$80)</f>
        <v>-0.13420437468927224</v>
      </c>
      <c r="Z67">
        <v>1951</v>
      </c>
      <c r="AA67" s="2">
        <f>STANDARDIZE('DATA-Match'!AA67,'DATA-Match'!AA$79,'DATA-Match'!AA$80)</f>
        <v>0.12172702882258067</v>
      </c>
      <c r="AB67" s="2">
        <f>STANDARDIZE('DATA-Match'!AB67,'DATA-Match'!AB$79,'DATA-Match'!AB$80)</f>
        <v>0.92489806179498513</v>
      </c>
      <c r="AC67" s="2">
        <f>STANDARDIZE('DATA-Match'!AC67,'DATA-Match'!AC$79,'DATA-Match'!AC$80)</f>
        <v>0.84680259335938501</v>
      </c>
    </row>
    <row r="68" spans="6:29" x14ac:dyDescent="0.3">
      <c r="P68">
        <v>1950</v>
      </c>
      <c r="Q68" s="2">
        <f>STANDARDIZE('DATA-Match'!Q68,'DATA-Match'!Q$79,'DATA-Match'!Q$80)</f>
        <v>1.0553863426179546</v>
      </c>
      <c r="R68" s="2">
        <f>STANDARDIZE('DATA-Match'!R68,'DATA-Match'!R$79,'DATA-Match'!R$80)</f>
        <v>0.18976921461723514</v>
      </c>
      <c r="S68" s="2">
        <f>STANDARDIZE('DATA-Match'!S68,'DATA-Match'!S$79,'DATA-Match'!S$80)</f>
        <v>0.79877267555888187</v>
      </c>
      <c r="Z68">
        <v>1950</v>
      </c>
      <c r="AA68" s="2">
        <f>STANDARDIZE('DATA-Match'!AA68,'DATA-Match'!AA$79,'DATA-Match'!AA$80)</f>
        <v>2.5965106273361522</v>
      </c>
      <c r="AB68" s="2">
        <f>STANDARDIZE('DATA-Match'!AB68,'DATA-Match'!AB$79,'DATA-Match'!AB$80)</f>
        <v>-0.67388523194569994</v>
      </c>
      <c r="AC68" s="2">
        <f>STANDARDIZE('DATA-Match'!AC68,'DATA-Match'!AC$79,'DATA-Match'!AC$80)</f>
        <v>1.2482246171152671</v>
      </c>
    </row>
    <row r="69" spans="6:29" x14ac:dyDescent="0.3">
      <c r="P69">
        <v>1949</v>
      </c>
      <c r="Q69" s="2">
        <f>STANDARDIZE('DATA-Match'!Q69,'DATA-Match'!Q$79,'DATA-Match'!Q$80)</f>
        <v>1.89204616877709</v>
      </c>
      <c r="R69" s="2">
        <f>STANDARDIZE('DATA-Match'!R69,'DATA-Match'!R$79,'DATA-Match'!R$80)</f>
        <v>0.97387930870320849</v>
      </c>
      <c r="S69" s="2">
        <f>STANDARDIZE('DATA-Match'!S69,'DATA-Match'!S$79,'DATA-Match'!S$80)</f>
        <v>2.0646162136850115</v>
      </c>
      <c r="Z69">
        <v>1949</v>
      </c>
      <c r="AA69" s="2">
        <f>STANDARDIZE('DATA-Match'!AA69,'DATA-Match'!AA$79,'DATA-Match'!AA$80)</f>
        <v>4.0063447828064014</v>
      </c>
      <c r="AB69" s="2">
        <f>STANDARDIZE('DATA-Match'!AB69,'DATA-Match'!AB$79,'DATA-Match'!AB$80)</f>
        <v>0.58012717486784793</v>
      </c>
      <c r="AC69" s="2">
        <f>STANDARDIZE('DATA-Match'!AC69,'DATA-Match'!AC$79,'DATA-Match'!AC$80)</f>
        <v>3.7214655607178777</v>
      </c>
    </row>
    <row r="70" spans="6:29" x14ac:dyDescent="0.3">
      <c r="P70">
        <v>1948</v>
      </c>
      <c r="Q70" s="2">
        <f>STANDARDIZE('DATA-Match'!Q70,'DATA-Match'!Q$79,'DATA-Match'!Q$80)</f>
        <v>0.70181801676392219</v>
      </c>
      <c r="R70" s="2">
        <f>STANDARDIZE('DATA-Match'!R70,'DATA-Match'!R$79,'DATA-Match'!R$80)</f>
        <v>1.2876150819438665</v>
      </c>
      <c r="S70" s="2">
        <f>STANDARDIZE('DATA-Match'!S70,'DATA-Match'!S$79,'DATA-Match'!S$80)</f>
        <v>1.0930654982127068</v>
      </c>
      <c r="Z70">
        <v>1948</v>
      </c>
      <c r="AA70" s="2">
        <f>STANDARDIZE('DATA-Match'!AA70,'DATA-Match'!AA$79,'DATA-Match'!AA$80)</f>
        <v>2.0007216501483809</v>
      </c>
      <c r="AB70" s="2">
        <f>STANDARDIZE('DATA-Match'!AB70,'DATA-Match'!AB$79,'DATA-Match'!AB$80)</f>
        <v>1.0818788486090738</v>
      </c>
      <c r="AC70" s="2">
        <f>STANDARDIZE('DATA-Match'!AC70,'DATA-Match'!AC$79,'DATA-Match'!AC$80)</f>
        <v>1.8232222660927173</v>
      </c>
    </row>
    <row r="71" spans="6:29" x14ac:dyDescent="0.3">
      <c r="P71">
        <v>1947</v>
      </c>
      <c r="Q71" s="2">
        <f>STANDARDIZE('DATA-Match'!Q71,'DATA-Match'!Q$79,'DATA-Match'!Q$80)</f>
        <v>1.1400862291915888</v>
      </c>
      <c r="R71" s="2">
        <f>STANDARDIZE('DATA-Match'!R71,'DATA-Match'!R$79,'DATA-Match'!R$80)</f>
        <v>2.8546121286995723</v>
      </c>
      <c r="S71" s="2">
        <f>STANDARDIZE('DATA-Match'!S71,'DATA-Match'!S$79,'DATA-Match'!S$80)</f>
        <v>3.5401050108834742</v>
      </c>
      <c r="Z71">
        <v>1947</v>
      </c>
      <c r="AA71" s="2">
        <f>STANDARDIZE('DATA-Match'!AA71,'DATA-Match'!AA$79,'DATA-Match'!AA$80)</f>
        <v>2.7392362480990795</v>
      </c>
      <c r="AB71" s="2">
        <f>STANDARDIZE('DATA-Match'!AB71,'DATA-Match'!AB$79,'DATA-Match'!AB$80)</f>
        <v>3.5879475153598284</v>
      </c>
      <c r="AC71" s="2">
        <f>STANDARDIZE('DATA-Match'!AC71,'DATA-Match'!AC$79,'DATA-Match'!AC$80)</f>
        <v>6.6043173470139136</v>
      </c>
    </row>
    <row r="72" spans="6:29" x14ac:dyDescent="0.3">
      <c r="P72">
        <v>1946</v>
      </c>
      <c r="Q72" s="2">
        <f>STANDARDIZE('DATA-Match'!Q72,'DATA-Match'!Q$79,'DATA-Match'!Q$80)</f>
        <v>0.926878906996358</v>
      </c>
      <c r="R72" s="2">
        <f>STANDARDIZE('DATA-Match'!R72,'DATA-Match'!R$79,'DATA-Match'!R$80)</f>
        <v>0.97372641602617838</v>
      </c>
      <c r="S72" s="2">
        <f>STANDARDIZE('DATA-Match'!S72,'DATA-Match'!S$79,'DATA-Match'!S$80)</f>
        <v>1.4642325032756471</v>
      </c>
      <c r="Z72">
        <v>1946</v>
      </c>
      <c r="AA72" s="2">
        <f>STANDARDIZE('DATA-Match'!AA72,'DATA-Match'!AA$79,'DATA-Match'!AA$80)</f>
        <v>2.3799660218625758</v>
      </c>
      <c r="AB72" s="2">
        <f>STANDARDIZE('DATA-Match'!AB72,'DATA-Match'!AB$79,'DATA-Match'!AB$80)</f>
        <v>0.57988265650830528</v>
      </c>
      <c r="AC72" s="2">
        <f>STANDARDIZE('DATA-Match'!AC72,'DATA-Match'!AC$79,'DATA-Match'!AC$80)</f>
        <v>2.5484188691381031</v>
      </c>
    </row>
    <row r="73" spans="6:29" x14ac:dyDescent="0.3">
      <c r="P73">
        <v>1945</v>
      </c>
      <c r="Q73" s="2">
        <f>STANDARDIZE('DATA-Match'!Q73,'DATA-Match'!Q$79,'DATA-Match'!Q$80)</f>
        <v>2.8205584560243051</v>
      </c>
      <c r="R73" s="2">
        <f>STANDARDIZE('DATA-Match'!R73,'DATA-Match'!R$79,'DATA-Match'!R$80)</f>
        <v>0.65999064278555641</v>
      </c>
      <c r="S73" s="2">
        <f>STANDARDIZE('DATA-Match'!S73,'DATA-Match'!S$79,'DATA-Match'!S$80)</f>
        <v>2.7577292978728587</v>
      </c>
      <c r="Z73">
        <v>1945</v>
      </c>
      <c r="AA73" s="2">
        <f>STANDARDIZE('DATA-Match'!AA73,'DATA-Match'!AA$79,'DATA-Match'!AA$80)</f>
        <v>5.570957180110562</v>
      </c>
      <c r="AB73" s="2">
        <f>STANDARDIZE('DATA-Match'!AB73,'DATA-Match'!AB$79,'DATA-Match'!AB$80)</f>
        <v>7.8130982767137397E-2</v>
      </c>
      <c r="AC73" s="2">
        <f>STANDARDIZE('DATA-Match'!AC73,'DATA-Match'!AC$79,'DATA-Match'!AC$80)</f>
        <v>5.0756895281583621</v>
      </c>
    </row>
    <row r="74" spans="6:29" x14ac:dyDescent="0.3">
      <c r="P74">
        <v>1944</v>
      </c>
      <c r="Q74" s="2">
        <f>STANDARDIZE('DATA-Match'!Q74,'DATA-Match'!Q$79,'DATA-Match'!Q$80)</f>
        <v>0.63957940636025701</v>
      </c>
      <c r="R74" s="2">
        <f>STANDARDIZE('DATA-Match'!R74,'DATA-Match'!R$79,'DATA-Match'!R$80)</f>
        <v>2.6998082932192768</v>
      </c>
      <c r="S74" s="2">
        <f>STANDARDIZE('DATA-Match'!S74,'DATA-Match'!S$79,'DATA-Match'!S$80)</f>
        <v>2.8489703468764609</v>
      </c>
      <c r="Z74">
        <v>1944</v>
      </c>
      <c r="AA74" s="2">
        <f>STANDARDIZE('DATA-Match'!AA74,'DATA-Match'!AA$79,'DATA-Match'!AA$80)</f>
        <v>1.8958449535596247</v>
      </c>
      <c r="AB74" s="2">
        <f>STANDARDIZE('DATA-Match'!AB74,'DATA-Match'!AB$79,'DATA-Match'!AB$80)</f>
        <v>3.340372676343244</v>
      </c>
      <c r="AC74" s="2">
        <f>STANDARDIZE('DATA-Match'!AC74,'DATA-Match'!AC$79,'DATA-Match'!AC$80)</f>
        <v>5.2539588729361659</v>
      </c>
    </row>
    <row r="75" spans="6:29" x14ac:dyDescent="0.3">
      <c r="P75">
        <v>1943</v>
      </c>
      <c r="Q75" s="2">
        <f>STANDARDIZE('DATA-Match'!Q75,'DATA-Match'!Q$79,'DATA-Match'!Q$80)</f>
        <v>-0.11657502740351577</v>
      </c>
      <c r="R75" s="2">
        <f>STANDARDIZE('DATA-Match'!R75,'DATA-Match'!R$79,'DATA-Match'!R$80)</f>
        <v>0.8183110098377262</v>
      </c>
      <c r="S75" s="2">
        <f>STANDARDIZE('DATA-Match'!S75,'DATA-Match'!S$79,'DATA-Match'!S$80)</f>
        <v>0.61231054223917258</v>
      </c>
      <c r="Z75">
        <v>1943</v>
      </c>
      <c r="AA75" s="2">
        <f>STANDARDIZE('DATA-Match'!AA75,'DATA-Match'!AA$79,'DATA-Match'!AA$80)</f>
        <v>0.62166838358569287</v>
      </c>
      <c r="AB75" s="2">
        <f>STANDARDIZE('DATA-Match'!AB75,'DATA-Match'!AB$79,'DATA-Match'!AB$80)</f>
        <v>0.33132974405349241</v>
      </c>
      <c r="AC75" s="2">
        <f>STANDARDIZE('DATA-Match'!AC75,'DATA-Match'!AC$79,'DATA-Match'!AC$80)</f>
        <v>0.88390962188254429</v>
      </c>
    </row>
    <row r="76" spans="6:29" x14ac:dyDescent="0.3">
      <c r="P76">
        <v>1942</v>
      </c>
      <c r="Q76" s="2">
        <f>STANDARDIZE('DATA-Match'!Q76,'DATA-Match'!Q$79,'DATA-Match'!Q$80)</f>
        <v>1.3991565815331857</v>
      </c>
      <c r="R76" s="2">
        <f>STANDARDIZE('DATA-Match'!R76,'DATA-Match'!R$79,'DATA-Match'!R$80)</f>
        <v>-0.12243763185304908</v>
      </c>
      <c r="S76" s="2">
        <f>STANDARDIZE('DATA-Match'!S76,'DATA-Match'!S$79,'DATA-Match'!S$80)</f>
        <v>0.74329649376806961</v>
      </c>
      <c r="Z76">
        <v>1942</v>
      </c>
      <c r="AA76" s="2">
        <f>STANDARDIZE('DATA-Match'!AA76,'DATA-Match'!AA$79,'DATA-Match'!AA$80)</f>
        <v>3.1757890978727272</v>
      </c>
      <c r="AB76" s="2">
        <f>STANDARDIZE('DATA-Match'!AB76,'DATA-Match'!AB$79,'DATA-Match'!AB$80)</f>
        <v>-1.1731917220913834</v>
      </c>
      <c r="AC76" s="2">
        <f>STANDARDIZE('DATA-Match'!AC76,'DATA-Match'!AC$79,'DATA-Match'!AC$80)</f>
        <v>1.1398336824797834</v>
      </c>
    </row>
    <row r="79" spans="6:29" x14ac:dyDescent="0.3">
      <c r="F79" t="s">
        <v>4</v>
      </c>
      <c r="G79" s="2">
        <f>AVERAGE(G3:G36)</f>
        <v>3.2653618371328136E-16</v>
      </c>
      <c r="H79" s="2">
        <f t="shared" ref="H79:I79" si="0">AVERAGE(H3:H36)</f>
        <v>-1.1755302613678128E-16</v>
      </c>
      <c r="I79" s="2">
        <f t="shared" si="0"/>
        <v>-2.5469822329635942E-16</v>
      </c>
      <c r="K79" t="s">
        <v>4</v>
      </c>
      <c r="L79" s="2">
        <f>AVERAGE(L3:L68)</f>
        <v>-5.7389990196008095E-16</v>
      </c>
      <c r="M79" s="2">
        <f>AVERAGE(M3:M68)</f>
        <v>-9.9749268674014065E-16</v>
      </c>
      <c r="N79" s="2">
        <f>AVERAGE(N3:N68)</f>
        <v>1.0435028909337409E-15</v>
      </c>
      <c r="P79" t="s">
        <v>4</v>
      </c>
      <c r="Q79" s="2">
        <f>AVERAGE(Q3:Q67)</f>
        <v>8.4547753413761917E-17</v>
      </c>
      <c r="R79" s="2">
        <f t="shared" ref="R79:S79" si="1">AVERAGE(R3:R67)</f>
        <v>-6.9346238153509778E-16</v>
      </c>
      <c r="S79" s="2">
        <f t="shared" si="1"/>
        <v>8.8134627801012429E-16</v>
      </c>
      <c r="U79" t="s">
        <v>4</v>
      </c>
      <c r="V79" s="2">
        <f>AVERAGE(V3:V68)</f>
        <v>-2.6474549048753733E-15</v>
      </c>
      <c r="W79" s="2">
        <f>AVERAGE(W3:W68)</f>
        <v>-2.7089441800853818E-15</v>
      </c>
      <c r="X79" s="2">
        <f>AVERAGE(X3:X68)</f>
        <v>3.4886623504567418E-16</v>
      </c>
      <c r="Z79" t="s">
        <v>4</v>
      </c>
      <c r="AA79" s="2">
        <f>AVERAGE(AA3:AA67)</f>
        <v>2.421780724677529E-15</v>
      </c>
      <c r="AB79" s="2">
        <f t="shared" ref="AB79:AC79" si="2">AVERAGE(AB3:AB67)</f>
        <v>1.0794783870201521E-15</v>
      </c>
      <c r="AC79" s="2">
        <f t="shared" si="2"/>
        <v>4.8166598914506794E-15</v>
      </c>
    </row>
    <row r="80" spans="6:29" x14ac:dyDescent="0.3">
      <c r="F80" t="s">
        <v>5</v>
      </c>
      <c r="G80" s="2">
        <f>_xlfn.STDEV.S(G3:G36)</f>
        <v>0.9999999999999909</v>
      </c>
      <c r="H80" s="2">
        <f t="shared" ref="H80:I80" si="3">_xlfn.STDEV.S(H3:H36)</f>
        <v>0.99999999999999845</v>
      </c>
      <c r="I80" s="2">
        <f t="shared" si="3"/>
        <v>0.99999999999999978</v>
      </c>
      <c r="K80" t="s">
        <v>5</v>
      </c>
      <c r="L80" s="2">
        <f>_xlfn.STDEV.S(L3:L68)</f>
        <v>0.99999999999999867</v>
      </c>
      <c r="M80" s="2">
        <f>_xlfn.STDEV.S(M3:M68)</f>
        <v>1.0000000000000084</v>
      </c>
      <c r="N80" s="2">
        <f>_xlfn.STDEV.S(N3:N68)</f>
        <v>0.99999999999999467</v>
      </c>
      <c r="P80" t="s">
        <v>5</v>
      </c>
      <c r="Q80" s="2">
        <f>_xlfn.STDEV.S(Q3:Q67)</f>
        <v>0.99999999999999467</v>
      </c>
      <c r="R80" s="2">
        <f t="shared" ref="R80:S80" si="4">_xlfn.STDEV.S(R3:R67)</f>
        <v>1.000000000000006</v>
      </c>
      <c r="S80" s="2">
        <f t="shared" si="4"/>
        <v>0.99999999999999756</v>
      </c>
      <c r="U80" t="s">
        <v>5</v>
      </c>
      <c r="V80" s="2">
        <f>_xlfn.STDEV.S(V3:V68)</f>
        <v>1.0000000000000193</v>
      </c>
      <c r="W80" s="2">
        <f>_xlfn.STDEV.S(W3:W68)</f>
        <v>1.0000000000000218</v>
      </c>
      <c r="X80" s="2">
        <f>_xlfn.STDEV.S(X3:X68)</f>
        <v>0.99999999999999234</v>
      </c>
      <c r="Z80" t="s">
        <v>5</v>
      </c>
      <c r="AA80" s="2">
        <f>_xlfn.STDEV.S(AA3:AA67)</f>
        <v>1</v>
      </c>
      <c r="AB80" s="2">
        <f t="shared" ref="AB80:AC80" si="5">_xlfn.STDEV.S(AB3:AB67)</f>
        <v>0.99999999999999756</v>
      </c>
      <c r="AC80" s="2">
        <f t="shared" si="5"/>
        <v>0.99999999999996658</v>
      </c>
    </row>
  </sheetData>
  <autoFilter ref="F2:I2" xr:uid="{F7E03B93-73E4-479F-AEB6-D84B941C29FB}">
    <sortState ref="F3:I36">
      <sortCondition descending="1" ref="F2"/>
    </sortState>
  </autoFilter>
  <mergeCells count="12">
    <mergeCell ref="K1:N1"/>
    <mergeCell ref="A1:B1"/>
    <mergeCell ref="C1:D1"/>
    <mergeCell ref="F1:G1"/>
    <mergeCell ref="H1:I1"/>
    <mergeCell ref="AF3:AG3"/>
    <mergeCell ref="AI3:AJ3"/>
    <mergeCell ref="AL3:AM3"/>
    <mergeCell ref="U1:X1"/>
    <mergeCell ref="P1:S1"/>
    <mergeCell ref="Z1:AA1"/>
    <mergeCell ref="AB1:AC1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FBED-8373-4794-88CD-0375DA3B2DDB}">
  <dimension ref="A3:BI1391"/>
  <sheetViews>
    <sheetView tabSelected="1" topLeftCell="E1" zoomScale="85" zoomScaleNormal="85" workbookViewId="0">
      <selection activeCell="Y11" sqref="Y11"/>
    </sheetView>
  </sheetViews>
  <sheetFormatPr baseColWidth="10" defaultRowHeight="14.4" x14ac:dyDescent="0.3"/>
  <cols>
    <col min="1" max="1" width="10.33203125" customWidth="1"/>
    <col min="2" max="5" width="9.88671875" customWidth="1"/>
    <col min="6" max="6" width="9" customWidth="1"/>
    <col min="7" max="7" width="9.77734375" customWidth="1"/>
    <col min="8" max="8" width="10.44140625" customWidth="1"/>
    <col min="10" max="10" width="7.21875" customWidth="1"/>
    <col min="11" max="11" width="9" customWidth="1"/>
    <col min="12" max="12" width="9.88671875" customWidth="1"/>
    <col min="13" max="13" width="10.33203125" customWidth="1"/>
    <col min="15" max="15" width="6.109375" customWidth="1"/>
    <col min="16" max="16" width="8.109375" customWidth="1"/>
    <col min="17" max="17" width="10.109375" customWidth="1"/>
    <col min="18" max="18" width="10.5546875" customWidth="1"/>
    <col min="20" max="20" width="7.6640625" customWidth="1"/>
    <col min="21" max="21" width="10.44140625" customWidth="1"/>
    <col min="22" max="22" width="10.21875" customWidth="1"/>
    <col min="23" max="23" width="13.5546875" customWidth="1"/>
    <col min="24" max="24" width="7.6640625" customWidth="1"/>
    <col min="25" max="25" width="9" customWidth="1"/>
    <col min="26" max="26" width="10" customWidth="1"/>
    <col min="27" max="27" width="9.88671875" customWidth="1"/>
    <col min="29" max="29" width="6" customWidth="1"/>
    <col min="30" max="30" width="9.5546875" customWidth="1"/>
    <col min="31" max="31" width="10.6640625" customWidth="1"/>
    <col min="32" max="32" width="9.77734375" customWidth="1"/>
    <col min="33" max="33" width="11.77734375" bestFit="1" customWidth="1"/>
    <col min="34" max="34" width="7.21875" customWidth="1"/>
    <col min="35" max="35" width="9.6640625" customWidth="1"/>
    <col min="36" max="36" width="10.6640625" customWidth="1"/>
    <col min="37" max="37" width="10.5546875" customWidth="1"/>
    <col min="38" max="38" width="11.77734375" bestFit="1" customWidth="1"/>
    <col min="39" max="39" width="7" customWidth="1"/>
    <col min="40" max="40" width="9.109375" customWidth="1"/>
    <col min="41" max="41" width="9.5546875" customWidth="1"/>
    <col min="42" max="42" width="8.5546875" customWidth="1"/>
    <col min="43" max="43" width="7" customWidth="1"/>
    <col min="44" max="44" width="9.33203125" customWidth="1"/>
    <col min="45" max="45" width="9.77734375" customWidth="1"/>
    <col min="46" max="46" width="11.109375" customWidth="1"/>
    <col min="47" max="47" width="11.77734375" bestFit="1" customWidth="1"/>
    <col min="48" max="48" width="6.6640625" customWidth="1"/>
    <col min="49" max="49" width="9.21875" customWidth="1"/>
    <col min="50" max="50" width="10.109375" customWidth="1"/>
    <col min="51" max="51" width="10.6640625" customWidth="1"/>
    <col min="52" max="52" width="11.77734375" bestFit="1" customWidth="1"/>
    <col min="53" max="53" width="5.88671875" customWidth="1"/>
    <col min="54" max="55" width="10.21875" customWidth="1"/>
    <col min="56" max="56" width="10.77734375" customWidth="1"/>
    <col min="57" max="57" width="11.77734375" bestFit="1" customWidth="1"/>
    <col min="58" max="58" width="6.5546875" customWidth="1"/>
  </cols>
  <sheetData>
    <row r="3" spans="1:61" x14ac:dyDescent="0.3">
      <c r="A3" s="38" t="s">
        <v>85</v>
      </c>
      <c r="B3" s="38"/>
      <c r="C3" s="32"/>
      <c r="D3" s="32"/>
      <c r="F3" s="38" t="s">
        <v>83</v>
      </c>
      <c r="G3" s="38"/>
      <c r="H3" s="38"/>
      <c r="I3" s="38"/>
      <c r="K3" s="38" t="s">
        <v>86</v>
      </c>
      <c r="L3" s="38"/>
      <c r="M3" s="38"/>
      <c r="N3" s="38"/>
      <c r="P3" s="38" t="s">
        <v>87</v>
      </c>
      <c r="Q3" s="38"/>
      <c r="R3" s="38"/>
      <c r="S3" s="38"/>
      <c r="U3" s="35" t="s">
        <v>94</v>
      </c>
      <c r="V3" s="35"/>
      <c r="W3" s="35"/>
      <c r="Y3" s="39" t="s">
        <v>88</v>
      </c>
      <c r="Z3" s="39"/>
      <c r="AA3" s="39"/>
      <c r="AB3" s="39"/>
      <c r="AD3" s="39" t="s">
        <v>89</v>
      </c>
      <c r="AE3" s="39"/>
      <c r="AF3" s="39"/>
      <c r="AG3" s="39"/>
      <c r="AI3" s="39" t="s">
        <v>91</v>
      </c>
      <c r="AJ3" s="39"/>
      <c r="AK3" s="39"/>
      <c r="AL3" s="39"/>
      <c r="AN3" s="37" t="s">
        <v>96</v>
      </c>
      <c r="AO3" s="37"/>
      <c r="AP3" s="37"/>
      <c r="AR3" s="41" t="s">
        <v>93</v>
      </c>
      <c r="AS3" s="41"/>
      <c r="AT3" s="41"/>
      <c r="AU3" s="41"/>
      <c r="AW3" s="41" t="s">
        <v>90</v>
      </c>
      <c r="AX3" s="41"/>
      <c r="AY3" s="41"/>
      <c r="AZ3" s="41"/>
      <c r="BB3" s="41" t="s">
        <v>92</v>
      </c>
      <c r="BC3" s="41"/>
      <c r="BD3" s="41"/>
      <c r="BE3" s="41"/>
      <c r="BG3" s="40" t="s">
        <v>95</v>
      </c>
      <c r="BH3" s="40"/>
      <c r="BI3" s="40"/>
    </row>
    <row r="4" spans="1:61" x14ac:dyDescent="0.3">
      <c r="A4" t="s">
        <v>82</v>
      </c>
      <c r="B4" t="s">
        <v>1</v>
      </c>
      <c r="C4" t="s">
        <v>2</v>
      </c>
      <c r="D4" t="s">
        <v>3</v>
      </c>
      <c r="F4" t="s">
        <v>84</v>
      </c>
      <c r="G4" t="s">
        <v>1</v>
      </c>
      <c r="H4" t="s">
        <v>2</v>
      </c>
      <c r="I4" t="s">
        <v>3</v>
      </c>
      <c r="K4" t="s">
        <v>84</v>
      </c>
      <c r="L4" t="s">
        <v>1</v>
      </c>
      <c r="M4" t="s">
        <v>2</v>
      </c>
      <c r="N4" t="s">
        <v>3</v>
      </c>
      <c r="P4" t="s">
        <v>84</v>
      </c>
      <c r="Q4" t="s">
        <v>1</v>
      </c>
      <c r="R4" t="s">
        <v>2</v>
      </c>
      <c r="S4" t="s">
        <v>3</v>
      </c>
      <c r="U4" t="s">
        <v>1</v>
      </c>
      <c r="V4" t="s">
        <v>2</v>
      </c>
      <c r="W4" t="s">
        <v>3</v>
      </c>
      <c r="Y4" t="s">
        <v>84</v>
      </c>
      <c r="Z4" t="s">
        <v>1</v>
      </c>
      <c r="AA4" t="s">
        <v>2</v>
      </c>
      <c r="AB4" t="s">
        <v>3</v>
      </c>
      <c r="AD4" t="s">
        <v>84</v>
      </c>
      <c r="AE4" t="s">
        <v>1</v>
      </c>
      <c r="AF4" t="s">
        <v>2</v>
      </c>
      <c r="AG4" t="s">
        <v>3</v>
      </c>
      <c r="AI4" t="s">
        <v>84</v>
      </c>
      <c r="AJ4" t="s">
        <v>1</v>
      </c>
      <c r="AK4" t="s">
        <v>2</v>
      </c>
      <c r="AL4" t="s">
        <v>3</v>
      </c>
      <c r="AN4" t="s">
        <v>1</v>
      </c>
      <c r="AO4" t="s">
        <v>2</v>
      </c>
      <c r="AP4" t="s">
        <v>3</v>
      </c>
      <c r="AR4" t="s">
        <v>84</v>
      </c>
      <c r="AS4" t="s">
        <v>1</v>
      </c>
      <c r="AT4" t="s">
        <v>2</v>
      </c>
      <c r="AU4" t="s">
        <v>3</v>
      </c>
      <c r="AW4" t="s">
        <v>84</v>
      </c>
      <c r="AX4" t="s">
        <v>1</v>
      </c>
      <c r="AY4" t="s">
        <v>2</v>
      </c>
      <c r="AZ4" t="s">
        <v>3</v>
      </c>
      <c r="BB4" t="s">
        <v>84</v>
      </c>
      <c r="BC4" t="s">
        <v>1</v>
      </c>
      <c r="BD4" t="s">
        <v>2</v>
      </c>
      <c r="BE4" t="s">
        <v>3</v>
      </c>
      <c r="BG4" t="s">
        <v>1</v>
      </c>
      <c r="BH4" t="s">
        <v>2</v>
      </c>
      <c r="BI4" t="s">
        <v>3</v>
      </c>
    </row>
    <row r="5" spans="1:61" x14ac:dyDescent="0.3">
      <c r="A5" s="31">
        <v>2015.9166666666665</v>
      </c>
      <c r="B5" s="33">
        <v>0.68516075480084304</v>
      </c>
      <c r="C5" s="33">
        <v>7.6000000000000512E-2</v>
      </c>
      <c r="D5" s="33">
        <v>5.207221736486442E-2</v>
      </c>
      <c r="F5" s="31">
        <v>2015.9166666666665</v>
      </c>
      <c r="G5" s="2">
        <v>0.57151087812902301</v>
      </c>
      <c r="H5" s="2">
        <v>9.2249999999999749E-2</v>
      </c>
      <c r="I5" s="2">
        <v>5.2053756262394259E-2</v>
      </c>
      <c r="K5" s="31">
        <v>2015.9166666666665</v>
      </c>
      <c r="L5" s="2">
        <v>0.76043937692022723</v>
      </c>
      <c r="M5" s="2">
        <v>6.1514999999999952E-2</v>
      </c>
      <c r="N5" s="2">
        <v>4.6778428271247743E-2</v>
      </c>
      <c r="P5" s="31">
        <v>2015.9166666666665</v>
      </c>
      <c r="Q5" s="2">
        <v>0.56952501689403068</v>
      </c>
      <c r="R5" s="2">
        <v>7.1900000000000297E-2</v>
      </c>
      <c r="S5" s="2">
        <v>3.4491262405683301E-2</v>
      </c>
      <c r="U5" s="2">
        <f>AVERAGE(Q5,L5,G5)</f>
        <v>0.63382509064776038</v>
      </c>
      <c r="V5" s="2">
        <f t="shared" ref="V5:W5" si="0">AVERAGE(R5,M5,H5)</f>
        <v>7.5221666666666673E-2</v>
      </c>
      <c r="W5" s="2">
        <f t="shared" si="0"/>
        <v>4.4441148979775101E-2</v>
      </c>
      <c r="Y5" s="31">
        <v>2015.9166666666665</v>
      </c>
      <c r="Z5" s="2">
        <v>-0.94024598054814623</v>
      </c>
      <c r="AA5" s="2">
        <v>-0.1883013680744752</v>
      </c>
      <c r="AB5" s="2">
        <v>-0.53220858513838776</v>
      </c>
      <c r="AD5" s="31">
        <v>2015.9166666666665</v>
      </c>
      <c r="AE5" s="2">
        <v>-0.29053310411764827</v>
      </c>
      <c r="AF5" s="2">
        <v>-0.68622224125583742</v>
      </c>
      <c r="AG5" s="2">
        <v>-0.50601336034234512</v>
      </c>
      <c r="AH5" s="31"/>
      <c r="AI5" s="31">
        <v>2015.9166666666665</v>
      </c>
      <c r="AJ5" s="2">
        <v>-1.1525976636184307</v>
      </c>
      <c r="AK5" s="2">
        <v>-0.61478205611361436</v>
      </c>
      <c r="AL5" s="2">
        <v>-0.84120110723299668</v>
      </c>
      <c r="AM5" s="31"/>
      <c r="AN5" s="2">
        <f>AVERAGE(AJ5,AE5,Z5)</f>
        <v>-0.79445891609474162</v>
      </c>
      <c r="AO5" s="2">
        <f t="shared" ref="AO5:AO68" si="1">AVERAGE(AK5,AF5,AA5)</f>
        <v>-0.49643522181464234</v>
      </c>
      <c r="AP5" s="2">
        <f t="shared" ref="AP5:AP68" si="2">AVERAGE(AL5,AG5,AB5)</f>
        <v>-0.62647435090457648</v>
      </c>
      <c r="AQ5" s="31"/>
      <c r="AR5" s="31">
        <v>2015.9166666666665</v>
      </c>
      <c r="AS5" s="2">
        <v>-0.69302678936470785</v>
      </c>
      <c r="AT5" s="2">
        <v>0.68444756444045063</v>
      </c>
      <c r="AU5" s="2">
        <v>-2.9604164512234014E-2</v>
      </c>
      <c r="AV5" s="31"/>
      <c r="AW5" s="31">
        <v>2015.9166666666665</v>
      </c>
      <c r="AX5" s="2">
        <v>-5.7235026720492244E-2</v>
      </c>
      <c r="AY5" s="2">
        <v>-0.51751295497595129</v>
      </c>
      <c r="AZ5" s="2">
        <v>-0.17783884243404915</v>
      </c>
      <c r="BA5" s="31"/>
      <c r="BB5" s="31">
        <v>2015.9166666666665</v>
      </c>
      <c r="BC5" s="2">
        <v>-0.92137913592890974</v>
      </c>
      <c r="BD5" s="2">
        <v>-0.44318112469553572</v>
      </c>
      <c r="BE5" s="2">
        <v>-0.63567340441024767</v>
      </c>
      <c r="BG5" s="2">
        <f>AVERAGE(BC5,AX5,AS5)</f>
        <v>-0.55721365067136996</v>
      </c>
      <c r="BH5" s="2">
        <f t="shared" ref="BH5:BH68" si="3">AVERAGE(BD5,AY5,AT5)</f>
        <v>-9.208217174367879E-2</v>
      </c>
      <c r="BI5" s="2">
        <f t="shared" ref="BI5:BI68" si="4">AVERAGE(BE5,AZ5,AU5)</f>
        <v>-0.28103880378551027</v>
      </c>
    </row>
    <row r="6" spans="1:61" x14ac:dyDescent="0.3">
      <c r="A6" s="31">
        <v>2015.8333333333333</v>
      </c>
      <c r="B6" s="33">
        <v>0.64420237085499898</v>
      </c>
      <c r="C6" s="33">
        <v>7.6000000000000512E-2</v>
      </c>
      <c r="D6" s="33">
        <v>4.895938018498025E-2</v>
      </c>
      <c r="F6" s="31">
        <v>2015.8333333333333</v>
      </c>
      <c r="G6" s="2">
        <v>0.56439942080003358</v>
      </c>
      <c r="H6" s="2">
        <v>6.1499999999999798E-2</v>
      </c>
      <c r="I6" s="2">
        <v>3.4710564379201954E-2</v>
      </c>
      <c r="K6" s="31">
        <v>2015.8333333333333</v>
      </c>
      <c r="L6" s="2">
        <v>0.81150974357751315</v>
      </c>
      <c r="M6" s="2">
        <v>6.1514999999999952E-2</v>
      </c>
      <c r="N6" s="2">
        <v>4.9920021876170687E-2</v>
      </c>
      <c r="P6" s="31">
        <v>2015.8333333333333</v>
      </c>
      <c r="Q6" s="2">
        <v>0.65304770088693886</v>
      </c>
      <c r="R6" s="2">
        <v>9.5800000000000607E-2</v>
      </c>
      <c r="S6" s="2">
        <v>2.8742225222334578E-2</v>
      </c>
      <c r="U6" s="2">
        <f t="shared" ref="U6:U69" si="5">AVERAGE(Q6,L6,G6)</f>
        <v>0.67631895508816198</v>
      </c>
      <c r="V6" s="2">
        <f t="shared" ref="V6:V69" si="6">AVERAGE(R6,M6,H6)</f>
        <v>7.2938333333333452E-2</v>
      </c>
      <c r="W6" s="2">
        <f t="shared" ref="W6:W69" si="7">AVERAGE(S6,N6,I6)</f>
        <v>3.7790937159235739E-2</v>
      </c>
      <c r="Y6" s="31">
        <v>2015.8333333333333</v>
      </c>
      <c r="Z6" s="2">
        <v>-0.98147875198403767</v>
      </c>
      <c r="AA6" s="2">
        <v>-0.78876452892998272</v>
      </c>
      <c r="AB6" s="2">
        <v>-0.93134894905680987</v>
      </c>
      <c r="AD6" s="31">
        <v>2015.8333333333333</v>
      </c>
      <c r="AE6" s="2">
        <v>1.3374221435874929E-2</v>
      </c>
      <c r="AF6" s="2">
        <v>-0.68622224125583742</v>
      </c>
      <c r="AG6" s="2">
        <v>-0.38655485906824255</v>
      </c>
      <c r="AH6" s="31"/>
      <c r="AI6" s="31">
        <v>2015.8333333333333</v>
      </c>
      <c r="AJ6" s="2">
        <v>-0.44013059588129799</v>
      </c>
      <c r="AK6" s="2">
        <v>-4.5244348379574514E-2</v>
      </c>
      <c r="AL6" s="2">
        <v>-1.3058260156505501</v>
      </c>
      <c r="AM6" s="31"/>
      <c r="AN6" s="2">
        <f t="shared" ref="AN6:AN69" si="8">AVERAGE(AJ6,AE6,Z6)</f>
        <v>-0.46941170880982025</v>
      </c>
      <c r="AO6" s="2">
        <f t="shared" si="1"/>
        <v>-0.50674370618846487</v>
      </c>
      <c r="AP6" s="2">
        <f t="shared" si="2"/>
        <v>-0.87457660792520076</v>
      </c>
      <c r="AQ6" s="31"/>
      <c r="AR6" s="31">
        <v>2015.8333333333333</v>
      </c>
      <c r="AS6" s="2">
        <v>-0.54306754571067417</v>
      </c>
      <c r="AT6" s="2">
        <v>-0.2854929317171821</v>
      </c>
      <c r="AU6" s="2">
        <v>-0.69294043170751918</v>
      </c>
      <c r="AV6" s="31"/>
      <c r="AW6" s="31">
        <v>2015.8333333333333</v>
      </c>
      <c r="AX6" s="2">
        <v>0.15280225655666199</v>
      </c>
      <c r="AY6" s="2">
        <v>-0.19138401234735175</v>
      </c>
      <c r="AZ6" s="2">
        <v>0.10207275469892491</v>
      </c>
      <c r="BA6" s="31"/>
      <c r="BB6" s="31">
        <v>2015.8333333333333</v>
      </c>
      <c r="BC6" s="2">
        <v>-0.21343235670192107</v>
      </c>
      <c r="BD6" s="2">
        <v>0.77503763331420128</v>
      </c>
      <c r="BE6" s="2">
        <v>-0.69034267810546091</v>
      </c>
      <c r="BG6" s="2">
        <f t="shared" ref="BG6:BG69" si="9">AVERAGE(BC6,AX6,AS6)</f>
        <v>-0.2012325486186444</v>
      </c>
      <c r="BH6" s="2">
        <f t="shared" si="3"/>
        <v>9.9386896416555792E-2</v>
      </c>
      <c r="BI6" s="2">
        <f t="shared" si="4"/>
        <v>-0.42707011837135173</v>
      </c>
    </row>
    <row r="7" spans="1:61" x14ac:dyDescent="0.3">
      <c r="A7" s="31">
        <v>2015.7499999999998</v>
      </c>
      <c r="B7" s="33">
        <v>0.61752516082970488</v>
      </c>
      <c r="C7" s="33">
        <v>6.0800000000000409E-2</v>
      </c>
      <c r="D7" s="33">
        <v>3.7545529778446309E-2</v>
      </c>
      <c r="F7" s="31">
        <v>2015.7499999999998</v>
      </c>
      <c r="G7" s="2">
        <v>0.60291223639585179</v>
      </c>
      <c r="H7" s="2">
        <v>9.2249999999999749E-2</v>
      </c>
      <c r="I7" s="2">
        <v>5.4637505700798832E-2</v>
      </c>
      <c r="K7" s="31">
        <v>2015.7499999999998</v>
      </c>
      <c r="L7" s="2">
        <v>0.8661349204863622</v>
      </c>
      <c r="M7" s="2">
        <v>6.1514999999999952E-2</v>
      </c>
      <c r="N7" s="2">
        <v>5.3280289633718531E-2</v>
      </c>
      <c r="P7" s="31">
        <v>2015.7499999999998</v>
      </c>
      <c r="Q7" s="2">
        <v>0.69733836236669688</v>
      </c>
      <c r="R7" s="2">
        <v>9.5850000000000463E-2</v>
      </c>
      <c r="S7" s="2">
        <v>3.8574587282231065E-2</v>
      </c>
      <c r="U7" s="2">
        <f t="shared" si="5"/>
        <v>0.72212850641630366</v>
      </c>
      <c r="V7" s="2">
        <f t="shared" si="6"/>
        <v>8.3205000000000057E-2</v>
      </c>
      <c r="W7" s="2">
        <f t="shared" si="7"/>
        <v>4.8830794205582811E-2</v>
      </c>
      <c r="Y7" s="31">
        <v>2015.7499999999998</v>
      </c>
      <c r="Z7" s="2">
        <v>-0.75817851275716941</v>
      </c>
      <c r="AA7" s="2">
        <v>-0.1883013680744752</v>
      </c>
      <c r="AB7" s="2">
        <v>-0.47274555791337869</v>
      </c>
      <c r="AD7" s="31">
        <v>2015.7499999999998</v>
      </c>
      <c r="AE7" s="2">
        <v>0.33843535784124701</v>
      </c>
      <c r="AF7" s="2">
        <v>-0.68622224125583742</v>
      </c>
      <c r="AG7" s="2">
        <v>-0.25878131459472015</v>
      </c>
      <c r="AH7" s="31"/>
      <c r="AI7" s="31">
        <v>2015.7499999999998</v>
      </c>
      <c r="AJ7" s="2">
        <v>-0.74203281038520863</v>
      </c>
      <c r="AK7" s="2">
        <v>-4.4052846898962821E-2</v>
      </c>
      <c r="AL7" s="2">
        <v>-0.51119551041756162</v>
      </c>
      <c r="AM7" s="31"/>
      <c r="AN7" s="2">
        <f t="shared" si="8"/>
        <v>-0.38725865510037699</v>
      </c>
      <c r="AO7" s="2">
        <f t="shared" si="1"/>
        <v>-0.30619215207642514</v>
      </c>
      <c r="AP7" s="2">
        <f t="shared" si="2"/>
        <v>-0.41424079430855354</v>
      </c>
      <c r="AQ7" s="31"/>
      <c r="AR7" s="31">
        <v>2015.7499999999998</v>
      </c>
      <c r="AS7" s="2">
        <v>-0.99981621445078273</v>
      </c>
      <c r="AT7" s="2">
        <v>0.89414149018552613</v>
      </c>
      <c r="AU7" s="2">
        <v>-8.0285224248532502E-2</v>
      </c>
      <c r="AV7" s="31"/>
      <c r="AW7" s="31">
        <v>2015.7499999999998</v>
      </c>
      <c r="AX7" s="2">
        <v>0.44952977340566486</v>
      </c>
      <c r="AY7" s="2">
        <v>-0.6564669997761764</v>
      </c>
      <c r="AZ7" s="2">
        <v>-7.1894194346613705E-2</v>
      </c>
      <c r="BA7" s="31"/>
      <c r="BB7" s="31">
        <v>2015.7499999999998</v>
      </c>
      <c r="BC7" s="2">
        <v>-0.78953217644519047</v>
      </c>
      <c r="BD7" s="2">
        <v>0.36965282471677957</v>
      </c>
      <c r="BE7" s="2">
        <v>-0.69793612816786788</v>
      </c>
      <c r="BG7" s="2">
        <f t="shared" si="9"/>
        <v>-0.4466062058301028</v>
      </c>
      <c r="BH7" s="2">
        <f t="shared" si="3"/>
        <v>0.20244243837537645</v>
      </c>
      <c r="BI7" s="2">
        <f t="shared" si="4"/>
        <v>-0.2833718489210047</v>
      </c>
    </row>
    <row r="8" spans="1:61" x14ac:dyDescent="0.3">
      <c r="A8" s="31">
        <v>2015.6666666666665</v>
      </c>
      <c r="B8" s="33">
        <v>0.61419012154780461</v>
      </c>
      <c r="C8" s="33">
        <v>7.6000000000000512E-2</v>
      </c>
      <c r="D8" s="33">
        <v>4.6678449237633465E-2</v>
      </c>
      <c r="F8" s="31">
        <v>2015.6666666666665</v>
      </c>
      <c r="G8" s="2">
        <v>0.57776210087004631</v>
      </c>
      <c r="H8" s="2">
        <v>6.1499999999999798E-2</v>
      </c>
      <c r="I8" s="2">
        <v>3.5532369203507733E-2</v>
      </c>
      <c r="K8" s="31">
        <v>2015.6666666666665</v>
      </c>
      <c r="L8" s="2">
        <v>0.97659652538847841</v>
      </c>
      <c r="M8" s="2">
        <v>6.1514999999999952E-2</v>
      </c>
      <c r="N8" s="2">
        <v>6.0075335259272201E-2</v>
      </c>
      <c r="P8" s="31">
        <v>2015.6666666666665</v>
      </c>
      <c r="Q8" s="2">
        <v>0.66466492933870203</v>
      </c>
      <c r="R8" s="2">
        <v>7.1900000000000297E-2</v>
      </c>
      <c r="S8" s="2">
        <v>4.1685376769251326E-2</v>
      </c>
      <c r="U8" s="2">
        <f t="shared" si="5"/>
        <v>0.73967451853240895</v>
      </c>
      <c r="V8" s="2">
        <f t="shared" si="6"/>
        <v>6.4971666666666691E-2</v>
      </c>
      <c r="W8" s="2">
        <f t="shared" si="7"/>
        <v>4.5764360410677087E-2</v>
      </c>
      <c r="Y8" s="31">
        <v>2015.6666666666665</v>
      </c>
      <c r="Z8" s="2">
        <v>-0.90400091479703271</v>
      </c>
      <c r="AA8" s="2">
        <v>-0.78876452892998272</v>
      </c>
      <c r="AB8" s="2">
        <v>-0.9124357363764376</v>
      </c>
      <c r="AD8" s="31">
        <v>2015.6666666666665</v>
      </c>
      <c r="AE8" s="2">
        <v>0.99576549113416757</v>
      </c>
      <c r="AF8" s="2">
        <v>-0.68622224125583742</v>
      </c>
      <c r="AG8" s="2">
        <v>-4.0099282242055735E-4</v>
      </c>
      <c r="AH8" s="31"/>
      <c r="AI8" s="31">
        <v>2015.6666666666665</v>
      </c>
      <c r="AJ8" s="2">
        <v>-0.54765266510086763</v>
      </c>
      <c r="AK8" s="2">
        <v>-0.61478205611361436</v>
      </c>
      <c r="AL8" s="2">
        <v>-0.25978814698993757</v>
      </c>
      <c r="AM8" s="31"/>
      <c r="AN8" s="2">
        <f t="shared" si="8"/>
        <v>-0.15196269625457759</v>
      </c>
      <c r="AO8" s="2">
        <f t="shared" si="1"/>
        <v>-0.69658960876647813</v>
      </c>
      <c r="AP8" s="2">
        <f t="shared" si="2"/>
        <v>-0.39087495872959854</v>
      </c>
      <c r="AQ8" s="31"/>
      <c r="AR8" s="31">
        <v>2015.6666666666665</v>
      </c>
      <c r="AS8" s="2">
        <v>-0.63544633531105765</v>
      </c>
      <c r="AT8" s="2">
        <v>-0.32631334910520099</v>
      </c>
      <c r="AU8" s="2">
        <v>-0.76512432755112536</v>
      </c>
      <c r="AV8" s="31"/>
      <c r="AW8" s="31">
        <v>2015.6666666666665</v>
      </c>
      <c r="AX8" s="2">
        <v>0.53312345707008013</v>
      </c>
      <c r="AY8" s="2">
        <v>-0.23837245449551037</v>
      </c>
      <c r="AZ8" s="2">
        <v>0.51776973821168082</v>
      </c>
      <c r="BA8" s="31"/>
      <c r="BB8" s="31">
        <v>2015.6666666666665</v>
      </c>
      <c r="BC8" s="2">
        <v>-0.75065072222675977</v>
      </c>
      <c r="BD8" s="2">
        <v>7.7097786990586777E-4</v>
      </c>
      <c r="BE8" s="2">
        <v>-0.1871655494218297</v>
      </c>
      <c r="BG8" s="2">
        <f t="shared" si="9"/>
        <v>-0.28432453348924575</v>
      </c>
      <c r="BH8" s="2">
        <f t="shared" si="3"/>
        <v>-0.18797160857693518</v>
      </c>
      <c r="BI8" s="2">
        <f t="shared" si="4"/>
        <v>-0.1448400462537581</v>
      </c>
    </row>
    <row r="9" spans="1:61" x14ac:dyDescent="0.3">
      <c r="A9" s="31">
        <v>2015.5833333333333</v>
      </c>
      <c r="B9" s="33">
        <v>0.4988369422880844</v>
      </c>
      <c r="C9" s="33">
        <v>7.6000000000000512E-2</v>
      </c>
      <c r="D9" s="33">
        <v>3.7911607613894671E-2</v>
      </c>
      <c r="F9" s="31">
        <v>2015.5833333333333</v>
      </c>
      <c r="G9" s="2">
        <v>0.62929661984126006</v>
      </c>
      <c r="H9" s="2">
        <v>9.2249999999999749E-2</v>
      </c>
      <c r="I9" s="2">
        <v>5.6529639884199845E-2</v>
      </c>
      <c r="K9" s="31">
        <v>2015.5833333333333</v>
      </c>
      <c r="L9" s="2">
        <v>1.111211892476645</v>
      </c>
      <c r="M9" s="2">
        <v>6.1514999999999952E-2</v>
      </c>
      <c r="N9" s="2">
        <v>6.8356199565700757E-2</v>
      </c>
      <c r="P9" s="31">
        <v>2015.5833333333333</v>
      </c>
      <c r="Q9" s="2">
        <v>0.60622300116078931</v>
      </c>
      <c r="R9" s="2">
        <v>9.5850000000000463E-2</v>
      </c>
      <c r="S9" s="2">
        <v>4.7057816764810349E-2</v>
      </c>
      <c r="U9" s="2">
        <f t="shared" si="5"/>
        <v>0.78224383782623141</v>
      </c>
      <c r="V9" s="2">
        <f t="shared" si="6"/>
        <v>8.3205000000000057E-2</v>
      </c>
      <c r="W9" s="2">
        <f t="shared" si="7"/>
        <v>5.7314552071570317E-2</v>
      </c>
      <c r="Y9" s="31">
        <v>2015.5833333333333</v>
      </c>
      <c r="Z9" s="2">
        <v>-0.60519984723854625</v>
      </c>
      <c r="AA9" s="2">
        <v>-0.1883013680744752</v>
      </c>
      <c r="AB9" s="2">
        <v>-0.42919952949878937</v>
      </c>
      <c r="AD9" s="31">
        <v>2015.5833333333333</v>
      </c>
      <c r="AE9" s="2">
        <v>1.7968287861111967</v>
      </c>
      <c r="AF9" s="2">
        <v>-0.68622224125583742</v>
      </c>
      <c r="AG9" s="2">
        <v>0.31447730262293516</v>
      </c>
      <c r="AH9" s="31"/>
      <c r="AI9" s="31">
        <v>2015.5833333333333</v>
      </c>
      <c r="AJ9" s="2">
        <v>-0.14158529029383532</v>
      </c>
      <c r="AK9" s="2">
        <v>-4.4052846898962821E-2</v>
      </c>
      <c r="AL9" s="2">
        <v>0.1744009809122469</v>
      </c>
      <c r="AM9" s="31"/>
      <c r="AN9" s="2">
        <f t="shared" si="8"/>
        <v>0.3500145495262717</v>
      </c>
      <c r="AO9" s="2">
        <f t="shared" si="1"/>
        <v>-0.30619215207642514</v>
      </c>
      <c r="AP9" s="2">
        <f t="shared" si="2"/>
        <v>1.9892918012130889E-2</v>
      </c>
      <c r="AQ9" s="31"/>
      <c r="AR9" s="31">
        <v>2015.5833333333333</v>
      </c>
      <c r="AS9" s="2">
        <v>-1.1081505503125857</v>
      </c>
      <c r="AT9" s="2">
        <v>0.98806436351113014</v>
      </c>
      <c r="AU9" s="2">
        <v>-0.19968377120572933</v>
      </c>
      <c r="AV9" s="31"/>
      <c r="AW9" s="31">
        <v>2015.5833333333333</v>
      </c>
      <c r="AX9" s="2">
        <v>1.7673255892634341</v>
      </c>
      <c r="AY9" s="2">
        <v>-0.53553372549108424</v>
      </c>
      <c r="AZ9" s="2">
        <v>1.386106610009725</v>
      </c>
      <c r="BA9" s="31"/>
      <c r="BB9" s="31">
        <v>2015.5833333333333</v>
      </c>
      <c r="BC9" s="2">
        <v>-0.66865317382454703</v>
      </c>
      <c r="BD9" s="2">
        <v>0.77441334649330551</v>
      </c>
      <c r="BE9" s="2">
        <v>-0.48980659910435392</v>
      </c>
      <c r="BG9" s="2">
        <f t="shared" si="9"/>
        <v>-3.1593782912329171E-3</v>
      </c>
      <c r="BH9" s="2">
        <f t="shared" si="3"/>
        <v>0.40898132817111715</v>
      </c>
      <c r="BI9" s="2">
        <f t="shared" si="4"/>
        <v>0.23220541323321395</v>
      </c>
    </row>
    <row r="10" spans="1:61" x14ac:dyDescent="0.3">
      <c r="A10" s="31">
        <v>2015.4999999999998</v>
      </c>
      <c r="B10" s="33">
        <v>0.63175884013242101</v>
      </c>
      <c r="C10" s="33">
        <v>6.0800000000000409E-2</v>
      </c>
      <c r="D10" s="33">
        <v>3.8410937480051456E-2</v>
      </c>
      <c r="F10" s="31">
        <v>2015.4999999999998</v>
      </c>
      <c r="G10" s="2">
        <v>0.58127809647548123</v>
      </c>
      <c r="H10" s="2">
        <v>6.1499999999999798E-2</v>
      </c>
      <c r="I10" s="2">
        <v>3.5748602933241981E-2</v>
      </c>
      <c r="K10" s="31">
        <v>2015.4999999999998</v>
      </c>
      <c r="L10" s="2">
        <v>1.2640179730055281</v>
      </c>
      <c r="M10" s="2">
        <v>6.1514999999999952E-2</v>
      </c>
      <c r="N10" s="2">
        <v>7.7756065609435002E-2</v>
      </c>
      <c r="P10" s="31">
        <v>2015.4999999999998</v>
      </c>
      <c r="Q10" s="2">
        <v>0.56815753010799952</v>
      </c>
      <c r="R10" s="2">
        <v>4.7900000000000303E-2</v>
      </c>
      <c r="S10" s="2">
        <v>3.1766619351361811E-2</v>
      </c>
      <c r="U10" s="2">
        <f t="shared" si="5"/>
        <v>0.80448453319633628</v>
      </c>
      <c r="V10" s="2">
        <f t="shared" si="6"/>
        <v>5.6971666666666691E-2</v>
      </c>
      <c r="W10" s="2">
        <f t="shared" si="7"/>
        <v>4.8423762631346262E-2</v>
      </c>
      <c r="Y10" s="31">
        <v>2015.4999999999998</v>
      </c>
      <c r="Z10" s="2">
        <v>-0.88361490438289192</v>
      </c>
      <c r="AA10" s="2">
        <v>-0.78876452892998272</v>
      </c>
      <c r="AB10" s="2">
        <v>-0.90745928162930367</v>
      </c>
      <c r="AD10" s="31">
        <v>2015.4999999999998</v>
      </c>
      <c r="AE10" s="2">
        <v>2.7061405906158154</v>
      </c>
      <c r="AF10" s="2">
        <v>-0.68622224125583742</v>
      </c>
      <c r="AG10" s="2">
        <v>0.67190542699975564</v>
      </c>
      <c r="AH10" s="31"/>
      <c r="AI10" s="31">
        <v>2015.4999999999998</v>
      </c>
      <c r="AJ10" s="2">
        <v>-2.8438886997610931E-2</v>
      </c>
      <c r="AK10" s="2">
        <v>-1.186702766808877</v>
      </c>
      <c r="AL10" s="2">
        <v>-1.061400940563568</v>
      </c>
      <c r="AM10" s="31"/>
      <c r="AN10" s="2">
        <f t="shared" si="8"/>
        <v>0.59802893307843752</v>
      </c>
      <c r="AO10" s="2">
        <f t="shared" si="1"/>
        <v>-0.88722984566489904</v>
      </c>
      <c r="AP10" s="2">
        <f t="shared" si="2"/>
        <v>-0.43231826506437204</v>
      </c>
      <c r="AQ10" s="31"/>
      <c r="AR10" s="31">
        <v>2015.4999999999998</v>
      </c>
      <c r="AS10" s="2">
        <v>-0.60784888168790019</v>
      </c>
      <c r="AT10" s="2">
        <v>-2.3130098149133811E-2</v>
      </c>
      <c r="AU10" s="2">
        <v>-0.61315369714101253</v>
      </c>
      <c r="AV10" s="31"/>
      <c r="AW10" s="31">
        <v>2015.4999999999998</v>
      </c>
      <c r="AX10" s="2">
        <v>0.86354084030995415</v>
      </c>
      <c r="AY10" s="2">
        <v>-0.10780241638246968</v>
      </c>
      <c r="AZ10" s="2">
        <v>0.86388754733411399</v>
      </c>
      <c r="BA10" s="31"/>
      <c r="BB10" s="31">
        <v>2015.4999999999998</v>
      </c>
      <c r="BC10" s="2">
        <v>-0.4042993996052569</v>
      </c>
      <c r="BD10" s="2">
        <v>-0.38248368897839508</v>
      </c>
      <c r="BE10" s="2">
        <v>-0.56436258721300703</v>
      </c>
      <c r="BG10" s="2">
        <f t="shared" si="9"/>
        <v>-4.953581366106765E-2</v>
      </c>
      <c r="BH10" s="2">
        <f t="shared" si="3"/>
        <v>-0.17113873450333286</v>
      </c>
      <c r="BI10" s="2">
        <f t="shared" si="4"/>
        <v>-0.10454291233996853</v>
      </c>
    </row>
    <row r="11" spans="1:61" x14ac:dyDescent="0.3">
      <c r="A11" s="31">
        <v>2015.4166666666665</v>
      </c>
      <c r="B11" s="33">
        <v>0.56872467451258357</v>
      </c>
      <c r="C11" s="33">
        <v>0.21280000000000143</v>
      </c>
      <c r="D11" s="33">
        <v>0.1210246107362786</v>
      </c>
      <c r="F11" s="31">
        <v>2015.4166666666665</v>
      </c>
      <c r="G11" s="2">
        <v>0.65330890557664378</v>
      </c>
      <c r="H11" s="2">
        <v>9.2249999999999804E-2</v>
      </c>
      <c r="I11" s="2">
        <v>6.2454276237808082E-2</v>
      </c>
      <c r="K11" s="31">
        <v>2015.4166666666665</v>
      </c>
      <c r="L11" s="2">
        <v>1.4316064641239086</v>
      </c>
      <c r="M11" s="2">
        <v>9.2279999999999945E-2</v>
      </c>
      <c r="N11" s="2">
        <v>0.13192325820040696</v>
      </c>
      <c r="P11" s="31">
        <v>2015.4166666666665</v>
      </c>
      <c r="Q11" s="2">
        <v>0.51481286057719933</v>
      </c>
      <c r="R11" s="2">
        <v>0.14380000000000059</v>
      </c>
      <c r="S11" s="2">
        <v>4.9395597164177144E-2</v>
      </c>
      <c r="U11" s="2">
        <f t="shared" si="5"/>
        <v>0.86657607675925064</v>
      </c>
      <c r="V11" s="2">
        <f t="shared" si="6"/>
        <v>0.10944333333333345</v>
      </c>
      <c r="W11" s="2">
        <f t="shared" si="7"/>
        <v>8.1257710534130723E-2</v>
      </c>
      <c r="Y11" s="31">
        <v>2015.4166666666665</v>
      </c>
      <c r="Z11" s="2">
        <v>-0.4659747849796001</v>
      </c>
      <c r="AA11" s="2">
        <v>-0.18830136807447412</v>
      </c>
      <c r="AB11" s="2">
        <v>-0.29284853216275392</v>
      </c>
      <c r="AD11" s="31">
        <v>2015.4166666666665</v>
      </c>
      <c r="AE11" s="2">
        <v>3.7034189236874906</v>
      </c>
      <c r="AF11" s="2">
        <v>6.7241855071186282E-2</v>
      </c>
      <c r="AG11" s="2">
        <v>2.731602656776202</v>
      </c>
      <c r="AH11" s="31"/>
      <c r="AI11" s="31">
        <v>2015.4166666666665</v>
      </c>
      <c r="AJ11" s="2">
        <v>8.7723560645292159E-2</v>
      </c>
      <c r="AK11" s="2">
        <v>1.0985970730109507</v>
      </c>
      <c r="AL11" s="2">
        <v>0.36333540059249314</v>
      </c>
      <c r="AM11" s="31"/>
      <c r="AN11" s="2">
        <f t="shared" si="8"/>
        <v>1.1083892331177274</v>
      </c>
      <c r="AO11" s="2">
        <f t="shared" si="1"/>
        <v>0.32584585333588761</v>
      </c>
      <c r="AP11" s="2">
        <f t="shared" si="2"/>
        <v>0.93402984173531367</v>
      </c>
      <c r="AQ11" s="31"/>
      <c r="AR11" s="31">
        <v>2015.4166666666665</v>
      </c>
      <c r="AS11" s="2">
        <v>-1.0461351752634216</v>
      </c>
      <c r="AT11" s="2">
        <v>-1.6914044055113877</v>
      </c>
      <c r="AU11" s="2">
        <v>-1.612125789405239</v>
      </c>
      <c r="AV11" s="31"/>
      <c r="AW11" s="31">
        <v>2015.4166666666665</v>
      </c>
      <c r="AX11" s="2">
        <v>3.2950191027090954</v>
      </c>
      <c r="AY11" s="2">
        <v>-1.019318303187664</v>
      </c>
      <c r="AZ11" s="2">
        <v>1.2244560362950034</v>
      </c>
      <c r="BA11" s="31"/>
      <c r="BB11" s="31">
        <v>2015.4166666666665</v>
      </c>
      <c r="BC11" s="2">
        <v>-0.65430473667764744</v>
      </c>
      <c r="BD11" s="2">
        <v>-0.3489924073651578</v>
      </c>
      <c r="BE11" s="2">
        <v>-0.56613581941327185</v>
      </c>
      <c r="BG11" s="2">
        <f t="shared" si="9"/>
        <v>0.53152639692267545</v>
      </c>
      <c r="BH11" s="2">
        <f t="shared" si="3"/>
        <v>-1.0199050386880699</v>
      </c>
      <c r="BI11" s="2">
        <f t="shared" si="4"/>
        <v>-0.31793519084116911</v>
      </c>
    </row>
    <row r="12" spans="1:61" x14ac:dyDescent="0.3">
      <c r="A12" s="31">
        <v>2015.3333333333333</v>
      </c>
      <c r="B12" s="33">
        <v>0.66884488872990155</v>
      </c>
      <c r="C12" s="33">
        <v>0.21280000000000143</v>
      </c>
      <c r="D12" s="33">
        <v>0.142330192321724</v>
      </c>
      <c r="F12" s="31">
        <v>2015.3333333333333</v>
      </c>
      <c r="G12" s="2">
        <v>0.63596285620438864</v>
      </c>
      <c r="H12" s="2">
        <v>9.2249999999999804E-2</v>
      </c>
      <c r="I12" s="2">
        <v>6.0830497709050649E-2</v>
      </c>
      <c r="K12" s="31">
        <v>2015.3333333333333</v>
      </c>
      <c r="L12" s="2">
        <v>1.3849357728252549</v>
      </c>
      <c r="M12" s="2">
        <v>6.1514999999999952E-2</v>
      </c>
      <c r="N12" s="2">
        <v>8.5193895037591422E-2</v>
      </c>
      <c r="P12" s="31">
        <v>2015.3333333333333</v>
      </c>
      <c r="Q12" s="2">
        <v>0.47438404117193594</v>
      </c>
      <c r="R12" s="2">
        <v>9.5850000000000463E-2</v>
      </c>
      <c r="S12" s="2">
        <v>4.1787871841294635E-2</v>
      </c>
      <c r="U12" s="2">
        <f t="shared" si="5"/>
        <v>0.83176089006719323</v>
      </c>
      <c r="V12" s="2">
        <f t="shared" si="6"/>
        <v>8.3205000000000071E-2</v>
      </c>
      <c r="W12" s="2">
        <f t="shared" si="7"/>
        <v>6.2604088195978902E-2</v>
      </c>
      <c r="Y12" s="31">
        <v>2015.3333333333333</v>
      </c>
      <c r="Z12" s="2">
        <v>-0.56654850088538344</v>
      </c>
      <c r="AA12" s="2">
        <v>-0.18830136807447412</v>
      </c>
      <c r="AB12" s="2">
        <v>-0.33021855939051387</v>
      </c>
      <c r="AD12" s="31">
        <v>2015.3333333333333</v>
      </c>
      <c r="AE12" s="2">
        <v>3.425692995665699</v>
      </c>
      <c r="AF12" s="2">
        <v>-0.68622224125583742</v>
      </c>
      <c r="AG12" s="2">
        <v>0.95472748101325533</v>
      </c>
      <c r="AH12" s="31"/>
      <c r="AI12" s="31">
        <v>2015.3333333333333</v>
      </c>
      <c r="AJ12" s="2">
        <v>-0.56418893974155704</v>
      </c>
      <c r="AK12" s="2">
        <v>-4.4052846898962821E-2</v>
      </c>
      <c r="AL12" s="2">
        <v>-0.2515047141397721</v>
      </c>
      <c r="AM12" s="31"/>
      <c r="AN12" s="2">
        <f t="shared" si="8"/>
        <v>0.76498518501291946</v>
      </c>
      <c r="AO12" s="2">
        <f t="shared" si="1"/>
        <v>-0.30619215207642481</v>
      </c>
      <c r="AP12" s="2">
        <f t="shared" si="2"/>
        <v>0.12433473582765643</v>
      </c>
      <c r="AQ12" s="31"/>
      <c r="AR12" s="31">
        <v>2015.3333333333333</v>
      </c>
      <c r="AS12" s="2">
        <v>-0.78054264291811604</v>
      </c>
      <c r="AT12" s="2">
        <v>-1.2318355951367137</v>
      </c>
      <c r="AU12" s="2">
        <v>-1.2889776699447224</v>
      </c>
      <c r="AV12" s="31"/>
      <c r="AW12" s="31">
        <v>2015.3333333333333</v>
      </c>
      <c r="AX12" s="2">
        <v>3.1069018314739139</v>
      </c>
      <c r="AY12" s="2">
        <v>-1.269857360921067</v>
      </c>
      <c r="AZ12" s="2">
        <v>0.32375599102463581</v>
      </c>
      <c r="BA12" s="31"/>
      <c r="BB12" s="31">
        <v>2015.3333333333333</v>
      </c>
      <c r="BC12" s="2">
        <v>-0.91016540888985165</v>
      </c>
      <c r="BD12" s="2">
        <v>-0.7363458413185221</v>
      </c>
      <c r="BE12" s="2">
        <v>-0.70479163605299178</v>
      </c>
      <c r="BG12" s="2">
        <f t="shared" si="9"/>
        <v>0.47206459322198208</v>
      </c>
      <c r="BH12" s="2">
        <f t="shared" si="3"/>
        <v>-1.0793462657921011</v>
      </c>
      <c r="BI12" s="2">
        <f t="shared" si="4"/>
        <v>-0.55667110499102612</v>
      </c>
    </row>
    <row r="13" spans="1:61" x14ac:dyDescent="0.3">
      <c r="A13" s="31">
        <v>2015.2499999999998</v>
      </c>
      <c r="B13" s="33">
        <v>0.64346527424406053</v>
      </c>
      <c r="C13" s="33">
        <v>0.21280000000000143</v>
      </c>
      <c r="D13" s="33">
        <v>0.136929410359137</v>
      </c>
      <c r="F13" s="31">
        <v>2015.2499999999998</v>
      </c>
      <c r="G13" s="2">
        <v>0.61664107597758089</v>
      </c>
      <c r="H13" s="2">
        <v>9.2249999999999804E-2</v>
      </c>
      <c r="I13" s="2">
        <v>5.9029549140652518E-2</v>
      </c>
      <c r="K13" s="31">
        <v>2015.2499999999998</v>
      </c>
      <c r="L13" s="2">
        <v>1.3159035687891913</v>
      </c>
      <c r="M13" s="2">
        <v>9.2279999999999945E-2</v>
      </c>
      <c r="N13" s="2">
        <v>0.12018713503896719</v>
      </c>
      <c r="P13" s="31">
        <v>2015.2499999999998</v>
      </c>
      <c r="Q13" s="2">
        <v>0.46963224390553537</v>
      </c>
      <c r="R13" s="2">
        <v>9.5850000000000463E-2</v>
      </c>
      <c r="S13" s="2">
        <v>3.6676697848085624E-2</v>
      </c>
      <c r="U13" s="2">
        <f t="shared" si="5"/>
        <v>0.80072562955743587</v>
      </c>
      <c r="V13" s="2">
        <f t="shared" si="6"/>
        <v>9.3460000000000057E-2</v>
      </c>
      <c r="W13" s="2">
        <f t="shared" si="7"/>
        <v>7.1964460675901773E-2</v>
      </c>
      <c r="Y13" s="31">
        <v>2015.2499999999998</v>
      </c>
      <c r="Z13" s="2">
        <v>-0.67857765482248544</v>
      </c>
      <c r="AA13" s="2">
        <v>-0.18830136807447412</v>
      </c>
      <c r="AB13" s="2">
        <v>-0.37166602026335516</v>
      </c>
      <c r="AD13" s="31">
        <v>2015.2499999999998</v>
      </c>
      <c r="AE13" s="2">
        <v>3.0148991463391401</v>
      </c>
      <c r="AF13" s="2">
        <v>6.7241855071186282E-2</v>
      </c>
      <c r="AG13" s="2">
        <v>2.2853387983837781</v>
      </c>
      <c r="AH13" s="31"/>
      <c r="AI13" s="31">
        <v>2015.2499999999998</v>
      </c>
      <c r="AJ13" s="2">
        <v>-1.0551777171016727</v>
      </c>
      <c r="AK13" s="2">
        <v>-4.4052846898962821E-2</v>
      </c>
      <c r="AL13" s="2">
        <v>-0.66457888165066081</v>
      </c>
      <c r="AM13" s="31"/>
      <c r="AN13" s="2">
        <f t="shared" si="8"/>
        <v>0.42704792480499404</v>
      </c>
      <c r="AO13" s="2">
        <f t="shared" si="1"/>
        <v>-5.5037453300750216E-2</v>
      </c>
      <c r="AP13" s="2">
        <f t="shared" si="2"/>
        <v>0.41636463215658742</v>
      </c>
      <c r="AQ13" s="31"/>
      <c r="AR13" s="31">
        <v>2015.2499999999998</v>
      </c>
      <c r="AS13" s="2">
        <v>-0.6418344645434072</v>
      </c>
      <c r="AT13" s="2">
        <v>-1.4277403812081222</v>
      </c>
      <c r="AU13" s="2">
        <v>-1.3121303774870361</v>
      </c>
      <c r="AV13" s="31"/>
      <c r="AW13" s="31">
        <v>2015.2499999999998</v>
      </c>
      <c r="AX13" s="2">
        <v>3.1197262535575461</v>
      </c>
      <c r="AY13" s="2">
        <v>-0.82026029232611508</v>
      </c>
      <c r="AZ13" s="2">
        <v>1.106926710131678</v>
      </c>
      <c r="BA13" s="31"/>
      <c r="BB13" s="31">
        <v>2015.2499999999998</v>
      </c>
      <c r="BC13" s="2">
        <v>-0.89885068697570425</v>
      </c>
      <c r="BD13" s="2">
        <v>-1.0548255298976554</v>
      </c>
      <c r="BE13" s="2">
        <v>-0.78252582861903675</v>
      </c>
      <c r="BG13" s="2">
        <f t="shared" si="9"/>
        <v>0.52634703401281158</v>
      </c>
      <c r="BH13" s="2">
        <f t="shared" si="3"/>
        <v>-1.100942067810631</v>
      </c>
      <c r="BI13" s="2">
        <f t="shared" si="4"/>
        <v>-0.3292431653247983</v>
      </c>
    </row>
    <row r="14" spans="1:61" x14ac:dyDescent="0.3">
      <c r="A14" s="31">
        <v>2015.1666666666665</v>
      </c>
      <c r="B14" s="33">
        <v>0.70462818863201526</v>
      </c>
      <c r="C14" s="33">
        <v>0.21280000000000143</v>
      </c>
      <c r="D14" s="33">
        <v>0.14994487854089386</v>
      </c>
      <c r="F14" s="31">
        <v>2015.1666666666665</v>
      </c>
      <c r="G14" s="2">
        <v>0.60012378478137363</v>
      </c>
      <c r="H14" s="2">
        <v>9.2249999999999804E-2</v>
      </c>
      <c r="I14" s="2">
        <v>5.7556848115366627E-2</v>
      </c>
      <c r="K14" s="31">
        <v>2015.1666666666665</v>
      </c>
      <c r="L14" s="2">
        <v>1.2360328233280129</v>
      </c>
      <c r="M14" s="2">
        <v>6.1530000000000001E-2</v>
      </c>
      <c r="N14" s="2">
        <v>7.6053099619372636E-2</v>
      </c>
      <c r="P14" s="31">
        <v>2015.1666666666665</v>
      </c>
      <c r="Q14" s="2">
        <v>0.41816697190915897</v>
      </c>
      <c r="R14" s="2">
        <v>9.5850000000000463E-2</v>
      </c>
      <c r="S14" s="2">
        <v>3.4076982095674009E-2</v>
      </c>
      <c r="U14" s="2">
        <f t="shared" si="5"/>
        <v>0.7514411933395152</v>
      </c>
      <c r="V14" s="2">
        <f t="shared" si="6"/>
        <v>8.3210000000000089E-2</v>
      </c>
      <c r="W14" s="2">
        <f t="shared" si="7"/>
        <v>5.5895643276804428E-2</v>
      </c>
      <c r="Y14" s="31">
        <v>2015.1666666666665</v>
      </c>
      <c r="Z14" s="2">
        <v>-0.77434616767807141</v>
      </c>
      <c r="AA14" s="2">
        <v>-0.18830136807447412</v>
      </c>
      <c r="AB14" s="2">
        <v>-0.40555911371089459</v>
      </c>
      <c r="AD14" s="31">
        <v>2015.1666666666665</v>
      </c>
      <c r="AE14" s="2">
        <v>2.539607774221881</v>
      </c>
      <c r="AF14" s="2">
        <v>-0.68585487699629111</v>
      </c>
      <c r="AG14" s="2">
        <v>0.60715046805954331</v>
      </c>
      <c r="AH14" s="31"/>
      <c r="AI14" s="31">
        <v>2015.1666666666665</v>
      </c>
      <c r="AJ14" s="2">
        <v>-1.3323751328970583</v>
      </c>
      <c r="AK14" s="2">
        <v>-4.4052846898962821E-2</v>
      </c>
      <c r="AL14" s="2">
        <v>-0.87468235721599707</v>
      </c>
      <c r="AM14" s="31"/>
      <c r="AN14" s="2">
        <f t="shared" si="8"/>
        <v>0.14429549121558374</v>
      </c>
      <c r="AO14" s="2">
        <f t="shared" si="1"/>
        <v>-0.30606969732324268</v>
      </c>
      <c r="AP14" s="2">
        <f t="shared" si="2"/>
        <v>-0.22436366762244944</v>
      </c>
      <c r="AQ14" s="31"/>
      <c r="AR14" s="31">
        <v>2015.1666666666665</v>
      </c>
      <c r="AS14" s="2">
        <v>-0.45614123780810517</v>
      </c>
      <c r="AT14" s="2">
        <v>-1.1019061349826638</v>
      </c>
      <c r="AU14" s="2">
        <v>-1.0461528399407345</v>
      </c>
      <c r="AV14" s="31"/>
      <c r="AW14" s="31">
        <v>2015.1666666666665</v>
      </c>
      <c r="AX14" s="2">
        <v>2.6687881247324929</v>
      </c>
      <c r="AY14" s="2">
        <v>-1.155108913649816</v>
      </c>
      <c r="AZ14" s="2">
        <v>0.3141361523215237</v>
      </c>
      <c r="BA14" s="31"/>
      <c r="BB14" s="31">
        <v>2015.1666666666665</v>
      </c>
      <c r="BC14" s="2">
        <v>-0.83125513774286275</v>
      </c>
      <c r="BD14" s="2">
        <v>-0.34847073798484229</v>
      </c>
      <c r="BE14" s="2">
        <v>-0.50388091596886664</v>
      </c>
      <c r="BG14" s="2">
        <f t="shared" si="9"/>
        <v>0.46046391639384171</v>
      </c>
      <c r="BH14" s="2">
        <f t="shared" si="3"/>
        <v>-0.86849526220577411</v>
      </c>
      <c r="BI14" s="2">
        <f t="shared" si="4"/>
        <v>-0.41196586786269246</v>
      </c>
    </row>
    <row r="15" spans="1:61" x14ac:dyDescent="0.3">
      <c r="A15" s="31">
        <v>2015.083333333333</v>
      </c>
      <c r="B15" s="33">
        <v>0.64314227048131334</v>
      </c>
      <c r="C15" s="33">
        <v>9.1200000000000614E-2</v>
      </c>
      <c r="D15" s="33">
        <v>5.8654575067896168E-2</v>
      </c>
      <c r="F15" s="31">
        <v>2015.083333333333</v>
      </c>
      <c r="G15" s="2">
        <v>0.58610327326308842</v>
      </c>
      <c r="H15" s="2">
        <v>6.1499999999999846E-2</v>
      </c>
      <c r="I15" s="2">
        <v>3.604535130567986E-2</v>
      </c>
      <c r="K15" s="31">
        <v>2015.083333333333</v>
      </c>
      <c r="L15" s="2">
        <v>1.2654493025896487</v>
      </c>
      <c r="M15" s="2">
        <v>6.1514999999999952E-2</v>
      </c>
      <c r="N15" s="2">
        <v>7.7843571119020377E-2</v>
      </c>
      <c r="P15" s="31">
        <v>2015.083333333333</v>
      </c>
      <c r="Q15" s="2">
        <v>0.44839410540433683</v>
      </c>
      <c r="R15" s="2">
        <v>9.5850000000000463E-2</v>
      </c>
      <c r="S15" s="2">
        <v>3.2798425227655997E-2</v>
      </c>
      <c r="U15" s="2">
        <f t="shared" si="5"/>
        <v>0.76664889375235801</v>
      </c>
      <c r="V15" s="2">
        <f t="shared" si="6"/>
        <v>7.2955000000000089E-2</v>
      </c>
      <c r="W15" s="2">
        <f t="shared" si="7"/>
        <v>4.8895782550785416E-2</v>
      </c>
      <c r="Y15" s="31">
        <v>2015.083333333333</v>
      </c>
      <c r="Z15" s="2">
        <v>-0.85563816172423235</v>
      </c>
      <c r="AA15" s="2">
        <v>-0.78876452892998183</v>
      </c>
      <c r="AB15" s="2">
        <v>-0.90062984364783039</v>
      </c>
      <c r="AD15" s="31">
        <v>2015.083333333333</v>
      </c>
      <c r="AE15" s="2">
        <v>2.7146580847002966</v>
      </c>
      <c r="AF15" s="2">
        <v>-0.68622224125583742</v>
      </c>
      <c r="AG15" s="2">
        <v>0.67523280741328684</v>
      </c>
      <c r="AH15" s="31"/>
      <c r="AI15" s="31">
        <v>2015.083333333333</v>
      </c>
      <c r="AJ15" s="2">
        <v>-1.4645385007444591</v>
      </c>
      <c r="AK15" s="2">
        <v>-4.4052846898962821E-2</v>
      </c>
      <c r="AL15" s="2">
        <v>-0.97801259300401444</v>
      </c>
      <c r="AM15" s="31"/>
      <c r="AN15" s="2">
        <f t="shared" si="8"/>
        <v>0.13149380741053504</v>
      </c>
      <c r="AO15" s="2">
        <f t="shared" si="1"/>
        <v>-0.50634653902826077</v>
      </c>
      <c r="AP15" s="2">
        <f t="shared" si="2"/>
        <v>-0.40113654307951929</v>
      </c>
      <c r="AQ15" s="31"/>
      <c r="AR15" s="31">
        <v>2015.083333333333</v>
      </c>
      <c r="AS15" s="2">
        <v>-0.42461594567658356</v>
      </c>
      <c r="AT15" s="2">
        <v>-0.93050162247170598</v>
      </c>
      <c r="AU15" s="2">
        <v>-0.93879027136096527</v>
      </c>
      <c r="AV15" s="31"/>
      <c r="AW15" s="31">
        <v>2015.083333333333</v>
      </c>
      <c r="AX15" s="2">
        <v>3.2262894044674271</v>
      </c>
      <c r="AY15" s="2">
        <v>-0.87038484719517628</v>
      </c>
      <c r="AZ15" s="2">
        <v>1.8155584141575103</v>
      </c>
      <c r="BA15" s="31"/>
      <c r="BB15" s="31">
        <v>2015.083333333333</v>
      </c>
      <c r="BC15" s="2">
        <v>-0.86777513461663558</v>
      </c>
      <c r="BD15" s="2">
        <v>-1.4615836317459097E-2</v>
      </c>
      <c r="BE15" s="2">
        <v>-0.73743106621634769</v>
      </c>
      <c r="BG15" s="2">
        <f t="shared" si="9"/>
        <v>0.64463277472473601</v>
      </c>
      <c r="BH15" s="2">
        <f t="shared" si="3"/>
        <v>-0.60516743532811379</v>
      </c>
      <c r="BI15" s="2">
        <f t="shared" si="4"/>
        <v>4.6445692193399113E-2</v>
      </c>
    </row>
    <row r="16" spans="1:61" x14ac:dyDescent="0.3">
      <c r="A16" s="31">
        <v>2014.9999999999998</v>
      </c>
      <c r="B16" s="33">
        <v>0.61592095412051839</v>
      </c>
      <c r="C16" s="33">
        <v>9.1200000000000614E-2</v>
      </c>
      <c r="D16" s="33">
        <v>5.6171991015791657E-2</v>
      </c>
      <c r="F16" s="31">
        <v>2014.9999999999998</v>
      </c>
      <c r="G16" s="2">
        <v>0.5938774706542429</v>
      </c>
      <c r="H16" s="2">
        <v>6.1499999999999846E-2</v>
      </c>
      <c r="I16" s="2">
        <v>3.6523464445235854E-2</v>
      </c>
      <c r="K16" s="31">
        <v>2014.9999999999998</v>
      </c>
      <c r="L16" s="2">
        <v>1.2493151420048791</v>
      </c>
      <c r="M16" s="2">
        <v>6.1499999999999902E-2</v>
      </c>
      <c r="N16" s="2">
        <v>7.6832881233299941E-2</v>
      </c>
      <c r="P16" s="31">
        <v>2014.9999999999998</v>
      </c>
      <c r="Q16" s="2">
        <v>0.50111488708618546</v>
      </c>
      <c r="R16" s="2">
        <v>7.1900000000000297E-2</v>
      </c>
      <c r="S16" s="2">
        <v>3.3736398634436233E-2</v>
      </c>
      <c r="U16" s="2">
        <f t="shared" si="5"/>
        <v>0.7814358332484358</v>
      </c>
      <c r="V16" s="2">
        <f t="shared" si="6"/>
        <v>6.4966666666666673E-2</v>
      </c>
      <c r="W16" s="2">
        <f t="shared" si="7"/>
        <v>4.9030914770990676E-2</v>
      </c>
      <c r="Y16" s="31">
        <v>2014.9999999999998</v>
      </c>
      <c r="Z16" s="2">
        <v>-0.81056277291183443</v>
      </c>
      <c r="AA16" s="2">
        <v>-0.78876452892998183</v>
      </c>
      <c r="AB16" s="2">
        <v>-0.88962643356035387</v>
      </c>
      <c r="AD16" s="31">
        <v>2014.9999999999998</v>
      </c>
      <c r="AE16" s="2">
        <v>2.618647620818717</v>
      </c>
      <c r="AF16" s="2">
        <v>-0.68658960551538373</v>
      </c>
      <c r="AG16" s="2">
        <v>0.63680151610563251</v>
      </c>
      <c r="AH16" s="31"/>
      <c r="AI16" s="31">
        <v>2014.9999999999998</v>
      </c>
      <c r="AJ16" s="2">
        <v>-1.3786201976732873</v>
      </c>
      <c r="AK16" s="2">
        <v>-0.61478205611361436</v>
      </c>
      <c r="AL16" s="2">
        <v>-0.90220758525669664</v>
      </c>
      <c r="AM16" s="31"/>
      <c r="AN16" s="2">
        <f t="shared" si="8"/>
        <v>0.14315488341119845</v>
      </c>
      <c r="AO16" s="2">
        <f t="shared" si="1"/>
        <v>-0.69671206351965997</v>
      </c>
      <c r="AP16" s="2">
        <f t="shared" si="2"/>
        <v>-0.38501083423713939</v>
      </c>
      <c r="AQ16" s="31"/>
      <c r="AR16" s="31">
        <v>2014.9999999999998</v>
      </c>
      <c r="AS16" s="2">
        <v>-0.28641655816030598</v>
      </c>
      <c r="AT16" s="2">
        <v>-0.29853293598826575</v>
      </c>
      <c r="AU16" s="2">
        <v>-0.49100459784096445</v>
      </c>
      <c r="AV16" s="31"/>
      <c r="AW16" s="31">
        <v>2014.9999999999998</v>
      </c>
      <c r="AX16" s="2">
        <v>2.2300327466898882</v>
      </c>
      <c r="AY16" s="2">
        <v>-0.22064426073162682</v>
      </c>
      <c r="AZ16" s="2">
        <v>2.0748232043047805</v>
      </c>
      <c r="BA16" s="31"/>
      <c r="BB16" s="31">
        <v>2014.9999999999998</v>
      </c>
      <c r="BC16" s="2">
        <v>-0.68648250459628568</v>
      </c>
      <c r="BD16" s="2">
        <v>-9.3919208556921333E-2</v>
      </c>
      <c r="BE16" s="2">
        <v>-0.25674837392377203</v>
      </c>
      <c r="BG16" s="2">
        <f t="shared" si="9"/>
        <v>0.41904456131109885</v>
      </c>
      <c r="BH16" s="2">
        <f t="shared" si="3"/>
        <v>-0.20436546842560466</v>
      </c>
      <c r="BI16" s="2">
        <f t="shared" si="4"/>
        <v>0.44235674418001469</v>
      </c>
    </row>
    <row r="17" spans="1:61" x14ac:dyDescent="0.3">
      <c r="A17" s="31">
        <v>2014.9166666666665</v>
      </c>
      <c r="B17" s="33">
        <v>0.63199033945172534</v>
      </c>
      <c r="C17" s="33">
        <v>9.1200000000000614E-2</v>
      </c>
      <c r="D17" s="33">
        <v>5.7637518957997735E-2</v>
      </c>
      <c r="F17" s="31">
        <v>2014.9166666666665</v>
      </c>
      <c r="G17" s="2">
        <v>0.60531463221926463</v>
      </c>
      <c r="H17" s="2">
        <v>6.1499999999999846E-2</v>
      </c>
      <c r="I17" s="2">
        <v>3.722684988148469E-2</v>
      </c>
      <c r="K17" s="31">
        <v>2014.9166666666665</v>
      </c>
      <c r="L17" s="2">
        <v>1.2290204772862665</v>
      </c>
      <c r="M17" s="2">
        <v>6.1514999999999952E-2</v>
      </c>
      <c r="N17" s="2">
        <v>7.5603089475073992E-2</v>
      </c>
      <c r="P17" s="31">
        <v>2014.9166666666665</v>
      </c>
      <c r="Q17" s="2">
        <v>0.61429979960667824</v>
      </c>
      <c r="R17" s="2">
        <v>9.5850000000000463E-2</v>
      </c>
      <c r="S17" s="2">
        <v>3.6445312295224151E-2</v>
      </c>
      <c r="U17" s="2">
        <f t="shared" si="5"/>
        <v>0.81621163637073657</v>
      </c>
      <c r="V17" s="2">
        <f t="shared" si="6"/>
        <v>7.2955000000000089E-2</v>
      </c>
      <c r="W17" s="2">
        <f t="shared" si="7"/>
        <v>4.9758417217260952E-2</v>
      </c>
      <c r="Y17" s="31">
        <v>2014.9166666666665</v>
      </c>
      <c r="Z17" s="2">
        <v>-0.74424923872756654</v>
      </c>
      <c r="AA17" s="2">
        <v>-0.78876452892998183</v>
      </c>
      <c r="AB17" s="2">
        <v>-0.873438552985074</v>
      </c>
      <c r="AD17" s="31">
        <v>2014.9166666666665</v>
      </c>
      <c r="AE17" s="2">
        <v>2.4978790091690666</v>
      </c>
      <c r="AF17" s="2">
        <v>-0.68622224125583742</v>
      </c>
      <c r="AG17" s="2">
        <v>0.59003891763118133</v>
      </c>
      <c r="AH17" s="31"/>
      <c r="AI17" s="31">
        <v>2014.9166666666665</v>
      </c>
      <c r="AJ17" s="2">
        <v>-1.1388818692248766</v>
      </c>
      <c r="AK17" s="2">
        <v>-4.4052846898962821E-2</v>
      </c>
      <c r="AL17" s="2">
        <v>-0.68327896792228682</v>
      </c>
      <c r="AM17" s="31"/>
      <c r="AN17" s="2">
        <f t="shared" si="8"/>
        <v>0.20491596707220783</v>
      </c>
      <c r="AO17" s="2">
        <f t="shared" si="1"/>
        <v>-0.50634653902826077</v>
      </c>
      <c r="AP17" s="2">
        <f t="shared" si="2"/>
        <v>-0.32222620109205985</v>
      </c>
      <c r="AQ17" s="31"/>
      <c r="AR17" s="31">
        <v>2014.9166666666665</v>
      </c>
      <c r="AS17" s="2">
        <v>-0.48247346364170568</v>
      </c>
      <c r="AT17" s="2">
        <v>-0.68444756444045252</v>
      </c>
      <c r="AU17" s="2">
        <v>-0.7881966275434148</v>
      </c>
      <c r="AV17" s="31"/>
      <c r="AW17" s="31">
        <v>2014.9166666666665</v>
      </c>
      <c r="AX17" s="2">
        <v>2.4889758410156704</v>
      </c>
      <c r="AY17" s="2">
        <v>-0.51751295497595129</v>
      </c>
      <c r="AZ17" s="2">
        <v>2.2295517257293356</v>
      </c>
      <c r="BA17" s="31"/>
      <c r="BB17" s="31">
        <v>2014.9166666666665</v>
      </c>
      <c r="BC17" s="2">
        <v>-0.90452000270681376</v>
      </c>
      <c r="BD17" s="2">
        <v>0.88737234882057547</v>
      </c>
      <c r="BE17" s="2">
        <v>-0.44813409213530064</v>
      </c>
      <c r="BG17" s="2">
        <f t="shared" si="9"/>
        <v>0.36732745822238372</v>
      </c>
      <c r="BH17" s="2">
        <f t="shared" si="3"/>
        <v>-0.10486272353194277</v>
      </c>
      <c r="BI17" s="2">
        <f t="shared" si="4"/>
        <v>0.33107366868353999</v>
      </c>
    </row>
    <row r="18" spans="1:61" x14ac:dyDescent="0.3">
      <c r="A18" s="31">
        <v>2014.8333333333333</v>
      </c>
      <c r="B18" s="33">
        <v>0.67841986217550831</v>
      </c>
      <c r="C18" s="33">
        <v>9.1200000000000614E-2</v>
      </c>
      <c r="D18" s="33">
        <v>6.1871891430406778E-2</v>
      </c>
      <c r="F18" s="31">
        <v>2014.8333333333333</v>
      </c>
      <c r="G18" s="2">
        <v>0.61704476709692635</v>
      </c>
      <c r="H18" s="2">
        <v>6.1499999999999846E-2</v>
      </c>
      <c r="I18" s="2">
        <v>3.7948253176460882E-2</v>
      </c>
      <c r="K18" s="31">
        <v>2014.8333333333333</v>
      </c>
      <c r="L18" s="2"/>
      <c r="M18" s="2"/>
      <c r="N18" s="2"/>
      <c r="P18" s="31">
        <v>2014.8333333333333</v>
      </c>
      <c r="Q18" s="2">
        <v>0.72651465547838745</v>
      </c>
      <c r="R18" s="2">
        <v>4.7900000000000303E-2</v>
      </c>
      <c r="S18" s="2">
        <v>2.3965244442219005E-2</v>
      </c>
      <c r="U18" s="2">
        <f t="shared" si="5"/>
        <v>0.6717797112876569</v>
      </c>
      <c r="V18" s="2">
        <f t="shared" si="6"/>
        <v>5.4700000000000075E-2</v>
      </c>
      <c r="W18" s="2">
        <f t="shared" si="7"/>
        <v>3.0956748809339941E-2</v>
      </c>
      <c r="Y18" s="31">
        <v>2014.8333333333333</v>
      </c>
      <c r="Z18" s="2">
        <v>-0.67623702295413168</v>
      </c>
      <c r="AA18" s="2">
        <v>-0.78876452892998183</v>
      </c>
      <c r="AB18" s="2">
        <v>-0.8568360051018441</v>
      </c>
      <c r="AD18" s="31">
        <v>2014.8333333333333</v>
      </c>
      <c r="AE18" s="2"/>
      <c r="AF18" s="2"/>
      <c r="AG18" s="2"/>
      <c r="AH18" s="31"/>
      <c r="AI18" s="31">
        <v>2014.8333333333333</v>
      </c>
      <c r="AJ18" s="2">
        <v>-1.0903908783607044</v>
      </c>
      <c r="AK18" s="2">
        <v>-1.186702766808877</v>
      </c>
      <c r="AL18" s="2">
        <v>-1.6918914013297546</v>
      </c>
      <c r="AM18" s="31"/>
      <c r="AN18" s="2">
        <f t="shared" si="8"/>
        <v>-0.88331395065741802</v>
      </c>
      <c r="AO18" s="2">
        <f t="shared" si="1"/>
        <v>-0.98773364786942941</v>
      </c>
      <c r="AP18" s="2">
        <f t="shared" si="2"/>
        <v>-1.2743637032157993</v>
      </c>
      <c r="AQ18" s="31"/>
      <c r="AR18" s="31">
        <v>2014.8333333333333</v>
      </c>
      <c r="AS18" s="2">
        <v>-0.33430724863596684</v>
      </c>
      <c r="AT18" s="2">
        <v>-0.28549293171718004</v>
      </c>
      <c r="AU18" s="2">
        <v>-0.51837216961937205</v>
      </c>
      <c r="AV18" s="31"/>
      <c r="AW18" s="31">
        <v>2014.8333333333333</v>
      </c>
      <c r="AX18" s="2"/>
      <c r="AY18" s="2"/>
      <c r="AZ18" s="2"/>
      <c r="BA18" s="31"/>
      <c r="BB18" s="31">
        <v>2014.8333333333333</v>
      </c>
      <c r="BC18" s="2">
        <v>-0.6455832565799966</v>
      </c>
      <c r="BD18" s="2">
        <v>-0.86039420085980967</v>
      </c>
      <c r="BE18" s="2">
        <v>-0.95645685219799903</v>
      </c>
      <c r="BG18" s="2">
        <f t="shared" si="9"/>
        <v>-0.48994525260798172</v>
      </c>
      <c r="BH18" s="2">
        <f t="shared" si="3"/>
        <v>-0.57294356628849485</v>
      </c>
      <c r="BI18" s="2">
        <f t="shared" si="4"/>
        <v>-0.73741451090868559</v>
      </c>
    </row>
    <row r="19" spans="1:61" x14ac:dyDescent="0.3">
      <c r="A19" s="31">
        <v>2014.75</v>
      </c>
      <c r="B19" s="33">
        <v>0.68850185521429286</v>
      </c>
      <c r="C19" s="33">
        <v>0.10640000000000072</v>
      </c>
      <c r="D19" s="33">
        <v>7.3256597394801254E-2</v>
      </c>
      <c r="F19" s="31">
        <v>2014.75</v>
      </c>
      <c r="G19" s="2">
        <v>0.62893359768974144</v>
      </c>
      <c r="H19" s="2">
        <v>6.1499999999999846E-2</v>
      </c>
      <c r="I19" s="2">
        <v>3.8679416257919007E-2</v>
      </c>
      <c r="K19" s="31">
        <v>2014.75</v>
      </c>
      <c r="L19" s="2">
        <v>1.2225572567566303</v>
      </c>
      <c r="M19" s="2">
        <v>6.1514999999999952E-2</v>
      </c>
      <c r="N19" s="2">
        <v>7.520550899847836E-2</v>
      </c>
      <c r="P19" s="31">
        <v>2014.75</v>
      </c>
      <c r="Q19" s="2">
        <v>0.77373022020408555</v>
      </c>
      <c r="R19" s="2">
        <v>9.5850000000000463E-2</v>
      </c>
      <c r="S19" s="2">
        <v>4.2369139834035424E-2</v>
      </c>
      <c r="U19" s="2">
        <f t="shared" si="5"/>
        <v>0.87507369155015235</v>
      </c>
      <c r="V19" s="2">
        <f t="shared" si="6"/>
        <v>7.2955000000000089E-2</v>
      </c>
      <c r="W19" s="2">
        <f t="shared" si="7"/>
        <v>5.2084688363477599E-2</v>
      </c>
      <c r="Y19" s="31">
        <v>2014.75</v>
      </c>
      <c r="Z19" s="2">
        <v>-0.60730467733275417</v>
      </c>
      <c r="AA19" s="2">
        <v>-0.78876452892998183</v>
      </c>
      <c r="AB19" s="2">
        <v>-0.84000884315942581</v>
      </c>
      <c r="AD19" s="31">
        <v>2014.75</v>
      </c>
      <c r="AE19" s="2">
        <v>2.4594179564257894</v>
      </c>
      <c r="AF19" s="2">
        <v>-0.68622224125583742</v>
      </c>
      <c r="AG19" s="2">
        <v>0.57492099537811425</v>
      </c>
      <c r="AH19" s="31"/>
      <c r="AI19" s="31">
        <v>2014.75</v>
      </c>
      <c r="AJ19" s="2">
        <v>-0.53722364154026547</v>
      </c>
      <c r="AK19" s="2">
        <v>-4.4052846898962821E-2</v>
      </c>
      <c r="AL19" s="2">
        <v>-0.20452787623107524</v>
      </c>
      <c r="AM19" s="31"/>
      <c r="AN19" s="2">
        <f t="shared" si="8"/>
        <v>0.43829654585092331</v>
      </c>
      <c r="AO19" s="2">
        <f t="shared" si="1"/>
        <v>-0.50634653902826077</v>
      </c>
      <c r="AP19" s="2">
        <f t="shared" si="2"/>
        <v>-0.1565385746707956</v>
      </c>
      <c r="AQ19" s="31"/>
      <c r="AR19" s="31">
        <v>2014.75</v>
      </c>
      <c r="AS19" s="2">
        <v>-0.81669740903374766</v>
      </c>
      <c r="AT19" s="2">
        <v>-0.6766476141944503</v>
      </c>
      <c r="AU19" s="2">
        <v>-0.88063000041733586</v>
      </c>
      <c r="AV19" s="31"/>
      <c r="AW19" s="31">
        <v>2014.75</v>
      </c>
      <c r="AX19" s="2">
        <v>2.857171200137262</v>
      </c>
      <c r="AY19" s="2">
        <v>-0.6564669997761764</v>
      </c>
      <c r="AZ19" s="2">
        <v>1.6473598614766847</v>
      </c>
      <c r="BA19" s="31"/>
      <c r="BB19" s="31">
        <v>2014.75</v>
      </c>
      <c r="BC19" s="2">
        <v>-0.58548288640360158</v>
      </c>
      <c r="BD19" s="2">
        <v>0.36965282471677957</v>
      </c>
      <c r="BE19" s="2">
        <v>-0.40934628373889481</v>
      </c>
      <c r="BG19" s="2">
        <f t="shared" si="9"/>
        <v>0.48499696823330424</v>
      </c>
      <c r="BH19" s="2">
        <f t="shared" si="3"/>
        <v>-0.32115392975128237</v>
      </c>
      <c r="BI19" s="2">
        <f t="shared" si="4"/>
        <v>0.119127859106818</v>
      </c>
    </row>
    <row r="20" spans="1:61" x14ac:dyDescent="0.3">
      <c r="A20" s="31">
        <v>2014.6666666666665</v>
      </c>
      <c r="B20" s="33">
        <v>0.62470719277071884</v>
      </c>
      <c r="C20" s="33">
        <v>9.1200000000000614E-2</v>
      </c>
      <c r="D20" s="33">
        <v>5.6973295980689939E-2</v>
      </c>
      <c r="F20" s="31">
        <v>2014.6666666666665</v>
      </c>
      <c r="G20" s="2">
        <v>0.65754290642526336</v>
      </c>
      <c r="H20" s="2">
        <v>6.1499999999999846E-2</v>
      </c>
      <c r="I20" s="2">
        <v>4.0438888745153605E-2</v>
      </c>
      <c r="K20" s="31">
        <v>2014.6666666666665</v>
      </c>
      <c r="L20" s="2">
        <v>1.2220081312445201</v>
      </c>
      <c r="M20" s="2">
        <v>6.1499999999999902E-2</v>
      </c>
      <c r="N20" s="2">
        <v>7.5153500071537871E-2</v>
      </c>
      <c r="P20" s="31">
        <v>2014.6666666666665</v>
      </c>
      <c r="Q20" s="2">
        <v>0.75123036016116274</v>
      </c>
      <c r="R20" s="2">
        <v>7.1900000000000297E-2</v>
      </c>
      <c r="S20" s="2">
        <v>4.7321065218828E-2</v>
      </c>
      <c r="U20" s="2">
        <f t="shared" si="5"/>
        <v>0.87692713261031541</v>
      </c>
      <c r="V20" s="2">
        <f t="shared" si="6"/>
        <v>6.4966666666666673E-2</v>
      </c>
      <c r="W20" s="2">
        <f t="shared" si="7"/>
        <v>5.4304484678506494E-2</v>
      </c>
      <c r="Y20" s="31">
        <v>2014.6666666666665</v>
      </c>
      <c r="Z20" s="2">
        <v>-0.44142572545858771</v>
      </c>
      <c r="AA20" s="2">
        <v>-0.78876452892998183</v>
      </c>
      <c r="AB20" s="2">
        <v>-0.79951592273340766</v>
      </c>
      <c r="AD20" s="31">
        <v>2014.6666666666665</v>
      </c>
      <c r="AE20" s="2">
        <v>2.4561502441162522</v>
      </c>
      <c r="AF20" s="2">
        <v>-0.68658960551538373</v>
      </c>
      <c r="AG20" s="2">
        <v>0.57294336579055416</v>
      </c>
      <c r="AH20" s="31"/>
      <c r="AI20" s="31">
        <v>2014.6666666666665</v>
      </c>
      <c r="AJ20" s="2">
        <v>-7.0688764244461452E-2</v>
      </c>
      <c r="AK20" s="2">
        <v>-0.61478205611361436</v>
      </c>
      <c r="AL20" s="2">
        <v>0.19567615881390882</v>
      </c>
      <c r="AM20" s="31"/>
      <c r="AN20" s="2">
        <f t="shared" si="8"/>
        <v>0.64801191813773429</v>
      </c>
      <c r="AO20" s="2">
        <f t="shared" si="1"/>
        <v>-0.69671206351965997</v>
      </c>
      <c r="AP20" s="2">
        <f t="shared" si="2"/>
        <v>-1.0298799376314912E-2</v>
      </c>
      <c r="AQ20" s="31"/>
      <c r="AR20" s="31">
        <v>2014.6666666666665</v>
      </c>
      <c r="AS20" s="2">
        <v>-0.38336172318274786</v>
      </c>
      <c r="AT20" s="2">
        <v>-0.32631334910519932</v>
      </c>
      <c r="AU20" s="2">
        <v>-0.57457682785455899</v>
      </c>
      <c r="AV20" s="31"/>
      <c r="AW20" s="31">
        <v>2014.6666666666665</v>
      </c>
      <c r="AX20" s="2">
        <v>1.4372083682047996</v>
      </c>
      <c r="AY20" s="2">
        <v>-0.23903137022338633</v>
      </c>
      <c r="AZ20" s="2">
        <v>1.4215693063624313</v>
      </c>
      <c r="BA20" s="31"/>
      <c r="BB20" s="31">
        <v>2014.6666666666665</v>
      </c>
      <c r="BC20" s="2">
        <v>-0.32888780455022515</v>
      </c>
      <c r="BD20" s="2">
        <v>7.7097786990586777E-4</v>
      </c>
      <c r="BE20" s="2">
        <v>0.26721199643441573</v>
      </c>
      <c r="BG20" s="2">
        <f t="shared" si="9"/>
        <v>0.24165294682394223</v>
      </c>
      <c r="BH20" s="2">
        <f t="shared" si="3"/>
        <v>-0.18819124715289326</v>
      </c>
      <c r="BI20" s="2">
        <f t="shared" si="4"/>
        <v>0.37140149164742936</v>
      </c>
    </row>
    <row r="21" spans="1:61" x14ac:dyDescent="0.3">
      <c r="A21" s="31">
        <v>2014.5833333333333</v>
      </c>
      <c r="B21" s="33">
        <v>0.70055476321953836</v>
      </c>
      <c r="C21" s="33">
        <v>9.1200000000000614E-2</v>
      </c>
      <c r="D21" s="33">
        <v>6.3890594405622322E-2</v>
      </c>
      <c r="F21" s="31">
        <v>2014.5833333333333</v>
      </c>
      <c r="G21" s="2">
        <v>0.69042811432076068</v>
      </c>
      <c r="H21" s="2">
        <v>6.1499999999999846E-2</v>
      </c>
      <c r="I21" s="2">
        <v>4.2461329030726691E-2</v>
      </c>
      <c r="K21" s="31">
        <v>2014.5833333333333</v>
      </c>
      <c r="L21" s="2">
        <v>1.2111238373583544</v>
      </c>
      <c r="M21" s="2">
        <v>6.1514999999999952E-2</v>
      </c>
      <c r="N21" s="2">
        <v>7.4502212004713853E-2</v>
      </c>
      <c r="P21" s="31">
        <v>2014.5833333333333</v>
      </c>
      <c r="Q21" s="2">
        <v>0.71873145562708174</v>
      </c>
      <c r="R21" s="2">
        <v>9.5850000000000463E-2</v>
      </c>
      <c r="S21" s="2">
        <v>5.1007620176924132E-2</v>
      </c>
      <c r="U21" s="2">
        <f t="shared" si="5"/>
        <v>0.87342780243539897</v>
      </c>
      <c r="V21" s="2">
        <f t="shared" si="6"/>
        <v>7.2955000000000089E-2</v>
      </c>
      <c r="W21" s="2">
        <f t="shared" si="7"/>
        <v>5.5990387070788218E-2</v>
      </c>
      <c r="Y21" s="31">
        <v>2014.5833333333333</v>
      </c>
      <c r="Z21" s="2">
        <v>-0.25075478446181487</v>
      </c>
      <c r="AA21" s="2">
        <v>-0.78876452892998183</v>
      </c>
      <c r="AB21" s="2">
        <v>-0.75297099853354155</v>
      </c>
      <c r="AD21" s="31">
        <v>2014.5833333333333</v>
      </c>
      <c r="AE21" s="2">
        <v>2.3913804595623107</v>
      </c>
      <c r="AF21" s="2">
        <v>-0.68622224125583742</v>
      </c>
      <c r="AG21" s="2">
        <v>0.54817826051449692</v>
      </c>
      <c r="AH21" s="31"/>
      <c r="AI21" s="31">
        <v>2014.5833333333333</v>
      </c>
      <c r="AJ21" s="2">
        <v>0.30500029081575625</v>
      </c>
      <c r="AK21" s="2">
        <v>-4.4052846898962821E-2</v>
      </c>
      <c r="AL21" s="2">
        <v>0.49361565809959201</v>
      </c>
      <c r="AM21" s="31"/>
      <c r="AN21" s="2">
        <f t="shared" si="8"/>
        <v>0.81520865530541731</v>
      </c>
      <c r="AO21" s="2">
        <f t="shared" si="1"/>
        <v>-0.50634653902826077</v>
      </c>
      <c r="AP21" s="2">
        <f t="shared" si="2"/>
        <v>9.6274306693515818E-2</v>
      </c>
      <c r="AQ21" s="31"/>
      <c r="AR21" s="31">
        <v>2014.5833333333333</v>
      </c>
      <c r="AS21" s="2">
        <v>-0.74757753655997183</v>
      </c>
      <c r="AT21" s="2">
        <v>-0.65870957567408583</v>
      </c>
      <c r="AU21" s="2">
        <v>-0.81867099530497045</v>
      </c>
      <c r="AV21" s="31"/>
      <c r="AW21" s="31">
        <v>2014.5833333333333</v>
      </c>
      <c r="AX21" s="2">
        <v>2.4319797353734329</v>
      </c>
      <c r="AY21" s="2">
        <v>-0.53553372549108424</v>
      </c>
      <c r="AZ21" s="2">
        <v>1.980510320927291</v>
      </c>
      <c r="BA21" s="31"/>
      <c r="BB21" s="31">
        <v>2014.5833333333333</v>
      </c>
      <c r="BC21" s="2">
        <v>-0.26020006165383797</v>
      </c>
      <c r="BD21" s="2">
        <v>0.77441334649330551</v>
      </c>
      <c r="BE21" s="2">
        <v>-0.20592303428097319</v>
      </c>
      <c r="BG21" s="2">
        <f t="shared" si="9"/>
        <v>0.47473404571987449</v>
      </c>
      <c r="BH21" s="2">
        <f t="shared" si="3"/>
        <v>-0.13994331822395487</v>
      </c>
      <c r="BI21" s="2">
        <f t="shared" si="4"/>
        <v>0.31863876378044909</v>
      </c>
    </row>
    <row r="22" spans="1:61" x14ac:dyDescent="0.3">
      <c r="A22" s="31">
        <v>2014.5</v>
      </c>
      <c r="B22" s="33">
        <v>0.6600458248145854</v>
      </c>
      <c r="C22" s="33">
        <v>9.1200000000000614E-2</v>
      </c>
      <c r="D22" s="33">
        <v>6.0196179223090597E-2</v>
      </c>
      <c r="F22" s="31">
        <v>2014.5</v>
      </c>
      <c r="G22" s="2">
        <v>0.72515498550553836</v>
      </c>
      <c r="H22" s="2">
        <v>6.1499999999999846E-2</v>
      </c>
      <c r="I22" s="2">
        <v>4.4597031608590507E-2</v>
      </c>
      <c r="K22" s="31">
        <v>2014.5</v>
      </c>
      <c r="L22" s="2"/>
      <c r="M22" s="2"/>
      <c r="N22" s="2"/>
      <c r="P22" s="31">
        <v>2014.5</v>
      </c>
      <c r="Q22" s="2">
        <v>0.68665355257688254</v>
      </c>
      <c r="R22" s="2">
        <v>4.7900000000000303E-2</v>
      </c>
      <c r="S22" s="2">
        <v>3.8422735928744456E-2</v>
      </c>
      <c r="U22" s="2">
        <f t="shared" si="5"/>
        <v>0.70590426904121051</v>
      </c>
      <c r="V22" s="2">
        <f t="shared" si="6"/>
        <v>5.4700000000000075E-2</v>
      </c>
      <c r="W22" s="2">
        <f t="shared" si="7"/>
        <v>4.1509883768667481E-2</v>
      </c>
      <c r="Y22" s="31">
        <v>2014.5</v>
      </c>
      <c r="Z22" s="2">
        <v>-4.9405739392165561E-2</v>
      </c>
      <c r="AA22" s="2">
        <v>-0.78876452892998183</v>
      </c>
      <c r="AB22" s="2">
        <v>-0.7038194288633588</v>
      </c>
      <c r="AD22" s="31">
        <v>2014.5</v>
      </c>
      <c r="AE22" s="2"/>
      <c r="AF22" s="2"/>
      <c r="AG22" s="2"/>
      <c r="AH22" s="31"/>
      <c r="AI22" s="31">
        <v>2014.5</v>
      </c>
      <c r="AJ22" s="2">
        <v>0.87761630665966495</v>
      </c>
      <c r="AK22" s="2">
        <v>-1.186702766808877</v>
      </c>
      <c r="AL22" s="2">
        <v>-0.52346781253645325</v>
      </c>
      <c r="AM22" s="31"/>
      <c r="AN22" s="2">
        <f t="shared" si="8"/>
        <v>0.41410528363374971</v>
      </c>
      <c r="AO22" s="2">
        <f t="shared" si="1"/>
        <v>-0.98773364786942941</v>
      </c>
      <c r="AP22" s="2">
        <f t="shared" si="2"/>
        <v>-0.61364362069990608</v>
      </c>
      <c r="AQ22" s="31"/>
      <c r="AR22" s="31">
        <v>2014.5</v>
      </c>
      <c r="AS22" s="2">
        <v>-0.2628742749801195</v>
      </c>
      <c r="AT22" s="2">
        <v>-2.3130098149132094E-2</v>
      </c>
      <c r="AU22" s="2">
        <v>-0.28070861638892047</v>
      </c>
      <c r="AV22" s="31"/>
      <c r="AW22" s="31">
        <v>2014.5</v>
      </c>
      <c r="AX22" s="2"/>
      <c r="AY22" s="2"/>
      <c r="AZ22" s="2"/>
      <c r="BA22" s="31"/>
      <c r="BB22" s="31">
        <v>2014.5</v>
      </c>
      <c r="BC22" s="2">
        <v>5.9157410813021304E-3</v>
      </c>
      <c r="BD22" s="2">
        <v>-0.38248368897839508</v>
      </c>
      <c r="BE22" s="2">
        <v>-0.22320447265916149</v>
      </c>
      <c r="BG22" s="2">
        <f t="shared" si="9"/>
        <v>-0.1284792669494087</v>
      </c>
      <c r="BH22" s="2">
        <f t="shared" si="3"/>
        <v>-0.20280689356376358</v>
      </c>
      <c r="BI22" s="2">
        <f t="shared" si="4"/>
        <v>-0.25195654452404098</v>
      </c>
    </row>
    <row r="23" spans="1:61" x14ac:dyDescent="0.3">
      <c r="A23" s="31">
        <v>2014.4166666666665</v>
      </c>
      <c r="B23" s="33">
        <v>0.65863837292458283</v>
      </c>
      <c r="C23" s="33">
        <v>0.22800000000000153</v>
      </c>
      <c r="D23" s="33">
        <v>0.1501695490268059</v>
      </c>
      <c r="F23" s="31">
        <v>2014.4166666666665</v>
      </c>
      <c r="G23" s="2">
        <v>0.7475140984452866</v>
      </c>
      <c r="H23" s="2">
        <v>0.27674999999999933</v>
      </c>
      <c r="I23" s="2">
        <v>0.21015879880559662</v>
      </c>
      <c r="K23" s="31">
        <v>2014.4166666666665</v>
      </c>
      <c r="L23" s="2">
        <v>1.1917506880778024</v>
      </c>
      <c r="M23" s="2">
        <v>0.18452999999999981</v>
      </c>
      <c r="N23" s="2">
        <v>0.1099728240857869</v>
      </c>
      <c r="P23" s="31">
        <v>2014.4166666666665</v>
      </c>
      <c r="Q23" s="2">
        <v>0.66014232747379431</v>
      </c>
      <c r="R23" s="2">
        <v>0.16775000000000076</v>
      </c>
      <c r="S23" s="2">
        <v>5.3634469548443933E-2</v>
      </c>
      <c r="U23" s="2">
        <f t="shared" si="5"/>
        <v>0.86646903799896113</v>
      </c>
      <c r="V23" s="2">
        <f t="shared" si="6"/>
        <v>0.20967666666666665</v>
      </c>
      <c r="W23" s="2">
        <f t="shared" si="7"/>
        <v>0.12458869747994249</v>
      </c>
      <c r="Y23" s="31">
        <v>2014.4166666666665</v>
      </c>
      <c r="Z23" s="2">
        <v>8.0234101037690561E-2</v>
      </c>
      <c r="AA23" s="2">
        <v>3.4144775970585677</v>
      </c>
      <c r="AB23" s="2">
        <v>3.1064586592221515</v>
      </c>
      <c r="AD23" s="31">
        <v>2014.4166666666665</v>
      </c>
      <c r="AE23" s="2">
        <v>2.2760955620617409</v>
      </c>
      <c r="AF23" s="2">
        <v>2.3265320512736194</v>
      </c>
      <c r="AG23" s="2">
        <v>1.8969415607199023</v>
      </c>
      <c r="AH23" s="31"/>
      <c r="AI23" s="31">
        <v>2014.4166666666665</v>
      </c>
      <c r="AJ23" s="2">
        <v>0.63546890833474312</v>
      </c>
      <c r="AK23" s="2">
        <v>1.6693262822256021</v>
      </c>
      <c r="AL23" s="2">
        <v>0.70591201481895738</v>
      </c>
      <c r="AM23" s="31"/>
      <c r="AN23" s="2">
        <f t="shared" si="8"/>
        <v>0.99726619047805809</v>
      </c>
      <c r="AO23" s="2">
        <f t="shared" si="1"/>
        <v>2.4701119768525963</v>
      </c>
      <c r="AP23" s="2">
        <f t="shared" si="2"/>
        <v>1.9031040782536703</v>
      </c>
      <c r="AQ23" s="31"/>
      <c r="AR23" s="31">
        <v>2014.4166666666665</v>
      </c>
      <c r="AS23" s="2">
        <v>-0.51324337811547782</v>
      </c>
      <c r="AT23" s="2">
        <v>2.3064605529700759</v>
      </c>
      <c r="AU23" s="2">
        <v>1.3018780521341435</v>
      </c>
      <c r="AV23" s="31"/>
      <c r="AW23" s="31">
        <v>2014.4166666666665</v>
      </c>
      <c r="AX23" s="2">
        <v>1.8629061893487204</v>
      </c>
      <c r="AY23" s="2">
        <v>0.88205666158649598</v>
      </c>
      <c r="AZ23" s="2">
        <v>0.61595715556442443</v>
      </c>
      <c r="BA23" s="31"/>
      <c r="BB23" s="31">
        <v>2014.4166666666665</v>
      </c>
      <c r="BC23" s="2">
        <v>-8.1953520571868402E-2</v>
      </c>
      <c r="BD23" s="2">
        <v>0.21308645383215588</v>
      </c>
      <c r="BE23" s="2">
        <v>-0.19493155507404503</v>
      </c>
      <c r="BG23" s="2">
        <f t="shared" si="9"/>
        <v>0.42256976355379133</v>
      </c>
      <c r="BH23" s="2">
        <f t="shared" si="3"/>
        <v>1.1338678894629093</v>
      </c>
      <c r="BI23" s="2">
        <f t="shared" si="4"/>
        <v>0.57430121754150765</v>
      </c>
    </row>
    <row r="24" spans="1:61" x14ac:dyDescent="0.3">
      <c r="A24" s="31">
        <v>2014.3333333333333</v>
      </c>
      <c r="B24" s="33">
        <v>0.62495721684407146</v>
      </c>
      <c r="C24" s="33">
        <v>0.22800000000000153</v>
      </c>
      <c r="D24" s="33">
        <v>0.14249024544044925</v>
      </c>
      <c r="F24" s="31">
        <v>2014.3333333333333</v>
      </c>
      <c r="G24" s="2">
        <v>0.68560179333464721</v>
      </c>
      <c r="H24" s="2">
        <v>0.27674999999999939</v>
      </c>
      <c r="I24" s="2">
        <v>0.19792142015702294</v>
      </c>
      <c r="K24" s="31">
        <v>2014.3333333333333</v>
      </c>
      <c r="L24" s="2">
        <v>1.1142249135334512</v>
      </c>
      <c r="M24" s="2">
        <v>0.15376499999999982</v>
      </c>
      <c r="N24" s="2">
        <v>6.8542494337324247E-2</v>
      </c>
      <c r="P24" s="31">
        <v>2014.3333333333333</v>
      </c>
      <c r="Q24" s="2">
        <v>0.64070322735656804</v>
      </c>
      <c r="R24" s="2">
        <v>0.14380000000000059</v>
      </c>
      <c r="S24" s="2">
        <v>4.9424613537464128E-2</v>
      </c>
      <c r="U24" s="2">
        <f t="shared" si="5"/>
        <v>0.81350997807488878</v>
      </c>
      <c r="V24" s="2">
        <f t="shared" si="6"/>
        <v>0.19143833333333327</v>
      </c>
      <c r="W24" s="2">
        <f t="shared" si="7"/>
        <v>0.10529617601060377</v>
      </c>
      <c r="Y24" s="31">
        <v>2014.3333333333333</v>
      </c>
      <c r="Z24" s="2">
        <v>-0.27873816127059364</v>
      </c>
      <c r="AA24" s="2">
        <v>3.414477597058569</v>
      </c>
      <c r="AB24" s="2">
        <v>2.8248247016383199</v>
      </c>
      <c r="AD24" s="31">
        <v>2014.3333333333333</v>
      </c>
      <c r="AE24" s="2">
        <v>1.8147585412930072</v>
      </c>
      <c r="AF24" s="2">
        <v>1.5730679549465956</v>
      </c>
      <c r="AG24" s="2">
        <v>0.32156112599794784</v>
      </c>
      <c r="AH24" s="31"/>
      <c r="AI24" s="31">
        <v>2014.3333333333333</v>
      </c>
      <c r="AJ24" s="2">
        <v>0.22915500743825751</v>
      </c>
      <c r="AK24" s="2">
        <v>1.0985970730109507</v>
      </c>
      <c r="AL24" s="2">
        <v>0.36568044191873866</v>
      </c>
      <c r="AM24" s="31"/>
      <c r="AN24" s="2">
        <f t="shared" si="8"/>
        <v>0.58839179582022372</v>
      </c>
      <c r="AO24" s="2">
        <f t="shared" si="1"/>
        <v>2.0287142083387053</v>
      </c>
      <c r="AP24" s="2">
        <f t="shared" si="2"/>
        <v>1.1706887565183355</v>
      </c>
      <c r="AQ24" s="31"/>
      <c r="AR24" s="31">
        <v>2014.3333333333333</v>
      </c>
      <c r="AS24" s="2">
        <v>-0.45587770738529931</v>
      </c>
      <c r="AT24" s="2">
        <v>2.4076786632217617</v>
      </c>
      <c r="AU24" s="2">
        <v>1.9708022149320183</v>
      </c>
      <c r="AV24" s="31"/>
      <c r="AW24" s="31">
        <v>2014.3333333333333</v>
      </c>
      <c r="AX24" s="2">
        <v>1.5757060280937933</v>
      </c>
      <c r="AY24" s="2">
        <v>0.72904993846663702</v>
      </c>
      <c r="AZ24" s="2">
        <v>-0.13113995075871762</v>
      </c>
      <c r="BA24" s="31"/>
      <c r="BB24" s="31">
        <v>2014.3333333333333</v>
      </c>
      <c r="BC24" s="2">
        <v>-7.2007534850004546E-3</v>
      </c>
      <c r="BD24" s="2">
        <v>0.38139101458033026</v>
      </c>
      <c r="BE24" s="2">
        <v>-1.5275070325097735E-2</v>
      </c>
      <c r="BG24" s="2">
        <f t="shared" si="9"/>
        <v>0.3708758557411645</v>
      </c>
      <c r="BH24" s="2">
        <f t="shared" si="3"/>
        <v>1.172706538756243</v>
      </c>
      <c r="BI24" s="2">
        <f t="shared" si="4"/>
        <v>0.60812906461606764</v>
      </c>
    </row>
    <row r="25" spans="1:61" x14ac:dyDescent="0.3">
      <c r="A25" s="31">
        <v>2014.25</v>
      </c>
      <c r="B25" s="33">
        <v>0.76493760761763485</v>
      </c>
      <c r="C25" s="33">
        <v>0.22800000000000153</v>
      </c>
      <c r="D25" s="33">
        <v>0.17440577453682193</v>
      </c>
      <c r="F25" s="31">
        <v>2014.25</v>
      </c>
      <c r="G25" s="2">
        <v>0.62698742372037364</v>
      </c>
      <c r="H25" s="2">
        <v>0.24599999999999944</v>
      </c>
      <c r="I25" s="2">
        <v>0.15934473081533948</v>
      </c>
      <c r="K25" s="31">
        <v>2014.25</v>
      </c>
      <c r="L25" s="2">
        <v>0.93299183370223682</v>
      </c>
      <c r="M25" s="2">
        <v>0.15376499999999982</v>
      </c>
      <c r="N25" s="2">
        <v>5.7395925570571799E-2</v>
      </c>
      <c r="P25" s="31">
        <v>2014.25</v>
      </c>
      <c r="Q25" s="2">
        <v>0.62601607786629621</v>
      </c>
      <c r="R25" s="2">
        <v>0.14380000000000059</v>
      </c>
      <c r="S25" s="2">
        <v>4.5369991719023714E-2</v>
      </c>
      <c r="U25" s="2">
        <f t="shared" si="5"/>
        <v>0.72866511176296889</v>
      </c>
      <c r="V25" s="2">
        <f t="shared" si="6"/>
        <v>0.18118833333333328</v>
      </c>
      <c r="W25" s="2">
        <f t="shared" si="7"/>
        <v>8.737021603497834E-2</v>
      </c>
      <c r="Y25" s="31">
        <v>2014.25</v>
      </c>
      <c r="Z25" s="2">
        <v>-0.61858874229174732</v>
      </c>
      <c r="AA25" s="2">
        <v>2.8140144362030615</v>
      </c>
      <c r="AB25" s="2">
        <v>1.9370115513075814</v>
      </c>
      <c r="AD25" s="31">
        <v>2014.25</v>
      </c>
      <c r="AE25" s="2">
        <v>0.7362845807878724</v>
      </c>
      <c r="AF25" s="2">
        <v>1.5730679549465956</v>
      </c>
      <c r="AG25" s="2">
        <v>-0.10228503829854155</v>
      </c>
      <c r="AH25" s="31"/>
      <c r="AI25" s="31">
        <v>2014.25</v>
      </c>
      <c r="AJ25" s="2">
        <v>-0.11166060178419385</v>
      </c>
      <c r="AK25" s="2">
        <v>1.0985970730109507</v>
      </c>
      <c r="AL25" s="2">
        <v>3.7994564965797742E-2</v>
      </c>
      <c r="AM25" s="31"/>
      <c r="AN25" s="2">
        <f t="shared" si="8"/>
        <v>2.0117455706437268E-3</v>
      </c>
      <c r="AO25" s="2">
        <f t="shared" si="1"/>
        <v>1.8285598213868692</v>
      </c>
      <c r="AP25" s="2">
        <f t="shared" si="2"/>
        <v>0.62424035932494581</v>
      </c>
      <c r="AQ25" s="31"/>
      <c r="AR25" s="31">
        <v>2014.25</v>
      </c>
      <c r="AS25" s="2">
        <v>-0.56878822415194785</v>
      </c>
      <c r="AT25" s="2">
        <v>1.9841392062377619</v>
      </c>
      <c r="AU25" s="2">
        <v>1.21815496127834</v>
      </c>
      <c r="AV25" s="31"/>
      <c r="AW25" s="31">
        <v>2014.25</v>
      </c>
      <c r="AX25" s="2">
        <v>0.80410656971546191</v>
      </c>
      <c r="AY25" s="2">
        <v>0.55886310744945389</v>
      </c>
      <c r="AZ25" s="2">
        <v>-0.53339772216358361</v>
      </c>
      <c r="BA25" s="31"/>
      <c r="BB25" s="31">
        <v>2014.25</v>
      </c>
      <c r="BC25" s="2">
        <v>0.17121930531810201</v>
      </c>
      <c r="BD25" s="2">
        <v>3.3388824798885192E-2</v>
      </c>
      <c r="BE25" s="2">
        <v>6.0845454428177993E-2</v>
      </c>
      <c r="BG25" s="2">
        <f t="shared" si="9"/>
        <v>0.13551255029387202</v>
      </c>
      <c r="BH25" s="2">
        <f t="shared" si="3"/>
        <v>0.85879704616203367</v>
      </c>
      <c r="BI25" s="2">
        <f t="shared" si="4"/>
        <v>0.24853423118097814</v>
      </c>
    </row>
    <row r="26" spans="1:61" x14ac:dyDescent="0.3">
      <c r="A26" s="31">
        <v>2014.1666666666665</v>
      </c>
      <c r="B26" s="33">
        <v>0.76138875784810711</v>
      </c>
      <c r="C26" s="33">
        <v>0.22800000000000153</v>
      </c>
      <c r="D26" s="33">
        <v>0.1735966367893696</v>
      </c>
      <c r="F26" s="31">
        <v>2014.1666666666665</v>
      </c>
      <c r="G26" s="2">
        <v>0.56680420399741993</v>
      </c>
      <c r="H26" s="2">
        <v>0.24599999999999944</v>
      </c>
      <c r="I26" s="2">
        <v>0.14349446309123215</v>
      </c>
      <c r="K26" s="31">
        <v>2014.1666666666665</v>
      </c>
      <c r="L26" s="2">
        <v>0.81565320168266675</v>
      </c>
      <c r="M26" s="2">
        <v>0.12301499999999986</v>
      </c>
      <c r="N26" s="2">
        <v>5.0178797763827179E-2</v>
      </c>
      <c r="P26" s="31">
        <v>2014.1666666666665</v>
      </c>
      <c r="Q26" s="2">
        <v>0.69083255643474406</v>
      </c>
      <c r="R26" s="2">
        <v>9.5850000000000463E-2</v>
      </c>
      <c r="S26" s="2">
        <v>4.3272103399688795E-2</v>
      </c>
      <c r="U26" s="2">
        <f t="shared" si="5"/>
        <v>0.6910966540382768</v>
      </c>
      <c r="V26" s="2">
        <f t="shared" si="6"/>
        <v>0.15495499999999993</v>
      </c>
      <c r="W26" s="2">
        <f t="shared" si="7"/>
        <v>7.8981788084916044E-2</v>
      </c>
      <c r="Y26" s="31">
        <v>2014.1666666666665</v>
      </c>
      <c r="Z26" s="2">
        <v>-0.96753563577823543</v>
      </c>
      <c r="AA26" s="2">
        <v>2.8140144362030615</v>
      </c>
      <c r="AB26" s="2">
        <v>1.5722297008723243</v>
      </c>
      <c r="AD26" s="31">
        <v>2014.1666666666665</v>
      </c>
      <c r="AE26" s="2">
        <v>3.8030932434848175E-2</v>
      </c>
      <c r="AF26" s="2">
        <v>0.81997122287911783</v>
      </c>
      <c r="AG26" s="2">
        <v>-0.37671495499634766</v>
      </c>
      <c r="AH26" s="31"/>
      <c r="AI26" s="31">
        <v>2014.1666666666665</v>
      </c>
      <c r="AJ26" s="2">
        <v>-0.27908574704863864</v>
      </c>
      <c r="AK26" s="2">
        <v>-4.4052846898962821E-2</v>
      </c>
      <c r="AL26" s="2">
        <v>-0.13155228908211372</v>
      </c>
      <c r="AM26" s="31"/>
      <c r="AN26" s="2">
        <f t="shared" si="8"/>
        <v>-0.40286348346400863</v>
      </c>
      <c r="AO26" s="2">
        <f t="shared" si="1"/>
        <v>1.1966442707277387</v>
      </c>
      <c r="AP26" s="2">
        <f t="shared" si="2"/>
        <v>0.35465415226462094</v>
      </c>
      <c r="AQ26" s="31"/>
      <c r="AR26" s="31">
        <v>2014.1666666666665</v>
      </c>
      <c r="AS26" s="2">
        <v>-0.67188085717525792</v>
      </c>
      <c r="AT26" s="2">
        <v>2.0747602001024976</v>
      </c>
      <c r="AU26" s="2">
        <v>1.1675388030512404</v>
      </c>
      <c r="AV26" s="31"/>
      <c r="AW26" s="31">
        <v>2014.1666666666665</v>
      </c>
      <c r="AX26" s="2">
        <v>0.21678446607897292</v>
      </c>
      <c r="AY26" s="2">
        <v>0.19080318216020514</v>
      </c>
      <c r="AZ26" s="2">
        <v>-0.46363947320659726</v>
      </c>
      <c r="BA26" s="31"/>
      <c r="BB26" s="31">
        <v>2014.1666666666665</v>
      </c>
      <c r="BC26" s="2">
        <v>0.32845276365856974</v>
      </c>
      <c r="BD26" s="2">
        <v>-0.34847073798484229</v>
      </c>
      <c r="BE26" s="2">
        <v>0.34693558954637876</v>
      </c>
      <c r="BG26" s="2">
        <f t="shared" si="9"/>
        <v>-4.2214542479238427E-2</v>
      </c>
      <c r="BH26" s="2">
        <f t="shared" si="3"/>
        <v>0.63903088142595343</v>
      </c>
      <c r="BI26" s="2">
        <f t="shared" si="4"/>
        <v>0.35027830646367392</v>
      </c>
    </row>
    <row r="27" spans="1:61" x14ac:dyDescent="0.3">
      <c r="A27" s="31">
        <v>2014.0833333333333</v>
      </c>
      <c r="B27" s="33">
        <v>0.70068539995430679</v>
      </c>
      <c r="C27" s="33">
        <v>7.6000000000000512E-2</v>
      </c>
      <c r="D27" s="33">
        <v>5.3252090396527674E-2</v>
      </c>
      <c r="F27" s="31">
        <v>2014.0833333333333</v>
      </c>
      <c r="G27" s="2">
        <v>0.53626683087703053</v>
      </c>
      <c r="H27" s="2">
        <v>9.2249999999999749E-2</v>
      </c>
      <c r="I27" s="2">
        <v>4.7925722904728976E-2</v>
      </c>
      <c r="K27" s="31">
        <v>2014.0833333333333</v>
      </c>
      <c r="L27" s="2">
        <v>0.75687747988843712</v>
      </c>
      <c r="M27" s="2">
        <v>9.2279999999999945E-2</v>
      </c>
      <c r="N27" s="2">
        <v>7.7332798836074981E-2</v>
      </c>
      <c r="P27" s="31">
        <v>2014.0833333333333</v>
      </c>
      <c r="Q27" s="2">
        <v>0.62188240080842572</v>
      </c>
      <c r="R27" s="2">
        <v>9.5850000000000463E-2</v>
      </c>
      <c r="S27" s="2">
        <v>4.3021477594497703E-2</v>
      </c>
      <c r="U27" s="2">
        <f t="shared" si="5"/>
        <v>0.63834223719129779</v>
      </c>
      <c r="V27" s="2">
        <f t="shared" si="6"/>
        <v>9.3460000000000057E-2</v>
      </c>
      <c r="W27" s="2">
        <f t="shared" si="7"/>
        <v>5.6093333111767223E-2</v>
      </c>
      <c r="Y27" s="31">
        <v>2014.0833333333333</v>
      </c>
      <c r="Z27" s="2">
        <v>-1.1445936518606408</v>
      </c>
      <c r="AA27" s="2">
        <v>-0.1883013680744752</v>
      </c>
      <c r="AB27" s="2">
        <v>-0.62721213164488165</v>
      </c>
      <c r="AD27" s="31">
        <v>2014.0833333333333</v>
      </c>
      <c r="AE27" s="2">
        <v>-0.31172908667427501</v>
      </c>
      <c r="AF27" s="2">
        <v>6.7241855071186282E-2</v>
      </c>
      <c r="AG27" s="2">
        <v>0.65581078818158378</v>
      </c>
      <c r="AH27" s="31"/>
      <c r="AI27" s="31">
        <v>2014.0833333333333</v>
      </c>
      <c r="AJ27" s="2">
        <v>-0.30208253075385882</v>
      </c>
      <c r="AK27" s="2">
        <v>-4.4052846898962821E-2</v>
      </c>
      <c r="AL27" s="2">
        <v>-0.15180733146055908</v>
      </c>
      <c r="AM27" s="31"/>
      <c r="AN27" s="2">
        <f t="shared" si="8"/>
        <v>-0.58613508976292483</v>
      </c>
      <c r="AO27" s="2">
        <f t="shared" si="1"/>
        <v>-5.5037453300750577E-2</v>
      </c>
      <c r="AP27" s="2">
        <f t="shared" si="2"/>
        <v>-4.1069558307952302E-2</v>
      </c>
      <c r="AQ27" s="31"/>
      <c r="AR27" s="31">
        <v>2014.0833333333333</v>
      </c>
      <c r="AS27" s="2">
        <v>-0.8267888648481414</v>
      </c>
      <c r="AT27" s="2">
        <v>0.50956041230593607</v>
      </c>
      <c r="AU27" s="2">
        <v>-0.23147379086131178</v>
      </c>
      <c r="AV27" s="31"/>
      <c r="AW27" s="31">
        <v>2014.0833333333333</v>
      </c>
      <c r="AX27" s="2">
        <v>-7.9248893692570391E-3</v>
      </c>
      <c r="AY27" s="2">
        <v>0.56120938963997447</v>
      </c>
      <c r="AZ27" s="2">
        <v>1.7776524922166077</v>
      </c>
      <c r="BA27" s="31"/>
      <c r="BB27" s="31">
        <v>2014.0833333333333</v>
      </c>
      <c r="BC27" s="2">
        <v>0.41890723494966225</v>
      </c>
      <c r="BD27" s="2">
        <v>-1.4615836317459097E-2</v>
      </c>
      <c r="BE27" s="2">
        <v>0.25871892697802656</v>
      </c>
      <c r="BG27" s="2">
        <f t="shared" si="9"/>
        <v>-0.13860217308924541</v>
      </c>
      <c r="BH27" s="2">
        <f t="shared" si="3"/>
        <v>0.35205132187615051</v>
      </c>
      <c r="BI27" s="2">
        <f t="shared" si="4"/>
        <v>0.60163254277777423</v>
      </c>
    </row>
    <row r="28" spans="1:61" x14ac:dyDescent="0.3">
      <c r="A28" s="31">
        <v>2014</v>
      </c>
      <c r="B28" s="33">
        <v>0.72845399828482826</v>
      </c>
      <c r="C28" s="33">
        <v>9.1200000000000614E-2</v>
      </c>
      <c r="D28" s="33">
        <v>6.6435004643576781E-2</v>
      </c>
      <c r="F28" s="31">
        <v>2014</v>
      </c>
      <c r="G28" s="2">
        <v>0.53824493537987306</v>
      </c>
      <c r="H28" s="2">
        <v>9.2249999999999749E-2</v>
      </c>
      <c r="I28" s="2">
        <v>4.8077618838806062E-2</v>
      </c>
      <c r="K28" s="31">
        <v>2014</v>
      </c>
      <c r="L28" s="2">
        <v>0.6988843752441336</v>
      </c>
      <c r="M28" s="2">
        <v>6.1514999999999952E-2</v>
      </c>
      <c r="N28" s="2">
        <v>4.2994522607694548E-2</v>
      </c>
      <c r="P28" s="31">
        <v>2014</v>
      </c>
      <c r="Q28" s="2">
        <v>0.64366164146464078</v>
      </c>
      <c r="R28" s="2">
        <v>4.7900000000000303E-2</v>
      </c>
      <c r="S28" s="2">
        <v>3.322859385225136E-2</v>
      </c>
      <c r="U28" s="2">
        <f t="shared" si="5"/>
        <v>0.62693031736288252</v>
      </c>
      <c r="V28" s="2">
        <f t="shared" si="6"/>
        <v>6.7221666666666666E-2</v>
      </c>
      <c r="W28" s="2">
        <f t="shared" si="7"/>
        <v>4.1433578432917319E-2</v>
      </c>
      <c r="Y28" s="31">
        <v>2014</v>
      </c>
      <c r="Z28" s="2">
        <v>-1.133124451235682</v>
      </c>
      <c r="AA28" s="2">
        <v>-0.1883013680744752</v>
      </c>
      <c r="AB28" s="2">
        <v>-0.62371636230705796</v>
      </c>
      <c r="AD28" s="31">
        <v>2014</v>
      </c>
      <c r="AE28" s="2">
        <v>-0.65683194155032265</v>
      </c>
      <c r="AF28" s="2">
        <v>-0.68622224125583742</v>
      </c>
      <c r="AG28" s="2">
        <v>-0.64989565588252241</v>
      </c>
      <c r="AH28" s="31"/>
      <c r="AI28" s="31">
        <v>2014</v>
      </c>
      <c r="AJ28" s="2">
        <v>0.17057048642991365</v>
      </c>
      <c r="AK28" s="2">
        <v>-1.186702766808877</v>
      </c>
      <c r="AL28" s="2">
        <v>-0.94324728336475649</v>
      </c>
      <c r="AM28" s="31"/>
      <c r="AN28" s="2">
        <f t="shared" si="8"/>
        <v>-0.53979530211869697</v>
      </c>
      <c r="AO28" s="2">
        <f t="shared" si="1"/>
        <v>-0.68707545871306319</v>
      </c>
      <c r="AP28" s="2">
        <f t="shared" si="2"/>
        <v>-0.73895310051811236</v>
      </c>
      <c r="AQ28" s="31"/>
      <c r="AR28" s="31">
        <v>2014</v>
      </c>
      <c r="AS28" s="2">
        <v>-0.53310474471406877</v>
      </c>
      <c r="AT28" s="2">
        <v>1.102275455956677</v>
      </c>
      <c r="AU28" s="2">
        <v>0.24558163692774501</v>
      </c>
      <c r="AV28" s="31"/>
      <c r="AW28" s="31">
        <v>2014</v>
      </c>
      <c r="AX28" s="2">
        <v>-0.26011835534768135</v>
      </c>
      <c r="AY28" s="2">
        <v>-0.21981065223360952</v>
      </c>
      <c r="AZ28" s="2">
        <v>-0.31639952729091114</v>
      </c>
      <c r="BA28" s="31"/>
      <c r="BB28" s="31">
        <v>2014</v>
      </c>
      <c r="BC28" s="2">
        <v>0.61515503101511915</v>
      </c>
      <c r="BD28" s="2">
        <v>-0.94501805984887022</v>
      </c>
      <c r="BE28" s="2">
        <v>-0.29631197821899496</v>
      </c>
      <c r="BG28" s="2">
        <f t="shared" si="9"/>
        <v>-5.9356023015543657E-2</v>
      </c>
      <c r="BH28" s="2">
        <f t="shared" si="3"/>
        <v>-2.0851085375267548E-2</v>
      </c>
      <c r="BI28" s="2">
        <f t="shared" si="4"/>
        <v>-0.12237662286072037</v>
      </c>
    </row>
    <row r="29" spans="1:61" x14ac:dyDescent="0.3">
      <c r="A29" s="31">
        <v>2013.91666666678</v>
      </c>
      <c r="B29" s="33">
        <v>0.78127200406874742</v>
      </c>
      <c r="C29" s="33">
        <v>7.6000000000000512E-2</v>
      </c>
      <c r="D29" s="33">
        <v>5.9376672309225206E-2</v>
      </c>
      <c r="F29" s="31">
        <v>2013.91666666678</v>
      </c>
      <c r="G29" s="2">
        <v>0.55573348945417345</v>
      </c>
      <c r="H29" s="2">
        <v>9.2249999999999749E-2</v>
      </c>
      <c r="I29" s="2">
        <v>5.0136836753777864E-2</v>
      </c>
      <c r="K29" s="31">
        <v>2013.91666666678</v>
      </c>
      <c r="L29" s="2">
        <v>0.6567178626325767</v>
      </c>
      <c r="M29" s="2">
        <v>6.1514999999999952E-2</v>
      </c>
      <c r="N29" s="2">
        <v>4.0399789828573833E-2</v>
      </c>
      <c r="P29" s="31">
        <v>2013.91666666678</v>
      </c>
      <c r="Q29" s="2">
        <v>0.70832792371280662</v>
      </c>
      <c r="R29" s="2">
        <v>9.5850000000000463E-2</v>
      </c>
      <c r="S29" s="2">
        <v>4.4180768946527532E-2</v>
      </c>
      <c r="U29" s="2">
        <f t="shared" si="5"/>
        <v>0.64025975859985229</v>
      </c>
      <c r="V29" s="2">
        <f t="shared" si="6"/>
        <v>8.3205000000000057E-2</v>
      </c>
      <c r="W29" s="2">
        <f t="shared" si="7"/>
        <v>4.4905798509626414E-2</v>
      </c>
      <c r="Y29" s="31">
        <v>2013.91666666678</v>
      </c>
      <c r="Z29" s="2">
        <v>-1.0317244822095968</v>
      </c>
      <c r="AA29" s="2">
        <v>-0.1883013680744752</v>
      </c>
      <c r="AB29" s="2">
        <v>-0.57632502895245674</v>
      </c>
      <c r="AD29" s="31">
        <v>2013.91666666678</v>
      </c>
      <c r="AE29" s="2">
        <v>-0.90775459816040516</v>
      </c>
      <c r="AF29" s="2">
        <v>-0.68622224125583742</v>
      </c>
      <c r="AG29" s="2">
        <v>-0.74855987792410961</v>
      </c>
      <c r="AH29" s="31"/>
      <c r="AI29" s="31">
        <v>2013.91666666678</v>
      </c>
      <c r="AJ29" s="2">
        <v>-0.19036700366898823</v>
      </c>
      <c r="AK29" s="2">
        <v>-4.4052846898962821E-2</v>
      </c>
      <c r="AL29" s="2">
        <v>-5.8115879990006197E-2</v>
      </c>
      <c r="AM29" s="31"/>
      <c r="AN29" s="2">
        <f t="shared" si="8"/>
        <v>-0.70994869467966337</v>
      </c>
      <c r="AO29" s="2">
        <f t="shared" si="1"/>
        <v>-0.30619215207642514</v>
      </c>
      <c r="AP29" s="2">
        <f t="shared" si="2"/>
        <v>-0.46100026228885754</v>
      </c>
      <c r="AQ29" s="31"/>
      <c r="AR29" s="31">
        <v>2013.91666666678</v>
      </c>
      <c r="AS29" s="2">
        <v>-0.7912993554189317</v>
      </c>
      <c r="AT29" s="2">
        <v>0.68444756444045063</v>
      </c>
      <c r="AU29" s="2">
        <v>-0.12767996361123832</v>
      </c>
      <c r="AV29" s="31"/>
      <c r="AW29" s="31">
        <v>2013.91666666678</v>
      </c>
      <c r="AX29" s="2">
        <v>-0.62084471283665044</v>
      </c>
      <c r="AY29" s="2">
        <v>-0.51751295497595129</v>
      </c>
      <c r="AZ29" s="2">
        <v>-0.71057273706796698</v>
      </c>
      <c r="BA29" s="31"/>
      <c r="BB29" s="31">
        <v>2013.91666666678</v>
      </c>
      <c r="BC29" s="2">
        <v>0.26137225425646315</v>
      </c>
      <c r="BD29" s="2">
        <v>0.88737234882057547</v>
      </c>
      <c r="BE29" s="2">
        <v>0.29427388234020124</v>
      </c>
      <c r="BG29" s="2">
        <f t="shared" si="9"/>
        <v>-0.38359060466637301</v>
      </c>
      <c r="BH29" s="2">
        <f t="shared" si="3"/>
        <v>0.35143565276169159</v>
      </c>
      <c r="BI29" s="2">
        <f t="shared" si="4"/>
        <v>-0.18132627277966804</v>
      </c>
    </row>
    <row r="30" spans="1:61" x14ac:dyDescent="0.3">
      <c r="A30" s="31">
        <v>2013.8333333334499</v>
      </c>
      <c r="B30" s="33">
        <v>0.75557288227660302</v>
      </c>
      <c r="C30" s="33">
        <v>9.1200000000000614E-2</v>
      </c>
      <c r="D30" s="33">
        <v>6.8908246863626663E-2</v>
      </c>
      <c r="F30" s="31">
        <v>2013.8333333334499</v>
      </c>
      <c r="G30" s="2">
        <v>0.58287975968506078</v>
      </c>
      <c r="H30" s="2">
        <v>9.2249999999999749E-2</v>
      </c>
      <c r="I30" s="2">
        <v>5.3386153938391183E-2</v>
      </c>
      <c r="K30" s="31">
        <v>2013.8333333334499</v>
      </c>
      <c r="L30" s="2">
        <v>0.62056285802571953</v>
      </c>
      <c r="M30" s="2">
        <v>6.1514999999999952E-2</v>
      </c>
      <c r="N30" s="2">
        <v>3.817493733585281E-2</v>
      </c>
      <c r="P30" s="31">
        <v>2013.8333333334499</v>
      </c>
      <c r="Q30" s="2">
        <v>0.80189320090623706</v>
      </c>
      <c r="R30" s="2">
        <v>4.7900000000000303E-2</v>
      </c>
      <c r="S30" s="2">
        <v>3.5529393241394598E-2</v>
      </c>
      <c r="U30" s="2">
        <f t="shared" si="5"/>
        <v>0.66844527287233912</v>
      </c>
      <c r="V30" s="2">
        <f t="shared" si="6"/>
        <v>6.7221666666666666E-2</v>
      </c>
      <c r="W30" s="2">
        <f t="shared" si="7"/>
        <v>4.2363494838546199E-2</v>
      </c>
      <c r="Y30" s="31">
        <v>2013.8333333334499</v>
      </c>
      <c r="Z30" s="2">
        <v>-0.87432833905841789</v>
      </c>
      <c r="AA30" s="2">
        <v>-0.1883013680744752</v>
      </c>
      <c r="AB30" s="2">
        <v>-0.50154446651113171</v>
      </c>
      <c r="AD30" s="31">
        <v>2013.8333333334499</v>
      </c>
      <c r="AE30" s="2">
        <v>-1.1229042333525721</v>
      </c>
      <c r="AF30" s="2">
        <v>-0.68622224125583742</v>
      </c>
      <c r="AG30" s="2">
        <v>-0.83315947219369491</v>
      </c>
      <c r="AH30" s="31"/>
      <c r="AI30" s="31">
        <v>2013.8333333334499</v>
      </c>
      <c r="AJ30" s="2">
        <v>0.48376380446468509</v>
      </c>
      <c r="AK30" s="2">
        <v>-1.186702766808877</v>
      </c>
      <c r="AL30" s="2">
        <v>-0.75730158995994201</v>
      </c>
      <c r="AM30" s="31"/>
      <c r="AN30" s="2">
        <f t="shared" si="8"/>
        <v>-0.50448958931543497</v>
      </c>
      <c r="AO30" s="2">
        <f t="shared" si="1"/>
        <v>-0.68707545871306319</v>
      </c>
      <c r="AP30" s="2">
        <f t="shared" si="2"/>
        <v>-0.69733517622158947</v>
      </c>
      <c r="AQ30" s="31"/>
      <c r="AR30" s="31">
        <v>2013.8333333334499</v>
      </c>
      <c r="AS30" s="2">
        <v>-0.46978545513570441</v>
      </c>
      <c r="AT30" s="2">
        <v>1.0321667531313441</v>
      </c>
      <c r="AU30" s="2">
        <v>0.31400168563844394</v>
      </c>
      <c r="AV30" s="31"/>
      <c r="AW30" s="31">
        <v>2013.8333333334499</v>
      </c>
      <c r="AX30" s="2">
        <v>-0.59152688611481286</v>
      </c>
      <c r="AY30" s="2">
        <v>-0.19138401234735175</v>
      </c>
      <c r="AZ30" s="2">
        <v>-0.61044313184861743</v>
      </c>
      <c r="BA30" s="31"/>
      <c r="BB30" s="31">
        <v>2013.8333333334499</v>
      </c>
      <c r="BC30" s="2">
        <v>0.40057069293763026</v>
      </c>
      <c r="BD30" s="2">
        <v>-0.86039420085980967</v>
      </c>
      <c r="BE30" s="2">
        <v>-0.31224578072256043</v>
      </c>
      <c r="BG30" s="2">
        <f t="shared" si="9"/>
        <v>-0.22024721610429565</v>
      </c>
      <c r="BH30" s="2">
        <f t="shared" si="3"/>
        <v>-6.5371533586057557E-3</v>
      </c>
      <c r="BI30" s="2">
        <f t="shared" si="4"/>
        <v>-0.20289574231091131</v>
      </c>
    </row>
    <row r="31" spans="1:61" x14ac:dyDescent="0.3">
      <c r="A31" s="31">
        <v>2013.7500000001201</v>
      </c>
      <c r="B31" s="33">
        <v>0.60147413784412451</v>
      </c>
      <c r="C31" s="33">
        <v>7.6000000000000512E-2</v>
      </c>
      <c r="D31" s="33">
        <v>4.5712034476153768E-2</v>
      </c>
      <c r="F31" s="31">
        <v>2013.7500000001201</v>
      </c>
      <c r="G31" s="2">
        <v>0.58543300866180403</v>
      </c>
      <c r="H31" s="2">
        <v>9.2249999999999749E-2</v>
      </c>
      <c r="I31" s="2">
        <v>5.3519481037623592E-2</v>
      </c>
      <c r="K31" s="31">
        <v>2013.7500000001201</v>
      </c>
      <c r="L31" s="2">
        <v>0.58958147193931321</v>
      </c>
      <c r="M31" s="2">
        <v>6.1514999999999952E-2</v>
      </c>
      <c r="N31" s="2">
        <v>3.626841197865309E-2</v>
      </c>
      <c r="P31" s="31">
        <v>2013.7500000001201</v>
      </c>
      <c r="Q31" s="2">
        <v>0.85862966686929854</v>
      </c>
      <c r="R31" s="2">
        <v>9.5850000000000463E-2</v>
      </c>
      <c r="S31" s="2">
        <v>4.8296382912002153E-2</v>
      </c>
      <c r="U31" s="2">
        <f t="shared" si="5"/>
        <v>0.67788138249013874</v>
      </c>
      <c r="V31" s="2">
        <f t="shared" si="6"/>
        <v>8.3205000000000057E-2</v>
      </c>
      <c r="W31" s="2">
        <f t="shared" si="7"/>
        <v>4.6028091976092943E-2</v>
      </c>
      <c r="Y31" s="31">
        <v>2013.7500000001201</v>
      </c>
      <c r="Z31" s="2">
        <v>-0.85952440695186916</v>
      </c>
      <c r="AA31" s="2">
        <v>-0.1883013680744752</v>
      </c>
      <c r="AB31" s="2">
        <v>-0.49847604477733404</v>
      </c>
      <c r="AD31" s="31">
        <v>2013.7500000001201</v>
      </c>
      <c r="AE31" s="2">
        <v>-1.3072669235726084</v>
      </c>
      <c r="AF31" s="2">
        <v>-0.68622224125583742</v>
      </c>
      <c r="AG31" s="2">
        <v>-0.90565473748047853</v>
      </c>
      <c r="AH31" s="31"/>
      <c r="AI31" s="31">
        <v>2013.7500000001201</v>
      </c>
      <c r="AJ31" s="2">
        <v>0.21196596875475654</v>
      </c>
      <c r="AK31" s="2">
        <v>-4.4052846898962821E-2</v>
      </c>
      <c r="AL31" s="2">
        <v>0.2744992520409914</v>
      </c>
      <c r="AM31" s="31"/>
      <c r="AN31" s="2">
        <f t="shared" si="8"/>
        <v>-0.65160845392324029</v>
      </c>
      <c r="AO31" s="2">
        <f t="shared" si="1"/>
        <v>-0.30619215207642514</v>
      </c>
      <c r="AP31" s="2">
        <f t="shared" si="2"/>
        <v>-0.37654384340560704</v>
      </c>
      <c r="AQ31" s="31"/>
      <c r="AR31" s="31">
        <v>2013.7500000001201</v>
      </c>
      <c r="AS31" s="2">
        <v>-1.1228218968253916</v>
      </c>
      <c r="AT31" s="2">
        <v>0.89414149018552613</v>
      </c>
      <c r="AU31" s="2">
        <v>-0.13635742524747052</v>
      </c>
      <c r="AV31" s="31"/>
      <c r="AW31" s="31">
        <v>2013.7500000001201</v>
      </c>
      <c r="AX31" s="2">
        <v>-1.4185954018989091</v>
      </c>
      <c r="AY31" s="2">
        <v>-0.6564669997761764</v>
      </c>
      <c r="AZ31" s="2">
        <v>-1.4058712537803078</v>
      </c>
      <c r="BA31" s="31"/>
      <c r="BB31" s="31">
        <v>2013.7500000001201</v>
      </c>
      <c r="BC31" s="2">
        <v>0.16092709587101964</v>
      </c>
      <c r="BD31" s="2">
        <v>0.36965282471677957</v>
      </c>
      <c r="BE31" s="2">
        <v>4.1442612820131945E-2</v>
      </c>
      <c r="BG31" s="2">
        <f t="shared" si="9"/>
        <v>-0.79349673428442691</v>
      </c>
      <c r="BH31" s="2">
        <f t="shared" si="3"/>
        <v>0.20244243837537645</v>
      </c>
      <c r="BI31" s="2">
        <f t="shared" si="4"/>
        <v>-0.50026202206921544</v>
      </c>
    </row>
    <row r="32" spans="1:61" x14ac:dyDescent="0.3">
      <c r="A32" s="31">
        <v>2013.66666666679</v>
      </c>
      <c r="B32" s="33">
        <v>0.76226637929128449</v>
      </c>
      <c r="C32" s="33">
        <v>7.6000000000000512E-2</v>
      </c>
      <c r="D32" s="33">
        <v>5.7932244826138013E-2</v>
      </c>
      <c r="F32" s="31">
        <v>2013.66666666679</v>
      </c>
      <c r="G32" s="2">
        <v>0.57458879848549604</v>
      </c>
      <c r="H32" s="2">
        <v>9.2249999999999749E-2</v>
      </c>
      <c r="I32" s="2">
        <v>5.1984267318604289E-2</v>
      </c>
      <c r="K32" s="31">
        <v>2013.66666666679</v>
      </c>
      <c r="L32" s="2">
        <v>0.59691895903240799</v>
      </c>
      <c r="M32" s="2">
        <v>6.1514999999999952E-2</v>
      </c>
      <c r="N32" s="2">
        <v>3.6719192433590869E-2</v>
      </c>
      <c r="P32" s="31">
        <v>2013.66666666679</v>
      </c>
      <c r="Q32" s="2">
        <v>0.85804404729414041</v>
      </c>
      <c r="R32" s="2">
        <v>4.7900000000000303E-2</v>
      </c>
      <c r="S32" s="2">
        <v>3.9976803198601814E-2</v>
      </c>
      <c r="U32" s="2">
        <f t="shared" si="5"/>
        <v>0.67651726827068137</v>
      </c>
      <c r="V32" s="2">
        <f t="shared" si="6"/>
        <v>6.7221666666666666E-2</v>
      </c>
      <c r="W32" s="2">
        <f t="shared" si="7"/>
        <v>4.2893420983598989E-2</v>
      </c>
      <c r="Y32" s="31">
        <v>2013.66666666679</v>
      </c>
      <c r="Z32" s="2">
        <v>-0.92239996380570111</v>
      </c>
      <c r="AA32" s="2">
        <v>-0.1883013680744752</v>
      </c>
      <c r="AB32" s="2">
        <v>-0.53380782030221674</v>
      </c>
      <c r="AD32" s="31">
        <v>2013.66666666679</v>
      </c>
      <c r="AE32" s="2">
        <v>-1.2636033232364281</v>
      </c>
      <c r="AF32" s="2">
        <v>-0.68622224125583742</v>
      </c>
      <c r="AG32" s="2">
        <v>-0.88851389613609144</v>
      </c>
      <c r="AH32" s="31"/>
      <c r="AI32" s="31">
        <v>2013.66666666679</v>
      </c>
      <c r="AJ32" s="2">
        <v>1.0891616882312012</v>
      </c>
      <c r="AK32" s="2">
        <v>-1.186702766808877</v>
      </c>
      <c r="AL32" s="2">
        <v>-0.39787141440851409</v>
      </c>
      <c r="AM32" s="31"/>
      <c r="AN32" s="2">
        <f t="shared" si="8"/>
        <v>-0.36561386627030928</v>
      </c>
      <c r="AO32" s="2">
        <f t="shared" si="1"/>
        <v>-0.68707545871306319</v>
      </c>
      <c r="AP32" s="2">
        <f t="shared" si="2"/>
        <v>-0.60673104361560737</v>
      </c>
      <c r="AQ32" s="31"/>
      <c r="AR32" s="31">
        <v>2013.66666666679</v>
      </c>
      <c r="AS32" s="2">
        <v>-0.64547306661827109</v>
      </c>
      <c r="AT32" s="2">
        <v>0.70701225639459664</v>
      </c>
      <c r="AU32" s="2">
        <v>-0.12620543107349658</v>
      </c>
      <c r="AV32" s="31"/>
      <c r="AW32" s="31">
        <v>2013.66666666679</v>
      </c>
      <c r="AX32" s="2">
        <v>-0.86559099101609138</v>
      </c>
      <c r="AY32" s="2">
        <v>-0.23837245449551037</v>
      </c>
      <c r="AZ32" s="2">
        <v>-0.88221972087330214</v>
      </c>
      <c r="BA32" s="31"/>
      <c r="BB32" s="31">
        <v>2013.66666666679</v>
      </c>
      <c r="BC32" s="2">
        <v>1.034868261670095</v>
      </c>
      <c r="BD32" s="2">
        <v>-1.5545483300824114</v>
      </c>
      <c r="BE32" s="2">
        <v>-0.5912923888503453</v>
      </c>
      <c r="BG32" s="2">
        <f t="shared" si="9"/>
        <v>-0.15873193198808913</v>
      </c>
      <c r="BH32" s="2">
        <f t="shared" si="3"/>
        <v>-0.36196950939444172</v>
      </c>
      <c r="BI32" s="2">
        <f t="shared" si="4"/>
        <v>-0.53323918026571471</v>
      </c>
    </row>
    <row r="33" spans="1:61" x14ac:dyDescent="0.3">
      <c r="A33" s="31">
        <v>2013.5833333334599</v>
      </c>
      <c r="B33" s="33">
        <v>0.79306361067364506</v>
      </c>
      <c r="C33" s="33">
        <v>9.1200000000000614E-2</v>
      </c>
      <c r="D33" s="33">
        <v>7.2327401293436913E-2</v>
      </c>
      <c r="F33" s="31">
        <v>2013.5833333334599</v>
      </c>
      <c r="G33" s="2">
        <v>0.58513031698994877</v>
      </c>
      <c r="H33" s="2">
        <v>9.2249999999999749E-2</v>
      </c>
      <c r="I33" s="2">
        <v>5.3074553757493301E-2</v>
      </c>
      <c r="K33" s="31">
        <v>2013.5833333334599</v>
      </c>
      <c r="L33" s="2">
        <v>0.61452441872179131</v>
      </c>
      <c r="M33" s="2">
        <v>6.1514999999999952E-2</v>
      </c>
      <c r="N33" s="2">
        <v>3.7801591521205186E-2</v>
      </c>
      <c r="P33" s="31">
        <v>2013.5833333334599</v>
      </c>
      <c r="Q33" s="2">
        <v>0.81556264034284531</v>
      </c>
      <c r="R33" s="2">
        <v>9.5850000000000463E-2</v>
      </c>
      <c r="S33" s="2">
        <v>5.4602370769816902E-2</v>
      </c>
      <c r="U33" s="2">
        <f t="shared" si="5"/>
        <v>0.67173912535152847</v>
      </c>
      <c r="V33" s="2">
        <f t="shared" si="6"/>
        <v>8.3205000000000057E-2</v>
      </c>
      <c r="W33" s="2">
        <f t="shared" si="7"/>
        <v>4.8492838682838463E-2</v>
      </c>
      <c r="Y33" s="31">
        <v>2013.5833333334599</v>
      </c>
      <c r="Z33" s="2">
        <v>-0.861279436328236</v>
      </c>
      <c r="AA33" s="2">
        <v>-0.1883013680744752</v>
      </c>
      <c r="AB33" s="2">
        <v>-0.508715707562853</v>
      </c>
      <c r="AD33" s="31">
        <v>2013.5833333334599</v>
      </c>
      <c r="AE33" s="2">
        <v>-1.1588375163792821</v>
      </c>
      <c r="AF33" s="2">
        <v>-0.68622224125583742</v>
      </c>
      <c r="AG33" s="2">
        <v>-0.847355876020363</v>
      </c>
      <c r="AH33" s="31"/>
      <c r="AI33" s="31">
        <v>2013.5833333334599</v>
      </c>
      <c r="AJ33" s="2">
        <v>0.81798028262142131</v>
      </c>
      <c r="AK33" s="2">
        <v>-4.4052846898962821E-2</v>
      </c>
      <c r="AL33" s="2">
        <v>0.78413572463252035</v>
      </c>
      <c r="AM33" s="31"/>
      <c r="AN33" s="2">
        <f t="shared" si="8"/>
        <v>-0.40071222336203222</v>
      </c>
      <c r="AO33" s="2">
        <f t="shared" si="1"/>
        <v>-0.30619215207642514</v>
      </c>
      <c r="AP33" s="2">
        <f t="shared" si="2"/>
        <v>-0.19064528631689856</v>
      </c>
      <c r="AQ33" s="31"/>
      <c r="AR33" s="31">
        <v>2013.5833333334599</v>
      </c>
      <c r="AS33" s="2">
        <v>-1.3686574635003239</v>
      </c>
      <c r="AT33" s="2">
        <v>0.98806436351113014</v>
      </c>
      <c r="AU33" s="2">
        <v>-0.35170302873200843</v>
      </c>
      <c r="AV33" s="31"/>
      <c r="AW33" s="31">
        <v>2013.5833333334599</v>
      </c>
      <c r="AX33" s="2">
        <v>-1.5368377832233711</v>
      </c>
      <c r="AY33" s="2">
        <v>-0.53553372549108424</v>
      </c>
      <c r="AZ33" s="2">
        <v>-1.5689431214217051</v>
      </c>
      <c r="BA33" s="31"/>
      <c r="BB33" s="31">
        <v>2013.5833333334599</v>
      </c>
      <c r="BC33" s="2">
        <v>0.76469298778356198</v>
      </c>
      <c r="BD33" s="2">
        <v>0.36965282471677957</v>
      </c>
      <c r="BE33" s="2">
        <v>0.5210364595287228</v>
      </c>
      <c r="BG33" s="2">
        <f t="shared" si="9"/>
        <v>-0.71360075298004444</v>
      </c>
      <c r="BH33" s="2">
        <f t="shared" si="3"/>
        <v>0.27406115424560845</v>
      </c>
      <c r="BI33" s="2">
        <f t="shared" si="4"/>
        <v>-0.46653656354166362</v>
      </c>
    </row>
    <row r="34" spans="1:61" x14ac:dyDescent="0.3">
      <c r="A34" s="31">
        <v>2013.5000000001301</v>
      </c>
      <c r="B34" s="33">
        <v>0.74093721810166024</v>
      </c>
      <c r="C34" s="33">
        <v>7.6000000000000512E-2</v>
      </c>
      <c r="D34" s="33">
        <v>5.6311228575726555E-2</v>
      </c>
      <c r="F34" s="31">
        <v>2013.5000000001301</v>
      </c>
      <c r="G34" s="2">
        <v>0.58397069031713689</v>
      </c>
      <c r="H34" s="2">
        <v>6.1499999999999798E-2</v>
      </c>
      <c r="I34" s="2">
        <v>3.5914197454503798E-2</v>
      </c>
      <c r="K34" s="31">
        <v>2013.5000000001301</v>
      </c>
      <c r="L34" s="2">
        <v>0.53433228059843063</v>
      </c>
      <c r="M34" s="2">
        <v>6.1530000000000001E-2</v>
      </c>
      <c r="N34" s="2">
        <v>3.287746522522144E-2</v>
      </c>
      <c r="P34" s="31">
        <v>2013.5000000001301</v>
      </c>
      <c r="Q34" s="2">
        <v>0.75874604281148028</v>
      </c>
      <c r="R34" s="2">
        <v>4.7900000000000303E-2</v>
      </c>
      <c r="S34" s="2">
        <v>4.5359336529007997E-2</v>
      </c>
      <c r="U34" s="2">
        <f t="shared" si="5"/>
        <v>0.6256830045756826</v>
      </c>
      <c r="V34" s="2">
        <f t="shared" si="6"/>
        <v>5.6976666666666703E-2</v>
      </c>
      <c r="W34" s="2">
        <f t="shared" si="7"/>
        <v>3.8050333069577745E-2</v>
      </c>
      <c r="Y34" s="31">
        <v>2013.5000000001301</v>
      </c>
      <c r="Z34" s="2">
        <v>-0.86800304013249452</v>
      </c>
      <c r="AA34" s="2">
        <v>-0.78876452892998272</v>
      </c>
      <c r="AB34" s="2">
        <v>-0.90364824973134072</v>
      </c>
      <c r="AD34" s="31">
        <v>2013.5000000001301</v>
      </c>
      <c r="AE34" s="2">
        <v>-1.6360414180280358</v>
      </c>
      <c r="AF34" s="2">
        <v>-0.68585487699629111</v>
      </c>
      <c r="AG34" s="2">
        <v>-1.0345948449566538</v>
      </c>
      <c r="AH34" s="31"/>
      <c r="AI34" s="31">
        <v>2013.5000000001301</v>
      </c>
      <c r="AJ34" s="2">
        <v>1.821852022354771</v>
      </c>
      <c r="AK34" s="2">
        <v>-1.186702766808877</v>
      </c>
      <c r="AL34" s="2">
        <v>3.7133435262277484E-2</v>
      </c>
      <c r="AM34" s="31"/>
      <c r="AN34" s="2">
        <f t="shared" si="8"/>
        <v>-0.22739747860191981</v>
      </c>
      <c r="AO34" s="2">
        <f t="shared" si="1"/>
        <v>-0.88710739091171698</v>
      </c>
      <c r="AP34" s="2">
        <f t="shared" si="2"/>
        <v>-0.63370321980857236</v>
      </c>
      <c r="AQ34" s="31"/>
      <c r="AR34" s="31">
        <v>2013.5000000001301</v>
      </c>
      <c r="AS34" s="2">
        <v>-0.60139283090857798</v>
      </c>
      <c r="AT34" s="2">
        <v>-2.3130098149133811E-2</v>
      </c>
      <c r="AU34" s="2">
        <v>-0.60693213102878751</v>
      </c>
      <c r="AV34" s="31"/>
      <c r="AW34" s="31">
        <v>2013.5000000001301</v>
      </c>
      <c r="AX34" s="2">
        <v>-0.85978661881511276</v>
      </c>
      <c r="AY34" s="2">
        <v>-0.10730219351257217</v>
      </c>
      <c r="AZ34" s="2">
        <v>-0.85940672469040125</v>
      </c>
      <c r="BA34" s="31"/>
      <c r="BB34" s="31">
        <v>2013.5000000001301</v>
      </c>
      <c r="BC34" s="2">
        <v>1.7648401830513889</v>
      </c>
      <c r="BD34" s="2">
        <v>-1.5545483300824114</v>
      </c>
      <c r="BE34" s="2">
        <v>-0.18193069593689556</v>
      </c>
      <c r="BG34" s="2">
        <f t="shared" si="9"/>
        <v>0.10122024444256605</v>
      </c>
      <c r="BH34" s="2">
        <f t="shared" si="3"/>
        <v>-0.56166020724803911</v>
      </c>
      <c r="BI34" s="2">
        <f t="shared" si="4"/>
        <v>-0.54942318388536149</v>
      </c>
    </row>
    <row r="35" spans="1:61" x14ac:dyDescent="0.3">
      <c r="A35" s="31">
        <v>2013.4166666668</v>
      </c>
      <c r="B35" s="33">
        <v>0.91683388290840029</v>
      </c>
      <c r="C35" s="33">
        <v>0.22800000000000153</v>
      </c>
      <c r="D35" s="33">
        <v>0.20903812530311666</v>
      </c>
      <c r="F35" s="31">
        <v>2013.4166666668</v>
      </c>
      <c r="G35" s="2">
        <v>0.5952528561635626</v>
      </c>
      <c r="H35" s="2">
        <v>0.21524999999999944</v>
      </c>
      <c r="I35" s="2">
        <v>0.12750507337998834</v>
      </c>
      <c r="K35" s="31">
        <v>2013.4166666668</v>
      </c>
      <c r="L35" s="2">
        <v>0.62491326710822603</v>
      </c>
      <c r="M35" s="2">
        <v>6.1514999999999952E-2</v>
      </c>
      <c r="N35" s="2">
        <v>3.8439869895888323E-2</v>
      </c>
      <c r="P35" s="31">
        <v>2013.4166666668</v>
      </c>
      <c r="Q35" s="2">
        <v>0.68949380605104138</v>
      </c>
      <c r="R35" s="2">
        <v>0.16775000000000076</v>
      </c>
      <c r="S35" s="2">
        <v>5.9269659687438428E-2</v>
      </c>
      <c r="U35" s="2">
        <f t="shared" si="5"/>
        <v>0.63655330977427671</v>
      </c>
      <c r="V35" s="2">
        <f t="shared" si="6"/>
        <v>0.14817166666666673</v>
      </c>
      <c r="W35" s="2">
        <f t="shared" si="7"/>
        <v>7.5071534321105027E-2</v>
      </c>
      <c r="Y35" s="31">
        <v>2013.4166666668</v>
      </c>
      <c r="Z35" s="2">
        <v>-0.80258818293421652</v>
      </c>
      <c r="AA35" s="2">
        <v>2.213551275347553</v>
      </c>
      <c r="AB35" s="2">
        <v>1.2042460637677677</v>
      </c>
      <c r="AD35" s="31">
        <v>2013.4166666668</v>
      </c>
      <c r="AE35" s="2">
        <v>-1.0970160074426121</v>
      </c>
      <c r="AF35" s="2">
        <v>-0.68622224125583742</v>
      </c>
      <c r="AG35" s="2">
        <v>-0.8230854618217105</v>
      </c>
      <c r="AH35" s="31"/>
      <c r="AI35" s="31">
        <v>2013.4166666668</v>
      </c>
      <c r="AJ35" s="2">
        <v>1.2478739417054383</v>
      </c>
      <c r="AK35" s="2">
        <v>1.6693262822256021</v>
      </c>
      <c r="AL35" s="2">
        <v>1.1613360482256658</v>
      </c>
      <c r="AM35" s="31"/>
      <c r="AN35" s="2">
        <f t="shared" si="8"/>
        <v>-0.21724341622379675</v>
      </c>
      <c r="AO35" s="2">
        <f t="shared" si="1"/>
        <v>1.0655517721057726</v>
      </c>
      <c r="AP35" s="2">
        <f t="shared" si="2"/>
        <v>0.51416555005724096</v>
      </c>
      <c r="AQ35" s="31"/>
      <c r="AR35" s="31">
        <v>2013.4166666668</v>
      </c>
      <c r="AS35" s="2">
        <v>-1.3745416204387444</v>
      </c>
      <c r="AT35" s="2">
        <v>0.97383890014292018</v>
      </c>
      <c r="AU35" s="2">
        <v>-0.32876445779458929</v>
      </c>
      <c r="AV35" s="31"/>
      <c r="AW35" s="31">
        <v>2013.4166666668</v>
      </c>
      <c r="AX35" s="2">
        <v>-1.5215242535119842</v>
      </c>
      <c r="AY35" s="2">
        <v>-1.6534191247733234</v>
      </c>
      <c r="AZ35" s="2">
        <v>-1.3670433779381679</v>
      </c>
      <c r="BA35" s="31"/>
      <c r="BB35" s="31">
        <v>2013.4166666668</v>
      </c>
      <c r="BC35" s="2">
        <v>1.1929916641767324</v>
      </c>
      <c r="BD35" s="2">
        <v>3.254951323779594</v>
      </c>
      <c r="BE35" s="2">
        <v>0.87600115279696666</v>
      </c>
      <c r="BG35" s="2">
        <f t="shared" si="9"/>
        <v>-0.56769140325799872</v>
      </c>
      <c r="BH35" s="2">
        <f t="shared" si="3"/>
        <v>0.8584570330497302</v>
      </c>
      <c r="BI35" s="2">
        <f t="shared" si="4"/>
        <v>-0.27326889431193019</v>
      </c>
    </row>
    <row r="36" spans="1:61" x14ac:dyDescent="0.3">
      <c r="A36" s="31">
        <v>2013.3333333334699</v>
      </c>
      <c r="B36" s="33">
        <v>0.80486669348556328</v>
      </c>
      <c r="C36" s="33">
        <v>0.22800000000000153</v>
      </c>
      <c r="D36" s="33">
        <v>0.18350960611470965</v>
      </c>
      <c r="F36" s="31">
        <v>2013.3333333334699</v>
      </c>
      <c r="G36" s="2">
        <v>0.56506705694597836</v>
      </c>
      <c r="H36" s="2">
        <v>0.21524999999999944</v>
      </c>
      <c r="I36" s="2">
        <v>0.12052427403263796</v>
      </c>
      <c r="K36" s="31">
        <v>2013.3333333334699</v>
      </c>
      <c r="L36" s="2">
        <v>0.52220007179760997</v>
      </c>
      <c r="M36" s="2">
        <v>6.1530000000000001E-2</v>
      </c>
      <c r="N36" s="2">
        <v>3.213097041770694E-2</v>
      </c>
      <c r="P36" s="31">
        <v>2013.3333333334699</v>
      </c>
      <c r="Q36" s="2">
        <v>0.61358185932597697</v>
      </c>
      <c r="R36" s="2">
        <v>0.16775000000000076</v>
      </c>
      <c r="S36" s="2">
        <v>5.4289506362208306E-2</v>
      </c>
      <c r="U36" s="2">
        <f t="shared" si="5"/>
        <v>0.56694966268985503</v>
      </c>
      <c r="V36" s="2">
        <f t="shared" si="6"/>
        <v>0.14817666666666673</v>
      </c>
      <c r="W36" s="2">
        <f t="shared" si="7"/>
        <v>6.8981583604184396E-2</v>
      </c>
      <c r="Y36" s="31">
        <v>2013.3333333334699</v>
      </c>
      <c r="Z36" s="2">
        <v>-0.97760774674072948</v>
      </c>
      <c r="AA36" s="2">
        <v>2.213551275347553</v>
      </c>
      <c r="AB36" s="2">
        <v>1.0435882788162443</v>
      </c>
      <c r="AD36" s="31">
        <v>2013.3333333334699</v>
      </c>
      <c r="AE36" s="2">
        <v>-1.7082372405968624</v>
      </c>
      <c r="AF36" s="2">
        <v>-0.68585487699629111</v>
      </c>
      <c r="AG36" s="2">
        <v>-1.0629801684990885</v>
      </c>
      <c r="AH36" s="31"/>
      <c r="AI36" s="31">
        <v>2013.3333333334699</v>
      </c>
      <c r="AJ36" s="2">
        <v>0.81263623365032056</v>
      </c>
      <c r="AK36" s="2">
        <v>1.6693262822256021</v>
      </c>
      <c r="AL36" s="2">
        <v>0.75885069131367455</v>
      </c>
      <c r="AM36" s="31"/>
      <c r="AN36" s="2">
        <f t="shared" si="8"/>
        <v>-0.62440291789575708</v>
      </c>
      <c r="AO36" s="2">
        <f t="shared" si="1"/>
        <v>1.0656742268589545</v>
      </c>
      <c r="AP36" s="2">
        <f t="shared" si="2"/>
        <v>0.24648626721027678</v>
      </c>
      <c r="AQ36" s="31"/>
      <c r="AR36" s="31">
        <v>2013.3333333334699</v>
      </c>
      <c r="AS36" s="2">
        <v>-1.244238713512434</v>
      </c>
      <c r="AT36" s="2">
        <v>1.194507243768935</v>
      </c>
      <c r="AU36" s="2">
        <v>0.1304348472174563</v>
      </c>
      <c r="AV36" s="31"/>
      <c r="AW36" s="31">
        <v>2013.3333333334699</v>
      </c>
      <c r="AX36" s="2">
        <v>-1.7729071584410048</v>
      </c>
      <c r="AY36" s="2">
        <v>-1.2695323353439296</v>
      </c>
      <c r="AZ36" s="2">
        <v>-1.1258583389190393</v>
      </c>
      <c r="BA36" s="31"/>
      <c r="BB36" s="31">
        <v>2013.3333333334699</v>
      </c>
      <c r="BC36" s="2">
        <v>0.75936876619401905</v>
      </c>
      <c r="BD36" s="2">
        <v>3.254951323779594</v>
      </c>
      <c r="BE36" s="2">
        <v>0.4972419568867199</v>
      </c>
      <c r="BG36" s="2">
        <f t="shared" si="9"/>
        <v>-0.75259236858647327</v>
      </c>
      <c r="BH36" s="2">
        <f t="shared" si="3"/>
        <v>1.0599754107348665</v>
      </c>
      <c r="BI36" s="2">
        <f t="shared" si="4"/>
        <v>-0.16606051160495436</v>
      </c>
    </row>
    <row r="37" spans="1:61" x14ac:dyDescent="0.3">
      <c r="A37" s="31">
        <v>2013.2500000001401</v>
      </c>
      <c r="B37" s="33">
        <v>0.80811610157442026</v>
      </c>
      <c r="C37" s="33">
        <v>0.22800000000000153</v>
      </c>
      <c r="D37" s="33">
        <v>0.18425047115896906</v>
      </c>
      <c r="F37" s="31">
        <v>2013.2500000001401</v>
      </c>
      <c r="G37" s="2">
        <v>0.58373782224763215</v>
      </c>
      <c r="H37" s="2">
        <v>0.21524999999999944</v>
      </c>
      <c r="I37" s="2">
        <v>0.1239336083500053</v>
      </c>
      <c r="K37" s="31">
        <v>2013.2500000001401</v>
      </c>
      <c r="L37" s="2">
        <v>0.67133570147835475</v>
      </c>
      <c r="M37" s="2">
        <v>6.1514999999999952E-2</v>
      </c>
      <c r="N37" s="2">
        <v>4.1295205900127363E-2</v>
      </c>
      <c r="P37" s="31">
        <v>2013.2500000001401</v>
      </c>
      <c r="Q37" s="2">
        <v>0.54326366076986854</v>
      </c>
      <c r="R37" s="2">
        <v>0.16775000000000076</v>
      </c>
      <c r="S37" s="2">
        <v>4.4519801706757872E-2</v>
      </c>
      <c r="U37" s="2">
        <f t="shared" si="5"/>
        <v>0.59944572816528507</v>
      </c>
      <c r="V37" s="2">
        <f t="shared" si="6"/>
        <v>0.14817166666666673</v>
      </c>
      <c r="W37" s="2">
        <f t="shared" si="7"/>
        <v>6.9916205318963517E-2</v>
      </c>
      <c r="Y37" s="31">
        <v>2013.2500000001401</v>
      </c>
      <c r="Z37" s="2">
        <v>-0.86935322694237172</v>
      </c>
      <c r="AA37" s="2">
        <v>2.213551275347553</v>
      </c>
      <c r="AB37" s="2">
        <v>1.12205151380313</v>
      </c>
      <c r="AD37" s="31">
        <v>2013.2500000001401</v>
      </c>
      <c r="AE37" s="2">
        <v>-0.8207673959966818</v>
      </c>
      <c r="AF37" s="2">
        <v>-0.68622224125583742</v>
      </c>
      <c r="AG37" s="2">
        <v>-0.71451185154765129</v>
      </c>
      <c r="AH37" s="31"/>
      <c r="AI37" s="31">
        <v>2013.2500000001401</v>
      </c>
      <c r="AJ37" s="2">
        <v>-6.7627721329936927E-2</v>
      </c>
      <c r="AK37" s="2">
        <v>1.6693262822256021</v>
      </c>
      <c r="AL37" s="2">
        <v>-3.0715976293294076E-2</v>
      </c>
      <c r="AM37" s="31"/>
      <c r="AN37" s="2">
        <f t="shared" si="8"/>
        <v>-0.58591611475633021</v>
      </c>
      <c r="AO37" s="2">
        <f t="shared" si="1"/>
        <v>1.0655517721057726</v>
      </c>
      <c r="AP37" s="2">
        <f t="shared" si="2"/>
        <v>0.12560789532072822</v>
      </c>
      <c r="AQ37" s="31"/>
      <c r="AR37" s="31">
        <v>2013.2500000001401</v>
      </c>
      <c r="AS37" s="2">
        <v>-0.87413469660290477</v>
      </c>
      <c r="AT37" s="2">
        <v>1.3017632887485835</v>
      </c>
      <c r="AU37" s="2">
        <v>0.32496768386477981</v>
      </c>
      <c r="AV37" s="31"/>
      <c r="AW37" s="31">
        <v>2013.2500000001401</v>
      </c>
      <c r="AX37" s="2">
        <v>-0.77823221663178055</v>
      </c>
      <c r="AY37" s="2">
        <v>-1.5103266726480709</v>
      </c>
      <c r="AZ37" s="2">
        <v>-0.95400442932153429</v>
      </c>
      <c r="BA37" s="31"/>
      <c r="BB37" s="31">
        <v>2013.2500000001401</v>
      </c>
      <c r="BC37" s="2">
        <v>-0.11762925140404699</v>
      </c>
      <c r="BD37" s="2">
        <v>3.254951323779594</v>
      </c>
      <c r="BE37" s="2">
        <v>-0.2457804438157756</v>
      </c>
      <c r="BG37" s="2">
        <f t="shared" si="9"/>
        <v>-0.58999872154624411</v>
      </c>
      <c r="BH37" s="2">
        <f t="shared" si="3"/>
        <v>1.015462646626702</v>
      </c>
      <c r="BI37" s="2">
        <f t="shared" si="4"/>
        <v>-0.29160572975751003</v>
      </c>
    </row>
    <row r="38" spans="1:61" x14ac:dyDescent="0.3">
      <c r="A38" s="31">
        <v>2013.16666666681</v>
      </c>
      <c r="B38" s="33">
        <v>0.80287254435759992</v>
      </c>
      <c r="C38" s="33">
        <v>0.22800000000000153</v>
      </c>
      <c r="D38" s="33">
        <v>0.18305494011353401</v>
      </c>
      <c r="F38" s="31">
        <v>2013.16666666681</v>
      </c>
      <c r="G38" s="2">
        <v>0.55424840342493598</v>
      </c>
      <c r="H38" s="2">
        <v>0.21524999999999944</v>
      </c>
      <c r="I38" s="2">
        <v>0.11698639589057663</v>
      </c>
      <c r="K38" s="31">
        <v>2013.16666666681</v>
      </c>
      <c r="L38" s="2">
        <v>0.55302123131258196</v>
      </c>
      <c r="M38" s="2">
        <v>6.1530000000000001E-2</v>
      </c>
      <c r="N38" s="2">
        <v>3.4027396362663172E-2</v>
      </c>
      <c r="P38" s="31">
        <v>2013.16666666681</v>
      </c>
      <c r="Q38" s="2">
        <v>0.61431052443482925</v>
      </c>
      <c r="R38" s="2">
        <v>0.1198000000000006</v>
      </c>
      <c r="S38" s="2">
        <v>3.5824852717143439E-2</v>
      </c>
      <c r="U38" s="2">
        <f t="shared" si="5"/>
        <v>0.57386005305744903</v>
      </c>
      <c r="V38" s="2">
        <f t="shared" si="6"/>
        <v>0.13219333333333336</v>
      </c>
      <c r="W38" s="2">
        <f t="shared" si="7"/>
        <v>6.2279548323461081E-2</v>
      </c>
      <c r="Y38" s="31">
        <v>2013.16666666681</v>
      </c>
      <c r="Z38" s="2">
        <v>-1.0403351241600962</v>
      </c>
      <c r="AA38" s="2">
        <v>2.213551275347553</v>
      </c>
      <c r="AB38" s="2">
        <v>0.96216670551923789</v>
      </c>
      <c r="AD38" s="31">
        <v>2013.16666666681</v>
      </c>
      <c r="AE38" s="2">
        <v>-1.5248280197171575</v>
      </c>
      <c r="AF38" s="2">
        <v>-0.68585487699629111</v>
      </c>
      <c r="AG38" s="2">
        <v>-0.99086893144831412</v>
      </c>
      <c r="AH38" s="31"/>
      <c r="AI38" s="31">
        <v>2013.16666666681</v>
      </c>
      <c r="AJ38" s="2">
        <v>-0.86238188955643469</v>
      </c>
      <c r="AK38" s="2">
        <v>0.52667636231568804</v>
      </c>
      <c r="AL38" s="2">
        <v>-0.73342318606676327</v>
      </c>
      <c r="AM38" s="31"/>
      <c r="AN38" s="2">
        <f t="shared" si="8"/>
        <v>-1.1425150111445628</v>
      </c>
      <c r="AO38" s="2">
        <f t="shared" si="1"/>
        <v>0.68479092022231658</v>
      </c>
      <c r="AP38" s="2">
        <f t="shared" si="2"/>
        <v>-0.25404180399861315</v>
      </c>
      <c r="AQ38" s="31"/>
      <c r="AR38" s="31">
        <v>2013.16666666681</v>
      </c>
      <c r="AS38" s="2">
        <v>-0.75317790751696223</v>
      </c>
      <c r="AT38" s="2">
        <v>1.4394269330854637</v>
      </c>
      <c r="AU38" s="2">
        <v>0.48470990617714738</v>
      </c>
      <c r="AV38" s="31"/>
      <c r="AW38" s="31">
        <v>2013.16666666681</v>
      </c>
      <c r="AX38" s="2">
        <v>-1.3151036632892978</v>
      </c>
      <c r="AY38" s="2">
        <v>-1.155108913649816</v>
      </c>
      <c r="AZ38" s="2">
        <v>-0.94914692372950848</v>
      </c>
      <c r="BA38" s="31"/>
      <c r="BB38" s="31">
        <v>2013.16666666681</v>
      </c>
      <c r="BC38" s="2">
        <v>-0.90943473891610882</v>
      </c>
      <c r="BD38" s="2">
        <v>1.3307501689804029</v>
      </c>
      <c r="BE38" s="2">
        <v>-0.90706367602124183</v>
      </c>
      <c r="BG38" s="2">
        <f t="shared" si="9"/>
        <v>-0.99257210324078959</v>
      </c>
      <c r="BH38" s="2">
        <f t="shared" si="3"/>
        <v>0.5383560628053502</v>
      </c>
      <c r="BI38" s="2">
        <f t="shared" si="4"/>
        <v>-0.45716689785786763</v>
      </c>
    </row>
    <row r="39" spans="1:61" x14ac:dyDescent="0.3">
      <c r="A39" s="31">
        <v>2013.0833333334799</v>
      </c>
      <c r="B39">
        <v>0.51580956848200366</v>
      </c>
      <c r="C39">
        <v>0.12160000000000082</v>
      </c>
      <c r="D39">
        <v>6.2722443527412061E-2</v>
      </c>
      <c r="F39" s="31">
        <v>2013.0833333334799</v>
      </c>
      <c r="G39" s="2">
        <v>0.52968543267818258</v>
      </c>
      <c r="H39" s="2">
        <v>6.1499999999999846E-2</v>
      </c>
      <c r="I39" s="2">
        <v>3.2575654109708155E-2</v>
      </c>
      <c r="K39" s="31">
        <v>2013.0833333334799</v>
      </c>
      <c r="L39" s="2">
        <v>0.71910398183497781</v>
      </c>
      <c r="M39" s="2">
        <v>6.1514999999999952E-2</v>
      </c>
      <c r="N39" s="2">
        <v>4.4233430872623915E-2</v>
      </c>
      <c r="P39" s="31">
        <v>2013.0833333334799</v>
      </c>
      <c r="Q39" s="2">
        <v>0.4894599917701154</v>
      </c>
      <c r="R39" s="2">
        <v>9.5850000000000463E-2</v>
      </c>
      <c r="S39" s="2">
        <v>3.224585489641589E-2</v>
      </c>
      <c r="U39" s="2">
        <f t="shared" si="5"/>
        <v>0.57941646876109199</v>
      </c>
      <c r="V39" s="2">
        <f t="shared" si="6"/>
        <v>7.2955000000000089E-2</v>
      </c>
      <c r="W39" s="2">
        <f t="shared" si="7"/>
        <v>3.6351646626249325E-2</v>
      </c>
      <c r="Y39" s="31">
        <v>2013.0833333334799</v>
      </c>
      <c r="Z39" s="2">
        <v>-1.1827531000732405</v>
      </c>
      <c r="AA39" s="2">
        <v>-0.78876452892998183</v>
      </c>
      <c r="AB39" s="2">
        <v>-0.98048228435276252</v>
      </c>
      <c r="AD39" s="31">
        <v>2013.0833333334799</v>
      </c>
      <c r="AE39" s="2">
        <v>-0.53650998255590454</v>
      </c>
      <c r="AF39" s="2">
        <v>-0.68622224125583742</v>
      </c>
      <c r="AG39" s="2">
        <v>-0.60278640396889327</v>
      </c>
      <c r="AH39" s="31"/>
      <c r="AI39" s="31">
        <v>2013.0833333334799</v>
      </c>
      <c r="AJ39" s="2">
        <v>-1.1757384232149297</v>
      </c>
      <c r="AK39" s="2">
        <v>-4.4052846898962821E-2</v>
      </c>
      <c r="AL39" s="2">
        <v>-1.022670147192444</v>
      </c>
      <c r="AM39" s="31"/>
      <c r="AN39" s="2">
        <f t="shared" si="8"/>
        <v>-0.96500050194802489</v>
      </c>
      <c r="AO39" s="2">
        <f t="shared" si="1"/>
        <v>-0.50634653902826077</v>
      </c>
      <c r="AP39" s="2">
        <f t="shared" si="2"/>
        <v>-0.86864627850469989</v>
      </c>
      <c r="AQ39" s="31"/>
      <c r="AR39" s="31">
        <v>2013.0833333334799</v>
      </c>
      <c r="AS39" s="2">
        <v>-0.87989980132625556</v>
      </c>
      <c r="AT39" s="2">
        <v>-0.93050162247170598</v>
      </c>
      <c r="AU39" s="2">
        <v>-1.1453641136514414</v>
      </c>
      <c r="AV39" s="31"/>
      <c r="AW39" s="31">
        <v>2013.0833333334799</v>
      </c>
      <c r="AX39" s="2">
        <v>-0.24814186931091675</v>
      </c>
      <c r="AY39" s="2">
        <v>-0.87038484719517628</v>
      </c>
      <c r="AZ39" s="2">
        <v>-0.67874950963186875</v>
      </c>
      <c r="BA39" s="31"/>
      <c r="BB39" s="31">
        <v>2013.0833333334799</v>
      </c>
      <c r="BC39" s="2">
        <v>-1.2216286635509817</v>
      </c>
      <c r="BD39" s="2">
        <v>0.36965282471677957</v>
      </c>
      <c r="BE39" s="2">
        <v>-1.179259780883265</v>
      </c>
      <c r="BG39" s="2">
        <f t="shared" si="9"/>
        <v>-0.78322344472938477</v>
      </c>
      <c r="BH39" s="2">
        <f t="shared" si="3"/>
        <v>-0.47707788165003423</v>
      </c>
      <c r="BI39" s="2">
        <f t="shared" si="4"/>
        <v>-1.0011244680555251</v>
      </c>
    </row>
    <row r="40" spans="1:61" x14ac:dyDescent="0.3">
      <c r="A40" s="31">
        <v>2013.0000000001501</v>
      </c>
      <c r="B40">
        <v>0.58724204697113969</v>
      </c>
      <c r="C40">
        <v>0.12160000000000082</v>
      </c>
      <c r="D40">
        <v>7.140863291169107E-2</v>
      </c>
      <c r="F40" s="31">
        <v>2013.0000000001501</v>
      </c>
      <c r="G40" s="2"/>
      <c r="H40" s="2"/>
      <c r="I40" s="2"/>
      <c r="K40" s="31">
        <v>2013.0000000001501</v>
      </c>
      <c r="L40" s="2"/>
      <c r="M40" s="2"/>
      <c r="N40" s="2"/>
      <c r="P40" s="31">
        <v>2013.0000000001501</v>
      </c>
      <c r="Q40" s="2">
        <v>0.53528065819038162</v>
      </c>
      <c r="R40" s="2">
        <v>7.1900000000000297E-2</v>
      </c>
      <c r="S40" s="2">
        <v>3.260370136878106E-2</v>
      </c>
      <c r="U40" s="2">
        <f t="shared" si="5"/>
        <v>0.53528065819038162</v>
      </c>
      <c r="V40" s="2">
        <f t="shared" si="6"/>
        <v>7.1900000000000297E-2</v>
      </c>
      <c r="W40" s="2">
        <f t="shared" si="7"/>
        <v>3.260370136878106E-2</v>
      </c>
      <c r="Y40" s="31">
        <v>2013.0000000001501</v>
      </c>
      <c r="Z40" s="2"/>
      <c r="AA40" s="2"/>
      <c r="AB40" s="2"/>
      <c r="AD40" s="31">
        <v>2013.0000000001501</v>
      </c>
      <c r="AE40" s="2"/>
      <c r="AF40" s="2"/>
      <c r="AG40" s="2"/>
      <c r="AH40" s="31"/>
      <c r="AI40" s="31">
        <v>2013.0000000001501</v>
      </c>
      <c r="AJ40" s="2">
        <v>-1.1371399284572357</v>
      </c>
      <c r="AK40" s="2">
        <v>-0.61478205611361436</v>
      </c>
      <c r="AL40" s="2">
        <v>-0.99374975945660304</v>
      </c>
      <c r="AM40" s="31"/>
      <c r="AN40" s="2">
        <f t="shared" si="8"/>
        <v>-1.1371399284572357</v>
      </c>
      <c r="AO40" s="2">
        <f t="shared" si="1"/>
        <v>-0.61478205611361436</v>
      </c>
      <c r="AP40" s="2">
        <f t="shared" si="2"/>
        <v>-0.99374975945660304</v>
      </c>
      <c r="AQ40" s="31"/>
      <c r="AR40" s="31">
        <v>2013.0000000001501</v>
      </c>
      <c r="AS40" s="2"/>
      <c r="AT40" s="2"/>
      <c r="AU40" s="2"/>
      <c r="AV40" s="31"/>
      <c r="AW40" s="31">
        <v>2013.0000000001501</v>
      </c>
      <c r="AX40" s="2"/>
      <c r="AY40" s="2"/>
      <c r="AZ40" s="2"/>
      <c r="BA40" s="31"/>
      <c r="BB40" s="31">
        <v>2013.0000000001501</v>
      </c>
      <c r="BC40" s="2">
        <v>-0.48358960977932891</v>
      </c>
      <c r="BD40" s="2">
        <v>-9.3919208556921333E-2</v>
      </c>
      <c r="BE40" s="2">
        <v>-0.34499800838339256</v>
      </c>
      <c r="BG40" s="2">
        <f t="shared" si="9"/>
        <v>-0.48358960977932891</v>
      </c>
      <c r="BH40" s="2">
        <f t="shared" si="3"/>
        <v>-9.3919208556921333E-2</v>
      </c>
      <c r="BI40" s="2">
        <f t="shared" si="4"/>
        <v>-0.34499800838339256</v>
      </c>
    </row>
    <row r="41" spans="1:61" x14ac:dyDescent="0.3">
      <c r="A41" s="31">
        <v>2012.91666666682</v>
      </c>
      <c r="B41">
        <v>0.52838852353501276</v>
      </c>
      <c r="C41">
        <v>0.13680000000000092</v>
      </c>
      <c r="D41">
        <v>7.2283550019590234E-2</v>
      </c>
      <c r="F41" s="31">
        <v>2012.91666666682</v>
      </c>
      <c r="G41" s="2">
        <v>0.53503621004608215</v>
      </c>
      <c r="H41" s="2">
        <v>6.1499999999999846E-2</v>
      </c>
      <c r="I41" s="2">
        <v>3.2904726917833978E-2</v>
      </c>
      <c r="K41" s="31">
        <v>2012.91666666682</v>
      </c>
      <c r="L41" s="2">
        <v>0.61540771154430673</v>
      </c>
      <c r="M41" s="2">
        <v>6.1530000000000001E-2</v>
      </c>
      <c r="N41" s="2">
        <v>3.7866036491321191E-2</v>
      </c>
      <c r="P41" s="31">
        <v>2012.91666666682</v>
      </c>
      <c r="Q41" s="2">
        <v>0.6891564995476307</v>
      </c>
      <c r="R41" s="2">
        <v>9.5850000000000463E-2</v>
      </c>
      <c r="S41" s="2">
        <v>3.5735255257766725E-2</v>
      </c>
      <c r="U41" s="2">
        <f t="shared" si="5"/>
        <v>0.61320014037933979</v>
      </c>
      <c r="V41" s="2">
        <f t="shared" si="6"/>
        <v>7.2960000000000094E-2</v>
      </c>
      <c r="W41" s="2">
        <f t="shared" si="7"/>
        <v>3.5502006222307293E-2</v>
      </c>
      <c r="Y41" s="31">
        <v>2012.91666666682</v>
      </c>
      <c r="Z41" s="2">
        <v>-1.1517288852030241</v>
      </c>
      <c r="AA41" s="2">
        <v>-0.78876452892998183</v>
      </c>
      <c r="AB41" s="2">
        <v>-0.97290892408115714</v>
      </c>
      <c r="AD41" s="31">
        <v>2012.91666666682</v>
      </c>
      <c r="AE41" s="2">
        <v>-1.1535812557149974</v>
      </c>
      <c r="AF41" s="2">
        <v>-0.68585487699629111</v>
      </c>
      <c r="AG41" s="2">
        <v>-0.84490536824855933</v>
      </c>
      <c r="AH41" s="31"/>
      <c r="AI41" s="31">
        <v>2012.91666666682</v>
      </c>
      <c r="AJ41" s="2">
        <v>-0.89353075784860758</v>
      </c>
      <c r="AK41" s="2">
        <v>-4.4052846898962821E-2</v>
      </c>
      <c r="AL41" s="2">
        <v>-0.74066426140332986</v>
      </c>
      <c r="AM41" s="31"/>
      <c r="AN41" s="2">
        <f t="shared" si="8"/>
        <v>-1.0662802995888763</v>
      </c>
      <c r="AO41" s="2">
        <f t="shared" si="1"/>
        <v>-0.50622408427507859</v>
      </c>
      <c r="AP41" s="2">
        <f t="shared" si="2"/>
        <v>-0.85282618457768222</v>
      </c>
      <c r="AQ41" s="31"/>
      <c r="AR41" s="31">
        <v>2012.91666666682</v>
      </c>
      <c r="AS41" s="2">
        <v>-0.92021642779965451</v>
      </c>
      <c r="AT41" s="2">
        <v>-0.68444756444045252</v>
      </c>
      <c r="AU41" s="2">
        <v>-1.0093304109698051</v>
      </c>
      <c r="AV41" s="31"/>
      <c r="AW41" s="31">
        <v>2012.91666666682</v>
      </c>
      <c r="AX41" s="2">
        <v>-0.84531888724660742</v>
      </c>
      <c r="AY41" s="2">
        <v>-0.51674513160061353</v>
      </c>
      <c r="AZ41" s="2">
        <v>-0.92218784827506139</v>
      </c>
      <c r="BA41" s="31"/>
      <c r="BB41" s="31">
        <v>2012.91666666682</v>
      </c>
      <c r="BC41" s="2">
        <v>-0.60294016312962184</v>
      </c>
      <c r="BD41" s="2">
        <v>0.88737234882057547</v>
      </c>
      <c r="BE41" s="2">
        <v>-0.5162815888770762</v>
      </c>
      <c r="BG41" s="2">
        <f t="shared" si="9"/>
        <v>-0.789491826058628</v>
      </c>
      <c r="BH41" s="2">
        <f t="shared" si="3"/>
        <v>-0.10460678240683019</v>
      </c>
      <c r="BI41" s="2">
        <f t="shared" si="4"/>
        <v>-0.81593328270731424</v>
      </c>
    </row>
    <row r="42" spans="1:61" x14ac:dyDescent="0.3">
      <c r="A42" s="31">
        <v>2012.8333333334899</v>
      </c>
      <c r="B42">
        <v>0.56256768325670647</v>
      </c>
      <c r="C42">
        <v>0.12160000000000082</v>
      </c>
      <c r="D42">
        <v>6.8408230284015964E-2</v>
      </c>
      <c r="F42" s="31">
        <v>2012.8333333334899</v>
      </c>
      <c r="G42" s="2"/>
      <c r="H42" s="2"/>
      <c r="I42" s="2"/>
      <c r="K42" s="31">
        <v>2012.8333333334899</v>
      </c>
      <c r="L42" s="2">
        <v>0.93518156140243092</v>
      </c>
      <c r="M42" s="2">
        <v>6.1499999999999902E-2</v>
      </c>
      <c r="N42" s="2">
        <v>5.751366602624941E-2</v>
      </c>
      <c r="P42" s="31">
        <v>2012.8333333334899</v>
      </c>
      <c r="Q42" s="2">
        <v>0.88900092721091772</v>
      </c>
      <c r="R42" s="2">
        <v>4.7900000000000303E-2</v>
      </c>
      <c r="S42" s="2">
        <v>3.1589306640162712E-2</v>
      </c>
      <c r="U42" s="2">
        <f t="shared" si="5"/>
        <v>0.91209124430667432</v>
      </c>
      <c r="V42" s="2">
        <f t="shared" si="6"/>
        <v>5.4700000000000103E-2</v>
      </c>
      <c r="W42" s="2">
        <f t="shared" si="7"/>
        <v>4.4551486333206061E-2</v>
      </c>
      <c r="Y42" s="31">
        <v>2012.8333333334899</v>
      </c>
      <c r="Z42" s="2"/>
      <c r="AA42" s="2"/>
      <c r="AB42" s="2"/>
      <c r="AD42" s="31">
        <v>2012.8333333334899</v>
      </c>
      <c r="AE42" s="2">
        <v>0.74931511752793944</v>
      </c>
      <c r="AF42" s="2">
        <v>-0.68658960551538373</v>
      </c>
      <c r="AG42" s="2">
        <v>-9.7807979791503241E-2</v>
      </c>
      <c r="AH42" s="31"/>
      <c r="AI42" s="31">
        <v>2012.8333333334899</v>
      </c>
      <c r="AJ42" s="2">
        <v>-5.2575348704020863E-2</v>
      </c>
      <c r="AK42" s="2">
        <v>-1.186702766808877</v>
      </c>
      <c r="AL42" s="2">
        <v>-1.0757309752415072</v>
      </c>
      <c r="AM42" s="31"/>
      <c r="AN42" s="2">
        <f t="shared" si="8"/>
        <v>0.34836988441195926</v>
      </c>
      <c r="AO42" s="2">
        <f t="shared" si="1"/>
        <v>-0.93664618616213036</v>
      </c>
      <c r="AP42" s="2">
        <f t="shared" si="2"/>
        <v>-0.58676947751650521</v>
      </c>
      <c r="AQ42" s="31"/>
      <c r="AR42" s="31">
        <v>2012.8333333334899</v>
      </c>
      <c r="AS42" s="2"/>
      <c r="AT42" s="2"/>
      <c r="AU42" s="2"/>
      <c r="AV42" s="31"/>
      <c r="AW42" s="31">
        <v>2012.8333333334899</v>
      </c>
      <c r="AX42" s="2">
        <v>0.63488677900505219</v>
      </c>
      <c r="AY42" s="2">
        <v>-0.19208961378086201</v>
      </c>
      <c r="AZ42" s="2">
        <v>0.56274139230189146</v>
      </c>
      <c r="BA42" s="31"/>
      <c r="BB42" s="31">
        <v>2012.8333333334899</v>
      </c>
      <c r="BC42" s="2">
        <v>4.4129658590677502E-2</v>
      </c>
      <c r="BD42" s="2">
        <v>-0.86039420085980967</v>
      </c>
      <c r="BE42" s="2">
        <v>-0.53173858172029265</v>
      </c>
      <c r="BG42" s="2">
        <f t="shared" si="9"/>
        <v>0.33950821879786486</v>
      </c>
      <c r="BH42" s="2">
        <f t="shared" si="3"/>
        <v>-0.52624190732033582</v>
      </c>
      <c r="BI42" s="2">
        <f t="shared" si="4"/>
        <v>1.5501405290799408E-2</v>
      </c>
    </row>
    <row r="43" spans="1:61" x14ac:dyDescent="0.3">
      <c r="A43" s="31">
        <v>2012.7500000001601</v>
      </c>
      <c r="B43">
        <v>0.57780120301417004</v>
      </c>
      <c r="C43">
        <v>0.13680000000000092</v>
      </c>
      <c r="D43">
        <v>7.9043204572338988E-2</v>
      </c>
      <c r="F43" s="31">
        <v>2012.7500000001601</v>
      </c>
      <c r="G43" s="2">
        <v>0.54485200283314927</v>
      </c>
      <c r="H43" s="2">
        <v>6.1499999999999846E-2</v>
      </c>
      <c r="I43" s="2">
        <v>3.3508398174238604E-2</v>
      </c>
      <c r="K43" s="31">
        <v>2012.7500000001601</v>
      </c>
      <c r="L43" s="2">
        <v>0.67306418310698757</v>
      </c>
      <c r="M43" s="2">
        <v>6.1530000000000001E-2</v>
      </c>
      <c r="N43" s="2">
        <v>4.1413639186572947E-2</v>
      </c>
      <c r="P43" s="31">
        <v>2012.7500000001601</v>
      </c>
      <c r="Q43" s="2">
        <v>0.95705604195143912</v>
      </c>
      <c r="R43" s="2">
        <v>9.5850000000000463E-2</v>
      </c>
      <c r="S43" s="2">
        <v>4.376352284509933E-2</v>
      </c>
      <c r="U43" s="2">
        <f t="shared" si="5"/>
        <v>0.72499074263052543</v>
      </c>
      <c r="V43" s="2">
        <f t="shared" si="6"/>
        <v>7.2960000000000094E-2</v>
      </c>
      <c r="W43" s="2">
        <f t="shared" si="7"/>
        <v>3.9561853401970291E-2</v>
      </c>
      <c r="Y43" s="31">
        <v>2012.7500000001601</v>
      </c>
      <c r="Z43" s="2">
        <v>-1.0948161707300927</v>
      </c>
      <c r="AA43" s="2">
        <v>-0.78876452892998183</v>
      </c>
      <c r="AB43" s="2">
        <v>-0.95901588947765126</v>
      </c>
      <c r="AD43" s="31">
        <v>2012.7500000001601</v>
      </c>
      <c r="AE43" s="2">
        <v>-0.81048162239824117</v>
      </c>
      <c r="AF43" s="2">
        <v>-0.68585487699629111</v>
      </c>
      <c r="AG43" s="2">
        <v>-0.71000844828200094</v>
      </c>
      <c r="AH43" s="31"/>
      <c r="AI43" s="31">
        <v>2012.7500000001601</v>
      </c>
      <c r="AJ43" s="2">
        <v>-0.24048939876223863</v>
      </c>
      <c r="AK43" s="2">
        <v>-4.4052846898962821E-2</v>
      </c>
      <c r="AL43" s="2">
        <v>-9.1836818902204645E-2</v>
      </c>
      <c r="AM43" s="31"/>
      <c r="AN43" s="2">
        <f t="shared" si="8"/>
        <v>-0.71526239729685737</v>
      </c>
      <c r="AO43" s="2">
        <f t="shared" si="1"/>
        <v>-0.50622408427507859</v>
      </c>
      <c r="AP43" s="2">
        <f t="shared" si="2"/>
        <v>-0.58695371888728565</v>
      </c>
      <c r="AQ43" s="31"/>
      <c r="AR43" s="31">
        <v>2012.7500000001601</v>
      </c>
      <c r="AS43" s="2">
        <v>-1.4084005499187631</v>
      </c>
      <c r="AT43" s="2">
        <v>-0.6766476141944503</v>
      </c>
      <c r="AU43" s="2">
        <v>-1.139971654414305</v>
      </c>
      <c r="AV43" s="31"/>
      <c r="AW43" s="31">
        <v>2012.7500000001601</v>
      </c>
      <c r="AX43" s="2">
        <v>-0.85466768646316926</v>
      </c>
      <c r="AY43" s="2">
        <v>-0.6556773484817211</v>
      </c>
      <c r="AZ43" s="2">
        <v>-1.0024110831802997</v>
      </c>
      <c r="BA43" s="31"/>
      <c r="BB43" s="31">
        <v>2012.7500000001601</v>
      </c>
      <c r="BC43" s="2">
        <v>-0.28984958096440594</v>
      </c>
      <c r="BD43" s="2">
        <v>0.36965282471677957</v>
      </c>
      <c r="BE43" s="2">
        <v>-0.30329826602308085</v>
      </c>
      <c r="BG43" s="2">
        <f t="shared" si="9"/>
        <v>-0.85097260578211265</v>
      </c>
      <c r="BH43" s="2">
        <f t="shared" si="3"/>
        <v>-0.32089071265313063</v>
      </c>
      <c r="BI43" s="2">
        <f t="shared" si="4"/>
        <v>-0.8152270012058952</v>
      </c>
    </row>
    <row r="44" spans="1:61" x14ac:dyDescent="0.3">
      <c r="A44" s="31">
        <v>2012.66666666683</v>
      </c>
      <c r="B44">
        <v>0.64903826876333492</v>
      </c>
      <c r="C44">
        <v>0.12160000000000082</v>
      </c>
      <c r="D44">
        <v>7.8923053481622055E-2</v>
      </c>
      <c r="F44" s="31">
        <v>2012.66666666683</v>
      </c>
      <c r="G44" s="2"/>
      <c r="H44" s="2"/>
      <c r="I44" s="2"/>
      <c r="K44" s="31">
        <v>2012.66666666683</v>
      </c>
      <c r="L44" s="2">
        <v>1.0060924990068032</v>
      </c>
      <c r="M44" s="2">
        <v>6.1499999999999902E-2</v>
      </c>
      <c r="N44" s="2">
        <v>6.1874688688918301E-2</v>
      </c>
      <c r="P44" s="31">
        <v>2012.66666666683</v>
      </c>
      <c r="Q44" s="2">
        <v>0.92409450857080166</v>
      </c>
      <c r="R44" s="2">
        <v>7.1900000000000297E-2</v>
      </c>
      <c r="S44" s="2">
        <v>5.4596730718412478E-2</v>
      </c>
      <c r="U44" s="2">
        <f t="shared" si="5"/>
        <v>0.96509350378880243</v>
      </c>
      <c r="V44" s="2">
        <f t="shared" si="6"/>
        <v>6.6700000000000093E-2</v>
      </c>
      <c r="W44" s="2">
        <f t="shared" si="7"/>
        <v>5.8235709703665386E-2</v>
      </c>
      <c r="Y44" s="31">
        <v>2012.66666666683</v>
      </c>
      <c r="Z44" s="2"/>
      <c r="AA44" s="2"/>
      <c r="AB44" s="2"/>
      <c r="AD44" s="31">
        <v>2012.66666666683</v>
      </c>
      <c r="AE44" s="2">
        <v>1.1712888531866996</v>
      </c>
      <c r="AF44" s="2">
        <v>-0.68658960551538373</v>
      </c>
      <c r="AG44" s="2">
        <v>6.8019080235759685E-2</v>
      </c>
      <c r="AH44" s="31"/>
      <c r="AI44" s="31">
        <v>2012.66666666683</v>
      </c>
      <c r="AJ44" s="2">
        <v>0.57454006013371384</v>
      </c>
      <c r="AK44" s="2">
        <v>-0.61478205611361436</v>
      </c>
      <c r="AL44" s="2">
        <v>0.78367990772202256</v>
      </c>
      <c r="AM44" s="31"/>
      <c r="AN44" s="2">
        <f t="shared" si="8"/>
        <v>0.87291445666020673</v>
      </c>
      <c r="AO44" s="2">
        <f t="shared" si="1"/>
        <v>-0.65068583081449904</v>
      </c>
      <c r="AP44" s="2">
        <f t="shared" si="2"/>
        <v>0.4258494939788911</v>
      </c>
      <c r="AQ44" s="31"/>
      <c r="AR44" s="31">
        <v>2012.66666666683</v>
      </c>
      <c r="AS44" s="2">
        <v>-2.4610099415779909</v>
      </c>
      <c r="AT44" s="2">
        <v>-2.3929645601047929</v>
      </c>
      <c r="AU44" s="2">
        <v>-2.1450442590943926</v>
      </c>
      <c r="AV44" s="31"/>
      <c r="AW44" s="31">
        <v>2012.66666666683</v>
      </c>
      <c r="AX44" s="2">
        <v>0.64178524832700201</v>
      </c>
      <c r="AY44" s="2">
        <v>-0.23903137022338633</v>
      </c>
      <c r="AZ44" s="2">
        <v>0.62562469754610883</v>
      </c>
      <c r="BA44" s="31"/>
      <c r="BB44" s="31">
        <v>2012.66666666683</v>
      </c>
      <c r="BC44" s="2">
        <v>0.52215597224696653</v>
      </c>
      <c r="BD44" s="2">
        <v>-0.59144451954684485</v>
      </c>
      <c r="BE44" s="2">
        <v>0.52060751262782923</v>
      </c>
      <c r="BG44" s="2">
        <f t="shared" si="9"/>
        <v>-0.43235624033467412</v>
      </c>
      <c r="BH44" s="2">
        <f t="shared" si="3"/>
        <v>-1.0744801499583414</v>
      </c>
      <c r="BI44" s="2">
        <f t="shared" si="4"/>
        <v>-0.33293734964015148</v>
      </c>
    </row>
    <row r="45" spans="1:61" x14ac:dyDescent="0.3">
      <c r="A45" s="31">
        <v>2012.5833333334999</v>
      </c>
      <c r="B45">
        <v>0.67722868262257607</v>
      </c>
      <c r="C45">
        <v>0.13680000000000092</v>
      </c>
      <c r="D45">
        <v>9.2644883782769027E-2</v>
      </c>
      <c r="F45" s="31">
        <v>2012.5833333334999</v>
      </c>
      <c r="G45" s="2">
        <v>0.55497352960994206</v>
      </c>
      <c r="H45" s="2">
        <v>6.1499999999999846E-2</v>
      </c>
      <c r="I45" s="2">
        <v>3.4130872071011356E-2</v>
      </c>
      <c r="K45" s="31">
        <v>2012.5833333334999</v>
      </c>
      <c r="L45" s="2">
        <v>0.73622861871950374</v>
      </c>
      <c r="M45" s="2">
        <v>6.1530000000000001E-2</v>
      </c>
      <c r="N45" s="2">
        <v>4.5300146909811066E-2</v>
      </c>
      <c r="P45" s="31">
        <v>2012.5833333334999</v>
      </c>
      <c r="Q45" s="2">
        <v>0.8560156914374516</v>
      </c>
      <c r="R45" s="2">
        <v>9.5850000000000463E-2</v>
      </c>
      <c r="S45" s="2">
        <v>6.4827283008867781E-2</v>
      </c>
      <c r="U45" s="2">
        <f t="shared" si="5"/>
        <v>0.71573927992229913</v>
      </c>
      <c r="V45" s="2">
        <f t="shared" si="6"/>
        <v>7.2960000000000094E-2</v>
      </c>
      <c r="W45" s="2">
        <f t="shared" si="7"/>
        <v>4.8086100663230068E-2</v>
      </c>
      <c r="Y45" s="31">
        <v>2012.5833333334999</v>
      </c>
      <c r="Z45" s="2">
        <v>-1.036130787289979</v>
      </c>
      <c r="AA45" s="2">
        <v>-0.78876452892998183</v>
      </c>
      <c r="AB45" s="2">
        <v>-0.94469012641391104</v>
      </c>
      <c r="AD45" s="31">
        <v>2012.5833333334999</v>
      </c>
      <c r="AE45" s="2">
        <v>-0.43460543521682604</v>
      </c>
      <c r="AF45" s="2">
        <v>-0.68585487699629111</v>
      </c>
      <c r="AG45" s="2">
        <v>-0.56222472887261599</v>
      </c>
      <c r="AH45" s="31"/>
      <c r="AI45" s="31">
        <v>2012.5833333334999</v>
      </c>
      <c r="AJ45" s="2">
        <v>1.3784392740706219</v>
      </c>
      <c r="AK45" s="2">
        <v>-4.4052846898962821E-2</v>
      </c>
      <c r="AL45" s="2">
        <v>1.6104912970762701</v>
      </c>
      <c r="AM45" s="31"/>
      <c r="AN45" s="2">
        <f t="shared" si="8"/>
        <v>-3.0765649478727692E-2</v>
      </c>
      <c r="AO45" s="2">
        <f t="shared" si="1"/>
        <v>-0.50622408427507859</v>
      </c>
      <c r="AP45" s="2">
        <f t="shared" si="2"/>
        <v>3.452548059658108E-2</v>
      </c>
      <c r="AQ45" s="31"/>
      <c r="AR45" s="31">
        <v>2012.5833333334999</v>
      </c>
      <c r="AS45" s="2">
        <v>-1.5465317949441941</v>
      </c>
      <c r="AT45" s="2">
        <v>-0.65870957567408583</v>
      </c>
      <c r="AU45" s="2">
        <v>-1.1852001744423071</v>
      </c>
      <c r="AV45" s="31"/>
      <c r="AW45" s="31">
        <v>2012.5833333334999</v>
      </c>
      <c r="AX45" s="2">
        <v>-0.72721285576098316</v>
      </c>
      <c r="AY45" s="2">
        <v>-0.53456736455357123</v>
      </c>
      <c r="AZ45" s="2">
        <v>-0.84372995373993553</v>
      </c>
      <c r="BA45" s="31"/>
      <c r="BB45" s="31">
        <v>2012.5833333334999</v>
      </c>
      <c r="BC45" s="2">
        <v>1.3230725757072594</v>
      </c>
      <c r="BD45" s="2">
        <v>0.36965282471677957</v>
      </c>
      <c r="BE45" s="2">
        <v>1.2986790911914334</v>
      </c>
      <c r="BG45" s="2">
        <f t="shared" si="9"/>
        <v>-0.31689069166597261</v>
      </c>
      <c r="BH45" s="2">
        <f t="shared" si="3"/>
        <v>-0.27454137183695915</v>
      </c>
      <c r="BI45" s="2">
        <f t="shared" si="4"/>
        <v>-0.24341701233026972</v>
      </c>
    </row>
    <row r="46" spans="1:61" x14ac:dyDescent="0.3">
      <c r="A46" s="31">
        <v>2012.5000000001701</v>
      </c>
      <c r="B46">
        <v>0.73384059231898013</v>
      </c>
      <c r="C46">
        <v>0.12160000000000082</v>
      </c>
      <c r="D46">
        <v>8.9235016025988587E-2</v>
      </c>
      <c r="F46" s="31">
        <v>2012.5000000001701</v>
      </c>
      <c r="G46" s="2"/>
      <c r="H46" s="2"/>
      <c r="I46" s="2"/>
      <c r="K46" s="31">
        <v>2012.5000000001701</v>
      </c>
      <c r="L46" s="2"/>
      <c r="M46" s="2"/>
      <c r="N46" s="2"/>
      <c r="P46" s="31">
        <v>2012.5000000001701</v>
      </c>
      <c r="Q46" s="2">
        <v>0.85957809702128096</v>
      </c>
      <c r="R46" s="2">
        <v>4.7900000000000303E-2</v>
      </c>
      <c r="S46" s="2">
        <v>4.1735166685371763E-2</v>
      </c>
      <c r="U46" s="2">
        <f t="shared" si="5"/>
        <v>0.85957809702128096</v>
      </c>
      <c r="V46" s="2">
        <f t="shared" si="6"/>
        <v>4.7900000000000303E-2</v>
      </c>
      <c r="W46" s="2">
        <f t="shared" si="7"/>
        <v>4.1735166685371763E-2</v>
      </c>
      <c r="Y46" s="31">
        <v>2012.5000000001701</v>
      </c>
      <c r="Z46" s="2"/>
      <c r="AA46" s="2"/>
      <c r="AB46" s="2"/>
      <c r="AD46" s="31">
        <v>2012.5000000001701</v>
      </c>
      <c r="AE46" s="2"/>
      <c r="AF46" s="2"/>
      <c r="AG46" s="2"/>
      <c r="AH46" s="31"/>
      <c r="AI46" s="31">
        <v>2012.5000000001701</v>
      </c>
      <c r="AJ46" s="2">
        <v>1.3285166260546779</v>
      </c>
      <c r="AK46" s="2">
        <v>-1.186702766808877</v>
      </c>
      <c r="AL46" s="2">
        <v>-0.25576423229260709</v>
      </c>
      <c r="AM46" s="31"/>
      <c r="AN46" s="2">
        <f t="shared" si="8"/>
        <v>1.3285166260546779</v>
      </c>
      <c r="AO46" s="2">
        <f t="shared" si="1"/>
        <v>-1.186702766808877</v>
      </c>
      <c r="AP46" s="2">
        <f t="shared" si="2"/>
        <v>-0.25576423229260709</v>
      </c>
      <c r="AQ46" s="31"/>
      <c r="AR46" s="31">
        <v>2012.5000000001701</v>
      </c>
      <c r="AS46" s="2"/>
      <c r="AT46" s="2"/>
      <c r="AU46" s="2"/>
      <c r="AV46" s="31"/>
      <c r="AW46" s="31">
        <v>2012.5000000001701</v>
      </c>
      <c r="AX46" s="2"/>
      <c r="AY46" s="2"/>
      <c r="AZ46" s="2"/>
      <c r="BA46" s="31"/>
      <c r="BB46" s="31">
        <v>2012.5000000001701</v>
      </c>
      <c r="BC46" s="2">
        <v>1.2733351496823453</v>
      </c>
      <c r="BD46" s="2">
        <v>-1.5545483300824114</v>
      </c>
      <c r="BE46" s="2">
        <v>-0.45756230126591341</v>
      </c>
      <c r="BG46" s="2">
        <f t="shared" si="9"/>
        <v>1.2733351496823453</v>
      </c>
      <c r="BH46" s="2">
        <f t="shared" si="3"/>
        <v>-1.5545483300824114</v>
      </c>
      <c r="BI46" s="2">
        <f t="shared" si="4"/>
        <v>-0.45756230126591341</v>
      </c>
    </row>
    <row r="47" spans="1:61" x14ac:dyDescent="0.3">
      <c r="A47" s="31">
        <v>2012.41666666684</v>
      </c>
      <c r="B47">
        <v>0.71304367215851339</v>
      </c>
      <c r="C47">
        <v>0.25840000000000174</v>
      </c>
      <c r="D47">
        <v>0.1842504848857611</v>
      </c>
      <c r="F47" s="31">
        <v>2012.41666666684</v>
      </c>
      <c r="G47" s="2">
        <v>0.53478384827166281</v>
      </c>
      <c r="H47" s="2">
        <v>0.18449999999999964</v>
      </c>
      <c r="I47" s="2">
        <v>0.10531747253170202</v>
      </c>
      <c r="K47" s="31">
        <v>2012.41666666684</v>
      </c>
      <c r="L47" s="2">
        <v>0.9440848858581945</v>
      </c>
      <c r="M47" s="2">
        <v>6.1514999999999952E-2</v>
      </c>
      <c r="N47" s="2">
        <v>5.8073300292114667E-2</v>
      </c>
      <c r="P47" s="31">
        <v>2012.41666666684</v>
      </c>
      <c r="Q47" s="2">
        <v>0.80618604520638315</v>
      </c>
      <c r="R47" s="2">
        <v>0.14380000000000059</v>
      </c>
      <c r="S47" s="2">
        <v>6.9072677359099569E-2</v>
      </c>
      <c r="U47" s="2">
        <f t="shared" si="5"/>
        <v>0.76168492644541352</v>
      </c>
      <c r="V47" s="2">
        <f t="shared" si="6"/>
        <v>0.12993833333333341</v>
      </c>
      <c r="W47" s="2">
        <f t="shared" si="7"/>
        <v>7.7487816727638756E-2</v>
      </c>
      <c r="Y47" s="31">
        <v>2012.41666666684</v>
      </c>
      <c r="Z47" s="2">
        <v>-1.1531920979992776</v>
      </c>
      <c r="AA47" s="2">
        <v>1.6130881144920481</v>
      </c>
      <c r="AB47" s="2">
        <v>0.69361531386271602</v>
      </c>
      <c r="AD47" s="31">
        <v>2012.41666666684</v>
      </c>
      <c r="AE47" s="2">
        <v>0.80229663501035542</v>
      </c>
      <c r="AF47" s="2">
        <v>-0.68622224125583742</v>
      </c>
      <c r="AG47" s="2">
        <v>-7.6527992922057073E-2</v>
      </c>
      <c r="AH47" s="31"/>
      <c r="AI47" s="31">
        <v>2012.41666666684</v>
      </c>
      <c r="AJ47" s="2">
        <v>1.7802280035134284</v>
      </c>
      <c r="AK47" s="2">
        <v>1.0985970730109507</v>
      </c>
      <c r="AL47" s="2">
        <v>1.9535950026647395</v>
      </c>
      <c r="AM47" s="31"/>
      <c r="AN47" s="2">
        <f t="shared" si="8"/>
        <v>0.47644418017483542</v>
      </c>
      <c r="AO47" s="2">
        <f t="shared" si="1"/>
        <v>0.67515431541572057</v>
      </c>
      <c r="AP47" s="2">
        <f t="shared" si="2"/>
        <v>0.8568941078684662</v>
      </c>
      <c r="AQ47" s="31"/>
      <c r="AR47" s="31">
        <v>2012.41666666684</v>
      </c>
      <c r="AS47" s="2">
        <v>-1.7165974806947619</v>
      </c>
      <c r="AT47" s="2">
        <v>0.30752807372934549</v>
      </c>
      <c r="AU47" s="2">
        <v>-0.76649481961729982</v>
      </c>
      <c r="AV47" s="31"/>
      <c r="AW47" s="31">
        <v>2012.41666666684</v>
      </c>
      <c r="AX47" s="2">
        <v>0.38416175632627886</v>
      </c>
      <c r="AY47" s="2">
        <v>-1.6534191247733234</v>
      </c>
      <c r="AZ47" s="2">
        <v>-0.82277530749266226</v>
      </c>
      <c r="BA47" s="31"/>
      <c r="BB47" s="31">
        <v>2012.41666666684</v>
      </c>
      <c r="BC47" s="2">
        <v>1.7233705967962745</v>
      </c>
      <c r="BD47" s="2">
        <v>2.2938539795159696</v>
      </c>
      <c r="BE47" s="2">
        <v>1.6215571323692912</v>
      </c>
      <c r="BG47" s="2">
        <f t="shared" si="9"/>
        <v>0.13031162414259714</v>
      </c>
      <c r="BH47" s="2">
        <f t="shared" si="3"/>
        <v>0.31598764282399722</v>
      </c>
      <c r="BI47" s="2">
        <f t="shared" si="4"/>
        <v>1.076233508644305E-2</v>
      </c>
    </row>
    <row r="48" spans="1:61" x14ac:dyDescent="0.3">
      <c r="A48" s="31">
        <v>2012.3333333335099</v>
      </c>
      <c r="B48">
        <v>0.70731866521760656</v>
      </c>
      <c r="C48">
        <v>0.27360000000000184</v>
      </c>
      <c r="D48">
        <v>0.19352238680353845</v>
      </c>
      <c r="F48" s="31">
        <v>2012.3333333335099</v>
      </c>
      <c r="G48" s="2">
        <v>0.50197316236764167</v>
      </c>
      <c r="H48" s="2">
        <v>0.18449999999999964</v>
      </c>
      <c r="I48" s="2">
        <v>9.5424332940107687E-2</v>
      </c>
      <c r="K48" s="31">
        <v>2012.3333333335099</v>
      </c>
      <c r="L48" s="2">
        <v>0.93783505477523121</v>
      </c>
      <c r="M48" s="2">
        <v>6.1514999999999952E-2</v>
      </c>
      <c r="N48" s="2">
        <v>5.7689892998358902E-2</v>
      </c>
      <c r="P48" s="31">
        <v>2012.3333333335099</v>
      </c>
      <c r="Q48" s="2">
        <v>0.780683517488587</v>
      </c>
      <c r="R48" s="2">
        <v>9.5850000000000463E-2</v>
      </c>
      <c r="S48" s="2">
        <v>6.267084440371315E-2</v>
      </c>
      <c r="U48" s="2">
        <f t="shared" si="5"/>
        <v>0.74016391154381989</v>
      </c>
      <c r="V48" s="2">
        <f t="shared" si="6"/>
        <v>0.11395500000000003</v>
      </c>
      <c r="W48" s="2">
        <f t="shared" si="7"/>
        <v>7.1928356780726579E-2</v>
      </c>
      <c r="Y48" s="31">
        <v>2012.3333333335099</v>
      </c>
      <c r="Z48" s="2">
        <v>-1.3434309548114265</v>
      </c>
      <c r="AA48" s="2">
        <v>1.6130881144920481</v>
      </c>
      <c r="AB48" s="2">
        <v>0.46593223433042169</v>
      </c>
      <c r="AD48" s="31">
        <v>2012.3333333335099</v>
      </c>
      <c r="AE48" s="2">
        <v>0.76510541094238249</v>
      </c>
      <c r="AF48" s="2">
        <v>-0.68622224125583742</v>
      </c>
      <c r="AG48" s="2">
        <v>-9.1106982584453822E-2</v>
      </c>
      <c r="AH48" s="31"/>
      <c r="AI48" s="31">
        <v>2012.3333333335099</v>
      </c>
      <c r="AJ48" s="2">
        <v>1.2875192339796677</v>
      </c>
      <c r="AK48" s="2">
        <v>-4.4052846898962821E-2</v>
      </c>
      <c r="AL48" s="2">
        <v>1.4362125339592022</v>
      </c>
      <c r="AM48" s="31"/>
      <c r="AN48" s="2">
        <f t="shared" si="8"/>
        <v>0.23639789670354125</v>
      </c>
      <c r="AO48" s="2">
        <f t="shared" si="1"/>
        <v>0.29427100877908263</v>
      </c>
      <c r="AP48" s="2">
        <f t="shared" si="2"/>
        <v>0.60367926190172339</v>
      </c>
      <c r="AQ48" s="31"/>
      <c r="AR48" s="31">
        <v>2012.3333333335099</v>
      </c>
      <c r="AS48" s="2">
        <v>-1.6569061959372999</v>
      </c>
      <c r="AT48" s="2">
        <v>0.5879215340425249</v>
      </c>
      <c r="AU48" s="2">
        <v>-0.46639739830246957</v>
      </c>
      <c r="AV48" s="31"/>
      <c r="AW48" s="31">
        <v>2012.3333333335099</v>
      </c>
      <c r="AX48" s="2">
        <v>0.57800903065540465</v>
      </c>
      <c r="AY48" s="2">
        <v>-1.269857360921067</v>
      </c>
      <c r="AZ48" s="2">
        <v>-0.42761977223155695</v>
      </c>
      <c r="BA48" s="31"/>
      <c r="BB48" s="31">
        <v>2012.3333333335099</v>
      </c>
      <c r="BC48" s="2">
        <v>1.2324898652957081</v>
      </c>
      <c r="BD48" s="2">
        <v>0.36965282471677957</v>
      </c>
      <c r="BE48" s="2">
        <v>1.1346739092665494</v>
      </c>
      <c r="BG48" s="2">
        <f t="shared" si="9"/>
        <v>5.1197566671270955E-2</v>
      </c>
      <c r="BH48" s="2">
        <f t="shared" si="3"/>
        <v>-0.10409433405392084</v>
      </c>
      <c r="BI48" s="2">
        <f t="shared" si="4"/>
        <v>8.0218912910840989E-2</v>
      </c>
    </row>
    <row r="49" spans="1:61" x14ac:dyDescent="0.3">
      <c r="A49" s="31">
        <v>2012.2500000001801</v>
      </c>
      <c r="B49">
        <v>0.52879639999097439</v>
      </c>
      <c r="C49">
        <v>0.25840000000000174</v>
      </c>
      <c r="D49">
        <v>0.1366409897576687</v>
      </c>
      <c r="F49" s="31">
        <v>2012.2500000001801</v>
      </c>
      <c r="G49" s="2">
        <v>0.48609106886649833</v>
      </c>
      <c r="H49" s="2">
        <v>0.18449999999999964</v>
      </c>
      <c r="I49" s="2">
        <v>9.1023782095046385E-2</v>
      </c>
      <c r="K49" s="31">
        <v>2012.2500000001801</v>
      </c>
      <c r="L49" s="2">
        <v>0.91911897339429616</v>
      </c>
      <c r="M49" s="2">
        <v>6.1514999999999952E-2</v>
      </c>
      <c r="N49" s="2">
        <v>5.6539844587170207E-2</v>
      </c>
      <c r="P49" s="31">
        <v>2012.2500000001801</v>
      </c>
      <c r="Q49" s="2">
        <v>0.74610136655389625</v>
      </c>
      <c r="R49" s="2">
        <v>9.5850000000000463E-2</v>
      </c>
      <c r="S49" s="2">
        <v>5.7559891530896287E-2</v>
      </c>
      <c r="U49" s="2">
        <f t="shared" si="5"/>
        <v>0.71710380293823028</v>
      </c>
      <c r="V49" s="2">
        <f t="shared" si="6"/>
        <v>0.11395500000000003</v>
      </c>
      <c r="W49" s="2">
        <f t="shared" si="7"/>
        <v>6.8374506071037622E-2</v>
      </c>
      <c r="Y49" s="31">
        <v>2012.2500000001801</v>
      </c>
      <c r="Z49" s="2">
        <v>-1.4355165430334904</v>
      </c>
      <c r="AA49" s="2">
        <v>1.6130881144920481</v>
      </c>
      <c r="AB49" s="2">
        <v>0.36465690522324085</v>
      </c>
      <c r="AD49" s="31">
        <v>2012.2500000001801</v>
      </c>
      <c r="AE49" s="2">
        <v>0.65373056463489876</v>
      </c>
      <c r="AF49" s="2">
        <v>-0.68622224125583742</v>
      </c>
      <c r="AG49" s="2">
        <v>-0.13483735540479005</v>
      </c>
      <c r="AH49" s="31"/>
      <c r="AI49" s="31">
        <v>2012.2500000001801</v>
      </c>
      <c r="AJ49" s="2">
        <v>0.8578871974312765</v>
      </c>
      <c r="AK49" s="2">
        <v>-4.4052846898962821E-2</v>
      </c>
      <c r="AL49" s="2">
        <v>1.023156236926217</v>
      </c>
      <c r="AM49" s="31"/>
      <c r="AN49" s="2">
        <f t="shared" si="8"/>
        <v>2.5367073010894952E-2</v>
      </c>
      <c r="AO49" s="2">
        <f t="shared" si="1"/>
        <v>0.29427100877908263</v>
      </c>
      <c r="AP49" s="2">
        <f t="shared" si="2"/>
        <v>0.41765859558155594</v>
      </c>
      <c r="AQ49" s="31"/>
      <c r="AR49" s="31">
        <v>2012.2500000001801</v>
      </c>
      <c r="AS49" s="2">
        <v>-1.5635304523073743</v>
      </c>
      <c r="AT49" s="2">
        <v>0.61938737125940924</v>
      </c>
      <c r="AU49" s="2">
        <v>-0.50512851378035339</v>
      </c>
      <c r="AV49" s="31"/>
      <c r="AW49" s="31">
        <v>2012.2500000001801</v>
      </c>
      <c r="AX49" s="2">
        <v>0.72021186120525149</v>
      </c>
      <c r="AY49" s="2">
        <v>-1.5103266726480709</v>
      </c>
      <c r="AZ49" s="2">
        <v>-0.55576153017087782</v>
      </c>
      <c r="BA49" s="31"/>
      <c r="BB49" s="31">
        <v>2012.2500000001801</v>
      </c>
      <c r="BC49" s="2">
        <v>0.80445184077156462</v>
      </c>
      <c r="BD49" s="2">
        <v>0.36965282471677957</v>
      </c>
      <c r="BE49" s="2">
        <v>0.74596692094228323</v>
      </c>
      <c r="BG49" s="2">
        <f t="shared" si="9"/>
        <v>-1.29555834435194E-2</v>
      </c>
      <c r="BH49" s="2">
        <f t="shared" si="3"/>
        <v>-0.17376215889062732</v>
      </c>
      <c r="BI49" s="2">
        <f t="shared" si="4"/>
        <v>-0.104974374336316</v>
      </c>
    </row>
    <row r="50" spans="1:61" x14ac:dyDescent="0.3">
      <c r="A50" s="31">
        <v>2012.16666666685</v>
      </c>
      <c r="B50">
        <v>0.53379263548912226</v>
      </c>
      <c r="C50">
        <v>0.27360000000000184</v>
      </c>
      <c r="D50">
        <v>0.14604566506982483</v>
      </c>
      <c r="F50" s="31">
        <v>2012.16666666685</v>
      </c>
      <c r="G50" s="2">
        <v>0.53524394954359678</v>
      </c>
      <c r="H50" s="2">
        <v>0.18449999999999964</v>
      </c>
      <c r="I50" s="2">
        <v>0.10661752406162983</v>
      </c>
      <c r="K50" s="31">
        <v>2012.16666666685</v>
      </c>
      <c r="L50" s="2">
        <v>0.90821498581030002</v>
      </c>
      <c r="M50" s="2">
        <v>6.1514999999999952E-2</v>
      </c>
      <c r="N50" s="2">
        <v>5.5870313014818512E-2</v>
      </c>
      <c r="P50" s="31">
        <v>2012.16666666685</v>
      </c>
      <c r="Q50" s="2"/>
      <c r="R50" s="2">
        <v>7.1900000000000297E-2</v>
      </c>
      <c r="S50" s="2">
        <v>5.3440037681797864E-2</v>
      </c>
      <c r="U50" s="2">
        <f t="shared" si="5"/>
        <v>0.72172946767694834</v>
      </c>
      <c r="V50" s="2">
        <f t="shared" si="6"/>
        <v>0.10597166666666663</v>
      </c>
      <c r="W50" s="2">
        <f t="shared" si="7"/>
        <v>7.1975958252748731E-2</v>
      </c>
      <c r="Y50" s="31">
        <v>2012.16666666685</v>
      </c>
      <c r="Z50" s="2">
        <v>-1.1505243957681637</v>
      </c>
      <c r="AA50" s="2">
        <v>1.6130881144920481</v>
      </c>
      <c r="AB50" s="2">
        <v>0.7235350105519377</v>
      </c>
      <c r="AD50" s="31">
        <v>2012.16666666685</v>
      </c>
      <c r="AE50" s="2">
        <v>0.5888435876770326</v>
      </c>
      <c r="AF50" s="2">
        <v>-0.68622224125583742</v>
      </c>
      <c r="AG50" s="2">
        <v>-0.16029616652010892</v>
      </c>
      <c r="AH50" s="31"/>
      <c r="AI50" s="31">
        <v>2012.16666666685</v>
      </c>
      <c r="AJ50" s="2">
        <v>0.51219490146430668</v>
      </c>
      <c r="AK50" s="2">
        <v>-0.61478205611361436</v>
      </c>
      <c r="AL50" s="2">
        <v>0.69019844655477303</v>
      </c>
      <c r="AM50" s="31"/>
      <c r="AN50" s="2">
        <f t="shared" si="8"/>
        <v>-1.6495302208941427E-2</v>
      </c>
      <c r="AO50" s="2">
        <f t="shared" si="1"/>
        <v>0.10402793904086545</v>
      </c>
      <c r="AP50" s="2">
        <f t="shared" si="2"/>
        <v>0.41781243019553393</v>
      </c>
      <c r="AQ50" s="31"/>
      <c r="AR50" s="31">
        <v>2012.16666666685</v>
      </c>
      <c r="AS50" s="2">
        <v>-0.87622908493799523</v>
      </c>
      <c r="AT50" s="2">
        <v>0.80409366606843402</v>
      </c>
      <c r="AU50" s="2">
        <v>0.21761516633079905</v>
      </c>
      <c r="AV50" s="31"/>
      <c r="AW50" s="31">
        <v>2012.16666666685</v>
      </c>
      <c r="AX50" s="2">
        <v>0.75668179136828195</v>
      </c>
      <c r="AY50" s="2">
        <v>-1.1554372649783877</v>
      </c>
      <c r="AZ50" s="2">
        <v>-0.29255381998755686</v>
      </c>
      <c r="BA50" s="31"/>
      <c r="BB50" s="31">
        <v>2012.16666666685</v>
      </c>
      <c r="BC50" s="2">
        <v>0.46004212531439143</v>
      </c>
      <c r="BD50" s="2">
        <v>-0.59144451954684485</v>
      </c>
      <c r="BE50" s="2">
        <v>0.43263670212213284</v>
      </c>
      <c r="BG50" s="2">
        <f t="shared" si="9"/>
        <v>0.11349827724822603</v>
      </c>
      <c r="BH50" s="2">
        <f t="shared" si="3"/>
        <v>-0.31426270615226615</v>
      </c>
      <c r="BI50" s="2">
        <f t="shared" si="4"/>
        <v>0.11923268282179167</v>
      </c>
    </row>
    <row r="51" spans="1:61" x14ac:dyDescent="0.3">
      <c r="A51" s="31">
        <v>2012.0833333335199</v>
      </c>
      <c r="B51">
        <v>0.48642984046861715</v>
      </c>
      <c r="C51">
        <v>6.0800000000000409E-2</v>
      </c>
      <c r="D51">
        <v>2.9574934300492121E-2</v>
      </c>
      <c r="F51" s="31">
        <v>2012.0833333335199</v>
      </c>
      <c r="G51" s="2">
        <v>0.52312573453794475</v>
      </c>
      <c r="H51" s="2">
        <v>6.1499999999999846E-2</v>
      </c>
      <c r="I51" s="2">
        <v>3.2172232674083527E-2</v>
      </c>
      <c r="K51" s="31">
        <v>2012.0833333335199</v>
      </c>
      <c r="L51" s="2">
        <v>0.91116383589343286</v>
      </c>
      <c r="M51" s="2">
        <v>9.2264999999999903E-2</v>
      </c>
      <c r="N51" s="2">
        <v>5.6052818642186072E-2</v>
      </c>
      <c r="P51" s="31">
        <v>2012.0833333335199</v>
      </c>
      <c r="Q51" s="2">
        <v>0.74285687363322994</v>
      </c>
      <c r="R51" s="2">
        <v>7.1900000000000297E-2</v>
      </c>
      <c r="S51" s="2">
        <v>5.2598766702826913E-2</v>
      </c>
      <c r="U51" s="2">
        <f t="shared" si="5"/>
        <v>0.7257154813548693</v>
      </c>
      <c r="V51" s="2">
        <f t="shared" si="6"/>
        <v>7.5221666666666687E-2</v>
      </c>
      <c r="W51" s="2">
        <f t="shared" si="7"/>
        <v>4.6941272673032171E-2</v>
      </c>
      <c r="Y51" s="31">
        <v>2012.0833333335199</v>
      </c>
      <c r="Z51" s="2">
        <v>-1.2207867296926287</v>
      </c>
      <c r="AA51" s="2">
        <v>-0.78876452892998183</v>
      </c>
      <c r="AB51" s="2">
        <v>-0.9897667217107875</v>
      </c>
      <c r="AD51" s="31">
        <v>2012.0833333335199</v>
      </c>
      <c r="AE51" s="2">
        <v>0.60639147700857177</v>
      </c>
      <c r="AF51" s="2">
        <v>6.6874490811640125E-2</v>
      </c>
      <c r="AG51" s="2">
        <v>-0.15335642463711852</v>
      </c>
      <c r="AH51" s="31"/>
      <c r="AI51" s="31">
        <v>2012.0833333335199</v>
      </c>
      <c r="AJ51" s="2">
        <v>0.44472259209602621</v>
      </c>
      <c r="AK51" s="2">
        <v>-0.61478205611361436</v>
      </c>
      <c r="AL51" s="2">
        <v>0.62220872252048787</v>
      </c>
      <c r="AM51" s="31"/>
      <c r="AN51" s="2">
        <f t="shared" si="8"/>
        <v>-5.6557553529343586E-2</v>
      </c>
      <c r="AO51" s="2">
        <f t="shared" si="1"/>
        <v>-0.44555736474398538</v>
      </c>
      <c r="AP51" s="2">
        <f t="shared" si="2"/>
        <v>-0.17363814127580604</v>
      </c>
      <c r="AQ51" s="31"/>
      <c r="AR51" s="31">
        <v>2012.0833333335199</v>
      </c>
      <c r="AS51" s="2">
        <v>-0.93283562145377175</v>
      </c>
      <c r="AT51" s="2">
        <v>-0.93050162247170598</v>
      </c>
      <c r="AU51" s="2">
        <v>-1.1693824389727612</v>
      </c>
      <c r="AV51" s="31"/>
      <c r="AW51" s="31">
        <v>2012.0833333335199</v>
      </c>
      <c r="AX51" s="2">
        <v>0.97324456529102332</v>
      </c>
      <c r="AY51" s="2">
        <v>0.56051139147476758</v>
      </c>
      <c r="AZ51" s="2">
        <v>0.19840221755019838</v>
      </c>
      <c r="BA51" s="31"/>
      <c r="BB51" s="31">
        <v>2012.0833333335199</v>
      </c>
      <c r="BC51" s="2">
        <v>0.39282015033295248</v>
      </c>
      <c r="BD51" s="2">
        <v>-0.59144451954684485</v>
      </c>
      <c r="BE51" s="2">
        <v>0.36865491306286929</v>
      </c>
      <c r="BG51" s="2">
        <f t="shared" si="9"/>
        <v>0.14440969805673468</v>
      </c>
      <c r="BH51" s="2">
        <f t="shared" si="3"/>
        <v>-0.32047825018126108</v>
      </c>
      <c r="BI51" s="2">
        <f t="shared" si="4"/>
        <v>-0.20077510278656452</v>
      </c>
    </row>
    <row r="52" spans="1:61" x14ac:dyDescent="0.3">
      <c r="A52" s="31">
        <v>2012.0000000001901</v>
      </c>
      <c r="B52">
        <v>0.55479591031798747</v>
      </c>
      <c r="C52">
        <v>6.0800000000000409E-2</v>
      </c>
      <c r="D52">
        <v>3.3731591347333868E-2</v>
      </c>
      <c r="F52" s="31">
        <v>2012.0000000001901</v>
      </c>
      <c r="G52" s="2">
        <v>0.54130720744622451</v>
      </c>
      <c r="H52" s="2">
        <v>6.1499999999999846E-2</v>
      </c>
      <c r="I52" s="2">
        <v>3.3290393257942731E-2</v>
      </c>
      <c r="K52" s="31">
        <v>2012.0000000001901</v>
      </c>
      <c r="L52" s="2">
        <v>0.92080246183217318</v>
      </c>
      <c r="M52" s="2">
        <v>9.2264999999999903E-2</v>
      </c>
      <c r="N52" s="2">
        <v>5.6644449324639641E-2</v>
      </c>
      <c r="P52" s="31">
        <v>2012.0000000001901</v>
      </c>
      <c r="Q52" s="2">
        <v>0.79934647659486757</v>
      </c>
      <c r="R52" s="2">
        <v>4.7900000000000303E-2</v>
      </c>
      <c r="S52" s="2">
        <v>3.7206161000552206E-2</v>
      </c>
      <c r="U52" s="2">
        <f t="shared" si="5"/>
        <v>0.75381871529108846</v>
      </c>
      <c r="V52" s="2">
        <f t="shared" si="6"/>
        <v>6.722166666666668E-2</v>
      </c>
      <c r="W52" s="2">
        <f t="shared" si="7"/>
        <v>4.2380334527711526E-2</v>
      </c>
      <c r="Y52" s="31">
        <v>2012.0000000001901</v>
      </c>
      <c r="Z52" s="2">
        <v>-1.1153691644716499</v>
      </c>
      <c r="AA52" s="2">
        <v>-0.78876452892998183</v>
      </c>
      <c r="AB52" s="2">
        <v>-0.9640331067357194</v>
      </c>
      <c r="AD52" s="31">
        <v>2012.0000000001901</v>
      </c>
      <c r="AE52" s="2">
        <v>0.66374859470287928</v>
      </c>
      <c r="AF52" s="2">
        <v>6.6874490811640125E-2</v>
      </c>
      <c r="AG52" s="2">
        <v>-0.13085978009247462</v>
      </c>
      <c r="AH52" s="31"/>
      <c r="AI52" s="31">
        <v>2012.0000000001901</v>
      </c>
      <c r="AJ52" s="2">
        <v>0.71201163021704483</v>
      </c>
      <c r="AK52" s="2">
        <v>-1.186702766808877</v>
      </c>
      <c r="AL52" s="2">
        <v>-0.62178880030664652</v>
      </c>
      <c r="AM52" s="31"/>
      <c r="AN52" s="2">
        <f t="shared" si="8"/>
        <v>8.6797020149424739E-2</v>
      </c>
      <c r="AO52" s="2">
        <f t="shared" si="1"/>
        <v>-0.63619760164240624</v>
      </c>
      <c r="AP52" s="2">
        <f t="shared" si="2"/>
        <v>-0.57222722904494683</v>
      </c>
      <c r="AQ52" s="31"/>
      <c r="AR52" s="31">
        <v>2012.0000000001901</v>
      </c>
      <c r="AS52" s="2">
        <v>-0.51952588588520443</v>
      </c>
      <c r="AT52" s="2">
        <v>-0.29853293598826575</v>
      </c>
      <c r="AU52" s="2">
        <v>-0.6971153742308569</v>
      </c>
      <c r="AV52" s="31"/>
      <c r="AW52" s="31">
        <v>2012.0000000001901</v>
      </c>
      <c r="AX52" s="2">
        <v>0.74384000099811687</v>
      </c>
      <c r="AY52" s="2">
        <v>1.4890867686962104</v>
      </c>
      <c r="AZ52" s="2">
        <v>0.64818671080977053</v>
      </c>
      <c r="BA52" s="31"/>
      <c r="BB52" s="31">
        <v>2012.0000000001901</v>
      </c>
      <c r="BC52" s="2">
        <v>0.65911749811323794</v>
      </c>
      <c r="BD52" s="2">
        <v>-1.5545483300824114</v>
      </c>
      <c r="BE52" s="2">
        <v>-0.80201004000615128</v>
      </c>
      <c r="BG52" s="2">
        <f t="shared" si="9"/>
        <v>0.29447720440871678</v>
      </c>
      <c r="BH52" s="2">
        <f t="shared" si="3"/>
        <v>-0.12133149912482227</v>
      </c>
      <c r="BI52" s="2">
        <f t="shared" si="4"/>
        <v>-0.28364623447574588</v>
      </c>
    </row>
    <row r="53" spans="1:61" x14ac:dyDescent="0.3">
      <c r="A53" s="31">
        <v>2011.91666666686</v>
      </c>
      <c r="B53">
        <v>0.59014968368908771</v>
      </c>
      <c r="C53">
        <v>6.0800000000000409E-2</v>
      </c>
      <c r="D53">
        <v>3.5881100768296773E-2</v>
      </c>
      <c r="F53" s="31">
        <v>2011.91666666686</v>
      </c>
      <c r="G53" s="2">
        <v>0.62797885389254771</v>
      </c>
      <c r="H53" s="2">
        <v>6.1499999999999902E-2</v>
      </c>
      <c r="I53" s="2">
        <v>3.8620699514391621E-2</v>
      </c>
      <c r="K53" s="31">
        <v>2011.91666666686</v>
      </c>
      <c r="L53" s="2">
        <v>0.93340136707137156</v>
      </c>
      <c r="M53" s="2">
        <v>9.2264999999999903E-2</v>
      </c>
      <c r="N53" s="2">
        <v>5.7417729920670096E-2</v>
      </c>
      <c r="P53" s="31">
        <v>2011.91666666686</v>
      </c>
      <c r="Q53" s="2">
        <v>0.88499137394395211</v>
      </c>
      <c r="R53" s="2">
        <v>9.5900000000000304E-2</v>
      </c>
      <c r="S53" s="2">
        <v>7.2712005612133188E-2</v>
      </c>
      <c r="U53" s="2">
        <f t="shared" si="5"/>
        <v>0.81545719830262386</v>
      </c>
      <c r="V53" s="2">
        <f t="shared" si="6"/>
        <v>8.3221666666666694E-2</v>
      </c>
      <c r="W53" s="2">
        <f t="shared" si="7"/>
        <v>5.6250145015731633E-2</v>
      </c>
      <c r="Y53" s="31">
        <v>2011.91666666686</v>
      </c>
      <c r="Z53" s="2">
        <v>-0.61284035461356245</v>
      </c>
      <c r="AA53" s="2">
        <v>-0.78876452892998072</v>
      </c>
      <c r="AB53" s="2">
        <v>-0.84136016433129945</v>
      </c>
      <c r="AD53" s="31">
        <v>2011.91666666686</v>
      </c>
      <c r="AE53" s="2">
        <v>0.73872161422007532</v>
      </c>
      <c r="AF53" s="2">
        <v>6.6874490811640125E-2</v>
      </c>
      <c r="AG53" s="2">
        <v>-0.1014559320195127</v>
      </c>
      <c r="AH53" s="31"/>
      <c r="AI53" s="31">
        <v>2011.91666666686</v>
      </c>
      <c r="AJ53" s="2">
        <v>0.59112446033090815</v>
      </c>
      <c r="AK53" s="2">
        <v>-4.286134541835146E-2</v>
      </c>
      <c r="AL53" s="2">
        <v>2.2477177404972029</v>
      </c>
      <c r="AM53" s="31"/>
      <c r="AN53" s="2">
        <f t="shared" si="8"/>
        <v>0.23900190664580701</v>
      </c>
      <c r="AO53" s="2">
        <f t="shared" si="1"/>
        <v>-0.25491712784556403</v>
      </c>
      <c r="AP53" s="2">
        <f t="shared" si="2"/>
        <v>0.43496721471546351</v>
      </c>
      <c r="AQ53" s="31"/>
      <c r="AR53" s="31">
        <v>2011.91666666686</v>
      </c>
      <c r="AS53" s="2">
        <v>-0.34130490480371917</v>
      </c>
      <c r="AT53" s="2">
        <v>-0.68444756444044996</v>
      </c>
      <c r="AU53" s="2">
        <v>-0.71688277427167713</v>
      </c>
      <c r="AV53" s="31"/>
      <c r="AW53" s="31">
        <v>2011.91666666686</v>
      </c>
      <c r="AX53" s="2">
        <v>0.88261871190467933</v>
      </c>
      <c r="AY53" s="2">
        <v>1.05652496446128</v>
      </c>
      <c r="AZ53" s="2">
        <v>0.71073897159641009</v>
      </c>
      <c r="BA53" s="31"/>
      <c r="BB53" s="31">
        <v>2011.91666666686</v>
      </c>
      <c r="BC53" s="2">
        <v>1.2219632579898558</v>
      </c>
      <c r="BD53" s="2">
        <v>0.89015012225170687</v>
      </c>
      <c r="BE53" s="2">
        <v>3.0325501828898846</v>
      </c>
      <c r="BG53" s="2">
        <f t="shared" si="9"/>
        <v>0.58775902169693861</v>
      </c>
      <c r="BH53" s="2">
        <f t="shared" si="3"/>
        <v>0.42074250742417901</v>
      </c>
      <c r="BI53" s="2">
        <f t="shared" si="4"/>
        <v>1.0088021267382059</v>
      </c>
    </row>
    <row r="54" spans="1:61" x14ac:dyDescent="0.3">
      <c r="A54" s="31">
        <v>2011.8333333335299</v>
      </c>
      <c r="B54">
        <v>0.60620423173381632</v>
      </c>
      <c r="C54">
        <v>6.0800000000000409E-2</v>
      </c>
      <c r="D54">
        <v>3.685721728941628E-2</v>
      </c>
      <c r="F54" s="31">
        <v>2011.8333333335299</v>
      </c>
      <c r="G54" s="2">
        <v>0.58477811053928663</v>
      </c>
      <c r="H54" s="2">
        <v>6.1499999999999846E-2</v>
      </c>
      <c r="I54" s="2">
        <v>3.5963853798166044E-2</v>
      </c>
      <c r="K54" s="31">
        <v>2011.8333333335299</v>
      </c>
      <c r="L54" s="2">
        <v>0.97066070030116836</v>
      </c>
      <c r="M54" s="2">
        <v>9.2264999999999903E-2</v>
      </c>
      <c r="N54" s="2">
        <v>5.9707788130611006E-2</v>
      </c>
      <c r="P54" s="31">
        <v>2011.8333333335299</v>
      </c>
      <c r="Q54" s="2">
        <v>0.97304785050895559</v>
      </c>
      <c r="R54" s="2">
        <v>4.7900000000000303E-2</v>
      </c>
      <c r="S54" s="2">
        <v>4.0259299977901508E-2</v>
      </c>
      <c r="U54" s="2">
        <f t="shared" si="5"/>
        <v>0.8428288871164703</v>
      </c>
      <c r="V54" s="2">
        <f t="shared" si="6"/>
        <v>6.722166666666668E-2</v>
      </c>
      <c r="W54" s="2">
        <f t="shared" si="7"/>
        <v>4.5310313968892853E-2</v>
      </c>
      <c r="Y54" s="31">
        <v>2011.8333333335299</v>
      </c>
      <c r="Z54" s="2">
        <v>-0.86332155616479878</v>
      </c>
      <c r="AA54" s="2">
        <v>-0.78876452892998183</v>
      </c>
      <c r="AB54" s="2">
        <v>-0.90250544676786693</v>
      </c>
      <c r="AD54" s="31">
        <v>2011.8333333335299</v>
      </c>
      <c r="AE54" s="2">
        <v>0.96044284034249661</v>
      </c>
      <c r="AF54" s="2">
        <v>6.6874490811640125E-2</v>
      </c>
      <c r="AG54" s="2">
        <v>-1.4376902713713814E-2</v>
      </c>
      <c r="AH54" s="31"/>
      <c r="AI54" s="31">
        <v>2011.8333333335299</v>
      </c>
      <c r="AJ54" s="2">
        <v>1.1276161941131575</v>
      </c>
      <c r="AK54" s="2">
        <v>-1.186702766808877</v>
      </c>
      <c r="AL54" s="2">
        <v>-0.37504062796125714</v>
      </c>
      <c r="AM54" s="31"/>
      <c r="AN54" s="2">
        <f t="shared" si="8"/>
        <v>0.40824582609695187</v>
      </c>
      <c r="AO54" s="2">
        <f t="shared" si="1"/>
        <v>-0.63619760164240624</v>
      </c>
      <c r="AP54" s="2">
        <f t="shared" si="2"/>
        <v>-0.43064099248094595</v>
      </c>
      <c r="AQ54" s="31"/>
      <c r="AR54" s="31">
        <v>2011.8333333335299</v>
      </c>
      <c r="AS54" s="2">
        <v>-0.46225771876095856</v>
      </c>
      <c r="AT54" s="2">
        <v>-0.28549293171718004</v>
      </c>
      <c r="AU54" s="2">
        <v>-0.6253661311919011</v>
      </c>
      <c r="AV54" s="31"/>
      <c r="AW54" s="31">
        <v>2011.8333333335299</v>
      </c>
      <c r="AX54" s="2">
        <v>0.77318784090981052</v>
      </c>
      <c r="AY54" s="2">
        <v>1.2550989263438468</v>
      </c>
      <c r="AZ54" s="2">
        <v>0.69584787195439546</v>
      </c>
      <c r="BA54" s="31"/>
      <c r="BB54" s="31">
        <v>2011.8333333335299</v>
      </c>
      <c r="BC54" s="2">
        <v>0.82846302631883828</v>
      </c>
      <c r="BD54" s="2">
        <v>-0.86039420085980967</v>
      </c>
      <c r="BE54" s="2">
        <v>-4.8753989011852246E-2</v>
      </c>
      <c r="BG54" s="2">
        <f t="shared" si="9"/>
        <v>0.37979771615589675</v>
      </c>
      <c r="BH54" s="2">
        <f t="shared" si="3"/>
        <v>3.6403931255619026E-2</v>
      </c>
      <c r="BI54" s="2">
        <f t="shared" si="4"/>
        <v>7.2425839168807071E-3</v>
      </c>
    </row>
    <row r="55" spans="1:61" x14ac:dyDescent="0.3">
      <c r="A55" s="31">
        <v>2011.7500000002001</v>
      </c>
      <c r="B55">
        <v>0.53856607411208568</v>
      </c>
      <c r="C55">
        <v>6.0800000000000409E-2</v>
      </c>
      <c r="D55">
        <v>3.2744817306015028E-2</v>
      </c>
      <c r="F55" s="31">
        <v>2011.7500000002001</v>
      </c>
      <c r="G55" s="2">
        <v>0.61448480054933574</v>
      </c>
      <c r="H55" s="2">
        <v>6.1499999999999846E-2</v>
      </c>
      <c r="I55" s="2">
        <v>3.7790815233784067E-2</v>
      </c>
      <c r="K55" s="31">
        <v>2011.7500000002001</v>
      </c>
      <c r="L55" s="2">
        <v>1.01045897413265</v>
      </c>
      <c r="M55" s="2">
        <v>9.2264999999999903E-2</v>
      </c>
      <c r="N55" s="2">
        <v>6.21541308494203E-2</v>
      </c>
      <c r="P55" s="31">
        <v>2011.7500000002001</v>
      </c>
      <c r="Q55" s="2">
        <v>1.0275469946804416</v>
      </c>
      <c r="R55" s="2">
        <v>7.1900000000000297E-2</v>
      </c>
      <c r="S55" s="2">
        <v>6.2678913286754345E-2</v>
      </c>
      <c r="U55" s="2">
        <f t="shared" si="5"/>
        <v>0.88416358978747578</v>
      </c>
      <c r="V55" s="2">
        <f t="shared" si="6"/>
        <v>7.5221666666666687E-2</v>
      </c>
      <c r="W55" s="2">
        <f t="shared" si="7"/>
        <v>5.4207953123319573E-2</v>
      </c>
      <c r="Y55" s="31">
        <v>2011.7500000002001</v>
      </c>
      <c r="Z55" s="2">
        <v>-0.69107990404828457</v>
      </c>
      <c r="AA55" s="2">
        <v>-0.78876452892998183</v>
      </c>
      <c r="AB55" s="2">
        <v>-0.86045931955040822</v>
      </c>
      <c r="AD55" s="31">
        <v>2011.7500000002001</v>
      </c>
      <c r="AE55" s="2">
        <v>1.1972726842113934</v>
      </c>
      <c r="AF55" s="2">
        <v>6.6874490811640125E-2</v>
      </c>
      <c r="AG55" s="2">
        <v>7.8644815414891725E-2</v>
      </c>
      <c r="AH55" s="31"/>
      <c r="AI55" s="31">
        <v>2011.7500000002001</v>
      </c>
      <c r="AJ55" s="2">
        <v>1.4178028983682929</v>
      </c>
      <c r="AK55" s="2">
        <v>-0.61478205611361436</v>
      </c>
      <c r="AL55" s="2">
        <v>1.4368646438559525</v>
      </c>
      <c r="AM55" s="31"/>
      <c r="AN55" s="2">
        <f t="shared" si="8"/>
        <v>0.64133189284380065</v>
      </c>
      <c r="AO55" s="2">
        <f t="shared" si="1"/>
        <v>-0.44555736474398538</v>
      </c>
      <c r="AP55" s="2">
        <f t="shared" si="2"/>
        <v>0.21835004657347867</v>
      </c>
      <c r="AQ55" s="31"/>
      <c r="AR55" s="31">
        <v>2011.7500000002001</v>
      </c>
      <c r="AS55" s="2">
        <v>-0.91837719596654976</v>
      </c>
      <c r="AT55" s="2">
        <v>-0.6766476141944503</v>
      </c>
      <c r="AU55" s="2">
        <v>-0.9251959361021973</v>
      </c>
      <c r="AV55" s="31"/>
      <c r="AW55" s="31">
        <v>2011.7500000002001</v>
      </c>
      <c r="AX55" s="2">
        <v>1.4244422159556966</v>
      </c>
      <c r="AY55" s="2">
        <v>0.96231815385189867</v>
      </c>
      <c r="AZ55" s="2">
        <v>0.62394319943329279</v>
      </c>
      <c r="BA55" s="31"/>
      <c r="BB55" s="31">
        <v>2011.7500000002001</v>
      </c>
      <c r="BC55" s="2">
        <v>1.3622901538884618</v>
      </c>
      <c r="BD55" s="2">
        <v>-0.59144451954684485</v>
      </c>
      <c r="BE55" s="2">
        <v>1.1352875778532363</v>
      </c>
      <c r="BG55" s="2">
        <f t="shared" si="9"/>
        <v>0.62278505795920303</v>
      </c>
      <c r="BH55" s="2">
        <f t="shared" si="3"/>
        <v>-0.10192465996313216</v>
      </c>
      <c r="BI55" s="2">
        <f t="shared" si="4"/>
        <v>0.27801161372811056</v>
      </c>
    </row>
    <row r="56" spans="1:61" x14ac:dyDescent="0.3">
      <c r="A56" s="31">
        <v>2011.66666666687</v>
      </c>
      <c r="B56">
        <v>0.49525387654104819</v>
      </c>
      <c r="C56">
        <v>4.5600000000000307E-2</v>
      </c>
      <c r="D56">
        <v>2.2583576770271948E-2</v>
      </c>
      <c r="F56" s="31">
        <v>2011.66666666687</v>
      </c>
      <c r="G56" s="2">
        <v>0.71217088793292249</v>
      </c>
      <c r="H56" s="2">
        <v>6.1499999999999902E-2</v>
      </c>
      <c r="I56" s="2">
        <v>4.3798509607874667E-2</v>
      </c>
      <c r="K56" s="31">
        <v>2011.66666666687</v>
      </c>
      <c r="L56" s="2">
        <v>1.0479110863673424</v>
      </c>
      <c r="M56" s="2">
        <v>9.2264999999999903E-2</v>
      </c>
      <c r="N56" s="2">
        <v>6.445781223200274E-2</v>
      </c>
      <c r="P56" s="31">
        <v>2011.66666666687</v>
      </c>
      <c r="Q56" s="2">
        <v>1.0235178791713706</v>
      </c>
      <c r="R56" s="2"/>
      <c r="S56" s="2"/>
      <c r="U56" s="2">
        <f t="shared" si="5"/>
        <v>0.92786661782387847</v>
      </c>
      <c r="V56" s="2">
        <f t="shared" si="6"/>
        <v>7.6882499999999909E-2</v>
      </c>
      <c r="W56" s="2">
        <f t="shared" si="7"/>
        <v>5.4128160919938703E-2</v>
      </c>
      <c r="Y56" s="31">
        <v>2011.66666666687</v>
      </c>
      <c r="Z56" s="2">
        <v>-0.12468852641397292</v>
      </c>
      <c r="AA56" s="2">
        <v>-0.78876452892998072</v>
      </c>
      <c r="AB56" s="2">
        <v>-0.72219680507583484</v>
      </c>
      <c r="AD56" s="31">
        <v>2011.66666666687</v>
      </c>
      <c r="AE56" s="2">
        <v>1.4201410912850281</v>
      </c>
      <c r="AF56" s="2">
        <v>6.6874490811640125E-2</v>
      </c>
      <c r="AG56" s="2">
        <v>0.1662418632778348</v>
      </c>
      <c r="AH56" s="31"/>
      <c r="AI56" s="31">
        <v>2011.66666666687</v>
      </c>
      <c r="AJ56" s="2"/>
      <c r="AK56" s="2"/>
      <c r="AL56" s="2"/>
      <c r="AM56" s="31"/>
      <c r="AN56" s="2">
        <f t="shared" si="8"/>
        <v>0.64772628243552755</v>
      </c>
      <c r="AO56" s="2">
        <f t="shared" si="1"/>
        <v>-0.36094501905917031</v>
      </c>
      <c r="AP56" s="2">
        <f t="shared" si="2"/>
        <v>-0.27797747089900005</v>
      </c>
      <c r="AQ56" s="31"/>
      <c r="AR56" s="31">
        <v>2011.66666666687</v>
      </c>
      <c r="AS56" s="2">
        <v>-0.21075286778356569</v>
      </c>
      <c r="AT56" s="2">
        <v>-0.32631334910519749</v>
      </c>
      <c r="AU56" s="2">
        <v>-0.44410402531372212</v>
      </c>
      <c r="AV56" s="31"/>
      <c r="AW56" s="31">
        <v>2011.66666666687</v>
      </c>
      <c r="AX56" s="2">
        <v>0.79584297394170045</v>
      </c>
      <c r="AY56" s="2">
        <v>1.1124047876457037</v>
      </c>
      <c r="AZ56" s="2">
        <v>0.78045958440320151</v>
      </c>
      <c r="BA56" s="31"/>
      <c r="BB56" s="31">
        <v>2011.66666666687</v>
      </c>
      <c r="BC56" s="2"/>
      <c r="BD56" s="2"/>
      <c r="BE56" s="2"/>
      <c r="BG56" s="2">
        <f t="shared" si="9"/>
        <v>0.29254505307906736</v>
      </c>
      <c r="BH56" s="2">
        <f t="shared" si="3"/>
        <v>0.39304571927025311</v>
      </c>
      <c r="BI56" s="2">
        <f t="shared" si="4"/>
        <v>0.1681777795447397</v>
      </c>
    </row>
    <row r="57" spans="1:61" x14ac:dyDescent="0.3">
      <c r="A57" s="31">
        <v>2011.5833333335399</v>
      </c>
      <c r="B57">
        <v>0.50207241659054103</v>
      </c>
      <c r="C57">
        <v>6.0800000000000409E-2</v>
      </c>
      <c r="D57">
        <v>3.0526002928705099E-2</v>
      </c>
      <c r="F57" s="31">
        <v>2011.5833333335399</v>
      </c>
      <c r="G57" s="2">
        <v>0.64480265915053847</v>
      </c>
      <c r="H57" s="2">
        <v>6.1499999999999846E-2</v>
      </c>
      <c r="I57" s="2">
        <v>3.9655363537758025E-2</v>
      </c>
      <c r="K57" s="31">
        <v>2011.5833333335399</v>
      </c>
      <c r="L57" s="2">
        <v>1.0960526085898987</v>
      </c>
      <c r="M57" s="2">
        <v>9.2264999999999903E-2</v>
      </c>
      <c r="N57" s="2">
        <v>6.7419325703344427E-2</v>
      </c>
      <c r="P57" s="31">
        <v>2011.5833333335399</v>
      </c>
      <c r="Q57" s="2">
        <v>0.9598020320977827</v>
      </c>
      <c r="R57" s="2">
        <v>7.1900000000000297E-2</v>
      </c>
      <c r="S57" s="2">
        <v>6.9414931965935595E-2</v>
      </c>
      <c r="U57" s="2">
        <f t="shared" si="5"/>
        <v>0.90021909994607341</v>
      </c>
      <c r="V57" s="2">
        <f t="shared" si="6"/>
        <v>7.5221666666666687E-2</v>
      </c>
      <c r="W57" s="2">
        <f t="shared" si="7"/>
        <v>5.8829873735679356E-2</v>
      </c>
      <c r="Y57" s="31">
        <v>2011.5833333335399</v>
      </c>
      <c r="Z57" s="2">
        <v>-0.51529464987356688</v>
      </c>
      <c r="AA57" s="2">
        <v>-0.78876452892998183</v>
      </c>
      <c r="AB57" s="2">
        <v>-0.81754815915940315</v>
      </c>
      <c r="AD57" s="31">
        <v>2011.5833333335399</v>
      </c>
      <c r="AE57" s="2">
        <v>1.706619576252892</v>
      </c>
      <c r="AF57" s="2">
        <v>6.6874490811640125E-2</v>
      </c>
      <c r="AG57" s="2">
        <v>0.27885285161036943</v>
      </c>
      <c r="AH57" s="31"/>
      <c r="AI57" s="31">
        <v>2011.5833333335399</v>
      </c>
      <c r="AJ57" s="2">
        <v>1.9919597499299921</v>
      </c>
      <c r="AK57" s="2">
        <v>-0.61478205611361436</v>
      </c>
      <c r="AL57" s="2">
        <v>1.9812552891240536</v>
      </c>
      <c r="AM57" s="31"/>
      <c r="AN57" s="2">
        <f t="shared" si="8"/>
        <v>1.0610948921031056</v>
      </c>
      <c r="AO57" s="2">
        <f t="shared" si="1"/>
        <v>-0.44555736474398538</v>
      </c>
      <c r="AP57" s="2">
        <f t="shared" si="2"/>
        <v>0.48085332719167329</v>
      </c>
      <c r="AQ57" s="31"/>
      <c r="AR57" s="31">
        <v>2011.5833333335399</v>
      </c>
      <c r="AS57" s="2">
        <v>-1.0166909946004661</v>
      </c>
      <c r="AT57" s="2">
        <v>-0.65870957567408583</v>
      </c>
      <c r="AU57" s="2">
        <v>-0.94212979640063588</v>
      </c>
      <c r="AV57" s="31"/>
      <c r="AW57" s="31">
        <v>2011.5833333335399</v>
      </c>
      <c r="AX57" s="2">
        <v>1.666479980669652</v>
      </c>
      <c r="AY57" s="2">
        <v>1.4455061964040326</v>
      </c>
      <c r="AZ57" s="2">
        <v>1.2954980559314164</v>
      </c>
      <c r="BA57" s="31"/>
      <c r="BB57" s="31">
        <v>2011.5833333335399</v>
      </c>
      <c r="BC57" s="2">
        <v>1.2827154965892642</v>
      </c>
      <c r="BD57" s="2">
        <v>-0.51613739712758211</v>
      </c>
      <c r="BE57" s="2">
        <v>1.1170626296266672</v>
      </c>
      <c r="BG57" s="2">
        <f t="shared" si="9"/>
        <v>0.64416816088615014</v>
      </c>
      <c r="BH57" s="2">
        <f t="shared" si="3"/>
        <v>9.0219741200788198E-2</v>
      </c>
      <c r="BI57" s="2">
        <f t="shared" si="4"/>
        <v>0.49014362971914927</v>
      </c>
    </row>
    <row r="58" spans="1:61" x14ac:dyDescent="0.3">
      <c r="A58" s="31">
        <v>2011.5000000002101</v>
      </c>
      <c r="B58">
        <v>0.53707086660010961</v>
      </c>
      <c r="C58">
        <v>6.0800000000000409E-2</v>
      </c>
      <c r="D58">
        <v>3.2653908689286887E-2</v>
      </c>
      <c r="F58" s="31">
        <v>2011.5000000002101</v>
      </c>
      <c r="G58" s="2">
        <v>0.74070800607432752</v>
      </c>
      <c r="H58" s="2">
        <v>6.1499999999999902E-2</v>
      </c>
      <c r="I58" s="2">
        <v>4.5553542373571072E-2</v>
      </c>
      <c r="K58" s="31">
        <v>2011.5000000002101</v>
      </c>
      <c r="L58" s="2">
        <v>1.4322880240108333</v>
      </c>
      <c r="M58" s="2">
        <v>0.1229999999999998</v>
      </c>
      <c r="N58" s="2">
        <v>8.8085713476666105E-2</v>
      </c>
      <c r="P58" s="31">
        <v>2011.5000000002101</v>
      </c>
      <c r="Q58" s="2">
        <v>0.886945437837656</v>
      </c>
      <c r="R58" s="2"/>
      <c r="S58" s="2"/>
      <c r="U58" s="2">
        <f t="shared" si="5"/>
        <v>1.0199804893076057</v>
      </c>
      <c r="V58" s="2">
        <f t="shared" si="6"/>
        <v>9.224999999999986E-2</v>
      </c>
      <c r="W58" s="2">
        <f t="shared" si="7"/>
        <v>6.6819627925118585E-2</v>
      </c>
      <c r="Y58" s="31">
        <v>2011.5000000002101</v>
      </c>
      <c r="Z58" s="2">
        <v>4.0771858895094548E-2</v>
      </c>
      <c r="AA58" s="2">
        <v>-0.78876452892998072</v>
      </c>
      <c r="AB58" s="2">
        <v>-0.68180606146261946</v>
      </c>
      <c r="AD58" s="31">
        <v>2011.5000000002101</v>
      </c>
      <c r="AE58" s="2">
        <v>3.7074747207376637</v>
      </c>
      <c r="AF58" s="2">
        <v>0.81960385861957141</v>
      </c>
      <c r="AG58" s="2">
        <v>1.0646883289559508</v>
      </c>
      <c r="AH58" s="31"/>
      <c r="AI58" s="31">
        <v>2011.5000000002101</v>
      </c>
      <c r="AJ58" s="2"/>
      <c r="AK58" s="2"/>
      <c r="AL58" s="2"/>
      <c r="AM58" s="31"/>
      <c r="AN58" s="2">
        <f t="shared" si="8"/>
        <v>1.8741232898163791</v>
      </c>
      <c r="AO58" s="2">
        <f t="shared" si="1"/>
        <v>1.5419664844795344E-2</v>
      </c>
      <c r="AP58" s="2">
        <f t="shared" si="2"/>
        <v>0.19144113374666566</v>
      </c>
      <c r="AQ58" s="31"/>
      <c r="AR58" s="31">
        <v>2011.5000000002101</v>
      </c>
      <c r="AS58" s="2">
        <v>-0.22558269055675054</v>
      </c>
      <c r="AT58" s="2">
        <v>-2.313009814913013E-2</v>
      </c>
      <c r="AU58" s="2">
        <v>-0.24477146752653398</v>
      </c>
      <c r="AV58" s="31"/>
      <c r="AW58" s="31">
        <v>2011.5000000002101</v>
      </c>
      <c r="AX58" s="2">
        <v>1.2609508518578214</v>
      </c>
      <c r="AY58" s="2">
        <v>1.9426111273206557</v>
      </c>
      <c r="AZ58" s="2">
        <v>1.2605359019893825</v>
      </c>
      <c r="BA58" s="31"/>
      <c r="BB58" s="31">
        <v>2011.5000000002101</v>
      </c>
      <c r="BC58" s="2"/>
      <c r="BD58" s="2"/>
      <c r="BE58" s="2"/>
      <c r="BG58" s="2">
        <f t="shared" si="9"/>
        <v>0.51768408065053539</v>
      </c>
      <c r="BH58" s="2">
        <f t="shared" si="3"/>
        <v>0.95974051458576282</v>
      </c>
      <c r="BI58" s="2">
        <f t="shared" si="4"/>
        <v>0.50788221723142424</v>
      </c>
    </row>
    <row r="59" spans="1:61" x14ac:dyDescent="0.3">
      <c r="A59" s="31">
        <v>2011.41666666688</v>
      </c>
      <c r="B59">
        <v>0.51944515453443107</v>
      </c>
      <c r="C59">
        <v>0.21280000000000143</v>
      </c>
      <c r="D59">
        <v>0.11053792888492768</v>
      </c>
      <c r="F59" s="31">
        <v>2011.41666666688</v>
      </c>
      <c r="G59" s="2">
        <v>0.6547873508627402</v>
      </c>
      <c r="H59" s="2">
        <v>0.15374999999999955</v>
      </c>
      <c r="I59" s="2">
        <v>9.1391802532020158E-2</v>
      </c>
      <c r="K59" s="31">
        <v>2011.41666666688</v>
      </c>
      <c r="L59" s="2">
        <v>1.1659902532320874</v>
      </c>
      <c r="M59" s="2">
        <v>6.1514999999999952E-2</v>
      </c>
      <c r="N59" s="2">
        <v>7.1721362602495453E-2</v>
      </c>
      <c r="P59" s="31">
        <v>2011.41666666688</v>
      </c>
      <c r="Q59" s="2">
        <v>0.82859986803306496</v>
      </c>
      <c r="R59" s="2">
        <v>0.19170000000000093</v>
      </c>
      <c r="S59" s="2">
        <v>7.389908864382437E-2</v>
      </c>
      <c r="U59" s="2">
        <f t="shared" si="5"/>
        <v>0.88312582404263085</v>
      </c>
      <c r="V59" s="2">
        <f t="shared" si="6"/>
        <v>0.13565500000000014</v>
      </c>
      <c r="W59" s="2">
        <f t="shared" si="7"/>
        <v>7.9004084592780008E-2</v>
      </c>
      <c r="Y59" s="31">
        <v>2011.41666666688</v>
      </c>
      <c r="Z59" s="2">
        <v>-0.45740264656380969</v>
      </c>
      <c r="AA59" s="2">
        <v>1.0126249536365379</v>
      </c>
      <c r="AB59" s="2">
        <v>0.37312661553564791</v>
      </c>
      <c r="AD59" s="31">
        <v>2011.41666666688</v>
      </c>
      <c r="AE59" s="2">
        <v>2.1228014823150052</v>
      </c>
      <c r="AF59" s="2">
        <v>-0.68622224125583742</v>
      </c>
      <c r="AG59" s="2">
        <v>0.44243698916181917</v>
      </c>
      <c r="AH59" s="31"/>
      <c r="AI59" s="31">
        <v>2011.41666666688</v>
      </c>
      <c r="AJ59" s="2">
        <v>2.3341763144370793</v>
      </c>
      <c r="AK59" s="2">
        <v>2.2400554914402537</v>
      </c>
      <c r="AL59" s="2">
        <v>2.3436552561704409</v>
      </c>
      <c r="AM59" s="31"/>
      <c r="AN59" s="2">
        <f t="shared" si="8"/>
        <v>1.3331917167294252</v>
      </c>
      <c r="AO59" s="2">
        <f t="shared" si="1"/>
        <v>0.85548606794031812</v>
      </c>
      <c r="AP59" s="2">
        <f t="shared" si="2"/>
        <v>1.053072953622636</v>
      </c>
      <c r="AQ59" s="31"/>
      <c r="AR59" s="31">
        <v>2011.41666666688</v>
      </c>
      <c r="AS59" s="2">
        <v>-1.0377720336838339</v>
      </c>
      <c r="AT59" s="2">
        <v>-0.35878275268423526</v>
      </c>
      <c r="AU59" s="2">
        <v>-1.0412288302597896</v>
      </c>
      <c r="AV59" s="31"/>
      <c r="AW59" s="31">
        <v>2011.41666666688</v>
      </c>
      <c r="AX59" s="2">
        <v>1.7090977132533376</v>
      </c>
      <c r="AY59" s="2">
        <v>-1.6534191247733234</v>
      </c>
      <c r="AZ59" s="2">
        <v>-0.44443059701258619</v>
      </c>
      <c r="BA59" s="31"/>
      <c r="BB59" s="31">
        <v>2011.41666666688</v>
      </c>
      <c r="BC59" s="2">
        <v>1.6930633806064423</v>
      </c>
      <c r="BD59" s="2">
        <v>0.7751653150294695</v>
      </c>
      <c r="BE59" s="2">
        <v>1.5796708253456946</v>
      </c>
      <c r="BG59" s="2">
        <f t="shared" si="9"/>
        <v>0.78812968672531536</v>
      </c>
      <c r="BH59" s="2">
        <f t="shared" si="3"/>
        <v>-0.4123455208093631</v>
      </c>
      <c r="BI59" s="2">
        <f t="shared" si="4"/>
        <v>3.1337132691106273E-2</v>
      </c>
    </row>
    <row r="60" spans="1:61" x14ac:dyDescent="0.3">
      <c r="A60" s="31">
        <v>2011.3333333335499</v>
      </c>
      <c r="B60">
        <v>0.50889832295685145</v>
      </c>
      <c r="C60">
        <v>0.22800000000000153</v>
      </c>
      <c r="D60">
        <v>0.11602881763416291</v>
      </c>
      <c r="F60" s="31">
        <v>2011.3333333335499</v>
      </c>
      <c r="G60" s="2">
        <v>0.63101087826616364</v>
      </c>
      <c r="H60" s="2">
        <v>0.15374999999999955</v>
      </c>
      <c r="I60" s="2">
        <v>8.7507576242678575E-2</v>
      </c>
      <c r="K60" s="31">
        <v>2011.3333333335499</v>
      </c>
      <c r="L60" s="2">
        <v>1.4297604528835977</v>
      </c>
      <c r="M60" s="2">
        <v>6.1499999999999902E-2</v>
      </c>
      <c r="N60" s="2">
        <v>8.7930267852341121E-2</v>
      </c>
      <c r="P60" s="31">
        <v>2011.3333333335499</v>
      </c>
      <c r="Q60" s="2">
        <v>0.78594316000565911</v>
      </c>
      <c r="R60" s="2">
        <v>0.16775000000000076</v>
      </c>
      <c r="S60" s="2">
        <v>6.816182296210295E-2</v>
      </c>
      <c r="U60" s="2">
        <f t="shared" si="5"/>
        <v>0.94890483038514006</v>
      </c>
      <c r="V60" s="2">
        <f t="shared" si="6"/>
        <v>0.12766666666666673</v>
      </c>
      <c r="W60" s="2">
        <f t="shared" si="7"/>
        <v>8.1199889019040891E-2</v>
      </c>
      <c r="Y60" s="31">
        <v>2011.3333333335499</v>
      </c>
      <c r="Z60" s="2">
        <v>-0.59526044627666985</v>
      </c>
      <c r="AA60" s="2">
        <v>1.0126249536365379</v>
      </c>
      <c r="AB60" s="2">
        <v>0.28373410318203762</v>
      </c>
      <c r="AD60" s="31">
        <v>2011.3333333335499</v>
      </c>
      <c r="AE60" s="2">
        <v>3.6924337599672183</v>
      </c>
      <c r="AF60" s="2">
        <v>-0.68658960551538373</v>
      </c>
      <c r="AG60" s="2">
        <v>1.0587775385588793</v>
      </c>
      <c r="AH60" s="31"/>
      <c r="AI60" s="31">
        <v>2011.3333333335499</v>
      </c>
      <c r="AJ60" s="2">
        <v>1.719480760029791</v>
      </c>
      <c r="AK60" s="2">
        <v>1.6693262822256021</v>
      </c>
      <c r="AL60" s="2">
        <v>1.8799816953770365</v>
      </c>
      <c r="AM60" s="31"/>
      <c r="AN60" s="2">
        <f t="shared" si="8"/>
        <v>1.6055513579067799</v>
      </c>
      <c r="AO60" s="2">
        <f t="shared" si="1"/>
        <v>0.6651205434489188</v>
      </c>
      <c r="AP60" s="2">
        <f t="shared" si="2"/>
        <v>1.0741644457059845</v>
      </c>
      <c r="AQ60" s="31"/>
      <c r="AR60" s="31">
        <v>2011.3333333335499</v>
      </c>
      <c r="AS60" s="2">
        <v>-0.8129312009941051</v>
      </c>
      <c r="AT60" s="2">
        <v>-1.8664175683890765E-2</v>
      </c>
      <c r="AU60" s="2">
        <v>-0.65464388300707621</v>
      </c>
      <c r="AV60" s="31"/>
      <c r="AW60" s="31">
        <v>2011.3333333335499</v>
      </c>
      <c r="AX60" s="2">
        <v>3.3604393591990496</v>
      </c>
      <c r="AY60" s="2">
        <v>-1.2701823864982043</v>
      </c>
      <c r="AZ60" s="2">
        <v>0.39851035620041092</v>
      </c>
      <c r="BA60" s="31"/>
      <c r="BB60" s="31">
        <v>2011.3333333335499</v>
      </c>
      <c r="BC60" s="2">
        <v>1.6890515270215005</v>
      </c>
      <c r="BD60" s="2">
        <v>0.93967668087391998</v>
      </c>
      <c r="BE60" s="2">
        <v>1.6764956884373245</v>
      </c>
      <c r="BG60" s="2">
        <f t="shared" si="9"/>
        <v>1.4121865617421483</v>
      </c>
      <c r="BH60" s="2">
        <f t="shared" si="3"/>
        <v>-0.11638996043605836</v>
      </c>
      <c r="BI60" s="2">
        <f t="shared" si="4"/>
        <v>0.47345405387688638</v>
      </c>
    </row>
    <row r="61" spans="1:61" x14ac:dyDescent="0.3">
      <c r="A61" s="31">
        <v>2011.2500000002201</v>
      </c>
      <c r="B61">
        <v>0.49902855914937672</v>
      </c>
      <c r="C61">
        <v>0.21280000000000143</v>
      </c>
      <c r="D61">
        <v>0.10619327738698808</v>
      </c>
      <c r="F61" s="31">
        <v>2011.2500000002201</v>
      </c>
      <c r="G61" s="2">
        <v>0.6258934363188946</v>
      </c>
      <c r="H61" s="2">
        <v>0.15374999999999955</v>
      </c>
      <c r="I61" s="2">
        <v>8.9260946957499018E-2</v>
      </c>
      <c r="K61" s="31">
        <v>2011.2500000002201</v>
      </c>
      <c r="L61" s="2">
        <v>1.1503583849211847</v>
      </c>
      <c r="M61" s="2">
        <v>6.1514999999999952E-2</v>
      </c>
      <c r="N61" s="2">
        <v>7.0760931279091055E-2</v>
      </c>
      <c r="P61" s="31">
        <v>2011.2500000002201</v>
      </c>
      <c r="Q61" s="2">
        <v>0.764972706362265</v>
      </c>
      <c r="R61" s="2">
        <v>0.19170000000000093</v>
      </c>
      <c r="S61" s="2">
        <v>6.0146123310616612E-2</v>
      </c>
      <c r="U61" s="2">
        <f t="shared" si="5"/>
        <v>0.84707484253411491</v>
      </c>
      <c r="V61" s="2">
        <f t="shared" si="6"/>
        <v>0.13565500000000014</v>
      </c>
      <c r="W61" s="2">
        <f t="shared" si="7"/>
        <v>7.3389333849068886E-2</v>
      </c>
      <c r="Y61" s="31">
        <v>2011.2500000002201</v>
      </c>
      <c r="Z61" s="2">
        <v>-0.62493176459957289</v>
      </c>
      <c r="AA61" s="2">
        <v>1.0126249536365379</v>
      </c>
      <c r="AB61" s="2">
        <v>0.32408659595907757</v>
      </c>
      <c r="AD61" s="31">
        <v>2011.2500000002201</v>
      </c>
      <c r="AE61" s="2">
        <v>2.0297800375376247</v>
      </c>
      <c r="AF61" s="2">
        <v>-0.68622224125583742</v>
      </c>
      <c r="AG61" s="2">
        <v>0.40591677015869748</v>
      </c>
      <c r="AH61" s="31"/>
      <c r="AI61" s="31">
        <v>2011.2500000002201</v>
      </c>
      <c r="AJ61" s="2">
        <v>0.91104414740716588</v>
      </c>
      <c r="AK61" s="2">
        <v>2.2400554914402537</v>
      </c>
      <c r="AL61" s="2">
        <v>1.2321699666128969</v>
      </c>
      <c r="AM61" s="31"/>
      <c r="AN61" s="2">
        <f t="shared" si="8"/>
        <v>0.77196414011507264</v>
      </c>
      <c r="AO61" s="2">
        <f t="shared" si="1"/>
        <v>0.85548606794031812</v>
      </c>
      <c r="AP61" s="2">
        <f t="shared" si="2"/>
        <v>0.65405777757689065</v>
      </c>
      <c r="AQ61" s="31"/>
      <c r="AR61" s="31">
        <v>2011.2500000002201</v>
      </c>
      <c r="AS61" s="2">
        <v>-0.57651188362099404</v>
      </c>
      <c r="AT61" s="2">
        <v>-6.2988546229770959E-2</v>
      </c>
      <c r="AU61" s="2">
        <v>-0.54959312849501807</v>
      </c>
      <c r="AV61" s="31"/>
      <c r="AW61" s="31">
        <v>2011.2500000002201</v>
      </c>
      <c r="AX61" s="2">
        <v>2.1186086298238114</v>
      </c>
      <c r="AY61" s="2">
        <v>-1.5103266726480709</v>
      </c>
      <c r="AZ61" s="2">
        <v>-0.18425736339275564</v>
      </c>
      <c r="BA61" s="31"/>
      <c r="BB61" s="31">
        <v>2011.2500000002201</v>
      </c>
      <c r="BC61" s="2">
        <v>1.3310982787035506</v>
      </c>
      <c r="BD61" s="2">
        <v>1.1204684408565393</v>
      </c>
      <c r="BE61" s="2">
        <v>1.4943372061031321</v>
      </c>
      <c r="BG61" s="2">
        <f t="shared" si="9"/>
        <v>0.95773167496878919</v>
      </c>
      <c r="BH61" s="2">
        <f t="shared" si="3"/>
        <v>-0.15094892600710083</v>
      </c>
      <c r="BI61" s="2">
        <f t="shared" si="4"/>
        <v>0.25349557140511952</v>
      </c>
    </row>
    <row r="62" spans="1:61" x14ac:dyDescent="0.3">
      <c r="A62" s="31">
        <v>2011.16666666689</v>
      </c>
      <c r="B62">
        <v>0.42775805909259301</v>
      </c>
      <c r="C62">
        <v>0.21280000000000143</v>
      </c>
      <c r="D62">
        <v>9.1026914974904408E-2</v>
      </c>
      <c r="F62" s="31">
        <v>2011.16666666689</v>
      </c>
      <c r="G62" s="2">
        <v>0.59559022780196025</v>
      </c>
      <c r="H62" s="2">
        <v>0.12299999999999964</v>
      </c>
      <c r="I62" s="2">
        <v>6.8654069824371139E-2</v>
      </c>
      <c r="K62" s="31">
        <v>2011.16666666689</v>
      </c>
      <c r="L62" s="2">
        <v>1.3228592794990222</v>
      </c>
      <c r="M62" s="2">
        <v>6.1499999999999902E-2</v>
      </c>
      <c r="N62" s="2">
        <v>8.1355845689189729E-2</v>
      </c>
      <c r="P62" s="31">
        <v>2011.16666666689</v>
      </c>
      <c r="Q62" s="2">
        <v>0.65167226451230109</v>
      </c>
      <c r="R62" s="2">
        <v>0.1198000000000006</v>
      </c>
      <c r="S62" s="2">
        <v>5.7341111874159481E-2</v>
      </c>
      <c r="U62" s="2">
        <f t="shared" si="5"/>
        <v>0.85670725727109465</v>
      </c>
      <c r="V62" s="2">
        <f t="shared" si="6"/>
        <v>0.10143333333333338</v>
      </c>
      <c r="W62" s="2">
        <f t="shared" si="7"/>
        <v>6.9117009129240112E-2</v>
      </c>
      <c r="Y62" s="31">
        <v>2011.16666666689</v>
      </c>
      <c r="Z62" s="2">
        <v>-0.80063207646947043</v>
      </c>
      <c r="AA62" s="2">
        <v>0.41216179278103116</v>
      </c>
      <c r="AB62" s="2">
        <v>-0.15016500049070572</v>
      </c>
      <c r="AD62" s="31">
        <v>2011.16666666689</v>
      </c>
      <c r="AE62" s="2">
        <v>3.0562908883122146</v>
      </c>
      <c r="AF62" s="2">
        <v>-0.68658960551538373</v>
      </c>
      <c r="AG62" s="2">
        <v>0.80878638212075282</v>
      </c>
      <c r="AH62" s="31"/>
      <c r="AI62" s="31">
        <v>2011.16666666689</v>
      </c>
      <c r="AJ62" s="2">
        <v>0.6223429937952939</v>
      </c>
      <c r="AK62" s="2">
        <v>0.52667636231568804</v>
      </c>
      <c r="AL62" s="2">
        <v>1.005474932260215</v>
      </c>
      <c r="AM62" s="31"/>
      <c r="AN62" s="2">
        <f t="shared" si="8"/>
        <v>0.95933393521267929</v>
      </c>
      <c r="AO62" s="2">
        <f t="shared" si="1"/>
        <v>8.4082849860445161E-2</v>
      </c>
      <c r="AP62" s="2">
        <f t="shared" si="2"/>
        <v>0.55469877129675405</v>
      </c>
      <c r="AQ62" s="31"/>
      <c r="AR62" s="31">
        <v>2011.16666666689</v>
      </c>
      <c r="AS62" s="2">
        <v>-0.48549538435213868</v>
      </c>
      <c r="AT62" s="2">
        <v>-0.46657286796563346</v>
      </c>
      <c r="AU62" s="2">
        <v>-0.76029632688121551</v>
      </c>
      <c r="AV62" s="31"/>
      <c r="AW62" s="31">
        <v>2011.16666666689</v>
      </c>
      <c r="AX62" s="2">
        <v>3.17523224627663</v>
      </c>
      <c r="AY62" s="2">
        <v>-1.1557656163069592</v>
      </c>
      <c r="AZ62" s="2">
        <v>0.47353549242719051</v>
      </c>
      <c r="BA62" s="31"/>
      <c r="BB62" s="31">
        <v>2011.16666666689</v>
      </c>
      <c r="BC62" s="2">
        <v>1.3209568630566595</v>
      </c>
      <c r="BD62" s="2">
        <v>0.3086063174042078</v>
      </c>
      <c r="BE62" s="2">
        <v>1.648728598093977</v>
      </c>
      <c r="BG62" s="2">
        <f t="shared" si="9"/>
        <v>1.3368979083270502</v>
      </c>
      <c r="BH62" s="2">
        <f t="shared" si="3"/>
        <v>-0.4379107222894616</v>
      </c>
      <c r="BI62" s="2">
        <f t="shared" si="4"/>
        <v>0.45398925454665062</v>
      </c>
    </row>
    <row r="63" spans="1:61" x14ac:dyDescent="0.3">
      <c r="A63" s="31">
        <v>2011.0833333335499</v>
      </c>
      <c r="B63">
        <v>0.40692755581132456</v>
      </c>
      <c r="C63">
        <v>7.6000000000000512E-2</v>
      </c>
      <c r="D63">
        <v>3.0926494241660874E-2</v>
      </c>
      <c r="F63" s="31">
        <v>2011.0833333335499</v>
      </c>
      <c r="G63" s="2">
        <v>0.55122885917252917</v>
      </c>
      <c r="H63" s="2">
        <v>6.1499999999999846E-2</v>
      </c>
      <c r="I63" s="2">
        <v>3.3900574839110471E-2</v>
      </c>
      <c r="K63" s="31">
        <v>2011.0833333335499</v>
      </c>
      <c r="L63" s="2">
        <v>1.137041000170794</v>
      </c>
      <c r="M63" s="2">
        <v>6.1514999999999952E-2</v>
      </c>
      <c r="N63" s="2">
        <v>6.9943043294528204E-2</v>
      </c>
      <c r="P63" s="31">
        <v>2011.0833333335499</v>
      </c>
      <c r="Q63" s="2">
        <v>0.7699917261666922</v>
      </c>
      <c r="R63" s="2">
        <v>9.5850000000000463E-2</v>
      </c>
      <c r="S63" s="2">
        <v>5.699626564057382E-2</v>
      </c>
      <c r="U63" s="2">
        <f t="shared" si="5"/>
        <v>0.81942052850333846</v>
      </c>
      <c r="V63" s="2">
        <f t="shared" si="6"/>
        <v>7.2955000000000089E-2</v>
      </c>
      <c r="W63" s="2">
        <f t="shared" si="7"/>
        <v>5.3613294591404161E-2</v>
      </c>
      <c r="Y63" s="31">
        <v>2011.0833333335499</v>
      </c>
      <c r="Z63" s="2">
        <v>-1.057842671803322</v>
      </c>
      <c r="AA63" s="2">
        <v>-0.78876452892998183</v>
      </c>
      <c r="AB63" s="2">
        <v>-0.94999024196181125</v>
      </c>
      <c r="AD63" s="31">
        <v>2011.0833333335499</v>
      </c>
      <c r="AE63" s="2">
        <v>1.9505315212695098</v>
      </c>
      <c r="AF63" s="2">
        <v>-0.68622224125583742</v>
      </c>
      <c r="AG63" s="2">
        <v>0.37481673459303078</v>
      </c>
      <c r="AH63" s="31"/>
      <c r="AI63" s="31">
        <v>2011.0833333335499</v>
      </c>
      <c r="AJ63" s="2">
        <v>0.58050769453924289</v>
      </c>
      <c r="AK63" s="2">
        <v>-4.4052846898962821E-2</v>
      </c>
      <c r="AL63" s="2">
        <v>0.97760519606126639</v>
      </c>
      <c r="AM63" s="31"/>
      <c r="AN63" s="2">
        <f t="shared" si="8"/>
        <v>0.49106551466847698</v>
      </c>
      <c r="AO63" s="2">
        <f t="shared" si="1"/>
        <v>-0.50634653902826077</v>
      </c>
      <c r="AP63" s="2">
        <f t="shared" si="2"/>
        <v>0.13414389623082867</v>
      </c>
      <c r="AQ63" s="31"/>
      <c r="AR63" s="31">
        <v>2011.0833333335499</v>
      </c>
      <c r="AS63" s="2">
        <v>-0.70604744936517094</v>
      </c>
      <c r="AT63" s="2">
        <v>-0.93050162247170598</v>
      </c>
      <c r="AU63" s="2">
        <v>-1.0664828884768949</v>
      </c>
      <c r="AV63" s="31"/>
      <c r="AW63" s="31">
        <v>2011.0833333335499</v>
      </c>
      <c r="AX63" s="2">
        <v>2.4096889783475666</v>
      </c>
      <c r="AY63" s="2">
        <v>-0.87038484719517628</v>
      </c>
      <c r="AZ63" s="2">
        <v>1.2292368751730924</v>
      </c>
      <c r="BA63" s="31"/>
      <c r="BB63" s="31">
        <v>2011.0833333335499</v>
      </c>
      <c r="BC63" s="2">
        <v>1.3958158764402844</v>
      </c>
      <c r="BD63" s="2">
        <v>-1.4615836317459097E-2</v>
      </c>
      <c r="BE63" s="2">
        <v>1.6204438323638213</v>
      </c>
      <c r="BG63" s="2">
        <f t="shared" si="9"/>
        <v>1.0331524684742268</v>
      </c>
      <c r="BH63" s="2">
        <f t="shared" si="3"/>
        <v>-0.60516743532811379</v>
      </c>
      <c r="BI63" s="2">
        <f t="shared" si="4"/>
        <v>0.59439927302000628</v>
      </c>
    </row>
    <row r="64" spans="1:61" x14ac:dyDescent="0.3">
      <c r="A64" s="31">
        <v>2011.0000000002201</v>
      </c>
      <c r="B64">
        <v>0.48279826423516026</v>
      </c>
      <c r="C64">
        <v>9.1200000000000614E-2</v>
      </c>
      <c r="D64">
        <v>4.4031201698246911E-2</v>
      </c>
      <c r="F64" s="31">
        <v>2011.0000000002201</v>
      </c>
      <c r="G64" s="2">
        <v>0.58454532693027739</v>
      </c>
      <c r="H64" s="2">
        <v>6.1499999999999846E-2</v>
      </c>
      <c r="I64" s="2">
        <v>3.5949537606211973E-2</v>
      </c>
      <c r="K64" s="31">
        <v>2011.0000000002201</v>
      </c>
      <c r="L64" s="2"/>
      <c r="M64" s="2"/>
      <c r="N64" s="2"/>
      <c r="P64" s="31">
        <v>2011.0000000002201</v>
      </c>
      <c r="Q64" s="2">
        <v>0.85502489741490317</v>
      </c>
      <c r="R64" s="2">
        <v>7.1900000000000297E-2</v>
      </c>
      <c r="S64" s="2">
        <v>5.9467010472259392E-2</v>
      </c>
      <c r="U64" s="2">
        <f t="shared" si="5"/>
        <v>0.71978511217259022</v>
      </c>
      <c r="V64" s="2">
        <f t="shared" si="6"/>
        <v>6.6700000000000065E-2</v>
      </c>
      <c r="W64" s="2">
        <f t="shared" si="7"/>
        <v>4.7708274039235679E-2</v>
      </c>
      <c r="Y64" s="31">
        <v>2011.0000000002201</v>
      </c>
      <c r="Z64" s="2">
        <v>-0.8646712532662878</v>
      </c>
      <c r="AA64" s="2">
        <v>-0.78876452892998183</v>
      </c>
      <c r="AB64" s="2">
        <v>-0.90283492303180723</v>
      </c>
      <c r="AD64" s="31">
        <v>2011.0000000002201</v>
      </c>
      <c r="AE64" s="2"/>
      <c r="AF64" s="2"/>
      <c r="AG64" s="2"/>
      <c r="AH64" s="31"/>
      <c r="AI64" s="31">
        <v>2011.0000000002201</v>
      </c>
      <c r="AJ64" s="2">
        <v>0.76924895035127383</v>
      </c>
      <c r="AK64" s="2">
        <v>-0.61478205611361436</v>
      </c>
      <c r="AL64" s="2">
        <v>1.1772855172235619</v>
      </c>
      <c r="AM64" s="31"/>
      <c r="AN64" s="2">
        <f t="shared" si="8"/>
        <v>-4.7711151457506984E-2</v>
      </c>
      <c r="AO64" s="2">
        <f t="shared" si="1"/>
        <v>-0.7017732925217981</v>
      </c>
      <c r="AP64" s="2">
        <f t="shared" si="2"/>
        <v>0.13722529709587733</v>
      </c>
      <c r="AQ64" s="31"/>
      <c r="AR64" s="31">
        <v>2011.0000000002201</v>
      </c>
      <c r="AS64" s="2">
        <v>-0.32779755222376966</v>
      </c>
      <c r="AT64" s="2">
        <v>-0.29853293598826575</v>
      </c>
      <c r="AU64" s="2">
        <v>-0.52759287552786838</v>
      </c>
      <c r="AV64" s="31"/>
      <c r="AW64" s="31">
        <v>2011.0000000002201</v>
      </c>
      <c r="AX64" s="2"/>
      <c r="AY64" s="2"/>
      <c r="AZ64" s="2"/>
      <c r="BA64" s="31"/>
      <c r="BB64" s="31">
        <v>2011.0000000002201</v>
      </c>
      <c r="BC64" s="2">
        <v>1.1181675835682103</v>
      </c>
      <c r="BD64" s="2">
        <v>-9.3919208556921333E-2</v>
      </c>
      <c r="BE64" s="2">
        <v>1.7479506378610343</v>
      </c>
      <c r="BG64" s="2">
        <f t="shared" si="9"/>
        <v>0.39518501567222031</v>
      </c>
      <c r="BH64" s="2">
        <f t="shared" si="3"/>
        <v>-0.19622607227259353</v>
      </c>
      <c r="BI64" s="2">
        <f t="shared" si="4"/>
        <v>0.61017888116658292</v>
      </c>
    </row>
    <row r="65" spans="1:61" x14ac:dyDescent="0.3">
      <c r="A65" s="31">
        <v>2010.91666666689</v>
      </c>
      <c r="B65">
        <v>0.56916215117822144</v>
      </c>
      <c r="C65">
        <v>7.6000000000000512E-2</v>
      </c>
      <c r="D65">
        <v>4.3256323489545119E-2</v>
      </c>
      <c r="F65" s="31">
        <v>2010.91666666689</v>
      </c>
      <c r="G65" s="2"/>
      <c r="H65" s="2"/>
      <c r="I65" s="2"/>
      <c r="K65" s="31">
        <v>2010.91666666689</v>
      </c>
      <c r="L65" s="2">
        <v>1.1230514082692782</v>
      </c>
      <c r="M65" s="2">
        <v>6.1514999999999952E-2</v>
      </c>
      <c r="N65" s="2">
        <v>6.9083944279599963E-2</v>
      </c>
      <c r="P65" s="31">
        <v>2010.91666666689</v>
      </c>
      <c r="Q65" s="2">
        <v>0.98838552357237597</v>
      </c>
      <c r="R65" s="2">
        <v>4.7900000000000303E-2</v>
      </c>
      <c r="S65" s="2">
        <v>3.2723692795364974E-2</v>
      </c>
      <c r="U65" s="2">
        <f t="shared" si="5"/>
        <v>1.055718465920827</v>
      </c>
      <c r="V65" s="2">
        <f t="shared" si="6"/>
        <v>5.4707500000000131E-2</v>
      </c>
      <c r="W65" s="2">
        <f t="shared" si="7"/>
        <v>5.0903818537482465E-2</v>
      </c>
      <c r="Y65" s="31">
        <v>2010.91666666689</v>
      </c>
      <c r="Z65" s="2"/>
      <c r="AA65" s="2"/>
      <c r="AB65" s="2"/>
      <c r="AD65" s="31">
        <v>2010.91666666689</v>
      </c>
      <c r="AE65" s="2">
        <v>1.8672828638062613</v>
      </c>
      <c r="AF65" s="2">
        <v>-0.68622224125583742</v>
      </c>
      <c r="AG65" s="2">
        <v>0.34214965741011077</v>
      </c>
      <c r="AH65" s="31"/>
      <c r="AI65" s="31">
        <v>2010.91666666689</v>
      </c>
      <c r="AJ65" s="2">
        <v>0.10184148813841325</v>
      </c>
      <c r="AK65" s="2">
        <v>-1.186702766808877</v>
      </c>
      <c r="AL65" s="2">
        <v>-0.9840523085949322</v>
      </c>
      <c r="AM65" s="31"/>
      <c r="AN65" s="2">
        <f t="shared" si="8"/>
        <v>0.98456217597233731</v>
      </c>
      <c r="AO65" s="2">
        <f t="shared" si="1"/>
        <v>-0.9364625040323572</v>
      </c>
      <c r="AP65" s="2">
        <f t="shared" si="2"/>
        <v>-0.32095132559241069</v>
      </c>
      <c r="AQ65" s="31"/>
      <c r="AR65" s="31">
        <v>2010.91666666689</v>
      </c>
      <c r="AS65" s="2"/>
      <c r="AT65" s="2"/>
      <c r="AU65" s="2"/>
      <c r="AV65" s="31"/>
      <c r="AW65" s="31">
        <v>2010.91666666689</v>
      </c>
      <c r="AX65" s="2">
        <v>1.9131532246870018</v>
      </c>
      <c r="AY65" s="2">
        <v>-0.51751295497595129</v>
      </c>
      <c r="AZ65" s="2">
        <v>1.6850829271164121</v>
      </c>
      <c r="BA65" s="31"/>
      <c r="BB65" s="31">
        <v>2010.91666666689</v>
      </c>
      <c r="BC65" s="2">
        <v>0.62054808838269471</v>
      </c>
      <c r="BD65" s="2">
        <v>-1.7765123716427775</v>
      </c>
      <c r="BE65" s="2">
        <v>-0.80531533161564062</v>
      </c>
      <c r="BG65" s="2">
        <f t="shared" si="9"/>
        <v>1.2668506565348483</v>
      </c>
      <c r="BH65" s="2">
        <f t="shared" si="3"/>
        <v>-1.1470126633093645</v>
      </c>
      <c r="BI65" s="2">
        <f t="shared" si="4"/>
        <v>0.43988379775038572</v>
      </c>
    </row>
    <row r="66" spans="1:61" x14ac:dyDescent="0.3">
      <c r="A66" s="31">
        <v>2010.8333333335599</v>
      </c>
      <c r="B66">
        <v>0.58827629671921355</v>
      </c>
      <c r="C66">
        <v>7.6000000000000512E-2</v>
      </c>
      <c r="D66">
        <v>4.4708998550660531E-2</v>
      </c>
      <c r="F66" s="31">
        <v>2010.8333333335599</v>
      </c>
      <c r="G66" s="2">
        <v>0.64466166236573452</v>
      </c>
      <c r="H66" s="2">
        <v>6.1499999999999846E-2</v>
      </c>
      <c r="I66" s="2">
        <v>3.9646692235492581E-2</v>
      </c>
      <c r="K66" s="31">
        <v>2010.8333333335599</v>
      </c>
      <c r="L66" s="2">
        <v>1.0414307769769418</v>
      </c>
      <c r="M66" s="2">
        <v>6.1499999999999902E-2</v>
      </c>
      <c r="N66" s="2">
        <v>6.4047992784081811E-2</v>
      </c>
      <c r="P66" s="31">
        <v>2010.8333333335599</v>
      </c>
      <c r="Q66" s="2">
        <v>1.1595626671757788</v>
      </c>
      <c r="R66" s="2">
        <v>7.1900000000000297E-2</v>
      </c>
      <c r="S66" s="2">
        <v>6.560015422472712E-2</v>
      </c>
      <c r="U66" s="2">
        <f t="shared" si="5"/>
        <v>0.94855170217281826</v>
      </c>
      <c r="V66" s="2">
        <f t="shared" si="6"/>
        <v>6.4966666666666673E-2</v>
      </c>
      <c r="W66" s="2">
        <f t="shared" si="7"/>
        <v>5.6431613081433844E-2</v>
      </c>
      <c r="Y66" s="31">
        <v>2010.8333333335599</v>
      </c>
      <c r="Z66" s="2">
        <v>-0.51611215997481119</v>
      </c>
      <c r="AA66" s="2">
        <v>-0.78876452892998183</v>
      </c>
      <c r="AB66" s="2">
        <v>-0.81774772258262918</v>
      </c>
      <c r="AD66" s="31">
        <v>2010.8333333335599</v>
      </c>
      <c r="AE66" s="2">
        <v>1.3815783468893974</v>
      </c>
      <c r="AF66" s="2">
        <v>-0.68658960551538373</v>
      </c>
      <c r="AG66" s="2">
        <v>0.15065855646026982</v>
      </c>
      <c r="AH66" s="31"/>
      <c r="AI66" s="31">
        <v>2010.8333333335599</v>
      </c>
      <c r="AJ66" s="2">
        <v>1.2699251088412886</v>
      </c>
      <c r="AK66" s="2">
        <v>-0.61478205611361436</v>
      </c>
      <c r="AL66" s="2">
        <v>1.6729530983196639</v>
      </c>
      <c r="AM66" s="31"/>
      <c r="AN66" s="2">
        <f t="shared" si="8"/>
        <v>0.71179709858529161</v>
      </c>
      <c r="AO66" s="2">
        <f t="shared" si="1"/>
        <v>-0.69671206351965997</v>
      </c>
      <c r="AP66" s="2">
        <f t="shared" si="2"/>
        <v>0.33528797739910149</v>
      </c>
      <c r="AQ66" s="31"/>
      <c r="AR66" s="31">
        <v>2010.8333333335599</v>
      </c>
      <c r="AS66" s="2">
        <v>-0.22479498086429955</v>
      </c>
      <c r="AT66" s="2">
        <v>-0.28549293171718004</v>
      </c>
      <c r="AU66" s="2">
        <v>-0.42679648913741619</v>
      </c>
      <c r="AV66" s="31"/>
      <c r="AW66" s="31">
        <v>2010.8333333335599</v>
      </c>
      <c r="AX66" s="2">
        <v>1.0490563388256078</v>
      </c>
      <c r="AY66" s="2">
        <v>-0.19208961378086201</v>
      </c>
      <c r="AZ66" s="2">
        <v>0.95914651027835796</v>
      </c>
      <c r="BA66" s="31"/>
      <c r="BB66" s="31">
        <v>2010.8333333335599</v>
      </c>
      <c r="BC66" s="2">
        <v>0.9230388865050736</v>
      </c>
      <c r="BD66" s="2">
        <v>-4.0971152421897278E-2</v>
      </c>
      <c r="BE66" s="2">
        <v>1.3629243930247263</v>
      </c>
      <c r="BG66" s="2">
        <f t="shared" si="9"/>
        <v>0.58243341482212729</v>
      </c>
      <c r="BH66" s="2">
        <f t="shared" si="3"/>
        <v>-0.17285123263997978</v>
      </c>
      <c r="BI66" s="2">
        <f t="shared" si="4"/>
        <v>0.63175813805522274</v>
      </c>
    </row>
    <row r="67" spans="1:61" x14ac:dyDescent="0.3">
      <c r="A67" s="31">
        <v>2010.7500000002301</v>
      </c>
      <c r="B67">
        <v>0.64326349711321906</v>
      </c>
      <c r="C67">
        <v>7.6000000000000512E-2</v>
      </c>
      <c r="D67">
        <v>4.8888025780604978E-2</v>
      </c>
      <c r="F67" s="31">
        <v>2010.7500000002301</v>
      </c>
      <c r="G67" s="2">
        <v>0.71129829793242627</v>
      </c>
      <c r="H67" s="2">
        <v>6.1499999999999846E-2</v>
      </c>
      <c r="I67" s="2">
        <v>4.374484532284411E-2</v>
      </c>
      <c r="K67" s="31">
        <v>2010.7500000002301</v>
      </c>
      <c r="L67" s="2">
        <v>1.0556160235304632</v>
      </c>
      <c r="M67" s="2">
        <v>6.1514999999999952E-2</v>
      </c>
      <c r="N67" s="2">
        <v>6.4938032293923711E-2</v>
      </c>
      <c r="P67" s="31">
        <v>2010.7500000002301</v>
      </c>
      <c r="Q67" s="2">
        <v>1.1963274142999425</v>
      </c>
      <c r="R67" s="2">
        <v>9.5850000000000463E-2</v>
      </c>
      <c r="S67" s="2">
        <v>7.4505499166924505E-2</v>
      </c>
      <c r="U67" s="2">
        <f t="shared" si="5"/>
        <v>0.98774724525427737</v>
      </c>
      <c r="V67" s="2">
        <f t="shared" si="6"/>
        <v>7.2955000000000089E-2</v>
      </c>
      <c r="W67" s="2">
        <f t="shared" si="7"/>
        <v>6.1062792261230771E-2</v>
      </c>
      <c r="Y67" s="31">
        <v>2010.7500000002301</v>
      </c>
      <c r="Z67" s="2">
        <v>-0.1297478697219947</v>
      </c>
      <c r="AA67" s="2">
        <v>-0.78876452892998183</v>
      </c>
      <c r="AB67" s="2">
        <v>-0.72343184776006397</v>
      </c>
      <c r="AD67" s="31">
        <v>2010.7500000002301</v>
      </c>
      <c r="AE67" s="2">
        <v>1.4659912975801093</v>
      </c>
      <c r="AF67" s="2">
        <v>-0.68622224125583742</v>
      </c>
      <c r="AG67" s="2">
        <v>0.18450214009688032</v>
      </c>
      <c r="AH67" s="31"/>
      <c r="AI67" s="31">
        <v>2010.7500000002301</v>
      </c>
      <c r="AJ67" s="2">
        <v>1.9817238106888728</v>
      </c>
      <c r="AK67" s="2">
        <v>-4.4052846898962821E-2</v>
      </c>
      <c r="AL67" s="2">
        <v>2.3926640596923421</v>
      </c>
      <c r="AM67" s="31"/>
      <c r="AN67" s="2">
        <f t="shared" si="8"/>
        <v>1.1059890795156624</v>
      </c>
      <c r="AO67" s="2">
        <f t="shared" si="1"/>
        <v>-0.50634653902826077</v>
      </c>
      <c r="AP67" s="2">
        <f t="shared" si="2"/>
        <v>0.6179114506763862</v>
      </c>
      <c r="AQ67" s="31"/>
      <c r="AR67" s="31">
        <v>2010.7500000002301</v>
      </c>
      <c r="AS67" s="2">
        <v>-0.23707648349384103</v>
      </c>
      <c r="AT67" s="2">
        <v>-0.6766476141944503</v>
      </c>
      <c r="AU67" s="2">
        <v>-0.62658394398447859</v>
      </c>
      <c r="AV67" s="31"/>
      <c r="AW67" s="31">
        <v>2010.7500000002301</v>
      </c>
      <c r="AX67" s="2">
        <v>1.7294791672782384</v>
      </c>
      <c r="AY67" s="2">
        <v>-0.6564669997761764</v>
      </c>
      <c r="AZ67" s="2">
        <v>0.84224130490938631</v>
      </c>
      <c r="BA67" s="31"/>
      <c r="BB67" s="31">
        <v>2010.7500000002301</v>
      </c>
      <c r="BC67" s="2">
        <v>1.9241188183352902</v>
      </c>
      <c r="BD67" s="2">
        <v>0.36965282471677957</v>
      </c>
      <c r="BE67" s="2">
        <v>2.0347434511580493</v>
      </c>
      <c r="BG67" s="2">
        <f t="shared" si="9"/>
        <v>1.1388405007065625</v>
      </c>
      <c r="BH67" s="2">
        <f t="shared" si="3"/>
        <v>-0.32115392975128237</v>
      </c>
      <c r="BI67" s="2">
        <f t="shared" si="4"/>
        <v>0.75013360402765228</v>
      </c>
    </row>
    <row r="68" spans="1:61" x14ac:dyDescent="0.3">
      <c r="A68" s="31">
        <v>2010.6666666669</v>
      </c>
      <c r="B68">
        <v>0.65355049475194305</v>
      </c>
      <c r="C68">
        <v>9.1200000000000614E-2</v>
      </c>
      <c r="D68">
        <v>5.9603805121377605E-2</v>
      </c>
      <c r="F68" s="31">
        <v>2010.6666666669</v>
      </c>
      <c r="G68" s="2"/>
      <c r="H68" s="2"/>
      <c r="I68" s="2"/>
      <c r="K68" s="31">
        <v>2010.6666666669</v>
      </c>
      <c r="L68" s="2">
        <v>0.8391642816166095</v>
      </c>
      <c r="M68" s="2">
        <v>6.1499999999999902E-2</v>
      </c>
      <c r="N68" s="2">
        <v>5.1608603319421402E-2</v>
      </c>
      <c r="P68" s="31">
        <v>2010.6666666669</v>
      </c>
      <c r="Q68" s="2">
        <v>1.1242889910960903</v>
      </c>
      <c r="R68" s="2">
        <v>4.7900000000000303E-2</v>
      </c>
      <c r="S68" s="2">
        <v>4.209995755642857E-2</v>
      </c>
      <c r="U68" s="2">
        <f t="shared" si="5"/>
        <v>0.98172663635634994</v>
      </c>
      <c r="V68" s="2">
        <f t="shared" si="6"/>
        <v>5.4700000000000103E-2</v>
      </c>
      <c r="W68" s="2">
        <f t="shared" si="7"/>
        <v>4.6854280437924986E-2</v>
      </c>
      <c r="Y68" s="31">
        <v>2010.6666666669</v>
      </c>
      <c r="Z68" s="2"/>
      <c r="AA68" s="2"/>
      <c r="AB68" s="2"/>
      <c r="AD68" s="31">
        <v>2010.6666666669</v>
      </c>
      <c r="AE68" s="2">
        <v>0.17793964841388807</v>
      </c>
      <c r="AF68" s="2">
        <v>-0.68658960551538373</v>
      </c>
      <c r="AG68" s="2">
        <v>-0.32234686979365929</v>
      </c>
      <c r="AH68" s="31"/>
      <c r="AI68" s="31">
        <v>2010.6666666669</v>
      </c>
      <c r="AJ68" s="2">
        <v>1.378173307916724</v>
      </c>
      <c r="AK68" s="2">
        <v>-1.186702766808877</v>
      </c>
      <c r="AL68" s="2">
        <v>-0.22628261308387507</v>
      </c>
      <c r="AM68" s="31"/>
      <c r="AN68" s="2">
        <f t="shared" si="8"/>
        <v>0.77805647816530599</v>
      </c>
      <c r="AO68" s="2">
        <f t="shared" si="1"/>
        <v>-0.93664618616213036</v>
      </c>
      <c r="AP68" s="2">
        <f t="shared" si="2"/>
        <v>-0.27431474143876716</v>
      </c>
      <c r="AQ68" s="31"/>
      <c r="AR68" s="31">
        <v>2010.6666666669</v>
      </c>
      <c r="AS68" s="2"/>
      <c r="AT68" s="2"/>
      <c r="AU68" s="2"/>
      <c r="AV68" s="31"/>
      <c r="AW68" s="31">
        <v>2010.6666666669</v>
      </c>
      <c r="AX68" s="2">
        <v>2.6829480205675372E-2</v>
      </c>
      <c r="AY68" s="2">
        <v>-0.23903137022338633</v>
      </c>
      <c r="AZ68" s="2">
        <v>1.026575704678185E-2</v>
      </c>
      <c r="BA68" s="31"/>
      <c r="BB68" s="31">
        <v>2010.6666666669</v>
      </c>
      <c r="BC68" s="2">
        <v>0.95229153369395103</v>
      </c>
      <c r="BD68" s="2">
        <v>-1.0289872901111137</v>
      </c>
      <c r="BE68" s="2">
        <v>-0.15373996134644616</v>
      </c>
      <c r="BG68" s="2">
        <f t="shared" si="9"/>
        <v>0.48956050694981318</v>
      </c>
      <c r="BH68" s="2">
        <f t="shared" si="3"/>
        <v>-0.63400933016725003</v>
      </c>
      <c r="BI68" s="2">
        <f t="shared" si="4"/>
        <v>-7.1737102149832158E-2</v>
      </c>
    </row>
    <row r="69" spans="1:61" x14ac:dyDescent="0.3">
      <c r="A69" s="31">
        <v>2010.58333333357</v>
      </c>
      <c r="B69">
        <v>0.62764429179573278</v>
      </c>
      <c r="C69">
        <v>7.6000000000000512E-2</v>
      </c>
      <c r="D69">
        <v>4.7700966176476012E-2</v>
      </c>
      <c r="F69" s="31">
        <v>2010.58333333357</v>
      </c>
      <c r="G69" s="2">
        <v>0.78487607019196171</v>
      </c>
      <c r="H69" s="2">
        <v>6.1499999999999846E-2</v>
      </c>
      <c r="I69" s="2">
        <v>4.8269878316805528E-2</v>
      </c>
      <c r="K69" s="31">
        <v>2010.58333333357</v>
      </c>
      <c r="L69" s="2">
        <v>1.0430641756728474</v>
      </c>
      <c r="M69" s="2">
        <v>6.1514999999999952E-2</v>
      </c>
      <c r="N69" s="2">
        <v>6.4167574878206263E-2</v>
      </c>
      <c r="P69" s="31">
        <v>2010.58333333357</v>
      </c>
      <c r="Q69" s="2">
        <v>0.92924259506691176</v>
      </c>
      <c r="R69" s="2">
        <v>7.1900000000000297E-2</v>
      </c>
      <c r="S69" s="2">
        <v>8.6564526847400902E-2</v>
      </c>
      <c r="U69" s="2">
        <f t="shared" si="5"/>
        <v>0.91906094697724028</v>
      </c>
      <c r="V69" s="2">
        <f t="shared" si="6"/>
        <v>6.4971666666666705E-2</v>
      </c>
      <c r="W69" s="2">
        <f t="shared" si="7"/>
        <v>6.6333993347470907E-2</v>
      </c>
      <c r="Y69" s="31">
        <v>2010.58333333357</v>
      </c>
      <c r="Z69" s="2">
        <v>0.29686165994112046</v>
      </c>
      <c r="AA69" s="2">
        <v>-0.78876452892998183</v>
      </c>
      <c r="AB69" s="2">
        <v>-0.61929165672043274</v>
      </c>
      <c r="AD69" s="31">
        <v>2010.58333333357</v>
      </c>
      <c r="AE69" s="2">
        <v>1.3912983050907251</v>
      </c>
      <c r="AF69" s="2">
        <v>-0.68622224125583742</v>
      </c>
      <c r="AG69" s="2">
        <v>0.15520564292012909</v>
      </c>
      <c r="AH69" s="31"/>
      <c r="AI69" s="31">
        <v>2010.58333333357</v>
      </c>
      <c r="AJ69" s="2">
        <v>3.105898190099897</v>
      </c>
      <c r="AK69" s="2">
        <v>-0.61478205611361436</v>
      </c>
      <c r="AL69" s="2">
        <v>3.3672489254632874</v>
      </c>
      <c r="AM69" s="31"/>
      <c r="AN69" s="2">
        <f t="shared" si="8"/>
        <v>1.5980193850439139</v>
      </c>
      <c r="AO69" s="2">
        <f t="shared" ref="AO69:AO132" si="10">AVERAGE(AK69,AF69,AA69)</f>
        <v>-0.69658960876647791</v>
      </c>
      <c r="AP69" s="2">
        <f t="shared" ref="AP69:AP132" si="11">AVERAGE(AL69,AG69,AB69)</f>
        <v>0.96772097055432793</v>
      </c>
      <c r="AQ69" s="31"/>
      <c r="AR69" s="31">
        <v>2010.58333333357</v>
      </c>
      <c r="AS69" s="2">
        <v>-0.19049342825843651</v>
      </c>
      <c r="AT69" s="2">
        <v>-0.65870957567408583</v>
      </c>
      <c r="AU69" s="2">
        <v>-0.5631024458123397</v>
      </c>
      <c r="AV69" s="31"/>
      <c r="AW69" s="31">
        <v>2010.58333333357</v>
      </c>
      <c r="AX69" s="2">
        <v>1.313979769850143</v>
      </c>
      <c r="AY69" s="2">
        <v>-0.53553372549108424</v>
      </c>
      <c r="AZ69" s="2">
        <v>0.98100914517487536</v>
      </c>
      <c r="BA69" s="31"/>
      <c r="BB69" s="31">
        <v>2010.58333333357</v>
      </c>
      <c r="BC69" s="2">
        <v>2.3015384095984697</v>
      </c>
      <c r="BD69" s="2">
        <v>-0.51613739712758211</v>
      </c>
      <c r="BE69" s="2">
        <v>2.3496526150664101</v>
      </c>
      <c r="BG69" s="2">
        <f t="shared" si="9"/>
        <v>1.1416749170633922</v>
      </c>
      <c r="BH69" s="2">
        <f t="shared" ref="BH69:BH132" si="12">AVERAGE(BD69,AY69,AT69)</f>
        <v>-0.57012689943091743</v>
      </c>
      <c r="BI69" s="2">
        <f t="shared" ref="BI69:BI132" si="13">AVERAGE(BE69,AZ69,AU69)</f>
        <v>0.92251977147631525</v>
      </c>
    </row>
    <row r="70" spans="1:61" x14ac:dyDescent="0.3">
      <c r="A70" s="31">
        <v>2010.5000000002401</v>
      </c>
      <c r="B70">
        <v>0.66862172892165295</v>
      </c>
      <c r="C70">
        <v>7.6000000000000512E-2</v>
      </c>
      <c r="D70">
        <v>5.0815251398045963E-2</v>
      </c>
      <c r="F70" s="31">
        <v>2010.5000000002401</v>
      </c>
      <c r="G70" s="2"/>
      <c r="H70" s="2"/>
      <c r="I70" s="2"/>
      <c r="K70" s="31">
        <v>2010.5000000002401</v>
      </c>
      <c r="L70" s="2"/>
      <c r="M70" s="2"/>
      <c r="N70" s="2"/>
      <c r="P70" s="31">
        <v>2010.5000000002401</v>
      </c>
      <c r="Q70" s="2">
        <v>0.96331021224440017</v>
      </c>
      <c r="R70" s="2">
        <v>4.7900000000000303E-2</v>
      </c>
      <c r="S70" s="2">
        <v>4.917553772755872E-2</v>
      </c>
      <c r="U70" s="2">
        <f t="shared" ref="U70:U133" si="14">AVERAGE(Q70,L70,G70)</f>
        <v>0.96331021224440017</v>
      </c>
      <c r="V70" s="2">
        <f t="shared" ref="V70:V133" si="15">AVERAGE(R70,M70,H70)</f>
        <v>4.7900000000000303E-2</v>
      </c>
      <c r="W70" s="2">
        <f t="shared" ref="W70:W133" si="16">AVERAGE(S70,N70,I70)</f>
        <v>4.917553772755872E-2</v>
      </c>
      <c r="Y70" s="31">
        <v>2010.5000000002401</v>
      </c>
      <c r="Z70" s="2"/>
      <c r="AA70" s="2"/>
      <c r="AB70" s="2"/>
      <c r="AD70" s="31">
        <v>2010.5000000002401</v>
      </c>
      <c r="AE70" s="2"/>
      <c r="AF70" s="2"/>
      <c r="AG70" s="2"/>
      <c r="AH70" s="31"/>
      <c r="AI70" s="31">
        <v>2010.5000000002401</v>
      </c>
      <c r="AJ70" s="2">
        <v>2.3413274365530676</v>
      </c>
      <c r="AK70" s="2">
        <v>-1.186702766808877</v>
      </c>
      <c r="AL70" s="2">
        <v>0.34555066684935576</v>
      </c>
      <c r="AM70" s="31"/>
      <c r="AN70" s="2">
        <f t="shared" ref="AN70:AN133" si="17">AVERAGE(AJ70,AE70,Z70)</f>
        <v>2.3413274365530676</v>
      </c>
      <c r="AO70" s="2">
        <f t="shared" si="10"/>
        <v>-1.186702766808877</v>
      </c>
      <c r="AP70" s="2">
        <f t="shared" si="11"/>
        <v>0.34555066684935576</v>
      </c>
      <c r="AQ70" s="31"/>
      <c r="AR70" s="31">
        <v>2010.5000000002401</v>
      </c>
      <c r="AS70" s="2"/>
      <c r="AT70" s="2"/>
      <c r="AU70" s="2"/>
      <c r="AV70" s="31"/>
      <c r="AW70" s="31">
        <v>2010.5000000002401</v>
      </c>
      <c r="AX70" s="2"/>
      <c r="AY70" s="2"/>
      <c r="AZ70" s="2"/>
      <c r="BA70" s="31"/>
      <c r="BB70" s="31">
        <v>2010.5000000002401</v>
      </c>
      <c r="BC70" s="2">
        <v>0.66860877708725808</v>
      </c>
      <c r="BD70" s="2">
        <v>-0.38248368897839508</v>
      </c>
      <c r="BE70" s="2">
        <v>0.32792854089409323</v>
      </c>
      <c r="BG70" s="2">
        <f t="shared" ref="BG70:BG133" si="18">AVERAGE(BC70,AX70,AS70)</f>
        <v>0.66860877708725808</v>
      </c>
      <c r="BH70" s="2">
        <f t="shared" si="12"/>
        <v>-0.38248368897839508</v>
      </c>
      <c r="BI70" s="2">
        <f t="shared" si="13"/>
        <v>0.32792854089409323</v>
      </c>
    </row>
    <row r="71" spans="1:61" x14ac:dyDescent="0.3">
      <c r="A71" s="31">
        <v>2010.41666666691</v>
      </c>
      <c r="B71">
        <v>0.67694660532475326</v>
      </c>
      <c r="C71">
        <v>0.22800000000000153</v>
      </c>
      <c r="D71">
        <v>0.15434382601404478</v>
      </c>
      <c r="F71" s="31">
        <v>2010.41666666691</v>
      </c>
      <c r="G71" s="2">
        <v>0.79752371902004104</v>
      </c>
      <c r="H71" s="2">
        <v>0.15374999999999961</v>
      </c>
      <c r="I71" s="2">
        <v>0.12040876305392459</v>
      </c>
      <c r="K71" s="31">
        <v>2010.41666666691</v>
      </c>
      <c r="L71" s="2">
        <v>1.0598653884186839</v>
      </c>
      <c r="M71" s="2">
        <v>0.1230299999999999</v>
      </c>
      <c r="N71" s="2">
        <v>0.10590945916694496</v>
      </c>
      <c r="P71" s="31">
        <v>2010.41666666691</v>
      </c>
      <c r="Q71" s="2">
        <v>0.84503518613997652</v>
      </c>
      <c r="R71" s="2">
        <v>0.14380000000000059</v>
      </c>
      <c r="S71" s="2">
        <v>8.6937315268897197E-2</v>
      </c>
      <c r="U71" s="2">
        <f t="shared" si="14"/>
        <v>0.90080809785956717</v>
      </c>
      <c r="V71" s="2">
        <f t="shared" si="15"/>
        <v>0.14019333333333336</v>
      </c>
      <c r="W71" s="2">
        <f t="shared" si="16"/>
        <v>0.10441851249658891</v>
      </c>
      <c r="Y71" s="31">
        <v>2010.41666666691</v>
      </c>
      <c r="Z71" s="2">
        <v>0.3701936915071064</v>
      </c>
      <c r="AA71" s="2">
        <v>1.012624953636539</v>
      </c>
      <c r="AB71" s="2">
        <v>1.0409298815390449</v>
      </c>
      <c r="AD71" s="31">
        <v>2010.41666666691</v>
      </c>
      <c r="AE71" s="2">
        <v>1.491278234075913</v>
      </c>
      <c r="AF71" s="2">
        <v>0.82033858713866403</v>
      </c>
      <c r="AG71" s="2">
        <v>1.7424328799745674</v>
      </c>
      <c r="AH71" s="31"/>
      <c r="AI71" s="31">
        <v>2010.41666666691</v>
      </c>
      <c r="AJ71" s="2">
        <v>3.2129581185830567</v>
      </c>
      <c r="AK71" s="2">
        <v>1.0985970730109507</v>
      </c>
      <c r="AL71" s="2">
        <v>3.3973768896202263</v>
      </c>
      <c r="AM71" s="31"/>
      <c r="AN71" s="2">
        <f t="shared" si="17"/>
        <v>1.6914766813886919</v>
      </c>
      <c r="AO71" s="2">
        <f t="shared" si="10"/>
        <v>0.97718687126205117</v>
      </c>
      <c r="AP71" s="2">
        <f t="shared" si="11"/>
        <v>2.0602465503779461</v>
      </c>
      <c r="AQ71" s="31"/>
      <c r="AR71" s="31">
        <v>2010.41666666691</v>
      </c>
      <c r="AS71" s="2">
        <v>-0.23035327650582105</v>
      </c>
      <c r="AT71" s="2">
        <v>-0.3587827526842341</v>
      </c>
      <c r="AU71" s="2">
        <v>-0.4687647447960584</v>
      </c>
      <c r="AV71" s="31"/>
      <c r="AW71" s="31">
        <v>2010.41666666691</v>
      </c>
      <c r="AX71" s="2">
        <v>1.0754553143365639</v>
      </c>
      <c r="AY71" s="2">
        <v>-0.38552664826294392</v>
      </c>
      <c r="AZ71" s="2">
        <v>0.50331459951272495</v>
      </c>
      <c r="BA71" s="31"/>
      <c r="BB71" s="31">
        <v>2010.41666666691</v>
      </c>
      <c r="BC71" s="2">
        <v>2.6113219042365601</v>
      </c>
      <c r="BD71" s="2">
        <v>-0.3489924073651578</v>
      </c>
      <c r="BE71" s="2">
        <v>2.721447430985461</v>
      </c>
      <c r="BG71" s="2">
        <f t="shared" si="18"/>
        <v>1.1521413140224344</v>
      </c>
      <c r="BH71" s="2">
        <f t="shared" si="12"/>
        <v>-0.36443393610411196</v>
      </c>
      <c r="BI71" s="2">
        <f t="shared" si="13"/>
        <v>0.91866576190070914</v>
      </c>
    </row>
    <row r="72" spans="1:61" x14ac:dyDescent="0.3">
      <c r="A72" s="31">
        <v>2010.33333333358</v>
      </c>
      <c r="B72">
        <v>0.65965330656310073</v>
      </c>
      <c r="C72">
        <v>0.24320000000000164</v>
      </c>
      <c r="D72">
        <v>0.16042768415614717</v>
      </c>
      <c r="F72" s="31">
        <v>2010.33333333358</v>
      </c>
      <c r="G72" s="2">
        <v>0.78831088370098423</v>
      </c>
      <c r="H72" s="2">
        <v>0.15374999999999961</v>
      </c>
      <c r="I72" s="2">
        <v>0.11936126835746994</v>
      </c>
      <c r="K72" s="31">
        <v>2010.33333333358</v>
      </c>
      <c r="L72" s="2">
        <v>1.0733521915408051</v>
      </c>
      <c r="M72" s="2">
        <v>9.2279999999999945E-2</v>
      </c>
      <c r="N72" s="2">
        <v>0.10800829251604205</v>
      </c>
      <c r="P72" s="31">
        <v>2010.33333333358</v>
      </c>
      <c r="Q72" s="2">
        <v>0.76898780190084415</v>
      </c>
      <c r="R72" s="2">
        <v>9.5850000000000463E-2</v>
      </c>
      <c r="S72" s="2">
        <v>7.2166457770724141E-2</v>
      </c>
      <c r="U72" s="2">
        <f t="shared" si="14"/>
        <v>0.87688362571421108</v>
      </c>
      <c r="V72" s="2">
        <f t="shared" si="15"/>
        <v>0.11396000000000001</v>
      </c>
      <c r="W72" s="2">
        <f t="shared" si="16"/>
        <v>9.9845339548078713E-2</v>
      </c>
      <c r="Y72" s="31">
        <v>2010.33333333358</v>
      </c>
      <c r="Z72" s="2">
        <v>0.31677697037476454</v>
      </c>
      <c r="AA72" s="2">
        <v>1.012624953636539</v>
      </c>
      <c r="AB72" s="2">
        <v>1.0168225881895019</v>
      </c>
      <c r="AD72" s="31">
        <v>2010.33333333358</v>
      </c>
      <c r="AE72" s="2">
        <v>1.5715349178513758</v>
      </c>
      <c r="AF72" s="2">
        <v>6.7241855071186282E-2</v>
      </c>
      <c r="AG72" s="2">
        <v>1.8222406201973498</v>
      </c>
      <c r="AH72" s="31"/>
      <c r="AI72" s="31">
        <v>2010.33333333358</v>
      </c>
      <c r="AJ72" s="2">
        <v>2.0230246153893248</v>
      </c>
      <c r="AK72" s="2">
        <v>-4.4052846898962821E-2</v>
      </c>
      <c r="AL72" s="2">
        <v>2.2036277289407935</v>
      </c>
      <c r="AM72" s="31"/>
      <c r="AN72" s="2">
        <f t="shared" si="17"/>
        <v>1.3037788345384884</v>
      </c>
      <c r="AO72" s="2">
        <f t="shared" si="10"/>
        <v>0.34527132060292082</v>
      </c>
      <c r="AP72" s="2">
        <f t="shared" si="11"/>
        <v>1.680896979109215</v>
      </c>
      <c r="AQ72" s="31"/>
      <c r="AR72" s="31">
        <v>2010.33333333358</v>
      </c>
      <c r="AS72" s="2">
        <v>0.21589413404065647</v>
      </c>
      <c r="AT72" s="2">
        <v>-1.8664175683889669E-2</v>
      </c>
      <c r="AU72" s="2">
        <v>0.10278062738864877</v>
      </c>
      <c r="AV72" s="31"/>
      <c r="AW72" s="31">
        <v>2010.33333333358</v>
      </c>
      <c r="AX72" s="2">
        <v>1.3445215807776194</v>
      </c>
      <c r="AY72" s="2">
        <v>-0.6032299022146953</v>
      </c>
      <c r="AZ72" s="2">
        <v>0.9470174819941638</v>
      </c>
      <c r="BA72" s="31"/>
      <c r="BB72" s="31">
        <v>2010.33333333358</v>
      </c>
      <c r="BC72" s="2">
        <v>2.0345377108252802</v>
      </c>
      <c r="BD72" s="2">
        <v>-0.7363458413185221</v>
      </c>
      <c r="BE72" s="2">
        <v>2.0380716261988288</v>
      </c>
      <c r="BG72" s="2">
        <f t="shared" si="18"/>
        <v>1.1983178085478521</v>
      </c>
      <c r="BH72" s="2">
        <f t="shared" si="12"/>
        <v>-0.45274663973903567</v>
      </c>
      <c r="BI72" s="2">
        <f t="shared" si="13"/>
        <v>1.0292899118605472</v>
      </c>
    </row>
    <row r="73" spans="1:61" x14ac:dyDescent="0.3">
      <c r="A73" s="31">
        <v>2010.2500000002501</v>
      </c>
      <c r="B73">
        <v>0.67883578249323606</v>
      </c>
      <c r="C73">
        <v>0.22800000000000153</v>
      </c>
      <c r="D73">
        <v>0.15477455840845886</v>
      </c>
      <c r="F73" s="31">
        <v>2010.2500000002501</v>
      </c>
      <c r="G73" s="2">
        <v>0.76520154073850222</v>
      </c>
      <c r="H73" s="2">
        <v>0.15374999999999961</v>
      </c>
      <c r="I73" s="2">
        <v>0.11710076046978209</v>
      </c>
      <c r="K73" s="31">
        <v>2010.2500000002501</v>
      </c>
      <c r="L73" s="2">
        <v>1.0699834075576682</v>
      </c>
      <c r="M73" s="2">
        <v>0.1230299999999999</v>
      </c>
      <c r="N73" s="2">
        <v>0.1091730177098902</v>
      </c>
      <c r="P73" s="31">
        <v>2010.2500000002501</v>
      </c>
      <c r="Q73" s="2">
        <v>0.73772473109976255</v>
      </c>
      <c r="R73" s="2">
        <v>9.5850000000000463E-2</v>
      </c>
      <c r="S73" s="2">
        <v>6.0812542375992339E-2</v>
      </c>
      <c r="U73" s="2">
        <f t="shared" si="14"/>
        <v>0.85763655979864428</v>
      </c>
      <c r="V73" s="2">
        <f t="shared" si="15"/>
        <v>0.12420999999999999</v>
      </c>
      <c r="W73" s="2">
        <f t="shared" si="16"/>
        <v>9.5695440185221539E-2</v>
      </c>
      <c r="Y73" s="31">
        <v>2010.2500000002501</v>
      </c>
      <c r="Z73" s="2">
        <v>0.18278723911091233</v>
      </c>
      <c r="AA73" s="2">
        <v>1.012624953636539</v>
      </c>
      <c r="AB73" s="2">
        <v>0.96479871928411354</v>
      </c>
      <c r="AD73" s="31">
        <v>2010.2500000002501</v>
      </c>
      <c r="AE73" s="2">
        <v>1.551488104059084</v>
      </c>
      <c r="AF73" s="2">
        <v>0.82033858713866403</v>
      </c>
      <c r="AG73" s="2">
        <v>1.8665290748960286</v>
      </c>
      <c r="AH73" s="31"/>
      <c r="AI73" s="31">
        <v>2010.2500000002501</v>
      </c>
      <c r="AJ73" s="2">
        <v>1.0770459002992681</v>
      </c>
      <c r="AK73" s="2">
        <v>-4.4052846898962821E-2</v>
      </c>
      <c r="AL73" s="2">
        <v>1.2860285323766951</v>
      </c>
      <c r="AM73" s="31"/>
      <c r="AN73" s="2">
        <f t="shared" si="17"/>
        <v>0.93710708115642138</v>
      </c>
      <c r="AO73" s="2">
        <f t="shared" si="10"/>
        <v>0.59630356462541345</v>
      </c>
      <c r="AP73" s="2">
        <f t="shared" si="11"/>
        <v>1.372452108852279</v>
      </c>
      <c r="AQ73" s="31"/>
      <c r="AR73" s="31">
        <v>2010.2500000002501</v>
      </c>
      <c r="AS73" s="2">
        <v>0.40701713907222725</v>
      </c>
      <c r="AT73" s="2">
        <v>-6.2988546229769724E-2</v>
      </c>
      <c r="AU73" s="2">
        <v>0.1526203429666721</v>
      </c>
      <c r="AV73" s="31"/>
      <c r="AW73" s="31">
        <v>2010.2500000002501</v>
      </c>
      <c r="AX73" s="2">
        <v>1.6325491476586704</v>
      </c>
      <c r="AY73" s="2">
        <v>-0.13053036562694012</v>
      </c>
      <c r="AZ73" s="2">
        <v>0.81919971923584056</v>
      </c>
      <c r="BA73" s="31"/>
      <c r="BB73" s="31">
        <v>2010.2500000002501</v>
      </c>
      <c r="BC73" s="2">
        <v>1.5193656578048182</v>
      </c>
      <c r="BD73" s="2">
        <v>-1.0548255298976554</v>
      </c>
      <c r="BE73" s="2">
        <v>1.5589891907889326</v>
      </c>
      <c r="BG73" s="2">
        <f t="shared" si="18"/>
        <v>1.1863106481785719</v>
      </c>
      <c r="BH73" s="2">
        <f t="shared" si="12"/>
        <v>-0.41611481391812172</v>
      </c>
      <c r="BI73" s="2">
        <f t="shared" si="13"/>
        <v>0.8436030843304817</v>
      </c>
    </row>
    <row r="74" spans="1:61" x14ac:dyDescent="0.3">
      <c r="A74" s="31">
        <v>2010.16666666692</v>
      </c>
      <c r="B74">
        <v>0.56189668942943105</v>
      </c>
      <c r="C74">
        <v>0.24320000000000164</v>
      </c>
      <c r="D74">
        <v>0.13665327486923856</v>
      </c>
      <c r="F74" s="31">
        <v>2010.16666666692</v>
      </c>
      <c r="G74" s="2">
        <v>0.71450424372981591</v>
      </c>
      <c r="H74" s="2">
        <v>0.12299999999999964</v>
      </c>
      <c r="I74" s="2">
        <v>8.7690928318919434E-2</v>
      </c>
      <c r="K74" s="31">
        <v>2010.16666666692</v>
      </c>
      <c r="L74" s="2">
        <v>1.065874437500113</v>
      </c>
      <c r="M74" s="2">
        <v>9.2279999999999945E-2</v>
      </c>
      <c r="N74" s="2">
        <v>0.1103626358636163</v>
      </c>
      <c r="P74" s="31">
        <v>2010.16666666692</v>
      </c>
      <c r="Q74" s="2">
        <v>0.69200614831438789</v>
      </c>
      <c r="R74" s="2">
        <v>9.5850000000000463E-2</v>
      </c>
      <c r="S74" s="2">
        <v>5.2980770561946923E-2</v>
      </c>
      <c r="U74" s="2">
        <f t="shared" si="14"/>
        <v>0.82412827651477227</v>
      </c>
      <c r="V74" s="2">
        <f t="shared" si="15"/>
        <v>0.10371000000000001</v>
      </c>
      <c r="W74" s="2">
        <f t="shared" si="16"/>
        <v>8.3678111581494227E-2</v>
      </c>
      <c r="Y74" s="31">
        <v>2010.16666666692</v>
      </c>
      <c r="Z74" s="2">
        <v>-0.11115955171848803</v>
      </c>
      <c r="AA74" s="2">
        <v>0.41216179278103116</v>
      </c>
      <c r="AB74" s="2">
        <v>0.28795381169526107</v>
      </c>
      <c r="AD74" s="31">
        <v>2010.16666666692</v>
      </c>
      <c r="AE74" s="2">
        <v>1.5270366230397492</v>
      </c>
      <c r="AF74" s="2">
        <v>6.7241855071186282E-2</v>
      </c>
      <c r="AG74" s="2">
        <v>1.9117640796750988</v>
      </c>
      <c r="AH74" s="31"/>
      <c r="AI74" s="31">
        <v>2010.16666666692</v>
      </c>
      <c r="AJ74" s="2">
        <v>0.40506575973627984</v>
      </c>
      <c r="AK74" s="2">
        <v>-4.4052846898962821E-2</v>
      </c>
      <c r="AL74" s="2">
        <v>0.65308145866713474</v>
      </c>
      <c r="AM74" s="31"/>
      <c r="AN74" s="2">
        <f t="shared" si="17"/>
        <v>0.60698094368584699</v>
      </c>
      <c r="AO74" s="2">
        <f t="shared" si="10"/>
        <v>0.14511693365108488</v>
      </c>
      <c r="AP74" s="2">
        <f t="shared" si="11"/>
        <v>0.95093311667916491</v>
      </c>
      <c r="AQ74" s="31"/>
      <c r="AR74" s="31">
        <v>2010.16666666692</v>
      </c>
      <c r="AS74" s="2">
        <v>0.2844562155806552</v>
      </c>
      <c r="AT74" s="2">
        <v>-0.46657286796563346</v>
      </c>
      <c r="AU74" s="2">
        <v>-0.26992043536924709</v>
      </c>
      <c r="AV74" s="31"/>
      <c r="AW74" s="31">
        <v>2010.16666666692</v>
      </c>
      <c r="AX74" s="2">
        <v>1.6762828672997632</v>
      </c>
      <c r="AY74" s="2">
        <v>-0.48198869008051998</v>
      </c>
      <c r="AZ74" s="2">
        <v>1.3454730039563099</v>
      </c>
      <c r="BA74" s="31"/>
      <c r="BB74" s="31">
        <v>2010.16666666692</v>
      </c>
      <c r="BC74" s="2">
        <v>1.0817271427932962</v>
      </c>
      <c r="BD74" s="2">
        <v>-0.34847073798484229</v>
      </c>
      <c r="BE74" s="2">
        <v>1.2452700426869212</v>
      </c>
      <c r="BG74" s="2">
        <f t="shared" si="18"/>
        <v>1.0141554085579048</v>
      </c>
      <c r="BH74" s="2">
        <f t="shared" si="12"/>
        <v>-0.43234409867699863</v>
      </c>
      <c r="BI74" s="2">
        <f t="shared" si="13"/>
        <v>0.77360753709132801</v>
      </c>
    </row>
    <row r="75" spans="1:61" x14ac:dyDescent="0.3">
      <c r="A75" s="31">
        <v>2010.08333333359</v>
      </c>
      <c r="B75">
        <v>0.52332246393198911</v>
      </c>
      <c r="C75">
        <v>4.5600000000000307E-2</v>
      </c>
      <c r="D75">
        <v>2.3863504355298864E-2</v>
      </c>
      <c r="F75" s="31">
        <v>2010.08333333359</v>
      </c>
      <c r="G75" s="2">
        <v>0.68472516841610975</v>
      </c>
      <c r="H75" s="2">
        <v>6.1499999999999846E-2</v>
      </c>
      <c r="I75" s="2">
        <v>4.2110597857590651E-2</v>
      </c>
      <c r="K75" s="31">
        <v>2010.08333333359</v>
      </c>
      <c r="L75" s="2">
        <v>1.035747132152556</v>
      </c>
      <c r="M75" s="2">
        <v>6.1514999999999952E-2</v>
      </c>
      <c r="N75" s="2">
        <v>6.3719895034175411E-2</v>
      </c>
      <c r="P75" s="31">
        <v>2010.08333333359</v>
      </c>
      <c r="Q75" s="2">
        <v>0.68528964867815845</v>
      </c>
      <c r="R75" s="2">
        <v>7.1900000000000297E-2</v>
      </c>
      <c r="S75" s="2">
        <v>4.8926758827303379E-2</v>
      </c>
      <c r="U75" s="2">
        <f t="shared" si="14"/>
        <v>0.80192064974894139</v>
      </c>
      <c r="V75" s="2">
        <f t="shared" si="15"/>
        <v>6.4971666666666705E-2</v>
      </c>
      <c r="W75" s="2">
        <f t="shared" si="16"/>
        <v>5.1585750573023149E-2</v>
      </c>
      <c r="Y75" s="31">
        <v>2010.08333333359</v>
      </c>
      <c r="Z75" s="2">
        <v>-0.28382089934085053</v>
      </c>
      <c r="AA75" s="2">
        <v>-0.78876452892998183</v>
      </c>
      <c r="AB75" s="2">
        <v>-0.76104280959496007</v>
      </c>
      <c r="AD75" s="31">
        <v>2010.08333333359</v>
      </c>
      <c r="AE75" s="2">
        <v>1.3477563594819744</v>
      </c>
      <c r="AF75" s="2">
        <v>-0.68622224125583742</v>
      </c>
      <c r="AG75" s="2">
        <v>0.13818270171769395</v>
      </c>
      <c r="AH75" s="31"/>
      <c r="AI75" s="31">
        <v>2010.08333333359</v>
      </c>
      <c r="AJ75" s="2">
        <v>8.3943562984120507E-2</v>
      </c>
      <c r="AK75" s="2">
        <v>-0.61478205611361436</v>
      </c>
      <c r="AL75" s="2">
        <v>0.32544488738385779</v>
      </c>
      <c r="AM75" s="31"/>
      <c r="AN75" s="2">
        <f t="shared" si="17"/>
        <v>0.38262634104174814</v>
      </c>
      <c r="AO75" s="2">
        <f t="shared" si="10"/>
        <v>-0.69658960876647791</v>
      </c>
      <c r="AP75" s="2">
        <f t="shared" si="11"/>
        <v>-9.9138406831136103E-2</v>
      </c>
      <c r="AQ75" s="31"/>
      <c r="AR75" s="31">
        <v>2010.08333333359</v>
      </c>
      <c r="AS75" s="2">
        <v>0.3712485576656121</v>
      </c>
      <c r="AT75" s="2">
        <v>-0.93050162247170598</v>
      </c>
      <c r="AU75" s="2">
        <v>-0.57768634387072015</v>
      </c>
      <c r="AV75" s="31"/>
      <c r="AW75" s="31">
        <v>2010.08333333359</v>
      </c>
      <c r="AX75" s="2">
        <v>1.7655202273488269</v>
      </c>
      <c r="AY75" s="2">
        <v>-0.87038484719517628</v>
      </c>
      <c r="AZ75" s="2">
        <v>0.76739863519793161</v>
      </c>
      <c r="BA75" s="31"/>
      <c r="BB75" s="31">
        <v>2010.08333333359</v>
      </c>
      <c r="BC75" s="2">
        <v>0.8461861872950327</v>
      </c>
      <c r="BD75" s="2">
        <v>-0.95760573293009554</v>
      </c>
      <c r="BE75" s="2">
        <v>0.83413864007175731</v>
      </c>
      <c r="BG75" s="2">
        <f t="shared" si="18"/>
        <v>0.99431832410315713</v>
      </c>
      <c r="BH75" s="2">
        <f t="shared" si="12"/>
        <v>-0.91949740086565923</v>
      </c>
      <c r="BI75" s="2">
        <f t="shared" si="13"/>
        <v>0.3412836437996562</v>
      </c>
    </row>
    <row r="76" spans="1:61" x14ac:dyDescent="0.3">
      <c r="A76" s="31">
        <v>2010.0000000002599</v>
      </c>
      <c r="B76">
        <v>0.56215974367049926</v>
      </c>
      <c r="C76">
        <v>4.5600000000000307E-2</v>
      </c>
      <c r="D76">
        <v>2.5634484311374939E-2</v>
      </c>
      <c r="F76" s="31">
        <v>2010.0000000002599</v>
      </c>
      <c r="G76" s="2">
        <v>0.67921702012203544</v>
      </c>
      <c r="H76" s="2">
        <v>6.1499999999999902E-2</v>
      </c>
      <c r="I76" s="2">
        <v>4.1771846737505114E-2</v>
      </c>
      <c r="K76" s="31">
        <v>2010.0000000002599</v>
      </c>
      <c r="L76" s="2">
        <v>1.0141454744424319</v>
      </c>
      <c r="M76" s="2">
        <v>6.1514999999999952E-2</v>
      </c>
      <c r="N76" s="2">
        <v>6.2390566823318894E-2</v>
      </c>
      <c r="P76" s="31">
        <v>2010.0000000002599</v>
      </c>
      <c r="Q76" s="2">
        <v>0.77448570644028136</v>
      </c>
      <c r="R76" s="2">
        <v>7.1900000000000297E-2</v>
      </c>
      <c r="S76" s="2">
        <v>4.9713531469128422E-2</v>
      </c>
      <c r="U76" s="2">
        <f t="shared" si="14"/>
        <v>0.82261606700158296</v>
      </c>
      <c r="V76" s="2">
        <f t="shared" si="15"/>
        <v>6.4971666666666719E-2</v>
      </c>
      <c r="W76" s="2">
        <f t="shared" si="16"/>
        <v>5.1291981676650812E-2</v>
      </c>
      <c r="Y76" s="31">
        <v>2010.0000000002599</v>
      </c>
      <c r="Z76" s="2">
        <v>-0.31575756283157208</v>
      </c>
      <c r="AA76" s="2">
        <v>-0.78876452892998072</v>
      </c>
      <c r="AB76" s="2">
        <v>-0.76883890885162276</v>
      </c>
      <c r="AD76" s="31">
        <v>2010.0000000002599</v>
      </c>
      <c r="AE76" s="2">
        <v>1.2192101505569228</v>
      </c>
      <c r="AF76" s="2">
        <v>-0.68622224125583742</v>
      </c>
      <c r="AG76" s="2">
        <v>8.7635248501128429E-2</v>
      </c>
      <c r="AH76" s="31"/>
      <c r="AI76" s="31">
        <v>2010.0000000002599</v>
      </c>
      <c r="AJ76" s="2">
        <v>0.14742190293693117</v>
      </c>
      <c r="AK76" s="2">
        <v>-0.61478205611361436</v>
      </c>
      <c r="AL76" s="2">
        <v>0.38903017218809827</v>
      </c>
      <c r="AM76" s="31"/>
      <c r="AN76" s="2">
        <f t="shared" si="17"/>
        <v>0.35029149688742733</v>
      </c>
      <c r="AO76" s="2">
        <f t="shared" si="10"/>
        <v>-0.69658960876647757</v>
      </c>
      <c r="AP76" s="2">
        <f t="shared" si="11"/>
        <v>-9.7391162720798688E-2</v>
      </c>
      <c r="AQ76" s="31"/>
      <c r="AR76" s="31">
        <v>2010.0000000002599</v>
      </c>
      <c r="AS76" s="2">
        <v>9.1999751571020291E-2</v>
      </c>
      <c r="AT76" s="2">
        <v>-0.29853293598826319</v>
      </c>
      <c r="AU76" s="2">
        <v>-0.15641618750773256</v>
      </c>
      <c r="AV76" s="31"/>
      <c r="AW76" s="31">
        <v>2010.0000000002599</v>
      </c>
      <c r="AX76" s="2">
        <v>1.1661241823254584</v>
      </c>
      <c r="AY76" s="2">
        <v>-0.21981065223360952</v>
      </c>
      <c r="AZ76" s="2">
        <v>1.0542420674920063</v>
      </c>
      <c r="BA76" s="31"/>
      <c r="BB76" s="31">
        <v>2010.0000000002599</v>
      </c>
      <c r="BC76" s="2">
        <v>0.59570547875542235</v>
      </c>
      <c r="BD76" s="2">
        <v>-9.3919208556921333E-2</v>
      </c>
      <c r="BE76" s="2">
        <v>0.98804683758301093</v>
      </c>
      <c r="BG76" s="2">
        <f t="shared" si="18"/>
        <v>0.61794313755063368</v>
      </c>
      <c r="BH76" s="2">
        <f t="shared" si="12"/>
        <v>-0.20408759892626469</v>
      </c>
      <c r="BI76" s="2">
        <f t="shared" si="13"/>
        <v>0.62862423918909494</v>
      </c>
    </row>
    <row r="77" spans="1:61" x14ac:dyDescent="0.3">
      <c r="A77" s="31">
        <v>2009.91666666693</v>
      </c>
      <c r="B77">
        <v>0.60968379878338264</v>
      </c>
      <c r="C77">
        <v>4.5600000000000307E-2</v>
      </c>
      <c r="D77">
        <v>2.7801581224522434E-2</v>
      </c>
      <c r="F77" s="31">
        <v>2009.91666666693</v>
      </c>
      <c r="G77" s="2">
        <v>0.69585213246509914</v>
      </c>
      <c r="H77" s="2">
        <v>6.1499999999999846E-2</v>
      </c>
      <c r="I77" s="2">
        <v>4.2794906146603487E-2</v>
      </c>
      <c r="K77" s="31">
        <v>2009.91666666693</v>
      </c>
      <c r="L77" s="2">
        <v>1.0022663861868226</v>
      </c>
      <c r="M77" s="2">
        <v>6.1514999999999952E-2</v>
      </c>
      <c r="N77" s="2">
        <v>6.1659225639682042E-2</v>
      </c>
      <c r="P77" s="31">
        <v>2009.91666666693</v>
      </c>
      <c r="Q77" s="2">
        <v>0.86073812525681204</v>
      </c>
      <c r="R77" s="2">
        <v>7.1900000000000297E-2</v>
      </c>
      <c r="S77" s="2">
        <v>5.4215336763909397E-2</v>
      </c>
      <c r="U77" s="2">
        <f t="shared" si="14"/>
        <v>0.8529522146362446</v>
      </c>
      <c r="V77" s="2">
        <f t="shared" si="15"/>
        <v>6.4971666666666705E-2</v>
      </c>
      <c r="W77" s="2">
        <f t="shared" si="16"/>
        <v>5.2889822850064973E-2</v>
      </c>
      <c r="Y77" s="31">
        <v>2009.91666666693</v>
      </c>
      <c r="Z77" s="2">
        <v>-0.21930591398938015</v>
      </c>
      <c r="AA77" s="2">
        <v>-0.78876452892998183</v>
      </c>
      <c r="AB77" s="2">
        <v>-0.74529397504659312</v>
      </c>
      <c r="AD77" s="31">
        <v>2009.91666666693</v>
      </c>
      <c r="AE77" s="2">
        <v>1.1485205867634458</v>
      </c>
      <c r="AF77" s="2">
        <v>-0.68622224125583742</v>
      </c>
      <c r="AG77" s="2">
        <v>5.9826138633962932E-2</v>
      </c>
      <c r="AH77" s="31"/>
      <c r="AI77" s="31">
        <v>2009.91666666693</v>
      </c>
      <c r="AJ77" s="2">
        <v>0.47956475801557241</v>
      </c>
      <c r="AK77" s="2">
        <v>-0.61478205611361436</v>
      </c>
      <c r="AL77" s="2">
        <v>0.75285646276409945</v>
      </c>
      <c r="AM77" s="31"/>
      <c r="AN77" s="2">
        <f t="shared" si="17"/>
        <v>0.46959314359654608</v>
      </c>
      <c r="AO77" s="2">
        <f t="shared" si="10"/>
        <v>-0.69658960876647791</v>
      </c>
      <c r="AP77" s="2">
        <f t="shared" si="11"/>
        <v>2.246287545048975E-2</v>
      </c>
      <c r="AQ77" s="31"/>
      <c r="AR77" s="31">
        <v>2009.91666666693</v>
      </c>
      <c r="AS77" s="2">
        <v>8.1457149760509426E-2</v>
      </c>
      <c r="AT77" s="2">
        <v>-0.68444756444045252</v>
      </c>
      <c r="AU77" s="2">
        <v>-0.50331686854721969</v>
      </c>
      <c r="AV77" s="31"/>
      <c r="AW77" s="31">
        <v>2009.91666666693</v>
      </c>
      <c r="AX77" s="2">
        <v>1.2568225795844614</v>
      </c>
      <c r="AY77" s="2">
        <v>-0.51751295497595129</v>
      </c>
      <c r="AZ77" s="2">
        <v>1.0649820524309321</v>
      </c>
      <c r="BA77" s="31"/>
      <c r="BB77" s="31">
        <v>2009.91666666693</v>
      </c>
      <c r="BC77" s="2">
        <v>1.0848366848155375</v>
      </c>
      <c r="BD77" s="2">
        <v>-0.44318112469553572</v>
      </c>
      <c r="BE77" s="2">
        <v>1.2573383145847137</v>
      </c>
      <c r="BG77" s="2">
        <f t="shared" si="18"/>
        <v>0.80770547138683602</v>
      </c>
      <c r="BH77" s="2">
        <f t="shared" si="12"/>
        <v>-0.54838054803731318</v>
      </c>
      <c r="BI77" s="2">
        <f t="shared" si="13"/>
        <v>0.60633449948947538</v>
      </c>
    </row>
    <row r="78" spans="1:61" x14ac:dyDescent="0.3">
      <c r="A78" s="31">
        <v>2009.8333333336</v>
      </c>
      <c r="B78">
        <v>0.64780869513207673</v>
      </c>
      <c r="C78">
        <v>4.5600000000000307E-2</v>
      </c>
      <c r="D78">
        <v>2.9540076498022899E-2</v>
      </c>
      <c r="F78" s="31">
        <v>2009.8333333336</v>
      </c>
      <c r="G78" s="2">
        <v>0.71619379500710445</v>
      </c>
      <c r="H78" s="2">
        <v>6.1499999999999902E-2</v>
      </c>
      <c r="I78" s="2">
        <v>4.4045918392936853E-2</v>
      </c>
      <c r="K78" s="31">
        <v>2009.8333333336</v>
      </c>
      <c r="L78" s="2"/>
      <c r="M78" s="2"/>
      <c r="N78" s="2"/>
      <c r="P78" s="31">
        <v>2009.8333333336</v>
      </c>
      <c r="Q78" s="2">
        <v>0.8912955438392931</v>
      </c>
      <c r="R78" s="2">
        <v>7.1900000000000297E-2</v>
      </c>
      <c r="S78" s="2">
        <v>6.01715438570695E-2</v>
      </c>
      <c r="U78" s="2">
        <f t="shared" si="14"/>
        <v>0.80374466942319878</v>
      </c>
      <c r="V78" s="2">
        <f t="shared" si="15"/>
        <v>6.6700000000000093E-2</v>
      </c>
      <c r="W78" s="2">
        <f t="shared" si="16"/>
        <v>5.210873112500318E-2</v>
      </c>
      <c r="Y78" s="31">
        <v>2009.8333333336</v>
      </c>
      <c r="Z78" s="2">
        <v>-0.10136340468099236</v>
      </c>
      <c r="AA78" s="2">
        <v>-0.78876452892998072</v>
      </c>
      <c r="AB78" s="2">
        <v>-0.7165028801529354</v>
      </c>
      <c r="AD78" s="31">
        <v>2009.8333333336</v>
      </c>
      <c r="AE78" s="2"/>
      <c r="AF78" s="2"/>
      <c r="AG78" s="2"/>
      <c r="AH78" s="31"/>
      <c r="AI78" s="31">
        <v>2009.8333333336</v>
      </c>
      <c r="AJ78" s="2">
        <v>0.91497529072246853</v>
      </c>
      <c r="AK78" s="2">
        <v>-0.61478205611361436</v>
      </c>
      <c r="AL78" s="2">
        <v>1.2342244008930936</v>
      </c>
      <c r="AM78" s="31"/>
      <c r="AN78" s="2">
        <f t="shared" si="17"/>
        <v>0.40680594302073808</v>
      </c>
      <c r="AO78" s="2">
        <f t="shared" si="10"/>
        <v>-0.70177329252179754</v>
      </c>
      <c r="AP78" s="2">
        <f t="shared" si="11"/>
        <v>0.2588607603700791</v>
      </c>
      <c r="AQ78" s="31"/>
      <c r="AR78" s="31">
        <v>2009.8333333336</v>
      </c>
      <c r="AS78" s="2">
        <v>5.8859136944801736E-2</v>
      </c>
      <c r="AT78" s="2">
        <v>-0.28549293171717766</v>
      </c>
      <c r="AU78" s="2">
        <v>-0.18960097316073116</v>
      </c>
      <c r="AV78" s="31"/>
      <c r="AW78" s="31">
        <v>2009.8333333336</v>
      </c>
      <c r="AX78" s="2"/>
      <c r="AY78" s="2"/>
      <c r="AZ78" s="2"/>
      <c r="BA78" s="31"/>
      <c r="BB78" s="31">
        <v>2009.8333333336</v>
      </c>
      <c r="BC78" s="2">
        <v>0.68714583345448188</v>
      </c>
      <c r="BD78" s="2">
        <v>-4.0971152421897278E-2</v>
      </c>
      <c r="BE78" s="2">
        <v>1.0605094931212675</v>
      </c>
      <c r="BG78" s="2">
        <f t="shared" si="18"/>
        <v>0.3730024851996418</v>
      </c>
      <c r="BH78" s="2">
        <f t="shared" si="12"/>
        <v>-0.16323204206953745</v>
      </c>
      <c r="BI78" s="2">
        <f t="shared" si="13"/>
        <v>0.43545425998026821</v>
      </c>
    </row>
    <row r="79" spans="1:61" x14ac:dyDescent="0.3">
      <c r="A79" s="31">
        <v>2009.7500000002699</v>
      </c>
      <c r="B79">
        <v>0.6569498793657359</v>
      </c>
      <c r="C79">
        <v>4.5600000000000307E-2</v>
      </c>
      <c r="D79">
        <v>2.9956914499077759E-2</v>
      </c>
      <c r="F79" s="31">
        <v>2009.7500000002699</v>
      </c>
      <c r="G79" s="2">
        <v>0.735590511575545</v>
      </c>
      <c r="H79" s="2">
        <v>6.1499999999999902E-2</v>
      </c>
      <c r="I79" s="2">
        <v>4.5238816461895946E-2</v>
      </c>
      <c r="K79" s="31">
        <v>2009.7500000002699</v>
      </c>
      <c r="L79" s="2">
        <v>1.0068831808347967</v>
      </c>
      <c r="M79" s="2">
        <v>6.1514999999999952E-2</v>
      </c>
      <c r="N79" s="2">
        <v>6.1942405067320648E-2</v>
      </c>
      <c r="P79" s="31">
        <v>2009.7500000002699</v>
      </c>
      <c r="Q79" s="2">
        <v>0.89214886218198552</v>
      </c>
      <c r="R79" s="2">
        <v>7.1900000000000297E-2</v>
      </c>
      <c r="S79" s="2">
        <v>6.3936222257179862E-2</v>
      </c>
      <c r="U79" s="2">
        <f t="shared" si="14"/>
        <v>0.87820751819744236</v>
      </c>
      <c r="V79" s="2">
        <f t="shared" si="15"/>
        <v>6.4971666666666719E-2</v>
      </c>
      <c r="W79" s="2">
        <f t="shared" si="16"/>
        <v>5.7039147928798821E-2</v>
      </c>
      <c r="Y79" s="31">
        <v>2009.7500000002699</v>
      </c>
      <c r="Z79" s="2">
        <v>1.110023587451232E-2</v>
      </c>
      <c r="AA79" s="2">
        <v>-0.78876452892998072</v>
      </c>
      <c r="AB79" s="2">
        <v>-0.68904923882965929</v>
      </c>
      <c r="AD79" s="31">
        <v>2009.7500000002699</v>
      </c>
      <c r="AE79" s="2">
        <v>1.1759940083566593</v>
      </c>
      <c r="AF79" s="2">
        <v>-0.68622224125583742</v>
      </c>
      <c r="AG79" s="2">
        <v>7.0593982687489343E-2</v>
      </c>
      <c r="AH79" s="31"/>
      <c r="AI79" s="31">
        <v>2009.7500000002699</v>
      </c>
      <c r="AJ79" s="2">
        <v>1.2091891265899322</v>
      </c>
      <c r="AK79" s="2">
        <v>-0.61478205611361436</v>
      </c>
      <c r="AL79" s="2">
        <v>1.5384776699342166</v>
      </c>
      <c r="AM79" s="31"/>
      <c r="AN79" s="2">
        <f t="shared" si="17"/>
        <v>0.79876112360703455</v>
      </c>
      <c r="AO79" s="2">
        <f t="shared" si="10"/>
        <v>-0.69658960876647757</v>
      </c>
      <c r="AP79" s="2">
        <f t="shared" si="11"/>
        <v>0.30667413793068221</v>
      </c>
      <c r="AQ79" s="31"/>
      <c r="AR79" s="31">
        <v>2009.7500000002699</v>
      </c>
      <c r="AS79" s="2">
        <v>-6.6126121096472174E-2</v>
      </c>
      <c r="AT79" s="2">
        <v>-0.67664761419444741</v>
      </c>
      <c r="AU79" s="2">
        <v>-0.55165692962182955</v>
      </c>
      <c r="AV79" s="31"/>
      <c r="AW79" s="31">
        <v>2009.7500000002699</v>
      </c>
      <c r="AX79" s="2">
        <v>1.400287646499049</v>
      </c>
      <c r="AY79" s="2">
        <v>-0.6564669997761764</v>
      </c>
      <c r="AZ79" s="2">
        <v>0.60734083831018093</v>
      </c>
      <c r="BA79" s="31"/>
      <c r="BB79" s="31">
        <v>2009.7500000002699</v>
      </c>
      <c r="BC79" s="2">
        <v>1.1544503766737046</v>
      </c>
      <c r="BD79" s="2">
        <v>-0.59144451954684485</v>
      </c>
      <c r="BE79" s="2">
        <v>1.2309106046055509</v>
      </c>
      <c r="BG79" s="2">
        <f t="shared" si="18"/>
        <v>0.82953730069209397</v>
      </c>
      <c r="BH79" s="2">
        <f t="shared" si="12"/>
        <v>-0.64151971117248952</v>
      </c>
      <c r="BI79" s="2">
        <f t="shared" si="13"/>
        <v>0.42886483776463402</v>
      </c>
    </row>
    <row r="80" spans="1:61" x14ac:dyDescent="0.3">
      <c r="A80" s="31">
        <v>2009.66666666694</v>
      </c>
      <c r="B80">
        <v>0.65437744764834049</v>
      </c>
      <c r="C80">
        <v>4.5600000000000307E-2</v>
      </c>
      <c r="D80">
        <v>2.9839611612764529E-2</v>
      </c>
      <c r="F80" s="31">
        <v>2009.66666666694</v>
      </c>
      <c r="G80" s="2">
        <v>0.73285649054205515</v>
      </c>
      <c r="H80" s="2">
        <v>6.1499999999999846E-2</v>
      </c>
      <c r="I80" s="2">
        <v>4.507067416833628E-2</v>
      </c>
      <c r="K80" s="31">
        <v>2009.66666666694</v>
      </c>
      <c r="L80" s="2">
        <v>0.97058705761709141</v>
      </c>
      <c r="M80" s="2">
        <v>6.1514999999999952E-2</v>
      </c>
      <c r="N80" s="2">
        <v>5.970851291465977E-2</v>
      </c>
      <c r="P80" s="31">
        <v>2009.66666666694</v>
      </c>
      <c r="Q80" s="2">
        <v>0.82027709761224843</v>
      </c>
      <c r="R80" s="2">
        <v>7.1900000000000297E-2</v>
      </c>
      <c r="S80" s="2">
        <v>6.4737902842722697E-2</v>
      </c>
      <c r="U80" s="2">
        <f t="shared" si="14"/>
        <v>0.84124021525713166</v>
      </c>
      <c r="V80" s="2">
        <f t="shared" si="15"/>
        <v>6.4971666666666705E-2</v>
      </c>
      <c r="W80" s="2">
        <f t="shared" si="16"/>
        <v>5.6505696641906245E-2</v>
      </c>
      <c r="Y80" s="31">
        <v>2009.66666666694</v>
      </c>
      <c r="Z80" s="2">
        <v>-4.7518263905967431E-3</v>
      </c>
      <c r="AA80" s="2">
        <v>-0.78876452892998183</v>
      </c>
      <c r="AB80" s="2">
        <v>-0.69291890576833415</v>
      </c>
      <c r="AD80" s="31">
        <v>2009.66666666694</v>
      </c>
      <c r="AE80" s="2">
        <v>0.96000461064826714</v>
      </c>
      <c r="AF80" s="2">
        <v>-0.68622224125583742</v>
      </c>
      <c r="AG80" s="2">
        <v>-1.4349342937657151E-2</v>
      </c>
      <c r="AH80" s="31"/>
      <c r="AI80" s="31">
        <v>2009.66666666694</v>
      </c>
      <c r="AJ80" s="2">
        <v>1.3101385393479126</v>
      </c>
      <c r="AK80" s="2">
        <v>-0.61478205611361436</v>
      </c>
      <c r="AL80" s="2">
        <v>1.6032677829146664</v>
      </c>
      <c r="AM80" s="31"/>
      <c r="AN80" s="2">
        <f t="shared" si="17"/>
        <v>0.75513044120186112</v>
      </c>
      <c r="AO80" s="2">
        <f t="shared" si="10"/>
        <v>-0.69658960876647791</v>
      </c>
      <c r="AP80" s="2">
        <f t="shared" si="11"/>
        <v>0.29866651140289174</v>
      </c>
      <c r="AQ80" s="31"/>
      <c r="AR80" s="31">
        <v>2009.66666666694</v>
      </c>
      <c r="AS80" s="2">
        <v>-0.14539225787151686</v>
      </c>
      <c r="AT80" s="2">
        <v>-0.32631334910519932</v>
      </c>
      <c r="AU80" s="2">
        <v>-0.39469878517536794</v>
      </c>
      <c r="AV80" s="31"/>
      <c r="AW80" s="31">
        <v>2009.66666666694</v>
      </c>
      <c r="AX80" s="2">
        <v>0.51098485805350213</v>
      </c>
      <c r="AY80" s="2">
        <v>-0.23837245449551037</v>
      </c>
      <c r="AZ80" s="2">
        <v>0.49578205729847924</v>
      </c>
      <c r="BA80" s="31"/>
      <c r="BB80" s="31">
        <v>2009.66666666694</v>
      </c>
      <c r="BC80" s="2">
        <v>0.89213070717540832</v>
      </c>
      <c r="BD80" s="2">
        <v>7.7097786990586777E-4</v>
      </c>
      <c r="BE80" s="2">
        <v>1.6714450385779078</v>
      </c>
      <c r="BG80" s="2">
        <f t="shared" si="18"/>
        <v>0.41924110245246454</v>
      </c>
      <c r="BH80" s="2">
        <f t="shared" si="12"/>
        <v>-0.1879716085769346</v>
      </c>
      <c r="BI80" s="2">
        <f t="shared" si="13"/>
        <v>0.59084277023367315</v>
      </c>
    </row>
    <row r="81" spans="1:61" x14ac:dyDescent="0.3">
      <c r="A81" s="31">
        <v>2009.58333333361</v>
      </c>
      <c r="B81">
        <v>0.66115375988050407</v>
      </c>
      <c r="C81">
        <v>4.5600000000000307E-2</v>
      </c>
      <c r="D81">
        <v>3.0148611450551189E-2</v>
      </c>
      <c r="F81" s="31">
        <v>2009.58333333361</v>
      </c>
      <c r="G81" s="2">
        <v>0.81115746253260124</v>
      </c>
      <c r="H81" s="2">
        <v>6.1499999999999902E-2</v>
      </c>
      <c r="I81" s="2">
        <v>4.9886183945754899E-2</v>
      </c>
      <c r="K81" s="31">
        <v>2009.58333333361</v>
      </c>
      <c r="L81" s="2">
        <v>0.93344534187103401</v>
      </c>
      <c r="M81" s="2">
        <v>6.1514999999999952E-2</v>
      </c>
      <c r="N81" s="2">
        <v>5.7422509986723214E-2</v>
      </c>
      <c r="P81" s="31">
        <v>2009.58333333361</v>
      </c>
      <c r="Q81" s="2">
        <v>0.83171443376922238</v>
      </c>
      <c r="R81" s="2">
        <v>7.1900000000000297E-2</v>
      </c>
      <c r="S81" s="2">
        <v>6.5614971819267898E-2</v>
      </c>
      <c r="U81" s="2">
        <f t="shared" si="14"/>
        <v>0.85877241272428595</v>
      </c>
      <c r="V81" s="2">
        <f t="shared" si="15"/>
        <v>6.4971666666666719E-2</v>
      </c>
      <c r="W81" s="2">
        <f t="shared" si="16"/>
        <v>5.7641221917248665E-2</v>
      </c>
      <c r="Y81" s="31">
        <v>2009.58333333361</v>
      </c>
      <c r="Z81" s="2">
        <v>0.44924317518710566</v>
      </c>
      <c r="AA81" s="2">
        <v>-0.78876452892998072</v>
      </c>
      <c r="AB81" s="2">
        <v>-0.5820936125952646</v>
      </c>
      <c r="AD81" s="31">
        <v>2009.58333333361</v>
      </c>
      <c r="AE81" s="2">
        <v>0.73898329755293346</v>
      </c>
      <c r="AF81" s="2">
        <v>-0.68622224125583742</v>
      </c>
      <c r="AG81" s="2">
        <v>-0.10127417091400186</v>
      </c>
      <c r="AH81" s="31"/>
      <c r="AI81" s="31">
        <v>2009.58333333361</v>
      </c>
      <c r="AJ81" s="2">
        <v>1.4195028634587934</v>
      </c>
      <c r="AK81" s="2">
        <v>-0.61478205611361436</v>
      </c>
      <c r="AL81" s="2">
        <v>1.6741506246683224</v>
      </c>
      <c r="AM81" s="31"/>
      <c r="AN81" s="2">
        <f t="shared" si="17"/>
        <v>0.86924311206627758</v>
      </c>
      <c r="AO81" s="2">
        <f t="shared" si="10"/>
        <v>-0.69658960876647757</v>
      </c>
      <c r="AP81" s="2">
        <f t="shared" si="11"/>
        <v>0.33026094705301862</v>
      </c>
      <c r="AQ81" s="31"/>
      <c r="AR81" s="31">
        <v>2009.58333333361</v>
      </c>
      <c r="AS81" s="2">
        <v>-3.5477410368394774E-2</v>
      </c>
      <c r="AT81" s="2">
        <v>-0.65870957567408284</v>
      </c>
      <c r="AU81" s="2">
        <v>-0.49198711825243197</v>
      </c>
      <c r="AV81" s="31"/>
      <c r="AW81" s="31">
        <v>2009.58333333361</v>
      </c>
      <c r="AX81" s="2">
        <v>0.5847515232738304</v>
      </c>
      <c r="AY81" s="2">
        <v>-0.53553372549108424</v>
      </c>
      <c r="AZ81" s="2">
        <v>0.32866884458786411</v>
      </c>
      <c r="BA81" s="31"/>
      <c r="BB81" s="31">
        <v>2009.58333333361</v>
      </c>
      <c r="BC81" s="2">
        <v>0.75913881441838182</v>
      </c>
      <c r="BD81" s="2">
        <v>-0.51613739712758211</v>
      </c>
      <c r="BE81" s="2">
        <v>0.84394872494109219</v>
      </c>
      <c r="BG81" s="2">
        <f t="shared" si="18"/>
        <v>0.43613764244127246</v>
      </c>
      <c r="BH81" s="2">
        <f t="shared" si="12"/>
        <v>-0.57012689943091643</v>
      </c>
      <c r="BI81" s="2">
        <f t="shared" si="13"/>
        <v>0.22687681709217475</v>
      </c>
    </row>
    <row r="82" spans="1:61" x14ac:dyDescent="0.3">
      <c r="A82" s="31">
        <v>2009.5000000002799</v>
      </c>
      <c r="B82">
        <v>0.67073545508832089</v>
      </c>
      <c r="C82">
        <v>4.5600000000000307E-2</v>
      </c>
      <c r="D82">
        <v>3.0585536752027638E-2</v>
      </c>
      <c r="F82" s="31">
        <v>2009.5000000002799</v>
      </c>
      <c r="G82" s="2">
        <v>0.85507141670264686</v>
      </c>
      <c r="H82" s="2">
        <v>6.1499999999999902E-2</v>
      </c>
      <c r="I82" s="2">
        <v>5.2586892127212695E-2</v>
      </c>
      <c r="K82" s="31">
        <v>2009.5000000002799</v>
      </c>
      <c r="L82" s="2">
        <v>0.87279123646586976</v>
      </c>
      <c r="M82" s="2">
        <v>6.1499999999999902E-2</v>
      </c>
      <c r="N82" s="2">
        <v>5.3676661042650904E-2</v>
      </c>
      <c r="P82" s="31">
        <v>2009.5000000002799</v>
      </c>
      <c r="Q82" s="2">
        <v>0.69679536505554396</v>
      </c>
      <c r="R82" s="2">
        <v>4.7900000000000303E-2</v>
      </c>
      <c r="S82" s="2">
        <v>3.9638996713667926E-2</v>
      </c>
      <c r="U82" s="2">
        <f t="shared" si="14"/>
        <v>0.80821933940802015</v>
      </c>
      <c r="V82" s="2">
        <f t="shared" si="15"/>
        <v>5.69666666666667E-2</v>
      </c>
      <c r="W82" s="2">
        <f t="shared" si="16"/>
        <v>4.8634183294510504E-2</v>
      </c>
      <c r="Y82" s="31">
        <v>2009.5000000002799</v>
      </c>
      <c r="Z82" s="2">
        <v>0.70385962739564445</v>
      </c>
      <c r="AA82" s="2">
        <v>-0.78876452892998072</v>
      </c>
      <c r="AB82" s="2">
        <v>-0.51993886889844809</v>
      </c>
      <c r="AD82" s="31">
        <v>2009.5000000002799</v>
      </c>
      <c r="AE82" s="2">
        <v>0.37804547462279009</v>
      </c>
      <c r="AF82" s="2">
        <v>-0.68658960551538373</v>
      </c>
      <c r="AG82" s="2">
        <v>-0.24370936691034512</v>
      </c>
      <c r="AH82" s="31"/>
      <c r="AI82" s="31">
        <v>2009.5000000002799</v>
      </c>
      <c r="AJ82" s="2">
        <v>1.0431782207592708</v>
      </c>
      <c r="AK82" s="2">
        <v>-1.186702766808877</v>
      </c>
      <c r="AL82" s="2">
        <v>-0.42517221315440784</v>
      </c>
      <c r="AM82" s="31"/>
      <c r="AN82" s="2">
        <f t="shared" si="17"/>
        <v>0.70836110759256854</v>
      </c>
      <c r="AO82" s="2">
        <f t="shared" si="10"/>
        <v>-0.88735230041808055</v>
      </c>
      <c r="AP82" s="2">
        <f t="shared" si="11"/>
        <v>-0.39627348298773368</v>
      </c>
      <c r="AQ82" s="31"/>
      <c r="AR82" s="31">
        <v>2009.5000000002799</v>
      </c>
      <c r="AS82" s="2">
        <v>4.8627245932930746E-2</v>
      </c>
      <c r="AT82" s="2">
        <v>-2.313009814913013E-2</v>
      </c>
      <c r="AU82" s="2">
        <v>1.9479125725267027E-2</v>
      </c>
      <c r="AV82" s="31"/>
      <c r="AW82" s="31">
        <v>2009.5000000002799</v>
      </c>
      <c r="AX82" s="2">
        <v>-6.0434762937222122E-2</v>
      </c>
      <c r="AY82" s="2">
        <v>-0.1083026392523672</v>
      </c>
      <c r="AZ82" s="2">
        <v>-6.0737989301305084E-2</v>
      </c>
      <c r="BA82" s="31"/>
      <c r="BB82" s="31">
        <v>2009.5000000002799</v>
      </c>
      <c r="BC82" s="2">
        <v>8.0873651327988155E-2</v>
      </c>
      <c r="BD82" s="2">
        <v>-0.38248368897839508</v>
      </c>
      <c r="BE82" s="2">
        <v>-0.16086523455143062</v>
      </c>
      <c r="BG82" s="2">
        <f t="shared" si="18"/>
        <v>2.3022044774565594E-2</v>
      </c>
      <c r="BH82" s="2">
        <f t="shared" si="12"/>
        <v>-0.17130547545996413</v>
      </c>
      <c r="BI82" s="2">
        <f t="shared" si="13"/>
        <v>-6.7374699375822897E-2</v>
      </c>
    </row>
    <row r="83" spans="1:61" x14ac:dyDescent="0.3">
      <c r="A83" s="31">
        <v>2009.4166666669501</v>
      </c>
      <c r="B83">
        <v>0.62641005686480333</v>
      </c>
      <c r="C83">
        <v>0.18240000000000123</v>
      </c>
      <c r="D83">
        <v>0.11425719437214089</v>
      </c>
      <c r="F83" s="31">
        <v>2009.4166666669501</v>
      </c>
      <c r="G83" s="2">
        <v>0.79320682378480789</v>
      </c>
      <c r="H83" s="2">
        <v>9.2249999999999749E-2</v>
      </c>
      <c r="I83" s="2">
        <v>6.9847570546663851E-2</v>
      </c>
      <c r="K83" s="31">
        <v>2009.4166666669501</v>
      </c>
      <c r="L83" s="2">
        <v>0.88982904095304749</v>
      </c>
      <c r="M83" s="2">
        <v>0.1230299999999999</v>
      </c>
      <c r="N83" s="2">
        <v>8.2025420699895574E-2</v>
      </c>
      <c r="P83" s="31">
        <v>2009.4166666669501</v>
      </c>
      <c r="Q83" s="2">
        <v>0.61225783774811005</v>
      </c>
      <c r="R83" s="2">
        <v>0.1198000000000006</v>
      </c>
      <c r="S83" s="2">
        <v>6.5390430901750021E-2</v>
      </c>
      <c r="U83" s="2">
        <f t="shared" si="14"/>
        <v>0.76509790082865514</v>
      </c>
      <c r="V83" s="2">
        <f t="shared" si="15"/>
        <v>0.11169333333333342</v>
      </c>
      <c r="W83" s="2">
        <f t="shared" si="16"/>
        <v>7.2421140716103158E-2</v>
      </c>
      <c r="Y83" s="31">
        <v>2009.4166666669501</v>
      </c>
      <c r="Z83" s="2">
        <v>0.34516400401654651</v>
      </c>
      <c r="AA83" s="2">
        <v>-0.1883013680744752</v>
      </c>
      <c r="AB83" s="2">
        <v>-0.12269748955954442</v>
      </c>
      <c r="AD83" s="31">
        <v>2009.4166666669501</v>
      </c>
      <c r="AE83" s="2">
        <v>0.47943330349327851</v>
      </c>
      <c r="AF83" s="2">
        <v>0.82033858713866403</v>
      </c>
      <c r="AG83" s="2">
        <v>0.83424684497125368</v>
      </c>
      <c r="AH83" s="31"/>
      <c r="AI83" s="31">
        <v>2009.4166666669501</v>
      </c>
      <c r="AJ83" s="2">
        <v>1.4481629234117503</v>
      </c>
      <c r="AK83" s="2">
        <v>0.52667636231568804</v>
      </c>
      <c r="AL83" s="2">
        <v>1.6560037072088378</v>
      </c>
      <c r="AM83" s="31"/>
      <c r="AN83" s="2">
        <f t="shared" si="17"/>
        <v>0.75758674364052514</v>
      </c>
      <c r="AO83" s="2">
        <f t="shared" si="10"/>
        <v>0.386237860459959</v>
      </c>
      <c r="AP83" s="2">
        <f t="shared" si="11"/>
        <v>0.78918435420684896</v>
      </c>
      <c r="AQ83" s="31"/>
      <c r="AR83" s="31">
        <v>2009.4166666669501</v>
      </c>
      <c r="AS83" s="2">
        <v>-0.25477271655951805</v>
      </c>
      <c r="AT83" s="2">
        <v>-1.691404405511389</v>
      </c>
      <c r="AU83" s="2">
        <v>-1.4662664234014027</v>
      </c>
      <c r="AV83" s="31"/>
      <c r="AW83" s="31">
        <v>2009.4166666669501</v>
      </c>
      <c r="AX83" s="2">
        <v>6.0215018854329137E-2</v>
      </c>
      <c r="AY83" s="2">
        <v>-0.38552664826294392</v>
      </c>
      <c r="AZ83" s="2">
        <v>-0.15878668735183354</v>
      </c>
      <c r="BA83" s="31"/>
      <c r="BB83" s="31">
        <v>2009.4166666669501</v>
      </c>
      <c r="BC83" s="2">
        <v>0.76724841206587324</v>
      </c>
      <c r="BD83" s="2">
        <v>-0.9122447108614179</v>
      </c>
      <c r="BE83" s="2">
        <v>0.83455520228895064</v>
      </c>
      <c r="BG83" s="2">
        <f t="shared" si="18"/>
        <v>0.19089690478689478</v>
      </c>
      <c r="BH83" s="2">
        <f t="shared" si="12"/>
        <v>-0.99639192154525025</v>
      </c>
      <c r="BI83" s="2">
        <f t="shared" si="13"/>
        <v>-0.26349930282142853</v>
      </c>
    </row>
    <row r="84" spans="1:61" x14ac:dyDescent="0.3">
      <c r="A84" s="31">
        <v>2009.33333333362</v>
      </c>
      <c r="B84">
        <v>0.53817536223733919</v>
      </c>
      <c r="C84">
        <v>0.18240000000000123</v>
      </c>
      <c r="D84">
        <v>9.8163186072091332E-2</v>
      </c>
      <c r="F84" s="31">
        <v>2009.33333333362</v>
      </c>
      <c r="G84" s="2">
        <v>0.72781111098497453</v>
      </c>
      <c r="H84" s="2">
        <v>9.2249999999999749E-2</v>
      </c>
      <c r="I84" s="2">
        <v>6.383915055265553E-2</v>
      </c>
      <c r="K84" s="31">
        <v>2009.33333333362</v>
      </c>
      <c r="L84" s="2">
        <v>0.77094179704849863</v>
      </c>
      <c r="M84" s="2">
        <v>9.2264999999999903E-2</v>
      </c>
      <c r="N84" s="2">
        <v>4.7425084369426621E-2</v>
      </c>
      <c r="P84" s="31">
        <v>2009.33333333362</v>
      </c>
      <c r="Q84" s="2">
        <v>0.68808279732110089</v>
      </c>
      <c r="R84" s="2">
        <v>0.1198000000000006</v>
      </c>
      <c r="S84" s="2">
        <v>6.0525601945897636E-2</v>
      </c>
      <c r="U84" s="2">
        <f t="shared" si="14"/>
        <v>0.72894523511819143</v>
      </c>
      <c r="V84" s="2">
        <f t="shared" si="15"/>
        <v>0.10143833333333341</v>
      </c>
      <c r="W84" s="2">
        <f t="shared" si="16"/>
        <v>5.7263278955993258E-2</v>
      </c>
      <c r="Y84" s="31">
        <v>2009.33333333362</v>
      </c>
      <c r="Z84" s="2">
        <v>-3.4005321484546332E-2</v>
      </c>
      <c r="AA84" s="2">
        <v>-0.1883013680744752</v>
      </c>
      <c r="AB84" s="2">
        <v>-0.26097670362436487</v>
      </c>
      <c r="AD84" s="31">
        <v>2009.33333333362</v>
      </c>
      <c r="AE84" s="2">
        <v>-0.22803575737954526</v>
      </c>
      <c r="AF84" s="2">
        <v>6.6874490811640125E-2</v>
      </c>
      <c r="AG84" s="2">
        <v>-0.48142438479593536</v>
      </c>
      <c r="AH84" s="31"/>
      <c r="AI84" s="31">
        <v>2009.33333333362</v>
      </c>
      <c r="AJ84" s="2">
        <v>0.9850433067101857</v>
      </c>
      <c r="AK84" s="2">
        <v>0.52667636231568804</v>
      </c>
      <c r="AL84" s="2">
        <v>1.2628386195613484</v>
      </c>
      <c r="AM84" s="31"/>
      <c r="AN84" s="2">
        <f t="shared" si="17"/>
        <v>0.24100074261536467</v>
      </c>
      <c r="AO84" s="2">
        <f t="shared" si="10"/>
        <v>0.13508316168428433</v>
      </c>
      <c r="AP84" s="2">
        <f t="shared" si="11"/>
        <v>0.17347917704701601</v>
      </c>
      <c r="AQ84" s="31"/>
      <c r="AR84" s="31">
        <v>2009.33333333362</v>
      </c>
      <c r="AS84" s="2">
        <v>-0.17980641766636263</v>
      </c>
      <c r="AT84" s="2">
        <v>-1.2318355951367148</v>
      </c>
      <c r="AU84" s="2">
        <v>-1.2174372218608422</v>
      </c>
      <c r="AV84" s="31"/>
      <c r="AW84" s="31">
        <v>2009.33333333362</v>
      </c>
      <c r="AX84" s="2">
        <v>-0.36597325550827037</v>
      </c>
      <c r="AY84" s="2">
        <v>-0.6035549277918324</v>
      </c>
      <c r="AZ84" s="2">
        <v>-0.70804181434895797</v>
      </c>
      <c r="BA84" s="31"/>
      <c r="BB84" s="31">
        <v>2009.33333333362</v>
      </c>
      <c r="BC84" s="2">
        <v>0.85313280058437357</v>
      </c>
      <c r="BD84" s="2">
        <v>-0.1780601750249331</v>
      </c>
      <c r="BE84" s="2">
        <v>0.98702613457326294</v>
      </c>
      <c r="BG84" s="2">
        <f t="shared" si="18"/>
        <v>0.10245104246991353</v>
      </c>
      <c r="BH84" s="2">
        <f t="shared" si="12"/>
        <v>-0.67115023265116014</v>
      </c>
      <c r="BI84" s="2">
        <f t="shared" si="13"/>
        <v>-0.31281763387884576</v>
      </c>
    </row>
    <row r="85" spans="1:61" x14ac:dyDescent="0.3">
      <c r="A85" s="31">
        <v>2009.2500000002899</v>
      </c>
      <c r="B85">
        <v>0.56368505159483107</v>
      </c>
      <c r="C85">
        <v>0.16720000000000113</v>
      </c>
      <c r="D85">
        <v>9.4248140626656388E-2</v>
      </c>
      <c r="F85" s="31">
        <v>2009.2500000002899</v>
      </c>
      <c r="G85" s="2">
        <v>0.64794603098619508</v>
      </c>
      <c r="H85" s="2">
        <v>9.2249999999999749E-2</v>
      </c>
      <c r="I85" s="2">
        <v>5.7136687654371215E-2</v>
      </c>
      <c r="K85" s="31">
        <v>2009.2500000002899</v>
      </c>
      <c r="L85" s="2">
        <v>0.70483185645328783</v>
      </c>
      <c r="M85" s="2">
        <v>9.2264999999999903E-2</v>
      </c>
      <c r="N85" s="2">
        <v>4.335917806592901E-2</v>
      </c>
      <c r="P85" s="31">
        <v>2009.2500000002899</v>
      </c>
      <c r="Q85" s="2">
        <v>0.52033571945787005</v>
      </c>
      <c r="R85" s="2">
        <v>0.1198000000000006</v>
      </c>
      <c r="S85" s="2">
        <v>5.3672755074383467E-2</v>
      </c>
      <c r="U85" s="2">
        <f t="shared" si="14"/>
        <v>0.62437120229911758</v>
      </c>
      <c r="V85" s="2">
        <f t="shared" si="15"/>
        <v>0.10143833333333341</v>
      </c>
      <c r="W85" s="2">
        <f t="shared" si="16"/>
        <v>5.1389540264894562E-2</v>
      </c>
      <c r="Y85" s="31">
        <v>2009.2500000002899</v>
      </c>
      <c r="Z85" s="2">
        <v>-0.49706914046787865</v>
      </c>
      <c r="AA85" s="2">
        <v>-0.1883013680744752</v>
      </c>
      <c r="AB85" s="2">
        <v>-0.41522878700029442</v>
      </c>
      <c r="AD85" s="31">
        <v>2009.2500000002899</v>
      </c>
      <c r="AE85" s="2">
        <v>-0.62143992801372061</v>
      </c>
      <c r="AF85" s="2">
        <v>6.6874490811640125E-2</v>
      </c>
      <c r="AG85" s="2">
        <v>-0.63602970121103053</v>
      </c>
      <c r="AH85" s="31"/>
      <c r="AI85" s="31">
        <v>2009.2500000002899</v>
      </c>
      <c r="AJ85" s="2">
        <v>0.26331188933075572</v>
      </c>
      <c r="AK85" s="2">
        <v>0.52667636231568804</v>
      </c>
      <c r="AL85" s="2">
        <v>0.70900616926883564</v>
      </c>
      <c r="AM85" s="31"/>
      <c r="AN85" s="2">
        <f t="shared" si="17"/>
        <v>-0.28506572638361449</v>
      </c>
      <c r="AO85" s="2">
        <f t="shared" si="10"/>
        <v>0.13508316168428433</v>
      </c>
      <c r="AP85" s="2">
        <f t="shared" si="11"/>
        <v>-0.1140841063141631</v>
      </c>
      <c r="AQ85" s="31"/>
      <c r="AR85" s="31">
        <v>2009.2500000002899</v>
      </c>
      <c r="AS85" s="2">
        <v>-0.42081837984859616</v>
      </c>
      <c r="AT85" s="2">
        <v>-1.4277403812081235</v>
      </c>
      <c r="AU85" s="2">
        <v>-1.3598746928248986</v>
      </c>
      <c r="AV85" s="31"/>
      <c r="AW85" s="31">
        <v>2009.2500000002899</v>
      </c>
      <c r="AX85" s="2">
        <v>-0.57566763402538412</v>
      </c>
      <c r="AY85" s="2">
        <v>-0.8205967459488962</v>
      </c>
      <c r="AZ85" s="2">
        <v>-0.90008630925656141</v>
      </c>
      <c r="BA85" s="31"/>
      <c r="BB85" s="31">
        <v>2009.2500000002899</v>
      </c>
      <c r="BC85" s="2">
        <v>0.59648642995605838</v>
      </c>
      <c r="BD85" s="2">
        <v>-0.51128572186882904</v>
      </c>
      <c r="BE85" s="2">
        <v>0.86632980682722283</v>
      </c>
      <c r="BG85" s="2">
        <f t="shared" si="18"/>
        <v>-0.13333319463930729</v>
      </c>
      <c r="BH85" s="2">
        <f t="shared" si="12"/>
        <v>-0.91987428300861629</v>
      </c>
      <c r="BI85" s="2">
        <f t="shared" si="13"/>
        <v>-0.46454373175141245</v>
      </c>
    </row>
    <row r="86" spans="1:61" x14ac:dyDescent="0.3">
      <c r="A86" s="31">
        <v>2009.1666666669601</v>
      </c>
      <c r="B86">
        <v>0.49126252747351989</v>
      </c>
      <c r="C86">
        <v>0.18240000000000123</v>
      </c>
      <c r="D86">
        <v>8.9606285011170628E-2</v>
      </c>
      <c r="F86" s="31">
        <v>2009.1666666669601</v>
      </c>
      <c r="G86" s="2">
        <v>0.58683395094604429</v>
      </c>
      <c r="H86" s="2">
        <v>9.2249999999999749E-2</v>
      </c>
      <c r="I86" s="2">
        <v>5.2364432956965919E-2</v>
      </c>
      <c r="K86" s="31">
        <v>2009.1666666669601</v>
      </c>
      <c r="L86" s="2">
        <v>0.69543781667131055</v>
      </c>
      <c r="M86" s="2">
        <v>9.2264999999999903E-2</v>
      </c>
      <c r="N86" s="2">
        <v>4.2781303103681931E-2</v>
      </c>
      <c r="P86" s="31">
        <v>2009.1666666669601</v>
      </c>
      <c r="Q86" s="2">
        <v>0.49957819901788658</v>
      </c>
      <c r="R86" s="2">
        <v>0.14370000000000091</v>
      </c>
      <c r="S86" s="2">
        <v>2.4592652552340399E-2</v>
      </c>
      <c r="U86" s="2">
        <f t="shared" si="14"/>
        <v>0.59394998887841377</v>
      </c>
      <c r="V86" s="2">
        <f t="shared" si="15"/>
        <v>0.1094050000000002</v>
      </c>
      <c r="W86" s="2">
        <f t="shared" si="16"/>
        <v>3.9912796204329415E-2</v>
      </c>
      <c r="Y86" s="31">
        <v>2009.1666666669601</v>
      </c>
      <c r="Z86" s="2">
        <v>-0.85140163684601766</v>
      </c>
      <c r="AA86" s="2">
        <v>-0.1883013680744752</v>
      </c>
      <c r="AB86" s="2">
        <v>-0.5250585974217391</v>
      </c>
      <c r="AD86" s="31">
        <v>2009.1666666669601</v>
      </c>
      <c r="AE86" s="2">
        <v>-0.67734157300175046</v>
      </c>
      <c r="AF86" s="2">
        <v>6.6874490811640125E-2</v>
      </c>
      <c r="AG86" s="2">
        <v>-0.65800328710249978</v>
      </c>
      <c r="AH86" s="31"/>
      <c r="AI86" s="31">
        <v>2009.1666666669601</v>
      </c>
      <c r="AJ86" s="2">
        <v>-1.004985767120643</v>
      </c>
      <c r="AK86" s="2">
        <v>1.0962140700497278</v>
      </c>
      <c r="AL86" s="2">
        <v>-1.6411856176639437</v>
      </c>
      <c r="AM86" s="31"/>
      <c r="AN86" s="2">
        <f t="shared" si="17"/>
        <v>-0.84457632565613705</v>
      </c>
      <c r="AO86" s="2">
        <f t="shared" si="10"/>
        <v>0.32492906426229756</v>
      </c>
      <c r="AP86" s="2">
        <f t="shared" si="11"/>
        <v>-0.94141583406272755</v>
      </c>
      <c r="AQ86" s="31"/>
      <c r="AR86" s="31">
        <v>2009.1666666669601</v>
      </c>
      <c r="AS86" s="2">
        <v>-0.54219105072974427</v>
      </c>
      <c r="AT86" s="2">
        <v>-1.1019061349826649</v>
      </c>
      <c r="AU86" s="2">
        <v>-1.1799057494940721</v>
      </c>
      <c r="AV86" s="31"/>
      <c r="AW86" s="31">
        <v>2009.1666666669601</v>
      </c>
      <c r="AX86" s="2">
        <v>-0.48441166402975255</v>
      </c>
      <c r="AY86" s="2">
        <v>-0.48231704140909132</v>
      </c>
      <c r="AZ86" s="2">
        <v>-0.68600647923278224</v>
      </c>
      <c r="BA86" s="31"/>
      <c r="BB86" s="31">
        <v>2009.1666666669601</v>
      </c>
      <c r="BC86" s="2">
        <v>-0.47078816691139913</v>
      </c>
      <c r="BD86" s="2">
        <v>0.96431160441040453</v>
      </c>
      <c r="BE86" s="2">
        <v>-1.3814576060872257</v>
      </c>
      <c r="BG86" s="2">
        <f t="shared" si="18"/>
        <v>-0.49913029389029867</v>
      </c>
      <c r="BH86" s="2">
        <f t="shared" si="12"/>
        <v>-0.20663719066045058</v>
      </c>
      <c r="BI86" s="2">
        <f t="shared" si="13"/>
        <v>-1.0824566116046934</v>
      </c>
    </row>
    <row r="87" spans="1:61" x14ac:dyDescent="0.3">
      <c r="A87" s="31">
        <v>2009.08333333363</v>
      </c>
      <c r="B87">
        <v>0.44922307321962862</v>
      </c>
      <c r="C87">
        <v>6.0800000000000409E-2</v>
      </c>
      <c r="D87">
        <v>2.7312762851753603E-2</v>
      </c>
      <c r="F87" s="31">
        <v>2009.08333333363</v>
      </c>
      <c r="G87" s="2">
        <v>0.53809666674634282</v>
      </c>
      <c r="H87" s="2">
        <v>0.12299999999999969</v>
      </c>
      <c r="I87" s="2">
        <v>6.6185890009800019E-2</v>
      </c>
      <c r="K87" s="31">
        <v>2009.08333333363</v>
      </c>
      <c r="L87" s="2">
        <v>0.69051152536766014</v>
      </c>
      <c r="M87" s="2">
        <v>6.1514999999999952E-2</v>
      </c>
      <c r="N87" s="2">
        <v>4.2478192936901998E-2</v>
      </c>
      <c r="P87" s="31">
        <v>2009.08333333363</v>
      </c>
      <c r="Q87" s="2">
        <v>0.66191599800023759</v>
      </c>
      <c r="R87" s="2">
        <v>9.5850000000000463E-2</v>
      </c>
      <c r="S87" s="2">
        <v>5.0207100072142324E-2</v>
      </c>
      <c r="U87" s="2">
        <f t="shared" si="14"/>
        <v>0.63017473003808011</v>
      </c>
      <c r="V87" s="2">
        <f t="shared" si="15"/>
        <v>9.3455000000000024E-2</v>
      </c>
      <c r="W87" s="2">
        <f t="shared" si="16"/>
        <v>5.2957061006281447E-2</v>
      </c>
      <c r="Y87" s="31">
        <v>2009.08333333363</v>
      </c>
      <c r="Z87" s="2">
        <v>-1.1339841240699042</v>
      </c>
      <c r="AA87" s="2">
        <v>0.41216179278103221</v>
      </c>
      <c r="AB87" s="2">
        <v>-0.20696828076570242</v>
      </c>
      <c r="AD87" s="31">
        <v>2009.08333333363</v>
      </c>
      <c r="AE87" s="2">
        <v>-0.70665673388627459</v>
      </c>
      <c r="AF87" s="2">
        <v>-0.68622224125583742</v>
      </c>
      <c r="AG87" s="2">
        <v>-0.66952899373359742</v>
      </c>
      <c r="AH87" s="31"/>
      <c r="AI87" s="31">
        <v>2009.08333333363</v>
      </c>
      <c r="AJ87" s="2">
        <v>-0.12204433220001611</v>
      </c>
      <c r="AK87" s="2">
        <v>-4.4052846898962821E-2</v>
      </c>
      <c r="AL87" s="2">
        <v>0.42891933269610816</v>
      </c>
      <c r="AM87" s="31"/>
      <c r="AN87" s="2">
        <f t="shared" si="17"/>
        <v>-0.65422839671873156</v>
      </c>
      <c r="AO87" s="2">
        <f t="shared" si="10"/>
        <v>-0.10603776512458934</v>
      </c>
      <c r="AP87" s="2">
        <f t="shared" si="11"/>
        <v>-0.14919264726773054</v>
      </c>
      <c r="AQ87" s="31"/>
      <c r="AR87" s="31">
        <v>2009.08333333363</v>
      </c>
      <c r="AS87" s="2">
        <v>-0.81202235267487233</v>
      </c>
      <c r="AT87" s="2">
        <v>1.9496224470835801</v>
      </c>
      <c r="AU87" s="2">
        <v>0.85567378044261511</v>
      </c>
      <c r="AV87" s="31"/>
      <c r="AW87" s="31">
        <v>2009.08333333363</v>
      </c>
      <c r="AX87" s="2">
        <v>-0.42997288564866409</v>
      </c>
      <c r="AY87" s="2">
        <v>-0.87038484719517628</v>
      </c>
      <c r="AZ87" s="2">
        <v>-0.80901090869509606</v>
      </c>
      <c r="BA87" s="31"/>
      <c r="BB87" s="31">
        <v>2009.08333333363</v>
      </c>
      <c r="BC87" s="2">
        <v>0.61818529958860002</v>
      </c>
      <c r="BD87" s="2">
        <v>-1.4615836317459097E-2</v>
      </c>
      <c r="BE87" s="2">
        <v>0.95889706608447822</v>
      </c>
      <c r="BG87" s="2">
        <f t="shared" si="18"/>
        <v>-0.20793664624497879</v>
      </c>
      <c r="BH87" s="2">
        <f t="shared" si="12"/>
        <v>0.35487392119031491</v>
      </c>
      <c r="BI87" s="2">
        <f t="shared" si="13"/>
        <v>0.33518664594399911</v>
      </c>
    </row>
    <row r="88" spans="1:61" x14ac:dyDescent="0.3">
      <c r="A88" s="31">
        <v>2009.0000000002999</v>
      </c>
      <c r="B88">
        <v>0.48679272809847624</v>
      </c>
      <c r="C88">
        <v>6.0800000000000409E-2</v>
      </c>
      <c r="D88">
        <v>2.9596997868387553E-2</v>
      </c>
      <c r="F88" s="31">
        <v>2009.0000000002999</v>
      </c>
      <c r="G88" s="2">
        <v>0.57318981301310912</v>
      </c>
      <c r="H88" s="2">
        <v>9.2249999999999804E-2</v>
      </c>
      <c r="I88" s="2">
        <v>5.4419144425708457E-2</v>
      </c>
      <c r="K88" s="31">
        <v>2009.0000000002999</v>
      </c>
      <c r="L88" s="2">
        <v>0.74996706614208763</v>
      </c>
      <c r="M88" s="2">
        <v>6.1530000000000001E-2</v>
      </c>
      <c r="N88" s="2">
        <v>4.6145473579722651E-2</v>
      </c>
      <c r="P88" s="31">
        <v>2009.0000000002999</v>
      </c>
      <c r="Q88" s="2">
        <v>0.7465751172709667</v>
      </c>
      <c r="R88" s="2">
        <v>9.5850000000000463E-2</v>
      </c>
      <c r="S88" s="2">
        <v>5.2187004592969113E-2</v>
      </c>
      <c r="U88" s="2">
        <f t="shared" si="14"/>
        <v>0.68991066547538782</v>
      </c>
      <c r="V88" s="2">
        <f t="shared" si="15"/>
        <v>8.3210000000000089E-2</v>
      </c>
      <c r="W88" s="2">
        <f t="shared" si="16"/>
        <v>5.0917207532800074E-2</v>
      </c>
      <c r="Y88" s="31">
        <v>2009.0000000002999</v>
      </c>
      <c r="Z88" s="2">
        <v>-0.93051138816733192</v>
      </c>
      <c r="AA88" s="2">
        <v>-0.18830136807447412</v>
      </c>
      <c r="AB88" s="2">
        <v>-0.47777097649793165</v>
      </c>
      <c r="AD88" s="31">
        <v>2009.0000000002999</v>
      </c>
      <c r="AE88" s="2">
        <v>-0.35285127743931355</v>
      </c>
      <c r="AF88" s="2">
        <v>-0.68585487699629111</v>
      </c>
      <c r="AG88" s="2">
        <v>-0.53008134249812566</v>
      </c>
      <c r="AH88" s="31"/>
      <c r="AI88" s="31">
        <v>2009.0000000002999</v>
      </c>
      <c r="AJ88" s="2">
        <v>4.8602197221176383E-2</v>
      </c>
      <c r="AK88" s="2">
        <v>-4.4052846898962821E-2</v>
      </c>
      <c r="AL88" s="2">
        <v>0.58893098809625855</v>
      </c>
      <c r="AM88" s="31"/>
      <c r="AN88" s="2">
        <f t="shared" si="17"/>
        <v>-0.4115868227951564</v>
      </c>
      <c r="AO88" s="2">
        <f t="shared" si="10"/>
        <v>-0.30606969732324268</v>
      </c>
      <c r="AP88" s="2">
        <f t="shared" si="11"/>
        <v>-0.13964044363326625</v>
      </c>
      <c r="AQ88" s="31"/>
      <c r="AR88" s="31">
        <v>2009.0000000002999</v>
      </c>
      <c r="AS88" s="2">
        <v>-0.37815066163711708</v>
      </c>
      <c r="AT88" s="2">
        <v>1.1022754559566796</v>
      </c>
      <c r="AU88" s="2">
        <v>0.64985877358651112</v>
      </c>
      <c r="AV88" s="31"/>
      <c r="AW88" s="31">
        <v>2009.0000000002999</v>
      </c>
      <c r="AX88" s="2">
        <v>-2.9020047047854703E-2</v>
      </c>
      <c r="AY88" s="2">
        <v>-0.21897704373559218</v>
      </c>
      <c r="AZ88" s="2">
        <v>-9.37343066216169E-2</v>
      </c>
      <c r="BA88" s="31"/>
      <c r="BB88" s="31">
        <v>2009.0000000002999</v>
      </c>
      <c r="BC88" s="2">
        <v>0.51267668214723761</v>
      </c>
      <c r="BD88" s="2">
        <v>0.75540652012817533</v>
      </c>
      <c r="BE88" s="2">
        <v>1.1807577283419619</v>
      </c>
      <c r="BG88" s="2">
        <f t="shared" si="18"/>
        <v>3.5168657820755268E-2</v>
      </c>
      <c r="BH88" s="2">
        <f t="shared" si="12"/>
        <v>0.54623497744975424</v>
      </c>
      <c r="BI88" s="2">
        <f t="shared" si="13"/>
        <v>0.57896073176895202</v>
      </c>
    </row>
    <row r="89" spans="1:61" x14ac:dyDescent="0.3">
      <c r="A89" s="31">
        <v>2008.9166666669701</v>
      </c>
      <c r="B89">
        <v>0.55372221235075436</v>
      </c>
      <c r="C89">
        <v>7.6000000000000512E-2</v>
      </c>
      <c r="D89">
        <v>4.2082888138657612E-2</v>
      </c>
      <c r="F89" s="31">
        <v>2008.9166666669701</v>
      </c>
      <c r="G89" s="2">
        <v>0.61243262179227698</v>
      </c>
      <c r="H89" s="2">
        <v>9.2249999999999749E-2</v>
      </c>
      <c r="I89" s="2">
        <v>5.4322277738331454E-2</v>
      </c>
      <c r="K89" s="31">
        <v>2008.9166666669701</v>
      </c>
      <c r="L89" s="2">
        <v>0.62391022869906609</v>
      </c>
      <c r="M89" s="2">
        <v>6.1499999999999902E-2</v>
      </c>
      <c r="N89" s="2">
        <v>3.8370479064992503E-2</v>
      </c>
      <c r="P89" s="31">
        <v>2008.9166666669701</v>
      </c>
      <c r="Q89" s="2">
        <v>0.81277013149404909</v>
      </c>
      <c r="R89" s="2">
        <v>9.5850000000000463E-2</v>
      </c>
      <c r="S89" s="2">
        <v>5.583722679307325E-2</v>
      </c>
      <c r="U89" s="2">
        <f t="shared" si="14"/>
        <v>0.68303766066179739</v>
      </c>
      <c r="V89" s="2">
        <f t="shared" si="15"/>
        <v>8.3200000000000038E-2</v>
      </c>
      <c r="W89" s="2">
        <f t="shared" si="16"/>
        <v>4.9509994532132402E-2</v>
      </c>
      <c r="Y89" s="31">
        <v>2008.9166666669701</v>
      </c>
      <c r="Z89" s="2">
        <v>-0.70297859284311981</v>
      </c>
      <c r="AA89" s="2">
        <v>-0.1883013680744752</v>
      </c>
      <c r="AB89" s="2">
        <v>-0.48000028959736746</v>
      </c>
      <c r="AD89" s="31">
        <v>2008.9166666669701</v>
      </c>
      <c r="AE89" s="2">
        <v>-1.1029848449565633</v>
      </c>
      <c r="AF89" s="2">
        <v>-0.68658960551538373</v>
      </c>
      <c r="AG89" s="2">
        <v>-0.82572403501207792</v>
      </c>
      <c r="AH89" s="31"/>
      <c r="AI89" s="31">
        <v>2008.9166666669701</v>
      </c>
      <c r="AJ89" s="2">
        <v>0.35082326192846275</v>
      </c>
      <c r="AK89" s="2">
        <v>-4.4052846898962821E-2</v>
      </c>
      <c r="AL89" s="2">
        <v>0.88393415146755905</v>
      </c>
      <c r="AM89" s="31"/>
      <c r="AN89" s="2">
        <f t="shared" si="17"/>
        <v>-0.48504672529040677</v>
      </c>
      <c r="AO89" s="2">
        <f t="shared" si="10"/>
        <v>-0.30631460682960726</v>
      </c>
      <c r="AP89" s="2">
        <f t="shared" si="11"/>
        <v>-0.14059672438062878</v>
      </c>
      <c r="AQ89" s="31"/>
      <c r="AR89" s="31">
        <v>2008.9166666669701</v>
      </c>
      <c r="AS89" s="2">
        <v>-0.4381376667045232</v>
      </c>
      <c r="AT89" s="2">
        <v>0.68444756444045063</v>
      </c>
      <c r="AU89" s="2">
        <v>8.646072789755789E-2</v>
      </c>
      <c r="AV89" s="31"/>
      <c r="AW89" s="31">
        <v>2008.9166666669701</v>
      </c>
      <c r="AX89" s="2">
        <v>-0.79911727654218545</v>
      </c>
      <c r="AY89" s="2">
        <v>-0.51828077835128905</v>
      </c>
      <c r="AZ89" s="2">
        <v>-0.88005759441191522</v>
      </c>
      <c r="BA89" s="31"/>
      <c r="BB89" s="31">
        <v>2008.9166666669701</v>
      </c>
      <c r="BC89" s="2">
        <v>0.92659065316282119</v>
      </c>
      <c r="BD89" s="2">
        <v>0.88737234882057547</v>
      </c>
      <c r="BE89" s="2">
        <v>1.4129986906493464</v>
      </c>
      <c r="BG89" s="2">
        <f t="shared" si="18"/>
        <v>-0.10355476336129582</v>
      </c>
      <c r="BH89" s="2">
        <f t="shared" si="12"/>
        <v>0.35117971163657896</v>
      </c>
      <c r="BI89" s="2">
        <f t="shared" si="13"/>
        <v>0.20646727471166301</v>
      </c>
    </row>
    <row r="90" spans="1:61" x14ac:dyDescent="0.3">
      <c r="A90" s="31">
        <v>2008.83333333364</v>
      </c>
      <c r="B90">
        <v>0.58609929516484893</v>
      </c>
      <c r="C90">
        <v>6.0800000000000409E-2</v>
      </c>
      <c r="D90">
        <v>3.5634837146023057E-2</v>
      </c>
      <c r="F90" s="31">
        <v>2008.83333333364</v>
      </c>
      <c r="G90" s="2">
        <v>0.64061352345127043</v>
      </c>
      <c r="H90" s="2">
        <v>9.2249999999999804E-2</v>
      </c>
      <c r="I90" s="2">
        <v>6.087721405647737E-2</v>
      </c>
      <c r="K90" s="31">
        <v>2008.83333333364</v>
      </c>
      <c r="L90" s="2">
        <v>0.71196538507015461</v>
      </c>
      <c r="M90" s="2">
        <v>6.1530000000000001E-2</v>
      </c>
      <c r="N90" s="2">
        <v>4.3807230143366613E-2</v>
      </c>
      <c r="P90" s="31">
        <v>2008.83333333364</v>
      </c>
      <c r="Q90" s="2">
        <v>0.8779637144933139</v>
      </c>
      <c r="R90" s="2">
        <v>9.5850000000000463E-2</v>
      </c>
      <c r="S90" s="2">
        <v>5.9679723621423812E-2</v>
      </c>
      <c r="U90" s="2">
        <f t="shared" si="14"/>
        <v>0.74351420767157972</v>
      </c>
      <c r="V90" s="2">
        <f t="shared" si="15"/>
        <v>8.3210000000000089E-2</v>
      </c>
      <c r="W90" s="2">
        <f t="shared" si="16"/>
        <v>5.4788055940422596E-2</v>
      </c>
      <c r="Y90" s="31">
        <v>2008.83333333364</v>
      </c>
      <c r="Z90" s="2">
        <v>-0.53958357784023414</v>
      </c>
      <c r="AA90" s="2">
        <v>-0.18830136807447412</v>
      </c>
      <c r="AB90" s="2">
        <v>-0.32914341820321535</v>
      </c>
      <c r="AD90" s="31">
        <v>2008.83333333364</v>
      </c>
      <c r="AE90" s="2">
        <v>-0.57899003494246692</v>
      </c>
      <c r="AF90" s="2">
        <v>-0.68585487699629111</v>
      </c>
      <c r="AG90" s="2">
        <v>-0.61899260590386818</v>
      </c>
      <c r="AH90" s="31"/>
      <c r="AI90" s="31">
        <v>2008.83333333364</v>
      </c>
      <c r="AJ90" s="2">
        <v>0.67974455835330927</v>
      </c>
      <c r="AK90" s="2">
        <v>-4.4052846898962821E-2</v>
      </c>
      <c r="AL90" s="2">
        <v>1.1944765397022443</v>
      </c>
      <c r="AM90" s="31"/>
      <c r="AN90" s="2">
        <f t="shared" si="17"/>
        <v>-0.14627635147646392</v>
      </c>
      <c r="AO90" s="2">
        <f t="shared" si="10"/>
        <v>-0.30606969732324268</v>
      </c>
      <c r="AP90" s="2">
        <f t="shared" si="11"/>
        <v>8.2113505198386935E-2</v>
      </c>
      <c r="AQ90" s="31"/>
      <c r="AR90" s="31">
        <v>2008.83333333364</v>
      </c>
      <c r="AS90" s="2">
        <v>-0.24084750481612863</v>
      </c>
      <c r="AT90" s="2">
        <v>1.0321667531313465</v>
      </c>
      <c r="AU90" s="2">
        <v>0.71790132760503877</v>
      </c>
      <c r="AV90" s="31"/>
      <c r="AW90" s="31">
        <v>2008.83333333364</v>
      </c>
      <c r="AX90" s="2">
        <v>-0.23523113195056486</v>
      </c>
      <c r="AY90" s="2">
        <v>-0.19067841091384152</v>
      </c>
      <c r="AZ90" s="2">
        <v>-0.26875992903597673</v>
      </c>
      <c r="BA90" s="31"/>
      <c r="BB90" s="31">
        <v>2008.83333333364</v>
      </c>
      <c r="BC90" s="2">
        <v>0.53081586004028936</v>
      </c>
      <c r="BD90" s="2">
        <v>0.77674476466510867</v>
      </c>
      <c r="BE90" s="2">
        <v>1.0331113640863663</v>
      </c>
      <c r="BG90" s="2">
        <f t="shared" si="18"/>
        <v>1.8245741091198614E-2</v>
      </c>
      <c r="BH90" s="2">
        <f t="shared" si="12"/>
        <v>0.53941103562753789</v>
      </c>
      <c r="BI90" s="2">
        <f t="shared" si="13"/>
        <v>0.49408425421847607</v>
      </c>
    </row>
    <row r="91" spans="1:61" x14ac:dyDescent="0.3">
      <c r="A91" s="31">
        <v>2008.7500000003099</v>
      </c>
      <c r="B91">
        <v>0.61311262740731487</v>
      </c>
      <c r="C91">
        <v>6.0800000000000409E-2</v>
      </c>
      <c r="D91">
        <v>3.7277247746364997E-2</v>
      </c>
      <c r="F91" s="31">
        <v>2008.7500000003099</v>
      </c>
      <c r="G91" s="2">
        <v>0.67914105013295911</v>
      </c>
      <c r="H91" s="2">
        <v>0.12299999999999969</v>
      </c>
      <c r="I91" s="2">
        <v>8.3534349166353772E-2</v>
      </c>
      <c r="K91" s="31">
        <v>2008.7500000003099</v>
      </c>
      <c r="L91" s="2">
        <v>0.66812083351921481</v>
      </c>
      <c r="M91" s="2">
        <v>6.1514999999999952E-2</v>
      </c>
      <c r="N91" s="2">
        <v>4.1099569600815289E-2</v>
      </c>
      <c r="P91" s="31">
        <v>2008.7500000003099</v>
      </c>
      <c r="Q91" s="2">
        <v>0.92002478270800847</v>
      </c>
      <c r="R91" s="2">
        <v>9.5850000000000463E-2</v>
      </c>
      <c r="S91" s="2">
        <v>6.2075366268394952E-2</v>
      </c>
      <c r="U91" s="2">
        <f t="shared" si="14"/>
        <v>0.75576222212006083</v>
      </c>
      <c r="V91" s="2">
        <f t="shared" si="15"/>
        <v>9.3455000000000024E-2</v>
      </c>
      <c r="W91" s="2">
        <f t="shared" si="16"/>
        <v>6.2236428345188E-2</v>
      </c>
      <c r="Y91" s="31">
        <v>2008.7500000003099</v>
      </c>
      <c r="Z91" s="2">
        <v>-0.31619804261660889</v>
      </c>
      <c r="AA91" s="2">
        <v>0.41216179278103221</v>
      </c>
      <c r="AB91" s="2">
        <v>0.1922933054410105</v>
      </c>
      <c r="AD91" s="31">
        <v>2008.7500000003099</v>
      </c>
      <c r="AE91" s="2">
        <v>-0.83989829298096164</v>
      </c>
      <c r="AF91" s="2">
        <v>-0.68622224125583742</v>
      </c>
      <c r="AG91" s="2">
        <v>-0.7219508847421453</v>
      </c>
      <c r="AH91" s="31"/>
      <c r="AI91" s="31">
        <v>2008.7500000003099</v>
      </c>
      <c r="AJ91" s="2">
        <v>0.89078368810412545</v>
      </c>
      <c r="AK91" s="2">
        <v>-4.4052846898962821E-2</v>
      </c>
      <c r="AL91" s="2">
        <v>1.3880872626723473</v>
      </c>
      <c r="AM91" s="31"/>
      <c r="AN91" s="2">
        <f t="shared" si="17"/>
        <v>-8.8437549164481696E-2</v>
      </c>
      <c r="AO91" s="2">
        <f t="shared" si="10"/>
        <v>-0.10603776512458934</v>
      </c>
      <c r="AP91" s="2">
        <f t="shared" si="11"/>
        <v>0.28614322779040419</v>
      </c>
      <c r="AQ91" s="31"/>
      <c r="AR91" s="31">
        <v>2008.7500000003099</v>
      </c>
      <c r="AS91" s="2">
        <v>-0.4633750516598642</v>
      </c>
      <c r="AT91" s="2">
        <v>2.4649305945655047</v>
      </c>
      <c r="AU91" s="2">
        <v>1.3689758416332301</v>
      </c>
      <c r="AV91" s="31"/>
      <c r="AW91" s="31">
        <v>2008.7500000003099</v>
      </c>
      <c r="AX91" s="2">
        <v>-0.88806013144538642</v>
      </c>
      <c r="AY91" s="2">
        <v>-0.6564669997761764</v>
      </c>
      <c r="AZ91" s="2">
        <v>-1.0270386775565037</v>
      </c>
      <c r="BA91" s="31"/>
      <c r="BB91" s="31">
        <v>2008.7500000003099</v>
      </c>
      <c r="BC91" s="2">
        <v>0.8372262795552915</v>
      </c>
      <c r="BD91" s="2">
        <v>0.36965282471677957</v>
      </c>
      <c r="BE91" s="2">
        <v>1.0893855807782229</v>
      </c>
      <c r="BG91" s="2">
        <f t="shared" si="18"/>
        <v>-0.17140296784998635</v>
      </c>
      <c r="BH91" s="2">
        <f t="shared" si="12"/>
        <v>0.72603880650203589</v>
      </c>
      <c r="BI91" s="2">
        <f t="shared" si="13"/>
        <v>0.4771075816183164</v>
      </c>
    </row>
    <row r="92" spans="1:61" x14ac:dyDescent="0.3">
      <c r="A92" s="31">
        <v>2008.6666666669801</v>
      </c>
      <c r="B92">
        <v>0.67602298843428854</v>
      </c>
      <c r="C92">
        <v>6.0800000000000409E-2</v>
      </c>
      <c r="D92">
        <v>4.1102197696805017E-2</v>
      </c>
      <c r="F92" s="31">
        <v>2008.6666666669801</v>
      </c>
      <c r="G92" s="2">
        <v>0.73660054681337206</v>
      </c>
      <c r="H92" s="2">
        <v>6.1499999999999846E-2</v>
      </c>
      <c r="I92" s="2">
        <v>4.5300933629022273E-2</v>
      </c>
      <c r="K92" s="31">
        <v>2008.6666666669801</v>
      </c>
      <c r="L92" s="2"/>
      <c r="M92" s="2"/>
      <c r="N92" s="2"/>
      <c r="P92" s="31">
        <v>2008.6666666669801</v>
      </c>
      <c r="Q92" s="2">
        <v>0.86379936359758114</v>
      </c>
      <c r="R92" s="2">
        <v>9.5850000000000463E-2</v>
      </c>
      <c r="S92" s="2">
        <v>6.3235632536824224E-2</v>
      </c>
      <c r="U92" s="2">
        <f t="shared" si="14"/>
        <v>0.8001999552054766</v>
      </c>
      <c r="V92" s="2">
        <f t="shared" si="15"/>
        <v>7.8675000000000161E-2</v>
      </c>
      <c r="W92" s="2">
        <f t="shared" si="16"/>
        <v>5.4268283082923252E-2</v>
      </c>
      <c r="Y92" s="31">
        <v>2008.6666666669801</v>
      </c>
      <c r="Z92" s="2">
        <v>1.6956497140926664E-2</v>
      </c>
      <c r="AA92" s="2">
        <v>-0.78876452892998183</v>
      </c>
      <c r="AB92" s="2">
        <v>-0.68761965949620274</v>
      </c>
      <c r="AD92" s="31">
        <v>2008.6666666669801</v>
      </c>
      <c r="AE92" s="2"/>
      <c r="AF92" s="2"/>
      <c r="AG92" s="2"/>
      <c r="AH92" s="31"/>
      <c r="AI92" s="31">
        <v>2008.6666666669801</v>
      </c>
      <c r="AJ92" s="2">
        <v>1.0030101534311884</v>
      </c>
      <c r="AK92" s="2">
        <v>-4.4052846898962821E-2</v>
      </c>
      <c r="AL92" s="2">
        <v>1.4818575048044249</v>
      </c>
      <c r="AM92" s="31"/>
      <c r="AN92" s="2">
        <f t="shared" si="17"/>
        <v>0.5099833252860575</v>
      </c>
      <c r="AO92" s="2">
        <f t="shared" si="10"/>
        <v>-0.41640868791447233</v>
      </c>
      <c r="AP92" s="2">
        <f t="shared" si="11"/>
        <v>0.39711892265411108</v>
      </c>
      <c r="AQ92" s="31"/>
      <c r="AR92" s="31">
        <v>2008.6666666669801</v>
      </c>
      <c r="AS92" s="2">
        <v>-0.13356210691762277</v>
      </c>
      <c r="AT92" s="2">
        <v>-0.32631334910519932</v>
      </c>
      <c r="AU92" s="2">
        <v>-0.38575652699361862</v>
      </c>
      <c r="AV92" s="31"/>
      <c r="AW92" s="31">
        <v>2008.6666666669801</v>
      </c>
      <c r="AX92" s="2"/>
      <c r="AY92" s="2"/>
      <c r="AZ92" s="2"/>
      <c r="BA92" s="31"/>
      <c r="BB92" s="31">
        <v>2008.6666666669801</v>
      </c>
      <c r="BC92" s="2">
        <v>0.62054754561341852</v>
      </c>
      <c r="BD92" s="2">
        <v>1.0283839161259722</v>
      </c>
      <c r="BE92" s="2">
        <v>1.5503244512860157</v>
      </c>
      <c r="BG92" s="2">
        <f t="shared" si="18"/>
        <v>0.24349271934789787</v>
      </c>
      <c r="BH92" s="2">
        <f t="shared" si="12"/>
        <v>0.35103528351038649</v>
      </c>
      <c r="BI92" s="2">
        <f t="shared" si="13"/>
        <v>0.5822839621461986</v>
      </c>
    </row>
    <row r="93" spans="1:61" x14ac:dyDescent="0.3">
      <c r="A93" s="31">
        <v>2008.58333333365</v>
      </c>
      <c r="B93">
        <v>0.72038360876787166</v>
      </c>
      <c r="C93">
        <v>6.0800000000000409E-2</v>
      </c>
      <c r="D93">
        <v>4.3799323413086892E-2</v>
      </c>
      <c r="F93" s="31">
        <v>2008.58333333365</v>
      </c>
      <c r="G93" s="2">
        <v>0.78669159595843097</v>
      </c>
      <c r="H93" s="2">
        <v>0.12299999999999969</v>
      </c>
      <c r="I93" s="2">
        <v>9.676306630288678E-2</v>
      </c>
      <c r="K93" s="31">
        <v>2008.58333333365</v>
      </c>
      <c r="L93" s="2">
        <v>0.67037887682265496</v>
      </c>
      <c r="M93" s="2">
        <v>6.1514999999999952E-2</v>
      </c>
      <c r="N93" s="2">
        <v>4.1237926931764569E-2</v>
      </c>
      <c r="P93" s="31">
        <v>2008.58333333365</v>
      </c>
      <c r="Q93" s="2">
        <v>0.76124891095863922</v>
      </c>
      <c r="R93" s="2">
        <v>9.5850000000000463E-2</v>
      </c>
      <c r="S93" s="2">
        <v>6.5748239982423518E-2</v>
      </c>
      <c r="U93" s="2">
        <f t="shared" si="14"/>
        <v>0.73943979457990838</v>
      </c>
      <c r="V93" s="2">
        <f t="shared" si="15"/>
        <v>9.3455000000000024E-2</v>
      </c>
      <c r="W93" s="2">
        <f t="shared" si="16"/>
        <v>6.7916411072358282E-2</v>
      </c>
      <c r="Y93" s="31">
        <v>2008.58333333365</v>
      </c>
      <c r="Z93" s="2">
        <v>0.30738821666524502</v>
      </c>
      <c r="AA93" s="2">
        <v>0.41216179278103221</v>
      </c>
      <c r="AB93" s="2">
        <v>0.49674216396783888</v>
      </c>
      <c r="AD93" s="31">
        <v>2008.58333333365</v>
      </c>
      <c r="AE93" s="2">
        <v>-0.82646122670850641</v>
      </c>
      <c r="AF93" s="2">
        <v>-0.68622224125583742</v>
      </c>
      <c r="AG93" s="2">
        <v>-0.71668987346125068</v>
      </c>
      <c r="AH93" s="31"/>
      <c r="AI93" s="31">
        <v>2008.58333333365</v>
      </c>
      <c r="AJ93" s="2">
        <v>1.2800360744091435</v>
      </c>
      <c r="AK93" s="2">
        <v>-4.4052846898962821E-2</v>
      </c>
      <c r="AL93" s="2">
        <v>1.6849210730280055</v>
      </c>
      <c r="AM93" s="31"/>
      <c r="AN93" s="2">
        <f t="shared" si="17"/>
        <v>0.25365435478862736</v>
      </c>
      <c r="AO93" s="2">
        <f t="shared" si="10"/>
        <v>-0.10603776512458934</v>
      </c>
      <c r="AP93" s="2">
        <f t="shared" si="11"/>
        <v>0.48832445451153123</v>
      </c>
      <c r="AQ93" s="31"/>
      <c r="AR93" s="31">
        <v>2008.58333333365</v>
      </c>
      <c r="AS93" s="2">
        <v>-0.17978487937156343</v>
      </c>
      <c r="AT93" s="2">
        <v>2.6348383026963482</v>
      </c>
      <c r="AU93" s="2">
        <v>1.5705342168874084</v>
      </c>
      <c r="AV93" s="31"/>
      <c r="AW93" s="31">
        <v>2008.58333333365</v>
      </c>
      <c r="AX93" s="2">
        <v>-1.1652716286517728</v>
      </c>
      <c r="AY93" s="2">
        <v>-0.53553372549108424</v>
      </c>
      <c r="AZ93" s="2">
        <v>-1.2366023492116958</v>
      </c>
      <c r="BA93" s="31"/>
      <c r="BB93" s="31">
        <v>2008.58333333365</v>
      </c>
      <c r="BC93" s="2">
        <v>0.631580634214158</v>
      </c>
      <c r="BD93" s="2">
        <v>0.77441334649330551</v>
      </c>
      <c r="BE93" s="2">
        <v>0.85352708550406375</v>
      </c>
      <c r="BG93" s="2">
        <f t="shared" si="18"/>
        <v>-0.23782529126972607</v>
      </c>
      <c r="BH93" s="2">
        <f t="shared" si="12"/>
        <v>0.95790597456618976</v>
      </c>
      <c r="BI93" s="2">
        <f t="shared" si="13"/>
        <v>0.39581965105992545</v>
      </c>
    </row>
    <row r="94" spans="1:61" x14ac:dyDescent="0.3">
      <c r="A94" s="31">
        <v>2008.5000000003199</v>
      </c>
      <c r="B94">
        <v>0.75769967998251408</v>
      </c>
      <c r="C94">
        <v>6.0800000000000409E-2</v>
      </c>
      <c r="D94">
        <v>4.6068140542937168E-2</v>
      </c>
      <c r="F94" s="31">
        <v>2008.5000000003199</v>
      </c>
      <c r="G94" s="2">
        <v>0.83178890634771818</v>
      </c>
      <c r="H94" s="2">
        <v>6.1499999999999846E-2</v>
      </c>
      <c r="I94" s="2">
        <v>5.1155017740384542E-2</v>
      </c>
      <c r="K94" s="31">
        <v>2008.5000000003199</v>
      </c>
      <c r="L94" s="2"/>
      <c r="M94" s="2"/>
      <c r="N94" s="2"/>
      <c r="P94" s="31">
        <v>2008.5000000003199</v>
      </c>
      <c r="Q94" s="2">
        <v>0.66584548117687514</v>
      </c>
      <c r="R94" s="2">
        <v>4.7900000000000303E-2</v>
      </c>
      <c r="S94" s="2">
        <v>3.8173798069717553E-2</v>
      </c>
      <c r="U94" s="2">
        <f t="shared" si="14"/>
        <v>0.74881719376229672</v>
      </c>
      <c r="V94" s="2">
        <f t="shared" si="15"/>
        <v>5.4700000000000075E-2</v>
      </c>
      <c r="W94" s="2">
        <f t="shared" si="16"/>
        <v>4.4664407905051051E-2</v>
      </c>
      <c r="Y94" s="31">
        <v>2008.5000000003199</v>
      </c>
      <c r="Z94" s="2">
        <v>0.56886585839626425</v>
      </c>
      <c r="AA94" s="2">
        <v>-0.78876452892998183</v>
      </c>
      <c r="AB94" s="2">
        <v>-0.55289236832884592</v>
      </c>
      <c r="AD94" s="31">
        <v>2008.5000000003199</v>
      </c>
      <c r="AE94" s="2"/>
      <c r="AF94" s="2"/>
      <c r="AG94" s="2"/>
      <c r="AH94" s="31"/>
      <c r="AI94" s="31">
        <v>2008.5000000003199</v>
      </c>
      <c r="AJ94" s="2">
        <v>0.84372996505986986</v>
      </c>
      <c r="AK94" s="2">
        <v>-1.186702766808877</v>
      </c>
      <c r="AL94" s="2">
        <v>-0.54358643871042156</v>
      </c>
      <c r="AM94" s="31"/>
      <c r="AN94" s="2">
        <f t="shared" si="17"/>
        <v>0.706297911728067</v>
      </c>
      <c r="AO94" s="2">
        <f t="shared" si="10"/>
        <v>-0.98773364786942941</v>
      </c>
      <c r="AP94" s="2">
        <f t="shared" si="11"/>
        <v>-0.54823940351963374</v>
      </c>
      <c r="AQ94" s="31"/>
      <c r="AR94" s="31">
        <v>2008.5000000003199</v>
      </c>
      <c r="AS94" s="2">
        <v>-7.197389329953085E-3</v>
      </c>
      <c r="AT94" s="2">
        <v>-2.3130098149132094E-2</v>
      </c>
      <c r="AU94" s="2">
        <v>-3.4317950978545328E-2</v>
      </c>
      <c r="AV94" s="31"/>
      <c r="AW94" s="31">
        <v>2008.5000000003199</v>
      </c>
      <c r="AX94" s="2"/>
      <c r="AY94" s="2"/>
      <c r="AZ94" s="2"/>
      <c r="BA94" s="31"/>
      <c r="BB94" s="31">
        <v>2008.5000000003199</v>
      </c>
      <c r="BC94" s="2">
        <v>-9.4262496539452966E-3</v>
      </c>
      <c r="BD94" s="2">
        <v>-0.38248368897839508</v>
      </c>
      <c r="BE94" s="2">
        <v>-0.23596373996455544</v>
      </c>
      <c r="BG94" s="2">
        <f t="shared" si="18"/>
        <v>-8.3118194919491913E-3</v>
      </c>
      <c r="BH94" s="2">
        <f t="shared" si="12"/>
        <v>-0.20280689356376358</v>
      </c>
      <c r="BI94" s="2">
        <f t="shared" si="13"/>
        <v>-0.13514084547155039</v>
      </c>
    </row>
    <row r="95" spans="1:61" x14ac:dyDescent="0.3">
      <c r="A95" s="31">
        <v>2008.4166666669901</v>
      </c>
      <c r="B95">
        <v>0.74686777000132443</v>
      </c>
      <c r="C95">
        <v>0.18240000000000123</v>
      </c>
      <c r="D95">
        <v>0.1362286812482425</v>
      </c>
      <c r="F95" s="31">
        <v>2008.4166666669901</v>
      </c>
      <c r="G95" s="2">
        <v>0.80849417721913885</v>
      </c>
      <c r="H95" s="2">
        <v>0.18449999999999961</v>
      </c>
      <c r="I95" s="2">
        <v>0.15318317757113797</v>
      </c>
      <c r="K95" s="31">
        <v>2008.4166666669901</v>
      </c>
      <c r="L95" s="2">
        <v>0.70364151212812176</v>
      </c>
      <c r="M95" s="2">
        <v>9.2279999999999945E-2</v>
      </c>
      <c r="N95" s="2">
        <v>6.3824036872347667E-2</v>
      </c>
      <c r="P95" s="31">
        <v>2008.4166666669901</v>
      </c>
      <c r="Q95" s="2">
        <v>0.58065732212135734</v>
      </c>
      <c r="R95" s="2">
        <v>0.16775000000000076</v>
      </c>
      <c r="S95" s="2">
        <v>6.6365058870101995E-2</v>
      </c>
      <c r="U95" s="2">
        <f t="shared" si="14"/>
        <v>0.69759767048953936</v>
      </c>
      <c r="V95" s="2">
        <f t="shared" si="15"/>
        <v>0.14817666666666676</v>
      </c>
      <c r="W95" s="2">
        <f t="shared" si="16"/>
        <v>9.4457424437862536E-2</v>
      </c>
      <c r="Y95" s="31">
        <v>2008.4166666669901</v>
      </c>
      <c r="Z95" s="2">
        <v>0.43380124401627407</v>
      </c>
      <c r="AA95" s="2">
        <v>1.6130881144920477</v>
      </c>
      <c r="AB95" s="2">
        <v>1.7952080920160589</v>
      </c>
      <c r="AD95" s="31">
        <v>2008.4166666669901</v>
      </c>
      <c r="AE95" s="2">
        <v>-0.62852337745861353</v>
      </c>
      <c r="AF95" s="2">
        <v>6.7241855071186282E-2</v>
      </c>
      <c r="AG95" s="2">
        <v>0.14214267537198616</v>
      </c>
      <c r="AH95" s="31"/>
      <c r="AI95" s="31">
        <v>2008.4166666669901</v>
      </c>
      <c r="AJ95" s="2">
        <v>1.4917036697757338</v>
      </c>
      <c r="AK95" s="2">
        <v>1.6693262822256021</v>
      </c>
      <c r="AL95" s="2">
        <v>1.7347710583486597</v>
      </c>
      <c r="AM95" s="31"/>
      <c r="AN95" s="2">
        <f t="shared" si="17"/>
        <v>0.43232717877779808</v>
      </c>
      <c r="AO95" s="2">
        <f t="shared" si="10"/>
        <v>1.1165520839296119</v>
      </c>
      <c r="AP95" s="2">
        <f t="shared" si="11"/>
        <v>1.2240406085789015</v>
      </c>
      <c r="AQ95" s="31"/>
      <c r="AR95" s="31">
        <v>2008.4166666669901</v>
      </c>
      <c r="AS95" s="2">
        <v>-0.16829653624304991</v>
      </c>
      <c r="AT95" s="2">
        <v>0.30752807372934488</v>
      </c>
      <c r="AU95" s="2">
        <v>0.17782865767428427</v>
      </c>
      <c r="AV95" s="31"/>
      <c r="AW95" s="31">
        <v>2008.4166666669901</v>
      </c>
      <c r="AX95" s="2">
        <v>-1.0514595413012624</v>
      </c>
      <c r="AY95" s="2">
        <v>-1.019318303187664</v>
      </c>
      <c r="AZ95" s="2">
        <v>-0.66335628397014046</v>
      </c>
      <c r="BA95" s="31"/>
      <c r="BB95" s="31">
        <v>2008.4166666669901</v>
      </c>
      <c r="BC95" s="2">
        <v>0.81274509996418487</v>
      </c>
      <c r="BD95" s="2">
        <v>0.21308645383215588</v>
      </c>
      <c r="BE95" s="2">
        <v>0.91990480123874507</v>
      </c>
      <c r="BG95" s="2">
        <f t="shared" si="18"/>
        <v>-0.13567032586004249</v>
      </c>
      <c r="BH95" s="2">
        <f t="shared" si="12"/>
        <v>-0.16623459187538778</v>
      </c>
      <c r="BI95" s="2">
        <f t="shared" si="13"/>
        <v>0.14479239164762961</v>
      </c>
    </row>
    <row r="96" spans="1:61" x14ac:dyDescent="0.3">
      <c r="A96" s="31">
        <v>2008.33333333366</v>
      </c>
      <c r="B96">
        <v>0.76441441461357351</v>
      </c>
      <c r="C96">
        <v>0.19760000000000133</v>
      </c>
      <c r="D96">
        <v>0.15104828832764314</v>
      </c>
      <c r="F96" s="31">
        <v>2008.33333333366</v>
      </c>
      <c r="G96" s="2">
        <v>0.68403939490586785</v>
      </c>
      <c r="H96" s="2">
        <v>0.15374999999999969</v>
      </c>
      <c r="I96" s="2">
        <v>0.10960155700107187</v>
      </c>
      <c r="K96" s="31">
        <v>2008.33333333366</v>
      </c>
      <c r="L96" s="2">
        <v>0.71720688274410793</v>
      </c>
      <c r="M96" s="2">
        <v>6.1514999999999952E-2</v>
      </c>
      <c r="N96" s="2">
        <v>4.4118884279092094E-2</v>
      </c>
      <c r="P96" s="31">
        <v>2008.33333333366</v>
      </c>
      <c r="Q96" s="2">
        <v>0.5037534607313936</v>
      </c>
      <c r="R96" s="2">
        <v>0.16775000000000076</v>
      </c>
      <c r="S96" s="2">
        <v>5.3288020822872928E-2</v>
      </c>
      <c r="U96" s="2">
        <f t="shared" si="14"/>
        <v>0.63499991279378987</v>
      </c>
      <c r="V96" s="2">
        <f t="shared" si="15"/>
        <v>0.12767166666666682</v>
      </c>
      <c r="W96" s="2">
        <f t="shared" si="16"/>
        <v>6.9002820701012296E-2</v>
      </c>
      <c r="Y96" s="31">
        <v>2008.33333333366</v>
      </c>
      <c r="Z96" s="2">
        <v>-0.28779706640429148</v>
      </c>
      <c r="AA96" s="2">
        <v>1.0126249536365408</v>
      </c>
      <c r="AB96" s="2">
        <v>0.79221025795825428</v>
      </c>
      <c r="AD96" s="31">
        <v>2008.33333333366</v>
      </c>
      <c r="AE96" s="2">
        <v>-0.54779915764417531</v>
      </c>
      <c r="AF96" s="2">
        <v>-0.68622224125583742</v>
      </c>
      <c r="AG96" s="2">
        <v>-0.60714201647329957</v>
      </c>
      <c r="AH96" s="31"/>
      <c r="AI96" s="31">
        <v>2008.33333333366</v>
      </c>
      <c r="AJ96" s="2">
        <v>0.34343008754384202</v>
      </c>
      <c r="AK96" s="2">
        <v>1.6693262822256021</v>
      </c>
      <c r="AL96" s="2">
        <v>0.67791276863978334</v>
      </c>
      <c r="AM96" s="31"/>
      <c r="AN96" s="2">
        <f t="shared" si="17"/>
        <v>-0.16405537883487492</v>
      </c>
      <c r="AO96" s="2">
        <f t="shared" si="10"/>
        <v>0.66524299820210187</v>
      </c>
      <c r="AP96" s="2">
        <f t="shared" si="11"/>
        <v>0.28766033670824603</v>
      </c>
      <c r="AQ96" s="31"/>
      <c r="AR96" s="31">
        <v>2008.33333333366</v>
      </c>
      <c r="AS96" s="2">
        <v>-0.46609662049025008</v>
      </c>
      <c r="AT96" s="2">
        <v>-1.8664175683888028E-2</v>
      </c>
      <c r="AU96" s="2">
        <v>-0.12928806245376961</v>
      </c>
      <c r="AV96" s="31"/>
      <c r="AW96" s="31">
        <v>2008.33333333366</v>
      </c>
      <c r="AX96" s="2">
        <v>-0.6699088844413672</v>
      </c>
      <c r="AY96" s="2">
        <v>-1.269857360921067</v>
      </c>
      <c r="AZ96" s="2">
        <v>-0.79836316514035421</v>
      </c>
      <c r="BA96" s="31"/>
      <c r="BB96" s="31">
        <v>2008.33333333366</v>
      </c>
      <c r="BC96" s="2">
        <v>-0.38711133694557565</v>
      </c>
      <c r="BD96" s="2">
        <v>0.21308645383215588</v>
      </c>
      <c r="BE96" s="2">
        <v>-0.22527057749523843</v>
      </c>
      <c r="BG96" s="2">
        <f t="shared" si="18"/>
        <v>-0.50770561395906433</v>
      </c>
      <c r="BH96" s="2">
        <f t="shared" si="12"/>
        <v>-0.35847836092426638</v>
      </c>
      <c r="BI96" s="2">
        <f t="shared" si="13"/>
        <v>-0.38430726836312074</v>
      </c>
    </row>
    <row r="97" spans="1:61" x14ac:dyDescent="0.3">
      <c r="A97" s="31">
        <v>2008.2500000003299</v>
      </c>
      <c r="B97">
        <v>0.66488145969167112</v>
      </c>
      <c r="C97">
        <v>0.18240000000000123</v>
      </c>
      <c r="D97">
        <v>0.12127437824776163</v>
      </c>
      <c r="F97" s="31">
        <v>2008.2500000003299</v>
      </c>
      <c r="G97" s="2">
        <v>0.61059954257388993</v>
      </c>
      <c r="H97" s="2">
        <v>0.15374999999999969</v>
      </c>
      <c r="I97" s="2">
        <v>9.7968348761271445E-2</v>
      </c>
      <c r="K97" s="31">
        <v>2008.2500000003299</v>
      </c>
      <c r="L97" s="2">
        <v>0.7139253117135167</v>
      </c>
      <c r="M97" s="2">
        <v>6.1514999999999952E-2</v>
      </c>
      <c r="N97" s="2">
        <v>4.3917523719825588E-2</v>
      </c>
      <c r="P97" s="31">
        <v>2008.2500000003299</v>
      </c>
      <c r="Q97" s="2">
        <v>0.45523815360937336</v>
      </c>
      <c r="R97" s="2">
        <v>0.16775000000000076</v>
      </c>
      <c r="S97" s="2">
        <v>3.9896456542636759E-2</v>
      </c>
      <c r="U97" s="2">
        <f t="shared" si="14"/>
        <v>0.5932543359655934</v>
      </c>
      <c r="V97" s="2">
        <f t="shared" si="15"/>
        <v>0.12767166666666682</v>
      </c>
      <c r="W97" s="2">
        <f t="shared" si="16"/>
        <v>6.0594109674577928E-2</v>
      </c>
      <c r="Y97" s="31">
        <v>2008.2500000003299</v>
      </c>
      <c r="Z97" s="2">
        <v>-0.71360692581891172</v>
      </c>
      <c r="AA97" s="2">
        <v>1.0126249536365408</v>
      </c>
      <c r="AB97" s="2">
        <v>0.52448082258986384</v>
      </c>
      <c r="AD97" s="31">
        <v>2008.2500000003299</v>
      </c>
      <c r="AE97" s="2">
        <v>-0.56732698837649342</v>
      </c>
      <c r="AF97" s="2">
        <v>-0.68622224125583742</v>
      </c>
      <c r="AG97" s="2">
        <v>-0.61479871356741078</v>
      </c>
      <c r="AH97" s="31"/>
      <c r="AI97" s="31">
        <v>2008.2500000003299</v>
      </c>
      <c r="AJ97" s="2">
        <v>-0.78739378598905119</v>
      </c>
      <c r="AK97" s="2">
        <v>1.6693262822256021</v>
      </c>
      <c r="AL97" s="2">
        <v>-0.40436485956791307</v>
      </c>
      <c r="AM97" s="31"/>
      <c r="AN97" s="2">
        <f t="shared" si="17"/>
        <v>-0.68944256672815207</v>
      </c>
      <c r="AO97" s="2">
        <f t="shared" si="10"/>
        <v>0.66524299820210187</v>
      </c>
      <c r="AP97" s="2">
        <f t="shared" si="11"/>
        <v>-0.16489425018182002</v>
      </c>
      <c r="AQ97" s="31"/>
      <c r="AR97" s="31">
        <v>2008.2500000003299</v>
      </c>
      <c r="AS97" s="2">
        <v>-0.68448828909192549</v>
      </c>
      <c r="AT97" s="2">
        <v>-6.2988546229767878E-2</v>
      </c>
      <c r="AU97" s="2">
        <v>-0.329963250394682</v>
      </c>
      <c r="AV97" s="31"/>
      <c r="AW97" s="31">
        <v>2008.2500000003299</v>
      </c>
      <c r="AX97" s="2">
        <v>-0.52067589032773653</v>
      </c>
      <c r="AY97" s="2">
        <v>-1.5103266726480709</v>
      </c>
      <c r="AZ97" s="2">
        <v>-0.88550038193478531</v>
      </c>
      <c r="BA97" s="31"/>
      <c r="BB97" s="31">
        <v>2008.2500000003299</v>
      </c>
      <c r="BC97" s="2">
        <v>-1.568734187688529</v>
      </c>
      <c r="BD97" s="2">
        <v>0.21308645383215588</v>
      </c>
      <c r="BE97" s="2">
        <v>-1.397989479212395</v>
      </c>
      <c r="BG97" s="2">
        <f t="shared" si="18"/>
        <v>-0.92463278903606361</v>
      </c>
      <c r="BH97" s="2">
        <f t="shared" si="12"/>
        <v>-0.45340958834856093</v>
      </c>
      <c r="BI97" s="2">
        <f t="shared" si="13"/>
        <v>-0.87115103718062092</v>
      </c>
    </row>
    <row r="98" spans="1:61" x14ac:dyDescent="0.3">
      <c r="A98" s="31">
        <v>2008.1666666670001</v>
      </c>
      <c r="B98">
        <v>0.60419413554181522</v>
      </c>
      <c r="C98">
        <v>0.18240000000000123</v>
      </c>
      <c r="D98">
        <v>0.11020501032282784</v>
      </c>
      <c r="F98" s="31">
        <v>2008.1666666670001</v>
      </c>
      <c r="G98" s="2">
        <v>0.57291547384720309</v>
      </c>
      <c r="H98" s="2">
        <v>0.12299999999999976</v>
      </c>
      <c r="I98" s="2">
        <v>7.4695293952530731E-2</v>
      </c>
      <c r="K98" s="31">
        <v>2008.1666666670001</v>
      </c>
      <c r="L98" s="2">
        <v>0.71615600134243818</v>
      </c>
      <c r="M98" s="2">
        <v>6.1514999999999952E-2</v>
      </c>
      <c r="N98" s="2">
        <v>4.4055302823079748E-2</v>
      </c>
      <c r="P98" s="31">
        <v>2008.1666666670001</v>
      </c>
      <c r="Q98" s="2">
        <v>0.40728771022203353</v>
      </c>
      <c r="R98" s="2">
        <v>0.1198000000000006</v>
      </c>
      <c r="S98" s="2">
        <v>3.2765197236393769E-2</v>
      </c>
      <c r="U98" s="2">
        <f t="shared" si="14"/>
        <v>0.56545306180389165</v>
      </c>
      <c r="V98" s="2">
        <f t="shared" si="15"/>
        <v>0.10143833333333345</v>
      </c>
      <c r="W98" s="2">
        <f t="shared" si="16"/>
        <v>5.0505264670668092E-2</v>
      </c>
      <c r="Y98" s="31">
        <v>2008.1666666670001</v>
      </c>
      <c r="Z98" s="2">
        <v>-0.932102027553946</v>
      </c>
      <c r="AA98" s="2">
        <v>0.4121617927810336</v>
      </c>
      <c r="AB98" s="2">
        <v>-1.1130824240645532E-2</v>
      </c>
      <c r="AD98" s="31">
        <v>2008.1666666670001</v>
      </c>
      <c r="AE98" s="2">
        <v>-0.55405269716541217</v>
      </c>
      <c r="AF98" s="2">
        <v>-0.68622224125583742</v>
      </c>
      <c r="AG98" s="2">
        <v>-0.60955968928500825</v>
      </c>
      <c r="AH98" s="31"/>
      <c r="AI98" s="31">
        <v>2008.1666666670001</v>
      </c>
      <c r="AJ98" s="2">
        <v>-1.4222889548487356</v>
      </c>
      <c r="AK98" s="2">
        <v>0.52667636231568804</v>
      </c>
      <c r="AL98" s="2">
        <v>-0.98069800830134934</v>
      </c>
      <c r="AM98" s="31"/>
      <c r="AN98" s="2">
        <f t="shared" si="17"/>
        <v>-0.96948122652269786</v>
      </c>
      <c r="AO98" s="2">
        <f t="shared" si="10"/>
        <v>8.4205304613628074E-2</v>
      </c>
      <c r="AP98" s="2">
        <f t="shared" si="11"/>
        <v>-0.53379617394233436</v>
      </c>
      <c r="AQ98" s="31"/>
      <c r="AR98" s="31">
        <v>2008.1666666670001</v>
      </c>
      <c r="AS98" s="2">
        <v>-0.63231124074487588</v>
      </c>
      <c r="AT98" s="2">
        <v>-0.46657286796563091</v>
      </c>
      <c r="AU98" s="2">
        <v>-0.60467870391478673</v>
      </c>
      <c r="AV98" s="31"/>
      <c r="AW98" s="31">
        <v>2008.1666666670001</v>
      </c>
      <c r="AX98" s="2">
        <v>-0.36356597599323159</v>
      </c>
      <c r="AY98" s="2">
        <v>-1.1554372649783877</v>
      </c>
      <c r="AZ98" s="2">
        <v>-0.64771033759350871</v>
      </c>
      <c r="BA98" s="31"/>
      <c r="BB98" s="31">
        <v>2008.1666666670001</v>
      </c>
      <c r="BC98" s="2">
        <v>-2.2321501774899568</v>
      </c>
      <c r="BD98" s="2">
        <v>-0.9122447108614179</v>
      </c>
      <c r="BE98" s="2">
        <v>-2.022484303451856</v>
      </c>
      <c r="BG98" s="2">
        <f t="shared" si="18"/>
        <v>-1.0760091314093547</v>
      </c>
      <c r="BH98" s="2">
        <f t="shared" si="12"/>
        <v>-0.84475161460181225</v>
      </c>
      <c r="BI98" s="2">
        <f t="shared" si="13"/>
        <v>-1.0916244483200506</v>
      </c>
    </row>
    <row r="99" spans="1:61" x14ac:dyDescent="0.3">
      <c r="A99" s="31">
        <v>2008.08333333367</v>
      </c>
      <c r="B99">
        <v>0.56017645743423561</v>
      </c>
      <c r="C99">
        <v>6.0800000000000409E-2</v>
      </c>
      <c r="D99">
        <v>3.4058728612001751E-2</v>
      </c>
      <c r="F99" s="31">
        <v>2008.08333333367</v>
      </c>
      <c r="G99" s="2">
        <v>0.55468399439399652</v>
      </c>
      <c r="H99" s="2">
        <v>9.2249999999999749E-2</v>
      </c>
      <c r="I99" s="2">
        <v>4.9162440731357199E-2</v>
      </c>
      <c r="K99" s="31">
        <v>2008.08333333367</v>
      </c>
      <c r="L99" s="2">
        <v>0.72203803658118315</v>
      </c>
      <c r="M99" s="2">
        <v>6.1514999999999952E-2</v>
      </c>
      <c r="N99" s="2">
        <v>4.4417721148344205E-2</v>
      </c>
      <c r="P99" s="31">
        <v>2008.08333333367</v>
      </c>
      <c r="Q99" s="2">
        <v>0.45114984286989346</v>
      </c>
      <c r="R99" s="2">
        <v>9.5850000000000463E-2</v>
      </c>
      <c r="S99" s="2">
        <v>3.1884894088779717E-2</v>
      </c>
      <c r="U99" s="2">
        <f t="shared" si="14"/>
        <v>0.57595729128169104</v>
      </c>
      <c r="V99" s="2">
        <f t="shared" si="15"/>
        <v>8.3205000000000057E-2</v>
      </c>
      <c r="W99" s="2">
        <f t="shared" si="16"/>
        <v>4.182168532282704E-2</v>
      </c>
      <c r="Y99" s="31">
        <v>2008.08333333367</v>
      </c>
      <c r="Z99" s="2">
        <v>-1.0378095345325531</v>
      </c>
      <c r="AA99" s="2">
        <v>-0.1883013680744752</v>
      </c>
      <c r="AB99" s="2">
        <v>-0.59875001194342281</v>
      </c>
      <c r="AD99" s="31">
        <v>2008.08333333367</v>
      </c>
      <c r="AE99" s="2">
        <v>-0.51905013667442457</v>
      </c>
      <c r="AF99" s="2">
        <v>-0.68622224125583742</v>
      </c>
      <c r="AG99" s="2">
        <v>-0.59577880117060678</v>
      </c>
      <c r="AH99" s="31"/>
      <c r="AI99" s="31">
        <v>2008.08333333367</v>
      </c>
      <c r="AJ99" s="2">
        <v>-1.5273858282390254</v>
      </c>
      <c r="AK99" s="2">
        <v>-4.4052846898962821E-2</v>
      </c>
      <c r="AL99" s="2">
        <v>-1.0518422288544023</v>
      </c>
      <c r="AM99" s="31"/>
      <c r="AN99" s="2">
        <f t="shared" si="17"/>
        <v>-1.0280818331486676</v>
      </c>
      <c r="AO99" s="2">
        <f t="shared" si="10"/>
        <v>-0.30619215207642514</v>
      </c>
      <c r="AP99" s="2">
        <f t="shared" si="11"/>
        <v>-0.74879034732281069</v>
      </c>
      <c r="AQ99" s="31"/>
      <c r="AR99" s="31">
        <v>2008.08333333367</v>
      </c>
      <c r="AS99" s="2">
        <v>-0.67816500528166779</v>
      </c>
      <c r="AT99" s="2">
        <v>0.50956041230593607</v>
      </c>
      <c r="AU99" s="2">
        <v>-0.15784386327791292</v>
      </c>
      <c r="AV99" s="31"/>
      <c r="AW99" s="31">
        <v>2008.08333333367</v>
      </c>
      <c r="AX99" s="2">
        <v>-0.22948302630094583</v>
      </c>
      <c r="AY99" s="2">
        <v>-0.87038484719517628</v>
      </c>
      <c r="AZ99" s="2">
        <v>-0.66507278315478313</v>
      </c>
      <c r="BA99" s="31"/>
      <c r="BB99" s="31">
        <v>2008.08333333367</v>
      </c>
      <c r="BC99" s="2">
        <v>-2.3419682225862544</v>
      </c>
      <c r="BD99" s="2">
        <v>-1.4743235720587309</v>
      </c>
      <c r="BE99" s="2">
        <v>-2.099573739670423</v>
      </c>
      <c r="BG99" s="2">
        <f t="shared" si="18"/>
        <v>-1.0832054180562893</v>
      </c>
      <c r="BH99" s="2">
        <f t="shared" si="12"/>
        <v>-0.61171600231599033</v>
      </c>
      <c r="BI99" s="2">
        <f t="shared" si="13"/>
        <v>-0.97416346203437298</v>
      </c>
    </row>
    <row r="100" spans="1:61" x14ac:dyDescent="0.3">
      <c r="A100" s="31">
        <v>2008.0000000003399</v>
      </c>
      <c r="B100">
        <v>0.57349585313491369</v>
      </c>
      <c r="C100">
        <v>6.0800000000000409E-2</v>
      </c>
      <c r="D100">
        <v>3.4868547870602985E-2</v>
      </c>
      <c r="F100" s="31">
        <v>2008.0000000003399</v>
      </c>
      <c r="G100" s="2">
        <v>0.56154301893670833</v>
      </c>
      <c r="H100" s="2">
        <v>6.1499999999999846E-2</v>
      </c>
      <c r="I100" s="2">
        <v>3.4534895664607483E-2</v>
      </c>
      <c r="K100" s="31">
        <v>2008.0000000003399</v>
      </c>
      <c r="L100" s="2">
        <v>0.87279123646586976</v>
      </c>
      <c r="M100" s="2">
        <v>6.1530000000000001E-2</v>
      </c>
      <c r="N100" s="2">
        <v>5.370284477974497E-2</v>
      </c>
      <c r="P100" s="31">
        <v>2008.0000000003399</v>
      </c>
      <c r="Q100" s="2">
        <v>0.56659672660276095</v>
      </c>
      <c r="R100" s="2">
        <v>9.5850000000000463E-2</v>
      </c>
      <c r="S100" s="2">
        <v>3.5592695270329211E-2</v>
      </c>
      <c r="U100" s="2">
        <f t="shared" si="14"/>
        <v>0.66697699400177957</v>
      </c>
      <c r="V100" s="2">
        <f t="shared" si="15"/>
        <v>7.2960000000000094E-2</v>
      </c>
      <c r="W100" s="2">
        <f t="shared" si="16"/>
        <v>4.1276811904893886E-2</v>
      </c>
      <c r="Y100" s="31">
        <v>2008.0000000003399</v>
      </c>
      <c r="Z100" s="2">
        <v>-0.99804038762508018</v>
      </c>
      <c r="AA100" s="2">
        <v>-0.78876452892998183</v>
      </c>
      <c r="AB100" s="2">
        <v>-0.93539183084838318</v>
      </c>
      <c r="AD100" s="31">
        <v>2008.0000000003399</v>
      </c>
      <c r="AE100" s="2">
        <v>0.37804547462279009</v>
      </c>
      <c r="AF100" s="2">
        <v>-0.68585487699629111</v>
      </c>
      <c r="AG100" s="2">
        <v>-0.24271373527100426</v>
      </c>
      <c r="AH100" s="31"/>
      <c r="AI100" s="31">
        <v>2008.0000000003399</v>
      </c>
      <c r="AJ100" s="2">
        <v>-1.1677224617529354</v>
      </c>
      <c r="AK100" s="2">
        <v>-4.4052846898962821E-2</v>
      </c>
      <c r="AL100" s="2">
        <v>-0.75218565515931546</v>
      </c>
      <c r="AM100" s="31"/>
      <c r="AN100" s="2">
        <f t="shared" si="17"/>
        <v>-0.59590579158507506</v>
      </c>
      <c r="AO100" s="2">
        <f t="shared" si="10"/>
        <v>-0.50622408427507859</v>
      </c>
      <c r="AP100" s="2">
        <f t="shared" si="11"/>
        <v>-0.643430407092901</v>
      </c>
      <c r="AQ100" s="31"/>
      <c r="AR100" s="31">
        <v>2008.0000000003399</v>
      </c>
      <c r="AS100" s="2">
        <v>-0.42979537809130464</v>
      </c>
      <c r="AT100" s="2">
        <v>-0.29853293598826575</v>
      </c>
      <c r="AU100" s="2">
        <v>-0.61777738802600624</v>
      </c>
      <c r="AV100" s="31"/>
      <c r="AW100" s="31">
        <v>2008.0000000003399</v>
      </c>
      <c r="AX100" s="2">
        <v>0.52663701567146026</v>
      </c>
      <c r="AY100" s="2">
        <v>-0.21897704373559218</v>
      </c>
      <c r="AZ100" s="2">
        <v>0.44031517268514336</v>
      </c>
      <c r="BA100" s="31"/>
      <c r="BB100" s="31">
        <v>2008.0000000003399</v>
      </c>
      <c r="BC100" s="2">
        <v>-0.50928520276232703</v>
      </c>
      <c r="BD100" s="2">
        <v>0.75540652012817533</v>
      </c>
      <c r="BE100" s="2">
        <v>-0.11212235200835458</v>
      </c>
      <c r="BG100" s="2">
        <f t="shared" si="18"/>
        <v>-0.13748118839405712</v>
      </c>
      <c r="BH100" s="2">
        <f t="shared" si="12"/>
        <v>7.9298846801439157E-2</v>
      </c>
      <c r="BI100" s="2">
        <f t="shared" si="13"/>
        <v>-9.6528189116405816E-2</v>
      </c>
    </row>
    <row r="101" spans="1:61" x14ac:dyDescent="0.3">
      <c r="A101" s="31">
        <v>2007.9166666670101</v>
      </c>
      <c r="B101">
        <v>0.58222652231821903</v>
      </c>
      <c r="C101">
        <v>7.6000000000000512E-2</v>
      </c>
      <c r="D101">
        <v>4.4249215696184944E-2</v>
      </c>
      <c r="F101" s="31">
        <v>2007.9166666670101</v>
      </c>
      <c r="G101" s="2">
        <v>0.5731396794208099</v>
      </c>
      <c r="H101" s="2">
        <v>9.2249999999999749E-2</v>
      </c>
      <c r="I101" s="2">
        <v>5.058821942854555E-2</v>
      </c>
      <c r="K101" s="31">
        <v>2007.9166666670101</v>
      </c>
      <c r="L101" s="2">
        <v>0.62662024905503189</v>
      </c>
      <c r="M101" s="2">
        <v>6.1499999999999902E-2</v>
      </c>
      <c r="N101" s="2">
        <v>3.8537145316884402E-2</v>
      </c>
      <c r="P101" s="31">
        <v>2007.9166666670101</v>
      </c>
      <c r="Q101" s="2">
        <v>0.69142836244255157</v>
      </c>
      <c r="R101" s="2">
        <v>7.1900000000000297E-2</v>
      </c>
      <c r="S101" s="2">
        <v>4.0381257755350924E-2</v>
      </c>
      <c r="U101" s="2">
        <f t="shared" si="14"/>
        <v>0.63039609697279775</v>
      </c>
      <c r="V101" s="2">
        <f t="shared" si="15"/>
        <v>7.521666666666664E-2</v>
      </c>
      <c r="W101" s="2">
        <f t="shared" si="16"/>
        <v>4.3168874166926961E-2</v>
      </c>
      <c r="Y101" s="31">
        <v>2007.9166666670101</v>
      </c>
      <c r="Z101" s="2">
        <v>-0.93080206655530551</v>
      </c>
      <c r="AA101" s="2">
        <v>-0.1883013680744752</v>
      </c>
      <c r="AB101" s="2">
        <v>-0.5659368001715801</v>
      </c>
      <c r="AD101" s="31">
        <v>2007.9166666670101</v>
      </c>
      <c r="AE101" s="2">
        <v>-1.0868581732194285</v>
      </c>
      <c r="AF101" s="2">
        <v>-0.68658960551538373</v>
      </c>
      <c r="AG101" s="2">
        <v>-0.81938658237887307</v>
      </c>
      <c r="AH101" s="31"/>
      <c r="AI101" s="31">
        <v>2007.9166666670101</v>
      </c>
      <c r="AJ101" s="2">
        <v>-0.71735960111162222</v>
      </c>
      <c r="AK101" s="2">
        <v>-0.61478205611361436</v>
      </c>
      <c r="AL101" s="2">
        <v>-0.36518426082166644</v>
      </c>
      <c r="AM101" s="31"/>
      <c r="AN101" s="2">
        <f t="shared" si="17"/>
        <v>-0.91167328029545214</v>
      </c>
      <c r="AO101" s="2">
        <f t="shared" si="10"/>
        <v>-0.4965576765678244</v>
      </c>
      <c r="AP101" s="2">
        <f t="shared" si="11"/>
        <v>-0.58350254779070654</v>
      </c>
      <c r="AQ101" s="31"/>
      <c r="AR101" s="31">
        <v>2007.9166666670101</v>
      </c>
      <c r="AS101" s="2">
        <v>-0.68288148041434338</v>
      </c>
      <c r="AT101" s="2">
        <v>0.68444756444045063</v>
      </c>
      <c r="AU101" s="2">
        <v>-0.10458576673531417</v>
      </c>
      <c r="AV101" s="31"/>
      <c r="AW101" s="31">
        <v>2007.9166666670101</v>
      </c>
      <c r="AX101" s="2">
        <v>-0.78439136617841687</v>
      </c>
      <c r="AY101" s="2">
        <v>-0.51828077835128905</v>
      </c>
      <c r="AZ101" s="2">
        <v>-0.86613789003105535</v>
      </c>
      <c r="BA101" s="31"/>
      <c r="BB101" s="31">
        <v>2007.9166666670101</v>
      </c>
      <c r="BC101" s="2">
        <v>-0.3863947034867305</v>
      </c>
      <c r="BD101" s="2">
        <v>-0.44318112469553572</v>
      </c>
      <c r="BE101" s="2">
        <v>-7.0382987265957042E-2</v>
      </c>
      <c r="BG101" s="2">
        <f t="shared" si="18"/>
        <v>-0.61788918335983023</v>
      </c>
      <c r="BH101" s="2">
        <f t="shared" si="12"/>
        <v>-9.2338112868791386E-2</v>
      </c>
      <c r="BI101" s="2">
        <f t="shared" si="13"/>
        <v>-0.34703554801077557</v>
      </c>
    </row>
    <row r="102" spans="1:61" x14ac:dyDescent="0.3">
      <c r="A102" s="31">
        <v>2007.83333333368</v>
      </c>
      <c r="B102">
        <v>0.6446775810583355</v>
      </c>
      <c r="C102">
        <v>6.0800000000000409E-2</v>
      </c>
      <c r="D102">
        <v>3.919639692834706E-2</v>
      </c>
      <c r="F102" s="31">
        <v>2007.83333333368</v>
      </c>
      <c r="G102" s="2">
        <v>0.58416220126515828</v>
      </c>
      <c r="H102" s="2">
        <v>6.1499999999999846E-2</v>
      </c>
      <c r="I102" s="2">
        <v>3.5925975377807152E-2</v>
      </c>
      <c r="K102" s="31">
        <v>2007.83333333368</v>
      </c>
      <c r="L102" s="2">
        <v>0.92323609598091561</v>
      </c>
      <c r="M102" s="2">
        <v>6.1530000000000001E-2</v>
      </c>
      <c r="N102" s="2">
        <v>5.6806716985705739E-2</v>
      </c>
      <c r="P102" s="31">
        <v>2007.83333333368</v>
      </c>
      <c r="Q102" s="2">
        <v>0.84345849481221169</v>
      </c>
      <c r="R102" s="2">
        <v>9.5800000000000607E-2</v>
      </c>
      <c r="S102" s="2">
        <v>2.9077338221664459E-2</v>
      </c>
      <c r="U102" s="2">
        <f t="shared" si="14"/>
        <v>0.78361893068609512</v>
      </c>
      <c r="V102" s="2">
        <f t="shared" si="15"/>
        <v>7.2943333333333485E-2</v>
      </c>
      <c r="W102" s="2">
        <f t="shared" si="16"/>
        <v>4.0603343528392448E-2</v>
      </c>
      <c r="Y102" s="31">
        <v>2007.83333333368</v>
      </c>
      <c r="Z102" s="2">
        <v>-0.86689264506409602</v>
      </c>
      <c r="AA102" s="2">
        <v>-0.78876452892998183</v>
      </c>
      <c r="AB102" s="2">
        <v>-0.90337718978890535</v>
      </c>
      <c r="AD102" s="31">
        <v>2007.83333333368</v>
      </c>
      <c r="AE102" s="2">
        <v>0.6782305593710245</v>
      </c>
      <c r="AF102" s="2">
        <v>-0.68585487699629111</v>
      </c>
      <c r="AG102" s="2">
        <v>-0.12468958304157834</v>
      </c>
      <c r="AH102" s="31"/>
      <c r="AI102" s="31">
        <v>2007.83333333368</v>
      </c>
      <c r="AJ102" s="2">
        <v>-0.39451377562658069</v>
      </c>
      <c r="AK102" s="2">
        <v>-4.5244348379574514E-2</v>
      </c>
      <c r="AL102" s="2">
        <v>-1.2787428986593876</v>
      </c>
      <c r="AM102" s="31"/>
      <c r="AN102" s="2">
        <f t="shared" si="17"/>
        <v>-0.19439195377321741</v>
      </c>
      <c r="AO102" s="2">
        <f t="shared" si="10"/>
        <v>-0.50662125143528247</v>
      </c>
      <c r="AP102" s="2">
        <f t="shared" si="11"/>
        <v>-0.76893655716329035</v>
      </c>
      <c r="AQ102" s="31"/>
      <c r="AR102" s="31">
        <v>2007.83333333368</v>
      </c>
      <c r="AS102" s="2">
        <v>-0.46470005055440888</v>
      </c>
      <c r="AT102" s="2">
        <v>-0.28549293171718004</v>
      </c>
      <c r="AU102" s="2">
        <v>-0.62740844298489806</v>
      </c>
      <c r="AV102" s="31"/>
      <c r="AW102" s="31">
        <v>2007.83333333368</v>
      </c>
      <c r="AX102" s="2">
        <v>0.58832221729296041</v>
      </c>
      <c r="AY102" s="2">
        <v>-0.19067841091384152</v>
      </c>
      <c r="AZ102" s="2">
        <v>0.51985430871915583</v>
      </c>
      <c r="BA102" s="31"/>
      <c r="BB102" s="31">
        <v>2007.83333333368</v>
      </c>
      <c r="BC102" s="2">
        <v>-0.18311626566298106</v>
      </c>
      <c r="BD102" s="2">
        <v>0.77503763331420128</v>
      </c>
      <c r="BE102" s="2">
        <v>-0.67167433440695701</v>
      </c>
      <c r="BG102" s="2">
        <f t="shared" si="18"/>
        <v>-1.9831366308143177E-2</v>
      </c>
      <c r="BH102" s="2">
        <f t="shared" si="12"/>
        <v>9.9622096894393233E-2</v>
      </c>
      <c r="BI102" s="2">
        <f t="shared" si="13"/>
        <v>-0.25974282289089973</v>
      </c>
    </row>
    <row r="103" spans="1:61" x14ac:dyDescent="0.3">
      <c r="A103" s="31">
        <v>2007.7500000003499</v>
      </c>
      <c r="B103">
        <v>0.69811638480756533</v>
      </c>
      <c r="C103">
        <v>6.0800000000000409E-2</v>
      </c>
      <c r="D103">
        <v>4.2445476196300257E-2</v>
      </c>
      <c r="F103" s="31">
        <v>2007.7500000003499</v>
      </c>
      <c r="G103" s="2">
        <v>0.59482016108230351</v>
      </c>
      <c r="H103" s="2">
        <v>6.1499999999999846E-2</v>
      </c>
      <c r="I103" s="2">
        <v>3.6581439906561583E-2</v>
      </c>
      <c r="K103" s="31">
        <v>2007.7500000003499</v>
      </c>
      <c r="L103" s="2">
        <v>0.75665231216213247</v>
      </c>
      <c r="M103" s="2">
        <v>6.1514999999999952E-2</v>
      </c>
      <c r="N103" s="2">
        <v>4.6547049300858678E-2</v>
      </c>
      <c r="P103" s="31">
        <v>2007.7500000003499</v>
      </c>
      <c r="Q103" s="2">
        <v>0.86353859362271568</v>
      </c>
      <c r="R103" s="2">
        <v>9.5850000000000463E-2</v>
      </c>
      <c r="S103" s="2">
        <v>4.6945542972841092E-2</v>
      </c>
      <c r="U103" s="2">
        <f t="shared" si="14"/>
        <v>0.73833702228905052</v>
      </c>
      <c r="V103" s="2">
        <f t="shared" si="15"/>
        <v>7.2955000000000089E-2</v>
      </c>
      <c r="W103" s="2">
        <f t="shared" si="16"/>
        <v>4.3358010726753791E-2</v>
      </c>
      <c r="Y103" s="31">
        <v>2007.7500000003499</v>
      </c>
      <c r="Z103" s="2">
        <v>-0.80509698198364088</v>
      </c>
      <c r="AA103" s="2">
        <v>-0.78876452892998183</v>
      </c>
      <c r="AB103" s="2">
        <v>-0.88829217243427383</v>
      </c>
      <c r="AD103" s="31">
        <v>2007.7500000003499</v>
      </c>
      <c r="AE103" s="2">
        <v>-0.31306900502578056</v>
      </c>
      <c r="AF103" s="2">
        <v>-0.68622224125583742</v>
      </c>
      <c r="AG103" s="2">
        <v>-0.5148115018287901</v>
      </c>
      <c r="AH103" s="31"/>
      <c r="AI103" s="31">
        <v>2007.7500000003499</v>
      </c>
      <c r="AJ103" s="2">
        <v>-5.9098173391414981E-2</v>
      </c>
      <c r="AK103" s="2">
        <v>-4.4052846898962821E-2</v>
      </c>
      <c r="AL103" s="2">
        <v>0.16532725279956456</v>
      </c>
      <c r="AM103" s="31"/>
      <c r="AN103" s="2">
        <f t="shared" si="17"/>
        <v>-0.39242138680027883</v>
      </c>
      <c r="AO103" s="2">
        <f t="shared" si="10"/>
        <v>-0.50634653902826077</v>
      </c>
      <c r="AP103" s="2">
        <f t="shared" si="11"/>
        <v>-0.41259214048783316</v>
      </c>
      <c r="AQ103" s="31"/>
      <c r="AR103" s="31">
        <v>2007.7500000003499</v>
      </c>
      <c r="AS103" s="2">
        <v>-1.0567621654341235</v>
      </c>
      <c r="AT103" s="2">
        <v>-0.6766476141944503</v>
      </c>
      <c r="AU103" s="2">
        <v>-0.98584963960689953</v>
      </c>
      <c r="AV103" s="31"/>
      <c r="AW103" s="31">
        <v>2007.7500000003499</v>
      </c>
      <c r="AX103" s="2">
        <v>-0.29002787067017188</v>
      </c>
      <c r="AY103" s="2">
        <v>-0.6564669997761764</v>
      </c>
      <c r="AZ103" s="2">
        <v>-0.5998775434988024</v>
      </c>
      <c r="BA103" s="31"/>
      <c r="BB103" s="31">
        <v>2007.7500000003499</v>
      </c>
      <c r="BC103" s="2">
        <v>-0.10913134962041757</v>
      </c>
      <c r="BD103" s="2">
        <v>0.36965282471677957</v>
      </c>
      <c r="BE103" s="2">
        <v>-6.1293792215439576E-2</v>
      </c>
      <c r="BG103" s="2">
        <f t="shared" si="18"/>
        <v>-0.48530712857490438</v>
      </c>
      <c r="BH103" s="2">
        <f t="shared" si="12"/>
        <v>-0.32115392975128237</v>
      </c>
      <c r="BI103" s="2">
        <f t="shared" si="13"/>
        <v>-0.54900699177371381</v>
      </c>
    </row>
    <row r="104" spans="1:61" x14ac:dyDescent="0.3">
      <c r="A104" s="31">
        <v>2007.6666666670201</v>
      </c>
      <c r="B104">
        <v>0.71866968918161067</v>
      </c>
      <c r="C104">
        <v>6.0800000000000409E-2</v>
      </c>
      <c r="D104">
        <v>4.369511710224222E-2</v>
      </c>
      <c r="F104" s="31">
        <v>2007.6666666670201</v>
      </c>
      <c r="G104" s="2">
        <v>0.6226683108074913</v>
      </c>
      <c r="H104" s="2">
        <v>9.2249999999999749E-2</v>
      </c>
      <c r="I104" s="2">
        <v>5.4212505352112098E-2</v>
      </c>
      <c r="K104" s="31">
        <v>2007.6666666670201</v>
      </c>
      <c r="L104" s="2"/>
      <c r="M104" s="2"/>
      <c r="N104" s="2"/>
      <c r="P104" s="31">
        <v>2007.6666666670201</v>
      </c>
      <c r="Q104" s="2">
        <v>0.78955737713492802</v>
      </c>
      <c r="R104" s="2">
        <v>7.1900000000000297E-2</v>
      </c>
      <c r="S104" s="2">
        <v>5.2707435771707584E-2</v>
      </c>
      <c r="U104" s="2">
        <f t="shared" si="14"/>
        <v>0.70611284397120966</v>
      </c>
      <c r="V104" s="2">
        <f t="shared" si="15"/>
        <v>8.2075000000000023E-2</v>
      </c>
      <c r="W104" s="2">
        <f t="shared" si="16"/>
        <v>5.3459970561909841E-2</v>
      </c>
      <c r="Y104" s="31">
        <v>2007.6666666670201</v>
      </c>
      <c r="Z104" s="2">
        <v>-0.64363128804628844</v>
      </c>
      <c r="AA104" s="2">
        <v>-0.1883013680744752</v>
      </c>
      <c r="AB104" s="2">
        <v>-0.48252661753508974</v>
      </c>
      <c r="AD104" s="31">
        <v>2007.6666666670201</v>
      </c>
      <c r="AE104" s="2"/>
      <c r="AF104" s="2"/>
      <c r="AG104" s="2"/>
      <c r="AH104" s="31"/>
      <c r="AI104" s="31">
        <v>2007.6666666670201</v>
      </c>
      <c r="AJ104" s="2">
        <v>0.44599731174683171</v>
      </c>
      <c r="AK104" s="2">
        <v>-0.61478205611361436</v>
      </c>
      <c r="AL104" s="2">
        <v>0.63099112461083107</v>
      </c>
      <c r="AM104" s="31"/>
      <c r="AN104" s="2">
        <f t="shared" si="17"/>
        <v>-9.8816988149728363E-2</v>
      </c>
      <c r="AO104" s="2">
        <f t="shared" si="10"/>
        <v>-0.40154171209404477</v>
      </c>
      <c r="AP104" s="2">
        <f t="shared" si="11"/>
        <v>7.4232253537870663E-2</v>
      </c>
      <c r="AQ104" s="31"/>
      <c r="AR104" s="31">
        <v>2007.6666666670201</v>
      </c>
      <c r="AS104" s="2">
        <v>-0.49355550786887953</v>
      </c>
      <c r="AT104" s="2">
        <v>0.70701225639459664</v>
      </c>
      <c r="AU104" s="2">
        <v>-3.9670529416653007E-2</v>
      </c>
      <c r="AV104" s="31"/>
      <c r="AW104" s="31">
        <v>2007.6666666670201</v>
      </c>
      <c r="AX104" s="2"/>
      <c r="AY104" s="2"/>
      <c r="AZ104" s="2"/>
      <c r="BA104" s="31"/>
      <c r="BB104" s="31">
        <v>2007.6666666670201</v>
      </c>
      <c r="BC104" s="2">
        <v>0.12800007845653044</v>
      </c>
      <c r="BD104" s="2">
        <v>7.7097786990586777E-4</v>
      </c>
      <c r="BE104" s="2">
        <v>0.70148827958729543</v>
      </c>
      <c r="BG104" s="2">
        <f t="shared" si="18"/>
        <v>-0.18277771470617454</v>
      </c>
      <c r="BH104" s="2">
        <f t="shared" si="12"/>
        <v>0.35389161713225126</v>
      </c>
      <c r="BI104" s="2">
        <f t="shared" si="13"/>
        <v>0.33090887508532119</v>
      </c>
    </row>
    <row r="105" spans="1:61" x14ac:dyDescent="0.3">
      <c r="A105" s="31">
        <v>2007.58333333369</v>
      </c>
      <c r="B105">
        <v>0.74388225983187817</v>
      </c>
      <c r="C105">
        <v>6.0800000000000409E-2</v>
      </c>
      <c r="D105">
        <v>4.5228041397778494E-2</v>
      </c>
      <c r="F105" s="31">
        <v>2007.58333333369</v>
      </c>
      <c r="G105" s="2">
        <v>0.67723013570232737</v>
      </c>
      <c r="H105" s="2">
        <v>6.1499999999999846E-2</v>
      </c>
      <c r="I105" s="2">
        <v>4.1649653345693032E-2</v>
      </c>
      <c r="K105" s="31">
        <v>2007.58333333369</v>
      </c>
      <c r="L105" s="2">
        <v>0.72405145659914139</v>
      </c>
      <c r="M105" s="2">
        <v>6.1514999999999952E-2</v>
      </c>
      <c r="N105" s="2">
        <v>4.4540740467710213E-2</v>
      </c>
      <c r="P105" s="31">
        <v>2007.58333333369</v>
      </c>
      <c r="Q105" s="2">
        <v>0.70541789399646415</v>
      </c>
      <c r="R105" s="2">
        <v>9.5850000000000463E-2</v>
      </c>
      <c r="S105" s="2">
        <v>5.9056044291545928E-2</v>
      </c>
      <c r="U105" s="2">
        <f t="shared" si="14"/>
        <v>0.70223316209931097</v>
      </c>
      <c r="V105" s="2">
        <f t="shared" si="15"/>
        <v>7.2955000000000089E-2</v>
      </c>
      <c r="W105" s="2">
        <f t="shared" si="16"/>
        <v>4.8415479368316389E-2</v>
      </c>
      <c r="Y105" s="31">
        <v>2007.58333333369</v>
      </c>
      <c r="Z105" s="2">
        <v>-0.32727767008348446</v>
      </c>
      <c r="AA105" s="2">
        <v>-0.78876452892998183</v>
      </c>
      <c r="AB105" s="2">
        <v>-0.77165109678131794</v>
      </c>
      <c r="AD105" s="31">
        <v>2007.58333333369</v>
      </c>
      <c r="AE105" s="2">
        <v>-0.5070687640522189</v>
      </c>
      <c r="AF105" s="2">
        <v>-0.68622224125583742</v>
      </c>
      <c r="AG105" s="2">
        <v>-0.59110101487253341</v>
      </c>
      <c r="AH105" s="31"/>
      <c r="AI105" s="31">
        <v>2007.58333333369</v>
      </c>
      <c r="AJ105" s="2">
        <v>1.0455783070527092</v>
      </c>
      <c r="AK105" s="2">
        <v>-4.4052846898962821E-2</v>
      </c>
      <c r="AL105" s="2">
        <v>1.1440721080931164</v>
      </c>
      <c r="AM105" s="31"/>
      <c r="AN105" s="2">
        <f t="shared" si="17"/>
        <v>7.0410624305668593E-2</v>
      </c>
      <c r="AO105" s="2">
        <f t="shared" si="10"/>
        <v>-0.50634653902826077</v>
      </c>
      <c r="AP105" s="2">
        <f t="shared" si="11"/>
        <v>-7.2893334520244976E-2</v>
      </c>
      <c r="AQ105" s="31"/>
      <c r="AR105" s="31">
        <v>2007.58333333369</v>
      </c>
      <c r="AS105" s="2">
        <v>-0.82542341561805455</v>
      </c>
      <c r="AT105" s="2">
        <v>-0.65870957567408583</v>
      </c>
      <c r="AU105" s="2">
        <v>-0.85438366076855732</v>
      </c>
      <c r="AV105" s="31"/>
      <c r="AW105" s="31">
        <v>2007.58333333369</v>
      </c>
      <c r="AX105" s="2">
        <v>-0.80822019978511228</v>
      </c>
      <c r="AY105" s="2">
        <v>-0.53553372549108424</v>
      </c>
      <c r="AZ105" s="2">
        <v>-0.91717497386617786</v>
      </c>
      <c r="BA105" s="31"/>
      <c r="BB105" s="31">
        <v>2007.58333333369</v>
      </c>
      <c r="BC105" s="2">
        <v>0.41714244184934229</v>
      </c>
      <c r="BD105" s="2">
        <v>0.77441334649330551</v>
      </c>
      <c r="BE105" s="2">
        <v>0.37254001576904239</v>
      </c>
      <c r="BG105" s="2">
        <f t="shared" si="18"/>
        <v>-0.40550039118460818</v>
      </c>
      <c r="BH105" s="2">
        <f t="shared" si="12"/>
        <v>-0.13994331822395487</v>
      </c>
      <c r="BI105" s="2">
        <f t="shared" si="13"/>
        <v>-0.46633953962189761</v>
      </c>
    </row>
    <row r="106" spans="1:61" x14ac:dyDescent="0.3">
      <c r="A106" s="31">
        <v>2007.5000000003599</v>
      </c>
      <c r="B106">
        <v>0.75857849113251585</v>
      </c>
      <c r="C106">
        <v>6.0800000000000409E-2</v>
      </c>
      <c r="D106">
        <v>4.6121572260857273E-2</v>
      </c>
      <c r="F106" s="31">
        <v>2007.5000000003599</v>
      </c>
      <c r="G106" s="2">
        <v>0.72895360024538958</v>
      </c>
      <c r="H106" s="2">
        <v>6.1499999999999846E-2</v>
      </c>
      <c r="I106" s="2">
        <v>4.4830646415091359E-2</v>
      </c>
      <c r="K106" s="31">
        <v>2007.5000000003599</v>
      </c>
      <c r="L106" s="2"/>
      <c r="M106" s="2"/>
      <c r="N106" s="2"/>
      <c r="P106" s="31">
        <v>2007.5000000003599</v>
      </c>
      <c r="Q106" s="2">
        <v>0.59488107230736453</v>
      </c>
      <c r="R106" s="2">
        <v>4.7900000000000303E-2</v>
      </c>
      <c r="S106" s="2">
        <v>4.5065456984788324E-2</v>
      </c>
      <c r="U106" s="2">
        <f t="shared" si="14"/>
        <v>0.66191733627637706</v>
      </c>
      <c r="V106" s="2">
        <f t="shared" si="15"/>
        <v>5.4700000000000075E-2</v>
      </c>
      <c r="W106" s="2">
        <f t="shared" si="16"/>
        <v>4.4948051699939845E-2</v>
      </c>
      <c r="Y106" s="31">
        <v>2007.5000000003599</v>
      </c>
      <c r="Z106" s="2">
        <v>-2.7381081703113444E-2</v>
      </c>
      <c r="AA106" s="2">
        <v>-0.78876452892998183</v>
      </c>
      <c r="AB106" s="2">
        <v>-0.69844296186054322</v>
      </c>
      <c r="AD106" s="31">
        <v>2007.5000000003599</v>
      </c>
      <c r="AE106" s="2"/>
      <c r="AF106" s="2"/>
      <c r="AG106" s="2"/>
      <c r="AH106" s="31"/>
      <c r="AI106" s="31">
        <v>2007.5000000003599</v>
      </c>
      <c r="AJ106" s="2">
        <v>1.781848052434134</v>
      </c>
      <c r="AK106" s="2">
        <v>-1.186702766808877</v>
      </c>
      <c r="AL106" s="2">
        <v>1.3382718061432481E-2</v>
      </c>
      <c r="AM106" s="31"/>
      <c r="AN106" s="2">
        <f t="shared" si="17"/>
        <v>0.87723348536551027</v>
      </c>
      <c r="AO106" s="2">
        <f t="shared" si="10"/>
        <v>-0.98773364786942941</v>
      </c>
      <c r="AP106" s="2">
        <f t="shared" si="11"/>
        <v>-0.3425301218995554</v>
      </c>
      <c r="AQ106" s="31"/>
      <c r="AR106" s="31">
        <v>2007.5000000003599</v>
      </c>
      <c r="AS106" s="2">
        <v>-0.25376631028371305</v>
      </c>
      <c r="AT106" s="2">
        <v>-2.3130098149132094E-2</v>
      </c>
      <c r="AU106" s="2">
        <v>-0.27193145424391385</v>
      </c>
      <c r="AV106" s="31"/>
      <c r="AW106" s="31">
        <v>2007.5000000003599</v>
      </c>
      <c r="AX106" s="2"/>
      <c r="AY106" s="2"/>
      <c r="AZ106" s="2"/>
      <c r="BA106" s="31"/>
      <c r="BB106" s="31">
        <v>2007.5000000003599</v>
      </c>
      <c r="BC106" s="2">
        <v>0.41530531845227459</v>
      </c>
      <c r="BD106" s="2">
        <v>-0.38248368897839508</v>
      </c>
      <c r="BE106" s="2">
        <v>0.11726705674397743</v>
      </c>
      <c r="BG106" s="2">
        <f t="shared" si="18"/>
        <v>8.0769504084280769E-2</v>
      </c>
      <c r="BH106" s="2">
        <f t="shared" si="12"/>
        <v>-0.20280689356376358</v>
      </c>
      <c r="BI106" s="2">
        <f t="shared" si="13"/>
        <v>-7.7332198749968217E-2</v>
      </c>
    </row>
    <row r="107" spans="1:61" x14ac:dyDescent="0.3">
      <c r="A107" s="31">
        <v>2007.4166666670301</v>
      </c>
      <c r="B107">
        <v>0.7213726124845159</v>
      </c>
      <c r="C107">
        <v>0.24320000000000164</v>
      </c>
      <c r="D107">
        <v>0.17543781935623545</v>
      </c>
      <c r="F107" s="31">
        <v>2007.4166666670301</v>
      </c>
      <c r="G107" s="2">
        <v>0.78142507840924358</v>
      </c>
      <c r="H107" s="2">
        <v>0.12299999999999969</v>
      </c>
      <c r="I107" s="2">
        <v>9.6115284644336732E-2</v>
      </c>
      <c r="K107" s="31">
        <v>2007.4166666670301</v>
      </c>
      <c r="L107" s="2">
        <v>0.67547111570800566</v>
      </c>
      <c r="M107" s="2">
        <v>0.15376499999999982</v>
      </c>
      <c r="N107" s="2">
        <v>4.1551826535114182E-2</v>
      </c>
      <c r="P107" s="31">
        <v>2007.4166666670301</v>
      </c>
      <c r="Q107" s="2">
        <v>0.55969645687429259</v>
      </c>
      <c r="R107" s="2">
        <v>0.19170000000000093</v>
      </c>
      <c r="S107" s="2">
        <v>6.015847369117451E-2</v>
      </c>
      <c r="U107" s="2">
        <f t="shared" si="14"/>
        <v>0.67219755033051387</v>
      </c>
      <c r="V107" s="2">
        <f t="shared" si="15"/>
        <v>0.15615500000000015</v>
      </c>
      <c r="W107" s="2">
        <f t="shared" si="16"/>
        <v>6.5941861623541806E-2</v>
      </c>
      <c r="Y107" s="31">
        <v>2007.4166666670301</v>
      </c>
      <c r="Z107" s="2">
        <v>0.27685254664392001</v>
      </c>
      <c r="AA107" s="2">
        <v>0.41216179278103221</v>
      </c>
      <c r="AB107" s="2">
        <v>0.48183396202469381</v>
      </c>
      <c r="AD107" s="31">
        <v>2007.4166666670301</v>
      </c>
      <c r="AE107" s="2">
        <v>-0.79615855214359199</v>
      </c>
      <c r="AF107" s="2">
        <v>1.5730679549465956</v>
      </c>
      <c r="AG107" s="2">
        <v>-0.70475390054994869</v>
      </c>
      <c r="AH107" s="31"/>
      <c r="AI107" s="31">
        <v>2007.4166666670301</v>
      </c>
      <c r="AJ107" s="2">
        <v>1.0367330068381524</v>
      </c>
      <c r="AK107" s="2">
        <v>2.2400554914402537</v>
      </c>
      <c r="AL107" s="2">
        <v>1.2331680979960538</v>
      </c>
      <c r="AM107" s="31"/>
      <c r="AN107" s="2">
        <f t="shared" si="17"/>
        <v>0.1724756671128268</v>
      </c>
      <c r="AO107" s="2">
        <f t="shared" si="10"/>
        <v>1.4084284130559606</v>
      </c>
      <c r="AP107" s="2">
        <f t="shared" si="11"/>
        <v>0.33674938649026626</v>
      </c>
      <c r="AQ107" s="31"/>
      <c r="AR107" s="31">
        <v>2007.4166666670301</v>
      </c>
      <c r="AS107" s="2">
        <v>-0.32141867603946273</v>
      </c>
      <c r="AT107" s="2">
        <v>-1.0250935790978113</v>
      </c>
      <c r="AU107" s="2">
        <v>-0.94804112834351284</v>
      </c>
      <c r="AV107" s="31"/>
      <c r="AW107" s="31">
        <v>2007.4166666670301</v>
      </c>
      <c r="AX107" s="2">
        <v>-1.2196572355688966</v>
      </c>
      <c r="AY107" s="2">
        <v>0.2479558400008364</v>
      </c>
      <c r="AZ107" s="2">
        <v>-1.2807752831040078</v>
      </c>
      <c r="BA107" s="31"/>
      <c r="BB107" s="31">
        <v>2007.4166666670301</v>
      </c>
      <c r="BC107" s="2">
        <v>0.33733620179054868</v>
      </c>
      <c r="BD107" s="2">
        <v>0.7751653150294695</v>
      </c>
      <c r="BE107" s="2">
        <v>0.37638504491066221</v>
      </c>
      <c r="BG107" s="2">
        <f t="shared" si="18"/>
        <v>-0.40124656993927021</v>
      </c>
      <c r="BH107" s="2">
        <f t="shared" si="12"/>
        <v>-6.5747468916847274E-4</v>
      </c>
      <c r="BI107" s="2">
        <f t="shared" si="13"/>
        <v>-0.61747712217895279</v>
      </c>
    </row>
    <row r="108" spans="1:61" x14ac:dyDescent="0.3">
      <c r="A108" s="31">
        <v>2007.3333333337</v>
      </c>
      <c r="B108">
        <v>0.6653657264917</v>
      </c>
      <c r="C108">
        <v>0.24320000000000164</v>
      </c>
      <c r="D108">
        <v>0.16181694468278254</v>
      </c>
      <c r="F108" s="31">
        <v>2007.3333333337</v>
      </c>
      <c r="G108" s="2">
        <v>0.72079478495118721</v>
      </c>
      <c r="H108" s="2">
        <v>0.12299999999999969</v>
      </c>
      <c r="I108" s="2">
        <v>8.8657758548995824E-2</v>
      </c>
      <c r="K108" s="31">
        <v>2007.3333333337</v>
      </c>
      <c r="L108" s="2">
        <v>0.58582163785010044</v>
      </c>
      <c r="M108" s="2">
        <v>0.15376499999999982</v>
      </c>
      <c r="N108" s="2">
        <v>3.6037292555581954E-2</v>
      </c>
      <c r="P108" s="31">
        <v>2007.3333333337</v>
      </c>
      <c r="Q108" s="2">
        <v>0.46788430049900454</v>
      </c>
      <c r="R108" s="2">
        <v>0.1198000000000006</v>
      </c>
      <c r="S108" s="2">
        <v>5.0938939643809099E-2</v>
      </c>
      <c r="U108" s="2">
        <f t="shared" si="14"/>
        <v>0.59150024110009747</v>
      </c>
      <c r="V108" s="2">
        <f t="shared" si="15"/>
        <v>0.13218833333333335</v>
      </c>
      <c r="W108" s="2">
        <f t="shared" si="16"/>
        <v>5.8544663582795621E-2</v>
      </c>
      <c r="Y108" s="31">
        <v>2007.3333333337</v>
      </c>
      <c r="Z108" s="2">
        <v>-7.4686514422528591E-2</v>
      </c>
      <c r="AA108" s="2">
        <v>0.41216179278103221</v>
      </c>
      <c r="AB108" s="2">
        <v>0.3102046737326008</v>
      </c>
      <c r="AD108" s="31">
        <v>2007.3333333337</v>
      </c>
      <c r="AE108" s="2">
        <v>-1.329640781395981</v>
      </c>
      <c r="AF108" s="2">
        <v>1.5730679549465956</v>
      </c>
      <c r="AG108" s="2">
        <v>-0.91444300972936177</v>
      </c>
      <c r="AH108" s="31"/>
      <c r="AI108" s="31">
        <v>2007.3333333337</v>
      </c>
      <c r="AJ108" s="2">
        <v>0.16424096377622383</v>
      </c>
      <c r="AK108" s="2">
        <v>0.52667636231568804</v>
      </c>
      <c r="AL108" s="2">
        <v>0.48806504407659257</v>
      </c>
      <c r="AM108" s="31"/>
      <c r="AN108" s="2">
        <f t="shared" si="17"/>
        <v>-0.4133621106807619</v>
      </c>
      <c r="AO108" s="2">
        <f t="shared" si="10"/>
        <v>0.83730203668110514</v>
      </c>
      <c r="AP108" s="2">
        <f t="shared" si="11"/>
        <v>-3.872443064005613E-2</v>
      </c>
      <c r="AQ108" s="31"/>
      <c r="AR108" s="31">
        <v>2007.3333333337</v>
      </c>
      <c r="AS108" s="2">
        <v>-0.22569690547957175</v>
      </c>
      <c r="AT108" s="2">
        <v>-0.62524988541030202</v>
      </c>
      <c r="AU108" s="2">
        <v>-0.62729458022959272</v>
      </c>
      <c r="AV108" s="31"/>
      <c r="AW108" s="31">
        <v>2007.3333333337</v>
      </c>
      <c r="AX108" s="2">
        <v>-1.4130506118699009</v>
      </c>
      <c r="AY108" s="2">
        <v>0.72904993846663702</v>
      </c>
      <c r="AZ108" s="2">
        <v>-1.0191423863211713</v>
      </c>
      <c r="BA108" s="31"/>
      <c r="BB108" s="31">
        <v>2007.3333333337</v>
      </c>
      <c r="BC108" s="2">
        <v>-8.1084328540421358E-2</v>
      </c>
      <c r="BD108" s="2">
        <v>-0.1780601750249331</v>
      </c>
      <c r="BE108" s="2">
        <v>0.12145247366958967</v>
      </c>
      <c r="BG108" s="2">
        <f t="shared" si="18"/>
        <v>-0.57327728196329797</v>
      </c>
      <c r="BH108" s="2">
        <f t="shared" si="12"/>
        <v>-2.4753373989532701E-2</v>
      </c>
      <c r="BI108" s="2">
        <f t="shared" si="13"/>
        <v>-0.50832816429372485</v>
      </c>
    </row>
    <row r="109" spans="1:61" x14ac:dyDescent="0.3">
      <c r="A109" s="31">
        <v>2007.2500000003699</v>
      </c>
      <c r="B109">
        <v>0.62899968789075889</v>
      </c>
      <c r="C109">
        <v>0.24320000000000164</v>
      </c>
      <c r="D109">
        <v>0.1529727240950336</v>
      </c>
      <c r="F109" s="31">
        <v>2007.2500000003699</v>
      </c>
      <c r="G109" s="2">
        <v>0.65617996717302607</v>
      </c>
      <c r="H109" s="2">
        <v>0.12299999999999969</v>
      </c>
      <c r="I109" s="2">
        <v>8.071013596228202E-2</v>
      </c>
      <c r="K109" s="31">
        <v>2007.2500000003699</v>
      </c>
      <c r="L109" s="2">
        <v>0.61573478580476027</v>
      </c>
      <c r="M109" s="2">
        <v>0.15376499999999982</v>
      </c>
      <c r="N109" s="2">
        <v>3.7876679622475443E-2</v>
      </c>
      <c r="P109" s="31">
        <v>2007.2500000003699</v>
      </c>
      <c r="Q109" s="2">
        <v>0.42136960755743474</v>
      </c>
      <c r="R109" s="2">
        <v>0.19170000000000093</v>
      </c>
      <c r="S109" s="2">
        <v>3.7878654793486635E-2</v>
      </c>
      <c r="U109" s="2">
        <f t="shared" si="14"/>
        <v>0.56442812017840704</v>
      </c>
      <c r="V109" s="2">
        <f t="shared" si="15"/>
        <v>0.15615500000000015</v>
      </c>
      <c r="W109" s="2">
        <f t="shared" si="16"/>
        <v>5.2155156792748035E-2</v>
      </c>
      <c r="Y109" s="31">
        <v>2007.2500000003699</v>
      </c>
      <c r="Z109" s="2">
        <v>-0.44932815108932567</v>
      </c>
      <c r="AA109" s="2">
        <v>0.41216179278103221</v>
      </c>
      <c r="AB109" s="2">
        <v>0.12729618762967707</v>
      </c>
      <c r="AD109" s="31">
        <v>2007.2500000003699</v>
      </c>
      <c r="AE109" s="2">
        <v>-1.1516349163746347</v>
      </c>
      <c r="AF109" s="2">
        <v>1.5730679549465956</v>
      </c>
      <c r="AG109" s="2">
        <v>-0.84450066520404132</v>
      </c>
      <c r="AH109" s="31"/>
      <c r="AI109" s="31">
        <v>2007.2500000003699</v>
      </c>
      <c r="AJ109" s="2">
        <v>-1.0025482563383277</v>
      </c>
      <c r="AK109" s="2">
        <v>2.2400554914402537</v>
      </c>
      <c r="AL109" s="2">
        <v>-0.56743928803378785</v>
      </c>
      <c r="AM109" s="31"/>
      <c r="AN109" s="2">
        <f t="shared" si="17"/>
        <v>-0.86783710793409607</v>
      </c>
      <c r="AO109" s="2">
        <f t="shared" si="10"/>
        <v>1.4084284130559606</v>
      </c>
      <c r="AP109" s="2">
        <f t="shared" si="11"/>
        <v>-0.42821458853605071</v>
      </c>
      <c r="AQ109" s="31"/>
      <c r="AR109" s="31">
        <v>2007.2500000003699</v>
      </c>
      <c r="AS109" s="2">
        <v>-0.36268597438308614</v>
      </c>
      <c r="AT109" s="2">
        <v>-0.74536446371894627</v>
      </c>
      <c r="AU109" s="2">
        <v>-0.76527326119831018</v>
      </c>
      <c r="AV109" s="31"/>
      <c r="AW109" s="31">
        <v>2007.2500000003699</v>
      </c>
      <c r="AX109" s="2">
        <v>-1.1144730861997545</v>
      </c>
      <c r="AY109" s="2">
        <v>0.55886310744945389</v>
      </c>
      <c r="AZ109" s="2">
        <v>-1.0433082064449584</v>
      </c>
      <c r="BA109" s="31"/>
      <c r="BB109" s="31">
        <v>2007.2500000003699</v>
      </c>
      <c r="BC109" s="2">
        <v>-0.83916209653131157</v>
      </c>
      <c r="BD109" s="2">
        <v>1.1204684408565393</v>
      </c>
      <c r="BE109" s="2">
        <v>-0.66591916763876391</v>
      </c>
      <c r="BG109" s="2">
        <f t="shared" si="18"/>
        <v>-0.77210705237138411</v>
      </c>
      <c r="BH109" s="2">
        <f t="shared" si="12"/>
        <v>0.31132236152901566</v>
      </c>
      <c r="BI109" s="2">
        <f t="shared" si="13"/>
        <v>-0.82483354509401074</v>
      </c>
    </row>
    <row r="110" spans="1:61" x14ac:dyDescent="0.3">
      <c r="A110" s="31">
        <v>2007.1666666670401</v>
      </c>
      <c r="B110">
        <v>0.55239332253731455</v>
      </c>
      <c r="C110">
        <v>0.25840000000000174</v>
      </c>
      <c r="D110">
        <v>0.14273843454364304</v>
      </c>
      <c r="F110" s="31">
        <v>2007.1666666670401</v>
      </c>
      <c r="G110" s="2">
        <v>0.62300774048038954</v>
      </c>
      <c r="H110" s="2">
        <v>0.12299999999999969</v>
      </c>
      <c r="I110" s="2">
        <v>7.6629952079087738E-2</v>
      </c>
      <c r="K110" s="31">
        <v>2007.1666666670401</v>
      </c>
      <c r="L110" s="2">
        <v>0.73158450527738161</v>
      </c>
      <c r="M110" s="2">
        <v>0.15376499999999982</v>
      </c>
      <c r="N110" s="2">
        <v>4.5001433478985005E-2</v>
      </c>
      <c r="P110" s="31">
        <v>2007.1666666670401</v>
      </c>
      <c r="Q110" s="2">
        <v>0.38093995861030006</v>
      </c>
      <c r="R110" s="2">
        <v>0.1198000000000006</v>
      </c>
      <c r="S110" s="2">
        <v>3.07741296854918E-2</v>
      </c>
      <c r="U110" s="2">
        <f t="shared" si="14"/>
        <v>0.57851073478935711</v>
      </c>
      <c r="V110" s="2">
        <f t="shared" si="15"/>
        <v>0.13218833333333335</v>
      </c>
      <c r="W110" s="2">
        <f t="shared" si="16"/>
        <v>5.0801838414521516E-2</v>
      </c>
      <c r="Y110" s="31">
        <v>2007.1666666670401</v>
      </c>
      <c r="Z110" s="2">
        <v>-0.64166324894070026</v>
      </c>
      <c r="AA110" s="2">
        <v>0.41216179278103221</v>
      </c>
      <c r="AB110" s="2">
        <v>3.3393860367154596E-2</v>
      </c>
      <c r="AD110" s="31">
        <v>2007.1666666670401</v>
      </c>
      <c r="AE110" s="2">
        <v>-0.4622414243068152</v>
      </c>
      <c r="AF110" s="2">
        <v>1.5730679549465956</v>
      </c>
      <c r="AG110" s="2">
        <v>-0.57358325045255842</v>
      </c>
      <c r="AH110" s="31"/>
      <c r="AI110" s="31">
        <v>2007.1666666670401</v>
      </c>
      <c r="AJ110" s="2">
        <v>-1.6219010791711155</v>
      </c>
      <c r="AK110" s="2">
        <v>0.52667636231568804</v>
      </c>
      <c r="AL110" s="2">
        <v>-1.1416118359541625</v>
      </c>
      <c r="AM110" s="31"/>
      <c r="AN110" s="2">
        <f t="shared" si="17"/>
        <v>-0.90860191747287711</v>
      </c>
      <c r="AO110" s="2">
        <f t="shared" si="10"/>
        <v>0.83730203668110514</v>
      </c>
      <c r="AP110" s="2">
        <f t="shared" si="11"/>
        <v>-0.56060040867985539</v>
      </c>
      <c r="AQ110" s="31"/>
      <c r="AR110" s="31">
        <v>2007.1666666670401</v>
      </c>
      <c r="AS110" s="2">
        <v>-0.30797082941875148</v>
      </c>
      <c r="AT110" s="2">
        <v>-0.46657286796563235</v>
      </c>
      <c r="AU110" s="2">
        <v>-0.55484329100498575</v>
      </c>
      <c r="AV110" s="31"/>
      <c r="AW110" s="31">
        <v>2007.1666666670401</v>
      </c>
      <c r="AX110" s="2">
        <v>-0.2735741063874601</v>
      </c>
      <c r="AY110" s="2">
        <v>0.86392340572950155</v>
      </c>
      <c r="AZ110" s="2">
        <v>-0.61926986538921891</v>
      </c>
      <c r="BA110" s="31"/>
      <c r="BB110" s="31">
        <v>2007.1666666670401</v>
      </c>
      <c r="BC110" s="2">
        <v>-1.150033179244053</v>
      </c>
      <c r="BD110" s="2">
        <v>0.3086063174042078</v>
      </c>
      <c r="BE110" s="2">
        <v>-0.80949095122059034</v>
      </c>
      <c r="BG110" s="2">
        <f t="shared" si="18"/>
        <v>-0.5771927050167549</v>
      </c>
      <c r="BH110" s="2">
        <f t="shared" si="12"/>
        <v>0.23531895172269232</v>
      </c>
      <c r="BI110" s="2">
        <f t="shared" si="13"/>
        <v>-0.66120136920493167</v>
      </c>
    </row>
    <row r="111" spans="1:61" x14ac:dyDescent="0.3">
      <c r="A111" s="31">
        <v>2007.08333333371</v>
      </c>
      <c r="B111">
        <v>0.48329915183718092</v>
      </c>
      <c r="C111">
        <v>4.5600000000000307E-2</v>
      </c>
      <c r="D111">
        <v>2.2038441323775599E-2</v>
      </c>
      <c r="F111" s="31">
        <v>2007.08333333371</v>
      </c>
      <c r="G111" s="2">
        <v>0.60524909135616523</v>
      </c>
      <c r="H111" s="2">
        <v>0.12299999999999969</v>
      </c>
      <c r="I111" s="2">
        <v>7.4445638236808151E-2</v>
      </c>
      <c r="K111" s="31">
        <v>2007.08333333371</v>
      </c>
      <c r="L111" s="2">
        <v>0.68369819968493473</v>
      </c>
      <c r="M111" s="2">
        <v>6.1514999999999952E-2</v>
      </c>
      <c r="N111" s="2">
        <v>4.2056424388404928E-2</v>
      </c>
      <c r="P111" s="31">
        <v>2007.08333333371</v>
      </c>
      <c r="Q111" s="2">
        <v>0.40519304323639227</v>
      </c>
      <c r="R111" s="2">
        <v>9.5850000000000463E-2</v>
      </c>
      <c r="S111" s="2">
        <v>2.946616755087092E-2</v>
      </c>
      <c r="U111" s="2">
        <f t="shared" si="14"/>
        <v>0.56471344475916407</v>
      </c>
      <c r="V111" s="2">
        <f t="shared" si="15"/>
        <v>9.3455000000000024E-2</v>
      </c>
      <c r="W111" s="2">
        <f t="shared" si="16"/>
        <v>4.865607672536134E-2</v>
      </c>
      <c r="Y111" s="31">
        <v>2007.08333333371</v>
      </c>
      <c r="Z111" s="2">
        <v>-0.74462924964556398</v>
      </c>
      <c r="AA111" s="2">
        <v>0.41216179278103221</v>
      </c>
      <c r="AB111" s="2">
        <v>-1.687646056289574E-2</v>
      </c>
      <c r="AD111" s="31">
        <v>2007.08333333371</v>
      </c>
      <c r="AE111" s="2">
        <v>-0.7472011772081204</v>
      </c>
      <c r="AF111" s="2">
        <v>-0.68622224125583742</v>
      </c>
      <c r="AG111" s="2">
        <v>-0.6855666628353746</v>
      </c>
      <c r="AH111" s="31"/>
      <c r="AI111" s="31">
        <v>2007.08333333371</v>
      </c>
      <c r="AJ111" s="2">
        <v>-1.7344735347898963</v>
      </c>
      <c r="AK111" s="2">
        <v>-4.4052846898962821E-2</v>
      </c>
      <c r="AL111" s="2">
        <v>-1.2473185425957554</v>
      </c>
      <c r="AM111" s="31"/>
      <c r="AN111" s="2">
        <f t="shared" si="17"/>
        <v>-1.0754346538811936</v>
      </c>
      <c r="AO111" s="2">
        <f t="shared" si="10"/>
        <v>-0.10603776512458934</v>
      </c>
      <c r="AP111" s="2">
        <f t="shared" si="11"/>
        <v>-0.64992055533134196</v>
      </c>
      <c r="AQ111" s="31"/>
      <c r="AR111" s="31">
        <v>2007.08333333371</v>
      </c>
      <c r="AS111" s="2">
        <v>-0.27011194852580694</v>
      </c>
      <c r="AT111" s="2">
        <v>1.9496224470835801</v>
      </c>
      <c r="AU111" s="2">
        <v>1.3474307930101552</v>
      </c>
      <c r="AV111" s="31"/>
      <c r="AW111" s="31">
        <v>2007.08333333371</v>
      </c>
      <c r="AX111" s="2">
        <v>-0.47330158442437514</v>
      </c>
      <c r="AY111" s="2">
        <v>-0.87038484719517628</v>
      </c>
      <c r="AZ111" s="2">
        <v>-0.84031160023666684</v>
      </c>
      <c r="BA111" s="31"/>
      <c r="BB111" s="31">
        <v>2007.08333333371</v>
      </c>
      <c r="BC111" s="2">
        <v>-1.1665569020132545</v>
      </c>
      <c r="BD111" s="2">
        <v>-1.4615836317459097E-2</v>
      </c>
      <c r="BE111" s="2">
        <v>-1.0621313947422844</v>
      </c>
      <c r="BG111" s="2">
        <f t="shared" si="18"/>
        <v>-0.63665681165447885</v>
      </c>
      <c r="BH111" s="2">
        <f t="shared" si="12"/>
        <v>0.35487392119031491</v>
      </c>
      <c r="BI111" s="2">
        <f t="shared" si="13"/>
        <v>-0.18500406732293198</v>
      </c>
    </row>
    <row r="112" spans="1:61" x14ac:dyDescent="0.3">
      <c r="A112" s="31">
        <v>2007.0000000003799</v>
      </c>
      <c r="B112">
        <v>0.50448124109120374</v>
      </c>
      <c r="C112">
        <v>4.5600000000000307E-2</v>
      </c>
      <c r="D112">
        <v>2.3004344593759045E-2</v>
      </c>
      <c r="F112" s="31">
        <v>2007.0000000003799</v>
      </c>
      <c r="G112" s="2">
        <v>0.62887502817475083</v>
      </c>
      <c r="H112" s="2">
        <v>6.1499999999999846E-2</v>
      </c>
      <c r="I112" s="2">
        <v>3.8675814232747088E-2</v>
      </c>
      <c r="K112" s="31">
        <v>2007.0000000003799</v>
      </c>
      <c r="L112" s="2">
        <v>0.68792130471045831</v>
      </c>
      <c r="M112" s="2">
        <v>6.1514999999999952E-2</v>
      </c>
      <c r="N112" s="2">
        <v>4.2316141458663262E-2</v>
      </c>
      <c r="P112" s="31">
        <v>2007.0000000003799</v>
      </c>
      <c r="Q112" s="2">
        <v>0.44203140360468862</v>
      </c>
      <c r="R112" s="2">
        <v>7.1900000000000297E-2</v>
      </c>
      <c r="S112" s="2">
        <v>3.0099983944870255E-2</v>
      </c>
      <c r="U112" s="2">
        <f t="shared" si="14"/>
        <v>0.58627591216329922</v>
      </c>
      <c r="V112" s="2">
        <f t="shared" si="15"/>
        <v>6.4971666666666705E-2</v>
      </c>
      <c r="W112" s="2">
        <f t="shared" si="16"/>
        <v>3.7030646545426864E-2</v>
      </c>
      <c r="Y112" s="31">
        <v>2007.0000000003799</v>
      </c>
      <c r="Z112" s="2">
        <v>-0.60764426784324976</v>
      </c>
      <c r="AA112" s="2">
        <v>-0.78876452892998183</v>
      </c>
      <c r="AB112" s="2">
        <v>-0.84009174102780237</v>
      </c>
      <c r="AD112" s="31">
        <v>2007.0000000003799</v>
      </c>
      <c r="AE112" s="2">
        <v>-0.72207050676568652</v>
      </c>
      <c r="AF112" s="2">
        <v>-0.68622224125583742</v>
      </c>
      <c r="AG112" s="2">
        <v>-0.67569097047346505</v>
      </c>
      <c r="AH112" s="31"/>
      <c r="AI112" s="31">
        <v>2007.0000000003799</v>
      </c>
      <c r="AJ112" s="2">
        <v>-1.6776774471845743</v>
      </c>
      <c r="AK112" s="2">
        <v>-0.61478205611361436</v>
      </c>
      <c r="AL112" s="2">
        <v>-1.1960948551114536</v>
      </c>
      <c r="AM112" s="31"/>
      <c r="AN112" s="2">
        <f t="shared" si="17"/>
        <v>-1.0024640739311701</v>
      </c>
      <c r="AO112" s="2">
        <f t="shared" si="10"/>
        <v>-0.69658960876647791</v>
      </c>
      <c r="AP112" s="2">
        <f t="shared" si="11"/>
        <v>-0.90395918887090698</v>
      </c>
      <c r="AQ112" s="31"/>
      <c r="AR112" s="31">
        <v>2007.0000000003799</v>
      </c>
      <c r="AS112" s="2">
        <v>-0.13122887965587898</v>
      </c>
      <c r="AT112" s="2">
        <v>-0.29853293598826575</v>
      </c>
      <c r="AU112" s="2">
        <v>-0.35379064241983993</v>
      </c>
      <c r="AV112" s="31"/>
      <c r="AW112" s="31">
        <v>2007.0000000003799</v>
      </c>
      <c r="AX112" s="2">
        <v>-0.30971533251486327</v>
      </c>
      <c r="AY112" s="2">
        <v>-0.21981065223360952</v>
      </c>
      <c r="AZ112" s="2">
        <v>-0.36433803524862668</v>
      </c>
      <c r="BA112" s="31"/>
      <c r="BB112" s="31">
        <v>2007.0000000003799</v>
      </c>
      <c r="BC112" s="2">
        <v>-0.93775185784955195</v>
      </c>
      <c r="BD112" s="2">
        <v>-9.3919208556921333E-2</v>
      </c>
      <c r="BE112" s="2">
        <v>-0.54006526434830249</v>
      </c>
      <c r="BG112" s="2">
        <f t="shared" si="18"/>
        <v>-0.4595653566734314</v>
      </c>
      <c r="BH112" s="2">
        <f t="shared" si="12"/>
        <v>-0.20408759892626552</v>
      </c>
      <c r="BI112" s="2">
        <f t="shared" si="13"/>
        <v>-0.41939798067225631</v>
      </c>
    </row>
    <row r="113" spans="1:61" x14ac:dyDescent="0.3">
      <c r="A113" s="31">
        <v>2006.9166666670501</v>
      </c>
      <c r="B113">
        <v>0.53079634379451224</v>
      </c>
      <c r="C113">
        <v>3.0400000000000205E-2</v>
      </c>
      <c r="D113">
        <v>1.6136208851353282E-2</v>
      </c>
      <c r="F113" s="31">
        <v>2006.9166666670501</v>
      </c>
      <c r="G113" s="2">
        <v>0.65815140542954209</v>
      </c>
      <c r="H113" s="2">
        <v>9.2249999999999749E-2</v>
      </c>
      <c r="I113" s="2">
        <v>5.8818040267091684E-2</v>
      </c>
      <c r="K113" s="31">
        <v>2006.9166666670501</v>
      </c>
      <c r="L113" s="2">
        <v>0.71624728578208163</v>
      </c>
      <c r="M113" s="2">
        <v>6.1514999999999952E-2</v>
      </c>
      <c r="N113" s="2">
        <v>4.4058566729028463E-2</v>
      </c>
      <c r="P113" s="31">
        <v>2006.9166666670501</v>
      </c>
      <c r="Q113" s="2">
        <v>0.5189939708571647</v>
      </c>
      <c r="R113" s="2">
        <v>7.1900000000000297E-2</v>
      </c>
      <c r="S113" s="2">
        <v>3.1426343244699916E-2</v>
      </c>
      <c r="U113" s="2">
        <f t="shared" si="14"/>
        <v>0.63113088735626277</v>
      </c>
      <c r="V113" s="2">
        <f t="shared" si="15"/>
        <v>7.5221666666666673E-2</v>
      </c>
      <c r="W113" s="2">
        <f t="shared" si="16"/>
        <v>4.4767650080273357E-2</v>
      </c>
      <c r="Y113" s="31">
        <v>2006.9166666670501</v>
      </c>
      <c r="Z113" s="2">
        <v>-0.43789760186848842</v>
      </c>
      <c r="AA113" s="2">
        <v>-0.1883013680744752</v>
      </c>
      <c r="AB113" s="2">
        <v>-0.37653373604102935</v>
      </c>
      <c r="AD113" s="31">
        <v>2006.9166666670501</v>
      </c>
      <c r="AE113" s="2">
        <v>-0.55350948567639224</v>
      </c>
      <c r="AF113" s="2">
        <v>-0.68622224125583742</v>
      </c>
      <c r="AG113" s="2">
        <v>-0.60943557988004826</v>
      </c>
      <c r="AH113" s="31"/>
      <c r="AI113" s="31">
        <v>2006.9166666670501</v>
      </c>
      <c r="AJ113" s="2">
        <v>-1.5612997879228758</v>
      </c>
      <c r="AK113" s="2">
        <v>-0.61478205611361436</v>
      </c>
      <c r="AL113" s="2">
        <v>-1.088901328863783</v>
      </c>
      <c r="AM113" s="31"/>
      <c r="AN113" s="2">
        <f t="shared" si="17"/>
        <v>-0.85090229182258537</v>
      </c>
      <c r="AO113" s="2">
        <f t="shared" si="10"/>
        <v>-0.49643522181464234</v>
      </c>
      <c r="AP113" s="2">
        <f t="shared" si="11"/>
        <v>-0.69162354826162009</v>
      </c>
      <c r="AQ113" s="31"/>
      <c r="AR113" s="31">
        <v>2006.9166666670501</v>
      </c>
      <c r="AS113" s="2">
        <v>-0.15336923781527662</v>
      </c>
      <c r="AT113" s="2">
        <v>0.68444756444045063</v>
      </c>
      <c r="AU113" s="2">
        <v>0.31647847281882152</v>
      </c>
      <c r="AV113" s="31"/>
      <c r="AW113" s="31">
        <v>2006.9166666670501</v>
      </c>
      <c r="AX113" s="2">
        <v>-0.29736930152593083</v>
      </c>
      <c r="AY113" s="2">
        <v>-0.51751295497595129</v>
      </c>
      <c r="AZ113" s="2">
        <v>-0.40499741949929657</v>
      </c>
      <c r="BA113" s="31"/>
      <c r="BB113" s="31">
        <v>2006.9166666670501</v>
      </c>
      <c r="BC113" s="2">
        <v>-1.4237462146480557</v>
      </c>
      <c r="BD113" s="2">
        <v>-0.44318112469553572</v>
      </c>
      <c r="BE113" s="2">
        <v>-0.92982803920526447</v>
      </c>
      <c r="BG113" s="2">
        <f t="shared" si="18"/>
        <v>-0.62482825132975439</v>
      </c>
      <c r="BH113" s="2">
        <f t="shared" si="12"/>
        <v>-9.208217174367879E-2</v>
      </c>
      <c r="BI113" s="2">
        <f t="shared" si="13"/>
        <v>-0.33944899529524647</v>
      </c>
    </row>
    <row r="114" spans="1:61" x14ac:dyDescent="0.3">
      <c r="A114" s="31">
        <v>2006.83333333372</v>
      </c>
      <c r="B114">
        <v>0.57600604405069555</v>
      </c>
      <c r="C114">
        <v>4.5600000000000307E-2</v>
      </c>
      <c r="D114">
        <v>2.6265875608711894E-2</v>
      </c>
      <c r="F114" s="31">
        <v>2006.83333333372</v>
      </c>
      <c r="G114" s="2">
        <v>0.67693774481181412</v>
      </c>
      <c r="H114" s="2">
        <v>6.1499999999999846E-2</v>
      </c>
      <c r="I114" s="2">
        <v>4.1631671305926474E-2</v>
      </c>
      <c r="K114" s="31">
        <v>2006.83333333372</v>
      </c>
      <c r="L114" s="2">
        <v>0.75103335770821089</v>
      </c>
      <c r="M114" s="2">
        <v>6.1514999999999952E-2</v>
      </c>
      <c r="N114" s="2">
        <v>4.6198456784676906E-2</v>
      </c>
      <c r="P114" s="31">
        <v>2006.83333333372</v>
      </c>
      <c r="Q114" s="2">
        <v>0.60432862114758301</v>
      </c>
      <c r="R114" s="2">
        <v>7.1900000000000297E-2</v>
      </c>
      <c r="S114" s="2">
        <v>3.3526738057042572E-2</v>
      </c>
      <c r="U114" s="2">
        <f t="shared" si="14"/>
        <v>0.67743324122253601</v>
      </c>
      <c r="V114" s="2">
        <f t="shared" si="15"/>
        <v>6.4971666666666705E-2</v>
      </c>
      <c r="W114" s="2">
        <f t="shared" si="16"/>
        <v>4.0452288715881982E-2</v>
      </c>
      <c r="Y114" s="31">
        <v>2006.83333333372</v>
      </c>
      <c r="Z114" s="2">
        <v>-0.32897297474478415</v>
      </c>
      <c r="AA114" s="2">
        <v>-0.78876452892998183</v>
      </c>
      <c r="AB114" s="2">
        <v>-0.77206493974314172</v>
      </c>
      <c r="AD114" s="31">
        <v>2006.83333333372</v>
      </c>
      <c r="AE114" s="2">
        <v>-0.34650603577900985</v>
      </c>
      <c r="AF114" s="2">
        <v>-0.68622224125583742</v>
      </c>
      <c r="AG114" s="2">
        <v>-0.52806666617378639</v>
      </c>
      <c r="AH114" s="31"/>
      <c r="AI114" s="31">
        <v>2006.83333333372</v>
      </c>
      <c r="AJ114" s="2">
        <v>-1.3795804129402569</v>
      </c>
      <c r="AK114" s="2">
        <v>-0.61478205611361436</v>
      </c>
      <c r="AL114" s="2">
        <v>-0.91915190540345892</v>
      </c>
      <c r="AM114" s="31"/>
      <c r="AN114" s="2">
        <f t="shared" si="17"/>
        <v>-0.6850198078213503</v>
      </c>
      <c r="AO114" s="2">
        <f t="shared" si="10"/>
        <v>-0.69658960876647791</v>
      </c>
      <c r="AP114" s="2">
        <f t="shared" si="11"/>
        <v>-0.73976117044012912</v>
      </c>
      <c r="AQ114" s="31"/>
      <c r="AR114" s="31">
        <v>2006.83333333372</v>
      </c>
      <c r="AS114" s="2">
        <v>-9.6807133242352919E-2</v>
      </c>
      <c r="AT114" s="2">
        <v>-0.28549293171718004</v>
      </c>
      <c r="AU114" s="2">
        <v>-0.3197712719824029</v>
      </c>
      <c r="AV114" s="31"/>
      <c r="AW114" s="31">
        <v>2006.83333333372</v>
      </c>
      <c r="AX114" s="2">
        <v>-8.2940454385628179E-2</v>
      </c>
      <c r="AY114" s="2">
        <v>-0.19138401234735175</v>
      </c>
      <c r="AZ114" s="2">
        <v>-0.12369609706264019</v>
      </c>
      <c r="BA114" s="31"/>
      <c r="BB114" s="31">
        <v>2006.83333333372</v>
      </c>
      <c r="BC114" s="2">
        <v>-0.83777324722091107</v>
      </c>
      <c r="BD114" s="2">
        <v>-4.0971152421897278E-2</v>
      </c>
      <c r="BE114" s="2">
        <v>-0.42380891126609282</v>
      </c>
      <c r="BG114" s="2">
        <f t="shared" si="18"/>
        <v>-0.33917361161629739</v>
      </c>
      <c r="BH114" s="2">
        <f t="shared" si="12"/>
        <v>-0.17261603216214302</v>
      </c>
      <c r="BI114" s="2">
        <f t="shared" si="13"/>
        <v>-0.28909209343704534</v>
      </c>
    </row>
    <row r="115" spans="1:61" x14ac:dyDescent="0.3">
      <c r="A115" s="31">
        <v>2006.7500000003899</v>
      </c>
      <c r="B115">
        <v>0.6253612267692179</v>
      </c>
      <c r="C115">
        <v>3.0400000000000205E-2</v>
      </c>
      <c r="D115">
        <v>1.9010981293784351E-2</v>
      </c>
      <c r="F115" s="31">
        <v>2006.7500000003899</v>
      </c>
      <c r="G115" s="2">
        <v>0.68438429872182471</v>
      </c>
      <c r="H115" s="2">
        <v>9.2249999999999749E-2</v>
      </c>
      <c r="I115" s="2">
        <v>6.1164383086616578E-2</v>
      </c>
      <c r="K115" s="31">
        <v>2006.7500000003899</v>
      </c>
      <c r="L115" s="2">
        <v>0.78754907251800976</v>
      </c>
      <c r="M115" s="2">
        <v>6.1514999999999952E-2</v>
      </c>
      <c r="N115" s="2">
        <v>4.844475331899091E-2</v>
      </c>
      <c r="P115" s="31">
        <v>2006.7500000003899</v>
      </c>
      <c r="Q115" s="2">
        <v>0.62264379227511291</v>
      </c>
      <c r="R115" s="2">
        <v>7.1900000000000297E-2</v>
      </c>
      <c r="S115" s="2">
        <v>3.6471483154838009E-2</v>
      </c>
      <c r="U115" s="2">
        <f t="shared" si="14"/>
        <v>0.69819238783831583</v>
      </c>
      <c r="V115" s="2">
        <f t="shared" si="15"/>
        <v>7.5221666666666673E-2</v>
      </c>
      <c r="W115" s="2">
        <f t="shared" si="16"/>
        <v>4.8693539853481828E-2</v>
      </c>
      <c r="Y115" s="31">
        <v>2006.7500000003899</v>
      </c>
      <c r="Z115" s="2">
        <v>-0.28579728780015867</v>
      </c>
      <c r="AA115" s="2">
        <v>-0.1883013680744752</v>
      </c>
      <c r="AB115" s="2">
        <v>-0.3225344414953612</v>
      </c>
      <c r="AD115" s="31">
        <v>2006.7500000003899</v>
      </c>
      <c r="AE115" s="2">
        <v>-0.12920990193701887</v>
      </c>
      <c r="AF115" s="2">
        <v>-0.68622224125583742</v>
      </c>
      <c r="AG115" s="2">
        <v>-0.44265166628778313</v>
      </c>
      <c r="AH115" s="31"/>
      <c r="AI115" s="31">
        <v>2006.7500000003899</v>
      </c>
      <c r="AJ115" s="2">
        <v>-1.1276381429657867</v>
      </c>
      <c r="AK115" s="2">
        <v>-0.61478205611361436</v>
      </c>
      <c r="AL115" s="2">
        <v>-0.68116389493467133</v>
      </c>
      <c r="AM115" s="31"/>
      <c r="AN115" s="2">
        <f t="shared" si="17"/>
        <v>-0.51421511090098815</v>
      </c>
      <c r="AO115" s="2">
        <f t="shared" si="10"/>
        <v>-0.49643522181464234</v>
      </c>
      <c r="AP115" s="2">
        <f t="shared" si="11"/>
        <v>-0.48211666757260524</v>
      </c>
      <c r="AQ115" s="31"/>
      <c r="AR115" s="31">
        <v>2006.7500000003899</v>
      </c>
      <c r="AS115" s="2">
        <v>-0.42647700442652892</v>
      </c>
      <c r="AT115" s="2">
        <v>0.89414149018552613</v>
      </c>
      <c r="AU115" s="2">
        <v>0.24705673226395344</v>
      </c>
      <c r="AV115" s="31"/>
      <c r="AW115" s="31">
        <v>2006.7500000003899</v>
      </c>
      <c r="AX115" s="2">
        <v>-8.131951371635443E-2</v>
      </c>
      <c r="AY115" s="2">
        <v>-0.6564669997761764</v>
      </c>
      <c r="AZ115" s="2">
        <v>-0.45107012334728458</v>
      </c>
      <c r="BA115" s="31"/>
      <c r="BB115" s="31">
        <v>2006.7500000003899</v>
      </c>
      <c r="BC115" s="2">
        <v>-1.173706843981128</v>
      </c>
      <c r="BD115" s="2">
        <v>-0.59144451954684485</v>
      </c>
      <c r="BE115" s="2">
        <v>-0.85788502455452831</v>
      </c>
      <c r="BG115" s="2">
        <f t="shared" si="18"/>
        <v>-0.56050112070800384</v>
      </c>
      <c r="BH115" s="2">
        <f t="shared" si="12"/>
        <v>-0.1179233430458317</v>
      </c>
      <c r="BI115" s="2">
        <f t="shared" si="13"/>
        <v>-0.35396613854595316</v>
      </c>
    </row>
    <row r="116" spans="1:61" x14ac:dyDescent="0.3">
      <c r="A116" s="31">
        <v>2006.6666666670601</v>
      </c>
      <c r="B116">
        <v>0.65606244771672428</v>
      </c>
      <c r="C116">
        <v>4.5600000000000307E-2</v>
      </c>
      <c r="D116">
        <v>2.991644761588283E-2</v>
      </c>
      <c r="F116" s="31">
        <v>2006.6666666670601</v>
      </c>
      <c r="G116" s="2">
        <v>0.69447964219698</v>
      </c>
      <c r="H116" s="2">
        <v>6.1499999999999846E-2</v>
      </c>
      <c r="I116" s="2">
        <v>4.2710497995114172E-2</v>
      </c>
      <c r="K116" s="31">
        <v>2006.6666666670601</v>
      </c>
      <c r="L116" s="2">
        <v>0.8476515379329681</v>
      </c>
      <c r="M116" s="2">
        <v>6.1514999999999952E-2</v>
      </c>
      <c r="N116" s="2">
        <v>5.2141664167482824E-2</v>
      </c>
      <c r="P116" s="31">
        <v>2006.6666666670601</v>
      </c>
      <c r="Q116" s="2">
        <v>0.58417536349167765</v>
      </c>
      <c r="R116" s="2">
        <v>7.1900000000000297E-2</v>
      </c>
      <c r="S116" s="2">
        <v>4.0197292899491158E-2</v>
      </c>
      <c r="U116" s="2">
        <f t="shared" si="14"/>
        <v>0.70876884787387517</v>
      </c>
      <c r="V116" s="2">
        <f t="shared" si="15"/>
        <v>6.4971666666666705E-2</v>
      </c>
      <c r="W116" s="2">
        <f t="shared" si="16"/>
        <v>4.5016485020696051E-2</v>
      </c>
      <c r="Y116" s="31">
        <v>2006.6666666670601</v>
      </c>
      <c r="Z116" s="2">
        <v>-0.2272637171379204</v>
      </c>
      <c r="AA116" s="2">
        <v>-0.78876452892998183</v>
      </c>
      <c r="AB116" s="2">
        <v>-0.747236564422876</v>
      </c>
      <c r="AD116" s="31">
        <v>2006.6666666670601</v>
      </c>
      <c r="AE116" s="2">
        <v>0.22844524563626106</v>
      </c>
      <c r="AF116" s="2">
        <v>-0.68622224125583742</v>
      </c>
      <c r="AG116" s="2">
        <v>-0.30207733209867105</v>
      </c>
      <c r="AH116" s="31"/>
      <c r="AI116" s="31">
        <v>2006.6666666670601</v>
      </c>
      <c r="AJ116" s="2">
        <v>-0.80960014476294728</v>
      </c>
      <c r="AK116" s="2">
        <v>-0.61478205611361436</v>
      </c>
      <c r="AL116" s="2">
        <v>-0.38005190762580571</v>
      </c>
      <c r="AM116" s="31"/>
      <c r="AN116" s="2">
        <f t="shared" si="17"/>
        <v>-0.2694728720882022</v>
      </c>
      <c r="AO116" s="2">
        <f t="shared" si="10"/>
        <v>-0.69658960876647791</v>
      </c>
      <c r="AP116" s="2">
        <f t="shared" si="11"/>
        <v>-0.47645526804911759</v>
      </c>
      <c r="AQ116" s="31"/>
      <c r="AR116" s="31">
        <v>2006.6666666670601</v>
      </c>
      <c r="AS116" s="2">
        <v>-0.26665216321403218</v>
      </c>
      <c r="AT116" s="2">
        <v>-0.32631334910519932</v>
      </c>
      <c r="AU116" s="2">
        <v>-0.4863575801386148</v>
      </c>
      <c r="AV116" s="31"/>
      <c r="AW116" s="31">
        <v>2006.6666666670601</v>
      </c>
      <c r="AX116" s="2">
        <v>5.8096136669566277E-2</v>
      </c>
      <c r="AY116" s="2">
        <v>-0.23837245449551037</v>
      </c>
      <c r="AZ116" s="2">
        <v>4.2217932279942243E-2</v>
      </c>
      <c r="BA116" s="31"/>
      <c r="BB116" s="31">
        <v>2006.6666666670601</v>
      </c>
      <c r="BC116" s="2">
        <v>-0.98228194861920382</v>
      </c>
      <c r="BD116" s="2">
        <v>7.7097786990586777E-4</v>
      </c>
      <c r="BE116" s="2">
        <v>-0.30714235488570857</v>
      </c>
      <c r="BG116" s="2">
        <f t="shared" si="18"/>
        <v>-0.39694599172122325</v>
      </c>
      <c r="BH116" s="2">
        <f t="shared" si="12"/>
        <v>-0.1879716085769346</v>
      </c>
      <c r="BI116" s="2">
        <f t="shared" si="13"/>
        <v>-0.25042733424812708</v>
      </c>
    </row>
    <row r="117" spans="1:61" x14ac:dyDescent="0.3">
      <c r="A117" s="31">
        <v>2006.58333333373</v>
      </c>
      <c r="B117">
        <v>0.69119893090823992</v>
      </c>
      <c r="C117">
        <v>4.5600000000000307E-2</v>
      </c>
      <c r="D117">
        <v>3.1518671249415951E-2</v>
      </c>
      <c r="F117" s="31">
        <v>2006.58333333373</v>
      </c>
      <c r="G117" s="2">
        <v>0.72751266634467471</v>
      </c>
      <c r="H117" s="2">
        <v>9.2249999999999749E-2</v>
      </c>
      <c r="I117" s="2">
        <v>6.4980186863456316E-2</v>
      </c>
      <c r="K117" s="31">
        <v>2006.58333333373</v>
      </c>
      <c r="L117" s="2">
        <v>0.89488434698095687</v>
      </c>
      <c r="M117" s="2">
        <v>6.1514999999999952E-2</v>
      </c>
      <c r="N117" s="2">
        <v>5.5046242555481628E-2</v>
      </c>
      <c r="P117" s="31">
        <v>2006.58333333373</v>
      </c>
      <c r="Q117" s="2">
        <v>0.50480092338028637</v>
      </c>
      <c r="R117" s="2">
        <v>7.1900000000000297E-2</v>
      </c>
      <c r="S117" s="2">
        <v>4.4205544503993624E-2</v>
      </c>
      <c r="U117" s="2">
        <f t="shared" si="14"/>
        <v>0.70906597890197265</v>
      </c>
      <c r="V117" s="2">
        <f t="shared" si="15"/>
        <v>7.5221666666666673E-2</v>
      </c>
      <c r="W117" s="2">
        <f t="shared" si="16"/>
        <v>5.4743991307643854E-2</v>
      </c>
      <c r="Y117" s="31">
        <v>2006.58333333373</v>
      </c>
      <c r="Z117" s="2">
        <v>-3.5735726248361181E-2</v>
      </c>
      <c r="AA117" s="2">
        <v>-0.1883013680744752</v>
      </c>
      <c r="AB117" s="2">
        <v>-0.23471662120098286</v>
      </c>
      <c r="AD117" s="31">
        <v>2006.58333333373</v>
      </c>
      <c r="AE117" s="2">
        <v>0.50951619961004957</v>
      </c>
      <c r="AF117" s="2">
        <v>-0.68622224125583742</v>
      </c>
      <c r="AG117" s="2">
        <v>-0.19163128951704414</v>
      </c>
      <c r="AH117" s="31"/>
      <c r="AI117" s="31">
        <v>2006.58333333373</v>
      </c>
      <c r="AJ117" s="2">
        <v>-0.46673880216981301</v>
      </c>
      <c r="AK117" s="2">
        <v>-0.61478205611361436</v>
      </c>
      <c r="AL117" s="2">
        <v>-5.6113572342385176E-2</v>
      </c>
      <c r="AM117" s="31"/>
      <c r="AN117" s="2">
        <f t="shared" si="17"/>
        <v>2.3472237306251275E-3</v>
      </c>
      <c r="AO117" s="2">
        <f t="shared" si="10"/>
        <v>-0.49643522181464234</v>
      </c>
      <c r="AP117" s="2">
        <f t="shared" si="11"/>
        <v>-0.16082049435347071</v>
      </c>
      <c r="AQ117" s="31"/>
      <c r="AR117" s="31">
        <v>2006.58333333373</v>
      </c>
      <c r="AS117" s="2">
        <v>-0.52884104400763876</v>
      </c>
      <c r="AT117" s="2">
        <v>0.98806436351113014</v>
      </c>
      <c r="AU117" s="2">
        <v>0.17212921126890987</v>
      </c>
      <c r="AV117" s="31"/>
      <c r="AW117" s="31">
        <v>2006.58333333373</v>
      </c>
      <c r="AX117" s="2">
        <v>0.32822839020740358</v>
      </c>
      <c r="AY117" s="2">
        <v>-0.53553372549108424</v>
      </c>
      <c r="AZ117" s="2">
        <v>9.8851187484430364E-2</v>
      </c>
      <c r="BA117" s="31"/>
      <c r="BB117" s="31">
        <v>2006.58333333373</v>
      </c>
      <c r="BC117" s="2">
        <v>-0.96604290040057661</v>
      </c>
      <c r="BD117" s="2">
        <v>-0.51613739712758211</v>
      </c>
      <c r="BE117" s="2">
        <v>-0.69480748972188677</v>
      </c>
      <c r="BG117" s="2">
        <f t="shared" si="18"/>
        <v>-0.38888518473360395</v>
      </c>
      <c r="BH117" s="2">
        <f t="shared" si="12"/>
        <v>-2.1202253035845404E-2</v>
      </c>
      <c r="BI117" s="2">
        <f t="shared" si="13"/>
        <v>-0.1412756969895155</v>
      </c>
    </row>
    <row r="118" spans="1:61" x14ac:dyDescent="0.3">
      <c r="A118" s="31">
        <v>2006.5000000004</v>
      </c>
      <c r="B118">
        <v>0.72760590191912311</v>
      </c>
      <c r="C118">
        <v>3.0400000000000205E-2</v>
      </c>
      <c r="D118">
        <v>2.2119219418341492E-2</v>
      </c>
      <c r="F118" s="31">
        <v>2006.5000000004</v>
      </c>
      <c r="G118" s="2">
        <v>0.76966341818365147</v>
      </c>
      <c r="H118" s="2">
        <v>6.1499999999999846E-2</v>
      </c>
      <c r="I118" s="2">
        <v>4.7334300218294455E-2</v>
      </c>
      <c r="K118" s="31">
        <v>2006.5000000004</v>
      </c>
      <c r="L118" s="2">
        <v>1.189098568695605</v>
      </c>
      <c r="M118" s="2">
        <v>6.1499999999999902E-2</v>
      </c>
      <c r="N118" s="2">
        <v>7.31295619747796E-2</v>
      </c>
      <c r="P118" s="31">
        <v>2006.5000000004</v>
      </c>
      <c r="Q118" s="2">
        <v>0.48522360399921349</v>
      </c>
      <c r="R118" s="2">
        <v>4.7900000000000303E-2</v>
      </c>
      <c r="S118" s="2">
        <v>2.7443519762515134E-2</v>
      </c>
      <c r="U118" s="2">
        <f t="shared" si="14"/>
        <v>0.81466186362615678</v>
      </c>
      <c r="V118" s="2">
        <f t="shared" si="15"/>
        <v>5.6966666666666686E-2</v>
      </c>
      <c r="W118" s="2">
        <f t="shared" si="16"/>
        <v>4.9302460651863063E-2</v>
      </c>
      <c r="Y118" s="31">
        <v>2006.5000000004</v>
      </c>
      <c r="Z118" s="2">
        <v>0.20865754450117782</v>
      </c>
      <c r="AA118" s="2">
        <v>-0.78876452892998183</v>
      </c>
      <c r="AB118" s="2">
        <v>-0.64082327473105472</v>
      </c>
      <c r="AD118" s="31">
        <v>2006.5000000004</v>
      </c>
      <c r="AE118" s="2">
        <v>2.2603134449310573</v>
      </c>
      <c r="AF118" s="2">
        <v>-0.68658960551538373</v>
      </c>
      <c r="AG118" s="2">
        <v>0.49598350334003427</v>
      </c>
      <c r="AH118" s="31"/>
      <c r="AI118" s="31">
        <v>2006.5000000004</v>
      </c>
      <c r="AJ118" s="2">
        <v>-0.61691518389450484</v>
      </c>
      <c r="AK118" s="2">
        <v>-1.186702766808877</v>
      </c>
      <c r="AL118" s="2">
        <v>-1.4107846176017917</v>
      </c>
      <c r="AM118" s="31"/>
      <c r="AN118" s="2">
        <f t="shared" si="17"/>
        <v>0.61735193517924347</v>
      </c>
      <c r="AO118" s="2">
        <f t="shared" si="10"/>
        <v>-0.88735230041808089</v>
      </c>
      <c r="AP118" s="2">
        <f t="shared" si="11"/>
        <v>-0.51854146299760406</v>
      </c>
      <c r="AQ118" s="31"/>
      <c r="AR118" s="31">
        <v>2006.5000000004</v>
      </c>
      <c r="AS118" s="2">
        <v>-0.15615609972749667</v>
      </c>
      <c r="AT118" s="2">
        <v>-2.3130098149132094E-2</v>
      </c>
      <c r="AU118" s="2">
        <v>-0.17786646018457583</v>
      </c>
      <c r="AV118" s="31"/>
      <c r="AW118" s="31">
        <v>2006.5000000004</v>
      </c>
      <c r="AX118" s="2">
        <v>0.68660073032551527</v>
      </c>
      <c r="AY118" s="2">
        <v>-0.1083026392523672</v>
      </c>
      <c r="AZ118" s="2">
        <v>0.68623434191225408</v>
      </c>
      <c r="BA118" s="31"/>
      <c r="BB118" s="31">
        <v>2006.5000000004</v>
      </c>
      <c r="BC118" s="2">
        <v>-0.67073116735204308</v>
      </c>
      <c r="BD118" s="2">
        <v>-0.38248368897839508</v>
      </c>
      <c r="BE118" s="2">
        <v>-0.78594231581496454</v>
      </c>
      <c r="BG118" s="2">
        <f t="shared" si="18"/>
        <v>-4.6762178918008157E-2</v>
      </c>
      <c r="BH118" s="2">
        <f t="shared" si="12"/>
        <v>-0.1713054754599648</v>
      </c>
      <c r="BI118" s="2">
        <f t="shared" si="13"/>
        <v>-9.252481136242878E-2</v>
      </c>
    </row>
    <row r="119" spans="1:61" x14ac:dyDescent="0.3">
      <c r="A119" s="31">
        <v>2006.4166666670701</v>
      </c>
      <c r="B119">
        <v>0.69731589087577817</v>
      </c>
      <c r="C119">
        <v>0.12160000000000082</v>
      </c>
      <c r="D119">
        <v>8.4793612330495191E-2</v>
      </c>
      <c r="F119" s="31">
        <v>2006.4166666670701</v>
      </c>
      <c r="G119" s="2">
        <v>0.78597235828677581</v>
      </c>
      <c r="H119" s="2">
        <v>0.18449999999999961</v>
      </c>
      <c r="I119" s="2">
        <v>0.14680749753802166</v>
      </c>
      <c r="K119" s="31">
        <v>2006.4166666670701</v>
      </c>
      <c r="L119" s="2">
        <v>0.99766673230429426</v>
      </c>
      <c r="M119" s="2">
        <v>9.2279999999999945E-2</v>
      </c>
      <c r="N119" s="2">
        <v>8.1955146349325658E-2</v>
      </c>
      <c r="P119" s="31">
        <v>2006.4166666670701</v>
      </c>
      <c r="Q119" s="2">
        <v>0.41928767181993465</v>
      </c>
      <c r="R119" s="2">
        <v>0.14380000000000059</v>
      </c>
      <c r="S119" s="2">
        <v>4.4264469287024169E-2</v>
      </c>
      <c r="U119" s="2">
        <f t="shared" si="14"/>
        <v>0.73430892080366827</v>
      </c>
      <c r="V119" s="2">
        <f t="shared" si="15"/>
        <v>0.14019333333333339</v>
      </c>
      <c r="W119" s="2">
        <f t="shared" si="16"/>
        <v>9.1009037724790479E-2</v>
      </c>
      <c r="Y119" s="31">
        <v>2006.4166666670701</v>
      </c>
      <c r="Z119" s="2">
        <v>0.30321802184419921</v>
      </c>
      <c r="AA119" s="2">
        <v>1.6130881144920477</v>
      </c>
      <c r="AB119" s="2">
        <v>1.648476667617089</v>
      </c>
      <c r="AD119" s="31">
        <v>2006.4166666670701</v>
      </c>
      <c r="AE119" s="2">
        <v>1.1211491656947143</v>
      </c>
      <c r="AF119" s="2">
        <v>6.7241855071186282E-2</v>
      </c>
      <c r="AG119" s="2">
        <v>0.83157467611276792</v>
      </c>
      <c r="AH119" s="31"/>
      <c r="AI119" s="31">
        <v>2006.4166666670701</v>
      </c>
      <c r="AJ119" s="2">
        <v>-0.41820194522627285</v>
      </c>
      <c r="AK119" s="2">
        <v>1.0985970730109507</v>
      </c>
      <c r="AL119" s="2">
        <v>-5.135139720836665E-2</v>
      </c>
      <c r="AM119" s="31"/>
      <c r="AN119" s="2">
        <f t="shared" si="17"/>
        <v>0.33538841410421361</v>
      </c>
      <c r="AO119" s="2">
        <f t="shared" si="10"/>
        <v>0.92630901419139489</v>
      </c>
      <c r="AP119" s="2">
        <f t="shared" si="11"/>
        <v>0.80956664884049678</v>
      </c>
      <c r="AQ119" s="31"/>
      <c r="AR119" s="31">
        <v>2006.4166666670701</v>
      </c>
      <c r="AS119" s="2">
        <v>-0.29569601604287754</v>
      </c>
      <c r="AT119" s="2">
        <v>0.30752807372934488</v>
      </c>
      <c r="AU119" s="2">
        <v>5.2045399410135987E-2</v>
      </c>
      <c r="AV119" s="31"/>
      <c r="AW119" s="31">
        <v>2006.4166666670701</v>
      </c>
      <c r="AX119" s="2">
        <v>0.70408423425068689</v>
      </c>
      <c r="AY119" s="2">
        <v>-1.019318303187664</v>
      </c>
      <c r="AZ119" s="2">
        <v>-0.1607347975095903</v>
      </c>
      <c r="BA119" s="31"/>
      <c r="BB119" s="31">
        <v>2006.4166666670701</v>
      </c>
      <c r="BC119" s="2">
        <v>-1.1829574760683146</v>
      </c>
      <c r="BD119" s="2">
        <v>-0.3489924073651578</v>
      </c>
      <c r="BE119" s="2">
        <v>-1.0154762043558889</v>
      </c>
      <c r="BG119" s="2">
        <f t="shared" si="18"/>
        <v>-0.25818975262016841</v>
      </c>
      <c r="BH119" s="2">
        <f t="shared" si="12"/>
        <v>-0.35359421227449234</v>
      </c>
      <c r="BI119" s="2">
        <f t="shared" si="13"/>
        <v>-0.37472186748511443</v>
      </c>
    </row>
    <row r="120" spans="1:61" x14ac:dyDescent="0.3">
      <c r="A120" s="31">
        <v>2006.33333333374</v>
      </c>
      <c r="B120">
        <v>0.70569351053346774</v>
      </c>
      <c r="C120">
        <v>0.12160000000000082</v>
      </c>
      <c r="D120">
        <v>8.5812330880870258E-2</v>
      </c>
      <c r="F120" s="31">
        <v>2006.33333333374</v>
      </c>
      <c r="G120" s="2">
        <v>0.69944414686749945</v>
      </c>
      <c r="H120" s="2">
        <v>0.15374999999999969</v>
      </c>
      <c r="I120" s="2">
        <v>0.10587970648561715</v>
      </c>
      <c r="K120" s="31">
        <v>2006.33333333374</v>
      </c>
      <c r="L120" s="2">
        <v>0.92929198520468637</v>
      </c>
      <c r="M120" s="2">
        <v>6.1514999999999952E-2</v>
      </c>
      <c r="N120" s="2">
        <v>5.716073633258411E-2</v>
      </c>
      <c r="P120" s="31">
        <v>2006.33333333374</v>
      </c>
      <c r="Q120" s="2">
        <v>0.37168625842660247</v>
      </c>
      <c r="R120" s="2">
        <v>9.5850000000000463E-2</v>
      </c>
      <c r="S120" s="2">
        <v>3.636736658939542E-2</v>
      </c>
      <c r="U120" s="2">
        <f t="shared" si="14"/>
        <v>0.66680746349959608</v>
      </c>
      <c r="V120" s="2">
        <f t="shared" si="15"/>
        <v>0.10370500000000005</v>
      </c>
      <c r="W120" s="2">
        <f t="shared" si="16"/>
        <v>6.6469269802532219E-2</v>
      </c>
      <c r="Y120" s="31">
        <v>2006.33333333374</v>
      </c>
      <c r="Z120" s="2">
        <v>-0.19847914079834295</v>
      </c>
      <c r="AA120" s="2">
        <v>1.0126249536365408</v>
      </c>
      <c r="AB120" s="2">
        <v>0.70655470048107294</v>
      </c>
      <c r="AD120" s="31">
        <v>2006.33333333374</v>
      </c>
      <c r="AE120" s="2">
        <v>0.71426768262480889</v>
      </c>
      <c r="AF120" s="2">
        <v>-0.68622224125583742</v>
      </c>
      <c r="AG120" s="2">
        <v>-0.11122806448811029</v>
      </c>
      <c r="AH120" s="31"/>
      <c r="AI120" s="31">
        <v>2006.33333333374</v>
      </c>
      <c r="AJ120" s="2">
        <v>-1.1004715653217554</v>
      </c>
      <c r="AK120" s="2">
        <v>-4.4052846898962821E-2</v>
      </c>
      <c r="AL120" s="2">
        <v>-0.68957837341876005</v>
      </c>
      <c r="AM120" s="31"/>
      <c r="AN120" s="2">
        <f t="shared" si="17"/>
        <v>-0.19489434116509649</v>
      </c>
      <c r="AO120" s="2">
        <f t="shared" si="10"/>
        <v>9.4116621827246852E-2</v>
      </c>
      <c r="AP120" s="2">
        <f t="shared" si="11"/>
        <v>-3.1417245808599135E-2</v>
      </c>
      <c r="AQ120" s="31"/>
      <c r="AR120" s="31">
        <v>2006.33333333374</v>
      </c>
      <c r="AS120" s="2">
        <v>-0.36534138495009494</v>
      </c>
      <c r="AT120" s="2">
        <v>-1.8664175683888028E-2</v>
      </c>
      <c r="AU120" s="2">
        <v>-0.21778709089529041</v>
      </c>
      <c r="AV120" s="31"/>
      <c r="AW120" s="31">
        <v>2006.33333333374</v>
      </c>
      <c r="AX120" s="2">
        <v>0.5296876876970037</v>
      </c>
      <c r="AY120" s="2">
        <v>-1.269857360921067</v>
      </c>
      <c r="AZ120" s="2">
        <v>-0.44207568643129758</v>
      </c>
      <c r="BA120" s="31"/>
      <c r="BB120" s="31">
        <v>2006.33333333374</v>
      </c>
      <c r="BC120" s="2">
        <v>-1.5205491622770526</v>
      </c>
      <c r="BD120" s="2">
        <v>-0.7363458413185221</v>
      </c>
      <c r="BE120" s="2">
        <v>-1.1942056184159495</v>
      </c>
      <c r="BG120" s="2">
        <f t="shared" si="18"/>
        <v>-0.45206761984338129</v>
      </c>
      <c r="BH120" s="2">
        <f t="shared" si="12"/>
        <v>-0.67495579264115912</v>
      </c>
      <c r="BI120" s="2">
        <f t="shared" si="13"/>
        <v>-0.61802279858084586</v>
      </c>
    </row>
    <row r="121" spans="1:61" x14ac:dyDescent="0.3">
      <c r="A121" s="31">
        <v>2006.25000000041</v>
      </c>
      <c r="B121">
        <v>0.77582613509465836</v>
      </c>
      <c r="C121">
        <v>0.10640000000000072</v>
      </c>
      <c r="D121">
        <v>8.2547900774072203E-2</v>
      </c>
      <c r="F121" s="31">
        <v>2006.25000000041</v>
      </c>
      <c r="G121" s="2">
        <v>0.6620752219010777</v>
      </c>
      <c r="H121" s="2">
        <v>0.15374999999999969</v>
      </c>
      <c r="I121" s="2">
        <v>9.9858793607265905E-2</v>
      </c>
      <c r="K121" s="31">
        <v>2006.25000000041</v>
      </c>
      <c r="L121" s="2">
        <v>0.84643154990959391</v>
      </c>
      <c r="M121" s="2">
        <v>6.1514999999999952E-2</v>
      </c>
      <c r="N121" s="2">
        <v>5.20649396231758E-2</v>
      </c>
      <c r="P121" s="31">
        <v>2006.25000000041</v>
      </c>
      <c r="Q121" s="2">
        <v>0.37048243182198637</v>
      </c>
      <c r="R121" s="2">
        <v>9.5850000000000463E-2</v>
      </c>
      <c r="S121" s="2">
        <v>3.0091294165027243E-2</v>
      </c>
      <c r="U121" s="2">
        <f t="shared" si="14"/>
        <v>0.62632973454421936</v>
      </c>
      <c r="V121" s="2">
        <f t="shared" si="15"/>
        <v>0.10370500000000005</v>
      </c>
      <c r="W121" s="2">
        <f t="shared" si="16"/>
        <v>6.0671675798489644E-2</v>
      </c>
      <c r="Y121" s="31">
        <v>2006.25000000041</v>
      </c>
      <c r="Z121" s="2">
        <v>-0.41514701499964973</v>
      </c>
      <c r="AA121" s="2">
        <v>1.0126249536365408</v>
      </c>
      <c r="AB121" s="2">
        <v>0.56798797218953989</v>
      </c>
      <c r="AD121" s="31">
        <v>2006.25000000041</v>
      </c>
      <c r="AE121" s="2">
        <v>0.22118539375622592</v>
      </c>
      <c r="AF121" s="2">
        <v>-0.68622224125583742</v>
      </c>
      <c r="AG121" s="2">
        <v>-0.30499476835124462</v>
      </c>
      <c r="AH121" s="31"/>
      <c r="AI121" s="31">
        <v>2006.25000000041</v>
      </c>
      <c r="AJ121" s="2">
        <v>-1.6730163310863952</v>
      </c>
      <c r="AK121" s="2">
        <v>-4.4052846898962821E-2</v>
      </c>
      <c r="AL121" s="2">
        <v>-1.1967971445618373</v>
      </c>
      <c r="AM121" s="31"/>
      <c r="AN121" s="2">
        <f t="shared" si="17"/>
        <v>-0.62232598410993967</v>
      </c>
      <c r="AO121" s="2">
        <f t="shared" si="10"/>
        <v>9.4116621827246852E-2</v>
      </c>
      <c r="AP121" s="2">
        <f t="shared" si="11"/>
        <v>-0.31126798024118069</v>
      </c>
      <c r="AQ121" s="31"/>
      <c r="AR121" s="31">
        <v>2006.25000000041</v>
      </c>
      <c r="AS121" s="2">
        <v>-0.32106489178085867</v>
      </c>
      <c r="AT121" s="2">
        <v>-6.2988546229767878E-2</v>
      </c>
      <c r="AU121" s="2">
        <v>-0.28227989083026062</v>
      </c>
      <c r="AV121" s="31"/>
      <c r="AW121" s="31">
        <v>2006.25000000041</v>
      </c>
      <c r="AX121" s="2">
        <v>0.2806420774515116</v>
      </c>
      <c r="AY121" s="2">
        <v>-1.5103266726480709</v>
      </c>
      <c r="AZ121" s="2">
        <v>-0.67266158683141963</v>
      </c>
      <c r="BA121" s="31"/>
      <c r="BB121" s="31">
        <v>2006.25000000041</v>
      </c>
      <c r="BC121" s="2">
        <v>-1.5995592911677838</v>
      </c>
      <c r="BD121" s="2">
        <v>-1.0548255298976554</v>
      </c>
      <c r="BE121" s="2">
        <v>-1.4214022356540927</v>
      </c>
      <c r="BG121" s="2">
        <f t="shared" si="18"/>
        <v>-0.54666070183237692</v>
      </c>
      <c r="BH121" s="2">
        <f t="shared" si="12"/>
        <v>-0.87604691625849807</v>
      </c>
      <c r="BI121" s="2">
        <f t="shared" si="13"/>
        <v>-0.79211457110525763</v>
      </c>
    </row>
    <row r="122" spans="1:61" x14ac:dyDescent="0.3">
      <c r="A122" s="31">
        <v>2006.1666666670801</v>
      </c>
      <c r="B122">
        <v>0.75169400157401056</v>
      </c>
      <c r="C122">
        <v>0.12160000000000082</v>
      </c>
      <c r="D122">
        <v>9.1405990591400296E-2</v>
      </c>
      <c r="F122" s="31">
        <v>2006.1666666670801</v>
      </c>
      <c r="G122" s="2">
        <v>0.6495304355681053</v>
      </c>
      <c r="H122" s="2">
        <v>0.12299999999999976</v>
      </c>
      <c r="I122" s="2">
        <v>7.9809085232084659E-2</v>
      </c>
      <c r="K122" s="31">
        <v>2006.1666666670801</v>
      </c>
      <c r="L122" s="2">
        <v>0.78381197383968093</v>
      </c>
      <c r="M122" s="2">
        <v>6.1514999999999952E-2</v>
      </c>
      <c r="N122" s="2">
        <v>4.8214203857617627E-2</v>
      </c>
      <c r="P122" s="31">
        <v>2006.1666666670801</v>
      </c>
      <c r="Q122" s="2">
        <v>0.33707230888442796</v>
      </c>
      <c r="R122" s="2">
        <v>9.5850000000000463E-2</v>
      </c>
      <c r="S122" s="2">
        <v>2.698546503846698E-2</v>
      </c>
      <c r="U122" s="2">
        <f t="shared" si="14"/>
        <v>0.59013823943073807</v>
      </c>
      <c r="V122" s="2">
        <f t="shared" si="15"/>
        <v>9.3455000000000066E-2</v>
      </c>
      <c r="W122" s="2">
        <f t="shared" si="16"/>
        <v>5.166958470938976E-2</v>
      </c>
      <c r="Y122" s="31">
        <v>2006.1666666670801</v>
      </c>
      <c r="Z122" s="2">
        <v>-0.48788264198161591</v>
      </c>
      <c r="AA122" s="2">
        <v>0.4121617927810336</v>
      </c>
      <c r="AB122" s="2">
        <v>0.10655919072725127</v>
      </c>
      <c r="AD122" s="31">
        <v>2006.1666666670801</v>
      </c>
      <c r="AE122" s="2">
        <v>-0.1514484668621934</v>
      </c>
      <c r="AF122" s="2">
        <v>-0.68622224125583742</v>
      </c>
      <c r="AG122" s="2">
        <v>-0.4514182658511533</v>
      </c>
      <c r="AH122" s="31"/>
      <c r="AI122" s="31">
        <v>2006.1666666670801</v>
      </c>
      <c r="AJ122" s="2">
        <v>-1.9575370108110228</v>
      </c>
      <c r="AK122" s="2">
        <v>-4.4052846898962821E-2</v>
      </c>
      <c r="AL122" s="2">
        <v>-1.4478036222496509</v>
      </c>
      <c r="AM122" s="31"/>
      <c r="AN122" s="2">
        <f t="shared" si="17"/>
        <v>-0.86562270655161067</v>
      </c>
      <c r="AO122" s="2">
        <f t="shared" si="10"/>
        <v>-0.10603776512458889</v>
      </c>
      <c r="AP122" s="2">
        <f t="shared" si="11"/>
        <v>-0.597554232457851</v>
      </c>
      <c r="AQ122" s="31"/>
      <c r="AR122" s="31">
        <v>2006.1666666670801</v>
      </c>
      <c r="AS122" s="2">
        <v>-0.13624009307135737</v>
      </c>
      <c r="AT122" s="2">
        <v>-0.46657286796563091</v>
      </c>
      <c r="AU122" s="2">
        <v>-0.47295108938030206</v>
      </c>
      <c r="AV122" s="31"/>
      <c r="AW122" s="31">
        <v>2006.1666666670801</v>
      </c>
      <c r="AX122" s="2">
        <v>3.1059937231831338E-2</v>
      </c>
      <c r="AY122" s="2">
        <v>-1.1554372649783877</v>
      </c>
      <c r="AZ122" s="2">
        <v>-0.52269471894198627</v>
      </c>
      <c r="BA122" s="31"/>
      <c r="BB122" s="31">
        <v>2006.1666666670801</v>
      </c>
      <c r="BC122" s="2">
        <v>-1.9222424058857566</v>
      </c>
      <c r="BD122" s="2">
        <v>-1.0548255298976554</v>
      </c>
      <c r="BE122" s="2">
        <v>-1.7227111680656786</v>
      </c>
      <c r="BG122" s="2">
        <f t="shared" si="18"/>
        <v>-0.67580752057509408</v>
      </c>
      <c r="BH122" s="2">
        <f t="shared" si="12"/>
        <v>-0.89227855428055813</v>
      </c>
      <c r="BI122" s="2">
        <f t="shared" si="13"/>
        <v>-0.90611899212932234</v>
      </c>
    </row>
    <row r="123" spans="1:61" x14ac:dyDescent="0.3">
      <c r="A123" s="31">
        <v>2006.08333333375</v>
      </c>
      <c r="B123">
        <v>0.72218406247209255</v>
      </c>
      <c r="C123">
        <v>6.0800000000000409E-2</v>
      </c>
      <c r="D123">
        <v>4.3908790998303519E-2</v>
      </c>
      <c r="F123" s="31">
        <v>2006.08333333375</v>
      </c>
      <c r="G123" s="2">
        <v>0.62256019163172516</v>
      </c>
      <c r="H123" s="2">
        <v>9.2249999999999749E-2</v>
      </c>
      <c r="I123" s="2">
        <v>5.8285330698974958E-2</v>
      </c>
      <c r="K123" s="31">
        <v>2006.08333333375</v>
      </c>
      <c r="L123" s="2">
        <v>0.73221831082276934</v>
      </c>
      <c r="M123" s="2">
        <v>6.1514999999999952E-2</v>
      </c>
      <c r="N123" s="2">
        <v>4.5041571772435188E-2</v>
      </c>
      <c r="P123" s="31">
        <v>2006.08333333375</v>
      </c>
      <c r="Q123" s="2">
        <v>0.3809547202240382</v>
      </c>
      <c r="R123" s="2">
        <v>9.5850000000000463E-2</v>
      </c>
      <c r="S123" s="2">
        <v>2.675764724488866E-2</v>
      </c>
      <c r="U123" s="2">
        <f t="shared" si="14"/>
        <v>0.57857774089284419</v>
      </c>
      <c r="V123" s="2">
        <f t="shared" si="15"/>
        <v>8.3205000000000057E-2</v>
      </c>
      <c r="W123" s="2">
        <f t="shared" si="16"/>
        <v>4.33615165720996E-2</v>
      </c>
      <c r="Y123" s="31">
        <v>2006.08333333375</v>
      </c>
      <c r="Z123" s="2">
        <v>-0.64425817126529183</v>
      </c>
      <c r="AA123" s="2">
        <v>-0.1883013680744752</v>
      </c>
      <c r="AB123" s="2">
        <v>-0.38879364138676892</v>
      </c>
      <c r="AD123" s="31">
        <v>2006.08333333375</v>
      </c>
      <c r="AE123" s="2">
        <v>-0.45846980172355939</v>
      </c>
      <c r="AF123" s="2">
        <v>-0.68622224125583742</v>
      </c>
      <c r="AG123" s="2">
        <v>-0.57205699945314681</v>
      </c>
      <c r="AH123" s="31"/>
      <c r="AI123" s="31">
        <v>2006.08333333375</v>
      </c>
      <c r="AJ123" s="2">
        <v>-1.9780671971681731</v>
      </c>
      <c r="AK123" s="2">
        <v>-4.4052846898962821E-2</v>
      </c>
      <c r="AL123" s="2">
        <v>-1.4662153698347586</v>
      </c>
      <c r="AM123" s="31"/>
      <c r="AN123" s="2">
        <f t="shared" si="17"/>
        <v>-1.026931723385675</v>
      </c>
      <c r="AO123" s="2">
        <f t="shared" si="10"/>
        <v>-0.30619215207642514</v>
      </c>
      <c r="AP123" s="2">
        <f t="shared" si="11"/>
        <v>-0.80902200355822462</v>
      </c>
      <c r="AQ123" s="31"/>
      <c r="AR123" s="31">
        <v>2006.08333333375</v>
      </c>
      <c r="AS123" s="2">
        <v>-0.13041386016785497</v>
      </c>
      <c r="AT123" s="2">
        <v>0.50956041230593607</v>
      </c>
      <c r="AU123" s="2">
        <v>0.38530164105946479</v>
      </c>
      <c r="AV123" s="31"/>
      <c r="AW123" s="31">
        <v>2006.08333333375</v>
      </c>
      <c r="AX123" s="2">
        <v>-0.16474253735203456</v>
      </c>
      <c r="AY123" s="2">
        <v>-0.87038484719517628</v>
      </c>
      <c r="AZ123" s="2">
        <v>-0.61877498304078571</v>
      </c>
      <c r="BA123" s="31"/>
      <c r="BB123" s="31">
        <v>2006.08333333375</v>
      </c>
      <c r="BC123" s="2">
        <v>-1.9455262827761022</v>
      </c>
      <c r="BD123" s="2">
        <v>-1.0548255298976554</v>
      </c>
      <c r="BE123" s="2">
        <v>-1.7448126853643686</v>
      </c>
      <c r="BG123" s="2">
        <f t="shared" si="18"/>
        <v>-0.74689422676533057</v>
      </c>
      <c r="BH123" s="2">
        <f t="shared" si="12"/>
        <v>-0.4718833215956319</v>
      </c>
      <c r="BI123" s="2">
        <f t="shared" si="13"/>
        <v>-0.65942867578189646</v>
      </c>
    </row>
    <row r="124" spans="1:61" x14ac:dyDescent="0.3">
      <c r="A124" s="31">
        <v>2006.00000000042</v>
      </c>
      <c r="B124">
        <v>0.750272788362361</v>
      </c>
      <c r="C124">
        <v>4.5600000000000307E-2</v>
      </c>
      <c r="D124">
        <v>3.4212439149323891E-2</v>
      </c>
      <c r="F124" s="31">
        <v>2006.00000000042</v>
      </c>
      <c r="G124" s="2">
        <v>0.63452786603683309</v>
      </c>
      <c r="H124" s="2">
        <v>6.1499999999999846E-2</v>
      </c>
      <c r="I124" s="2">
        <v>3.9023463761265142E-2</v>
      </c>
      <c r="K124" s="31">
        <v>2006.00000000042</v>
      </c>
      <c r="L124" s="2">
        <v>0.72474714996000955</v>
      </c>
      <c r="M124" s="2">
        <v>6.1514999999999952E-2</v>
      </c>
      <c r="N124" s="2">
        <v>4.4582491268584851E-2</v>
      </c>
      <c r="P124" s="31">
        <v>2006.00000000042</v>
      </c>
      <c r="Q124" s="2">
        <v>0.50670117372277734</v>
      </c>
      <c r="R124" s="2">
        <v>9.5850000000000463E-2</v>
      </c>
      <c r="S124" s="2">
        <v>3.0206647950922844E-2</v>
      </c>
      <c r="U124" s="2">
        <f t="shared" si="14"/>
        <v>0.62199206323987333</v>
      </c>
      <c r="V124" s="2">
        <f t="shared" si="15"/>
        <v>7.2955000000000089E-2</v>
      </c>
      <c r="W124" s="2">
        <f t="shared" si="16"/>
        <v>3.7937534326924281E-2</v>
      </c>
      <c r="Y124" s="31">
        <v>2006.00000000042</v>
      </c>
      <c r="Z124" s="2">
        <v>-0.5748686832129033</v>
      </c>
      <c r="AA124" s="2">
        <v>-0.78876452892998183</v>
      </c>
      <c r="AB124" s="2">
        <v>-0.83209085167229446</v>
      </c>
      <c r="AD124" s="31">
        <v>2006.00000000042</v>
      </c>
      <c r="AE124" s="2">
        <v>-0.50292886213756083</v>
      </c>
      <c r="AF124" s="2">
        <v>-0.68622224125583742</v>
      </c>
      <c r="AG124" s="2">
        <v>-0.58951344858399046</v>
      </c>
      <c r="AH124" s="31"/>
      <c r="AI124" s="31">
        <v>2006.00000000042</v>
      </c>
      <c r="AJ124" s="2">
        <v>-1.6602836863816883</v>
      </c>
      <c r="AK124" s="2">
        <v>-4.4052846898962821E-2</v>
      </c>
      <c r="AL124" s="2">
        <v>-1.187474497917179</v>
      </c>
      <c r="AM124" s="31"/>
      <c r="AN124" s="2">
        <f t="shared" si="17"/>
        <v>-0.91269374391071756</v>
      </c>
      <c r="AO124" s="2">
        <f t="shared" si="10"/>
        <v>-0.50634653902826077</v>
      </c>
      <c r="AP124" s="2">
        <f t="shared" si="11"/>
        <v>-0.869692932724488</v>
      </c>
      <c r="AQ124" s="31"/>
      <c r="AR124" s="31">
        <v>2006.00000000042</v>
      </c>
      <c r="AS124" s="2">
        <v>-0.10616282228132014</v>
      </c>
      <c r="AT124" s="2">
        <v>-0.29853293598826575</v>
      </c>
      <c r="AU124" s="2">
        <v>-0.33162771742268621</v>
      </c>
      <c r="AV124" s="31"/>
      <c r="AW124" s="31">
        <v>2006.00000000042</v>
      </c>
      <c r="AX124" s="2">
        <v>-0.14311505384349521</v>
      </c>
      <c r="AY124" s="2">
        <v>-0.21981065223360952</v>
      </c>
      <c r="AZ124" s="2">
        <v>-0.20418407378752693</v>
      </c>
      <c r="BA124" s="31"/>
      <c r="BB124" s="31">
        <v>2006.00000000042</v>
      </c>
      <c r="BC124" s="2">
        <v>-1.5851188313182971</v>
      </c>
      <c r="BD124" s="2">
        <v>-1.0548255298976554</v>
      </c>
      <c r="BE124" s="2">
        <v>-1.4102113025210996</v>
      </c>
      <c r="BG124" s="2">
        <f t="shared" si="18"/>
        <v>-0.61146556914770411</v>
      </c>
      <c r="BH124" s="2">
        <f t="shared" si="12"/>
        <v>-0.52438970603984358</v>
      </c>
      <c r="BI124" s="2">
        <f t="shared" si="13"/>
        <v>-0.64867436457710426</v>
      </c>
    </row>
    <row r="125" spans="1:61" x14ac:dyDescent="0.3">
      <c r="A125" s="31">
        <v>2005.9166666670901</v>
      </c>
      <c r="B125">
        <v>0.76836669190176887</v>
      </c>
      <c r="C125">
        <v>6.0800000000000409E-2</v>
      </c>
      <c r="D125">
        <v>4.6716694867627861E-2</v>
      </c>
      <c r="F125" s="31">
        <v>2005.9166666670901</v>
      </c>
      <c r="G125" s="2">
        <v>0.65699177009544263</v>
      </c>
      <c r="H125" s="2">
        <v>9.2249999999999749E-2</v>
      </c>
      <c r="I125" s="2">
        <v>6.1263894934518691E-2</v>
      </c>
      <c r="K125" s="31">
        <v>2005.9166666670901</v>
      </c>
      <c r="L125" s="2">
        <v>0.7419936563636168</v>
      </c>
      <c r="M125" s="2">
        <v>6.1499999999999902E-2</v>
      </c>
      <c r="N125" s="2">
        <v>4.5632609866362361E-2</v>
      </c>
      <c r="P125" s="31">
        <v>2005.9166666670901</v>
      </c>
      <c r="Q125" s="2">
        <v>0.68601680636276785</v>
      </c>
      <c r="R125" s="2">
        <v>7.1900000000000297E-2</v>
      </c>
      <c r="S125" s="2">
        <v>3.5951201255869966E-2</v>
      </c>
      <c r="U125" s="2">
        <f t="shared" si="14"/>
        <v>0.69500074427394243</v>
      </c>
      <c r="V125" s="2">
        <f t="shared" si="15"/>
        <v>7.521666666666664E-2</v>
      </c>
      <c r="W125" s="2">
        <f t="shared" si="16"/>
        <v>4.7615902018917002E-2</v>
      </c>
      <c r="Y125" s="31">
        <v>2005.9166666670901</v>
      </c>
      <c r="Z125" s="2">
        <v>-0.44462125589155227</v>
      </c>
      <c r="AA125" s="2">
        <v>-0.1883013680744752</v>
      </c>
      <c r="AB125" s="2">
        <v>-0.32024425203927054</v>
      </c>
      <c r="AD125" s="31">
        <v>2005.9166666670901</v>
      </c>
      <c r="AE125" s="2">
        <v>-0.4002990989436786</v>
      </c>
      <c r="AF125" s="2">
        <v>-0.68658960551538373</v>
      </c>
      <c r="AG125" s="2">
        <v>-0.54958288797488186</v>
      </c>
      <c r="AH125" s="31"/>
      <c r="AI125" s="31">
        <v>2005.9166666670901</v>
      </c>
      <c r="AJ125" s="2">
        <v>-1.1517327749481456</v>
      </c>
      <c r="AK125" s="2">
        <v>-0.61478205611361436</v>
      </c>
      <c r="AL125" s="2">
        <v>-0.72321196697697643</v>
      </c>
      <c r="AM125" s="31"/>
      <c r="AN125" s="2">
        <f t="shared" si="17"/>
        <v>-0.66555104326112546</v>
      </c>
      <c r="AO125" s="2">
        <f t="shared" si="10"/>
        <v>-0.4965576765678244</v>
      </c>
      <c r="AP125" s="2">
        <f t="shared" si="11"/>
        <v>-0.53101303566370961</v>
      </c>
      <c r="AQ125" s="31"/>
      <c r="AR125" s="31">
        <v>2005.9166666670901</v>
      </c>
      <c r="AS125" s="2">
        <v>-0.16059225439410776</v>
      </c>
      <c r="AT125" s="2">
        <v>0.68444756444045063</v>
      </c>
      <c r="AU125" s="2">
        <v>0.44161630458989803</v>
      </c>
      <c r="AV125" s="31"/>
      <c r="AW125" s="31">
        <v>2005.9166666670901</v>
      </c>
      <c r="AX125" s="2">
        <v>-0.15746675631389037</v>
      </c>
      <c r="AY125" s="2">
        <v>-0.51828077835128905</v>
      </c>
      <c r="AZ125" s="2">
        <v>-0.27353580141106992</v>
      </c>
      <c r="BA125" s="31"/>
      <c r="BB125" s="31">
        <v>2005.9166666670901</v>
      </c>
      <c r="BC125" s="2">
        <v>-0.92031603503251025</v>
      </c>
      <c r="BD125" s="2">
        <v>-0.44318112469553572</v>
      </c>
      <c r="BE125" s="2">
        <v>-0.49555624087568773</v>
      </c>
      <c r="BG125" s="2">
        <f t="shared" si="18"/>
        <v>-0.41279168191350285</v>
      </c>
      <c r="BH125" s="2">
        <f t="shared" si="12"/>
        <v>-9.2338112868791386E-2</v>
      </c>
      <c r="BI125" s="2">
        <f t="shared" si="13"/>
        <v>-0.10915857923228654</v>
      </c>
    </row>
    <row r="126" spans="1:61" x14ac:dyDescent="0.3">
      <c r="A126" s="31">
        <v>2005.83333333376</v>
      </c>
      <c r="B126">
        <v>0.771497680380555</v>
      </c>
      <c r="C126">
        <v>6.0800000000000409E-2</v>
      </c>
      <c r="D126">
        <v>4.6907058967138059E-2</v>
      </c>
      <c r="F126" s="31">
        <v>2005.83333333376</v>
      </c>
      <c r="G126" s="2">
        <v>0.67616342243013161</v>
      </c>
      <c r="H126" s="2">
        <v>6.1499999999999846E-2</v>
      </c>
      <c r="I126" s="2">
        <v>4.1584050479452989E-2</v>
      </c>
      <c r="K126" s="31">
        <v>2005.83333333376</v>
      </c>
      <c r="L126" s="2">
        <v>0.71022644927614609</v>
      </c>
      <c r="M126" s="2">
        <v>6.1514999999999952E-2</v>
      </c>
      <c r="N126" s="2">
        <v>4.3689172437146429E-2</v>
      </c>
      <c r="P126" s="31">
        <v>2005.83333333376</v>
      </c>
      <c r="Q126" s="2">
        <v>0.82460153045898965</v>
      </c>
      <c r="R126" s="2">
        <v>9.5800000000000607E-2</v>
      </c>
      <c r="S126" s="2">
        <v>2.6485048969675774E-2</v>
      </c>
      <c r="U126" s="2">
        <f t="shared" si="14"/>
        <v>0.73699713405508904</v>
      </c>
      <c r="V126" s="2">
        <f t="shared" si="15"/>
        <v>7.293833333333348E-2</v>
      </c>
      <c r="W126" s="2">
        <f t="shared" si="16"/>
        <v>3.7252757295425064E-2</v>
      </c>
      <c r="Y126" s="31">
        <v>2005.83333333376</v>
      </c>
      <c r="Z126" s="2">
        <v>-0.33346255491163118</v>
      </c>
      <c r="AA126" s="2">
        <v>-0.78876452892998183</v>
      </c>
      <c r="AB126" s="2">
        <v>-0.77316089682743971</v>
      </c>
      <c r="AD126" s="31">
        <v>2005.83333333376</v>
      </c>
      <c r="AE126" s="2">
        <v>-0.58933801873535452</v>
      </c>
      <c r="AF126" s="2">
        <v>-0.68622224125583742</v>
      </c>
      <c r="AG126" s="2">
        <v>-0.62348172780264643</v>
      </c>
      <c r="AH126" s="31"/>
      <c r="AI126" s="31">
        <v>2005.83333333376</v>
      </c>
      <c r="AJ126" s="2">
        <v>-0.74738577131958184</v>
      </c>
      <c r="AK126" s="2">
        <v>-4.5244348379574514E-2</v>
      </c>
      <c r="AL126" s="2">
        <v>-1.4882461803194103</v>
      </c>
      <c r="AM126" s="31"/>
      <c r="AN126" s="2">
        <f t="shared" si="17"/>
        <v>-0.55672878165552253</v>
      </c>
      <c r="AO126" s="2">
        <f t="shared" si="10"/>
        <v>-0.50674370618846465</v>
      </c>
      <c r="AP126" s="2">
        <f t="shared" si="11"/>
        <v>-0.96162960164983213</v>
      </c>
      <c r="AQ126" s="31"/>
      <c r="AR126" s="31">
        <v>2005.83333333376</v>
      </c>
      <c r="AS126" s="2">
        <v>-9.9877637699100644E-2</v>
      </c>
      <c r="AT126" s="2">
        <v>-0.28549293171718004</v>
      </c>
      <c r="AU126" s="2">
        <v>-0.32233887048776744</v>
      </c>
      <c r="AV126" s="31"/>
      <c r="AW126" s="31">
        <v>2005.83333333376</v>
      </c>
      <c r="AX126" s="2">
        <v>-0.2420096692646182</v>
      </c>
      <c r="AY126" s="2">
        <v>-0.19138401234735175</v>
      </c>
      <c r="AZ126" s="2">
        <v>-0.275921903130117</v>
      </c>
      <c r="BA126" s="31"/>
      <c r="BB126" s="31">
        <v>2005.83333333376</v>
      </c>
      <c r="BC126" s="2">
        <v>-0.41762843654177423</v>
      </c>
      <c r="BD126" s="2">
        <v>0.77503763331420128</v>
      </c>
      <c r="BE126" s="2">
        <v>-0.8160845686229804</v>
      </c>
      <c r="BG126" s="2">
        <f t="shared" si="18"/>
        <v>-0.25317191450183102</v>
      </c>
      <c r="BH126" s="2">
        <f t="shared" si="12"/>
        <v>9.9386896416556472E-2</v>
      </c>
      <c r="BI126" s="2">
        <f t="shared" si="13"/>
        <v>-0.47144844741362163</v>
      </c>
    </row>
    <row r="127" spans="1:61" x14ac:dyDescent="0.3">
      <c r="A127" s="31">
        <v>2005.75000000043</v>
      </c>
      <c r="B127">
        <v>0.79643643287204935</v>
      </c>
      <c r="C127">
        <v>4.5600000000000307E-2</v>
      </c>
      <c r="D127">
        <v>3.6317501338965698E-2</v>
      </c>
      <c r="F127" s="31">
        <v>2005.75000000043</v>
      </c>
      <c r="G127" s="2">
        <v>0.69467666608715062</v>
      </c>
      <c r="H127" s="2">
        <v>6.1499999999999846E-2</v>
      </c>
      <c r="I127" s="2">
        <v>4.2722614964359654E-2</v>
      </c>
      <c r="K127" s="31">
        <v>2005.75000000043</v>
      </c>
      <c r="L127" s="2">
        <v>0.68942245784522349</v>
      </c>
      <c r="M127" s="2">
        <v>6.1514999999999952E-2</v>
      </c>
      <c r="N127" s="2">
        <v>4.2409171335681686E-2</v>
      </c>
      <c r="P127" s="31">
        <v>2005.75000000043</v>
      </c>
      <c r="Q127" s="2">
        <v>0.86992113179034836</v>
      </c>
      <c r="R127" s="2">
        <v>9.5850000000000463E-2</v>
      </c>
      <c r="S127" s="2">
        <v>4.5994645200713669E-2</v>
      </c>
      <c r="U127" s="2">
        <f t="shared" si="14"/>
        <v>0.75134008524090756</v>
      </c>
      <c r="V127" s="2">
        <f t="shared" si="15"/>
        <v>7.2955000000000089E-2</v>
      </c>
      <c r="W127" s="2">
        <f t="shared" si="16"/>
        <v>4.3708810500251667E-2</v>
      </c>
      <c r="Y127" s="31">
        <v>2005.75000000043</v>
      </c>
      <c r="Z127" s="2">
        <v>-0.22612135761089364</v>
      </c>
      <c r="AA127" s="2">
        <v>-0.78876452892998183</v>
      </c>
      <c r="AB127" s="2">
        <v>-0.74695770159607899</v>
      </c>
      <c r="AD127" s="31">
        <v>2005.75000000043</v>
      </c>
      <c r="AE127" s="2">
        <v>-0.71313750972076151</v>
      </c>
      <c r="AF127" s="2">
        <v>-0.68622224125583742</v>
      </c>
      <c r="AG127" s="2">
        <v>-0.67215352703554854</v>
      </c>
      <c r="AH127" s="31"/>
      <c r="AI127" s="31">
        <v>2005.75000000043</v>
      </c>
      <c r="AJ127" s="2">
        <v>-0.14908518075347313</v>
      </c>
      <c r="AK127" s="2">
        <v>-4.4052846898962821E-2</v>
      </c>
      <c r="AL127" s="2">
        <v>8.8477725444131433E-2</v>
      </c>
      <c r="AM127" s="31"/>
      <c r="AN127" s="2">
        <f t="shared" si="17"/>
        <v>-0.36278134936170942</v>
      </c>
      <c r="AO127" s="2">
        <f t="shared" si="10"/>
        <v>-0.50634653902826077</v>
      </c>
      <c r="AP127" s="2">
        <f t="shared" si="11"/>
        <v>-0.44354450106249871</v>
      </c>
      <c r="AQ127" s="31"/>
      <c r="AR127" s="31">
        <v>2005.75000000043</v>
      </c>
      <c r="AS127" s="2">
        <v>-0.35404704983786073</v>
      </c>
      <c r="AT127" s="2">
        <v>-0.6766476141944503</v>
      </c>
      <c r="AU127" s="2">
        <v>-0.67785178092590104</v>
      </c>
      <c r="AV127" s="31"/>
      <c r="AW127" s="31">
        <v>2005.75000000043</v>
      </c>
      <c r="AX127" s="2">
        <v>-0.74416714841672926</v>
      </c>
      <c r="AY127" s="2">
        <v>-0.6564669997761764</v>
      </c>
      <c r="AZ127" s="2">
        <v>-0.924346975515832</v>
      </c>
      <c r="BA127" s="31"/>
      <c r="BB127" s="31">
        <v>2005.75000000043</v>
      </c>
      <c r="BC127" s="2">
        <v>-0.19878448902208437</v>
      </c>
      <c r="BD127" s="2">
        <v>0.36965282471677957</v>
      </c>
      <c r="BE127" s="2">
        <v>-0.13361310691187731</v>
      </c>
      <c r="BG127" s="2">
        <f t="shared" si="18"/>
        <v>-0.43233289575889144</v>
      </c>
      <c r="BH127" s="2">
        <f t="shared" si="12"/>
        <v>-0.32115392975128237</v>
      </c>
      <c r="BI127" s="2">
        <f t="shared" si="13"/>
        <v>-0.57860395445120349</v>
      </c>
    </row>
    <row r="128" spans="1:61" x14ac:dyDescent="0.3">
      <c r="A128" s="31">
        <v>2005.6666666670999</v>
      </c>
      <c r="B128">
        <v>0.81399362454070534</v>
      </c>
      <c r="C128">
        <v>6.0800000000000409E-2</v>
      </c>
      <c r="D128">
        <v>4.949081237207522E-2</v>
      </c>
      <c r="F128" s="31">
        <v>2005.6666666670999</v>
      </c>
      <c r="G128" s="2">
        <v>0.71586558150367074</v>
      </c>
      <c r="H128" s="2">
        <v>9.2249999999999749E-2</v>
      </c>
      <c r="I128" s="2">
        <v>6.5464703924594247E-2</v>
      </c>
      <c r="K128" s="31">
        <v>2005.6666666670999</v>
      </c>
      <c r="L128" s="2">
        <v>0.72787497350416452</v>
      </c>
      <c r="M128" s="2">
        <v>6.1499999999999902E-2</v>
      </c>
      <c r="N128" s="2">
        <v>4.4764310870506044E-2</v>
      </c>
      <c r="P128" s="31">
        <v>2005.6666666670999</v>
      </c>
      <c r="Q128" s="2">
        <v>0.85018028739516383</v>
      </c>
      <c r="R128" s="2">
        <v>7.1900000000000297E-2</v>
      </c>
      <c r="S128" s="2">
        <v>5.3402758737784009E-2</v>
      </c>
      <c r="U128" s="2">
        <f t="shared" si="14"/>
        <v>0.76464028080099966</v>
      </c>
      <c r="V128" s="2">
        <f t="shared" si="15"/>
        <v>7.521666666666664E-2</v>
      </c>
      <c r="W128" s="2">
        <f t="shared" si="16"/>
        <v>5.4543924510961433E-2</v>
      </c>
      <c r="Y128" s="31">
        <v>2005.6666666670999</v>
      </c>
      <c r="Z128" s="2">
        <v>-0.10326641158143288</v>
      </c>
      <c r="AA128" s="2">
        <v>-0.1883013680744752</v>
      </c>
      <c r="AB128" s="2">
        <v>-0.22356582973135164</v>
      </c>
      <c r="AD128" s="31">
        <v>2005.6666666670999</v>
      </c>
      <c r="AE128" s="2">
        <v>-0.48431594528723959</v>
      </c>
      <c r="AF128" s="2">
        <v>-0.68658960551538373</v>
      </c>
      <c r="AG128" s="2">
        <v>-0.582599792688548</v>
      </c>
      <c r="AH128" s="31"/>
      <c r="AI128" s="31">
        <v>2005.6666666670999</v>
      </c>
      <c r="AJ128" s="2">
        <v>0.46038148111961097</v>
      </c>
      <c r="AK128" s="2">
        <v>-0.61478205611361436</v>
      </c>
      <c r="AL128" s="2">
        <v>0.68718564190663001</v>
      </c>
      <c r="AM128" s="31"/>
      <c r="AN128" s="2">
        <f t="shared" si="17"/>
        <v>-4.2400291916353833E-2</v>
      </c>
      <c r="AO128" s="2">
        <f t="shared" si="10"/>
        <v>-0.4965576765678244</v>
      </c>
      <c r="AP128" s="2">
        <f t="shared" si="11"/>
        <v>-3.9659993504423209E-2</v>
      </c>
      <c r="AQ128" s="31"/>
      <c r="AR128" s="31">
        <v>2005.6666666670999</v>
      </c>
      <c r="AS128" s="2">
        <v>-0.1990786888976378</v>
      </c>
      <c r="AT128" s="2">
        <v>0.70701225639459664</v>
      </c>
      <c r="AU128" s="2">
        <v>0.39731505392345218</v>
      </c>
      <c r="AV128" s="31"/>
      <c r="AW128" s="31">
        <v>2005.6666666670999</v>
      </c>
      <c r="AX128" s="2">
        <v>-0.38315514087253438</v>
      </c>
      <c r="AY128" s="2">
        <v>-0.23903137022338633</v>
      </c>
      <c r="AZ128" s="2">
        <v>-0.39998765486678939</v>
      </c>
      <c r="BA128" s="31"/>
      <c r="BB128" s="31">
        <v>2005.6666666670999</v>
      </c>
      <c r="BC128" s="2">
        <v>0.14071950907197914</v>
      </c>
      <c r="BD128" s="2">
        <v>7.7097786990586777E-4</v>
      </c>
      <c r="BE128" s="2">
        <v>0.75754871403643953</v>
      </c>
      <c r="BG128" s="2">
        <f t="shared" si="18"/>
        <v>-0.14717144023273102</v>
      </c>
      <c r="BH128" s="2">
        <f t="shared" si="12"/>
        <v>0.15625062134703874</v>
      </c>
      <c r="BI128" s="2">
        <f t="shared" si="13"/>
        <v>0.25162537103103411</v>
      </c>
    </row>
    <row r="129" spans="1:61" x14ac:dyDescent="0.3">
      <c r="A129" s="31">
        <v>2005.58333333377</v>
      </c>
      <c r="B129">
        <v>0.85184671482861007</v>
      </c>
      <c r="C129">
        <v>6.0800000000000409E-2</v>
      </c>
      <c r="D129">
        <v>5.1792280261579844E-2</v>
      </c>
      <c r="F129" s="31">
        <v>2005.58333333377</v>
      </c>
      <c r="G129" s="2">
        <v>0.75303093261332754</v>
      </c>
      <c r="H129" s="2">
        <v>6.1499999999999846E-2</v>
      </c>
      <c r="I129" s="2">
        <v>4.6311402355719539E-2</v>
      </c>
      <c r="K129" s="31">
        <v>2005.58333333377</v>
      </c>
      <c r="L129" s="2">
        <v>0.66715712094516322</v>
      </c>
      <c r="M129" s="2">
        <v>6.1514999999999952E-2</v>
      </c>
      <c r="N129" s="2">
        <v>4.1039330264816751E-2</v>
      </c>
      <c r="P129" s="31">
        <v>2005.58333333377</v>
      </c>
      <c r="Q129" s="2">
        <v>0.81695153646559837</v>
      </c>
      <c r="R129" s="2">
        <v>9.5850000000000463E-2</v>
      </c>
      <c r="S129" s="2">
        <v>5.9116326851731529E-2</v>
      </c>
      <c r="U129" s="2">
        <f t="shared" si="14"/>
        <v>0.74571319667469638</v>
      </c>
      <c r="V129" s="2">
        <f t="shared" si="15"/>
        <v>7.2955000000000089E-2</v>
      </c>
      <c r="W129" s="2">
        <f t="shared" si="16"/>
        <v>4.8822353157422609E-2</v>
      </c>
      <c r="Y129" s="31">
        <v>2005.58333333377</v>
      </c>
      <c r="Z129" s="2">
        <v>0.11222112588747239</v>
      </c>
      <c r="AA129" s="2">
        <v>-0.78876452892998183</v>
      </c>
      <c r="AB129" s="2">
        <v>-0.66436449066577552</v>
      </c>
      <c r="AD129" s="31">
        <v>2005.58333333377</v>
      </c>
      <c r="AE129" s="2">
        <v>-0.84563311201893177</v>
      </c>
      <c r="AF129" s="2">
        <v>-0.68622224125583742</v>
      </c>
      <c r="AG129" s="2">
        <v>-0.72424147407389594</v>
      </c>
      <c r="AH129" s="31"/>
      <c r="AI129" s="31">
        <v>2005.58333333377</v>
      </c>
      <c r="AJ129" s="2">
        <v>0.95786751389988278</v>
      </c>
      <c r="AK129" s="2">
        <v>-4.4052846898962821E-2</v>
      </c>
      <c r="AL129" s="2">
        <v>1.148944015877351</v>
      </c>
      <c r="AM129" s="31"/>
      <c r="AN129" s="2">
        <f t="shared" si="17"/>
        <v>7.4818509256141141E-2</v>
      </c>
      <c r="AO129" s="2">
        <f t="shared" si="10"/>
        <v>-0.50634653902826077</v>
      </c>
      <c r="AP129" s="2">
        <f t="shared" si="11"/>
        <v>-7.9887316287440169E-2</v>
      </c>
      <c r="AQ129" s="31"/>
      <c r="AR129" s="31">
        <v>2005.58333333377</v>
      </c>
      <c r="AS129" s="2">
        <v>-0.37832618660765682</v>
      </c>
      <c r="AT129" s="2">
        <v>-0.65870957567408583</v>
      </c>
      <c r="AU129" s="2">
        <v>-0.64927281916021229</v>
      </c>
      <c r="AV129" s="31"/>
      <c r="AW129" s="31">
        <v>2005.58333333377</v>
      </c>
      <c r="AX129" s="2">
        <v>-1.1867040349998266</v>
      </c>
      <c r="AY129" s="2">
        <v>-0.53553372549108424</v>
      </c>
      <c r="AZ129" s="2">
        <v>-1.2558093711598319</v>
      </c>
      <c r="BA129" s="31"/>
      <c r="BB129" s="31">
        <v>2005.58333333377</v>
      </c>
      <c r="BC129" s="2">
        <v>0.33692098385864716</v>
      </c>
      <c r="BD129" s="2">
        <v>0.77441334649330551</v>
      </c>
      <c r="BE129" s="2">
        <v>0.37687269420809671</v>
      </c>
      <c r="BG129" s="2">
        <f t="shared" si="18"/>
        <v>-0.40936974591627878</v>
      </c>
      <c r="BH129" s="2">
        <f t="shared" si="12"/>
        <v>-0.13994331822395487</v>
      </c>
      <c r="BI129" s="2">
        <f t="shared" si="13"/>
        <v>-0.50940316537064911</v>
      </c>
    </row>
    <row r="130" spans="1:61" x14ac:dyDescent="0.3">
      <c r="A130" s="31">
        <v>2005.50000000044</v>
      </c>
      <c r="B130">
        <v>0.89183703076264675</v>
      </c>
      <c r="C130">
        <v>4.5600000000000307E-2</v>
      </c>
      <c r="D130">
        <v>4.0667768602776967E-2</v>
      </c>
      <c r="F130" s="31">
        <v>2005.50000000044</v>
      </c>
      <c r="G130" s="2">
        <v>0.78573047306127364</v>
      </c>
      <c r="H130" s="2">
        <v>6.1499999999999846E-2</v>
      </c>
      <c r="I130" s="2">
        <v>4.8322424093268208E-2</v>
      </c>
      <c r="K130" s="31">
        <v>2005.50000000044</v>
      </c>
      <c r="L130" s="2"/>
      <c r="M130" s="2"/>
      <c r="N130" s="2"/>
      <c r="P130" s="31">
        <v>2005.50000000044</v>
      </c>
      <c r="Q130" s="2">
        <v>0.74898139275549402</v>
      </c>
      <c r="R130" s="2">
        <v>4.7900000000000303E-2</v>
      </c>
      <c r="S130" s="2">
        <v>4.0817028758239213E-2</v>
      </c>
      <c r="U130" s="2">
        <f t="shared" si="14"/>
        <v>0.76735593290838389</v>
      </c>
      <c r="V130" s="2">
        <f t="shared" si="15"/>
        <v>5.4700000000000075E-2</v>
      </c>
      <c r="W130" s="2">
        <f t="shared" si="16"/>
        <v>4.4569726425753714E-2</v>
      </c>
      <c r="Y130" s="31">
        <v>2005.50000000044</v>
      </c>
      <c r="Z130" s="2">
        <v>0.30181555287680584</v>
      </c>
      <c r="AA130" s="2">
        <v>-0.78876452892998183</v>
      </c>
      <c r="AB130" s="2">
        <v>-0.6180823556597661</v>
      </c>
      <c r="AD130" s="31">
        <v>2005.50000000044</v>
      </c>
      <c r="AE130" s="2"/>
      <c r="AF130" s="2"/>
      <c r="AG130" s="2"/>
      <c r="AH130" s="31"/>
      <c r="AI130" s="31">
        <v>2005.50000000044</v>
      </c>
      <c r="AJ130" s="2">
        <v>1.2035362974049517</v>
      </c>
      <c r="AK130" s="2">
        <v>-1.186702766808877</v>
      </c>
      <c r="AL130" s="2">
        <v>-0.32996617893233332</v>
      </c>
      <c r="AM130" s="31"/>
      <c r="AN130" s="2">
        <f t="shared" si="17"/>
        <v>0.75267592514087878</v>
      </c>
      <c r="AO130" s="2">
        <f t="shared" si="10"/>
        <v>-0.98773364786942941</v>
      </c>
      <c r="AP130" s="2">
        <f t="shared" si="11"/>
        <v>-0.47402426729604974</v>
      </c>
      <c r="AQ130" s="31"/>
      <c r="AR130" s="31">
        <v>2005.50000000044</v>
      </c>
      <c r="AS130" s="2">
        <v>-0.11763201170525628</v>
      </c>
      <c r="AT130" s="2">
        <v>-2.3130098149132094E-2</v>
      </c>
      <c r="AU130" s="2">
        <v>-0.14074157242637952</v>
      </c>
      <c r="AV130" s="31"/>
      <c r="AW130" s="31">
        <v>2005.50000000044</v>
      </c>
      <c r="AX130" s="2"/>
      <c r="AY130" s="2"/>
      <c r="AZ130" s="2"/>
      <c r="BA130" s="31"/>
      <c r="BB130" s="31">
        <v>2005.50000000044</v>
      </c>
      <c r="BC130" s="2">
        <v>0.15347553191090157</v>
      </c>
      <c r="BD130" s="2">
        <v>-0.38248368897839508</v>
      </c>
      <c r="BE130" s="2">
        <v>-0.10048540397941451</v>
      </c>
      <c r="BG130" s="2">
        <f t="shared" si="18"/>
        <v>1.7921760102822648E-2</v>
      </c>
      <c r="BH130" s="2">
        <f t="shared" si="12"/>
        <v>-0.20280689356376358</v>
      </c>
      <c r="BI130" s="2">
        <f t="shared" si="13"/>
        <v>-0.12061348820289702</v>
      </c>
    </row>
    <row r="131" spans="1:61" x14ac:dyDescent="0.3">
      <c r="A131" s="31">
        <v>2005.4166666671099</v>
      </c>
      <c r="B131">
        <v>0.77528061341164167</v>
      </c>
      <c r="C131">
        <v>0.39520000000000266</v>
      </c>
      <c r="D131">
        <v>0.30639089842028283</v>
      </c>
      <c r="F131" s="31">
        <v>2005.4166666671099</v>
      </c>
      <c r="G131" s="2">
        <v>0.79563601751842383</v>
      </c>
      <c r="H131" s="2">
        <v>0.18449999999999944</v>
      </c>
      <c r="I131" s="2">
        <v>0.14498656625541789</v>
      </c>
      <c r="K131" s="31">
        <v>2005.4166666671099</v>
      </c>
      <c r="L131" s="2">
        <v>0.6108174263405155</v>
      </c>
      <c r="M131" s="2">
        <v>0.27680999999999978</v>
      </c>
      <c r="N131" s="2">
        <v>8.8722374213683161E-2</v>
      </c>
      <c r="P131" s="31">
        <v>2005.4166666671099</v>
      </c>
      <c r="Q131" s="2">
        <v>0.77919793638786761</v>
      </c>
      <c r="R131" s="2">
        <v>0.16775000000000076</v>
      </c>
      <c r="S131" s="2">
        <v>6.2253382274310036E-2</v>
      </c>
      <c r="U131" s="2">
        <f t="shared" si="14"/>
        <v>0.72855046008226898</v>
      </c>
      <c r="V131" s="2">
        <f t="shared" si="15"/>
        <v>0.20968666666666666</v>
      </c>
      <c r="W131" s="2">
        <f t="shared" si="16"/>
        <v>9.8654107581137018E-2</v>
      </c>
      <c r="Y131" s="31">
        <v>2005.4166666671099</v>
      </c>
      <c r="Z131" s="2">
        <v>0.35924865437131692</v>
      </c>
      <c r="AA131" s="2">
        <v>1.6130881144920444</v>
      </c>
      <c r="AB131" s="2">
        <v>1.6065693197826183</v>
      </c>
      <c r="AD131" s="31">
        <v>2005.4166666671099</v>
      </c>
      <c r="AE131" s="2">
        <v>-1.1808969260561479</v>
      </c>
      <c r="AF131" s="2">
        <v>4.586556975995145</v>
      </c>
      <c r="AG131" s="2">
        <v>1.0888972327890067</v>
      </c>
      <c r="AH131" s="31"/>
      <c r="AI131" s="31">
        <v>2005.4166666671099</v>
      </c>
      <c r="AJ131" s="2">
        <v>1.2720136626245806</v>
      </c>
      <c r="AK131" s="2">
        <v>1.6693262822256021</v>
      </c>
      <c r="AL131" s="2">
        <v>1.4024741361273867</v>
      </c>
      <c r="AM131" s="31"/>
      <c r="AN131" s="2">
        <f t="shared" si="17"/>
        <v>0.15012179697991654</v>
      </c>
      <c r="AO131" s="2">
        <f t="shared" si="10"/>
        <v>2.6229904575709306</v>
      </c>
      <c r="AP131" s="2">
        <f t="shared" si="11"/>
        <v>1.3659802295663372</v>
      </c>
      <c r="AQ131" s="31"/>
      <c r="AR131" s="31">
        <v>2005.4166666671099</v>
      </c>
      <c r="AS131" s="2">
        <v>-0.24103146329196057</v>
      </c>
      <c r="AT131" s="2">
        <v>0.30752807372934127</v>
      </c>
      <c r="AU131" s="2">
        <v>1.612096960636095E-2</v>
      </c>
      <c r="AV131" s="31"/>
      <c r="AW131" s="31">
        <v>2005.4166666671099</v>
      </c>
      <c r="AX131" s="2">
        <v>-1.6056866444323907</v>
      </c>
      <c r="AY131" s="2">
        <v>2.7840499596825361</v>
      </c>
      <c r="AZ131" s="2">
        <v>2.6862885506967409E-2</v>
      </c>
      <c r="BA131" s="31"/>
      <c r="BB131" s="31">
        <v>2005.4166666671099</v>
      </c>
      <c r="BC131" s="2">
        <v>0.58318615749272984</v>
      </c>
      <c r="BD131" s="2">
        <v>0.21308645383215588</v>
      </c>
      <c r="BE131" s="2">
        <v>0.55983925842911553</v>
      </c>
      <c r="BG131" s="2">
        <f t="shared" si="18"/>
        <v>-0.42117731674387388</v>
      </c>
      <c r="BH131" s="2">
        <f t="shared" si="12"/>
        <v>1.1015548290813444</v>
      </c>
      <c r="BI131" s="2">
        <f t="shared" si="13"/>
        <v>0.2009410378474813</v>
      </c>
    </row>
    <row r="132" spans="1:61" x14ac:dyDescent="0.3">
      <c r="A132" s="31">
        <v>2005.33333333378</v>
      </c>
      <c r="B132">
        <v>0.63314838413828778</v>
      </c>
      <c r="C132">
        <v>0.41040000000000276</v>
      </c>
      <c r="D132">
        <v>0.25984409685035503</v>
      </c>
      <c r="F132" s="31">
        <v>2005.33333333378</v>
      </c>
      <c r="G132" s="2">
        <v>0.74434831290290771</v>
      </c>
      <c r="H132" s="2">
        <v>0.15374999999999955</v>
      </c>
      <c r="I132" s="2">
        <v>0.10930016666308422</v>
      </c>
      <c r="K132" s="31">
        <v>2005.33333333378</v>
      </c>
      <c r="L132" s="2">
        <v>0.56218672542227388</v>
      </c>
      <c r="M132" s="2">
        <v>0.21529499999999979</v>
      </c>
      <c r="N132" s="2">
        <v>7.0650563960051121E-2</v>
      </c>
      <c r="P132" s="31">
        <v>2005.33333333378</v>
      </c>
      <c r="Q132" s="2">
        <v>0.75813878406680768</v>
      </c>
      <c r="R132" s="2">
        <v>0.1198000000000006</v>
      </c>
      <c r="S132" s="2">
        <v>5.9189748619786223E-2</v>
      </c>
      <c r="U132" s="2">
        <f t="shared" si="14"/>
        <v>0.68822460746399639</v>
      </c>
      <c r="V132" s="2">
        <f t="shared" si="15"/>
        <v>0.16294833333333331</v>
      </c>
      <c r="W132" s="2">
        <f t="shared" si="16"/>
        <v>7.9713493080973863E-2</v>
      </c>
      <c r="Y132" s="31">
        <v>2005.33333333378</v>
      </c>
      <c r="Z132" s="2">
        <v>6.1878635252661664E-2</v>
      </c>
      <c r="AA132" s="2">
        <v>1.0126249536365379</v>
      </c>
      <c r="AB132" s="2">
        <v>0.78527398867194897</v>
      </c>
      <c r="AD132" s="31">
        <v>2005.33333333378</v>
      </c>
      <c r="AE132" s="2">
        <v>-1.4702863944152438</v>
      </c>
      <c r="AF132" s="2">
        <v>3.0799961476006423</v>
      </c>
      <c r="AG132" s="2">
        <v>0.40172007377457858</v>
      </c>
      <c r="AH132" s="31"/>
      <c r="AI132" s="31">
        <v>2005.33333333378</v>
      </c>
      <c r="AJ132" s="2">
        <v>0.93405542469843994</v>
      </c>
      <c r="AK132" s="2">
        <v>0.52667636231568804</v>
      </c>
      <c r="AL132" s="2">
        <v>1.1548778063835374</v>
      </c>
      <c r="AM132" s="31"/>
      <c r="AN132" s="2">
        <f t="shared" si="17"/>
        <v>-0.15811744482138071</v>
      </c>
      <c r="AO132" s="2">
        <f t="shared" si="10"/>
        <v>1.5397658211842895</v>
      </c>
      <c r="AP132" s="2">
        <f t="shared" si="11"/>
        <v>0.78062395627668835</v>
      </c>
      <c r="AQ132" s="31"/>
      <c r="AR132" s="31">
        <v>2005.33333333378</v>
      </c>
      <c r="AS132" s="2">
        <v>-7.1644359713954983E-2</v>
      </c>
      <c r="AT132" s="2">
        <v>-1.8664175683890765E-2</v>
      </c>
      <c r="AU132" s="2">
        <v>-0.13645459210959859</v>
      </c>
      <c r="AV132" s="31"/>
      <c r="AW132" s="31">
        <v>2005.33333333378</v>
      </c>
      <c r="AX132" s="2">
        <v>-1.5467344944353032</v>
      </c>
      <c r="AY132" s="2">
        <v>2.06230485587938</v>
      </c>
      <c r="AZ132" s="2">
        <v>-7.3550061857669602E-2</v>
      </c>
      <c r="BA132" s="31"/>
      <c r="BB132" s="31">
        <v>2005.33333333378</v>
      </c>
      <c r="BC132" s="2">
        <v>0.79509964173287739</v>
      </c>
      <c r="BD132" s="2">
        <v>-0.1780601750249331</v>
      </c>
      <c r="BE132" s="2">
        <v>0.86641278474652506</v>
      </c>
      <c r="BG132" s="2">
        <f t="shared" si="18"/>
        <v>-0.2744264041387936</v>
      </c>
      <c r="BH132" s="2">
        <f t="shared" si="12"/>
        <v>0.62186016839018532</v>
      </c>
      <c r="BI132" s="2">
        <f t="shared" si="13"/>
        <v>0.21880271025975229</v>
      </c>
    </row>
    <row r="133" spans="1:61" x14ac:dyDescent="0.3">
      <c r="A133" s="31">
        <v>2005.25000000045</v>
      </c>
      <c r="B133">
        <v>0.53671421426280963</v>
      </c>
      <c r="C133">
        <v>0.39520000000000266</v>
      </c>
      <c r="D133">
        <v>0.21210945747666379</v>
      </c>
      <c r="F133" s="31">
        <v>2005.25000000045</v>
      </c>
      <c r="G133" s="2">
        <v>0.72358928812597345</v>
      </c>
      <c r="H133" s="2">
        <v>0.15374999999999955</v>
      </c>
      <c r="I133" s="2">
        <v>0.10741543504198547</v>
      </c>
      <c r="K133" s="31">
        <v>2005.25000000045</v>
      </c>
      <c r="L133" s="2">
        <v>0.67965931128235746</v>
      </c>
      <c r="M133" s="2">
        <v>0.21529499999999979</v>
      </c>
      <c r="N133" s="2">
        <v>9.4364597532272138E-2</v>
      </c>
      <c r="P133" s="31">
        <v>2005.25000000045</v>
      </c>
      <c r="Q133" s="2">
        <v>0.73799179431554496</v>
      </c>
      <c r="R133" s="2">
        <v>0.16775000000000076</v>
      </c>
      <c r="S133" s="2">
        <v>5.6046034486019872E-2</v>
      </c>
      <c r="U133" s="2">
        <f t="shared" si="14"/>
        <v>0.7137467979079587</v>
      </c>
      <c r="V133" s="2">
        <f t="shared" si="15"/>
        <v>0.17893166666666671</v>
      </c>
      <c r="W133" s="2">
        <f t="shared" si="16"/>
        <v>8.5942022353425837E-2</v>
      </c>
      <c r="Y133" s="31">
        <v>2005.25000000045</v>
      </c>
      <c r="Z133" s="2">
        <v>-5.848377209387455E-2</v>
      </c>
      <c r="AA133" s="2">
        <v>1.0126249536365379</v>
      </c>
      <c r="AB133" s="2">
        <v>0.74189832459577887</v>
      </c>
      <c r="AD133" s="31">
        <v>2005.25000000045</v>
      </c>
      <c r="AE133" s="2">
        <v>-0.77123561935092588</v>
      </c>
      <c r="AF133" s="2">
        <v>3.0799961476006423</v>
      </c>
      <c r="AG133" s="2">
        <v>1.3034417048799363</v>
      </c>
      <c r="AH133" s="31"/>
      <c r="AI133" s="31">
        <v>2005.25000000045</v>
      </c>
      <c r="AJ133" s="2">
        <v>0.65687225214307421</v>
      </c>
      <c r="AK133" s="2">
        <v>1.6693262822256021</v>
      </c>
      <c r="AL133" s="2">
        <v>0.90080954331459773</v>
      </c>
      <c r="AM133" s="31"/>
      <c r="AN133" s="2">
        <f t="shared" si="17"/>
        <v>-5.7615713100575415E-2</v>
      </c>
      <c r="AO133" s="2">
        <f t="shared" ref="AO133:AO196" si="19">AVERAGE(AK133,AF133,AA133)</f>
        <v>1.9206491278209274</v>
      </c>
      <c r="AP133" s="2">
        <f t="shared" ref="AP133:AP196" si="20">AVERAGE(AL133,AG133,AB133)</f>
        <v>0.98204985759677099</v>
      </c>
      <c r="AQ133" s="31"/>
      <c r="AR133" s="31">
        <v>2005.25000000045</v>
      </c>
      <c r="AS133" s="2">
        <v>0.11323051183632174</v>
      </c>
      <c r="AT133" s="2">
        <v>-6.2988546229770959E-2</v>
      </c>
      <c r="AU133" s="2">
        <v>-9.1676048885540887E-2</v>
      </c>
      <c r="AV133" s="31"/>
      <c r="AW133" s="31">
        <v>2005.25000000045</v>
      </c>
      <c r="AX133" s="2">
        <v>-0.72789603485246612</v>
      </c>
      <c r="AY133" s="2">
        <v>1.9389958680933654</v>
      </c>
      <c r="AZ133" s="2">
        <v>0.43235236230975355</v>
      </c>
      <c r="BA133" s="31"/>
      <c r="BB133" s="31">
        <v>2005.25000000045</v>
      </c>
      <c r="BC133" s="2">
        <v>1.0428345963695729</v>
      </c>
      <c r="BD133" s="2">
        <v>0.57692863282771223</v>
      </c>
      <c r="BE133" s="2">
        <v>1.0965711551742039</v>
      </c>
      <c r="BG133" s="2">
        <f t="shared" si="18"/>
        <v>0.14272302445114282</v>
      </c>
      <c r="BH133" s="2">
        <f t="shared" ref="BH133:BH196" si="21">AVERAGE(BD133,AY133,AT133)</f>
        <v>0.81764531823043551</v>
      </c>
      <c r="BI133" s="2">
        <f t="shared" ref="BI133:BI196" si="22">AVERAGE(BE133,AZ133,AU133)</f>
        <v>0.47908248953280558</v>
      </c>
    </row>
    <row r="134" spans="1:61" x14ac:dyDescent="0.3">
      <c r="A134" s="31">
        <v>2005.1666666671199</v>
      </c>
      <c r="B134">
        <v>0.51765768729339612</v>
      </c>
      <c r="C134">
        <v>0.41040000000000276</v>
      </c>
      <c r="D134">
        <v>0.21244671486521119</v>
      </c>
      <c r="F134" s="31">
        <v>2005.1666666671199</v>
      </c>
      <c r="G134" s="2">
        <v>0.68344363840915456</v>
      </c>
      <c r="H134" s="2">
        <v>0.15374999999999955</v>
      </c>
      <c r="I134" s="2">
        <v>0.10062085726918235</v>
      </c>
      <c r="K134" s="31">
        <v>2005.1666666671199</v>
      </c>
      <c r="L134" s="2">
        <v>0.63572534131714631</v>
      </c>
      <c r="M134" s="2">
        <v>0.21529499999999979</v>
      </c>
      <c r="N134" s="2">
        <v>8.8996492064679827E-2</v>
      </c>
      <c r="P134" s="31">
        <v>2005.1666666671199</v>
      </c>
      <c r="Q134" s="2">
        <v>0.70905524310253298</v>
      </c>
      <c r="R134" s="2">
        <v>9.5850000000000463E-2</v>
      </c>
      <c r="S134" s="2">
        <v>5.3275381422203574E-2</v>
      </c>
      <c r="U134" s="2">
        <f t="shared" ref="U134:U197" si="23">AVERAGE(Q134,L134,G134)</f>
        <v>0.67607474094294462</v>
      </c>
      <c r="V134" s="2">
        <f t="shared" ref="V134:V197" si="24">AVERAGE(R134,M134,H134)</f>
        <v>0.15496499999999994</v>
      </c>
      <c r="W134" s="2">
        <f t="shared" ref="W134:W197" si="25">AVERAGE(S134,N134,I134)</f>
        <v>8.0964243585355256E-2</v>
      </c>
      <c r="Y134" s="31">
        <v>2005.1666666671199</v>
      </c>
      <c r="Z134" s="2">
        <v>-0.291251307964638</v>
      </c>
      <c r="AA134" s="2">
        <v>1.0126249536365379</v>
      </c>
      <c r="AB134" s="2">
        <v>0.58552628747746072</v>
      </c>
      <c r="AD134" s="31">
        <v>2005.1666666671199</v>
      </c>
      <c r="AE134" s="2">
        <v>-1.0326759846154916</v>
      </c>
      <c r="AF134" s="2">
        <v>3.0799961476006423</v>
      </c>
      <c r="AG134" s="2">
        <v>1.0993205121085299</v>
      </c>
      <c r="AH134" s="31"/>
      <c r="AI134" s="31">
        <v>2005.1666666671199</v>
      </c>
      <c r="AJ134" s="2">
        <v>0.43753635189640083</v>
      </c>
      <c r="AK134" s="2">
        <v>-4.4052846898962821E-2</v>
      </c>
      <c r="AL134" s="2">
        <v>0.67689127926840464</v>
      </c>
      <c r="AM134" s="31"/>
      <c r="AN134" s="2">
        <f t="shared" ref="AN134:AN197" si="26">AVERAGE(AJ134,AE134,Z134)</f>
        <v>-0.29546364689457622</v>
      </c>
      <c r="AO134" s="2">
        <f t="shared" si="19"/>
        <v>1.3495227514460726</v>
      </c>
      <c r="AP134" s="2">
        <f t="shared" si="20"/>
        <v>0.78724602628479845</v>
      </c>
      <c r="AQ134" s="31"/>
      <c r="AR134" s="31">
        <v>2005.1666666671199</v>
      </c>
      <c r="AS134" s="2">
        <v>8.334314598225373E-2</v>
      </c>
      <c r="AT134" s="2">
        <v>0.16876039905139853</v>
      </c>
      <c r="AU134" s="2">
        <v>6.3145308539463721E-2</v>
      </c>
      <c r="AV134" s="31"/>
      <c r="AW134" s="31">
        <v>2005.1666666671199</v>
      </c>
      <c r="AX134" s="2">
        <v>-0.83270449388341339</v>
      </c>
      <c r="AY134" s="2">
        <v>2.2108205555252365</v>
      </c>
      <c r="AZ134" s="2">
        <v>0.70321158368227965</v>
      </c>
      <c r="BA134" s="31"/>
      <c r="BB134" s="31">
        <v>2005.1666666671199</v>
      </c>
      <c r="BC134" s="2">
        <v>1.1174783834278381</v>
      </c>
      <c r="BD134" s="2">
        <v>-0.34847073798484229</v>
      </c>
      <c r="BE134" s="2">
        <v>1.2725301270645968</v>
      </c>
      <c r="BG134" s="2">
        <f t="shared" ref="BG134:BG197" si="27">AVERAGE(BC134,AX134,AS134)</f>
        <v>0.12270567850889282</v>
      </c>
      <c r="BH134" s="2">
        <f t="shared" si="21"/>
        <v>0.67703673886393079</v>
      </c>
      <c r="BI134" s="2">
        <f t="shared" si="22"/>
        <v>0.67962900642877999</v>
      </c>
    </row>
    <row r="135" spans="1:61" x14ac:dyDescent="0.3">
      <c r="A135" s="31">
        <v>2005.0833333337901</v>
      </c>
      <c r="B135">
        <v>0.48603796335942723</v>
      </c>
      <c r="C135">
        <v>4.5600000000000307E-2</v>
      </c>
      <c r="D135">
        <v>2.2163331129190032E-2</v>
      </c>
      <c r="F135" s="31">
        <v>2005.0833333337901</v>
      </c>
      <c r="G135" s="2">
        <v>0.64838311746300725</v>
      </c>
      <c r="H135" s="2">
        <v>6.1499999999999846E-2</v>
      </c>
      <c r="I135" s="2">
        <v>3.9875561723974856E-2</v>
      </c>
      <c r="K135" s="31">
        <v>2005.0833333337901</v>
      </c>
      <c r="L135" s="2">
        <v>0.61758429449432339</v>
      </c>
      <c r="M135" s="2">
        <v>9.2264999999999903E-2</v>
      </c>
      <c r="N135" s="2">
        <v>3.7993090531572071E-2</v>
      </c>
      <c r="P135" s="31">
        <v>2005.0833333337901</v>
      </c>
      <c r="Q135" s="2">
        <v>0.72986286678567325</v>
      </c>
      <c r="R135" s="2">
        <v>7.1900000000000297E-2</v>
      </c>
      <c r="S135" s="2">
        <v>5.2548525826751472E-2</v>
      </c>
      <c r="U135" s="2">
        <f t="shared" si="23"/>
        <v>0.6652767595810013</v>
      </c>
      <c r="V135" s="2">
        <f t="shared" si="24"/>
        <v>7.5221666666666687E-2</v>
      </c>
      <c r="W135" s="2">
        <f t="shared" si="25"/>
        <v>4.3472392694099471E-2</v>
      </c>
      <c r="Y135" s="31">
        <v>2005.0833333337901</v>
      </c>
      <c r="Z135" s="2">
        <v>-0.49453487977244442</v>
      </c>
      <c r="AA135" s="2">
        <v>-0.78876452892998183</v>
      </c>
      <c r="AB135" s="2">
        <v>-0.81248046546306929</v>
      </c>
      <c r="AD135" s="31">
        <v>2005.0833333337901</v>
      </c>
      <c r="AE135" s="2">
        <v>-1.1406289401848604</v>
      </c>
      <c r="AF135" s="2">
        <v>6.6874490811640125E-2</v>
      </c>
      <c r="AG135" s="2">
        <v>-0.84007416245370226</v>
      </c>
      <c r="AH135" s="31"/>
      <c r="AI135" s="31">
        <v>2005.0833333337901</v>
      </c>
      <c r="AJ135" s="2">
        <v>0.3658232118336871</v>
      </c>
      <c r="AK135" s="2">
        <v>-0.61478205611361436</v>
      </c>
      <c r="AL135" s="2">
        <v>0.61814836220259339</v>
      </c>
      <c r="AM135" s="31"/>
      <c r="AN135" s="2">
        <f t="shared" si="26"/>
        <v>-0.42311353604120594</v>
      </c>
      <c r="AO135" s="2">
        <f t="shared" si="19"/>
        <v>-0.44555736474398538</v>
      </c>
      <c r="AP135" s="2">
        <f t="shared" si="20"/>
        <v>-0.34480208857139272</v>
      </c>
      <c r="AQ135" s="31"/>
      <c r="AR135" s="31">
        <v>2005.0833333337901</v>
      </c>
      <c r="AS135" s="2">
        <v>7.7973435672160848E-2</v>
      </c>
      <c r="AT135" s="2">
        <v>-0.93050162247170598</v>
      </c>
      <c r="AU135" s="2">
        <v>-0.71075271125145156</v>
      </c>
      <c r="AV135" s="31"/>
      <c r="AW135" s="31">
        <v>2005.0833333337901</v>
      </c>
      <c r="AX135" s="2">
        <v>-0.89374669688288155</v>
      </c>
      <c r="AY135" s="2">
        <v>0.56051139147476758</v>
      </c>
      <c r="AZ135" s="2">
        <v>-1.1418636247685046</v>
      </c>
      <c r="BA135" s="31"/>
      <c r="BB135" s="31">
        <v>2005.0833333337901</v>
      </c>
      <c r="BC135" s="2">
        <v>1.1581890363295719</v>
      </c>
      <c r="BD135" s="2">
        <v>-0.95760573293009554</v>
      </c>
      <c r="BE135" s="2">
        <v>1.1870492036089</v>
      </c>
      <c r="BG135" s="2">
        <f t="shared" si="27"/>
        <v>0.11413859170628375</v>
      </c>
      <c r="BH135" s="2">
        <f t="shared" si="21"/>
        <v>-0.44253198797567794</v>
      </c>
      <c r="BI135" s="2">
        <f t="shared" si="22"/>
        <v>-0.22185571080368538</v>
      </c>
    </row>
    <row r="136" spans="1:61" x14ac:dyDescent="0.3">
      <c r="A136" s="31">
        <v>2005.00000000046</v>
      </c>
      <c r="B136">
        <v>0.50426969911727759</v>
      </c>
      <c r="C136">
        <v>3.0400000000000205E-2</v>
      </c>
      <c r="D136">
        <v>1.5329798853165343E-2</v>
      </c>
      <c r="F136" s="31">
        <v>2005.00000000046</v>
      </c>
      <c r="G136" s="2">
        <v>0.61045000222252033</v>
      </c>
      <c r="H136" s="2">
        <v>6.1499999999999798E-2</v>
      </c>
      <c r="I136" s="2">
        <v>3.7542675136684876E-2</v>
      </c>
      <c r="K136" s="31">
        <v>2005.00000000046</v>
      </c>
      <c r="L136" s="2">
        <v>0.48127589587064745</v>
      </c>
      <c r="M136" s="2">
        <v>6.1499999999999902E-2</v>
      </c>
      <c r="N136" s="2">
        <v>2.9598467596044772E-2</v>
      </c>
      <c r="P136" s="31">
        <v>2005.00000000046</v>
      </c>
      <c r="Q136" s="2">
        <v>0.76362928255438034</v>
      </c>
      <c r="R136" s="2">
        <v>9.5900000000000304E-2</v>
      </c>
      <c r="S136" s="2">
        <v>7.3849862222278559E-2</v>
      </c>
      <c r="U136" s="2">
        <f t="shared" si="23"/>
        <v>0.61845172688251604</v>
      </c>
      <c r="V136" s="2">
        <f t="shared" si="24"/>
        <v>7.2966666666666666E-2</v>
      </c>
      <c r="W136" s="2">
        <f t="shared" si="25"/>
        <v>4.6997001651669403E-2</v>
      </c>
      <c r="Y136" s="31">
        <v>2005.00000000046</v>
      </c>
      <c r="Z136" s="2">
        <v>-0.71447397217006259</v>
      </c>
      <c r="AA136" s="2">
        <v>-0.78876452892998272</v>
      </c>
      <c r="AB136" s="2">
        <v>-0.86617007506334864</v>
      </c>
      <c r="AD136" s="31">
        <v>2005.00000000046</v>
      </c>
      <c r="AE136" s="2">
        <v>-1.951767053881857</v>
      </c>
      <c r="AF136" s="2">
        <v>-0.68658960551538373</v>
      </c>
      <c r="AG136" s="2">
        <v>-1.1592781082052712</v>
      </c>
      <c r="AH136" s="31"/>
      <c r="AI136" s="31">
        <v>2005.00000000046</v>
      </c>
      <c r="AJ136" s="2">
        <v>0.66848832872627917</v>
      </c>
      <c r="AK136" s="2">
        <v>-4.286134541835146E-2</v>
      </c>
      <c r="AL136" s="2">
        <v>2.3396768819013216</v>
      </c>
      <c r="AM136" s="31"/>
      <c r="AN136" s="2">
        <f t="shared" si="26"/>
        <v>-0.66591756577521355</v>
      </c>
      <c r="AO136" s="2">
        <f t="shared" si="19"/>
        <v>-0.50607182662123928</v>
      </c>
      <c r="AP136" s="2">
        <f t="shared" si="20"/>
        <v>0.10474289954423392</v>
      </c>
      <c r="AQ136" s="31"/>
      <c r="AR136" s="31">
        <v>2005.00000000046</v>
      </c>
      <c r="AS136" s="2">
        <v>-0.21292992414262502</v>
      </c>
      <c r="AT136" s="2">
        <v>-0.29853293598826797</v>
      </c>
      <c r="AU136" s="2">
        <v>-0.42602913186759755</v>
      </c>
      <c r="AV136" s="31"/>
      <c r="AW136" s="31">
        <v>2005.00000000046</v>
      </c>
      <c r="AX136" s="2">
        <v>-1.2445800305435069</v>
      </c>
      <c r="AY136" s="2">
        <v>-0.22064426073162682</v>
      </c>
      <c r="AZ136" s="2">
        <v>-1.2630456578548235</v>
      </c>
      <c r="BA136" s="31"/>
      <c r="BB136" s="31">
        <v>2005.00000000046</v>
      </c>
      <c r="BC136" s="2">
        <v>1.0335080199880473</v>
      </c>
      <c r="BD136" s="2">
        <v>0.75717964273502802</v>
      </c>
      <c r="BE136" s="2">
        <v>2.8685337344326753</v>
      </c>
      <c r="BG136" s="2">
        <f t="shared" si="27"/>
        <v>-0.14133397823269486</v>
      </c>
      <c r="BH136" s="2">
        <f t="shared" si="21"/>
        <v>7.9334148671711083E-2</v>
      </c>
      <c r="BI136" s="2">
        <f t="shared" si="22"/>
        <v>0.39315298157008477</v>
      </c>
    </row>
    <row r="137" spans="1:61" x14ac:dyDescent="0.3">
      <c r="A137" s="31">
        <v>2004.9166666671299</v>
      </c>
      <c r="B137">
        <v>0.53114935975554411</v>
      </c>
      <c r="C137">
        <v>3.0400000000000205E-2</v>
      </c>
      <c r="D137">
        <v>1.6146940536568649E-2</v>
      </c>
      <c r="F137" s="31">
        <v>2004.9166666671299</v>
      </c>
      <c r="G137" s="2">
        <v>0.65539355096335772</v>
      </c>
      <c r="H137" s="2">
        <v>6.1499999999999846E-2</v>
      </c>
      <c r="I137" s="2">
        <v>4.0306703384246405E-2</v>
      </c>
      <c r="K137" s="31">
        <v>2004.9166666671299</v>
      </c>
      <c r="L137" s="2">
        <v>0.50012706380920835</v>
      </c>
      <c r="M137" s="2">
        <v>6.1499999999999902E-2</v>
      </c>
      <c r="N137" s="2">
        <v>3.0757814424266266E-2</v>
      </c>
      <c r="P137" s="31">
        <v>2004.9166666671299</v>
      </c>
      <c r="Q137" s="2">
        <v>0.80933561248528918</v>
      </c>
      <c r="R137" s="2">
        <v>4.7900000000000303E-2</v>
      </c>
      <c r="S137" s="2">
        <v>3.4058320564120281E-2</v>
      </c>
      <c r="U137" s="2">
        <f t="shared" si="23"/>
        <v>0.65495207575261849</v>
      </c>
      <c r="V137" s="2">
        <f t="shared" si="24"/>
        <v>5.6966666666666686E-2</v>
      </c>
      <c r="W137" s="2">
        <f t="shared" si="25"/>
        <v>3.5040946124210985E-2</v>
      </c>
      <c r="Y137" s="31">
        <v>2004.9166666671299</v>
      </c>
      <c r="Z137" s="2">
        <v>-0.45388785219229816</v>
      </c>
      <c r="AA137" s="2">
        <v>-0.78876452892998183</v>
      </c>
      <c r="AB137" s="2">
        <v>-0.80255806822845466</v>
      </c>
      <c r="AD137" s="31">
        <v>2004.9166666671299</v>
      </c>
      <c r="AE137" s="2">
        <v>-1.8395883403391564</v>
      </c>
      <c r="AF137" s="2">
        <v>-0.68658960551538373</v>
      </c>
      <c r="AG137" s="2">
        <v>-1.1151941648399673</v>
      </c>
      <c r="AH137" s="31"/>
      <c r="AI137" s="31">
        <v>2004.9166666671299</v>
      </c>
      <c r="AJ137" s="2">
        <v>0.28351595363515092</v>
      </c>
      <c r="AK137" s="2">
        <v>-1.186702766808877</v>
      </c>
      <c r="AL137" s="2">
        <v>-0.87619054234553406</v>
      </c>
      <c r="AM137" s="31"/>
      <c r="AN137" s="2">
        <f t="shared" si="26"/>
        <v>-0.66998674629876787</v>
      </c>
      <c r="AO137" s="2">
        <f t="shared" si="19"/>
        <v>-0.88735230041808089</v>
      </c>
      <c r="AP137" s="2">
        <f t="shared" si="20"/>
        <v>-0.93131425847131866</v>
      </c>
      <c r="AQ137" s="31"/>
      <c r="AR137" s="31">
        <v>2004.9166666671299</v>
      </c>
      <c r="AS137" s="2">
        <v>-0.170547076352529</v>
      </c>
      <c r="AT137" s="2">
        <v>-0.68444756444045252</v>
      </c>
      <c r="AU137" s="2">
        <v>-0.63062136575829975</v>
      </c>
      <c r="AV137" s="31"/>
      <c r="AW137" s="31">
        <v>2004.9166666671299</v>
      </c>
      <c r="AX137" s="2">
        <v>-1.471739453235029</v>
      </c>
      <c r="AY137" s="2">
        <v>-0.51828077835128905</v>
      </c>
      <c r="AZ137" s="2">
        <v>-1.5158554247865017</v>
      </c>
      <c r="BA137" s="31"/>
      <c r="BB137" s="31">
        <v>2004.9166666671299</v>
      </c>
      <c r="BC137" s="2">
        <v>0.84385808625653191</v>
      </c>
      <c r="BD137" s="2">
        <v>-1.7765123716427775</v>
      </c>
      <c r="BE137" s="2">
        <v>-0.6772248589848574</v>
      </c>
      <c r="BG137" s="2">
        <f t="shared" si="27"/>
        <v>-0.26614281444367532</v>
      </c>
      <c r="BH137" s="2">
        <f t="shared" si="21"/>
        <v>-0.9930802381448397</v>
      </c>
      <c r="BI137" s="2">
        <f t="shared" si="22"/>
        <v>-0.94123388317655288</v>
      </c>
    </row>
    <row r="138" spans="1:61" x14ac:dyDescent="0.3">
      <c r="A138" s="31">
        <v>2004.8333333338001</v>
      </c>
      <c r="B138">
        <v>0.57107793358818271</v>
      </c>
      <c r="C138">
        <v>4.5600000000000307E-2</v>
      </c>
      <c r="D138">
        <v>2.6041153771621306E-2</v>
      </c>
      <c r="F138" s="31">
        <v>2004.8333333338001</v>
      </c>
      <c r="G138" s="2">
        <v>0.66216657197252482</v>
      </c>
      <c r="H138" s="2">
        <v>6.1499999999999846E-2</v>
      </c>
      <c r="I138" s="2">
        <v>4.072324417631018E-2</v>
      </c>
      <c r="K138" s="31">
        <v>2004.8333333338001</v>
      </c>
      <c r="L138" s="2">
        <v>0.5194916793475407</v>
      </c>
      <c r="M138" s="2">
        <v>6.1499999999999902E-2</v>
      </c>
      <c r="N138" s="2">
        <v>3.1948738279873705E-2</v>
      </c>
      <c r="P138" s="31">
        <v>2004.8333333338001</v>
      </c>
      <c r="Q138" s="2">
        <v>0.86442511628973628</v>
      </c>
      <c r="R138" s="2">
        <v>9.5900000000000304E-2</v>
      </c>
      <c r="S138" s="2">
        <v>7.8276352300003169E-2</v>
      </c>
      <c r="U138" s="2">
        <f t="shared" si="23"/>
        <v>0.68202778920326734</v>
      </c>
      <c r="V138" s="2">
        <f t="shared" si="24"/>
        <v>7.296666666666668E-2</v>
      </c>
      <c r="W138" s="2">
        <f t="shared" si="25"/>
        <v>5.031611158539568E-2</v>
      </c>
      <c r="Y138" s="31">
        <v>2004.8333333338001</v>
      </c>
      <c r="Z138" s="2">
        <v>-0.41461736032517438</v>
      </c>
      <c r="AA138" s="2">
        <v>-0.78876452892998183</v>
      </c>
      <c r="AB138" s="2">
        <v>-0.7929716988651353</v>
      </c>
      <c r="AD138" s="31">
        <v>2004.8333333338001</v>
      </c>
      <c r="AE138" s="2">
        <v>-1.7243542250621087</v>
      </c>
      <c r="AF138" s="2">
        <v>-0.68658960551538373</v>
      </c>
      <c r="AG138" s="2">
        <v>-1.0699095109943817</v>
      </c>
      <c r="AH138" s="31"/>
      <c r="AI138" s="31">
        <v>2004.8333333338001</v>
      </c>
      <c r="AJ138" s="2">
        <v>0.9694492694750042</v>
      </c>
      <c r="AK138" s="2">
        <v>-4.286134541835146E-2</v>
      </c>
      <c r="AL138" s="2">
        <v>2.6974163574661736</v>
      </c>
      <c r="AM138" s="31"/>
      <c r="AN138" s="2">
        <f t="shared" si="26"/>
        <v>-0.38984077197075956</v>
      </c>
      <c r="AO138" s="2">
        <f t="shared" si="19"/>
        <v>-0.50607182662123906</v>
      </c>
      <c r="AP138" s="2">
        <f t="shared" si="20"/>
        <v>0.27817838253555222</v>
      </c>
      <c r="AQ138" s="31"/>
      <c r="AR138" s="31">
        <v>2004.8333333338001</v>
      </c>
      <c r="AS138" s="2">
        <v>-0.15538086571780793</v>
      </c>
      <c r="AT138" s="2">
        <v>-0.28549293171718004</v>
      </c>
      <c r="AU138" s="2">
        <v>-0.36875144122692649</v>
      </c>
      <c r="AV138" s="31"/>
      <c r="AW138" s="31">
        <v>2004.8333333338001</v>
      </c>
      <c r="AX138" s="2">
        <v>-0.98551196503833571</v>
      </c>
      <c r="AY138" s="2">
        <v>-0.19208961378086201</v>
      </c>
      <c r="AZ138" s="2">
        <v>-0.98815567405841209</v>
      </c>
      <c r="BA138" s="31"/>
      <c r="BB138" s="31">
        <v>2004.8333333338001</v>
      </c>
      <c r="BC138" s="2">
        <v>0.7233482274375298</v>
      </c>
      <c r="BD138" s="2">
        <v>0.77845189601601561</v>
      </c>
      <c r="BE138" s="2">
        <v>2.0690850699688554</v>
      </c>
      <c r="BG138" s="2">
        <f t="shared" si="27"/>
        <v>-0.13918153443953796</v>
      </c>
      <c r="BH138" s="2">
        <f t="shared" si="21"/>
        <v>0.1002897835059912</v>
      </c>
      <c r="BI138" s="2">
        <f t="shared" si="22"/>
        <v>0.23739265156117229</v>
      </c>
    </row>
    <row r="139" spans="1:61" x14ac:dyDescent="0.3">
      <c r="A139" s="31">
        <v>2004.75000000047</v>
      </c>
      <c r="B139">
        <v>0.60359101986382269</v>
      </c>
      <c r="C139">
        <v>3.0400000000000205E-2</v>
      </c>
      <c r="D139">
        <v>1.8349167003860332E-2</v>
      </c>
      <c r="F139" s="31">
        <v>2004.75000000047</v>
      </c>
      <c r="G139" s="2">
        <v>0.67075217854581126</v>
      </c>
      <c r="H139" s="2">
        <v>6.1499999999999846E-2</v>
      </c>
      <c r="I139" s="2">
        <v>4.1251258980567293E-2</v>
      </c>
      <c r="K139" s="31">
        <v>2004.75000000047</v>
      </c>
      <c r="L139" s="2">
        <v>0.67397843948073777</v>
      </c>
      <c r="M139" s="2">
        <v>6.1514999999999952E-2</v>
      </c>
      <c r="N139" s="2">
        <v>4.1461802793208324E-2</v>
      </c>
      <c r="P139" s="31">
        <v>2004.75000000047</v>
      </c>
      <c r="Q139" s="2">
        <v>0.87887324847565074</v>
      </c>
      <c r="R139" s="2">
        <v>7.1900000000000297E-2</v>
      </c>
      <c r="S139" s="2">
        <v>5.9962650335541851E-2</v>
      </c>
      <c r="U139" s="2">
        <f t="shared" si="23"/>
        <v>0.74120128883406655</v>
      </c>
      <c r="V139" s="2">
        <f t="shared" si="24"/>
        <v>6.4971666666666705E-2</v>
      </c>
      <c r="W139" s="2">
        <f t="shared" si="25"/>
        <v>4.7558570703105818E-2</v>
      </c>
      <c r="Y139" s="31">
        <v>2004.75000000047</v>
      </c>
      <c r="Z139" s="2">
        <v>-0.36483735925117328</v>
      </c>
      <c r="AA139" s="2">
        <v>-0.78876452892998183</v>
      </c>
      <c r="AB139" s="2">
        <v>-0.78081983993715198</v>
      </c>
      <c r="AD139" s="31">
        <v>2004.75000000047</v>
      </c>
      <c r="AE139" s="2">
        <v>-0.80504110517459893</v>
      </c>
      <c r="AF139" s="2">
        <v>-0.68622224125583742</v>
      </c>
      <c r="AG139" s="2">
        <v>-0.70817703627008399</v>
      </c>
      <c r="AH139" s="31"/>
      <c r="AI139" s="31">
        <v>2004.75000000047</v>
      </c>
      <c r="AJ139" s="2">
        <v>0.92450274037772617</v>
      </c>
      <c r="AK139" s="2">
        <v>-0.61478205611361436</v>
      </c>
      <c r="AL139" s="2">
        <v>1.2173420725634185</v>
      </c>
      <c r="AM139" s="31"/>
      <c r="AN139" s="2">
        <f t="shared" si="26"/>
        <v>-8.1791908016015338E-2</v>
      </c>
      <c r="AO139" s="2">
        <f t="shared" si="19"/>
        <v>-0.69658960876647791</v>
      </c>
      <c r="AP139" s="2">
        <f t="shared" si="20"/>
        <v>-9.0551601214605815E-2</v>
      </c>
      <c r="AQ139" s="31"/>
      <c r="AR139" s="31">
        <v>2004.75000000047</v>
      </c>
      <c r="AS139" s="2">
        <v>-0.52240963199890833</v>
      </c>
      <c r="AT139" s="2">
        <v>-0.6766476141944503</v>
      </c>
      <c r="AU139" s="2">
        <v>-0.75164457922597216</v>
      </c>
      <c r="AV139" s="31"/>
      <c r="AW139" s="31">
        <v>2004.75000000047</v>
      </c>
      <c r="AX139" s="2">
        <v>-0.84849186273918897</v>
      </c>
      <c r="AY139" s="2">
        <v>-0.6564669997761764</v>
      </c>
      <c r="AZ139" s="2">
        <v>-0.99863436037204167</v>
      </c>
      <c r="BA139" s="31"/>
      <c r="BB139" s="31">
        <v>2004.75000000047</v>
      </c>
      <c r="BC139" s="2">
        <v>0.87082022808848658</v>
      </c>
      <c r="BD139" s="2">
        <v>-0.59144451954684485</v>
      </c>
      <c r="BE139" s="2">
        <v>0.92870567081235222</v>
      </c>
      <c r="BG139" s="2">
        <f t="shared" si="27"/>
        <v>-0.16669375554987023</v>
      </c>
      <c r="BH139" s="2">
        <f t="shared" si="21"/>
        <v>-0.64151971117249051</v>
      </c>
      <c r="BI139" s="2">
        <f t="shared" si="22"/>
        <v>-0.27385775626188719</v>
      </c>
    </row>
    <row r="140" spans="1:61" x14ac:dyDescent="0.3">
      <c r="A140" s="31">
        <v>2004.6666666671399</v>
      </c>
      <c r="B140">
        <v>0.62946911853128651</v>
      </c>
      <c r="C140">
        <v>4.5600000000000307E-2</v>
      </c>
      <c r="D140">
        <v>2.8703791805026857E-2</v>
      </c>
      <c r="F140" s="31">
        <v>2004.6666666671399</v>
      </c>
      <c r="G140" s="2">
        <v>0.68065461365377355</v>
      </c>
      <c r="H140" s="2">
        <v>6.1499999999999846E-2</v>
      </c>
      <c r="I140" s="2">
        <v>4.1860258739706974E-2</v>
      </c>
      <c r="K140" s="31">
        <v>2004.6666666671399</v>
      </c>
      <c r="L140" s="2">
        <v>0.5597718521019649</v>
      </c>
      <c r="M140" s="2">
        <v>6.1499999999999902E-2</v>
      </c>
      <c r="N140" s="2">
        <v>3.4425968904270784E-2</v>
      </c>
      <c r="P140" s="31">
        <v>2004.6666666671399</v>
      </c>
      <c r="Q140" s="2">
        <v>0.80971817045931482</v>
      </c>
      <c r="R140" s="2"/>
      <c r="S140" s="2"/>
      <c r="U140" s="2">
        <f t="shared" si="23"/>
        <v>0.68338154540501783</v>
      </c>
      <c r="V140" s="2">
        <f t="shared" si="24"/>
        <v>6.1499999999999874E-2</v>
      </c>
      <c r="W140" s="2">
        <f t="shared" si="25"/>
        <v>3.8143113821988879E-2</v>
      </c>
      <c r="Y140" s="31">
        <v>2004.6666666671399</v>
      </c>
      <c r="Z140" s="2">
        <v>-0.30742228600016391</v>
      </c>
      <c r="AA140" s="2">
        <v>-0.78876452892998183</v>
      </c>
      <c r="AB140" s="2">
        <v>-0.76680417389791411</v>
      </c>
      <c r="AD140" s="31">
        <v>2004.6666666671399</v>
      </c>
      <c r="AE140" s="2">
        <v>-1.4846567179582599</v>
      </c>
      <c r="AF140" s="2">
        <v>-0.68658960551538373</v>
      </c>
      <c r="AG140" s="2">
        <v>-0.97571328611123265</v>
      </c>
      <c r="AH140" s="31"/>
      <c r="AI140" s="31">
        <v>2004.6666666671399</v>
      </c>
      <c r="AJ140" s="2"/>
      <c r="AK140" s="2"/>
      <c r="AL140" s="2"/>
      <c r="AM140" s="31"/>
      <c r="AN140" s="2">
        <f t="shared" si="26"/>
        <v>-0.89603950197921189</v>
      </c>
      <c r="AO140" s="2">
        <f t="shared" si="19"/>
        <v>-0.73767706722268278</v>
      </c>
      <c r="AP140" s="2">
        <f t="shared" si="20"/>
        <v>-0.87125873000457332</v>
      </c>
      <c r="AQ140" s="31"/>
      <c r="AR140" s="31">
        <v>2004.6666666671399</v>
      </c>
      <c r="AS140" s="2">
        <v>-0.31033531398849951</v>
      </c>
      <c r="AT140" s="2">
        <v>-0.32631334910519932</v>
      </c>
      <c r="AU140" s="2">
        <v>-0.5193771091319439</v>
      </c>
      <c r="AV140" s="31"/>
      <c r="AW140" s="31">
        <v>2004.6666666671399</v>
      </c>
      <c r="AX140" s="2">
        <v>-1.0024392005821134</v>
      </c>
      <c r="AY140" s="2">
        <v>-0.23903137022338633</v>
      </c>
      <c r="AZ140" s="2">
        <v>-1.0196777246342517</v>
      </c>
      <c r="BA140" s="31"/>
      <c r="BB140" s="31">
        <v>2004.6666666671399</v>
      </c>
      <c r="BC140" s="2"/>
      <c r="BD140" s="2"/>
      <c r="BE140" s="2"/>
      <c r="BG140" s="2">
        <f t="shared" si="27"/>
        <v>-0.65638725728530645</v>
      </c>
      <c r="BH140" s="2">
        <f t="shared" si="21"/>
        <v>-0.28267235966429283</v>
      </c>
      <c r="BI140" s="2">
        <f t="shared" si="22"/>
        <v>-0.76952741688309778</v>
      </c>
    </row>
    <row r="141" spans="1:61" x14ac:dyDescent="0.3">
      <c r="A141" s="31">
        <v>2004.5833333338101</v>
      </c>
      <c r="B141">
        <v>0.65600801180445001</v>
      </c>
      <c r="C141">
        <v>3.0400000000000205E-2</v>
      </c>
      <c r="D141">
        <v>1.9942643558855413E-2</v>
      </c>
      <c r="F141" s="31">
        <v>2004.5833333338101</v>
      </c>
      <c r="G141" s="2">
        <v>0.68479811363374155</v>
      </c>
      <c r="H141" s="2">
        <v>6.1499999999999846E-2</v>
      </c>
      <c r="I141" s="2">
        <v>4.2115083988474994E-2</v>
      </c>
      <c r="K141" s="31">
        <v>2004.5833333338101</v>
      </c>
      <c r="L141" s="2">
        <v>0.58111036382182435</v>
      </c>
      <c r="M141" s="2">
        <v>6.1499999999999902E-2</v>
      </c>
      <c r="N141" s="2">
        <v>3.5738287375042144E-2</v>
      </c>
      <c r="P141" s="31">
        <v>2004.5833333338101</v>
      </c>
      <c r="Q141" s="2">
        <v>0.73347212675635509</v>
      </c>
      <c r="R141" s="2">
        <v>7.1900000000000297E-2</v>
      </c>
      <c r="S141" s="2">
        <v>6.4540370885843662E-2</v>
      </c>
      <c r="U141" s="2">
        <f t="shared" si="23"/>
        <v>0.66646020140397366</v>
      </c>
      <c r="V141" s="2">
        <f t="shared" si="24"/>
        <v>6.4966666666666673E-2</v>
      </c>
      <c r="W141" s="2">
        <f t="shared" si="25"/>
        <v>4.7464580749786933E-2</v>
      </c>
      <c r="Y141" s="31">
        <v>2004.5833333338101</v>
      </c>
      <c r="Z141" s="2">
        <v>-0.28339795741111523</v>
      </c>
      <c r="AA141" s="2">
        <v>-0.78876452892998183</v>
      </c>
      <c r="AB141" s="2">
        <v>-0.76093956470637081</v>
      </c>
      <c r="AD141" s="31">
        <v>2004.5833333338101</v>
      </c>
      <c r="AE141" s="2">
        <v>-1.3576764267926817</v>
      </c>
      <c r="AF141" s="2">
        <v>-0.68658960551538373</v>
      </c>
      <c r="AG141" s="2">
        <v>-0.92581262503686246</v>
      </c>
      <c r="AH141" s="31"/>
      <c r="AI141" s="31">
        <v>2004.5833333338101</v>
      </c>
      <c r="AJ141" s="2">
        <v>1.2837042130270238</v>
      </c>
      <c r="AK141" s="2">
        <v>-0.61478205611361436</v>
      </c>
      <c r="AL141" s="2">
        <v>1.5873036719779194</v>
      </c>
      <c r="AM141" s="31"/>
      <c r="AN141" s="2">
        <f t="shared" si="26"/>
        <v>-0.11912339039225774</v>
      </c>
      <c r="AO141" s="2">
        <f t="shared" si="19"/>
        <v>-0.69671206351965997</v>
      </c>
      <c r="AP141" s="2">
        <f t="shared" si="20"/>
        <v>-3.3149505921771273E-2</v>
      </c>
      <c r="AQ141" s="31"/>
      <c r="AR141" s="31">
        <v>2004.5833333338101</v>
      </c>
      <c r="AS141" s="2">
        <v>-0.78078507274786113</v>
      </c>
      <c r="AT141" s="2">
        <v>-0.65870957567408583</v>
      </c>
      <c r="AU141" s="2">
        <v>-0.83390532299318698</v>
      </c>
      <c r="AV141" s="31"/>
      <c r="AW141" s="31">
        <v>2004.5833333338101</v>
      </c>
      <c r="AX141" s="2">
        <v>-1.7591214166157971</v>
      </c>
      <c r="AY141" s="2">
        <v>-0.53650008642859726</v>
      </c>
      <c r="AZ141" s="2">
        <v>-1.7684929357770838</v>
      </c>
      <c r="BA141" s="31"/>
      <c r="BB141" s="31">
        <v>2004.5833333338101</v>
      </c>
      <c r="BC141" s="2">
        <v>0.63493556258113348</v>
      </c>
      <c r="BD141" s="2">
        <v>-0.51613739712758211</v>
      </c>
      <c r="BE141" s="2">
        <v>0.76671411047714166</v>
      </c>
      <c r="BG141" s="2">
        <f t="shared" si="27"/>
        <v>-0.6349903089275083</v>
      </c>
      <c r="BH141" s="2">
        <f t="shared" si="21"/>
        <v>-0.57044901974342166</v>
      </c>
      <c r="BI141" s="2">
        <f t="shared" si="22"/>
        <v>-0.61189471609770962</v>
      </c>
    </row>
    <row r="142" spans="1:61" x14ac:dyDescent="0.3">
      <c r="A142" s="31">
        <v>2004.50000000048</v>
      </c>
      <c r="B142">
        <v>0.67041860437029221</v>
      </c>
      <c r="C142">
        <v>3.0400000000000205E-2</v>
      </c>
      <c r="D142">
        <v>2.0380725572857021E-2</v>
      </c>
      <c r="F142" s="31">
        <v>2004.50000000048</v>
      </c>
      <c r="G142" s="2"/>
      <c r="H142" s="2"/>
      <c r="I142" s="2"/>
      <c r="K142" s="31">
        <v>2004.50000000048</v>
      </c>
      <c r="L142" s="2">
        <v>0.60300042030831336</v>
      </c>
      <c r="M142" s="2">
        <v>6.1499999999999902E-2</v>
      </c>
      <c r="N142" s="2">
        <v>3.7084525848961214E-2</v>
      </c>
      <c r="P142" s="31">
        <v>2004.50000000048</v>
      </c>
      <c r="Q142" s="2">
        <v>0.66961970989804898</v>
      </c>
      <c r="R142" s="2"/>
      <c r="S142" s="2"/>
      <c r="U142" s="2">
        <f t="shared" si="23"/>
        <v>0.63631006510318122</v>
      </c>
      <c r="V142" s="2">
        <f t="shared" si="24"/>
        <v>6.1499999999999902E-2</v>
      </c>
      <c r="W142" s="2">
        <f t="shared" si="25"/>
        <v>3.7084525848961214E-2</v>
      </c>
      <c r="Y142" s="31">
        <v>2004.50000000048</v>
      </c>
      <c r="Z142" s="2"/>
      <c r="AA142" s="2"/>
      <c r="AB142" s="2"/>
      <c r="AD142" s="31">
        <v>2004.50000000048</v>
      </c>
      <c r="AE142" s="2">
        <v>-1.2274140269225735</v>
      </c>
      <c r="AF142" s="2">
        <v>-0.68658960551538373</v>
      </c>
      <c r="AG142" s="2">
        <v>-0.87462216227302836</v>
      </c>
      <c r="AH142" s="31"/>
      <c r="AI142" s="31">
        <v>2004.50000000048</v>
      </c>
      <c r="AJ142" s="2"/>
      <c r="AK142" s="2"/>
      <c r="AL142" s="2"/>
      <c r="AM142" s="31"/>
      <c r="AN142" s="2">
        <f t="shared" si="26"/>
        <v>-1.2274140269225735</v>
      </c>
      <c r="AO142" s="2">
        <f t="shared" si="19"/>
        <v>-0.68658960551538373</v>
      </c>
      <c r="AP142" s="2">
        <f t="shared" si="20"/>
        <v>-0.87462216227302836</v>
      </c>
      <c r="AQ142" s="31"/>
      <c r="AR142" s="31">
        <v>2004.50000000048</v>
      </c>
      <c r="AS142" s="2"/>
      <c r="AT142" s="2"/>
      <c r="AU142" s="2"/>
      <c r="AV142" s="31"/>
      <c r="AW142" s="31">
        <v>2004.50000000048</v>
      </c>
      <c r="AX142" s="2">
        <v>-0.69761036681995137</v>
      </c>
      <c r="AY142" s="2">
        <v>-0.1083026392523672</v>
      </c>
      <c r="AZ142" s="2">
        <v>-0.69785971981765371</v>
      </c>
      <c r="BA142" s="31"/>
      <c r="BB142" s="31">
        <v>2004.50000000048</v>
      </c>
      <c r="BC142" s="2"/>
      <c r="BD142" s="2"/>
      <c r="BE142" s="2"/>
      <c r="BG142" s="2">
        <f t="shared" si="27"/>
        <v>-0.69761036681995137</v>
      </c>
      <c r="BH142" s="2">
        <f t="shared" si="21"/>
        <v>-0.1083026392523672</v>
      </c>
      <c r="BI142" s="2">
        <f t="shared" si="22"/>
        <v>-0.69785971981765371</v>
      </c>
    </row>
    <row r="143" spans="1:61" x14ac:dyDescent="0.3">
      <c r="A143" s="31">
        <v>2004.4166666671499</v>
      </c>
      <c r="B143">
        <v>0.67809993978502525</v>
      </c>
      <c r="C143">
        <v>0.24320000000000164</v>
      </c>
      <c r="D143">
        <v>0.16491390535571926</v>
      </c>
      <c r="F143" s="31">
        <v>2004.4166666671499</v>
      </c>
      <c r="G143" s="2">
        <v>0.67616223855097823</v>
      </c>
      <c r="H143" s="2">
        <v>0.15374999999999955</v>
      </c>
      <c r="I143" s="2">
        <v>0.10628332552534817</v>
      </c>
      <c r="K143" s="31">
        <v>2004.4166666671499</v>
      </c>
      <c r="L143" s="2">
        <v>0.71977101169246516</v>
      </c>
      <c r="M143" s="2">
        <v>9.2264999999999903E-2</v>
      </c>
      <c r="N143" s="2">
        <v>4.427854293419585E-2</v>
      </c>
      <c r="P143" s="31">
        <v>2004.4166666671499</v>
      </c>
      <c r="Q143" s="2">
        <v>0.6035158840905166</v>
      </c>
      <c r="R143" s="2">
        <v>0.21565000000000106</v>
      </c>
      <c r="S143" s="2">
        <v>6.3800918354818159E-2</v>
      </c>
      <c r="U143" s="2">
        <f t="shared" si="23"/>
        <v>0.6664830447779867</v>
      </c>
      <c r="V143" s="2">
        <f t="shared" si="24"/>
        <v>0.15388833333333349</v>
      </c>
      <c r="W143" s="2">
        <f t="shared" si="25"/>
        <v>7.1454262271454058E-2</v>
      </c>
      <c r="Y143" s="31">
        <v>2004.4166666671499</v>
      </c>
      <c r="Z143" s="2">
        <v>-0.33346941913316563</v>
      </c>
      <c r="AA143" s="2">
        <v>1.0126249536365379</v>
      </c>
      <c r="AB143" s="2">
        <v>0.71584368554723998</v>
      </c>
      <c r="AD143" s="31">
        <v>2004.4166666671499</v>
      </c>
      <c r="AE143" s="2">
        <v>-0.53254065017547203</v>
      </c>
      <c r="AF143" s="2">
        <v>6.6874490811640125E-2</v>
      </c>
      <c r="AG143" s="2">
        <v>-0.60107102637953114</v>
      </c>
      <c r="AH143" s="31"/>
      <c r="AI143" s="31">
        <v>2004.4166666671499</v>
      </c>
      <c r="AJ143" s="2">
        <v>1.1797373173044432</v>
      </c>
      <c r="AK143" s="2">
        <v>2.8107847006549047</v>
      </c>
      <c r="AL143" s="2">
        <v>1.5275426974791029</v>
      </c>
      <c r="AM143" s="31"/>
      <c r="AN143" s="2">
        <f t="shared" si="26"/>
        <v>0.10457574933193518</v>
      </c>
      <c r="AO143" s="2">
        <f t="shared" si="19"/>
        <v>1.2967613817010275</v>
      </c>
      <c r="AP143" s="2">
        <f t="shared" si="20"/>
        <v>0.54743845221560383</v>
      </c>
      <c r="AQ143" s="31"/>
      <c r="AR143" s="31">
        <v>2004.4166666671499</v>
      </c>
      <c r="AS143" s="2">
        <v>-0.91686041546865504</v>
      </c>
      <c r="AT143" s="2">
        <v>-0.35878275268423526</v>
      </c>
      <c r="AU143" s="2">
        <v>-0.74743988964685526</v>
      </c>
      <c r="AV143" s="31"/>
      <c r="AW143" s="31">
        <v>2004.4166666671499</v>
      </c>
      <c r="AX143" s="2">
        <v>-0.95515473266619122</v>
      </c>
      <c r="AY143" s="2">
        <v>-1.0196274698486036</v>
      </c>
      <c r="AZ143" s="2">
        <v>-1.205186624207927</v>
      </c>
      <c r="BA143" s="31"/>
      <c r="BB143" s="31">
        <v>2004.4166666671499</v>
      </c>
      <c r="BC143" s="2">
        <v>0.48676456544349705</v>
      </c>
      <c r="BD143" s="2">
        <v>1.3372441762267826</v>
      </c>
      <c r="BE143" s="2">
        <v>0.69535926003038873</v>
      </c>
      <c r="BG143" s="2">
        <f t="shared" si="27"/>
        <v>-0.46175019423044977</v>
      </c>
      <c r="BH143" s="2">
        <f t="shared" si="21"/>
        <v>-1.37220154353521E-2</v>
      </c>
      <c r="BI143" s="2">
        <f t="shared" si="22"/>
        <v>-0.41908908460813121</v>
      </c>
    </row>
    <row r="144" spans="1:61" x14ac:dyDescent="0.3">
      <c r="A144" s="31">
        <v>2004.3333333338201</v>
      </c>
      <c r="B144">
        <v>0.6263882369705881</v>
      </c>
      <c r="C144">
        <v>0.25840000000000174</v>
      </c>
      <c r="D144">
        <v>0.16185872043320104</v>
      </c>
      <c r="F144" s="31">
        <v>2004.3333333338201</v>
      </c>
      <c r="G144" s="2">
        <v>0.635434361417898</v>
      </c>
      <c r="H144" s="2">
        <v>0.24599999999999919</v>
      </c>
      <c r="I144" s="2">
        <v>0.1563168529088024</v>
      </c>
      <c r="K144" s="31">
        <v>2004.3333333338201</v>
      </c>
      <c r="L144" s="2">
        <v>0.72499927697886768</v>
      </c>
      <c r="M144" s="2">
        <v>9.2264999999999903E-2</v>
      </c>
      <c r="N144" s="2">
        <v>4.4600596647242516E-2</v>
      </c>
      <c r="P144" s="31">
        <v>2004.3333333338201</v>
      </c>
      <c r="Q144" s="2">
        <v>0.56042130069921159</v>
      </c>
      <c r="R144" s="2">
        <v>0.19170000000000093</v>
      </c>
      <c r="S144" s="2">
        <v>5.1941300952090791E-2</v>
      </c>
      <c r="U144" s="2">
        <f t="shared" si="23"/>
        <v>0.64028497969865905</v>
      </c>
      <c r="V144" s="2">
        <f t="shared" si="24"/>
        <v>0.17665500000000001</v>
      </c>
      <c r="W144" s="2">
        <f t="shared" si="25"/>
        <v>8.4286250169378574E-2</v>
      </c>
      <c r="Y144" s="31">
        <v>2004.3333333338201</v>
      </c>
      <c r="Z144" s="2">
        <v>-0.56961275392499566</v>
      </c>
      <c r="AA144" s="2">
        <v>2.8140144362030566</v>
      </c>
      <c r="AB144" s="2">
        <v>1.8673272453473277</v>
      </c>
      <c r="AD144" s="31">
        <v>2004.3333333338201</v>
      </c>
      <c r="AE144" s="2">
        <v>-0.50142851559579527</v>
      </c>
      <c r="AF144" s="2">
        <v>6.6874490811640125E-2</v>
      </c>
      <c r="AG144" s="2">
        <v>-0.5888249949927763</v>
      </c>
      <c r="AH144" s="31"/>
      <c r="AI144" s="31">
        <v>2004.3333333338201</v>
      </c>
      <c r="AJ144" s="2">
        <v>0.22167889546814928</v>
      </c>
      <c r="AK144" s="2">
        <v>2.2400554914402537</v>
      </c>
      <c r="AL144" s="2">
        <v>0.56907374452657022</v>
      </c>
      <c r="AM144" s="31"/>
      <c r="AN144" s="2">
        <f t="shared" si="26"/>
        <v>-0.28312079135088059</v>
      </c>
      <c r="AO144" s="2">
        <f t="shared" si="19"/>
        <v>1.7069814728183168</v>
      </c>
      <c r="AP144" s="2">
        <f t="shared" si="20"/>
        <v>0.61585866496037389</v>
      </c>
      <c r="AQ144" s="31"/>
      <c r="AR144" s="31">
        <v>2004.3333333338201</v>
      </c>
      <c r="AS144" s="2">
        <v>-0.7839992786904566</v>
      </c>
      <c r="AT144" s="2">
        <v>1.8010929534953439</v>
      </c>
      <c r="AU144" s="2">
        <v>0.98151912446174239</v>
      </c>
      <c r="AV144" s="31"/>
      <c r="AW144" s="31">
        <v>2004.3333333338201</v>
      </c>
      <c r="AX144" s="2">
        <v>-0.62583351420405364</v>
      </c>
      <c r="AY144" s="2">
        <v>-0.6035549277918324</v>
      </c>
      <c r="AZ144" s="2">
        <v>-0.78520337123935469</v>
      </c>
      <c r="BA144" s="31"/>
      <c r="BB144" s="31">
        <v>2004.3333333338201</v>
      </c>
      <c r="BC144" s="2">
        <v>-1.5709881074432733E-2</v>
      </c>
      <c r="BD144" s="2">
        <v>1.4979623471675096</v>
      </c>
      <c r="BE144" s="2">
        <v>0.21195504065461443</v>
      </c>
      <c r="BG144" s="2">
        <f t="shared" si="27"/>
        <v>-0.47518089132298097</v>
      </c>
      <c r="BH144" s="2">
        <f t="shared" si="21"/>
        <v>0.89850012429034043</v>
      </c>
      <c r="BI144" s="2">
        <f t="shared" si="22"/>
        <v>0.1360902646256674</v>
      </c>
    </row>
    <row r="145" spans="1:61" x14ac:dyDescent="0.3">
      <c r="A145" s="31">
        <v>2004.25000000049</v>
      </c>
      <c r="B145">
        <v>0.53232947834175059</v>
      </c>
      <c r="C145">
        <v>0.24320000000000164</v>
      </c>
      <c r="D145">
        <v>0.12946252913271461</v>
      </c>
      <c r="F145" s="31">
        <v>2004.25000000049</v>
      </c>
      <c r="G145" s="2">
        <v>0.59999630144226035</v>
      </c>
      <c r="H145" s="2">
        <v>0.15374999999999955</v>
      </c>
      <c r="I145" s="2">
        <v>8.9458450462239186E-2</v>
      </c>
      <c r="K145" s="31">
        <v>2004.25000000049</v>
      </c>
      <c r="L145" s="2">
        <v>0.54086951645081727</v>
      </c>
      <c r="M145" s="2">
        <v>0.1229999999999998</v>
      </c>
      <c r="N145" s="2">
        <v>3.3263475261725212E-2</v>
      </c>
      <c r="P145" s="31">
        <v>2004.25000000049</v>
      </c>
      <c r="Q145" s="2">
        <v>0.54958291581643071</v>
      </c>
      <c r="R145" s="2">
        <v>0.19170000000000093</v>
      </c>
      <c r="S145" s="2">
        <v>4.2375721946099253E-2</v>
      </c>
      <c r="U145" s="2">
        <f t="shared" si="23"/>
        <v>0.56348291123650274</v>
      </c>
      <c r="V145" s="2">
        <f t="shared" si="24"/>
        <v>0.15615000000000009</v>
      </c>
      <c r="W145" s="2">
        <f t="shared" si="25"/>
        <v>5.503254922335455E-2</v>
      </c>
      <c r="Y145" s="31">
        <v>2004.25000000049</v>
      </c>
      <c r="Z145" s="2">
        <v>-0.77508532579157285</v>
      </c>
      <c r="AA145" s="2">
        <v>1.0126249536365379</v>
      </c>
      <c r="AB145" s="2">
        <v>0.32863198883070649</v>
      </c>
      <c r="AD145" s="31">
        <v>2004.25000000049</v>
      </c>
      <c r="AE145" s="2">
        <v>-1.597139918108454</v>
      </c>
      <c r="AF145" s="2">
        <v>0.81960385861957141</v>
      </c>
      <c r="AG145" s="2">
        <v>-1.0199168864946671</v>
      </c>
      <c r="AH145" s="31"/>
      <c r="AI145" s="31">
        <v>2004.25000000049</v>
      </c>
      <c r="AJ145" s="2">
        <v>-0.5580041403934568</v>
      </c>
      <c r="AK145" s="2">
        <v>2.2400554914402537</v>
      </c>
      <c r="AL145" s="2">
        <v>-0.20399592398980115</v>
      </c>
      <c r="AM145" s="31"/>
      <c r="AN145" s="2">
        <f t="shared" si="26"/>
        <v>-0.97674312809782793</v>
      </c>
      <c r="AO145" s="2">
        <f t="shared" si="19"/>
        <v>1.357428101232121</v>
      </c>
      <c r="AP145" s="2">
        <f t="shared" si="20"/>
        <v>-0.29842694055125391</v>
      </c>
      <c r="AQ145" s="31"/>
      <c r="AR145" s="31">
        <v>2004.25000000049</v>
      </c>
      <c r="AS145" s="2">
        <v>-0.75934822226681398</v>
      </c>
      <c r="AT145" s="2">
        <v>-6.2988546229770959E-2</v>
      </c>
      <c r="AU145" s="2">
        <v>-0.54461142767908932</v>
      </c>
      <c r="AV145" s="31"/>
      <c r="AW145" s="31">
        <v>2004.25000000049</v>
      </c>
      <c r="AX145" s="2">
        <v>-1.5672131708376991</v>
      </c>
      <c r="AY145" s="2">
        <v>-0.1312032728725025</v>
      </c>
      <c r="AZ145" s="2">
        <v>-1.1638211235901268</v>
      </c>
      <c r="BA145" s="31"/>
      <c r="BB145" s="31">
        <v>2004.25000000049</v>
      </c>
      <c r="BC145" s="2">
        <v>-0.33499178419593711</v>
      </c>
      <c r="BD145" s="2">
        <v>1.1204684408565393</v>
      </c>
      <c r="BE145" s="2">
        <v>-0.22964065793285429</v>
      </c>
      <c r="BG145" s="2">
        <f t="shared" si="27"/>
        <v>-0.88718439243348346</v>
      </c>
      <c r="BH145" s="2">
        <f t="shared" si="21"/>
        <v>0.30875887391808859</v>
      </c>
      <c r="BI145" s="2">
        <f t="shared" si="22"/>
        <v>-0.64602440306735687</v>
      </c>
    </row>
    <row r="146" spans="1:61" x14ac:dyDescent="0.3">
      <c r="A146" s="31">
        <v>2004.1666666671599</v>
      </c>
      <c r="B146">
        <v>0.62606885025986869</v>
      </c>
      <c r="C146">
        <v>0.25840000000000174</v>
      </c>
      <c r="D146">
        <v>0.16177619090715115</v>
      </c>
      <c r="F146" s="31">
        <v>2004.1666666671599</v>
      </c>
      <c r="G146" s="2">
        <v>0.46927777950459593</v>
      </c>
      <c r="H146" s="2">
        <v>0.24599999999999919</v>
      </c>
      <c r="I146" s="2">
        <v>0.11544233375813022</v>
      </c>
      <c r="K146" s="31">
        <v>2004.1666666671599</v>
      </c>
      <c r="L146" s="2">
        <v>0.73355729782566548</v>
      </c>
      <c r="M146" s="2">
        <v>6.1514999999999952E-2</v>
      </c>
      <c r="N146" s="2">
        <v>4.5128108777811066E-2</v>
      </c>
      <c r="P146" s="31">
        <v>2004.1666666671599</v>
      </c>
      <c r="Q146" s="2">
        <v>0.55288513730151334</v>
      </c>
      <c r="R146" s="2">
        <v>0.14375000000000077</v>
      </c>
      <c r="S146" s="2">
        <v>3.9546902162748934E-2</v>
      </c>
      <c r="U146" s="2">
        <f t="shared" si="23"/>
        <v>0.58524007154392488</v>
      </c>
      <c r="V146" s="2">
        <f t="shared" si="24"/>
        <v>0.15042166666666665</v>
      </c>
      <c r="W146" s="2">
        <f t="shared" si="25"/>
        <v>6.6705781566230068E-2</v>
      </c>
      <c r="Y146" s="31">
        <v>2004.1666666671599</v>
      </c>
      <c r="Z146" s="2">
        <v>-1.5330012758067293</v>
      </c>
      <c r="AA146" s="2">
        <v>2.8140144362030566</v>
      </c>
      <c r="AB146" s="2">
        <v>0.9266312904925158</v>
      </c>
      <c r="AD146" s="31">
        <v>2004.1666666671599</v>
      </c>
      <c r="AE146" s="2">
        <v>-0.45050181587117977</v>
      </c>
      <c r="AF146" s="2">
        <v>-0.68622224125583742</v>
      </c>
      <c r="AG146" s="2">
        <v>-0.56876644622858197</v>
      </c>
      <c r="AH146" s="31"/>
      <c r="AI146" s="31">
        <v>2004.1666666671599</v>
      </c>
      <c r="AJ146" s="2">
        <v>-0.76413318536208263</v>
      </c>
      <c r="AK146" s="2">
        <v>1.0974055715303397</v>
      </c>
      <c r="AL146" s="2">
        <v>-0.43261509809702497</v>
      </c>
      <c r="AM146" s="31"/>
      <c r="AN146" s="2">
        <f t="shared" si="26"/>
        <v>-0.9158787590133306</v>
      </c>
      <c r="AO146" s="2">
        <f t="shared" si="19"/>
        <v>1.0750659221591863</v>
      </c>
      <c r="AP146" s="2">
        <f t="shared" si="20"/>
        <v>-2.4916751277697029E-2</v>
      </c>
      <c r="AQ146" s="31"/>
      <c r="AR146" s="31">
        <v>2004.1666666671599</v>
      </c>
      <c r="AS146" s="2">
        <v>-1.3033507977710883</v>
      </c>
      <c r="AT146" s="2">
        <v>2.0747602001024923</v>
      </c>
      <c r="AU146" s="2">
        <v>0.44493596737494862</v>
      </c>
      <c r="AV146" s="31"/>
      <c r="AW146" s="31">
        <v>2004.1666666671599</v>
      </c>
      <c r="AX146" s="2">
        <v>-0.26206713912005669</v>
      </c>
      <c r="AY146" s="2">
        <v>-1.1554372649783877</v>
      </c>
      <c r="AZ146" s="2">
        <v>-0.61546203473417527</v>
      </c>
      <c r="BA146" s="31"/>
      <c r="BB146" s="31">
        <v>2004.1666666671599</v>
      </c>
      <c r="BC146" s="2">
        <v>-0.20560117662064717</v>
      </c>
      <c r="BD146" s="2">
        <v>0.96568337279325867</v>
      </c>
      <c r="BE146" s="2">
        <v>2.2459879670730905E-3</v>
      </c>
      <c r="BG146" s="2">
        <f t="shared" si="27"/>
        <v>-0.59033970450393081</v>
      </c>
      <c r="BH146" s="2">
        <f t="shared" si="21"/>
        <v>0.62833543597245445</v>
      </c>
      <c r="BI146" s="2">
        <f t="shared" si="22"/>
        <v>-5.6093359797384522E-2</v>
      </c>
    </row>
    <row r="147" spans="1:61" x14ac:dyDescent="0.3">
      <c r="A147" s="31">
        <v>2004.0833333338301</v>
      </c>
      <c r="B147">
        <v>0.64446284291611433</v>
      </c>
      <c r="C147">
        <v>3.0400000000000205E-2</v>
      </c>
      <c r="D147">
        <v>1.9591670424650008E-2</v>
      </c>
      <c r="F147" s="31">
        <v>2004.0833333338301</v>
      </c>
      <c r="G147" s="2">
        <v>0.51214945601452766</v>
      </c>
      <c r="H147" s="2">
        <v>9.2249999999999749E-2</v>
      </c>
      <c r="I147" s="2">
        <v>4.4225778429233725E-2</v>
      </c>
      <c r="K147" s="31">
        <v>2004.0833333338301</v>
      </c>
      <c r="L147" s="2">
        <v>0.7794146319712969</v>
      </c>
      <c r="M147" s="2">
        <v>6.1514999999999952E-2</v>
      </c>
      <c r="N147" s="2">
        <v>4.7949991180491328E-2</v>
      </c>
      <c r="P147" s="31">
        <v>2004.0833333338301</v>
      </c>
      <c r="Q147" s="2">
        <v>0.54539037275832913</v>
      </c>
      <c r="R147" s="2">
        <v>9.5850000000000463E-2</v>
      </c>
      <c r="S147" s="2">
        <v>3.8789021822577624E-2</v>
      </c>
      <c r="U147" s="2">
        <f t="shared" si="23"/>
        <v>0.61231815358138453</v>
      </c>
      <c r="V147" s="2">
        <f t="shared" si="24"/>
        <v>8.3205000000000057E-2</v>
      </c>
      <c r="W147" s="2">
        <f t="shared" si="25"/>
        <v>4.3654930477434219E-2</v>
      </c>
      <c r="Y147" s="31">
        <v>2004.0833333338301</v>
      </c>
      <c r="Z147" s="2">
        <v>-1.2844280288856669</v>
      </c>
      <c r="AA147" s="2">
        <v>-0.1883013680744752</v>
      </c>
      <c r="AB147" s="2">
        <v>-0.7123635382817608</v>
      </c>
      <c r="AD147" s="31">
        <v>2004.0833333338301</v>
      </c>
      <c r="AE147" s="2">
        <v>-0.17761597836124135</v>
      </c>
      <c r="AF147" s="2">
        <v>-0.68622224125583742</v>
      </c>
      <c r="AG147" s="2">
        <v>-0.46146490281198332</v>
      </c>
      <c r="AH147" s="31"/>
      <c r="AI147" s="31">
        <v>2004.0833333338301</v>
      </c>
      <c r="AJ147" s="2">
        <v>-0.82351071976486889</v>
      </c>
      <c r="AK147" s="2">
        <v>-4.4052846898962821E-2</v>
      </c>
      <c r="AL147" s="2">
        <v>-0.49386536877947151</v>
      </c>
      <c r="AM147" s="31"/>
      <c r="AN147" s="2">
        <f t="shared" si="26"/>
        <v>-0.76185157567059247</v>
      </c>
      <c r="AO147" s="2">
        <f t="shared" si="19"/>
        <v>-0.30619215207642514</v>
      </c>
      <c r="AP147" s="2">
        <f t="shared" si="20"/>
        <v>-0.55589793662440523</v>
      </c>
      <c r="AQ147" s="31"/>
      <c r="AR147" s="31">
        <v>2004.0833333338301</v>
      </c>
      <c r="AS147" s="2">
        <v>-1.0214126097790395</v>
      </c>
      <c r="AT147" s="2">
        <v>0.50956041230593607</v>
      </c>
      <c r="AU147" s="2">
        <v>-0.45175576458853928</v>
      </c>
      <c r="AV147" s="31"/>
      <c r="AW147" s="31">
        <v>2004.0833333338301</v>
      </c>
      <c r="AX147" s="2">
        <v>0.13539799277865841</v>
      </c>
      <c r="AY147" s="2">
        <v>-0.87038484719517628</v>
      </c>
      <c r="AZ147" s="2">
        <v>-0.40293257589715464</v>
      </c>
      <c r="BA147" s="31"/>
      <c r="BB147" s="31">
        <v>2004.0833333338301</v>
      </c>
      <c r="BC147" s="2">
        <v>-0.1582436207518014</v>
      </c>
      <c r="BD147" s="2">
        <v>-1.4615836317459097E-2</v>
      </c>
      <c r="BE147" s="2">
        <v>-0.15369809262648235</v>
      </c>
      <c r="BG147" s="2">
        <f t="shared" si="27"/>
        <v>-0.34808607925072749</v>
      </c>
      <c r="BH147" s="2">
        <f t="shared" si="21"/>
        <v>-0.12514675706889977</v>
      </c>
      <c r="BI147" s="2">
        <f t="shared" si="22"/>
        <v>-0.33612881103739206</v>
      </c>
    </row>
    <row r="148" spans="1:61" x14ac:dyDescent="0.3">
      <c r="A148" s="31">
        <v>2004.0000000005</v>
      </c>
      <c r="B148">
        <v>0.64989718527796869</v>
      </c>
      <c r="C148">
        <v>1.5200000000000102E-2</v>
      </c>
      <c r="D148">
        <v>9.8784372162251909E-3</v>
      </c>
      <c r="F148" s="31">
        <v>2004.0000000005</v>
      </c>
      <c r="G148" s="2">
        <v>0.52875860804107988</v>
      </c>
      <c r="H148" s="2">
        <v>6.1499999999999846E-2</v>
      </c>
      <c r="I148" s="2">
        <v>3.2518654394526336E-2</v>
      </c>
      <c r="K148" s="31">
        <v>2004.0000000005</v>
      </c>
      <c r="L148" s="2"/>
      <c r="M148" s="2"/>
      <c r="N148" s="2"/>
      <c r="P148" s="31">
        <v>2004.0000000005</v>
      </c>
      <c r="Q148" s="2">
        <v>0.59633997828662388</v>
      </c>
      <c r="R148" s="2">
        <v>7.1900000000000297E-2</v>
      </c>
      <c r="S148" s="2">
        <v>3.9504442635822132E-2</v>
      </c>
      <c r="U148" s="2">
        <f t="shared" si="23"/>
        <v>0.56254929316385183</v>
      </c>
      <c r="V148" s="2">
        <f t="shared" si="24"/>
        <v>6.6700000000000065E-2</v>
      </c>
      <c r="W148" s="2">
        <f t="shared" si="25"/>
        <v>3.6011548515174234E-2</v>
      </c>
      <c r="Y148" s="31">
        <v>2004.0000000005</v>
      </c>
      <c r="Z148" s="2">
        <v>-1.1881268999365997</v>
      </c>
      <c r="AA148" s="2">
        <v>-0.78876452892998183</v>
      </c>
      <c r="AB148" s="2">
        <v>-0.98179408942383284</v>
      </c>
      <c r="AD148" s="31">
        <v>2004.0000000005</v>
      </c>
      <c r="AE148" s="2"/>
      <c r="AF148" s="2"/>
      <c r="AG148" s="2"/>
      <c r="AH148" s="31"/>
      <c r="AI148" s="31">
        <v>2004.0000000005</v>
      </c>
      <c r="AJ148" s="2">
        <v>-0.75880019062021153</v>
      </c>
      <c r="AK148" s="2">
        <v>-0.61478205611361436</v>
      </c>
      <c r="AL148" s="2">
        <v>-0.43604658639335342</v>
      </c>
      <c r="AM148" s="31"/>
      <c r="AN148" s="2">
        <f t="shared" si="26"/>
        <v>-0.97346354527840562</v>
      </c>
      <c r="AO148" s="2">
        <f t="shared" si="19"/>
        <v>-0.7017732925217981</v>
      </c>
      <c r="AP148" s="2">
        <f t="shared" si="20"/>
        <v>-0.7089203379085931</v>
      </c>
      <c r="AQ148" s="31"/>
      <c r="AR148" s="31">
        <v>2004.0000000005</v>
      </c>
      <c r="AS148" s="2">
        <v>-0.57516942641014812</v>
      </c>
      <c r="AT148" s="2">
        <v>-0.29853293598826575</v>
      </c>
      <c r="AU148" s="2">
        <v>-0.74631432071065329</v>
      </c>
      <c r="AV148" s="31"/>
      <c r="AW148" s="31">
        <v>2004.0000000005</v>
      </c>
      <c r="AX148" s="2"/>
      <c r="AY148" s="2"/>
      <c r="AZ148" s="2"/>
      <c r="BA148" s="31"/>
      <c r="BB148" s="31">
        <v>2004.0000000005</v>
      </c>
      <c r="BC148" s="2">
        <v>-0.16570672484116766</v>
      </c>
      <c r="BD148" s="2">
        <v>-9.3919208556921333E-2</v>
      </c>
      <c r="BE148" s="2">
        <v>0.19264599657899523</v>
      </c>
      <c r="BG148" s="2">
        <f t="shared" si="27"/>
        <v>-0.37043807562565789</v>
      </c>
      <c r="BH148" s="2">
        <f t="shared" si="21"/>
        <v>-0.19622607227259353</v>
      </c>
      <c r="BI148" s="2">
        <f t="shared" si="22"/>
        <v>-0.276834162065829</v>
      </c>
    </row>
    <row r="149" spans="1:61" x14ac:dyDescent="0.3">
      <c r="A149" s="31">
        <v>2003.9166666671699</v>
      </c>
      <c r="B149">
        <v>0.65990327887230649</v>
      </c>
      <c r="C149">
        <v>3.0400000000000205E-2</v>
      </c>
      <c r="D149">
        <v>2.0061059677718252E-2</v>
      </c>
      <c r="F149" s="31">
        <v>2003.9166666671699</v>
      </c>
      <c r="G149" s="2">
        <v>0.55778187675095781</v>
      </c>
      <c r="H149" s="2">
        <v>6.1499999999999846E-2</v>
      </c>
      <c r="I149" s="2">
        <v>3.430358542018383E-2</v>
      </c>
      <c r="K149" s="31">
        <v>2003.9166666671699</v>
      </c>
      <c r="L149" s="2">
        <v>0.85448293618162707</v>
      </c>
      <c r="M149" s="2">
        <v>6.1514999999999952E-2</v>
      </c>
      <c r="N149" s="2">
        <v>5.2568537053700473E-2</v>
      </c>
      <c r="P149" s="31">
        <v>2003.9166666671699</v>
      </c>
      <c r="Q149" s="2">
        <v>0.66481572809331291</v>
      </c>
      <c r="R149" s="2">
        <v>7.1900000000000297E-2</v>
      </c>
      <c r="S149" s="2">
        <v>4.1581518960714471E-2</v>
      </c>
      <c r="U149" s="2">
        <f t="shared" si="23"/>
        <v>0.692360180341966</v>
      </c>
      <c r="V149" s="2">
        <f t="shared" si="24"/>
        <v>6.4971666666666705E-2</v>
      </c>
      <c r="W149" s="2">
        <f t="shared" si="25"/>
        <v>4.2817880478199594E-2</v>
      </c>
      <c r="Y149" s="31">
        <v>2003.9166666671699</v>
      </c>
      <c r="Z149" s="2">
        <v>-1.0198477765903147</v>
      </c>
      <c r="AA149" s="2">
        <v>-0.78876452892998183</v>
      </c>
      <c r="AB149" s="2">
        <v>-0.9407152601086447</v>
      </c>
      <c r="AD149" s="31">
        <v>2003.9166666671699</v>
      </c>
      <c r="AE149" s="2">
        <v>0.26909723440056693</v>
      </c>
      <c r="AF149" s="2">
        <v>-0.68622224125583742</v>
      </c>
      <c r="AG149" s="2">
        <v>-0.28584557152270001</v>
      </c>
      <c r="AH149" s="31"/>
      <c r="AI149" s="31">
        <v>2003.9166666671699</v>
      </c>
      <c r="AJ149" s="2">
        <v>-0.58242472263726885</v>
      </c>
      <c r="AK149" s="2">
        <v>-0.61478205611361436</v>
      </c>
      <c r="AL149" s="2">
        <v>-0.2681817132934653</v>
      </c>
      <c r="AM149" s="31"/>
      <c r="AN149" s="2">
        <f t="shared" si="26"/>
        <v>-0.44439175494233885</v>
      </c>
      <c r="AO149" s="2">
        <f t="shared" si="19"/>
        <v>-0.69658960876647791</v>
      </c>
      <c r="AP149" s="2">
        <f t="shared" si="20"/>
        <v>-0.49824751497493674</v>
      </c>
      <c r="AQ149" s="31"/>
      <c r="AR149" s="31">
        <v>2003.9166666671699</v>
      </c>
      <c r="AS149" s="2">
        <v>-0.77854057257619402</v>
      </c>
      <c r="AT149" s="2">
        <v>-0.68444756444045252</v>
      </c>
      <c r="AU149" s="2">
        <v>-0.93776028774464004</v>
      </c>
      <c r="AV149" s="31"/>
      <c r="AW149" s="31">
        <v>2003.9166666671699</v>
      </c>
      <c r="AX149" s="2">
        <v>0.45378586687703526</v>
      </c>
      <c r="AY149" s="2">
        <v>-0.51751295497595129</v>
      </c>
      <c r="AZ149" s="2">
        <v>0.30574197653725521</v>
      </c>
      <c r="BA149" s="31"/>
      <c r="BB149" s="31">
        <v>2003.9166666671699</v>
      </c>
      <c r="BC149" s="2">
        <v>-0.22053591126281497</v>
      </c>
      <c r="BD149" s="2">
        <v>-0.44318112469553572</v>
      </c>
      <c r="BE149" s="2">
        <v>4.4811697480331661E-2</v>
      </c>
      <c r="BG149" s="2">
        <f t="shared" si="27"/>
        <v>-0.18176353898732459</v>
      </c>
      <c r="BH149" s="2">
        <f t="shared" si="21"/>
        <v>-0.54838054803731318</v>
      </c>
      <c r="BI149" s="2">
        <f t="shared" si="22"/>
        <v>-0.19573553790901774</v>
      </c>
    </row>
    <row r="150" spans="1:61" x14ac:dyDescent="0.3">
      <c r="A150" s="31">
        <v>2003.8333333338401</v>
      </c>
      <c r="B150">
        <v>0.67304759075835086</v>
      </c>
      <c r="C150">
        <v>1.5200000000000102E-2</v>
      </c>
      <c r="D150">
        <v>1.0230323379527001E-2</v>
      </c>
      <c r="F150" s="31">
        <v>2003.8333333338401</v>
      </c>
      <c r="G150" s="2">
        <v>0.58820262055173111</v>
      </c>
      <c r="H150" s="2">
        <v>6.1499999999999846E-2</v>
      </c>
      <c r="I150" s="2">
        <v>3.617446116393138E-2</v>
      </c>
      <c r="K150" s="31">
        <v>2003.8333333338401</v>
      </c>
      <c r="L150" s="2">
        <v>1.3261118170253647</v>
      </c>
      <c r="M150" s="2">
        <v>6.1530000000000001E-2</v>
      </c>
      <c r="N150" s="2">
        <v>8.1595660101570697E-2</v>
      </c>
      <c r="P150" s="31">
        <v>2003.8333333338401</v>
      </c>
      <c r="Q150" s="2">
        <v>0.69966728811133905</v>
      </c>
      <c r="R150" s="2">
        <v>7.1900000000000297E-2</v>
      </c>
      <c r="S150" s="2">
        <v>4.4310698144863755E-2</v>
      </c>
      <c r="U150" s="2">
        <f t="shared" si="23"/>
        <v>0.87132724189614497</v>
      </c>
      <c r="V150" s="2">
        <f t="shared" si="24"/>
        <v>6.4976666666666724E-2</v>
      </c>
      <c r="W150" s="2">
        <f t="shared" si="25"/>
        <v>5.4026939803455278E-2</v>
      </c>
      <c r="Y150" s="31">
        <v>2003.8333333338401</v>
      </c>
      <c r="Z150" s="2">
        <v>-0.84346598618936719</v>
      </c>
      <c r="AA150" s="2">
        <v>-0.78876452892998183</v>
      </c>
      <c r="AB150" s="2">
        <v>-0.89765847850610525</v>
      </c>
      <c r="AD150" s="31">
        <v>2003.8333333338401</v>
      </c>
      <c r="AE150" s="2">
        <v>3.075645947725171</v>
      </c>
      <c r="AF150" s="2">
        <v>-0.68585487699629111</v>
      </c>
      <c r="AG150" s="2">
        <v>0.81790527968982996</v>
      </c>
      <c r="AH150" s="31"/>
      <c r="AI150" s="31">
        <v>2003.8333333338401</v>
      </c>
      <c r="AJ150" s="2">
        <v>-0.34617134276081296</v>
      </c>
      <c r="AK150" s="2">
        <v>-0.61478205611361436</v>
      </c>
      <c r="AL150" s="2">
        <v>-4.7615279636857966E-2</v>
      </c>
      <c r="AM150" s="31"/>
      <c r="AN150" s="2">
        <f t="shared" si="26"/>
        <v>0.62866953959166361</v>
      </c>
      <c r="AO150" s="2">
        <f t="shared" si="19"/>
        <v>-0.69646715401329573</v>
      </c>
      <c r="AP150" s="2">
        <f t="shared" si="20"/>
        <v>-4.2456159484377753E-2</v>
      </c>
      <c r="AQ150" s="31"/>
      <c r="AR150" s="31">
        <v>2003.8333333338401</v>
      </c>
      <c r="AS150" s="2">
        <v>-0.44867813807966639</v>
      </c>
      <c r="AT150" s="2">
        <v>-0.28549293171718004</v>
      </c>
      <c r="AU150" s="2">
        <v>-0.6140106970761382</v>
      </c>
      <c r="AV150" s="31"/>
      <c r="AW150" s="31">
        <v>2003.8333333338401</v>
      </c>
      <c r="AX150" s="2">
        <v>2.1587701414976621</v>
      </c>
      <c r="AY150" s="2">
        <v>-0.19067841091384152</v>
      </c>
      <c r="AZ150" s="2">
        <v>2.0236762454745882</v>
      </c>
      <c r="BA150" s="31"/>
      <c r="BB150" s="31">
        <v>2003.8333333338401</v>
      </c>
      <c r="BC150" s="2">
        <v>-0.15098878313309336</v>
      </c>
      <c r="BD150" s="2">
        <v>-4.0971152421897278E-2</v>
      </c>
      <c r="BE150" s="2">
        <v>0.17693971308738402</v>
      </c>
      <c r="BG150" s="2">
        <f t="shared" si="27"/>
        <v>0.51970107342830074</v>
      </c>
      <c r="BH150" s="2">
        <f t="shared" si="21"/>
        <v>-0.17238083168430629</v>
      </c>
      <c r="BI150" s="2">
        <f t="shared" si="22"/>
        <v>0.52886842049527816</v>
      </c>
    </row>
    <row r="151" spans="1:61" x14ac:dyDescent="0.3">
      <c r="A151" s="31">
        <v>2003.75000000051</v>
      </c>
      <c r="B151">
        <v>0.69157191473981006</v>
      </c>
      <c r="C151">
        <v>3.0400000000000205E-2</v>
      </c>
      <c r="D151">
        <v>2.1023786208090367E-2</v>
      </c>
      <c r="F151" s="31">
        <v>2003.75000000051</v>
      </c>
      <c r="G151" s="2">
        <v>0.61494073879254363</v>
      </c>
      <c r="H151" s="2">
        <v>6.1499999999999846E-2</v>
      </c>
      <c r="I151" s="2">
        <v>3.7818855435741344E-2</v>
      </c>
      <c r="K151" s="31">
        <v>2003.75000000051</v>
      </c>
      <c r="L151" s="2">
        <v>0.58069048901189024</v>
      </c>
      <c r="M151" s="2">
        <v>6.1499999999999902E-2</v>
      </c>
      <c r="N151" s="2">
        <v>3.5712465074231196E-2</v>
      </c>
      <c r="P151" s="31">
        <v>2003.75000000051</v>
      </c>
      <c r="Q151" s="2">
        <v>0.70036519527806029</v>
      </c>
      <c r="R151" s="2">
        <v>9.5850000000000463E-2</v>
      </c>
      <c r="S151" s="2">
        <v>4.6960334477357216E-2</v>
      </c>
      <c r="U151" s="2">
        <f t="shared" si="23"/>
        <v>0.63199880769416472</v>
      </c>
      <c r="V151" s="2">
        <f t="shared" si="24"/>
        <v>7.295000000000007E-2</v>
      </c>
      <c r="W151" s="2">
        <f t="shared" si="25"/>
        <v>4.0163884995776583E-2</v>
      </c>
      <c r="Y151" s="31">
        <v>2003.75000000051</v>
      </c>
      <c r="Z151" s="2">
        <v>-0.68843633937491766</v>
      </c>
      <c r="AA151" s="2">
        <v>-0.78876452892998183</v>
      </c>
      <c r="AB151" s="2">
        <v>-0.85981399563950689</v>
      </c>
      <c r="AD151" s="31">
        <v>2003.75000000051</v>
      </c>
      <c r="AE151" s="2">
        <v>-1.3601749996228059</v>
      </c>
      <c r="AF151" s="2">
        <v>-0.68658960551538373</v>
      </c>
      <c r="AG151" s="2">
        <v>-0.92679451313005534</v>
      </c>
      <c r="AH151" s="31"/>
      <c r="AI151" s="31">
        <v>2003.75000000051</v>
      </c>
      <c r="AJ151" s="2">
        <v>-8.2221883932864337E-2</v>
      </c>
      <c r="AK151" s="2">
        <v>-4.4052846898962821E-2</v>
      </c>
      <c r="AL151" s="2">
        <v>0.16652267060814421</v>
      </c>
      <c r="AM151" s="31"/>
      <c r="AN151" s="2">
        <f t="shared" si="26"/>
        <v>-0.71027774097686258</v>
      </c>
      <c r="AO151" s="2">
        <f t="shared" si="19"/>
        <v>-0.50646899378144283</v>
      </c>
      <c r="AP151" s="2">
        <f t="shared" si="20"/>
        <v>-0.54002861272047264</v>
      </c>
      <c r="AQ151" s="31"/>
      <c r="AR151" s="31">
        <v>2003.75000000051</v>
      </c>
      <c r="AS151" s="2">
        <v>-0.91516864490355154</v>
      </c>
      <c r="AT151" s="2">
        <v>-0.6766476141944503</v>
      </c>
      <c r="AU151" s="2">
        <v>-0.92378963810897241</v>
      </c>
      <c r="AV151" s="31"/>
      <c r="AW151" s="31">
        <v>2003.75000000051</v>
      </c>
      <c r="AX151" s="2">
        <v>-1.4786542047349776</v>
      </c>
      <c r="AY151" s="2">
        <v>-0.65725665107063169</v>
      </c>
      <c r="AZ151" s="2">
        <v>-1.4494655254885314</v>
      </c>
      <c r="BA151" s="31"/>
      <c r="BB151" s="31">
        <v>2003.75000000051</v>
      </c>
      <c r="BC151" s="2">
        <v>-0.132169267042377</v>
      </c>
      <c r="BD151" s="2">
        <v>0.36965282471677957</v>
      </c>
      <c r="BE151" s="2">
        <v>-6.0168843244803046E-2</v>
      </c>
      <c r="BG151" s="2">
        <f t="shared" si="27"/>
        <v>-0.8419973722269688</v>
      </c>
      <c r="BH151" s="2">
        <f t="shared" si="21"/>
        <v>-0.32141714684943418</v>
      </c>
      <c r="BI151" s="2">
        <f t="shared" si="22"/>
        <v>-0.81114133561410229</v>
      </c>
    </row>
    <row r="152" spans="1:61" x14ac:dyDescent="0.3">
      <c r="A152" s="31">
        <v>2003.6666666671799</v>
      </c>
      <c r="B152">
        <v>0.71773577316609505</v>
      </c>
      <c r="C152">
        <v>1.5200000000000102E-2</v>
      </c>
      <c r="D152">
        <v>1.0909583752124719E-2</v>
      </c>
      <c r="F152" s="31">
        <v>2003.6666666671799</v>
      </c>
      <c r="G152" s="2">
        <v>0.62705505144592555</v>
      </c>
      <c r="H152" s="2">
        <v>6.1499999999999846E-2</v>
      </c>
      <c r="I152" s="2">
        <v>3.8563885663924338E-2</v>
      </c>
      <c r="K152" s="31">
        <v>2003.6666666671799</v>
      </c>
      <c r="L152" s="2">
        <v>1.2399678040121329</v>
      </c>
      <c r="M152" s="2">
        <v>6.1530000000000001E-2</v>
      </c>
      <c r="N152" s="2">
        <v>7.6295218980866539E-2</v>
      </c>
      <c r="P152" s="31">
        <v>2003.6666666671799</v>
      </c>
      <c r="Q152" s="2">
        <v>0.73081360464223055</v>
      </c>
      <c r="R152" s="2">
        <v>7.1900000000000297E-2</v>
      </c>
      <c r="S152" s="2">
        <v>4.8490016502552628E-2</v>
      </c>
      <c r="U152" s="2">
        <f t="shared" si="23"/>
        <v>0.8659454867000963</v>
      </c>
      <c r="V152" s="2">
        <f t="shared" si="24"/>
        <v>6.4976666666666724E-2</v>
      </c>
      <c r="W152" s="2">
        <f t="shared" si="25"/>
        <v>5.4449707049114504E-2</v>
      </c>
      <c r="Y152" s="31">
        <v>2003.6666666671799</v>
      </c>
      <c r="Z152" s="2">
        <v>-0.61819663158624616</v>
      </c>
      <c r="AA152" s="2">
        <v>-0.78876452892998183</v>
      </c>
      <c r="AB152" s="2">
        <v>-0.84266769186739821</v>
      </c>
      <c r="AD152" s="31">
        <v>2003.6666666671799</v>
      </c>
      <c r="AE152" s="2">
        <v>2.5630238868149378</v>
      </c>
      <c r="AF152" s="2">
        <v>-0.68585487699629111</v>
      </c>
      <c r="AG152" s="2">
        <v>0.6163570108816897</v>
      </c>
      <c r="AH152" s="31"/>
      <c r="AI152" s="31">
        <v>2003.6666666671799</v>
      </c>
      <c r="AJ152" s="2">
        <v>9.6062517974413411E-2</v>
      </c>
      <c r="AK152" s="2">
        <v>-0.61478205611361436</v>
      </c>
      <c r="AL152" s="2">
        <v>0.29014830533580277</v>
      </c>
      <c r="AM152" s="31"/>
      <c r="AN152" s="2">
        <f t="shared" si="26"/>
        <v>0.68029659106770168</v>
      </c>
      <c r="AO152" s="2">
        <f t="shared" si="19"/>
        <v>-0.69646715401329573</v>
      </c>
      <c r="AP152" s="2">
        <f t="shared" si="20"/>
        <v>2.1279208116698107E-2</v>
      </c>
      <c r="AQ152" s="31"/>
      <c r="AR152" s="31">
        <v>2003.6666666671799</v>
      </c>
      <c r="AS152" s="2">
        <v>-0.47969465744688378</v>
      </c>
      <c r="AT152" s="2">
        <v>-0.32631334910519932</v>
      </c>
      <c r="AU152" s="2">
        <v>-0.64739364760205509</v>
      </c>
      <c r="AV152" s="31"/>
      <c r="AW152" s="31">
        <v>2003.6666666671799</v>
      </c>
      <c r="AX152" s="2">
        <v>1.5033709651263181</v>
      </c>
      <c r="AY152" s="2">
        <v>-0.23771353876763443</v>
      </c>
      <c r="AZ152" s="2">
        <v>1.4900050258315132</v>
      </c>
      <c r="BA152" s="31"/>
      <c r="BB152" s="31">
        <v>2003.6666666671799</v>
      </c>
      <c r="BC152" s="2">
        <v>-0.18143533028821773</v>
      </c>
      <c r="BD152" s="2">
        <v>7.7097786990586777E-4</v>
      </c>
      <c r="BE152" s="2">
        <v>0.36145872782784494</v>
      </c>
      <c r="BG152" s="2">
        <f t="shared" si="27"/>
        <v>0.28074699246373885</v>
      </c>
      <c r="BH152" s="2">
        <f t="shared" si="21"/>
        <v>-0.18775197000097596</v>
      </c>
      <c r="BI152" s="2">
        <f t="shared" si="22"/>
        <v>0.40135670201910106</v>
      </c>
    </row>
    <row r="153" spans="1:61" x14ac:dyDescent="0.3">
      <c r="A153" s="31">
        <v>2003.5833333338501</v>
      </c>
      <c r="B153">
        <v>0.74468713306743073</v>
      </c>
      <c r="C153">
        <v>3.0400000000000205E-2</v>
      </c>
      <c r="D153">
        <v>2.2638488845250045E-2</v>
      </c>
      <c r="F153" s="31">
        <v>2003.5833333338501</v>
      </c>
      <c r="G153" s="2">
        <v>0.63087176921838339</v>
      </c>
      <c r="H153" s="2">
        <v>6.1499999999999846E-2</v>
      </c>
      <c r="I153" s="2">
        <v>3.8798613806930483E-2</v>
      </c>
      <c r="K153" s="31">
        <v>2003.5833333338501</v>
      </c>
      <c r="L153" s="2">
        <v>0.8574363434870651</v>
      </c>
      <c r="M153" s="2">
        <v>6.1514999999999952E-2</v>
      </c>
      <c r="N153" s="2">
        <v>5.2748328767215941E-2</v>
      </c>
      <c r="P153" s="31">
        <v>2003.5833333338501</v>
      </c>
      <c r="Q153" s="2">
        <v>0.65854497342056284</v>
      </c>
      <c r="R153" s="2">
        <v>7.1900000000000297E-2</v>
      </c>
      <c r="S153" s="2">
        <v>4.919161953069838E-2</v>
      </c>
      <c r="U153" s="2">
        <f t="shared" si="23"/>
        <v>0.71561769537533715</v>
      </c>
      <c r="V153" s="2">
        <f t="shared" si="24"/>
        <v>6.4971666666666705E-2</v>
      </c>
      <c r="W153" s="2">
        <f t="shared" si="25"/>
        <v>4.691285403494827E-2</v>
      </c>
      <c r="Y153" s="31">
        <v>2003.5833333338501</v>
      </c>
      <c r="Z153" s="2">
        <v>-0.59606701113481864</v>
      </c>
      <c r="AA153" s="2">
        <v>-0.78876452892998183</v>
      </c>
      <c r="AB153" s="2">
        <v>-0.83726560227210489</v>
      </c>
      <c r="AD153" s="31">
        <v>2003.5833333338501</v>
      </c>
      <c r="AE153" s="2">
        <v>0.28667224265318264</v>
      </c>
      <c r="AF153" s="2">
        <v>-0.68622224125583742</v>
      </c>
      <c r="AG153" s="2">
        <v>-0.27900902569945774</v>
      </c>
      <c r="AH153" s="31"/>
      <c r="AI153" s="31">
        <v>2003.5833333338501</v>
      </c>
      <c r="AJ153" s="2">
        <v>0.18284562836341778</v>
      </c>
      <c r="AK153" s="2">
        <v>-0.61478205611361436</v>
      </c>
      <c r="AL153" s="2">
        <v>0.34685036383733064</v>
      </c>
      <c r="AM153" s="31"/>
      <c r="AN153" s="2">
        <f t="shared" si="26"/>
        <v>-4.2183046706072737E-2</v>
      </c>
      <c r="AO153" s="2">
        <f t="shared" si="19"/>
        <v>-0.69658960876647791</v>
      </c>
      <c r="AP153" s="2">
        <f t="shared" si="20"/>
        <v>-0.25647475471141062</v>
      </c>
      <c r="AQ153" s="31"/>
      <c r="AR153" s="31">
        <v>2003.5833333338501</v>
      </c>
      <c r="AS153" s="2">
        <v>-1.0988598178864322</v>
      </c>
      <c r="AT153" s="2">
        <v>-0.65870957567408583</v>
      </c>
      <c r="AU153" s="2">
        <v>-0.97982566075536681</v>
      </c>
      <c r="AV153" s="31"/>
      <c r="AW153" s="31">
        <v>2003.5833333338501</v>
      </c>
      <c r="AX153" s="2">
        <v>7.9109320258106394E-2</v>
      </c>
      <c r="AY153" s="2">
        <v>-0.53553372549108424</v>
      </c>
      <c r="AZ153" s="2">
        <v>-0.12338859752535977</v>
      </c>
      <c r="BA153" s="31"/>
      <c r="BB153" s="31">
        <v>2003.5833333338501</v>
      </c>
      <c r="BC153" s="2">
        <v>-0.37192434061701407</v>
      </c>
      <c r="BD153" s="2">
        <v>-0.51613739712758211</v>
      </c>
      <c r="BE153" s="2">
        <v>-0.33644414720295435</v>
      </c>
      <c r="BG153" s="2">
        <f t="shared" si="27"/>
        <v>-0.46389161274844665</v>
      </c>
      <c r="BH153" s="2">
        <f t="shared" si="21"/>
        <v>-0.57012689943091743</v>
      </c>
      <c r="BI153" s="2">
        <f t="shared" si="22"/>
        <v>-0.47988613516122697</v>
      </c>
    </row>
    <row r="154" spans="1:61" x14ac:dyDescent="0.3">
      <c r="A154" s="31">
        <v>2003.50000000052</v>
      </c>
      <c r="B154">
        <v>0.76613692290222568</v>
      </c>
      <c r="C154">
        <v>1.5200000000000102E-2</v>
      </c>
      <c r="D154">
        <v>1.1645281228113908E-2</v>
      </c>
      <c r="F154" s="31">
        <v>2003.50000000052</v>
      </c>
      <c r="G154" s="2">
        <v>0.63470016247578753</v>
      </c>
      <c r="H154" s="2">
        <v>6.1499999999999846E-2</v>
      </c>
      <c r="I154" s="2">
        <v>3.9034059992260839E-2</v>
      </c>
      <c r="K154" s="31">
        <v>2003.50000000052</v>
      </c>
      <c r="L154" s="2"/>
      <c r="M154" s="2"/>
      <c r="N154" s="2"/>
      <c r="P154" s="31">
        <v>2003.50000000052</v>
      </c>
      <c r="Q154" s="2">
        <v>0.64121456803083532</v>
      </c>
      <c r="R154" s="2">
        <v>4.7900000000000303E-2</v>
      </c>
      <c r="S154" s="2">
        <v>3.5739150212821279E-2</v>
      </c>
      <c r="U154" s="2">
        <f t="shared" si="23"/>
        <v>0.63795736525331148</v>
      </c>
      <c r="V154" s="2">
        <f t="shared" si="24"/>
        <v>5.4700000000000075E-2</v>
      </c>
      <c r="W154" s="2">
        <f t="shared" si="25"/>
        <v>3.7386605102541062E-2</v>
      </c>
      <c r="Y154" s="31">
        <v>2003.50000000052</v>
      </c>
      <c r="Z154" s="2">
        <v>-0.57386969533208365</v>
      </c>
      <c r="AA154" s="2">
        <v>-0.78876452892998183</v>
      </c>
      <c r="AB154" s="2">
        <v>-0.83184698747911301</v>
      </c>
      <c r="AD154" s="31">
        <v>2003.50000000052</v>
      </c>
      <c r="AE154" s="2"/>
      <c r="AF154" s="2"/>
      <c r="AG154" s="2"/>
      <c r="AH154" s="31"/>
      <c r="AI154" s="31">
        <v>2003.50000000052</v>
      </c>
      <c r="AJ154" s="2">
        <v>0.51231669880742525</v>
      </c>
      <c r="AK154" s="2">
        <v>-1.186702766808877</v>
      </c>
      <c r="AL154" s="2">
        <v>-0.74034947945327501</v>
      </c>
      <c r="AM154" s="31"/>
      <c r="AN154" s="2">
        <f t="shared" si="26"/>
        <v>-3.0776498262329199E-2</v>
      </c>
      <c r="AO154" s="2">
        <f t="shared" si="19"/>
        <v>-0.98773364786942941</v>
      </c>
      <c r="AP154" s="2">
        <f t="shared" si="20"/>
        <v>-0.78609823346619401</v>
      </c>
      <c r="AQ154" s="31"/>
      <c r="AR154" s="31">
        <v>2003.50000000052</v>
      </c>
      <c r="AS154" s="2">
        <v>-0.47975842649239803</v>
      </c>
      <c r="AT154" s="2">
        <v>-2.3130098149132094E-2</v>
      </c>
      <c r="AU154" s="2">
        <v>-0.48971550518993895</v>
      </c>
      <c r="AV154" s="31"/>
      <c r="AW154" s="31">
        <v>2003.50000000052</v>
      </c>
      <c r="AX154" s="2"/>
      <c r="AY154" s="2"/>
      <c r="AZ154" s="2"/>
      <c r="BA154" s="31"/>
      <c r="BB154" s="31">
        <v>2003.50000000052</v>
      </c>
      <c r="BC154" s="2">
        <v>-0.15947311279522466</v>
      </c>
      <c r="BD154" s="2">
        <v>-0.38248368897839508</v>
      </c>
      <c r="BE154" s="2">
        <v>-0.36075119865836136</v>
      </c>
      <c r="BG154" s="2">
        <f t="shared" si="27"/>
        <v>-0.31961576964381133</v>
      </c>
      <c r="BH154" s="2">
        <f t="shared" si="21"/>
        <v>-0.20280689356376358</v>
      </c>
      <c r="BI154" s="2">
        <f t="shared" si="22"/>
        <v>-0.42523335192415013</v>
      </c>
    </row>
    <row r="155" spans="1:61" x14ac:dyDescent="0.3">
      <c r="A155" s="31">
        <v>2003.4166666671899</v>
      </c>
      <c r="B155">
        <v>0.69687424707685941</v>
      </c>
      <c r="C155">
        <v>0.22800000000000153</v>
      </c>
      <c r="D155">
        <v>0.15888732833352501</v>
      </c>
      <c r="F155" s="31">
        <v>2003.4166666671899</v>
      </c>
      <c r="G155" s="2">
        <v>0.60951886466332805</v>
      </c>
      <c r="H155" s="2">
        <v>0.2152499999999995</v>
      </c>
      <c r="I155" s="2">
        <v>0.1342801064613473</v>
      </c>
      <c r="K155" s="31">
        <v>2003.4166666671899</v>
      </c>
      <c r="L155" s="2">
        <v>0.7701987739367866</v>
      </c>
      <c r="M155" s="2">
        <v>0.1537949999999999</v>
      </c>
      <c r="N155" s="2">
        <v>9.7654486616412239E-2</v>
      </c>
      <c r="P155" s="31">
        <v>2003.4166666671899</v>
      </c>
      <c r="Q155" s="2">
        <v>0.60278795654479689</v>
      </c>
      <c r="R155" s="2">
        <v>0.1198000000000006</v>
      </c>
      <c r="S155" s="2">
        <v>4.9041234510541737E-2</v>
      </c>
      <c r="U155" s="2">
        <f t="shared" si="23"/>
        <v>0.66083519838163718</v>
      </c>
      <c r="V155" s="2">
        <f t="shared" si="24"/>
        <v>0.16294833333333333</v>
      </c>
      <c r="W155" s="2">
        <f t="shared" si="25"/>
        <v>9.3658609196100431E-2</v>
      </c>
      <c r="Y155" s="31">
        <v>2003.4166666671899</v>
      </c>
      <c r="Z155" s="2">
        <v>-0.71987277868431121</v>
      </c>
      <c r="AA155" s="2">
        <v>2.2135512753475539</v>
      </c>
      <c r="AB155" s="2">
        <v>1.3601682946849991</v>
      </c>
      <c r="AD155" s="31">
        <v>2003.4166666671899</v>
      </c>
      <c r="AE155" s="2">
        <v>-0.23245730712521656</v>
      </c>
      <c r="AF155" s="2">
        <v>1.573802683465688</v>
      </c>
      <c r="AG155" s="2">
        <v>1.428539113638841</v>
      </c>
      <c r="AH155" s="31"/>
      <c r="AI155" s="31">
        <v>2003.4166666671899</v>
      </c>
      <c r="AJ155" s="2">
        <v>0.19412833190745063</v>
      </c>
      <c r="AK155" s="2">
        <v>0.52667636231568804</v>
      </c>
      <c r="AL155" s="2">
        <v>0.33469656764689576</v>
      </c>
      <c r="AM155" s="31"/>
      <c r="AN155" s="2">
        <f t="shared" si="26"/>
        <v>-0.25273391796735906</v>
      </c>
      <c r="AO155" s="2">
        <f t="shared" si="19"/>
        <v>1.4380101070429767</v>
      </c>
      <c r="AP155" s="2">
        <f t="shared" si="20"/>
        <v>1.0411346586569119</v>
      </c>
      <c r="AQ155" s="31"/>
      <c r="AR155" s="31">
        <v>2003.4166666671899</v>
      </c>
      <c r="AS155" s="2">
        <v>-1.2938428959197232</v>
      </c>
      <c r="AT155" s="2">
        <v>0.9738389001429214</v>
      </c>
      <c r="AU155" s="2">
        <v>-0.19510252190785526</v>
      </c>
      <c r="AV155" s="31"/>
      <c r="AW155" s="31">
        <v>2003.4166666671899</v>
      </c>
      <c r="AX155" s="2">
        <v>-0.65406442459673975</v>
      </c>
      <c r="AY155" s="2">
        <v>0.24857417332271592</v>
      </c>
      <c r="AZ155" s="2">
        <v>0.27447440750416896</v>
      </c>
      <c r="BA155" s="31"/>
      <c r="BB155" s="31">
        <v>2003.4166666671899</v>
      </c>
      <c r="BC155" s="2">
        <v>-0.54312004019733706</v>
      </c>
      <c r="BD155" s="2">
        <v>-0.9122447108614179</v>
      </c>
      <c r="BE155" s="2">
        <v>-0.59716787610841116</v>
      </c>
      <c r="BG155" s="2">
        <f t="shared" si="27"/>
        <v>-0.83034245357126668</v>
      </c>
      <c r="BH155" s="2">
        <f t="shared" si="21"/>
        <v>0.10338945420140648</v>
      </c>
      <c r="BI155" s="2">
        <f t="shared" si="22"/>
        <v>-0.1725986635040325</v>
      </c>
    </row>
    <row r="156" spans="1:61" x14ac:dyDescent="0.3">
      <c r="A156" s="31">
        <v>2003.3333333338601</v>
      </c>
      <c r="B156">
        <v>0.67127847547247455</v>
      </c>
      <c r="C156">
        <v>0.22800000000000153</v>
      </c>
      <c r="D156">
        <v>0.15305149240772523</v>
      </c>
      <c r="F156" s="31">
        <v>2003.3333333338601</v>
      </c>
      <c r="G156" s="2">
        <v>0.54151790323324611</v>
      </c>
      <c r="H156" s="2">
        <v>0.2152499999999995</v>
      </c>
      <c r="I156" s="2">
        <v>0.1179308038359462</v>
      </c>
      <c r="K156" s="31">
        <v>2003.3333333338601</v>
      </c>
      <c r="L156" s="2">
        <v>0.70463486105266981</v>
      </c>
      <c r="M156" s="2">
        <v>9.2279999999999945E-2</v>
      </c>
      <c r="N156" s="2">
        <v>6.6102898798165027E-2</v>
      </c>
      <c r="P156" s="31">
        <v>2003.3333333338601</v>
      </c>
      <c r="Q156" s="2">
        <v>0.57312132265066895</v>
      </c>
      <c r="R156" s="2">
        <v>0.1198000000000006</v>
      </c>
      <c r="S156" s="2">
        <v>4.6171584789551592E-2</v>
      </c>
      <c r="U156" s="2">
        <f t="shared" si="23"/>
        <v>0.60642469564552837</v>
      </c>
      <c r="V156" s="2">
        <f t="shared" si="24"/>
        <v>0.14244333333333334</v>
      </c>
      <c r="W156" s="2">
        <f t="shared" si="25"/>
        <v>7.6735095807887607E-2</v>
      </c>
      <c r="Y156" s="31">
        <v>2003.3333333338601</v>
      </c>
      <c r="Z156" s="2">
        <v>-1.11414753424498</v>
      </c>
      <c r="AA156" s="2">
        <v>2.2135512753475539</v>
      </c>
      <c r="AB156" s="2">
        <v>0.98390153573625072</v>
      </c>
      <c r="AD156" s="31">
        <v>2003.3333333338601</v>
      </c>
      <c r="AE156" s="2">
        <v>-0.62261219970994552</v>
      </c>
      <c r="AF156" s="2">
        <v>6.7241855071186282E-2</v>
      </c>
      <c r="AG156" s="2">
        <v>0.22879596809647093</v>
      </c>
      <c r="AH156" s="31"/>
      <c r="AI156" s="31">
        <v>2003.3333333338601</v>
      </c>
      <c r="AJ156" s="2">
        <v>-0.11285251025168035</v>
      </c>
      <c r="AK156" s="2">
        <v>0.52667636231568804</v>
      </c>
      <c r="AL156" s="2">
        <v>0.10277760516962202</v>
      </c>
      <c r="AM156" s="31"/>
      <c r="AN156" s="2">
        <f t="shared" si="26"/>
        <v>-0.61653741473553525</v>
      </c>
      <c r="AO156" s="2">
        <f t="shared" si="19"/>
        <v>0.93582316424480938</v>
      </c>
      <c r="AP156" s="2">
        <f t="shared" si="20"/>
        <v>0.43849170300078127</v>
      </c>
      <c r="AQ156" s="31"/>
      <c r="AR156" s="31">
        <v>2003.3333333338601</v>
      </c>
      <c r="AS156" s="2">
        <v>-1.3982626494386539</v>
      </c>
      <c r="AT156" s="2">
        <v>1.1945072437689361</v>
      </c>
      <c r="AU156" s="2">
        <v>6.8766708815283253E-2</v>
      </c>
      <c r="AV156" s="31"/>
      <c r="AW156" s="31">
        <v>2003.3333333338601</v>
      </c>
      <c r="AX156" s="2">
        <v>-0.74101880187982416</v>
      </c>
      <c r="AY156" s="2">
        <v>-0.6032299022146953</v>
      </c>
      <c r="AZ156" s="2">
        <v>-0.1977867230232572</v>
      </c>
      <c r="BA156" s="31"/>
      <c r="BB156" s="31">
        <v>2003.3333333338601</v>
      </c>
      <c r="BC156" s="2">
        <v>-0.39646533595841765</v>
      </c>
      <c r="BD156" s="2">
        <v>-0.1780601750249331</v>
      </c>
      <c r="BE156" s="2">
        <v>-0.3089889734154479</v>
      </c>
      <c r="BG156" s="2">
        <f t="shared" si="27"/>
        <v>-0.84524892909229854</v>
      </c>
      <c r="BH156" s="2">
        <f t="shared" si="21"/>
        <v>0.13773905550976925</v>
      </c>
      <c r="BI156" s="2">
        <f t="shared" si="22"/>
        <v>-0.14600299587447396</v>
      </c>
    </row>
    <row r="157" spans="1:61" x14ac:dyDescent="0.3">
      <c r="A157" s="31">
        <v>2003.25000000053</v>
      </c>
      <c r="B157">
        <v>0.62408603739611712</v>
      </c>
      <c r="C157">
        <v>0.21280000000000143</v>
      </c>
      <c r="D157">
        <v>0.13280550875789462</v>
      </c>
      <c r="F157" s="31">
        <v>2003.25000000053</v>
      </c>
      <c r="G157" s="2">
        <v>0.51295626466615896</v>
      </c>
      <c r="H157" s="2">
        <v>0.2152499999999995</v>
      </c>
      <c r="I157" s="2">
        <v>0.11177055411351738</v>
      </c>
      <c r="K157" s="31">
        <v>2003.25000000053</v>
      </c>
      <c r="L157" s="2">
        <v>0.67422546411201045</v>
      </c>
      <c r="M157" s="2">
        <v>0.12304499999999996</v>
      </c>
      <c r="N157" s="2">
        <v>8.6266900387915652E-2</v>
      </c>
      <c r="P157" s="31">
        <v>2003.25000000053</v>
      </c>
      <c r="Q157" s="2">
        <v>0.56318712788238734</v>
      </c>
      <c r="R157" s="2">
        <v>0.1198000000000006</v>
      </c>
      <c r="S157" s="2">
        <v>4.2604058598555511E-2</v>
      </c>
      <c r="U157" s="2">
        <f t="shared" si="23"/>
        <v>0.58345628555351892</v>
      </c>
      <c r="V157" s="2">
        <f t="shared" si="24"/>
        <v>0.15269833333333335</v>
      </c>
      <c r="W157" s="2">
        <f t="shared" si="25"/>
        <v>8.0213837699996182E-2</v>
      </c>
      <c r="Y157" s="31">
        <v>2003.25000000053</v>
      </c>
      <c r="Z157" s="2">
        <v>-1.2797500908504342</v>
      </c>
      <c r="AA157" s="2">
        <v>2.2135512753475539</v>
      </c>
      <c r="AB157" s="2">
        <v>0.84212807600641382</v>
      </c>
      <c r="AD157" s="31">
        <v>2003.25000000053</v>
      </c>
      <c r="AE157" s="2">
        <v>-0.80357112169984324</v>
      </c>
      <c r="AF157" s="2">
        <v>0.82070595139821056</v>
      </c>
      <c r="AG157" s="2">
        <v>0.99552830604930254</v>
      </c>
      <c r="AH157" s="31"/>
      <c r="AI157" s="31">
        <v>2003.25000000053</v>
      </c>
      <c r="AJ157" s="2">
        <v>-0.50102079155843537</v>
      </c>
      <c r="AK157" s="2">
        <v>0.52667636231568804</v>
      </c>
      <c r="AL157" s="2">
        <v>-0.18554224333817187</v>
      </c>
      <c r="AM157" s="31"/>
      <c r="AN157" s="2">
        <f t="shared" si="26"/>
        <v>-0.86144733470290424</v>
      </c>
      <c r="AO157" s="2">
        <f t="shared" si="19"/>
        <v>1.1869778630204841</v>
      </c>
      <c r="AP157" s="2">
        <f t="shared" si="20"/>
        <v>0.5507047129058481</v>
      </c>
      <c r="AQ157" s="31"/>
      <c r="AR157" s="31">
        <v>2003.25000000053</v>
      </c>
      <c r="AS157" s="2">
        <v>-1.3738595076097502</v>
      </c>
      <c r="AT157" s="2">
        <v>1.3017632887485846</v>
      </c>
      <c r="AU157" s="2">
        <v>1.8174661159629908E-2</v>
      </c>
      <c r="AV157" s="31"/>
      <c r="AW157" s="31">
        <v>2003.25000000053</v>
      </c>
      <c r="AX157" s="2">
        <v>-0.760756671687709</v>
      </c>
      <c r="AY157" s="2">
        <v>-0.13019391200415875</v>
      </c>
      <c r="AZ157" s="2">
        <v>0.22081239383851156</v>
      </c>
      <c r="BA157" s="31"/>
      <c r="BB157" s="31">
        <v>2003.25000000053</v>
      </c>
      <c r="BC157" s="2">
        <v>-0.27036532362744053</v>
      </c>
      <c r="BD157" s="2">
        <v>-0.51128572186882904</v>
      </c>
      <c r="BE157" s="2">
        <v>-0.20748880405471545</v>
      </c>
      <c r="BG157" s="2">
        <f t="shared" si="27"/>
        <v>-0.80166050097496655</v>
      </c>
      <c r="BH157" s="2">
        <f t="shared" si="21"/>
        <v>0.22009455162519895</v>
      </c>
      <c r="BI157" s="2">
        <f t="shared" si="22"/>
        <v>1.0499416981142005E-2</v>
      </c>
    </row>
    <row r="158" spans="1:61" x14ac:dyDescent="0.3">
      <c r="A158" s="31">
        <v>2003.1666666671999</v>
      </c>
      <c r="B158">
        <v>0.55101318559489398</v>
      </c>
      <c r="C158">
        <v>0.22800000000000153</v>
      </c>
      <c r="D158">
        <v>0.12563100631563667</v>
      </c>
      <c r="F158" s="31">
        <v>2003.1666666671999</v>
      </c>
      <c r="G158" s="2">
        <v>0.47825399574403088</v>
      </c>
      <c r="H158" s="2">
        <v>0.18449999999999961</v>
      </c>
      <c r="I158" s="2">
        <v>9.2181629518303165E-2</v>
      </c>
      <c r="K158" s="31">
        <v>2003.1666666671999</v>
      </c>
      <c r="L158" s="2">
        <v>0.64520300176513823</v>
      </c>
      <c r="M158" s="2">
        <v>9.2279999999999945E-2</v>
      </c>
      <c r="N158" s="2">
        <v>6.1702291765155279E-2</v>
      </c>
      <c r="P158" s="31">
        <v>2003.1666666671999</v>
      </c>
      <c r="Q158" s="2">
        <v>0.54266620496490803</v>
      </c>
      <c r="R158" s="2">
        <v>9.5850000000000463E-2</v>
      </c>
      <c r="S158" s="2">
        <v>4.0730208411391938E-2</v>
      </c>
      <c r="U158" s="2">
        <f t="shared" si="23"/>
        <v>0.55537440082469236</v>
      </c>
      <c r="V158" s="2">
        <f t="shared" si="24"/>
        <v>0.12421</v>
      </c>
      <c r="W158" s="2">
        <f t="shared" si="25"/>
        <v>6.4871376564950123E-2</v>
      </c>
      <c r="Y158" s="31">
        <v>2003.1666666671999</v>
      </c>
      <c r="Z158" s="2">
        <v>-1.480956490126724</v>
      </c>
      <c r="AA158" s="2">
        <v>1.6130881144920477</v>
      </c>
      <c r="AB158" s="2">
        <v>0.39130388260740923</v>
      </c>
      <c r="AD158" s="31">
        <v>2003.1666666671999</v>
      </c>
      <c r="AE158" s="2">
        <v>-0.9762767333905602</v>
      </c>
      <c r="AF158" s="2">
        <v>6.7241855071186282E-2</v>
      </c>
      <c r="AG158" s="2">
        <v>6.1463719891021021E-2</v>
      </c>
      <c r="AH158" s="31"/>
      <c r="AI158" s="31">
        <v>2003.1666666671999</v>
      </c>
      <c r="AJ158" s="2">
        <v>-0.69204013728484581</v>
      </c>
      <c r="AK158" s="2">
        <v>-4.4052846898962821E-2</v>
      </c>
      <c r="AL158" s="2">
        <v>-0.33698281396463597</v>
      </c>
      <c r="AM158" s="31"/>
      <c r="AN158" s="2">
        <f t="shared" si="26"/>
        <v>-1.0497577869340433</v>
      </c>
      <c r="AO158" s="2">
        <f t="shared" si="19"/>
        <v>0.54542570755475706</v>
      </c>
      <c r="AP158" s="2">
        <f t="shared" si="20"/>
        <v>3.8594929511264753E-2</v>
      </c>
      <c r="AQ158" s="31"/>
      <c r="AR158" s="31">
        <v>2003.1666666671999</v>
      </c>
      <c r="AS158" s="2">
        <v>-1.2452310546863987</v>
      </c>
      <c r="AT158" s="2">
        <v>0.80409366606843335</v>
      </c>
      <c r="AU158" s="2">
        <v>-0.15424317670851262</v>
      </c>
      <c r="AV158" s="31"/>
      <c r="AW158" s="31">
        <v>2003.1666666671999</v>
      </c>
      <c r="AX158" s="2">
        <v>-0.7774228938786496</v>
      </c>
      <c r="AY158" s="2">
        <v>-0.48198869008051998</v>
      </c>
      <c r="AZ158" s="2">
        <v>-0.11724586594365959</v>
      </c>
      <c r="BA158" s="31"/>
      <c r="BB158" s="31">
        <v>2003.1666666671999</v>
      </c>
      <c r="BC158" s="2">
        <v>-0.12622424696143486</v>
      </c>
      <c r="BD158" s="2">
        <v>-0.34847073798484229</v>
      </c>
      <c r="BE158" s="2">
        <v>0.11173627679939277</v>
      </c>
      <c r="BG158" s="2">
        <f t="shared" si="27"/>
        <v>-0.71629273184216113</v>
      </c>
      <c r="BH158" s="2">
        <f t="shared" si="21"/>
        <v>-8.7885873323096577E-3</v>
      </c>
      <c r="BI158" s="2">
        <f t="shared" si="22"/>
        <v>-5.3250921950926476E-2</v>
      </c>
    </row>
    <row r="159" spans="1:61" x14ac:dyDescent="0.3">
      <c r="A159" s="31">
        <v>2003.0833333338701</v>
      </c>
      <c r="B159">
        <v>0.51391616335838208</v>
      </c>
      <c r="C159">
        <v>7.6000000000000512E-2</v>
      </c>
      <c r="D159">
        <v>3.90576284152373E-2</v>
      </c>
      <c r="F159" s="31">
        <v>2003.0833333338701</v>
      </c>
      <c r="G159" s="2">
        <v>0.43600834942935918</v>
      </c>
      <c r="H159" s="2">
        <v>6.1499999999999846E-2</v>
      </c>
      <c r="I159" s="2">
        <v>2.6814513489905524E-2</v>
      </c>
      <c r="K159" s="31">
        <v>2003.0833333338701</v>
      </c>
      <c r="L159" s="2">
        <v>0.61127022254060348</v>
      </c>
      <c r="M159" s="2">
        <v>9.2279999999999945E-2</v>
      </c>
      <c r="N159" s="2">
        <v>5.7818035038890506E-2</v>
      </c>
      <c r="P159" s="31">
        <v>2003.0833333338701</v>
      </c>
      <c r="Q159" s="2">
        <v>0.56713783983251342</v>
      </c>
      <c r="R159" s="2">
        <v>9.5850000000000463E-2</v>
      </c>
      <c r="S159" s="2">
        <v>4.0608046389280755E-2</v>
      </c>
      <c r="U159" s="2">
        <f t="shared" si="23"/>
        <v>0.53813880393415869</v>
      </c>
      <c r="V159" s="2">
        <f t="shared" si="24"/>
        <v>8.3210000000000076E-2</v>
      </c>
      <c r="W159" s="2">
        <f t="shared" si="25"/>
        <v>4.1746864972692262E-2</v>
      </c>
      <c r="Y159" s="31">
        <v>2003.0833333338701</v>
      </c>
      <c r="Z159" s="2">
        <v>-1.7258999662766255</v>
      </c>
      <c r="AA159" s="2">
        <v>-0.78876452892998183</v>
      </c>
      <c r="AB159" s="2">
        <v>-1.1130705517870709</v>
      </c>
      <c r="AD159" s="31">
        <v>2003.0833333338701</v>
      </c>
      <c r="AE159" s="2">
        <v>-1.1782024460436393</v>
      </c>
      <c r="AF159" s="2">
        <v>6.7241855071186282E-2</v>
      </c>
      <c r="AG159" s="2">
        <v>-8.6234405785174856E-2</v>
      </c>
      <c r="AH159" s="31"/>
      <c r="AI159" s="31">
        <v>2003.0833333338701</v>
      </c>
      <c r="AJ159" s="2">
        <v>-0.70120114823097057</v>
      </c>
      <c r="AK159" s="2">
        <v>-4.4052846898962821E-2</v>
      </c>
      <c r="AL159" s="2">
        <v>-0.34685568772163783</v>
      </c>
      <c r="AM159" s="31"/>
      <c r="AN159" s="2">
        <f t="shared" si="26"/>
        <v>-1.2017678535170784</v>
      </c>
      <c r="AO159" s="2">
        <f t="shared" si="19"/>
        <v>-0.25519184025258612</v>
      </c>
      <c r="AP159" s="2">
        <f t="shared" si="20"/>
        <v>-0.51538688176462788</v>
      </c>
      <c r="AQ159" s="31"/>
      <c r="AR159" s="31">
        <v>2003.0833333338701</v>
      </c>
      <c r="AS159" s="2">
        <v>-1.6358603841024459</v>
      </c>
      <c r="AT159" s="2">
        <v>-0.93050162247170598</v>
      </c>
      <c r="AU159" s="2">
        <v>-1.4883626194547901</v>
      </c>
      <c r="AV159" s="31"/>
      <c r="AW159" s="31">
        <v>2003.0833333338701</v>
      </c>
      <c r="AX159" s="2">
        <v>-0.93390043889825813</v>
      </c>
      <c r="AY159" s="2">
        <v>0.56120938963997447</v>
      </c>
      <c r="AZ159" s="2">
        <v>0.32940414771842713</v>
      </c>
      <c r="BA159" s="31"/>
      <c r="BB159" s="31">
        <v>2003.0833333338701</v>
      </c>
      <c r="BC159" s="2">
        <v>-2.2863379792526579E-2</v>
      </c>
      <c r="BD159" s="2">
        <v>-1.4615836317459097E-2</v>
      </c>
      <c r="BE159" s="2">
        <v>2.355046726733016E-2</v>
      </c>
      <c r="BG159" s="2">
        <f t="shared" si="27"/>
        <v>-0.8642080675977436</v>
      </c>
      <c r="BH159" s="2">
        <f t="shared" si="21"/>
        <v>-0.12796935638306353</v>
      </c>
      <c r="BI159" s="2">
        <f t="shared" si="22"/>
        <v>-0.37846933482301087</v>
      </c>
    </row>
    <row r="160" spans="1:61" x14ac:dyDescent="0.3">
      <c r="A160" s="31">
        <v>2003.00000000054</v>
      </c>
      <c r="B160">
        <v>0.57034551490956797</v>
      </c>
      <c r="C160">
        <v>7.6000000000000512E-2</v>
      </c>
      <c r="D160">
        <v>4.3346259133127459E-2</v>
      </c>
      <c r="F160" s="31">
        <v>2003.00000000054</v>
      </c>
      <c r="G160" s="2">
        <v>0.38020344603486095</v>
      </c>
      <c r="H160" s="2">
        <v>6.1499999999999798E-2</v>
      </c>
      <c r="I160" s="2">
        <v>2.3382511931143872E-2</v>
      </c>
      <c r="K160" s="31">
        <v>2003.00000000054</v>
      </c>
      <c r="L160" s="2">
        <v>0.58565386661894991</v>
      </c>
      <c r="M160" s="2">
        <v>6.1514999999999952E-2</v>
      </c>
      <c r="N160" s="2">
        <v>3.6026594673242346E-2</v>
      </c>
      <c r="P160" s="31">
        <v>2003.00000000054</v>
      </c>
      <c r="Q160" s="2">
        <v>0.59332412043285754</v>
      </c>
      <c r="R160" s="2">
        <v>9.5850000000000463E-2</v>
      </c>
      <c r="S160" s="2">
        <v>4.1456423559534973E-2</v>
      </c>
      <c r="U160" s="2">
        <f t="shared" si="23"/>
        <v>0.51972714436222278</v>
      </c>
      <c r="V160" s="2">
        <f t="shared" si="24"/>
        <v>7.2955000000000075E-2</v>
      </c>
      <c r="W160" s="2">
        <f t="shared" si="25"/>
        <v>3.3621843387973728E-2</v>
      </c>
      <c r="Y160" s="31">
        <v>2003.00000000054</v>
      </c>
      <c r="Z160" s="2">
        <v>-2.049461048094201</v>
      </c>
      <c r="AA160" s="2">
        <v>-0.78876452892998272</v>
      </c>
      <c r="AB160" s="2">
        <v>-1.1920554560860466</v>
      </c>
      <c r="AD160" s="31">
        <v>2003.00000000054</v>
      </c>
      <c r="AE160" s="2">
        <v>-1.3306391471705197</v>
      </c>
      <c r="AF160" s="2">
        <v>-0.68622224125583742</v>
      </c>
      <c r="AG160" s="2">
        <v>-0.91484979467732375</v>
      </c>
      <c r="AH160" s="31"/>
      <c r="AI160" s="31">
        <v>2003.00000000054</v>
      </c>
      <c r="AJ160" s="2">
        <v>-0.60820978798024783</v>
      </c>
      <c r="AK160" s="2">
        <v>-4.4052846898962821E-2</v>
      </c>
      <c r="AL160" s="2">
        <v>-0.27829165648270482</v>
      </c>
      <c r="AM160" s="31"/>
      <c r="AN160" s="2">
        <f t="shared" si="26"/>
        <v>-1.3294366610816561</v>
      </c>
      <c r="AO160" s="2">
        <f t="shared" si="19"/>
        <v>-0.50634653902826099</v>
      </c>
      <c r="AP160" s="2">
        <f t="shared" si="20"/>
        <v>-0.79506563574869171</v>
      </c>
      <c r="AQ160" s="31"/>
      <c r="AR160" s="31">
        <v>2003.00000000054</v>
      </c>
      <c r="AS160" s="2">
        <v>-1.2338991308498077</v>
      </c>
      <c r="AT160" s="2">
        <v>-0.29853293598826797</v>
      </c>
      <c r="AU160" s="2">
        <v>-1.3287504340066947</v>
      </c>
      <c r="AV160" s="31"/>
      <c r="AW160" s="31">
        <v>2003.00000000054</v>
      </c>
      <c r="AX160" s="2">
        <v>-0.772373652224709</v>
      </c>
      <c r="AY160" s="2">
        <v>-0.21981065223360952</v>
      </c>
      <c r="AZ160" s="2">
        <v>-0.80879538647938642</v>
      </c>
      <c r="BA160" s="31"/>
      <c r="BB160" s="31">
        <v>2003.00000000054</v>
      </c>
      <c r="BC160" s="2">
        <v>-3.9179937280164043E-2</v>
      </c>
      <c r="BD160" s="2">
        <v>0.75540652012817533</v>
      </c>
      <c r="BE160" s="2">
        <v>0.3447268819249763</v>
      </c>
      <c r="BG160" s="2">
        <f t="shared" si="27"/>
        <v>-0.68181757345156024</v>
      </c>
      <c r="BH160" s="2">
        <f t="shared" si="21"/>
        <v>7.9020977302099282E-2</v>
      </c>
      <c r="BI160" s="2">
        <f t="shared" si="22"/>
        <v>-0.59760631285370158</v>
      </c>
    </row>
    <row r="161" spans="1:61" x14ac:dyDescent="0.3">
      <c r="A161" s="31">
        <v>2002.9166666672099</v>
      </c>
      <c r="B161">
        <v>0.65287931876494254</v>
      </c>
      <c r="C161">
        <v>9.1200000000000614E-2</v>
      </c>
      <c r="D161">
        <v>5.954259387136316E-2</v>
      </c>
      <c r="F161" s="31">
        <v>2002.9166666672099</v>
      </c>
      <c r="G161" s="2">
        <v>0.45095936035575002</v>
      </c>
      <c r="H161" s="2">
        <v>6.1499999999999846E-2</v>
      </c>
      <c r="I161" s="2">
        <v>2.7734000661878561E-2</v>
      </c>
      <c r="K161" s="31">
        <v>2002.9166666672099</v>
      </c>
      <c r="L161" s="2">
        <v>0.56892247251030448</v>
      </c>
      <c r="M161" s="2">
        <v>9.2279999999999945E-2</v>
      </c>
      <c r="N161" s="2">
        <v>5.1762280851805148E-2</v>
      </c>
      <c r="P161" s="31">
        <v>2002.9166666672099</v>
      </c>
      <c r="Q161" s="2">
        <v>0.61593010353077304</v>
      </c>
      <c r="R161" s="2">
        <v>9.5850000000000463E-2</v>
      </c>
      <c r="S161" s="2">
        <v>4.2419306068237739E-2</v>
      </c>
      <c r="U161" s="2">
        <f t="shared" si="23"/>
        <v>0.54527064546560922</v>
      </c>
      <c r="V161" s="2">
        <f t="shared" si="24"/>
        <v>8.3210000000000076E-2</v>
      </c>
      <c r="W161" s="2">
        <f t="shared" si="25"/>
        <v>4.0638529193973816E-2</v>
      </c>
      <c r="Y161" s="31">
        <v>2002.9166666672099</v>
      </c>
      <c r="Z161" s="2">
        <v>-1.639212865764839</v>
      </c>
      <c r="AA161" s="2">
        <v>-0.78876452892998183</v>
      </c>
      <c r="AB161" s="2">
        <v>-1.0919092542063578</v>
      </c>
      <c r="AD161" s="31">
        <v>2002.9166666672099</v>
      </c>
      <c r="AE161" s="2">
        <v>-1.4302036024340299</v>
      </c>
      <c r="AF161" s="2">
        <v>6.7241855071186282E-2</v>
      </c>
      <c r="AG161" s="2">
        <v>-0.31650331075747551</v>
      </c>
      <c r="AH161" s="31"/>
      <c r="AI161" s="31">
        <v>2002.9166666672099</v>
      </c>
      <c r="AJ161" s="2">
        <v>-0.50587820144801465</v>
      </c>
      <c r="AK161" s="2">
        <v>-4.4052846898962821E-2</v>
      </c>
      <c r="AL161" s="2">
        <v>-0.2004735483099733</v>
      </c>
      <c r="AM161" s="31"/>
      <c r="AN161" s="2">
        <f t="shared" si="26"/>
        <v>-1.1917648898822946</v>
      </c>
      <c r="AO161" s="2">
        <f t="shared" si="19"/>
        <v>-0.25519184025258612</v>
      </c>
      <c r="AP161" s="2">
        <f t="shared" si="20"/>
        <v>-0.5362953710912689</v>
      </c>
      <c r="AQ161" s="31"/>
      <c r="AR161" s="31">
        <v>2002.9166666672099</v>
      </c>
      <c r="AS161" s="2">
        <v>-1.4439056095205323</v>
      </c>
      <c r="AT161" s="2">
        <v>-0.68444756444045252</v>
      </c>
      <c r="AU161" s="2">
        <v>-1.2738814822044362</v>
      </c>
      <c r="AV161" s="31"/>
      <c r="AW161" s="31">
        <v>2002.9166666672099</v>
      </c>
      <c r="AX161" s="2">
        <v>-1.0979138398070716</v>
      </c>
      <c r="AY161" s="2">
        <v>1.0572927878366174</v>
      </c>
      <c r="AZ161" s="2">
        <v>0.23840472104478161</v>
      </c>
      <c r="BA161" s="31"/>
      <c r="BB161" s="31">
        <v>2002.9166666672099</v>
      </c>
      <c r="BC161" s="2">
        <v>-0.12644672026239367</v>
      </c>
      <c r="BD161" s="2">
        <v>0.88737234882057547</v>
      </c>
      <c r="BE161" s="2">
        <v>0.12521804678528686</v>
      </c>
      <c r="BG161" s="2">
        <f t="shared" si="27"/>
        <v>-0.88942205652999917</v>
      </c>
      <c r="BH161" s="2">
        <f t="shared" si="21"/>
        <v>0.42007252407224671</v>
      </c>
      <c r="BI161" s="2">
        <f t="shared" si="22"/>
        <v>-0.30341957145812254</v>
      </c>
    </row>
    <row r="162" spans="1:61" x14ac:dyDescent="0.3">
      <c r="A162" s="31">
        <v>2002.8333333338801</v>
      </c>
      <c r="B162">
        <v>0.67046303735048185</v>
      </c>
      <c r="C162">
        <v>7.6000000000000512E-2</v>
      </c>
      <c r="D162">
        <v>5.0955190838636963E-2</v>
      </c>
      <c r="F162" s="31">
        <v>2002.8333333338801</v>
      </c>
      <c r="G162" s="2">
        <v>0.43625105583054918</v>
      </c>
      <c r="H162" s="2">
        <v>6.1499999999999798E-2</v>
      </c>
      <c r="I162" s="2">
        <v>2.6829439933578687E-2</v>
      </c>
      <c r="K162" s="31">
        <v>2002.8333333338801</v>
      </c>
      <c r="L162" s="2">
        <v>0.57017522434451884</v>
      </c>
      <c r="M162" s="2">
        <v>6.1514999999999952E-2</v>
      </c>
      <c r="N162" s="2">
        <v>3.5073776249781585E-2</v>
      </c>
      <c r="P162" s="31">
        <v>2002.8333333338801</v>
      </c>
      <c r="Q162" s="2">
        <v>0.68706213432121932</v>
      </c>
      <c r="R162" s="2">
        <v>9.5850000000000463E-2</v>
      </c>
      <c r="S162" s="2">
        <v>4.2861463939474168E-2</v>
      </c>
      <c r="U162" s="2">
        <f t="shared" si="23"/>
        <v>0.5644961381654291</v>
      </c>
      <c r="V162" s="2">
        <f t="shared" si="24"/>
        <v>7.2955000000000075E-2</v>
      </c>
      <c r="W162" s="2">
        <f t="shared" si="25"/>
        <v>3.4921560040944814E-2</v>
      </c>
      <c r="Y162" s="31">
        <v>2002.8333333338801</v>
      </c>
      <c r="Z162" s="2">
        <v>-1.7244927360700264</v>
      </c>
      <c r="AA162" s="2">
        <v>-0.78876452892998272</v>
      </c>
      <c r="AB162" s="2">
        <v>-1.1127270310441857</v>
      </c>
      <c r="AD162" s="31">
        <v>2002.8333333338801</v>
      </c>
      <c r="AE162" s="2">
        <v>-1.4227487810877641</v>
      </c>
      <c r="AF162" s="2">
        <v>-0.68622224125583742</v>
      </c>
      <c r="AG162" s="2">
        <v>-0.95108053460326891</v>
      </c>
      <c r="AH162" s="31"/>
      <c r="AI162" s="31">
        <v>2002.8333333338801</v>
      </c>
      <c r="AJ162" s="2">
        <v>-0.46204661108197986</v>
      </c>
      <c r="AK162" s="2">
        <v>-4.4052846898962821E-2</v>
      </c>
      <c r="AL162" s="2">
        <v>-0.16473929335953619</v>
      </c>
      <c r="AM162" s="31"/>
      <c r="AN162" s="2">
        <f t="shared" si="26"/>
        <v>-1.20309604274659</v>
      </c>
      <c r="AO162" s="2">
        <f t="shared" si="19"/>
        <v>-0.50634653902826099</v>
      </c>
      <c r="AP162" s="2">
        <f t="shared" si="20"/>
        <v>-0.74284895300233023</v>
      </c>
      <c r="AQ162" s="31"/>
      <c r="AR162" s="31">
        <v>2002.8333333338801</v>
      </c>
      <c r="AS162" s="2">
        <v>-1.051228145316162</v>
      </c>
      <c r="AT162" s="2">
        <v>-0.2854929317171821</v>
      </c>
      <c r="AU162" s="2">
        <v>-1.1178713883015046</v>
      </c>
      <c r="AV162" s="31"/>
      <c r="AW162" s="31">
        <v>2002.8333333338801</v>
      </c>
      <c r="AX162" s="2">
        <v>-0.78794268033314463</v>
      </c>
      <c r="AY162" s="2">
        <v>-0.19138401234735175</v>
      </c>
      <c r="AZ162" s="2">
        <v>-0.79857515703614956</v>
      </c>
      <c r="BA162" s="31"/>
      <c r="BB162" s="31">
        <v>2002.8333333338801</v>
      </c>
      <c r="BC162" s="2">
        <v>-0.2279973331365939</v>
      </c>
      <c r="BD162" s="2">
        <v>0.77674476466510867</v>
      </c>
      <c r="BE162" s="2">
        <v>9.6206341657621763E-2</v>
      </c>
      <c r="BG162" s="2">
        <f t="shared" si="27"/>
        <v>-0.68905605292863348</v>
      </c>
      <c r="BH162" s="2">
        <f t="shared" si="21"/>
        <v>9.9955940200191593E-2</v>
      </c>
      <c r="BI162" s="2">
        <f t="shared" si="22"/>
        <v>-0.60674673456001083</v>
      </c>
    </row>
    <row r="163" spans="1:61" x14ac:dyDescent="0.3">
      <c r="A163" s="31">
        <v>2002.75000000055</v>
      </c>
      <c r="B163">
        <v>0.69498127956047351</v>
      </c>
      <c r="C163">
        <v>7.6000000000000512E-2</v>
      </c>
      <c r="D163">
        <v>5.2818577246596339E-2</v>
      </c>
      <c r="F163" s="31">
        <v>2002.75000000055</v>
      </c>
      <c r="G163" s="2">
        <v>0.4898163668446921</v>
      </c>
      <c r="H163" s="2">
        <v>6.1499999999999846E-2</v>
      </c>
      <c r="I163" s="2">
        <v>3.0123706560948489E-2</v>
      </c>
      <c r="K163" s="31">
        <v>2002.75000000055</v>
      </c>
      <c r="L163" s="2">
        <v>0.59249439964080031</v>
      </c>
      <c r="M163" s="2">
        <v>9.2279999999999945E-2</v>
      </c>
      <c r="N163" s="2">
        <v>5.2683378524944299E-2</v>
      </c>
      <c r="P163" s="31">
        <v>2002.75000000055</v>
      </c>
      <c r="Q163" s="2">
        <v>0.70075933393040368</v>
      </c>
      <c r="R163" s="2">
        <v>9.5850000000000463E-2</v>
      </c>
      <c r="S163" s="2">
        <v>4.3476720757910987E-2</v>
      </c>
      <c r="U163" s="2">
        <f t="shared" si="23"/>
        <v>0.59435670013863195</v>
      </c>
      <c r="V163" s="2">
        <f t="shared" si="24"/>
        <v>8.3210000000000076E-2</v>
      </c>
      <c r="W163" s="2">
        <f t="shared" si="25"/>
        <v>4.2094601947934594E-2</v>
      </c>
      <c r="Y163" s="31">
        <v>2002.75000000055</v>
      </c>
      <c r="Z163" s="2">
        <v>-1.4139169815147432</v>
      </c>
      <c r="AA163" s="2">
        <v>-0.78876452892998183</v>
      </c>
      <c r="AB163" s="2">
        <v>-1.0369119913820246</v>
      </c>
      <c r="AD163" s="31">
        <v>2002.75000000055</v>
      </c>
      <c r="AE163" s="2">
        <v>-1.2899327995936216</v>
      </c>
      <c r="AF163" s="2">
        <v>6.7241855071186282E-2</v>
      </c>
      <c r="AG163" s="2">
        <v>-0.28147874634919484</v>
      </c>
      <c r="AH163" s="31"/>
      <c r="AI163" s="31">
        <v>2002.75000000055</v>
      </c>
      <c r="AJ163" s="2">
        <v>-0.42044218919823728</v>
      </c>
      <c r="AK163" s="2">
        <v>-4.4052846898962821E-2</v>
      </c>
      <c r="AL163" s="2">
        <v>-0.11501555113928294</v>
      </c>
      <c r="AM163" s="31"/>
      <c r="AN163" s="2">
        <f t="shared" si="26"/>
        <v>-1.0414306567688674</v>
      </c>
      <c r="AO163" s="2">
        <f t="shared" si="19"/>
        <v>-0.25519184025258612</v>
      </c>
      <c r="AP163" s="2">
        <f t="shared" si="20"/>
        <v>-0.47780209629016746</v>
      </c>
      <c r="AQ163" s="31"/>
      <c r="AR163" s="31">
        <v>2002.75000000055</v>
      </c>
      <c r="AS163" s="2">
        <v>-1.7957000383563488</v>
      </c>
      <c r="AT163" s="2">
        <v>-0.6766476141944503</v>
      </c>
      <c r="AU163" s="2">
        <v>-1.3097238206329103</v>
      </c>
      <c r="AV163" s="31"/>
      <c r="AW163" s="31">
        <v>2002.75000000055</v>
      </c>
      <c r="AX163" s="2">
        <v>-1.3989185054379187</v>
      </c>
      <c r="AY163" s="2">
        <v>0.96310780514635363</v>
      </c>
      <c r="AZ163" s="2">
        <v>-0.11870065168019672</v>
      </c>
      <c r="BA163" s="31"/>
      <c r="BB163" s="31">
        <v>2002.75000000055</v>
      </c>
      <c r="BC163" s="2">
        <v>-0.46913471422554304</v>
      </c>
      <c r="BD163" s="2">
        <v>0.36965282471677957</v>
      </c>
      <c r="BE163" s="2">
        <v>-0.32511063219632863</v>
      </c>
      <c r="BG163" s="2">
        <f t="shared" si="27"/>
        <v>-1.2212510860066035</v>
      </c>
      <c r="BH163" s="2">
        <f t="shared" si="21"/>
        <v>0.21870433855622762</v>
      </c>
      <c r="BI163" s="2">
        <f t="shared" si="22"/>
        <v>-0.58451170150314524</v>
      </c>
    </row>
    <row r="164" spans="1:61" x14ac:dyDescent="0.3">
      <c r="A164" s="31">
        <v>2002.6666666672199</v>
      </c>
      <c r="B164">
        <v>0.71108225798321523</v>
      </c>
      <c r="C164">
        <v>7.6000000000000512E-2</v>
      </c>
      <c r="D164">
        <v>5.4042251606724719E-2</v>
      </c>
      <c r="F164" s="31">
        <v>2002.6666666672199</v>
      </c>
      <c r="G164" s="2">
        <v>0.48630728305155485</v>
      </c>
      <c r="H164" s="2">
        <v>6.1499999999999798E-2</v>
      </c>
      <c r="I164" s="2">
        <v>2.9907897907670525E-2</v>
      </c>
      <c r="K164" s="31">
        <v>2002.6666666672199</v>
      </c>
      <c r="L164" s="2">
        <v>0.62657414888185436</v>
      </c>
      <c r="M164" s="2">
        <v>6.1514999999999952E-2</v>
      </c>
      <c r="N164" s="2">
        <v>3.854202079795091E-2</v>
      </c>
      <c r="P164" s="31">
        <v>2002.6666666672199</v>
      </c>
      <c r="Q164" s="2">
        <v>0.67444470479532359</v>
      </c>
      <c r="R164" s="2">
        <v>9.5850000000000463E-2</v>
      </c>
      <c r="S164" s="2">
        <v>4.5461230680401345E-2</v>
      </c>
      <c r="U164" s="2">
        <f t="shared" si="23"/>
        <v>0.59577537890957755</v>
      </c>
      <c r="V164" s="2">
        <f t="shared" si="24"/>
        <v>7.2955000000000075E-2</v>
      </c>
      <c r="W164" s="2">
        <f t="shared" si="25"/>
        <v>3.7970383128674255E-2</v>
      </c>
      <c r="Y164" s="31">
        <v>2002.6666666672199</v>
      </c>
      <c r="Z164" s="2">
        <v>-1.4342629167145513</v>
      </c>
      <c r="AA164" s="2">
        <v>-0.78876452892998272</v>
      </c>
      <c r="AB164" s="2">
        <v>-1.0418786633179782</v>
      </c>
      <c r="AD164" s="31">
        <v>2002.6666666672199</v>
      </c>
      <c r="AE164" s="2">
        <v>-1.0871325041329298</v>
      </c>
      <c r="AF164" s="2">
        <v>-0.68622224125583742</v>
      </c>
      <c r="AG164" s="2">
        <v>-0.81920119313556594</v>
      </c>
      <c r="AH164" s="31"/>
      <c r="AI164" s="31">
        <v>2002.6666666672199</v>
      </c>
      <c r="AJ164" s="2">
        <v>-0.25268590676373037</v>
      </c>
      <c r="AK164" s="2">
        <v>-4.4052846898962821E-2</v>
      </c>
      <c r="AL164" s="2">
        <v>4.5368302988744696E-2</v>
      </c>
      <c r="AM164" s="31"/>
      <c r="AN164" s="2">
        <f t="shared" si="26"/>
        <v>-0.92469377587040391</v>
      </c>
      <c r="AO164" s="2">
        <f t="shared" si="19"/>
        <v>-0.50634653902826099</v>
      </c>
      <c r="AP164" s="2">
        <f t="shared" si="20"/>
        <v>-0.60523718448826647</v>
      </c>
      <c r="AQ164" s="31"/>
      <c r="AR164" s="31">
        <v>2002.6666666672199</v>
      </c>
      <c r="AS164" s="2">
        <v>-0.92441749969825504</v>
      </c>
      <c r="AT164" s="2">
        <v>-0.32631334910520099</v>
      </c>
      <c r="AU164" s="2">
        <v>-0.98355389528038784</v>
      </c>
      <c r="AV164" s="31"/>
      <c r="AW164" s="31">
        <v>2002.6666666672199</v>
      </c>
      <c r="AX164" s="2">
        <v>-0.75634265458881111</v>
      </c>
      <c r="AY164" s="2">
        <v>-0.23837245449551037</v>
      </c>
      <c r="AZ164" s="2">
        <v>-0.77295765158079965</v>
      </c>
      <c r="BA164" s="31"/>
      <c r="BB164" s="31">
        <v>2002.6666666672199</v>
      </c>
      <c r="BC164" s="2">
        <v>-0.48982167333965387</v>
      </c>
      <c r="BD164" s="2">
        <v>1.0283839161259722</v>
      </c>
      <c r="BE164" s="2">
        <v>0.11726278245107996</v>
      </c>
      <c r="BG164" s="2">
        <f t="shared" si="27"/>
        <v>-0.72352727587557342</v>
      </c>
      <c r="BH164" s="2">
        <f t="shared" si="21"/>
        <v>0.1545660375084203</v>
      </c>
      <c r="BI164" s="2">
        <f t="shared" si="22"/>
        <v>-0.54641625480336919</v>
      </c>
    </row>
    <row r="165" spans="1:61" x14ac:dyDescent="0.3">
      <c r="A165" s="31">
        <v>2002.5833333338901</v>
      </c>
      <c r="B165">
        <v>0.75155944493120541</v>
      </c>
      <c r="C165">
        <v>7.6000000000000512E-2</v>
      </c>
      <c r="D165">
        <v>5.7118517814771994E-2</v>
      </c>
      <c r="F165" s="31">
        <v>2002.5833333338901</v>
      </c>
      <c r="G165" s="2">
        <v>0.51144207997166147</v>
      </c>
      <c r="H165" s="2">
        <v>6.1499999999999846E-2</v>
      </c>
      <c r="I165" s="2">
        <v>3.1453687918257103E-2</v>
      </c>
      <c r="K165" s="31">
        <v>2002.5833333338901</v>
      </c>
      <c r="L165" s="2">
        <v>0.66075346535748558</v>
      </c>
      <c r="M165" s="2">
        <v>9.2279999999999945E-2</v>
      </c>
      <c r="N165" s="2">
        <v>5.5731596319496257E-2</v>
      </c>
      <c r="P165" s="31">
        <v>2002.5833333338901</v>
      </c>
      <c r="Q165" s="2">
        <v>0.6460373636588419</v>
      </c>
      <c r="R165" s="2">
        <v>9.5850000000000463E-2</v>
      </c>
      <c r="S165" s="2">
        <v>4.8430506458533321E-2</v>
      </c>
      <c r="U165" s="2">
        <f t="shared" si="23"/>
        <v>0.60607763632932965</v>
      </c>
      <c r="V165" s="2">
        <f t="shared" si="24"/>
        <v>8.3210000000000076E-2</v>
      </c>
      <c r="W165" s="2">
        <f t="shared" si="25"/>
        <v>4.5205263565428894E-2</v>
      </c>
      <c r="Y165" s="31">
        <v>2002.5833333338901</v>
      </c>
      <c r="Z165" s="2">
        <v>-1.2885294490792225</v>
      </c>
      <c r="AA165" s="2">
        <v>-0.78876452892998183</v>
      </c>
      <c r="AB165" s="2">
        <v>-1.0063034824906862</v>
      </c>
      <c r="AD165" s="31">
        <v>2002.5833333338901</v>
      </c>
      <c r="AE165" s="2">
        <v>-0.8837397082859344</v>
      </c>
      <c r="AF165" s="2">
        <v>6.7241855071186282E-2</v>
      </c>
      <c r="AG165" s="2">
        <v>-0.1655708425631611</v>
      </c>
      <c r="AH165" s="31"/>
      <c r="AI165" s="31">
        <v>2002.5833333338901</v>
      </c>
      <c r="AJ165" s="2">
        <v>2.0242617693810201E-2</v>
      </c>
      <c r="AK165" s="2">
        <v>-4.4052846898962821E-2</v>
      </c>
      <c r="AL165" s="2">
        <v>0.28533883065846388</v>
      </c>
      <c r="AM165" s="31"/>
      <c r="AN165" s="2">
        <f t="shared" si="26"/>
        <v>-0.71734217989044902</v>
      </c>
      <c r="AO165" s="2">
        <f t="shared" si="19"/>
        <v>-0.25519184025258612</v>
      </c>
      <c r="AP165" s="2">
        <f t="shared" si="20"/>
        <v>-0.29551183146512783</v>
      </c>
      <c r="AQ165" s="31"/>
      <c r="AR165" s="31">
        <v>2002.5833333338901</v>
      </c>
      <c r="AS165" s="2">
        <v>-1.8032941417956756</v>
      </c>
      <c r="AT165" s="2">
        <v>-0.65870957567408583</v>
      </c>
      <c r="AU165" s="2">
        <v>-1.3029927654914821</v>
      </c>
      <c r="AV165" s="31"/>
      <c r="AW165" s="31">
        <v>2002.5833333338901</v>
      </c>
      <c r="AX165" s="2">
        <v>-1.2293037085588745</v>
      </c>
      <c r="AY165" s="2">
        <v>1.4464725573415451</v>
      </c>
      <c r="AZ165" s="2">
        <v>0.16513429782044398</v>
      </c>
      <c r="BA165" s="31"/>
      <c r="BB165" s="31">
        <v>2002.5833333338901</v>
      </c>
      <c r="BC165" s="2">
        <v>-0.52064321683176107</v>
      </c>
      <c r="BD165" s="2">
        <v>0.77441334649330551</v>
      </c>
      <c r="BE165" s="2">
        <v>-0.39114750066536402</v>
      </c>
      <c r="BG165" s="2">
        <f t="shared" si="27"/>
        <v>-1.1844136890621038</v>
      </c>
      <c r="BH165" s="2">
        <f t="shared" si="21"/>
        <v>0.52072544272025489</v>
      </c>
      <c r="BI165" s="2">
        <f t="shared" si="22"/>
        <v>-0.50966865611213408</v>
      </c>
    </row>
    <row r="166" spans="1:61" x14ac:dyDescent="0.3">
      <c r="A166" s="31">
        <v>2002.50000000056</v>
      </c>
      <c r="B166">
        <v>0.77253629475168484</v>
      </c>
      <c r="C166">
        <v>7.6000000000000512E-2</v>
      </c>
      <c r="D166">
        <v>5.871275840112844E-2</v>
      </c>
      <c r="F166" s="31">
        <v>2002.50000000056</v>
      </c>
      <c r="G166" s="2">
        <v>0.49803661267784455</v>
      </c>
      <c r="H166" s="2">
        <v>6.1499999999999798E-2</v>
      </c>
      <c r="I166" s="2">
        <v>3.0629251679687337E-2</v>
      </c>
      <c r="K166" s="31">
        <v>2002.50000000056</v>
      </c>
      <c r="L166" s="2">
        <v>0.70110619540494223</v>
      </c>
      <c r="M166" s="2">
        <v>6.1514999999999952E-2</v>
      </c>
      <c r="N166" s="2">
        <v>4.3125048638012052E-2</v>
      </c>
      <c r="P166" s="31">
        <v>2002.50000000056</v>
      </c>
      <c r="Q166" s="2">
        <v>0.61953348573081635</v>
      </c>
      <c r="R166" s="2">
        <v>9.5850000000000463E-2</v>
      </c>
      <c r="S166" s="2">
        <v>5.0686619722273112E-2</v>
      </c>
      <c r="U166" s="2">
        <f t="shared" si="23"/>
        <v>0.6062254312712011</v>
      </c>
      <c r="V166" s="2">
        <f t="shared" si="24"/>
        <v>7.2955000000000075E-2</v>
      </c>
      <c r="W166" s="2">
        <f t="shared" si="25"/>
        <v>4.1480306679990836E-2</v>
      </c>
      <c r="Y166" s="31">
        <v>2002.50000000056</v>
      </c>
      <c r="Z166" s="2">
        <v>-1.366255369849926</v>
      </c>
      <c r="AA166" s="2">
        <v>-0.78876452892998272</v>
      </c>
      <c r="AB166" s="2">
        <v>-1.0252772551679739</v>
      </c>
      <c r="AD166" s="31">
        <v>2002.50000000056</v>
      </c>
      <c r="AE166" s="2">
        <v>-0.64361043038586507</v>
      </c>
      <c r="AF166" s="2">
        <v>-0.68622224125583742</v>
      </c>
      <c r="AG166" s="2">
        <v>-0.64493242832356834</v>
      </c>
      <c r="AH166" s="31"/>
      <c r="AI166" s="31">
        <v>2002.50000000056</v>
      </c>
      <c r="AJ166" s="2">
        <v>0.23423721337009057</v>
      </c>
      <c r="AK166" s="2">
        <v>-4.4052846898962821E-2</v>
      </c>
      <c r="AL166" s="2">
        <v>0.46767308683284148</v>
      </c>
      <c r="AM166" s="31"/>
      <c r="AN166" s="2">
        <f t="shared" si="26"/>
        <v>-0.59187619562190019</v>
      </c>
      <c r="AO166" s="2">
        <f t="shared" si="19"/>
        <v>-0.50634653902826099</v>
      </c>
      <c r="AP166" s="2">
        <f t="shared" si="20"/>
        <v>-0.40084553221956692</v>
      </c>
      <c r="AQ166" s="31"/>
      <c r="AR166" s="31">
        <v>2002.50000000056</v>
      </c>
      <c r="AS166" s="2">
        <v>-0.80743756009519285</v>
      </c>
      <c r="AT166" s="2">
        <v>-2.3130098149133811E-2</v>
      </c>
      <c r="AU166" s="2">
        <v>-0.80549328683875754</v>
      </c>
      <c r="AV166" s="31"/>
      <c r="AW166" s="31">
        <v>2002.50000000056</v>
      </c>
      <c r="AX166" s="2">
        <v>-0.46591009109569592</v>
      </c>
      <c r="AY166" s="2">
        <v>-0.10780241638246968</v>
      </c>
      <c r="AZ166" s="2">
        <v>-0.465909564659372</v>
      </c>
      <c r="BA166" s="31"/>
      <c r="BB166" s="31">
        <v>2002.50000000056</v>
      </c>
      <c r="BC166" s="2">
        <v>-0.28537318603499151</v>
      </c>
      <c r="BD166" s="2">
        <v>1.239044249941025</v>
      </c>
      <c r="BE166" s="2">
        <v>0.40537878958786544</v>
      </c>
      <c r="BG166" s="2">
        <f t="shared" si="27"/>
        <v>-0.51957361240862676</v>
      </c>
      <c r="BH166" s="2">
        <f t="shared" si="21"/>
        <v>0.36937057846980714</v>
      </c>
      <c r="BI166" s="2">
        <f t="shared" si="22"/>
        <v>-0.28867468730342138</v>
      </c>
    </row>
    <row r="167" spans="1:61" x14ac:dyDescent="0.3">
      <c r="A167" s="31">
        <v>2002.4166666672299</v>
      </c>
      <c r="B167">
        <v>0.73112328624835554</v>
      </c>
      <c r="C167">
        <v>0.19760000000000133</v>
      </c>
      <c r="D167">
        <v>0.14446996136267604</v>
      </c>
      <c r="F167" s="31">
        <v>2002.4166666672299</v>
      </c>
      <c r="G167" s="2">
        <v>0.50188863464378963</v>
      </c>
      <c r="H167" s="2">
        <v>0.24599999999999939</v>
      </c>
      <c r="I167" s="2">
        <v>0.12346460412237195</v>
      </c>
      <c r="K167" s="31">
        <v>2002.4166666672299</v>
      </c>
      <c r="L167" s="2">
        <v>0.69865326018815033</v>
      </c>
      <c r="M167" s="2">
        <v>0.1537949999999999</v>
      </c>
      <c r="N167" s="2">
        <v>7.1172141301887343E-2</v>
      </c>
      <c r="P167" s="31">
        <v>2002.4166666672299</v>
      </c>
      <c r="Q167" s="2">
        <v>0.60086542038773216</v>
      </c>
      <c r="R167" s="2">
        <v>0.16775000000000076</v>
      </c>
      <c r="S167" s="2">
        <v>4.9735248738918783E-2</v>
      </c>
      <c r="U167" s="2">
        <f t="shared" si="23"/>
        <v>0.60046910507322404</v>
      </c>
      <c r="V167" s="2">
        <f t="shared" si="24"/>
        <v>0.18918166666666666</v>
      </c>
      <c r="W167" s="2">
        <f t="shared" si="25"/>
        <v>8.1457331387726026E-2</v>
      </c>
      <c r="Y167" s="31">
        <v>2002.4166666672299</v>
      </c>
      <c r="Z167" s="2">
        <v>-1.3439210529947312</v>
      </c>
      <c r="AA167" s="2">
        <v>2.8140144362030601</v>
      </c>
      <c r="AB167" s="2">
        <v>1.1112577383921416</v>
      </c>
      <c r="AD167" s="31">
        <v>2002.4166666672299</v>
      </c>
      <c r="AE167" s="2">
        <v>-0.65820725101364352</v>
      </c>
      <c r="AF167" s="2">
        <v>1.573802683465688</v>
      </c>
      <c r="AG167" s="2">
        <v>0.42155295332228621</v>
      </c>
      <c r="AH167" s="31"/>
      <c r="AI167" s="31">
        <v>2002.4166666672299</v>
      </c>
      <c r="AJ167" s="2">
        <v>0.14730455672043874</v>
      </c>
      <c r="AK167" s="2">
        <v>1.6693262822256021</v>
      </c>
      <c r="AL167" s="2">
        <v>0.39078531555656543</v>
      </c>
      <c r="AM167" s="31"/>
      <c r="AN167" s="2">
        <f t="shared" si="26"/>
        <v>-0.61827458242931199</v>
      </c>
      <c r="AO167" s="2">
        <f t="shared" si="19"/>
        <v>2.0190478006314501</v>
      </c>
      <c r="AP167" s="2">
        <f t="shared" si="20"/>
        <v>0.64119866909033107</v>
      </c>
      <c r="AQ167" s="31"/>
      <c r="AR167" s="31">
        <v>2002.4166666672299</v>
      </c>
      <c r="AS167" s="2">
        <v>-1.9026762835073165</v>
      </c>
      <c r="AT167" s="2">
        <v>1.6401497265564979</v>
      </c>
      <c r="AU167" s="2">
        <v>-0.40847727046701321</v>
      </c>
      <c r="AV167" s="31"/>
      <c r="AW167" s="31">
        <v>2002.4166666672299</v>
      </c>
      <c r="AX167" s="2">
        <v>-1.0812430225919309</v>
      </c>
      <c r="AY167" s="2">
        <v>0.24857417332271592</v>
      </c>
      <c r="AZ167" s="2">
        <v>-0.45965583333129906</v>
      </c>
      <c r="BA167" s="31"/>
      <c r="BB167" s="31">
        <v>2002.4166666672299</v>
      </c>
      <c r="BC167" s="2">
        <v>-0.59204723745058363</v>
      </c>
      <c r="BD167" s="2">
        <v>0.21308645383215588</v>
      </c>
      <c r="BE167" s="2">
        <v>-0.53639203344755237</v>
      </c>
      <c r="BG167" s="2">
        <f t="shared" si="27"/>
        <v>-1.1919888478499436</v>
      </c>
      <c r="BH167" s="2">
        <f t="shared" si="21"/>
        <v>0.70060345123712331</v>
      </c>
      <c r="BI167" s="2">
        <f t="shared" si="22"/>
        <v>-0.46817504574862157</v>
      </c>
    </row>
    <row r="168" spans="1:61" x14ac:dyDescent="0.3">
      <c r="A168" s="31">
        <v>2002.3333333339001</v>
      </c>
      <c r="B168">
        <v>0.66822117760632926</v>
      </c>
      <c r="C168">
        <v>0.19760000000000133</v>
      </c>
      <c r="D168">
        <v>0.13204050469501155</v>
      </c>
      <c r="F168" s="31">
        <v>2002.3333333339001</v>
      </c>
      <c r="G168" s="2">
        <v>0.44689864852484207</v>
      </c>
      <c r="H168" s="2">
        <v>0.24599999999999939</v>
      </c>
      <c r="I168" s="2">
        <v>0.10993706753711088</v>
      </c>
      <c r="K168" s="31">
        <v>2002.3333333339001</v>
      </c>
      <c r="L168" s="2">
        <v>0.67107838654998875</v>
      </c>
      <c r="M168" s="2">
        <v>9.2279999999999945E-2</v>
      </c>
      <c r="N168" s="2">
        <v>5.537083575058277E-2</v>
      </c>
      <c r="P168" s="31">
        <v>2002.3333333339001</v>
      </c>
      <c r="Q168" s="2">
        <v>0.58865892154891664</v>
      </c>
      <c r="R168" s="2">
        <v>0.14380000000000059</v>
      </c>
      <c r="S168" s="2">
        <v>4.5297843796193095E-2</v>
      </c>
      <c r="U168" s="2">
        <f t="shared" si="23"/>
        <v>0.56887865220791578</v>
      </c>
      <c r="V168" s="2">
        <f t="shared" si="24"/>
        <v>0.16069333333333333</v>
      </c>
      <c r="W168" s="2">
        <f t="shared" si="25"/>
        <v>7.0201915694628914E-2</v>
      </c>
      <c r="Y168" s="31">
        <v>2002.3333333339001</v>
      </c>
      <c r="Z168" s="2">
        <v>-1.66275718235777</v>
      </c>
      <c r="AA168" s="2">
        <v>2.8140144362030601</v>
      </c>
      <c r="AB168" s="2">
        <v>0.79993177763900347</v>
      </c>
      <c r="AD168" s="31">
        <v>2002.3333333339001</v>
      </c>
      <c r="AE168" s="2">
        <v>-0.82229861452560837</v>
      </c>
      <c r="AF168" s="2">
        <v>6.7241855071186282E-2</v>
      </c>
      <c r="AG168" s="2">
        <v>-0.17928869480657844</v>
      </c>
      <c r="AH168" s="31"/>
      <c r="AI168" s="31">
        <v>2002.3333333339001</v>
      </c>
      <c r="AJ168" s="2">
        <v>-0.22666187486289832</v>
      </c>
      <c r="AK168" s="2">
        <v>1.0985970730109507</v>
      </c>
      <c r="AL168" s="2">
        <v>3.216372391039736E-2</v>
      </c>
      <c r="AM168" s="31"/>
      <c r="AN168" s="2">
        <f t="shared" si="26"/>
        <v>-0.90390589058209214</v>
      </c>
      <c r="AO168" s="2">
        <f t="shared" si="19"/>
        <v>1.3266177880950656</v>
      </c>
      <c r="AP168" s="2">
        <f t="shared" si="20"/>
        <v>0.21760226891427412</v>
      </c>
      <c r="AQ168" s="31"/>
      <c r="AR168" s="31">
        <v>2002.3333333339001</v>
      </c>
      <c r="AS168" s="2">
        <v>-2.0171226816237775</v>
      </c>
      <c r="AT168" s="2">
        <v>1.8010929534953479</v>
      </c>
      <c r="AU168" s="2">
        <v>-0.12131021478147558</v>
      </c>
      <c r="AV168" s="31"/>
      <c r="AW168" s="31">
        <v>2002.3333333339001</v>
      </c>
      <c r="AX168" s="2">
        <v>-0.93082106200767611</v>
      </c>
      <c r="AY168" s="2">
        <v>-0.6032299022146953</v>
      </c>
      <c r="AZ168" s="2">
        <v>-0.49097358550924164</v>
      </c>
      <c r="BA168" s="31"/>
      <c r="BB168" s="31">
        <v>2002.3333333339001</v>
      </c>
      <c r="BC168" s="2">
        <v>-0.52600036810094086</v>
      </c>
      <c r="BD168" s="2">
        <v>0.38139101458033026</v>
      </c>
      <c r="BE168" s="2">
        <v>-0.38787849371681105</v>
      </c>
      <c r="BG168" s="2">
        <f t="shared" si="27"/>
        <v>-1.1579813705774649</v>
      </c>
      <c r="BH168" s="2">
        <f t="shared" si="21"/>
        <v>0.52641802195366094</v>
      </c>
      <c r="BI168" s="2">
        <f t="shared" si="22"/>
        <v>-0.33338743133584275</v>
      </c>
    </row>
    <row r="169" spans="1:61" x14ac:dyDescent="0.3">
      <c r="A169" s="31">
        <v>2002.25000000057</v>
      </c>
      <c r="B169">
        <v>0.66485661477092939</v>
      </c>
      <c r="C169">
        <v>0.18240000000000123</v>
      </c>
      <c r="D169">
        <v>0.12126984653421834</v>
      </c>
      <c r="F169" s="31">
        <v>2002.25000000057</v>
      </c>
      <c r="G169" s="2">
        <v>0.48059454932392276</v>
      </c>
      <c r="H169" s="2">
        <v>0.24599999999999939</v>
      </c>
      <c r="I169" s="2">
        <v>0.11822625913368473</v>
      </c>
      <c r="K169" s="31">
        <v>2002.25000000057</v>
      </c>
      <c r="L169" s="2">
        <v>0.67473045165759404</v>
      </c>
      <c r="M169" s="2">
        <v>0.12304499999999996</v>
      </c>
      <c r="N169" s="2">
        <v>7.2286776296589028E-2</v>
      </c>
      <c r="P169" s="31">
        <v>2002.25000000057</v>
      </c>
      <c r="Q169" s="2">
        <v>0.57881803937874077</v>
      </c>
      <c r="R169" s="2">
        <v>0.16775000000000076</v>
      </c>
      <c r="S169" s="2">
        <v>4.1719575727191496E-2</v>
      </c>
      <c r="U169" s="2">
        <f t="shared" si="23"/>
        <v>0.57804768012008589</v>
      </c>
      <c r="V169" s="2">
        <f t="shared" si="24"/>
        <v>0.17893166666666671</v>
      </c>
      <c r="W169" s="2">
        <f t="shared" si="25"/>
        <v>7.7410870385821742E-2</v>
      </c>
      <c r="Y169" s="31">
        <v>2002.25000000057</v>
      </c>
      <c r="Z169" s="2">
        <v>-1.4673857821369942</v>
      </c>
      <c r="AA169" s="2">
        <v>2.8140144362030601</v>
      </c>
      <c r="AB169" s="2">
        <v>0.99070121458748162</v>
      </c>
      <c r="AD169" s="31">
        <v>2002.25000000057</v>
      </c>
      <c r="AE169" s="2">
        <v>-0.80056606368947048</v>
      </c>
      <c r="AF169" s="2">
        <v>0.82070595139821056</v>
      </c>
      <c r="AG169" s="2">
        <v>0.4639367376940387</v>
      </c>
      <c r="AH169" s="31"/>
      <c r="AI169" s="31">
        <v>2002.25000000057</v>
      </c>
      <c r="AJ169" s="2">
        <v>-0.47628040787714343</v>
      </c>
      <c r="AK169" s="2">
        <v>1.6693262822256021</v>
      </c>
      <c r="AL169" s="2">
        <v>-0.25702426023913522</v>
      </c>
      <c r="AM169" s="31"/>
      <c r="AN169" s="2">
        <f t="shared" si="26"/>
        <v>-0.91474408456786938</v>
      </c>
      <c r="AO169" s="2">
        <f t="shared" si="19"/>
        <v>1.7680155566089575</v>
      </c>
      <c r="AP169" s="2">
        <f t="shared" si="20"/>
        <v>0.3992045640141284</v>
      </c>
      <c r="AQ169" s="31"/>
      <c r="AR169" s="31">
        <v>2002.25000000057</v>
      </c>
      <c r="AS169" s="2">
        <v>-1.6023364249853189</v>
      </c>
      <c r="AT169" s="2">
        <v>1.9841392062377605</v>
      </c>
      <c r="AU169" s="2">
        <v>0.18100919419068864</v>
      </c>
      <c r="AV169" s="31"/>
      <c r="AW169" s="31">
        <v>2002.25000000057</v>
      </c>
      <c r="AX169" s="2">
        <v>-0.75770281098432024</v>
      </c>
      <c r="AY169" s="2">
        <v>-0.13019391200415875</v>
      </c>
      <c r="AZ169" s="2">
        <v>-0.14439699307519252</v>
      </c>
      <c r="BA169" s="31"/>
      <c r="BB169" s="31">
        <v>2002.25000000057</v>
      </c>
      <c r="BC169" s="2">
        <v>-0.24230654043697572</v>
      </c>
      <c r="BD169" s="2">
        <v>0.57692863282771223</v>
      </c>
      <c r="BE169" s="2">
        <v>-0.29329603260697634</v>
      </c>
      <c r="BG169" s="2">
        <f t="shared" si="27"/>
        <v>-0.86744859213553838</v>
      </c>
      <c r="BH169" s="2">
        <f t="shared" si="21"/>
        <v>0.810291309020438</v>
      </c>
      <c r="BI169" s="2">
        <f t="shared" si="22"/>
        <v>-8.5561277163826735E-2</v>
      </c>
    </row>
    <row r="170" spans="1:61" x14ac:dyDescent="0.3">
      <c r="A170" s="31">
        <v>2002.16666666724</v>
      </c>
      <c r="B170">
        <v>0.61382659155957919</v>
      </c>
      <c r="C170">
        <v>0.19760000000000133</v>
      </c>
      <c r="D170">
        <v>0.12129213449217366</v>
      </c>
      <c r="F170" s="31">
        <v>2002.16666666724</v>
      </c>
      <c r="G170" s="2">
        <v>0.4899505093650221</v>
      </c>
      <c r="H170" s="2">
        <v>0.24599999999999939</v>
      </c>
      <c r="I170" s="2">
        <v>0.12052782530379515</v>
      </c>
      <c r="K170" s="31">
        <v>2002.16666666724</v>
      </c>
      <c r="L170" s="2">
        <v>0.68059952349095809</v>
      </c>
      <c r="M170" s="2">
        <v>9.2279999999999945E-2</v>
      </c>
      <c r="N170" s="2">
        <v>5.8772702829066395E-2</v>
      </c>
      <c r="P170" s="31">
        <v>2002.16666666724</v>
      </c>
      <c r="Q170" s="2">
        <v>0.63474082994351599</v>
      </c>
      <c r="R170" s="2">
        <v>9.5850000000000463E-2</v>
      </c>
      <c r="S170" s="2">
        <v>4.014338312413674E-2</v>
      </c>
      <c r="U170" s="2">
        <f t="shared" si="23"/>
        <v>0.60176362093316538</v>
      </c>
      <c r="V170" s="2">
        <f t="shared" si="24"/>
        <v>0.14470999999999992</v>
      </c>
      <c r="W170" s="2">
        <f t="shared" si="25"/>
        <v>7.3147970418999439E-2</v>
      </c>
      <c r="Y170" s="31">
        <v>2002.16666666724</v>
      </c>
      <c r="Z170" s="2">
        <v>-1.4131392129611651</v>
      </c>
      <c r="AA170" s="2">
        <v>2.8140144362030601</v>
      </c>
      <c r="AB170" s="2">
        <v>1.0436700086195931</v>
      </c>
      <c r="AD170" s="31">
        <v>2002.16666666724</v>
      </c>
      <c r="AE170" s="2">
        <v>-0.76564064526965359</v>
      </c>
      <c r="AF170" s="2">
        <v>6.7241855071186282E-2</v>
      </c>
      <c r="AG170" s="2">
        <v>-4.9933344040472061E-2</v>
      </c>
      <c r="AH170" s="31"/>
      <c r="AI170" s="31">
        <v>2002.16666666724</v>
      </c>
      <c r="AJ170" s="2">
        <v>-0.58450464059608509</v>
      </c>
      <c r="AK170" s="2">
        <v>-4.4052846898962821E-2</v>
      </c>
      <c r="AL170" s="2">
        <v>-0.3844087805487022</v>
      </c>
      <c r="AM170" s="31"/>
      <c r="AN170" s="2">
        <f t="shared" si="26"/>
        <v>-0.92109483294230132</v>
      </c>
      <c r="AO170" s="2">
        <f t="shared" si="19"/>
        <v>0.94573448145842776</v>
      </c>
      <c r="AP170" s="2">
        <f t="shared" si="20"/>
        <v>0.20310929467680627</v>
      </c>
      <c r="AQ170" s="31"/>
      <c r="AR170" s="31">
        <v>2002.16666666724</v>
      </c>
      <c r="AS170" s="2">
        <v>-1.1694977670175875</v>
      </c>
      <c r="AT170" s="2">
        <v>2.0747602001024963</v>
      </c>
      <c r="AU170" s="2">
        <v>0.5759346009570695</v>
      </c>
      <c r="AV170" s="31"/>
      <c r="AW170" s="31">
        <v>2002.16666666724</v>
      </c>
      <c r="AX170" s="2">
        <v>-0.57096093353048216</v>
      </c>
      <c r="AY170" s="2">
        <v>-0.48198869008051998</v>
      </c>
      <c r="AZ170" s="2">
        <v>-0.20530864267200813</v>
      </c>
      <c r="BA170" s="31"/>
      <c r="BB170" s="31">
        <v>2002.16666666724</v>
      </c>
      <c r="BC170" s="2">
        <v>-7.8239603292570761E-3</v>
      </c>
      <c r="BD170" s="2">
        <v>-0.34847073798484229</v>
      </c>
      <c r="BE170" s="2">
        <v>5.7437847910537208E-2</v>
      </c>
      <c r="BG170" s="2">
        <f t="shared" si="27"/>
        <v>-0.58276088695910888</v>
      </c>
      <c r="BH170" s="2">
        <f t="shared" si="21"/>
        <v>0.41476692401237797</v>
      </c>
      <c r="BI170" s="2">
        <f t="shared" si="22"/>
        <v>0.14268793539853286</v>
      </c>
    </row>
    <row r="171" spans="1:61" x14ac:dyDescent="0.3">
      <c r="A171" s="31">
        <v>2002.0833333339101</v>
      </c>
      <c r="B171">
        <v>0.56662444637195442</v>
      </c>
      <c r="C171">
        <v>4.5600000000000307E-2</v>
      </c>
      <c r="D171">
        <v>2.5838074754561294E-2</v>
      </c>
      <c r="F171" s="31">
        <v>2002.0833333339101</v>
      </c>
      <c r="G171" s="2">
        <v>0.44806496377375904</v>
      </c>
      <c r="H171" s="2">
        <v>9.2249999999999749E-2</v>
      </c>
      <c r="I171" s="2">
        <v>4.0272087429959726E-2</v>
      </c>
      <c r="K171" s="31">
        <v>2002.0833333339101</v>
      </c>
      <c r="L171" s="2">
        <v>0.67708731885443141</v>
      </c>
      <c r="M171" s="2">
        <v>6.1514999999999952E-2</v>
      </c>
      <c r="N171" s="2">
        <v>4.1649586765004826E-2</v>
      </c>
      <c r="P171" s="31">
        <v>2002.0833333339101</v>
      </c>
      <c r="Q171" s="2">
        <v>0.57480290086379482</v>
      </c>
      <c r="R171" s="2">
        <v>9.5850000000000463E-2</v>
      </c>
      <c r="S171" s="2">
        <v>3.9289741686144561E-2</v>
      </c>
      <c r="U171" s="2">
        <f t="shared" si="23"/>
        <v>0.56665172783066176</v>
      </c>
      <c r="V171" s="2">
        <f t="shared" si="24"/>
        <v>8.3205000000000057E-2</v>
      </c>
      <c r="W171" s="2">
        <f t="shared" si="25"/>
        <v>4.0403805293703042E-2</v>
      </c>
      <c r="Y171" s="31">
        <v>2002.0833333339101</v>
      </c>
      <c r="Z171" s="2">
        <v>-1.6559947976796323</v>
      </c>
      <c r="AA171" s="2">
        <v>-0.1883013680744752</v>
      </c>
      <c r="AB171" s="2">
        <v>-0.8033547280754092</v>
      </c>
      <c r="AD171" s="31">
        <v>2002.0833333339101</v>
      </c>
      <c r="AE171" s="2">
        <v>-0.78654092047320412</v>
      </c>
      <c r="AF171" s="2">
        <v>-0.68622224125583742</v>
      </c>
      <c r="AG171" s="2">
        <v>-0.70103658634080079</v>
      </c>
      <c r="AH171" s="31"/>
      <c r="AI171" s="31">
        <v>2002.0833333339101</v>
      </c>
      <c r="AJ171" s="2">
        <v>-0.64563112630393515</v>
      </c>
      <c r="AK171" s="2">
        <v>-4.4052846898962821E-2</v>
      </c>
      <c r="AL171" s="2">
        <v>-0.45339825866467404</v>
      </c>
      <c r="AM171" s="31"/>
      <c r="AN171" s="2">
        <f t="shared" si="26"/>
        <v>-1.0293889481522571</v>
      </c>
      <c r="AO171" s="2">
        <f t="shared" si="19"/>
        <v>-0.30619215207642514</v>
      </c>
      <c r="AP171" s="2">
        <f t="shared" si="20"/>
        <v>-0.65259652436029469</v>
      </c>
      <c r="AQ171" s="31"/>
      <c r="AR171" s="31">
        <v>2002.0833333339101</v>
      </c>
      <c r="AS171" s="2">
        <v>-1.538565241149596</v>
      </c>
      <c r="AT171" s="2">
        <v>0.50956041230593607</v>
      </c>
      <c r="AU171" s="2">
        <v>-0.68714493396548637</v>
      </c>
      <c r="AV171" s="31"/>
      <c r="AW171" s="31">
        <v>2002.0833333339101</v>
      </c>
      <c r="AX171" s="2">
        <v>-0.51534285435416083</v>
      </c>
      <c r="AY171" s="2">
        <v>-0.87038484719517628</v>
      </c>
      <c r="AZ171" s="2">
        <v>-0.87050422366231039</v>
      </c>
      <c r="BA171" s="31"/>
      <c r="BB171" s="31">
        <v>2002.0833333339101</v>
      </c>
      <c r="BC171" s="2">
        <v>3.8645158453878746E-2</v>
      </c>
      <c r="BD171" s="2">
        <v>-1.4615836317459097E-2</v>
      </c>
      <c r="BE171" s="2">
        <v>-0.10490717668612037</v>
      </c>
      <c r="BG171" s="2">
        <f t="shared" si="27"/>
        <v>-0.6717543123499593</v>
      </c>
      <c r="BH171" s="2">
        <f t="shared" si="21"/>
        <v>-0.12514675706889977</v>
      </c>
      <c r="BI171" s="2">
        <f t="shared" si="22"/>
        <v>-0.55418544477130571</v>
      </c>
    </row>
    <row r="172" spans="1:61" x14ac:dyDescent="0.3">
      <c r="A172" s="31">
        <v>2002.00000000058</v>
      </c>
      <c r="B172">
        <v>0.62638204352092552</v>
      </c>
      <c r="C172">
        <v>3.0400000000000205E-2</v>
      </c>
      <c r="D172">
        <v>1.9042014123036265E-2</v>
      </c>
      <c r="F172" s="31">
        <v>2002.00000000058</v>
      </c>
      <c r="G172" s="2">
        <v>0.46951508505584083</v>
      </c>
      <c r="H172" s="2">
        <v>6.1499999999999846E-2</v>
      </c>
      <c r="I172" s="2">
        <v>2.8875177730934141E-2</v>
      </c>
      <c r="K172" s="31">
        <v>2002.00000000058</v>
      </c>
      <c r="L172" s="2">
        <v>0.66972077263517771</v>
      </c>
      <c r="M172" s="2">
        <v>6.1514999999999952E-2</v>
      </c>
      <c r="N172" s="2">
        <v>4.1196872523368018E-2</v>
      </c>
      <c r="P172" s="31">
        <v>2002.00000000058</v>
      </c>
      <c r="Q172" s="2">
        <v>0.63938236832473561</v>
      </c>
      <c r="R172" s="2">
        <v>7.1900000000000297E-2</v>
      </c>
      <c r="S172" s="2">
        <v>4.0331574100455125E-2</v>
      </c>
      <c r="U172" s="2">
        <f t="shared" si="23"/>
        <v>0.59287274200525142</v>
      </c>
      <c r="V172" s="2">
        <f t="shared" si="24"/>
        <v>6.4971666666666705E-2</v>
      </c>
      <c r="W172" s="2">
        <f t="shared" si="25"/>
        <v>3.6801208118252431E-2</v>
      </c>
      <c r="Y172" s="31">
        <v>2002.00000000058</v>
      </c>
      <c r="Z172" s="2">
        <v>-1.5316253601396181</v>
      </c>
      <c r="AA172" s="2">
        <v>-0.78876452892998183</v>
      </c>
      <c r="AB172" s="2">
        <v>-1.0656459323388514</v>
      </c>
      <c r="AD172" s="31">
        <v>2002.00000000058</v>
      </c>
      <c r="AE172" s="2">
        <v>-0.83037744459849983</v>
      </c>
      <c r="AF172" s="2">
        <v>-0.68622224125583742</v>
      </c>
      <c r="AG172" s="2">
        <v>-0.7182509595578298</v>
      </c>
      <c r="AH172" s="31"/>
      <c r="AI172" s="31">
        <v>2002.00000000058</v>
      </c>
      <c r="AJ172" s="2">
        <v>-0.54194368024243145</v>
      </c>
      <c r="AK172" s="2">
        <v>-0.61478205611361436</v>
      </c>
      <c r="AL172" s="2">
        <v>-0.36919958771373634</v>
      </c>
      <c r="AM172" s="31"/>
      <c r="AN172" s="2">
        <f t="shared" si="26"/>
        <v>-0.96798216166018314</v>
      </c>
      <c r="AO172" s="2">
        <f t="shared" si="19"/>
        <v>-0.69658960876647791</v>
      </c>
      <c r="AP172" s="2">
        <f t="shared" si="20"/>
        <v>-0.71769882653680594</v>
      </c>
      <c r="AQ172" s="31"/>
      <c r="AR172" s="31">
        <v>2002.00000000058</v>
      </c>
      <c r="AS172" s="2">
        <v>-0.83786961036199881</v>
      </c>
      <c r="AT172" s="2">
        <v>-0.29853293598826575</v>
      </c>
      <c r="AU172" s="2">
        <v>-0.97858876206626744</v>
      </c>
      <c r="AV172" s="31"/>
      <c r="AW172" s="31">
        <v>2002.00000000058</v>
      </c>
      <c r="AX172" s="2">
        <v>-0.39205461611205028</v>
      </c>
      <c r="AY172" s="2">
        <v>-0.21981065223360952</v>
      </c>
      <c r="AZ172" s="2">
        <v>-0.44343233620037714</v>
      </c>
      <c r="BA172" s="31"/>
      <c r="BB172" s="31">
        <v>2002.00000000058</v>
      </c>
      <c r="BC172" s="2">
        <v>1.6497168227569019E-2</v>
      </c>
      <c r="BD172" s="2">
        <v>-9.3919208556921333E-2</v>
      </c>
      <c r="BE172" s="2">
        <v>0.25708867832387533</v>
      </c>
      <c r="BG172" s="2">
        <f t="shared" si="27"/>
        <v>-0.40447568608216006</v>
      </c>
      <c r="BH172" s="2">
        <f t="shared" si="21"/>
        <v>-0.20408759892626552</v>
      </c>
      <c r="BI172" s="2">
        <f t="shared" si="22"/>
        <v>-0.38831080664758977</v>
      </c>
    </row>
    <row r="173" spans="1:61" x14ac:dyDescent="0.3">
      <c r="A173" s="31">
        <v>2001.91666666725</v>
      </c>
      <c r="B173">
        <v>0.71194080997677689</v>
      </c>
      <c r="C173">
        <v>4.5600000000000307E-2</v>
      </c>
      <c r="D173">
        <v>3.2464500934941243E-2</v>
      </c>
      <c r="F173" s="31">
        <v>2001.91666666725</v>
      </c>
      <c r="G173" s="2">
        <v>0.46797641238262611</v>
      </c>
      <c r="H173" s="2">
        <v>6.1499999999999798E-2</v>
      </c>
      <c r="I173" s="2">
        <v>2.8780549361531411E-2</v>
      </c>
      <c r="K173" s="31">
        <v>2001.91666666725</v>
      </c>
      <c r="L173" s="2">
        <v>0.64867937064190562</v>
      </c>
      <c r="M173" s="2">
        <v>9.2264999999999903E-2</v>
      </c>
      <c r="N173" s="2">
        <v>3.9902839373922888E-2</v>
      </c>
      <c r="P173" s="31">
        <v>2001.91666666725</v>
      </c>
      <c r="Q173" s="2">
        <v>0.72860192085616227</v>
      </c>
      <c r="R173" s="2">
        <v>4.7900000000000303E-2</v>
      </c>
      <c r="S173" s="2">
        <v>3.2872910598105043E-2</v>
      </c>
      <c r="U173" s="2">
        <f t="shared" si="23"/>
        <v>0.61508590129356466</v>
      </c>
      <c r="V173" s="2">
        <f t="shared" si="24"/>
        <v>6.7221666666666666E-2</v>
      </c>
      <c r="W173" s="2">
        <f t="shared" si="25"/>
        <v>3.3852099777853112E-2</v>
      </c>
      <c r="Y173" s="31">
        <v>2001.91666666725</v>
      </c>
      <c r="Z173" s="2">
        <v>-1.5405467015348184</v>
      </c>
      <c r="AA173" s="2">
        <v>-0.78876452892998272</v>
      </c>
      <c r="AB173" s="2">
        <v>-1.0678237322533537</v>
      </c>
      <c r="AD173" s="31">
        <v>2001.91666666725</v>
      </c>
      <c r="AE173" s="2">
        <v>-0.95558970807379251</v>
      </c>
      <c r="AF173" s="2">
        <v>6.6874490811640125E-2</v>
      </c>
      <c r="AG173" s="2">
        <v>-0.76745632475512549</v>
      </c>
      <c r="AH173" s="31"/>
      <c r="AI173" s="31">
        <v>2001.91666666725</v>
      </c>
      <c r="AJ173" s="2">
        <v>0.12215356704913631</v>
      </c>
      <c r="AK173" s="2">
        <v>-1.186702766808877</v>
      </c>
      <c r="AL173" s="2">
        <v>-0.97199284442357869</v>
      </c>
      <c r="AM173" s="31"/>
      <c r="AN173" s="2">
        <f t="shared" si="26"/>
        <v>-0.79132761418649145</v>
      </c>
      <c r="AO173" s="2">
        <f t="shared" si="19"/>
        <v>-0.63619760164240657</v>
      </c>
      <c r="AP173" s="2">
        <f t="shared" si="20"/>
        <v>-0.935757633810686</v>
      </c>
      <c r="AQ173" s="31"/>
      <c r="AR173" s="31">
        <v>2001.91666666725</v>
      </c>
      <c r="AS173" s="2">
        <v>-1.3379115566501012</v>
      </c>
      <c r="AT173" s="2">
        <v>-0.68444756444045463</v>
      </c>
      <c r="AU173" s="2">
        <v>-1.2203366674362033</v>
      </c>
      <c r="AV173" s="31"/>
      <c r="AW173" s="31">
        <v>2001.91666666725</v>
      </c>
      <c r="AX173" s="2">
        <v>-0.66452486905905928</v>
      </c>
      <c r="AY173" s="2">
        <v>1.05652496446128</v>
      </c>
      <c r="AZ173" s="2">
        <v>-0.75207726088219262</v>
      </c>
      <c r="BA173" s="31"/>
      <c r="BB173" s="31">
        <v>2001.91666666725</v>
      </c>
      <c r="BC173" s="2">
        <v>0.64551522003746342</v>
      </c>
      <c r="BD173" s="2">
        <v>-1.7765123716427775</v>
      </c>
      <c r="BE173" s="2">
        <v>-0.79099420079147997</v>
      </c>
      <c r="BG173" s="2">
        <f t="shared" si="27"/>
        <v>-0.45230706855723235</v>
      </c>
      <c r="BH173" s="2">
        <f t="shared" si="21"/>
        <v>-0.46814499054065073</v>
      </c>
      <c r="BI173" s="2">
        <f t="shared" si="22"/>
        <v>-0.92113604303662522</v>
      </c>
    </row>
    <row r="174" spans="1:61" x14ac:dyDescent="0.3">
      <c r="A174" s="31">
        <v>2001.8333333339201</v>
      </c>
      <c r="B174">
        <v>0.77903522345843967</v>
      </c>
      <c r="C174">
        <v>3.0400000000000205E-2</v>
      </c>
      <c r="D174">
        <v>2.3682670793136726E-2</v>
      </c>
      <c r="F174" s="31">
        <v>2001.8333333339201</v>
      </c>
      <c r="G174" s="2">
        <v>0.52605872433936463</v>
      </c>
      <c r="H174" s="2">
        <v>6.1499999999999846E-2</v>
      </c>
      <c r="I174" s="2">
        <v>3.2352611546870844E-2</v>
      </c>
      <c r="K174" s="31">
        <v>2001.8333333339201</v>
      </c>
      <c r="L174" s="2">
        <v>0.63756646902160519</v>
      </c>
      <c r="M174" s="2">
        <v>6.1514999999999952E-2</v>
      </c>
      <c r="N174" s="2">
        <v>3.921921459586597E-2</v>
      </c>
      <c r="P174" s="31">
        <v>2001.8333333339201</v>
      </c>
      <c r="Q174" s="2">
        <v>0.80362545074786507</v>
      </c>
      <c r="R174" s="2">
        <v>7.1900000000000297E-2</v>
      </c>
      <c r="S174" s="2">
        <v>4.484496543189663E-2</v>
      </c>
      <c r="U174" s="2">
        <f t="shared" si="23"/>
        <v>0.65575021470294492</v>
      </c>
      <c r="V174" s="2">
        <f t="shared" si="24"/>
        <v>6.4971666666666705E-2</v>
      </c>
      <c r="W174" s="2">
        <f t="shared" si="25"/>
        <v>3.8805597191544479E-2</v>
      </c>
      <c r="Y174" s="31">
        <v>2001.8333333339201</v>
      </c>
      <c r="Z174" s="2">
        <v>-1.203781031351058</v>
      </c>
      <c r="AA174" s="2">
        <v>-0.78876452892998183</v>
      </c>
      <c r="AB174" s="2">
        <v>-0.98561543921259309</v>
      </c>
      <c r="AD174" s="31">
        <v>2001.8333333339201</v>
      </c>
      <c r="AE174" s="2">
        <v>-1.0217198816288144</v>
      </c>
      <c r="AF174" s="2">
        <v>-0.68622224125583742</v>
      </c>
      <c r="AG174" s="2">
        <v>-0.79345102734573114</v>
      </c>
      <c r="AH174" s="31"/>
      <c r="AI174" s="31">
        <v>2001.8333333339201</v>
      </c>
      <c r="AJ174" s="2">
        <v>-0.11620868738889865</v>
      </c>
      <c r="AK174" s="2">
        <v>-0.61478205611361436</v>
      </c>
      <c r="AL174" s="2">
        <v>-4.4369383961509736E-3</v>
      </c>
      <c r="AM174" s="31"/>
      <c r="AN174" s="2">
        <f t="shared" si="26"/>
        <v>-0.78056986678959028</v>
      </c>
      <c r="AO174" s="2">
        <f t="shared" si="19"/>
        <v>-0.69658960876647791</v>
      </c>
      <c r="AP174" s="2">
        <f t="shared" si="20"/>
        <v>-0.59450113498482515</v>
      </c>
      <c r="AQ174" s="31"/>
      <c r="AR174" s="31">
        <v>2001.8333333339201</v>
      </c>
      <c r="AS174" s="2">
        <v>-0.69510406453309559</v>
      </c>
      <c r="AT174" s="2">
        <v>-0.28549293171718004</v>
      </c>
      <c r="AU174" s="2">
        <v>-0.82007548198608593</v>
      </c>
      <c r="AV174" s="31"/>
      <c r="AW174" s="31">
        <v>2001.8333333339201</v>
      </c>
      <c r="AX174" s="2">
        <v>-0.52524519129526648</v>
      </c>
      <c r="AY174" s="2">
        <v>-0.19138401234735175</v>
      </c>
      <c r="AZ174" s="2">
        <v>-0.54709202227034803</v>
      </c>
      <c r="BA174" s="31"/>
      <c r="BB174" s="31">
        <v>2001.8333333339201</v>
      </c>
      <c r="BC174" s="2">
        <v>1.8401242059794926E-3</v>
      </c>
      <c r="BD174" s="2">
        <v>-4.0971152421897278E-2</v>
      </c>
      <c r="BE174" s="2">
        <v>0.2067024658338949</v>
      </c>
      <c r="BG174" s="2">
        <f t="shared" si="27"/>
        <v>-0.4061697105407942</v>
      </c>
      <c r="BH174" s="2">
        <f t="shared" si="21"/>
        <v>-0.17261603216214302</v>
      </c>
      <c r="BI174" s="2">
        <f t="shared" si="22"/>
        <v>-0.38682167947417967</v>
      </c>
    </row>
    <row r="175" spans="1:61" x14ac:dyDescent="0.3">
      <c r="A175" s="31">
        <v>2001.75000000059</v>
      </c>
      <c r="B175">
        <v>0.80252168235693555</v>
      </c>
      <c r="C175">
        <v>4.5600000000000307E-2</v>
      </c>
      <c r="D175">
        <v>3.6594988715476506E-2</v>
      </c>
      <c r="F175" s="31">
        <v>2001.75000000059</v>
      </c>
      <c r="G175" s="2">
        <v>0.57259194966818372</v>
      </c>
      <c r="H175" s="2">
        <v>6.1499999999999846E-2</v>
      </c>
      <c r="I175" s="2">
        <v>3.5214404904593218E-2</v>
      </c>
      <c r="K175" s="31">
        <v>2001.75000000059</v>
      </c>
      <c r="L175" s="2">
        <v>0.63027831477071117</v>
      </c>
      <c r="M175" s="2">
        <v>6.1514999999999952E-2</v>
      </c>
      <c r="N175" s="2">
        <v>3.8770812889445352E-2</v>
      </c>
      <c r="P175" s="31">
        <v>2001.75000000059</v>
      </c>
      <c r="Q175" s="2">
        <v>0.81562529860275712</v>
      </c>
      <c r="R175" s="2">
        <v>7.1900000000000297E-2</v>
      </c>
      <c r="S175" s="2">
        <v>5.0182470164495063E-2</v>
      </c>
      <c r="U175" s="2">
        <f t="shared" si="23"/>
        <v>0.67283185434721737</v>
      </c>
      <c r="V175" s="2">
        <f t="shared" si="24"/>
        <v>6.4971666666666705E-2</v>
      </c>
      <c r="W175" s="2">
        <f t="shared" si="25"/>
        <v>4.1389229319511216E-2</v>
      </c>
      <c r="Y175" s="31">
        <v>2001.75000000059</v>
      </c>
      <c r="Z175" s="2">
        <v>-0.93397784539413908</v>
      </c>
      <c r="AA175" s="2">
        <v>-0.78876452892998183</v>
      </c>
      <c r="AB175" s="2">
        <v>-0.91975344276154647</v>
      </c>
      <c r="AD175" s="31">
        <v>2001.75000000059</v>
      </c>
      <c r="AE175" s="2">
        <v>-1.0650899142247083</v>
      </c>
      <c r="AF175" s="2">
        <v>-0.68622224125583742</v>
      </c>
      <c r="AG175" s="2">
        <v>-0.8105014172286934</v>
      </c>
      <c r="AH175" s="31"/>
      <c r="AI175" s="31">
        <v>2001.75000000059</v>
      </c>
      <c r="AJ175" s="2">
        <v>0.32177702083493637</v>
      </c>
      <c r="AK175" s="2">
        <v>-0.61478205611361436</v>
      </c>
      <c r="AL175" s="2">
        <v>0.42692879615581814</v>
      </c>
      <c r="AM175" s="31"/>
      <c r="AN175" s="2">
        <f t="shared" si="26"/>
        <v>-0.55909691292797037</v>
      </c>
      <c r="AO175" s="2">
        <f t="shared" si="19"/>
        <v>-0.69658960876647791</v>
      </c>
      <c r="AP175" s="2">
        <f t="shared" si="20"/>
        <v>-0.43444202127814058</v>
      </c>
      <c r="AQ175" s="31"/>
      <c r="AR175" s="31">
        <v>2001.75000000059</v>
      </c>
      <c r="AS175" s="2">
        <v>-1.2131876296801747</v>
      </c>
      <c r="AT175" s="2">
        <v>-0.6766476141944503</v>
      </c>
      <c r="AU175" s="2">
        <v>-1.0544104360970743</v>
      </c>
      <c r="AV175" s="31"/>
      <c r="AW175" s="31">
        <v>2001.75000000059</v>
      </c>
      <c r="AX175" s="2">
        <v>-1.1436872528659605</v>
      </c>
      <c r="AY175" s="2">
        <v>-0.6564669997761764</v>
      </c>
      <c r="AZ175" s="2">
        <v>-1.2096468583204159</v>
      </c>
      <c r="BA175" s="31"/>
      <c r="BB175" s="31">
        <v>2001.75000000059</v>
      </c>
      <c r="BC175" s="2">
        <v>0.27033072922419443</v>
      </c>
      <c r="BD175" s="2">
        <v>-0.59144451954684485</v>
      </c>
      <c r="BE175" s="2">
        <v>0.18488656816015586</v>
      </c>
      <c r="BG175" s="2">
        <f t="shared" si="27"/>
        <v>-0.69551471777398033</v>
      </c>
      <c r="BH175" s="2">
        <f t="shared" si="21"/>
        <v>-0.64151971117249051</v>
      </c>
      <c r="BI175" s="2">
        <f t="shared" si="22"/>
        <v>-0.69305690875244474</v>
      </c>
    </row>
    <row r="176" spans="1:61" x14ac:dyDescent="0.3">
      <c r="A176" s="31">
        <v>2001.66666666726</v>
      </c>
      <c r="B176">
        <v>0.81043899810985398</v>
      </c>
      <c r="C176">
        <v>3.0400000000000205E-2</v>
      </c>
      <c r="D176">
        <v>2.4637345542539726E-2</v>
      </c>
      <c r="F176" s="31">
        <v>2001.66666666726</v>
      </c>
      <c r="G176" s="2">
        <v>0.54840709966937073</v>
      </c>
      <c r="H176" s="2">
        <v>6.1499999999999798E-2</v>
      </c>
      <c r="I176" s="2">
        <v>3.3727036629666189E-2</v>
      </c>
      <c r="K176" s="31">
        <v>2001.66666666726</v>
      </c>
      <c r="L176" s="2">
        <v>0.62325623414040499</v>
      </c>
      <c r="M176" s="2">
        <v>6.1514999999999952E-2</v>
      </c>
      <c r="N176" s="2">
        <v>3.8338779599122595E-2</v>
      </c>
      <c r="P176" s="31">
        <v>2001.66666666726</v>
      </c>
      <c r="Q176" s="2">
        <v>0.78360442495846028</v>
      </c>
      <c r="R176" s="2">
        <v>4.7900000000000303E-2</v>
      </c>
      <c r="S176" s="2">
        <v>3.9301200514850546E-2</v>
      </c>
      <c r="U176" s="2">
        <f t="shared" si="23"/>
        <v>0.65175591958941193</v>
      </c>
      <c r="V176" s="2">
        <f t="shared" si="24"/>
        <v>5.6971666666666691E-2</v>
      </c>
      <c r="W176" s="2">
        <f t="shared" si="25"/>
        <v>3.7122338914546443E-2</v>
      </c>
      <c r="Y176" s="31">
        <v>2001.66666666726</v>
      </c>
      <c r="Z176" s="2">
        <v>-1.0742034484006162</v>
      </c>
      <c r="AA176" s="2">
        <v>-0.78876452892998272</v>
      </c>
      <c r="AB176" s="2">
        <v>-0.95398409179855725</v>
      </c>
      <c r="AD176" s="31">
        <v>2001.66666666726</v>
      </c>
      <c r="AE176" s="2">
        <v>-1.1068766074454255</v>
      </c>
      <c r="AF176" s="2">
        <v>-0.68622224125583742</v>
      </c>
      <c r="AG176" s="2">
        <v>-0.82692940119250136</v>
      </c>
      <c r="AH176" s="31"/>
      <c r="AI176" s="31">
        <v>2001.66666666726</v>
      </c>
      <c r="AJ176" s="2">
        <v>0.99719615347154233</v>
      </c>
      <c r="AK176" s="2">
        <v>-1.186702766808877</v>
      </c>
      <c r="AL176" s="2">
        <v>-0.45247218059833083</v>
      </c>
      <c r="AM176" s="31"/>
      <c r="AN176" s="2">
        <f t="shared" si="26"/>
        <v>-0.39462796745816647</v>
      </c>
      <c r="AO176" s="2">
        <f t="shared" si="19"/>
        <v>-0.88722984566489904</v>
      </c>
      <c r="AP176" s="2">
        <f t="shared" si="20"/>
        <v>-0.74446189119646311</v>
      </c>
      <c r="AQ176" s="31"/>
      <c r="AR176" s="31">
        <v>2001.66666666726</v>
      </c>
      <c r="AS176" s="2">
        <v>-0.7281997744396812</v>
      </c>
      <c r="AT176" s="2">
        <v>-0.32631334910520099</v>
      </c>
      <c r="AU176" s="2">
        <v>-0.83523545319659243</v>
      </c>
      <c r="AV176" s="31"/>
      <c r="AW176" s="31">
        <v>2001.66666666726</v>
      </c>
      <c r="AX176" s="2">
        <v>-0.76856569776442785</v>
      </c>
      <c r="AY176" s="2">
        <v>-0.23837245449551037</v>
      </c>
      <c r="AZ176" s="2">
        <v>-0.78514012272490374</v>
      </c>
      <c r="BA176" s="31"/>
      <c r="BB176" s="31">
        <v>2001.66666666726</v>
      </c>
      <c r="BC176" s="2">
        <v>0.61540642365020759</v>
      </c>
      <c r="BD176" s="2">
        <v>-1.0289872901111137</v>
      </c>
      <c r="BE176" s="2">
        <v>-0.37938982957073242</v>
      </c>
      <c r="BG176" s="2">
        <f t="shared" si="27"/>
        <v>-0.29378634951796717</v>
      </c>
      <c r="BH176" s="2">
        <f t="shared" si="21"/>
        <v>-0.5312243645706084</v>
      </c>
      <c r="BI176" s="2">
        <f t="shared" si="22"/>
        <v>-0.66658846849740949</v>
      </c>
    </row>
    <row r="177" spans="1:61" x14ac:dyDescent="0.3">
      <c r="A177" s="31">
        <v>2001.5833333339301</v>
      </c>
      <c r="B177">
        <v>0.81568633982286087</v>
      </c>
      <c r="C177">
        <v>4.5600000000000307E-2</v>
      </c>
      <c r="D177">
        <v>3.7195297095922709E-2</v>
      </c>
      <c r="F177" s="31">
        <v>2001.5833333339301</v>
      </c>
      <c r="G177" s="2">
        <v>0.63577486822064722</v>
      </c>
      <c r="H177" s="2">
        <v>6.1499999999999846E-2</v>
      </c>
      <c r="I177" s="2">
        <v>3.9100154395569714E-2</v>
      </c>
      <c r="K177" s="31">
        <v>2001.5833333339301</v>
      </c>
      <c r="L177" s="2">
        <v>0.60944805882293318</v>
      </c>
      <c r="M177" s="2">
        <v>6.1514999999999952E-2</v>
      </c>
      <c r="N177" s="2">
        <v>3.7489318647341979E-2</v>
      </c>
      <c r="P177" s="31">
        <v>2001.5833333339301</v>
      </c>
      <c r="Q177" s="2">
        <v>0.74558850839247026</v>
      </c>
      <c r="R177" s="2">
        <v>7.1900000000000297E-2</v>
      </c>
      <c r="S177" s="2">
        <v>5.5686103613737638E-2</v>
      </c>
      <c r="U177" s="2">
        <f t="shared" si="23"/>
        <v>0.66360381181201689</v>
      </c>
      <c r="V177" s="2">
        <f t="shared" si="24"/>
        <v>6.4971666666666705E-2</v>
      </c>
      <c r="W177" s="2">
        <f t="shared" si="25"/>
        <v>4.4091858885549777E-2</v>
      </c>
      <c r="Y177" s="31">
        <v>2001.5833333339301</v>
      </c>
      <c r="Z177" s="2">
        <v>-0.56763846953846198</v>
      </c>
      <c r="AA177" s="2">
        <v>-0.78876452892998183</v>
      </c>
      <c r="AB177" s="2">
        <v>-0.83032587508138644</v>
      </c>
      <c r="AD177" s="31">
        <v>2001.5833333339301</v>
      </c>
      <c r="AE177" s="2">
        <v>-1.1890456989592486</v>
      </c>
      <c r="AF177" s="2">
        <v>-0.68622224125583742</v>
      </c>
      <c r="AG177" s="2">
        <v>-0.85922999285132418</v>
      </c>
      <c r="AH177" s="31"/>
      <c r="AI177" s="31">
        <v>2001.5833333339301</v>
      </c>
      <c r="AJ177" s="2">
        <v>0.84062660932516742</v>
      </c>
      <c r="AK177" s="2">
        <v>-0.61478205611361436</v>
      </c>
      <c r="AL177" s="2">
        <v>0.87172069882857672</v>
      </c>
      <c r="AM177" s="31"/>
      <c r="AN177" s="2">
        <f t="shared" si="26"/>
        <v>-0.30535251972418104</v>
      </c>
      <c r="AO177" s="2">
        <f t="shared" si="19"/>
        <v>-0.69658960876647791</v>
      </c>
      <c r="AP177" s="2">
        <f t="shared" si="20"/>
        <v>-0.27261172303471132</v>
      </c>
      <c r="AQ177" s="31"/>
      <c r="AR177" s="31">
        <v>2001.5833333339301</v>
      </c>
      <c r="AS177" s="2">
        <v>-1.0699397792218035</v>
      </c>
      <c r="AT177" s="2">
        <v>-0.65870957567408583</v>
      </c>
      <c r="AU177" s="2">
        <v>-0.9665582703871074</v>
      </c>
      <c r="AV177" s="31"/>
      <c r="AW177" s="31">
        <v>2001.5833333339301</v>
      </c>
      <c r="AX177" s="2">
        <v>-1.5706077559520299</v>
      </c>
      <c r="AY177" s="2">
        <v>-0.53553372549108424</v>
      </c>
      <c r="AZ177" s="2">
        <v>-1.5991441919345055</v>
      </c>
      <c r="BA177" s="31"/>
      <c r="BB177" s="31">
        <v>2001.5833333339301</v>
      </c>
      <c r="BC177" s="2">
        <v>0.22969089320442135</v>
      </c>
      <c r="BD177" s="2">
        <v>-0.51613739712758211</v>
      </c>
      <c r="BE177" s="2">
        <v>0.13033282896944315</v>
      </c>
      <c r="BG177" s="2">
        <f t="shared" si="27"/>
        <v>-0.80361888065647069</v>
      </c>
      <c r="BH177" s="2">
        <f t="shared" si="21"/>
        <v>-0.57012689943091743</v>
      </c>
      <c r="BI177" s="2">
        <f t="shared" si="22"/>
        <v>-0.81178987778405653</v>
      </c>
    </row>
    <row r="178" spans="1:61" x14ac:dyDescent="0.3">
      <c r="A178" s="31">
        <v>2001.5000000006</v>
      </c>
      <c r="B178">
        <v>0.82534896043915384</v>
      </c>
      <c r="C178">
        <v>3.0400000000000205E-2</v>
      </c>
      <c r="D178">
        <v>2.5090608397350445E-2</v>
      </c>
      <c r="F178" s="31">
        <v>2001.5000000006</v>
      </c>
      <c r="G178" s="2">
        <v>0.60352350872497162</v>
      </c>
      <c r="H178" s="2">
        <v>6.1499999999999798E-2</v>
      </c>
      <c r="I178" s="2">
        <v>3.7116695786585635E-2</v>
      </c>
      <c r="K178" s="31">
        <v>2001.5000000006</v>
      </c>
      <c r="L178" s="2">
        <v>0.65238879382718284</v>
      </c>
      <c r="M178" s="2">
        <v>6.1499999999999902E-2</v>
      </c>
      <c r="N178" s="2">
        <v>4.0121910820371684E-2</v>
      </c>
      <c r="P178" s="31">
        <v>2001.5000000006</v>
      </c>
      <c r="Q178" s="2">
        <v>0.70394565871378989</v>
      </c>
      <c r="R178" s="2">
        <v>4.7900000000000303E-2</v>
      </c>
      <c r="S178" s="2">
        <v>4.2675492067485499E-2</v>
      </c>
      <c r="U178" s="2">
        <f t="shared" si="23"/>
        <v>0.65328598708864805</v>
      </c>
      <c r="V178" s="2">
        <f t="shared" si="24"/>
        <v>5.6966666666666665E-2</v>
      </c>
      <c r="W178" s="2">
        <f t="shared" si="25"/>
        <v>3.9971366224814273E-2</v>
      </c>
      <c r="Y178" s="31">
        <v>2001.5000000006</v>
      </c>
      <c r="Z178" s="2">
        <v>-0.75463430921833374</v>
      </c>
      <c r="AA178" s="2">
        <v>-0.78876452892998272</v>
      </c>
      <c r="AB178" s="2">
        <v>-0.87597366565759904</v>
      </c>
      <c r="AD178" s="31">
        <v>2001.5000000006</v>
      </c>
      <c r="AE178" s="2">
        <v>-0.93351583327377674</v>
      </c>
      <c r="AF178" s="2">
        <v>-0.68658960551538373</v>
      </c>
      <c r="AG178" s="2">
        <v>-0.75912617453336728</v>
      </c>
      <c r="AH178" s="31"/>
      <c r="AI178" s="31">
        <v>2001.5000000006</v>
      </c>
      <c r="AJ178" s="2">
        <v>1.4565171930950669</v>
      </c>
      <c r="AK178" s="2">
        <v>-1.186702766808877</v>
      </c>
      <c r="AL178" s="2">
        <v>-0.17976914292134499</v>
      </c>
      <c r="AM178" s="31"/>
      <c r="AN178" s="2">
        <f t="shared" si="26"/>
        <v>-7.7210983132347866E-2</v>
      </c>
      <c r="AO178" s="2">
        <f t="shared" si="19"/>
        <v>-0.88735230041808111</v>
      </c>
      <c r="AP178" s="2">
        <f t="shared" si="20"/>
        <v>-0.60495632770410379</v>
      </c>
      <c r="AQ178" s="31"/>
      <c r="AR178" s="31">
        <v>2001.5000000006</v>
      </c>
      <c r="AS178" s="2">
        <v>-0.55451090368771416</v>
      </c>
      <c r="AT178" s="2">
        <v>-2.3130098149133811E-2</v>
      </c>
      <c r="AU178" s="2">
        <v>-0.56175296196039282</v>
      </c>
      <c r="AV178" s="31"/>
      <c r="AW178" s="31">
        <v>2001.5000000006</v>
      </c>
      <c r="AX178" s="2">
        <v>-0.58096789851853337</v>
      </c>
      <c r="AY178" s="2">
        <v>-0.1083026392523672</v>
      </c>
      <c r="AZ178" s="2">
        <v>-0.58122711366788127</v>
      </c>
      <c r="BA178" s="31"/>
      <c r="BB178" s="31">
        <v>2001.5000000006</v>
      </c>
      <c r="BC178" s="2">
        <v>0.79299261260256093</v>
      </c>
      <c r="BD178" s="2">
        <v>-1.8093824011735564</v>
      </c>
      <c r="BE178" s="2">
        <v>-0.80477669444495803</v>
      </c>
      <c r="BG178" s="2">
        <f t="shared" si="27"/>
        <v>-0.11416206320122886</v>
      </c>
      <c r="BH178" s="2">
        <f t="shared" si="21"/>
        <v>-0.64693837952501909</v>
      </c>
      <c r="BI178" s="2">
        <f t="shared" si="22"/>
        <v>-0.64925225669107745</v>
      </c>
    </row>
    <row r="179" spans="1:61" x14ac:dyDescent="0.3">
      <c r="A179" s="31">
        <v>2001.41666666727</v>
      </c>
      <c r="B179">
        <v>0.77299432445866789</v>
      </c>
      <c r="C179">
        <v>0.39520000000000266</v>
      </c>
      <c r="D179">
        <v>0.30548735702606761</v>
      </c>
      <c r="F179" s="31">
        <v>2001.41666666727</v>
      </c>
      <c r="G179" s="2">
        <v>0.66575167135611402</v>
      </c>
      <c r="H179" s="2">
        <v>9.2249999999999749E-2</v>
      </c>
      <c r="I179" s="2">
        <v>5.9896281181381524E-2</v>
      </c>
      <c r="K179" s="31">
        <v>2001.41666666727</v>
      </c>
      <c r="L179" s="2">
        <v>0.5800605818281267</v>
      </c>
      <c r="M179" s="2">
        <v>9.2264999999999903E-2</v>
      </c>
      <c r="N179" s="2">
        <v>3.5681688838191658E-2</v>
      </c>
      <c r="P179" s="31">
        <v>2001.41666666727</v>
      </c>
      <c r="Q179" s="2">
        <v>0.65634595363283288</v>
      </c>
      <c r="R179" s="2">
        <v>0.21565000000000106</v>
      </c>
      <c r="S179" s="2">
        <v>5.6198819225287723E-2</v>
      </c>
      <c r="U179" s="2">
        <f t="shared" si="23"/>
        <v>0.6340527356056912</v>
      </c>
      <c r="V179" s="2">
        <f t="shared" si="24"/>
        <v>0.13338833333333355</v>
      </c>
      <c r="W179" s="2">
        <f t="shared" si="25"/>
        <v>5.0592263081620299E-2</v>
      </c>
      <c r="Y179" s="31">
        <v>2001.41666666727</v>
      </c>
      <c r="Z179" s="2">
        <v>-0.39383068094007923</v>
      </c>
      <c r="AA179" s="2">
        <v>-0.1883013680744752</v>
      </c>
      <c r="AB179" s="2">
        <v>-0.35171884188429342</v>
      </c>
      <c r="AD179" s="31">
        <v>2001.41666666727</v>
      </c>
      <c r="AE179" s="2">
        <v>-1.3639234240045843</v>
      </c>
      <c r="AF179" s="2">
        <v>6.6874490811640125E-2</v>
      </c>
      <c r="AG179" s="2">
        <v>-0.92796477367119601</v>
      </c>
      <c r="AH179" s="31"/>
      <c r="AI179" s="31">
        <v>2001.41666666727</v>
      </c>
      <c r="AJ179" s="2">
        <v>0.87805837383858953</v>
      </c>
      <c r="AK179" s="2">
        <v>2.8107847006549047</v>
      </c>
      <c r="AL179" s="2">
        <v>0.91315727967913729</v>
      </c>
      <c r="AM179" s="31"/>
      <c r="AN179" s="2">
        <f t="shared" si="26"/>
        <v>-0.29323191036869134</v>
      </c>
      <c r="AO179" s="2">
        <f t="shared" si="19"/>
        <v>0.89645260779735647</v>
      </c>
      <c r="AP179" s="2">
        <f t="shared" si="20"/>
        <v>-0.12217544529211738</v>
      </c>
      <c r="AQ179" s="31"/>
      <c r="AR179" s="31">
        <v>2001.41666666727</v>
      </c>
      <c r="AS179" s="2">
        <v>-0.97575001266459938</v>
      </c>
      <c r="AT179" s="2">
        <v>-1.691404405511389</v>
      </c>
      <c r="AU179" s="2">
        <v>-1.6625914575613698</v>
      </c>
      <c r="AV179" s="31"/>
      <c r="AW179" s="31">
        <v>2001.41666666727</v>
      </c>
      <c r="AX179" s="2">
        <v>-1.7893273093623954</v>
      </c>
      <c r="AY179" s="2">
        <v>-1.0196274698486036</v>
      </c>
      <c r="AZ179" s="2">
        <v>-1.4435042842554076</v>
      </c>
      <c r="BA179" s="31"/>
      <c r="BB179" s="31">
        <v>2001.41666666727</v>
      </c>
      <c r="BC179" s="2">
        <v>0.26392648287921755</v>
      </c>
      <c r="BD179" s="2">
        <v>7.229861325022827</v>
      </c>
      <c r="BE179" s="2">
        <v>0.1671831529883655</v>
      </c>
      <c r="BG179" s="2">
        <f t="shared" si="27"/>
        <v>-0.83371694638259231</v>
      </c>
      <c r="BH179" s="2">
        <f t="shared" si="21"/>
        <v>1.5062764832209448</v>
      </c>
      <c r="BI179" s="2">
        <f t="shared" si="22"/>
        <v>-0.9796375296094707</v>
      </c>
    </row>
    <row r="180" spans="1:61" x14ac:dyDescent="0.3">
      <c r="A180" s="31">
        <v>2001.3333333339399</v>
      </c>
      <c r="B180">
        <v>0.71884269382862609</v>
      </c>
      <c r="C180">
        <v>0.42560000000000286</v>
      </c>
      <c r="D180">
        <v>0.30593945049346533</v>
      </c>
      <c r="F180" s="31">
        <v>2001.3333333339399</v>
      </c>
      <c r="G180" s="2">
        <v>0.64298298124854036</v>
      </c>
      <c r="H180" s="2">
        <v>9.2249999999999749E-2</v>
      </c>
      <c r="I180" s="2">
        <v>5.8324320859419201E-2</v>
      </c>
      <c r="K180" s="31">
        <v>2001.3333333339399</v>
      </c>
      <c r="L180" s="2">
        <v>0.55561844731362009</v>
      </c>
      <c r="M180" s="2">
        <v>6.1514999999999952E-2</v>
      </c>
      <c r="N180" s="2">
        <v>3.4178206267189717E-2</v>
      </c>
      <c r="P180" s="31">
        <v>2001.3333333339399</v>
      </c>
      <c r="Q180" s="2">
        <v>0.60282503901678663</v>
      </c>
      <c r="R180" s="2">
        <v>0.19170000000000093</v>
      </c>
      <c r="S180" s="2">
        <v>5.0720919667477916E-2</v>
      </c>
      <c r="U180" s="2">
        <f t="shared" si="23"/>
        <v>0.60047548919298233</v>
      </c>
      <c r="V180" s="2">
        <f t="shared" si="24"/>
        <v>0.11515500000000019</v>
      </c>
      <c r="W180" s="2">
        <f t="shared" si="25"/>
        <v>4.7741148931362276E-2</v>
      </c>
      <c r="Y180" s="31">
        <v>2001.3333333339399</v>
      </c>
      <c r="Z180" s="2">
        <v>-0.52584528099585082</v>
      </c>
      <c r="AA180" s="2">
        <v>-0.1883013680744752</v>
      </c>
      <c r="AB180" s="2">
        <v>-0.38789631251364287</v>
      </c>
      <c r="AD180" s="31">
        <v>2001.3333333339399</v>
      </c>
      <c r="AE180" s="2">
        <v>-1.5093726192486805</v>
      </c>
      <c r="AF180" s="2">
        <v>-0.68622224125583742</v>
      </c>
      <c r="AG180" s="2">
        <v>-0.98513441341778307</v>
      </c>
      <c r="AH180" s="31"/>
      <c r="AI180" s="31">
        <v>2001.3333333339399</v>
      </c>
      <c r="AJ180" s="2">
        <v>0.37308844120293394</v>
      </c>
      <c r="AK180" s="2">
        <v>2.2400554914402537</v>
      </c>
      <c r="AL180" s="2">
        <v>0.470445135158719</v>
      </c>
      <c r="AM180" s="31"/>
      <c r="AN180" s="2">
        <f t="shared" si="26"/>
        <v>-0.55404315301386575</v>
      </c>
      <c r="AO180" s="2">
        <f t="shared" si="19"/>
        <v>0.45517729403664703</v>
      </c>
      <c r="AP180" s="2">
        <f t="shared" si="20"/>
        <v>-0.30086186359090233</v>
      </c>
      <c r="AQ180" s="31"/>
      <c r="AR180" s="31">
        <v>2001.3333333339399</v>
      </c>
      <c r="AS180" s="2">
        <v>-0.73462730756532701</v>
      </c>
      <c r="AT180" s="2">
        <v>-1.2318355951367148</v>
      </c>
      <c r="AU180" s="2">
        <v>-1.3485701268083254</v>
      </c>
      <c r="AV180" s="31"/>
      <c r="AW180" s="31">
        <v>2001.3333333339399</v>
      </c>
      <c r="AX180" s="2">
        <v>-1.5838860143326385</v>
      </c>
      <c r="AY180" s="2">
        <v>-1.269857360921067</v>
      </c>
      <c r="AZ180" s="2">
        <v>-1.0699303544469481</v>
      </c>
      <c r="BA180" s="31"/>
      <c r="BB180" s="31">
        <v>2001.3333333339399</v>
      </c>
      <c r="BC180" s="2">
        <v>-0.19792573372213243</v>
      </c>
      <c r="BD180" s="2">
        <v>5.9393105814019416</v>
      </c>
      <c r="BE180" s="2">
        <v>-0.22652901239336598</v>
      </c>
      <c r="BG180" s="2">
        <f t="shared" si="27"/>
        <v>-0.83881301854003265</v>
      </c>
      <c r="BH180" s="2">
        <f t="shared" si="21"/>
        <v>1.1458725417813864</v>
      </c>
      <c r="BI180" s="2">
        <f t="shared" si="22"/>
        <v>-0.88167649788287983</v>
      </c>
    </row>
    <row r="181" spans="1:61" x14ac:dyDescent="0.3">
      <c r="A181" s="31">
        <v>2001.25000000061</v>
      </c>
      <c r="B181">
        <v>0.60874495295569375</v>
      </c>
      <c r="C181">
        <v>0.39520000000000266</v>
      </c>
      <c r="D181">
        <v>0.24057600540809179</v>
      </c>
      <c r="F181" s="31">
        <v>2001.25000000061</v>
      </c>
      <c r="G181" s="2">
        <v>0.61210522049419147</v>
      </c>
      <c r="H181" s="2">
        <v>9.2249999999999749E-2</v>
      </c>
      <c r="I181" s="2">
        <v>5.568913532115756E-2</v>
      </c>
      <c r="K181" s="31">
        <v>2001.25000000061</v>
      </c>
      <c r="L181" s="2">
        <v>0.52667204051211025</v>
      </c>
      <c r="M181" s="2">
        <v>9.2264999999999903E-2</v>
      </c>
      <c r="N181" s="2">
        <v>3.2397721616197299E-2</v>
      </c>
      <c r="P181" s="31">
        <v>2001.25000000061</v>
      </c>
      <c r="Q181" s="2">
        <v>0.55798815862273654</v>
      </c>
      <c r="R181" s="2">
        <v>0.19170000000000093</v>
      </c>
      <c r="S181" s="2">
        <v>4.3074056217919633E-2</v>
      </c>
      <c r="U181" s="2">
        <f t="shared" si="23"/>
        <v>0.56558847320967942</v>
      </c>
      <c r="V181" s="2">
        <f t="shared" si="24"/>
        <v>0.12540500000000018</v>
      </c>
      <c r="W181" s="2">
        <f t="shared" si="25"/>
        <v>4.3720304385091502E-2</v>
      </c>
      <c r="Y181" s="31">
        <v>2001.25000000061</v>
      </c>
      <c r="Z181" s="2">
        <v>-0.70487689051506719</v>
      </c>
      <c r="AA181" s="2">
        <v>-0.1883013680744752</v>
      </c>
      <c r="AB181" s="2">
        <v>-0.44854310243664708</v>
      </c>
      <c r="AD181" s="31">
        <v>2001.25000000061</v>
      </c>
      <c r="AE181" s="2">
        <v>-1.6816256428947551</v>
      </c>
      <c r="AF181" s="2">
        <v>6.6874490811640125E-2</v>
      </c>
      <c r="AG181" s="2">
        <v>-1.0528370047446187</v>
      </c>
      <c r="AH181" s="31"/>
      <c r="AI181" s="31">
        <v>2001.25000000061</v>
      </c>
      <c r="AJ181" s="2">
        <v>-0.24752644803029061</v>
      </c>
      <c r="AK181" s="2">
        <v>2.2400554914402537</v>
      </c>
      <c r="AL181" s="2">
        <v>-0.1475580393942473</v>
      </c>
      <c r="AM181" s="31"/>
      <c r="AN181" s="2">
        <f t="shared" si="26"/>
        <v>-0.8780096604800377</v>
      </c>
      <c r="AO181" s="2">
        <f t="shared" si="19"/>
        <v>0.70620953805913944</v>
      </c>
      <c r="AP181" s="2">
        <f t="shared" si="20"/>
        <v>-0.54964604885850432</v>
      </c>
      <c r="AQ181" s="31"/>
      <c r="AR181" s="31">
        <v>2001.25000000061</v>
      </c>
      <c r="AS181" s="2">
        <v>-0.67385805376129171</v>
      </c>
      <c r="AT181" s="2">
        <v>-1.4277403812081235</v>
      </c>
      <c r="AU181" s="2">
        <v>-1.3963868177563372</v>
      </c>
      <c r="AV181" s="31"/>
      <c r="AW181" s="31">
        <v>2001.25000000061</v>
      </c>
      <c r="AX181" s="2">
        <v>-1.6530709592835888</v>
      </c>
      <c r="AY181" s="2">
        <v>-0.8205967459488962</v>
      </c>
      <c r="AZ181" s="2">
        <v>-1.1864376151202496</v>
      </c>
      <c r="BA181" s="31"/>
      <c r="BB181" s="31">
        <v>2001.25000000061</v>
      </c>
      <c r="BC181" s="2">
        <v>-0.76554836573134588</v>
      </c>
      <c r="BD181" s="2">
        <v>5.9393105814019416</v>
      </c>
      <c r="BE181" s="2">
        <v>-0.77613075943739951</v>
      </c>
      <c r="BG181" s="2">
        <f t="shared" si="27"/>
        <v>-1.0308257929254088</v>
      </c>
      <c r="BH181" s="2">
        <f t="shared" si="21"/>
        <v>1.230324484748307</v>
      </c>
      <c r="BI181" s="2">
        <f t="shared" si="22"/>
        <v>-1.1196517307713287</v>
      </c>
    </row>
    <row r="182" spans="1:61" x14ac:dyDescent="0.3">
      <c r="A182" s="31">
        <v>2001.16666666728</v>
      </c>
      <c r="B182">
        <v>0.61479936674922964</v>
      </c>
      <c r="C182">
        <v>0.42560000000000286</v>
      </c>
      <c r="D182">
        <v>0.26165861048847389</v>
      </c>
      <c r="F182" s="31">
        <v>2001.16666666728</v>
      </c>
      <c r="G182" s="2">
        <v>0.57362393881991947</v>
      </c>
      <c r="H182" s="2">
        <v>9.2249999999999749E-2</v>
      </c>
      <c r="I182" s="2">
        <v>5.2048256436411242E-2</v>
      </c>
      <c r="K182" s="31">
        <v>2001.16666666728</v>
      </c>
      <c r="L182" s="2">
        <v>0.52401373392371531</v>
      </c>
      <c r="M182" s="2">
        <v>6.1499999999999902E-2</v>
      </c>
      <c r="N182" s="2">
        <v>3.2226844636308441E-2</v>
      </c>
      <c r="P182" s="31">
        <v>2001.16666666728</v>
      </c>
      <c r="Q182" s="2">
        <v>0.52886897641511621</v>
      </c>
      <c r="R182" s="2">
        <v>0.19170000000000093</v>
      </c>
      <c r="S182" s="2">
        <v>3.6749924563031819E-2</v>
      </c>
      <c r="U182" s="2">
        <f t="shared" si="23"/>
        <v>0.54216888305291711</v>
      </c>
      <c r="V182" s="2">
        <f t="shared" si="24"/>
        <v>0.1151500000000002</v>
      </c>
      <c r="W182" s="2">
        <f t="shared" si="25"/>
        <v>4.0341675211917165E-2</v>
      </c>
      <c r="Y182" s="31">
        <v>2001.16666666728</v>
      </c>
      <c r="Z182" s="2">
        <v>-0.92799429366215025</v>
      </c>
      <c r="AA182" s="2">
        <v>-0.1883013680744752</v>
      </c>
      <c r="AB182" s="2">
        <v>-0.53233515944830334</v>
      </c>
      <c r="AD182" s="31">
        <v>2001.16666666728</v>
      </c>
      <c r="AE182" s="2">
        <v>-1.697444578584052</v>
      </c>
      <c r="AF182" s="2">
        <v>-0.68658960551538373</v>
      </c>
      <c r="AG182" s="2">
        <v>-1.0593345695116785</v>
      </c>
      <c r="AH182" s="31"/>
      <c r="AI182" s="31">
        <v>2001.16666666728</v>
      </c>
      <c r="AJ182" s="2">
        <v>-0.80929763072000938</v>
      </c>
      <c r="AK182" s="2">
        <v>2.2400554914402537</v>
      </c>
      <c r="AL182" s="2">
        <v>-0.65866085492017856</v>
      </c>
      <c r="AM182" s="31"/>
      <c r="AN182" s="2">
        <f t="shared" si="26"/>
        <v>-1.1449121676554037</v>
      </c>
      <c r="AO182" s="2">
        <f t="shared" si="19"/>
        <v>0.45505483928346496</v>
      </c>
      <c r="AP182" s="2">
        <f t="shared" si="20"/>
        <v>-0.75011019462672002</v>
      </c>
      <c r="AQ182" s="31"/>
      <c r="AR182" s="31">
        <v>2001.16666666728</v>
      </c>
      <c r="AS182" s="2">
        <v>-0.62772402926283954</v>
      </c>
      <c r="AT182" s="2">
        <v>-1.1019061349826649</v>
      </c>
      <c r="AU182" s="2">
        <v>-1.1880502310631584</v>
      </c>
      <c r="AV182" s="31"/>
      <c r="AW182" s="31">
        <v>2001.16666666728</v>
      </c>
      <c r="AX182" s="2">
        <v>-1.4842995188055517</v>
      </c>
      <c r="AY182" s="2">
        <v>-1.1557656163069592</v>
      </c>
      <c r="AZ182" s="2">
        <v>-1.0032710988697604</v>
      </c>
      <c r="BA182" s="31"/>
      <c r="BB182" s="31">
        <v>2001.16666666728</v>
      </c>
      <c r="BC182" s="2">
        <v>-1.279351761101442</v>
      </c>
      <c r="BD182" s="2">
        <v>5.9393105814019416</v>
      </c>
      <c r="BE182" s="2">
        <v>-1.2306640238261592</v>
      </c>
      <c r="BG182" s="2">
        <f t="shared" si="27"/>
        <v>-1.1304584363899444</v>
      </c>
      <c r="BH182" s="2">
        <f t="shared" si="21"/>
        <v>1.2272129433707726</v>
      </c>
      <c r="BI182" s="2">
        <f t="shared" si="22"/>
        <v>-1.1406617845863594</v>
      </c>
    </row>
    <row r="183" spans="1:61" x14ac:dyDescent="0.3">
      <c r="A183" s="31">
        <v>2001.0833333339499</v>
      </c>
      <c r="B183">
        <v>0.58614764324994084</v>
      </c>
      <c r="C183">
        <v>3.0400000000000205E-2</v>
      </c>
      <c r="D183">
        <v>1.7818888354798321E-2</v>
      </c>
      <c r="F183" s="31">
        <v>2001.0833333339499</v>
      </c>
      <c r="G183" s="2">
        <v>0.56470724277076667</v>
      </c>
      <c r="H183" s="2">
        <v>9.2249999999999804E-2</v>
      </c>
      <c r="I183" s="2">
        <v>5.3195920603195723E-2</v>
      </c>
      <c r="K183" s="31">
        <v>2001.0833333339499</v>
      </c>
      <c r="L183" s="2">
        <v>0.5333525263340253</v>
      </c>
      <c r="M183" s="2">
        <v>0.1230299999999999</v>
      </c>
      <c r="N183" s="2">
        <v>4.973876479888064E-2</v>
      </c>
      <c r="P183" s="31">
        <v>2001.0833333339499</v>
      </c>
      <c r="Q183" s="2">
        <v>0.52886982161860363</v>
      </c>
      <c r="R183" s="2">
        <v>9.5850000000000463E-2</v>
      </c>
      <c r="S183" s="2">
        <v>3.5299349659952919E-2</v>
      </c>
      <c r="U183" s="2">
        <f t="shared" si="23"/>
        <v>0.5423098635744652</v>
      </c>
      <c r="V183" s="2">
        <f t="shared" si="24"/>
        <v>0.10371000000000004</v>
      </c>
      <c r="W183" s="2">
        <f t="shared" si="25"/>
        <v>4.6078011687343094E-2</v>
      </c>
      <c r="Y183" s="31">
        <v>2001.0833333339499</v>
      </c>
      <c r="Z183" s="2">
        <v>-0.97969397674388492</v>
      </c>
      <c r="AA183" s="2">
        <v>-0.18830136807447412</v>
      </c>
      <c r="AB183" s="2">
        <v>-0.50592254196291275</v>
      </c>
      <c r="AD183" s="31">
        <v>2001.0833333339499</v>
      </c>
      <c r="AE183" s="2">
        <v>-1.6418716972620426</v>
      </c>
      <c r="AF183" s="2">
        <v>0.82033858713866403</v>
      </c>
      <c r="AG183" s="2">
        <v>-0.39344712507122359</v>
      </c>
      <c r="AH183" s="31"/>
      <c r="AI183" s="31">
        <v>2001.0833333339499</v>
      </c>
      <c r="AJ183" s="2">
        <v>-0.93612003928696585</v>
      </c>
      <c r="AK183" s="2">
        <v>-4.4052846898962821E-2</v>
      </c>
      <c r="AL183" s="2">
        <v>-0.77589322096712354</v>
      </c>
      <c r="AM183" s="31"/>
      <c r="AN183" s="2">
        <f t="shared" si="26"/>
        <v>-1.1858952377642977</v>
      </c>
      <c r="AO183" s="2">
        <f t="shared" si="19"/>
        <v>0.19599479072174239</v>
      </c>
      <c r="AP183" s="2">
        <f t="shared" si="20"/>
        <v>-0.55842096266708663</v>
      </c>
      <c r="AQ183" s="31"/>
      <c r="AR183" s="31">
        <v>2001.0833333339499</v>
      </c>
      <c r="AS183" s="2">
        <v>-0.5972788331098966</v>
      </c>
      <c r="AT183" s="2">
        <v>0.50956041230593874</v>
      </c>
      <c r="AU183" s="2">
        <v>8.2295661258791244E-2</v>
      </c>
      <c r="AV183" s="31"/>
      <c r="AW183" s="31">
        <v>2001.0833333339499</v>
      </c>
      <c r="AX183" s="2">
        <v>-1.4294106413228864</v>
      </c>
      <c r="AY183" s="2">
        <v>1.9921056283099188</v>
      </c>
      <c r="AZ183" s="2">
        <v>-0.27018239462731503</v>
      </c>
      <c r="BA183" s="31"/>
      <c r="BB183" s="31">
        <v>2001.0833333339499</v>
      </c>
      <c r="BC183" s="2">
        <v>-1.3953452227431125</v>
      </c>
      <c r="BD183" s="2">
        <v>0.77441334649330551</v>
      </c>
      <c r="BE183" s="2">
        <v>-1.3349209529853223</v>
      </c>
      <c r="BG183" s="2">
        <f t="shared" si="27"/>
        <v>-1.1406782323919653</v>
      </c>
      <c r="BH183" s="2">
        <f t="shared" si="21"/>
        <v>1.0920264623697211</v>
      </c>
      <c r="BI183" s="2">
        <f t="shared" si="22"/>
        <v>-0.50760256211794863</v>
      </c>
    </row>
    <row r="184" spans="1:61" x14ac:dyDescent="0.3">
      <c r="A184" s="31">
        <v>2001.00000000062</v>
      </c>
      <c r="B184">
        <v>0.59007427813867608</v>
      </c>
      <c r="C184">
        <v>3.0400000000000205E-2</v>
      </c>
      <c r="D184">
        <v>1.7938258055415872E-2</v>
      </c>
      <c r="F184" s="31">
        <v>2001.00000000062</v>
      </c>
      <c r="G184" s="2">
        <v>0.58552696313975916</v>
      </c>
      <c r="H184" s="2">
        <v>9.2249999999999804E-2</v>
      </c>
      <c r="I184" s="2">
        <v>5.5491494222438202E-2</v>
      </c>
      <c r="K184" s="31">
        <v>2001.00000000062</v>
      </c>
      <c r="L184" s="2">
        <v>0.60331840111077439</v>
      </c>
      <c r="M184" s="2">
        <v>9.2279999999999945E-2</v>
      </c>
      <c r="N184" s="2">
        <v>5.8233608092949231E-2</v>
      </c>
      <c r="P184" s="31">
        <v>2001.00000000062</v>
      </c>
      <c r="Q184" s="2">
        <v>0.55735648551907091</v>
      </c>
      <c r="R184" s="2">
        <v>7.1900000000000297E-2</v>
      </c>
      <c r="S184" s="2">
        <v>3.6189824487949607E-2</v>
      </c>
      <c r="U184" s="2">
        <f t="shared" si="23"/>
        <v>0.5820672832565349</v>
      </c>
      <c r="V184" s="2">
        <f t="shared" si="24"/>
        <v>8.5476666666666687E-2</v>
      </c>
      <c r="W184" s="2">
        <f t="shared" si="25"/>
        <v>4.9971642267779011E-2</v>
      </c>
      <c r="Y184" s="31">
        <v>2001.00000000062</v>
      </c>
      <c r="Z184" s="2">
        <v>-0.85897965173002311</v>
      </c>
      <c r="AA184" s="2">
        <v>-0.18830136807447412</v>
      </c>
      <c r="AB184" s="2">
        <v>-0.45309166192900513</v>
      </c>
      <c r="AD184" s="31">
        <v>2001.00000000062</v>
      </c>
      <c r="AE184" s="2">
        <v>-1.225521800538107</v>
      </c>
      <c r="AF184" s="2">
        <v>6.7241855071186282E-2</v>
      </c>
      <c r="AG184" s="2">
        <v>-7.0432319184933451E-2</v>
      </c>
      <c r="AH184" s="31"/>
      <c r="AI184" s="31">
        <v>2001.00000000062</v>
      </c>
      <c r="AJ184" s="2">
        <v>-0.86586069131452936</v>
      </c>
      <c r="AK184" s="2">
        <v>-0.61478205611361436</v>
      </c>
      <c r="AL184" s="2">
        <v>-0.70392694692658897</v>
      </c>
      <c r="AM184" s="31"/>
      <c r="AN184" s="2">
        <f t="shared" si="26"/>
        <v>-0.98345404786088642</v>
      </c>
      <c r="AO184" s="2">
        <f t="shared" si="19"/>
        <v>-0.24528052303896741</v>
      </c>
      <c r="AP184" s="2">
        <f t="shared" si="20"/>
        <v>-0.40915030934684249</v>
      </c>
      <c r="AQ184" s="31"/>
      <c r="AR184" s="31">
        <v>2001.00000000062</v>
      </c>
      <c r="AS184" s="2">
        <v>-0.32344473861967471</v>
      </c>
      <c r="AT184" s="2">
        <v>1.1022754559566796</v>
      </c>
      <c r="AU184" s="2">
        <v>0.71822189841784578</v>
      </c>
      <c r="AV184" s="31"/>
      <c r="AW184" s="31">
        <v>2001.00000000062</v>
      </c>
      <c r="AX184" s="2">
        <v>-0.69245922394763326</v>
      </c>
      <c r="AY184" s="2">
        <v>1.4899203771942273</v>
      </c>
      <c r="AZ184" s="2">
        <v>0.76048626448909784</v>
      </c>
      <c r="BA184" s="31"/>
      <c r="BB184" s="31">
        <v>2001.00000000062</v>
      </c>
      <c r="BC184" s="2">
        <v>-1.331085088622517</v>
      </c>
      <c r="BD184" s="2">
        <v>-0.51613739712758211</v>
      </c>
      <c r="BE184" s="2">
        <v>-1.2709200035249284</v>
      </c>
      <c r="BG184" s="2">
        <f t="shared" si="27"/>
        <v>-0.78232968372994172</v>
      </c>
      <c r="BH184" s="2">
        <f t="shared" si="21"/>
        <v>0.69201947867444158</v>
      </c>
      <c r="BI184" s="2">
        <f t="shared" si="22"/>
        <v>6.926271979400507E-2</v>
      </c>
    </row>
    <row r="185" spans="1:61" x14ac:dyDescent="0.3">
      <c r="A185" s="31">
        <v>2000.91666666729</v>
      </c>
      <c r="B185">
        <v>0.60168408806862361</v>
      </c>
      <c r="C185">
        <v>3.0400000000000205E-2</v>
      </c>
      <c r="D185">
        <v>1.829119627728628E-2</v>
      </c>
      <c r="F185" s="31">
        <v>2000.91666666729</v>
      </c>
      <c r="G185" s="2">
        <v>0.61691147536788504</v>
      </c>
      <c r="H185" s="2">
        <v>9.2249999999999804E-2</v>
      </c>
      <c r="I185" s="2">
        <v>5.9079808687558522E-2</v>
      </c>
      <c r="K185" s="31">
        <v>2000.91666666729</v>
      </c>
      <c r="L185" s="2">
        <v>0.61233564974872334</v>
      </c>
      <c r="M185" s="2">
        <v>0.1230299999999999</v>
      </c>
      <c r="N185" s="2">
        <v>5.9079940220621185E-2</v>
      </c>
      <c r="P185" s="31">
        <v>2000.91666666729</v>
      </c>
      <c r="Q185" s="2">
        <v>0.6129537066198667</v>
      </c>
      <c r="R185" s="2">
        <v>7.1900000000000297E-2</v>
      </c>
      <c r="S185" s="2">
        <v>3.7878317258311318E-2</v>
      </c>
      <c r="U185" s="2">
        <f t="shared" si="23"/>
        <v>0.61406694391215833</v>
      </c>
      <c r="V185" s="2">
        <f t="shared" si="24"/>
        <v>9.5726666666666668E-2</v>
      </c>
      <c r="W185" s="2">
        <f t="shared" si="25"/>
        <v>5.2012688722163671E-2</v>
      </c>
      <c r="Y185" s="31">
        <v>2000.91666666729</v>
      </c>
      <c r="Z185" s="2">
        <v>-0.67700985855499385</v>
      </c>
      <c r="AA185" s="2">
        <v>-0.18830136807447412</v>
      </c>
      <c r="AB185" s="2">
        <v>-0.37050933503623279</v>
      </c>
      <c r="AD185" s="31">
        <v>2000.91666666729</v>
      </c>
      <c r="AE185" s="2">
        <v>-1.1718623479674986</v>
      </c>
      <c r="AF185" s="2">
        <v>0.82033858713866403</v>
      </c>
      <c r="AG185" s="2">
        <v>-3.8250700469710103E-2</v>
      </c>
      <c r="AH185" s="31"/>
      <c r="AI185" s="31">
        <v>2000.91666666729</v>
      </c>
      <c r="AJ185" s="2">
        <v>-0.74048013934425916</v>
      </c>
      <c r="AK185" s="2">
        <v>-0.61478205611361436</v>
      </c>
      <c r="AL185" s="2">
        <v>-0.56746656690586983</v>
      </c>
      <c r="AM185" s="31"/>
      <c r="AN185" s="2">
        <f t="shared" si="26"/>
        <v>-0.86311744862225048</v>
      </c>
      <c r="AO185" s="2">
        <f t="shared" si="19"/>
        <v>5.7517209835251841E-3</v>
      </c>
      <c r="AP185" s="2">
        <f t="shared" si="20"/>
        <v>-0.32540886747060421</v>
      </c>
      <c r="AQ185" s="31"/>
      <c r="AR185" s="31">
        <v>2000.91666666729</v>
      </c>
      <c r="AS185" s="2">
        <v>-0.41024024699033612</v>
      </c>
      <c r="AT185" s="2">
        <v>0.68444756444045307</v>
      </c>
      <c r="AU185" s="2">
        <v>0.32987139145769528</v>
      </c>
      <c r="AV185" s="31"/>
      <c r="AW185" s="31">
        <v>2000.91666666729</v>
      </c>
      <c r="AX185" s="2">
        <v>-0.86201208533795404</v>
      </c>
      <c r="AY185" s="2">
        <v>2.631330707273849</v>
      </c>
      <c r="AZ185" s="2">
        <v>0.84956417304839116</v>
      </c>
      <c r="BA185" s="31"/>
      <c r="BB185" s="31">
        <v>2000.91666666729</v>
      </c>
      <c r="BC185" s="2">
        <v>-1.21641036820119</v>
      </c>
      <c r="BD185" s="2">
        <v>-0.51613739712758211</v>
      </c>
      <c r="BE185" s="2">
        <v>-1.1495632429938347</v>
      </c>
      <c r="BG185" s="2">
        <f t="shared" si="27"/>
        <v>-0.8295542335098266</v>
      </c>
      <c r="BH185" s="2">
        <f t="shared" si="21"/>
        <v>0.93321362486224002</v>
      </c>
      <c r="BI185" s="2">
        <f t="shared" si="22"/>
        <v>9.9574405040839063E-3</v>
      </c>
    </row>
    <row r="186" spans="1:61" x14ac:dyDescent="0.3">
      <c r="A186" s="31">
        <v>2000.8333333339599</v>
      </c>
      <c r="B186">
        <v>0.61833910982184037</v>
      </c>
      <c r="C186">
        <v>3.0400000000000205E-2</v>
      </c>
      <c r="D186">
        <v>1.8797508938584073E-2</v>
      </c>
      <c r="F186" s="31">
        <v>2000.8333333339599</v>
      </c>
      <c r="G186" s="2">
        <v>0.66136167770222554</v>
      </c>
      <c r="H186" s="2">
        <v>9.2249999999999804E-2</v>
      </c>
      <c r="I186" s="2">
        <v>6.4273169282772297E-2</v>
      </c>
      <c r="K186" s="31">
        <v>2000.8333333339599</v>
      </c>
      <c r="L186" s="2">
        <v>0.58763815000151343</v>
      </c>
      <c r="M186" s="2">
        <v>6.1514999999999952E-2</v>
      </c>
      <c r="N186" s="2">
        <v>3.6149053653324228E-2</v>
      </c>
      <c r="P186" s="31">
        <v>2000.8333333339599</v>
      </c>
      <c r="Q186" s="2">
        <v>0.67765590432150558</v>
      </c>
      <c r="R186" s="2">
        <v>4.7900000000000303E-2</v>
      </c>
      <c r="S186" s="2">
        <v>3.1080128682682326E-2</v>
      </c>
      <c r="U186" s="2">
        <f t="shared" si="23"/>
        <v>0.64221857734174814</v>
      </c>
      <c r="V186" s="2">
        <f t="shared" si="24"/>
        <v>6.7221666666666693E-2</v>
      </c>
      <c r="W186" s="2">
        <f t="shared" si="25"/>
        <v>4.3834117206259619E-2</v>
      </c>
      <c r="Y186" s="31">
        <v>2000.8333333339599</v>
      </c>
      <c r="Z186" s="2">
        <v>-0.41928419863158167</v>
      </c>
      <c r="AA186" s="2">
        <v>-0.18830136807447412</v>
      </c>
      <c r="AB186" s="2">
        <v>-0.25098809281656409</v>
      </c>
      <c r="AD186" s="31">
        <v>2000.8333333339599</v>
      </c>
      <c r="AE186" s="2">
        <v>-1.318831159576032</v>
      </c>
      <c r="AF186" s="2">
        <v>-0.68622224125583742</v>
      </c>
      <c r="AG186" s="2">
        <v>-0.91019331517430546</v>
      </c>
      <c r="AH186" s="31"/>
      <c r="AI186" s="31">
        <v>2000.8333333339599</v>
      </c>
      <c r="AJ186" s="2">
        <v>-0.12188653451445911</v>
      </c>
      <c r="AK186" s="2">
        <v>-1.186702766808877</v>
      </c>
      <c r="AL186" s="2">
        <v>-1.1168816504446129</v>
      </c>
      <c r="AM186" s="31"/>
      <c r="AN186" s="2">
        <f t="shared" si="26"/>
        <v>-0.62000063090735757</v>
      </c>
      <c r="AO186" s="2">
        <f t="shared" si="19"/>
        <v>-0.68707545871306286</v>
      </c>
      <c r="AP186" s="2">
        <f t="shared" si="20"/>
        <v>-0.7593543528118275</v>
      </c>
      <c r="AQ186" s="31"/>
      <c r="AR186" s="31">
        <v>2000.8333333339599</v>
      </c>
      <c r="AS186" s="2">
        <v>-0.1585726001976954</v>
      </c>
      <c r="AT186" s="2">
        <v>1.0321667531313465</v>
      </c>
      <c r="AU186" s="2">
        <v>0.90100292850175268</v>
      </c>
      <c r="AV186" s="31"/>
      <c r="AW186" s="31">
        <v>2000.8333333339599</v>
      </c>
      <c r="AX186" s="2">
        <v>-0.7198705332266615</v>
      </c>
      <c r="AY186" s="2">
        <v>-0.19138401234735175</v>
      </c>
      <c r="AZ186" s="2">
        <v>-0.73334342287197896</v>
      </c>
      <c r="BA186" s="31"/>
      <c r="BB186" s="31">
        <v>2000.8333333339599</v>
      </c>
      <c r="BC186" s="2">
        <v>-0.65063642979088232</v>
      </c>
      <c r="BD186" s="2">
        <v>-1.8093824011735564</v>
      </c>
      <c r="BE186" s="2">
        <v>-1.6381683217358003</v>
      </c>
      <c r="BG186" s="2">
        <f t="shared" si="27"/>
        <v>-0.5096931877384131</v>
      </c>
      <c r="BH186" s="2">
        <f t="shared" si="21"/>
        <v>-0.32286655346318721</v>
      </c>
      <c r="BI186" s="2">
        <f t="shared" si="22"/>
        <v>-0.49016960536867554</v>
      </c>
    </row>
    <row r="187" spans="1:61" x14ac:dyDescent="0.3">
      <c r="A187" s="31">
        <v>2000.7500000006301</v>
      </c>
      <c r="B187">
        <v>0.63815648834287519</v>
      </c>
      <c r="C187">
        <v>3.0400000000000205E-2</v>
      </c>
      <c r="D187">
        <v>1.9399957245623538E-2</v>
      </c>
      <c r="F187" s="31">
        <v>2000.7500000006301</v>
      </c>
      <c r="G187" s="2">
        <v>0.70204121934192021</v>
      </c>
      <c r="H187" s="2">
        <v>9.2249999999999804E-2</v>
      </c>
      <c r="I187" s="2">
        <v>6.8761060299688384E-2</v>
      </c>
      <c r="K187" s="31">
        <v>2000.7500000006301</v>
      </c>
      <c r="L187" s="2">
        <v>0.57838020527641931</v>
      </c>
      <c r="M187" s="2">
        <v>0.1230299999999999</v>
      </c>
      <c r="N187" s="2">
        <v>5.3121016714009123E-2</v>
      </c>
      <c r="P187" s="31">
        <v>2000.7500000006301</v>
      </c>
      <c r="Q187" s="2">
        <v>0.6753218069578113</v>
      </c>
      <c r="R187" s="2">
        <v>9.5850000000000463E-2</v>
      </c>
      <c r="S187" s="2">
        <v>4.0756088450805236E-2</v>
      </c>
      <c r="U187" s="2">
        <f t="shared" si="23"/>
        <v>0.65191441052538357</v>
      </c>
      <c r="V187" s="2">
        <f t="shared" si="24"/>
        <v>0.10371000000000004</v>
      </c>
      <c r="W187" s="2">
        <f t="shared" si="25"/>
        <v>5.4212721821500914E-2</v>
      </c>
      <c r="Y187" s="31">
        <v>2000.7500000006301</v>
      </c>
      <c r="Z187" s="2">
        <v>-0.18342111671322153</v>
      </c>
      <c r="AA187" s="2">
        <v>-0.18830136807447412</v>
      </c>
      <c r="AB187" s="2">
        <v>-0.14770269611550499</v>
      </c>
      <c r="AD187" s="31">
        <v>2000.7500000006301</v>
      </c>
      <c r="AE187" s="2">
        <v>-1.3739229359951524</v>
      </c>
      <c r="AF187" s="2">
        <v>0.82033858713866403</v>
      </c>
      <c r="AG187" s="2">
        <v>-0.26483763717324255</v>
      </c>
      <c r="AH187" s="31"/>
      <c r="AI187" s="31">
        <v>2000.7500000006301</v>
      </c>
      <c r="AJ187" s="2">
        <v>-0.46103028135464569</v>
      </c>
      <c r="AK187" s="2">
        <v>-4.4052846898962821E-2</v>
      </c>
      <c r="AL187" s="2">
        <v>-0.33489124444459989</v>
      </c>
      <c r="AM187" s="31"/>
      <c r="AN187" s="2">
        <f t="shared" si="26"/>
        <v>-0.67279144468767316</v>
      </c>
      <c r="AO187" s="2">
        <f t="shared" si="19"/>
        <v>0.19599479072174239</v>
      </c>
      <c r="AP187" s="2">
        <f t="shared" si="20"/>
        <v>-0.24914385924444915</v>
      </c>
      <c r="AQ187" s="31"/>
      <c r="AR187" s="31">
        <v>2000.7500000006301</v>
      </c>
      <c r="AS187" s="2">
        <v>-0.30222085292170547</v>
      </c>
      <c r="AT187" s="2">
        <v>0.89414149018552891</v>
      </c>
      <c r="AU187" s="2">
        <v>0.62805227345860182</v>
      </c>
      <c r="AV187" s="31"/>
      <c r="AW187" s="31">
        <v>2000.7500000006301</v>
      </c>
      <c r="AX187" s="2">
        <v>-1.494260226757139</v>
      </c>
      <c r="AY187" s="2">
        <v>2.581892958774429</v>
      </c>
      <c r="AZ187" s="2">
        <v>-8.4383493023065859E-2</v>
      </c>
      <c r="BA187" s="31"/>
      <c r="BB187" s="31">
        <v>2000.7500000006301</v>
      </c>
      <c r="BC187" s="2">
        <v>-0.96082181133842393</v>
      </c>
      <c r="BD187" s="2">
        <v>0.77441334649330551</v>
      </c>
      <c r="BE187" s="2">
        <v>-0.94272967189364587</v>
      </c>
      <c r="BG187" s="2">
        <f t="shared" si="27"/>
        <v>-0.91910096367242289</v>
      </c>
      <c r="BH187" s="2">
        <f t="shared" si="21"/>
        <v>1.4168159318177544</v>
      </c>
      <c r="BI187" s="2">
        <f t="shared" si="22"/>
        <v>-0.13302029715270333</v>
      </c>
    </row>
    <row r="188" spans="1:61" x14ac:dyDescent="0.3">
      <c r="A188" s="31">
        <v>2000.6666666673</v>
      </c>
      <c r="B188">
        <v>0.64862398829366708</v>
      </c>
      <c r="C188">
        <v>3.0400000000000205E-2</v>
      </c>
      <c r="D188">
        <v>1.9718169244127611E-2</v>
      </c>
      <c r="F188" s="31">
        <v>2000.6666666673</v>
      </c>
      <c r="G188" s="2">
        <v>0.7375398605182405</v>
      </c>
      <c r="H188" s="2">
        <v>9.2249999999999804E-2</v>
      </c>
      <c r="I188" s="2">
        <v>7.228461348542603E-2</v>
      </c>
      <c r="K188" s="31">
        <v>2000.6666666673</v>
      </c>
      <c r="L188" s="2">
        <v>0.60443449455367693</v>
      </c>
      <c r="M188" s="2">
        <v>9.2279999999999945E-2</v>
      </c>
      <c r="N188" s="2">
        <v>5.5211001779685284E-2</v>
      </c>
      <c r="P188" s="31">
        <v>2000.6666666673</v>
      </c>
      <c r="Q188" s="2">
        <v>0.64687628180543233</v>
      </c>
      <c r="R188" s="2">
        <v>7.1900000000000297E-2</v>
      </c>
      <c r="S188" s="2">
        <v>4.3433140480504562E-2</v>
      </c>
      <c r="U188" s="2">
        <f t="shared" si="23"/>
        <v>0.66295021229244988</v>
      </c>
      <c r="V188" s="2">
        <f t="shared" si="24"/>
        <v>8.5476666666666687E-2</v>
      </c>
      <c r="W188" s="2">
        <f t="shared" si="25"/>
        <v>5.6976251915205299E-2</v>
      </c>
      <c r="Y188" s="31">
        <v>2000.6666666673</v>
      </c>
      <c r="Z188" s="2">
        <v>2.2402709570769709E-2</v>
      </c>
      <c r="AA188" s="2">
        <v>-0.18830136807447412</v>
      </c>
      <c r="AB188" s="2">
        <v>-6.6610800787736194E-2</v>
      </c>
      <c r="AD188" s="31">
        <v>2000.6666666673</v>
      </c>
      <c r="AE188" s="2">
        <v>-1.2188802000268653</v>
      </c>
      <c r="AF188" s="2">
        <v>6.7241855071186282E-2</v>
      </c>
      <c r="AG188" s="2">
        <v>-0.18536635125016879</v>
      </c>
      <c r="AH188" s="31"/>
      <c r="AI188" s="31">
        <v>2000.6666666673</v>
      </c>
      <c r="AJ188" s="2">
        <v>-0.19488084183378196</v>
      </c>
      <c r="AK188" s="2">
        <v>-0.61478205611361436</v>
      </c>
      <c r="AL188" s="2">
        <v>-0.11853761609607587</v>
      </c>
      <c r="AM188" s="31"/>
      <c r="AN188" s="2">
        <f t="shared" si="26"/>
        <v>-0.46378611076329251</v>
      </c>
      <c r="AO188" s="2">
        <f t="shared" si="19"/>
        <v>-0.24528052303896741</v>
      </c>
      <c r="AP188" s="2">
        <f t="shared" si="20"/>
        <v>-0.12350492271132694</v>
      </c>
      <c r="AQ188" s="31"/>
      <c r="AR188" s="31">
        <v>2000.6666666673</v>
      </c>
      <c r="AS188" s="2">
        <v>-0.1305941432663322</v>
      </c>
      <c r="AT188" s="2">
        <v>0.70701225639459853</v>
      </c>
      <c r="AU188" s="2">
        <v>0.66217015211333663</v>
      </c>
      <c r="AV188" s="31"/>
      <c r="AW188" s="31">
        <v>2000.6666666673</v>
      </c>
      <c r="AX188" s="2">
        <v>-0.83790410864483955</v>
      </c>
      <c r="AY188" s="2">
        <v>1.1130637033735793</v>
      </c>
      <c r="AZ188" s="2">
        <v>0.2261969537959303</v>
      </c>
      <c r="BA188" s="31"/>
      <c r="BB188" s="31">
        <v>2000.6666666673</v>
      </c>
      <c r="BC188" s="2">
        <v>-0.7173979941057097</v>
      </c>
      <c r="BD188" s="2">
        <v>-0.51613739712758211</v>
      </c>
      <c r="BE188" s="2">
        <v>-0.75032235585408524</v>
      </c>
      <c r="BG188" s="2">
        <f t="shared" si="27"/>
        <v>-0.56196541533896049</v>
      </c>
      <c r="BH188" s="2">
        <f t="shared" si="21"/>
        <v>0.43464618754686524</v>
      </c>
      <c r="BI188" s="2">
        <f t="shared" si="22"/>
        <v>4.601491668506056E-2</v>
      </c>
    </row>
    <row r="189" spans="1:61" x14ac:dyDescent="0.3">
      <c r="A189" s="31">
        <v>2000.5833333339699</v>
      </c>
      <c r="B189">
        <v>0.65457594534309282</v>
      </c>
      <c r="C189">
        <v>3.0400000000000205E-2</v>
      </c>
      <c r="D189">
        <v>1.9899108738430156E-2</v>
      </c>
      <c r="F189" s="31">
        <v>2000.5833333339699</v>
      </c>
      <c r="G189" s="2">
        <v>0.76926813247378512</v>
      </c>
      <c r="H189" s="2">
        <v>9.2249999999999804E-2</v>
      </c>
      <c r="I189" s="2">
        <v>7.5315202699917733E-2</v>
      </c>
      <c r="K189" s="31">
        <v>2000.5833333339699</v>
      </c>
      <c r="L189" s="2">
        <v>0.64948275433194569</v>
      </c>
      <c r="M189" s="2">
        <v>0.1230299999999999</v>
      </c>
      <c r="N189" s="2">
        <v>5.9399722583021203E-2</v>
      </c>
      <c r="P189" s="31">
        <v>2000.5833333339699</v>
      </c>
      <c r="Q189" s="2">
        <v>0.67469259658050995</v>
      </c>
      <c r="R189" s="2">
        <v>7.1900000000000297E-2</v>
      </c>
      <c r="S189" s="2">
        <v>4.5755167578695077E-2</v>
      </c>
      <c r="U189" s="2">
        <f t="shared" si="23"/>
        <v>0.69781449446208033</v>
      </c>
      <c r="V189" s="2">
        <f t="shared" si="24"/>
        <v>9.5726666666666668E-2</v>
      </c>
      <c r="W189" s="2">
        <f t="shared" si="25"/>
        <v>6.0156697620544673E-2</v>
      </c>
      <c r="Y189" s="31">
        <v>2000.5833333339699</v>
      </c>
      <c r="Z189" s="2">
        <v>0.20636564783741626</v>
      </c>
      <c r="AA189" s="2">
        <v>-0.18830136807447412</v>
      </c>
      <c r="AB189" s="2">
        <v>3.135903861927788E-3</v>
      </c>
      <c r="AD189" s="31">
        <v>2000.5833333339699</v>
      </c>
      <c r="AE189" s="2">
        <v>-0.95080896721340624</v>
      </c>
      <c r="AF189" s="2">
        <v>0.82033858713866403</v>
      </c>
      <c r="AG189" s="2">
        <v>-2.6091036760713275E-2</v>
      </c>
      <c r="AH189" s="31"/>
      <c r="AI189" s="31">
        <v>2000.5833333339699</v>
      </c>
      <c r="AJ189" s="2">
        <v>2.1536264707891453E-2</v>
      </c>
      <c r="AK189" s="2">
        <v>-0.61478205611361436</v>
      </c>
      <c r="AL189" s="2">
        <v>6.9123655423378838E-2</v>
      </c>
      <c r="AM189" s="31"/>
      <c r="AN189" s="2">
        <f t="shared" si="26"/>
        <v>-0.24096901822269948</v>
      </c>
      <c r="AO189" s="2">
        <f t="shared" si="19"/>
        <v>5.7517209835251841E-3</v>
      </c>
      <c r="AP189" s="2">
        <f t="shared" si="20"/>
        <v>1.5389507508197784E-2</v>
      </c>
      <c r="AQ189" s="31"/>
      <c r="AR189" s="31">
        <v>2000.5833333339699</v>
      </c>
      <c r="AS189" s="2">
        <v>-0.28255401322243101</v>
      </c>
      <c r="AT189" s="2">
        <v>0.98806436351113314</v>
      </c>
      <c r="AU189" s="2">
        <v>0.62685635159603825</v>
      </c>
      <c r="AV189" s="31"/>
      <c r="AW189" s="31">
        <v>2000.5833333339699</v>
      </c>
      <c r="AX189" s="2">
        <v>-1.3042809780095079</v>
      </c>
      <c r="AY189" s="2">
        <v>3.4275124792366625</v>
      </c>
      <c r="AZ189" s="2">
        <v>0.51989242510850475</v>
      </c>
      <c r="BA189" s="31"/>
      <c r="BB189" s="31">
        <v>2000.5833333339699</v>
      </c>
      <c r="BC189" s="2">
        <v>-0.51946003006688846</v>
      </c>
      <c r="BD189" s="2">
        <v>-0.51613739712758211</v>
      </c>
      <c r="BE189" s="2">
        <v>-0.58343168776940624</v>
      </c>
      <c r="BG189" s="2">
        <f t="shared" si="27"/>
        <v>-0.7020983404329425</v>
      </c>
      <c r="BH189" s="2">
        <f t="shared" si="21"/>
        <v>1.2998131485400712</v>
      </c>
      <c r="BI189" s="2">
        <f t="shared" si="22"/>
        <v>0.18777236297837893</v>
      </c>
    </row>
    <row r="190" spans="1:61" x14ac:dyDescent="0.3">
      <c r="A190" s="31">
        <v>2000.5000000006401</v>
      </c>
      <c r="B190">
        <v>0.65756910113019607</v>
      </c>
      <c r="C190">
        <v>3.0400000000000205E-2</v>
      </c>
      <c r="D190">
        <v>1.9990100674358094E-2</v>
      </c>
      <c r="F190" s="31">
        <v>2000.5000000006401</v>
      </c>
      <c r="G190" s="2">
        <v>0.92898853151173688</v>
      </c>
      <c r="H190" s="2">
        <v>6.1499999999999902E-2</v>
      </c>
      <c r="I190" s="2">
        <v>5.7132794687971729E-2</v>
      </c>
      <c r="K190" s="31">
        <v>2000.5000000006401</v>
      </c>
      <c r="L190" s="2">
        <v>0.72651371586907554</v>
      </c>
      <c r="M190" s="2">
        <v>6.1514999999999952E-2</v>
      </c>
      <c r="N190" s="2">
        <v>4.469168010869766E-2</v>
      </c>
      <c r="P190" s="31">
        <v>2000.5000000006401</v>
      </c>
      <c r="Q190" s="2">
        <v>0.59284198096388652</v>
      </c>
      <c r="R190" s="2">
        <v>4.7900000000000303E-2</v>
      </c>
      <c r="S190" s="2">
        <v>3.8385292018086638E-2</v>
      </c>
      <c r="U190" s="2">
        <f t="shared" si="23"/>
        <v>0.74944807611489972</v>
      </c>
      <c r="V190" s="2">
        <f t="shared" si="24"/>
        <v>5.6971666666666719E-2</v>
      </c>
      <c r="W190" s="2">
        <f t="shared" si="25"/>
        <v>4.6736588938252006E-2</v>
      </c>
      <c r="Y190" s="31">
        <v>2000.5000000006401</v>
      </c>
      <c r="Z190" s="2">
        <v>1.1324366910165631</v>
      </c>
      <c r="AA190" s="2">
        <v>-0.78876452892998072</v>
      </c>
      <c r="AB190" s="2">
        <v>-0.41531838065963222</v>
      </c>
      <c r="AD190" s="31">
        <v>2000.5000000006401</v>
      </c>
      <c r="AE190" s="2">
        <v>-0.4924164582529163</v>
      </c>
      <c r="AF190" s="2">
        <v>-0.68622224125583742</v>
      </c>
      <c r="AG190" s="2">
        <v>-0.58536156363767078</v>
      </c>
      <c r="AH190" s="31"/>
      <c r="AI190" s="31">
        <v>2000.5000000006401</v>
      </c>
      <c r="AJ190" s="2">
        <v>0.87251930312495551</v>
      </c>
      <c r="AK190" s="2">
        <v>-1.186702766808877</v>
      </c>
      <c r="AL190" s="2">
        <v>-0.52649394943648464</v>
      </c>
      <c r="AM190" s="31"/>
      <c r="AN190" s="2">
        <f t="shared" si="26"/>
        <v>0.50417984529620075</v>
      </c>
      <c r="AO190" s="2">
        <f t="shared" si="19"/>
        <v>-0.88722984566489826</v>
      </c>
      <c r="AP190" s="2">
        <f t="shared" si="20"/>
        <v>-0.50905796457792929</v>
      </c>
      <c r="AQ190" s="31"/>
      <c r="AR190" s="31">
        <v>2000.5000000006401</v>
      </c>
      <c r="AS190" s="2">
        <v>0.22585882066424587</v>
      </c>
      <c r="AT190" s="2">
        <v>-2.313009814913013E-2</v>
      </c>
      <c r="AU190" s="2">
        <v>0.19027362487888683</v>
      </c>
      <c r="AV190" s="31"/>
      <c r="AW190" s="31">
        <v>2000.5000000006401</v>
      </c>
      <c r="AX190" s="2">
        <v>-0.40590414861971996</v>
      </c>
      <c r="AY190" s="2">
        <v>-0.10780241638246968</v>
      </c>
      <c r="AZ190" s="2">
        <v>-0.40575245154326162</v>
      </c>
      <c r="BA190" s="31"/>
      <c r="BB190" s="31">
        <v>2000.5000000006401</v>
      </c>
      <c r="BC190" s="2">
        <v>0.2588603751336514</v>
      </c>
      <c r="BD190" s="2">
        <v>-1.8093824011735564</v>
      </c>
      <c r="BE190" s="2">
        <v>-1.1131255302613234</v>
      </c>
      <c r="BG190" s="2">
        <f t="shared" si="27"/>
        <v>2.627168239272577E-2</v>
      </c>
      <c r="BH190" s="2">
        <f t="shared" si="21"/>
        <v>-0.64677163856838538</v>
      </c>
      <c r="BI190" s="2">
        <f t="shared" si="22"/>
        <v>-0.44286811897523276</v>
      </c>
    </row>
    <row r="191" spans="1:61" x14ac:dyDescent="0.3">
      <c r="A191" s="31">
        <v>2000.41666666731</v>
      </c>
      <c r="B191">
        <v>0.65170424965796969</v>
      </c>
      <c r="C191">
        <v>0.30400000000000205</v>
      </c>
      <c r="D191">
        <v>0.19811809189602411</v>
      </c>
      <c r="F191" s="31">
        <v>2000.41666666731</v>
      </c>
      <c r="G191" s="2">
        <v>0.79160305165778555</v>
      </c>
      <c r="H191" s="2">
        <v>0.18449999999999961</v>
      </c>
      <c r="I191" s="2">
        <v>0.15446687769908826</v>
      </c>
      <c r="K191" s="31">
        <v>2000.41666666731</v>
      </c>
      <c r="L191" s="2">
        <v>0.7730698202384465</v>
      </c>
      <c r="M191" s="2">
        <v>6.1514999999999952E-2</v>
      </c>
      <c r="N191" s="2">
        <v>4.7556260184979923E-2</v>
      </c>
      <c r="P191" s="31">
        <v>2000.41666666731</v>
      </c>
      <c r="Q191" s="2">
        <v>0.55775929795579016</v>
      </c>
      <c r="R191" s="2">
        <v>0.16775000000000076</v>
      </c>
      <c r="S191" s="2">
        <v>4.5967160399617402E-2</v>
      </c>
      <c r="U191" s="2">
        <f t="shared" si="23"/>
        <v>0.707477389950674</v>
      </c>
      <c r="V191" s="2">
        <f t="shared" si="24"/>
        <v>0.13792166666666678</v>
      </c>
      <c r="W191" s="2">
        <f t="shared" si="25"/>
        <v>8.266343276122852E-2</v>
      </c>
      <c r="Y191" s="31">
        <v>2000.41666666731</v>
      </c>
      <c r="Z191" s="2">
        <v>0.33586521102805472</v>
      </c>
      <c r="AA191" s="2">
        <v>1.6130881144920477</v>
      </c>
      <c r="AB191" s="2">
        <v>1.8247514736313404</v>
      </c>
      <c r="AD191" s="31">
        <v>2000.41666666731</v>
      </c>
      <c r="AE191" s="2">
        <v>-0.21537240916603348</v>
      </c>
      <c r="AF191" s="2">
        <v>-0.68622224125583742</v>
      </c>
      <c r="AG191" s="2">
        <v>-0.4764364492765702</v>
      </c>
      <c r="AH191" s="31"/>
      <c r="AI191" s="31">
        <v>2000.41666666731</v>
      </c>
      <c r="AJ191" s="2">
        <v>-1.1480762196033015E-2</v>
      </c>
      <c r="AK191" s="2">
        <v>1.6693262822256021</v>
      </c>
      <c r="AL191" s="2">
        <v>8.6256462511754756E-2</v>
      </c>
      <c r="AM191" s="31"/>
      <c r="AN191" s="2">
        <f t="shared" si="26"/>
        <v>3.6337346555329407E-2</v>
      </c>
      <c r="AO191" s="2">
        <f t="shared" si="19"/>
        <v>0.86539738515393749</v>
      </c>
      <c r="AP191" s="2">
        <f t="shared" si="20"/>
        <v>0.47819049562217497</v>
      </c>
      <c r="AQ191" s="31"/>
      <c r="AR191" s="31">
        <v>2000.41666666731</v>
      </c>
      <c r="AS191" s="2">
        <v>-0.26384479618655515</v>
      </c>
      <c r="AT191" s="2">
        <v>0.30752807372934488</v>
      </c>
      <c r="AU191" s="2">
        <v>0.20315426747418019</v>
      </c>
      <c r="AV191" s="31"/>
      <c r="AW191" s="31">
        <v>2000.41666666731</v>
      </c>
      <c r="AX191" s="2">
        <v>-0.63692219624918334</v>
      </c>
      <c r="AY191" s="2">
        <v>-1.6534191247733234</v>
      </c>
      <c r="AZ191" s="2">
        <v>-1.1143233971738431</v>
      </c>
      <c r="BA191" s="31"/>
      <c r="BB191" s="31">
        <v>2000.41666666731</v>
      </c>
      <c r="BC191" s="2">
        <v>-0.54965784200704282</v>
      </c>
      <c r="BD191" s="2">
        <v>4.6487598377810535</v>
      </c>
      <c r="BE191" s="2">
        <v>-0.56819516295001338</v>
      </c>
      <c r="BG191" s="2">
        <f t="shared" si="27"/>
        <v>-0.4834749448142604</v>
      </c>
      <c r="BH191" s="2">
        <f t="shared" si="21"/>
        <v>1.1009562622456917</v>
      </c>
      <c r="BI191" s="2">
        <f t="shared" si="22"/>
        <v>-0.49312143088322546</v>
      </c>
    </row>
    <row r="192" spans="1:61" x14ac:dyDescent="0.3">
      <c r="A192" s="31">
        <v>2000.3333333339799</v>
      </c>
      <c r="B192">
        <v>0.53132733993770265</v>
      </c>
      <c r="C192">
        <v>0.30400000000000205</v>
      </c>
      <c r="D192">
        <v>0.16152351134106269</v>
      </c>
      <c r="F192" s="31">
        <v>2000.3333333339799</v>
      </c>
      <c r="G192" s="2">
        <v>0.73375636088736207</v>
      </c>
      <c r="H192" s="2">
        <v>0.18449999999999961</v>
      </c>
      <c r="I192" s="2">
        <v>0.14479063816774854</v>
      </c>
      <c r="K192" s="31">
        <v>2000.3333333339799</v>
      </c>
      <c r="L192" s="2">
        <v>0.68999544336844687</v>
      </c>
      <c r="M192" s="2">
        <v>6.1499999999999902E-2</v>
      </c>
      <c r="N192" s="2">
        <v>4.2434719767159415E-2</v>
      </c>
      <c r="P192" s="31">
        <v>2000.3333333339799</v>
      </c>
      <c r="Q192" s="2">
        <v>0.53984627686748232</v>
      </c>
      <c r="R192" s="2">
        <v>0.1198000000000006</v>
      </c>
      <c r="S192" s="2">
        <v>4.271788043734235E-2</v>
      </c>
      <c r="U192" s="2">
        <f t="shared" si="23"/>
        <v>0.65453269370776368</v>
      </c>
      <c r="V192" s="2">
        <f t="shared" si="24"/>
        <v>0.12193333333333338</v>
      </c>
      <c r="W192" s="2">
        <f t="shared" si="25"/>
        <v>7.6647746124083441E-2</v>
      </c>
      <c r="Y192" s="31">
        <v>2000.3333333339799</v>
      </c>
      <c r="Z192" s="2">
        <v>4.6569043520547349E-4</v>
      </c>
      <c r="AA192" s="2">
        <v>1.6130881144920477</v>
      </c>
      <c r="AB192" s="2">
        <v>1.6020601839360631</v>
      </c>
      <c r="AD192" s="31">
        <v>2000.3333333339799</v>
      </c>
      <c r="AE192" s="2">
        <v>-0.70972781229069892</v>
      </c>
      <c r="AF192" s="2">
        <v>-0.68658960551538373</v>
      </c>
      <c r="AG192" s="2">
        <v>-0.67118205277183385</v>
      </c>
      <c r="AH192" s="31"/>
      <c r="AI192" s="31">
        <v>2000.3333333339799</v>
      </c>
      <c r="AJ192" s="2">
        <v>-0.37524600505613465</v>
      </c>
      <c r="AK192" s="2">
        <v>0.52667636231568804</v>
      </c>
      <c r="AL192" s="2">
        <v>-0.17634340538745816</v>
      </c>
      <c r="AM192" s="31"/>
      <c r="AN192" s="2">
        <f t="shared" si="26"/>
        <v>-0.36150270897054271</v>
      </c>
      <c r="AO192" s="2">
        <f t="shared" si="19"/>
        <v>0.48439162376411732</v>
      </c>
      <c r="AP192" s="2">
        <f t="shared" si="20"/>
        <v>0.2515115752589237</v>
      </c>
      <c r="AQ192" s="31"/>
      <c r="AR192" s="31">
        <v>2000.3333333339799</v>
      </c>
      <c r="AS192" s="2">
        <v>-0.14092133494954256</v>
      </c>
      <c r="AT192" s="2">
        <v>0.58792153404252434</v>
      </c>
      <c r="AU192" s="2">
        <v>0.70744610568898925</v>
      </c>
      <c r="AV192" s="31"/>
      <c r="AW192" s="31">
        <v>2000.3333333339799</v>
      </c>
      <c r="AX192" s="2">
        <v>-0.82382233248311088</v>
      </c>
      <c r="AY192" s="2">
        <v>-1.2701823864982043</v>
      </c>
      <c r="AZ192" s="2">
        <v>-0.84437248384958608</v>
      </c>
      <c r="BA192" s="31"/>
      <c r="BB192" s="31">
        <v>2000.3333333339799</v>
      </c>
      <c r="BC192" s="2">
        <v>-0.88236237128578965</v>
      </c>
      <c r="BD192" s="2">
        <v>2.0649640901141915</v>
      </c>
      <c r="BE192" s="2">
        <v>-0.80173012217629547</v>
      </c>
      <c r="BG192" s="2">
        <f t="shared" si="27"/>
        <v>-0.61570201290614768</v>
      </c>
      <c r="BH192" s="2">
        <f t="shared" si="21"/>
        <v>0.46090107921950385</v>
      </c>
      <c r="BI192" s="2">
        <f t="shared" si="22"/>
        <v>-0.31288550011229738</v>
      </c>
    </row>
    <row r="193" spans="1:61" x14ac:dyDescent="0.3">
      <c r="A193" s="31">
        <v>2000.2500000006501</v>
      </c>
      <c r="B193">
        <v>0.59112880742795837</v>
      </c>
      <c r="C193">
        <v>0.30400000000000205</v>
      </c>
      <c r="D193">
        <v>0.17970315745810056</v>
      </c>
      <c r="F193" s="31">
        <v>2000.2500000006501</v>
      </c>
      <c r="G193" s="2">
        <v>0.6847505506360122</v>
      </c>
      <c r="H193" s="2">
        <v>0.18449999999999961</v>
      </c>
      <c r="I193" s="2">
        <v>0.13747781385777902</v>
      </c>
      <c r="K193" s="31">
        <v>2000.2500000006501</v>
      </c>
      <c r="L193" s="2">
        <v>0.80018774730464859</v>
      </c>
      <c r="M193" s="2">
        <v>6.1514999999999952E-2</v>
      </c>
      <c r="N193" s="2">
        <v>4.9225562024489848E-2</v>
      </c>
      <c r="P193" s="31">
        <v>2000.2500000006501</v>
      </c>
      <c r="Q193" s="2">
        <v>0.50460715052150018</v>
      </c>
      <c r="R193" s="2">
        <v>0.1198000000000006</v>
      </c>
      <c r="S193" s="2">
        <v>3.8686047395758906E-2</v>
      </c>
      <c r="U193" s="2">
        <f t="shared" si="23"/>
        <v>0.66318181615405358</v>
      </c>
      <c r="V193" s="2">
        <f t="shared" si="24"/>
        <v>0.12193833333333338</v>
      </c>
      <c r="W193" s="2">
        <f t="shared" si="25"/>
        <v>7.5129807759342596E-2</v>
      </c>
      <c r="Y193" s="31">
        <v>2000.2500000006501</v>
      </c>
      <c r="Z193" s="2">
        <v>-0.28367373129591172</v>
      </c>
      <c r="AA193" s="2">
        <v>1.6130881144920477</v>
      </c>
      <c r="AB193" s="2">
        <v>1.4337610971237078</v>
      </c>
      <c r="AD193" s="31">
        <v>2000.2500000006501</v>
      </c>
      <c r="AE193" s="2">
        <v>-5.4000223519717387E-2</v>
      </c>
      <c r="AF193" s="2">
        <v>-0.68622224125583742</v>
      </c>
      <c r="AG193" s="2">
        <v>-0.41296156327938871</v>
      </c>
      <c r="AH193" s="31"/>
      <c r="AI193" s="31">
        <v>2000.2500000006501</v>
      </c>
      <c r="AJ193" s="2">
        <v>-0.81628585594662206</v>
      </c>
      <c r="AK193" s="2">
        <v>0.52667636231568804</v>
      </c>
      <c r="AL193" s="2">
        <v>-0.50218754205895066</v>
      </c>
      <c r="AM193" s="31"/>
      <c r="AN193" s="2">
        <f t="shared" si="26"/>
        <v>-0.38465327025408369</v>
      </c>
      <c r="AO193" s="2">
        <f t="shared" si="19"/>
        <v>0.48451407851729944</v>
      </c>
      <c r="AP193" s="2">
        <f t="shared" si="20"/>
        <v>0.17287066392845615</v>
      </c>
      <c r="AQ193" s="31"/>
      <c r="AR193" s="31">
        <v>2000.2500000006501</v>
      </c>
      <c r="AS193" s="2">
        <v>-0.16097482377776082</v>
      </c>
      <c r="AT193" s="2">
        <v>0.61938737125940868</v>
      </c>
      <c r="AU193" s="2">
        <v>0.66659797401051146</v>
      </c>
      <c r="AV193" s="31"/>
      <c r="AW193" s="31">
        <v>2000.2500000006501</v>
      </c>
      <c r="AX193" s="2">
        <v>9.8739530027903868E-4</v>
      </c>
      <c r="AY193" s="2">
        <v>-1.5103266726480709</v>
      </c>
      <c r="AZ193" s="2">
        <v>-0.74683598938024565</v>
      </c>
      <c r="BA193" s="31"/>
      <c r="BB193" s="31">
        <v>2000.2500000006501</v>
      </c>
      <c r="BC193" s="2">
        <v>-1.2857432848386567</v>
      </c>
      <c r="BD193" s="2">
        <v>2.0649640901141915</v>
      </c>
      <c r="BE193" s="2">
        <v>-1.0915093889385548</v>
      </c>
      <c r="BG193" s="2">
        <f t="shared" si="27"/>
        <v>-0.48191023777204617</v>
      </c>
      <c r="BH193" s="2">
        <f t="shared" si="21"/>
        <v>0.39134159624184311</v>
      </c>
      <c r="BI193" s="2">
        <f t="shared" si="22"/>
        <v>-0.39058246810276298</v>
      </c>
    </row>
    <row r="194" spans="1:61" x14ac:dyDescent="0.3">
      <c r="A194" s="31">
        <v>2000.16666666732</v>
      </c>
      <c r="B194">
        <v>0.67970715937152681</v>
      </c>
      <c r="C194">
        <v>0.31920000000000215</v>
      </c>
      <c r="D194">
        <v>0.21696252527139281</v>
      </c>
      <c r="F194" s="31">
        <v>2000.16666666732</v>
      </c>
      <c r="G194" s="2">
        <v>0.63741246053775069</v>
      </c>
      <c r="H194" s="2">
        <v>0.18449999999999961</v>
      </c>
      <c r="I194" s="2">
        <v>0.12746126575541389</v>
      </c>
      <c r="K194" s="31">
        <v>2000.16666666732</v>
      </c>
      <c r="L194" s="2">
        <v>0.64256860787649073</v>
      </c>
      <c r="M194" s="2">
        <v>6.1499999999999902E-2</v>
      </c>
      <c r="N194" s="2">
        <v>3.951796938440412E-2</v>
      </c>
      <c r="P194" s="31">
        <v>2000.16666666732</v>
      </c>
      <c r="Q194" s="2">
        <v>0.49900138622761581</v>
      </c>
      <c r="R194" s="2">
        <v>9.5850000000000463E-2</v>
      </c>
      <c r="S194" s="2">
        <v>3.6070231895902777E-2</v>
      </c>
      <c r="U194" s="2">
        <f t="shared" si="23"/>
        <v>0.59299415154728574</v>
      </c>
      <c r="V194" s="2">
        <f t="shared" si="24"/>
        <v>0.11395</v>
      </c>
      <c r="W194" s="2">
        <f t="shared" si="25"/>
        <v>6.7683155678573595E-2</v>
      </c>
      <c r="Y194" s="31">
        <v>2000.16666666732</v>
      </c>
      <c r="Z194" s="2">
        <v>-0.55814358451102208</v>
      </c>
      <c r="AA194" s="2">
        <v>1.6130881144920477</v>
      </c>
      <c r="AB194" s="2">
        <v>1.2032378646235262</v>
      </c>
      <c r="AD194" s="31">
        <v>2000.16666666732</v>
      </c>
      <c r="AE194" s="2">
        <v>-0.99195337042208998</v>
      </c>
      <c r="AF194" s="2">
        <v>-0.68658960551538373</v>
      </c>
      <c r="AG194" s="2">
        <v>-0.78209093314662659</v>
      </c>
      <c r="AH194" s="31"/>
      <c r="AI194" s="31">
        <v>2000.16666666732</v>
      </c>
      <c r="AJ194" s="2">
        <v>-1.0780837574257411</v>
      </c>
      <c r="AK194" s="2">
        <v>-4.4052846898962821E-2</v>
      </c>
      <c r="AL194" s="2">
        <v>-0.71359216483266097</v>
      </c>
      <c r="AM194" s="31"/>
      <c r="AN194" s="2">
        <f t="shared" si="26"/>
        <v>-0.87606023745295103</v>
      </c>
      <c r="AO194" s="2">
        <f t="shared" si="19"/>
        <v>0.2941485540259004</v>
      </c>
      <c r="AP194" s="2">
        <f t="shared" si="20"/>
        <v>-9.7481744451920413E-2</v>
      </c>
      <c r="AQ194" s="31"/>
      <c r="AR194" s="31">
        <v>2000.16666666732</v>
      </c>
      <c r="AS194" s="2">
        <v>-0.21470228434263514</v>
      </c>
      <c r="AT194" s="2">
        <v>0.80409366606843335</v>
      </c>
      <c r="AU194" s="2">
        <v>0.75453507979560064</v>
      </c>
      <c r="AV194" s="31"/>
      <c r="AW194" s="31">
        <v>2000.16666666732</v>
      </c>
      <c r="AX194" s="2">
        <v>-0.79278887053569069</v>
      </c>
      <c r="AY194" s="2">
        <v>-1.1557656163069592</v>
      </c>
      <c r="AZ194" s="2">
        <v>-0.78410154819304201</v>
      </c>
      <c r="BA194" s="31"/>
      <c r="BB194" s="31">
        <v>2000.16666666732</v>
      </c>
      <c r="BC194" s="2">
        <v>-1.5251871275019644</v>
      </c>
      <c r="BD194" s="2">
        <v>0.77441334649330551</v>
      </c>
      <c r="BE194" s="2">
        <v>-1.2795154620362554</v>
      </c>
      <c r="BG194" s="2">
        <f t="shared" si="27"/>
        <v>-0.8442260941267633</v>
      </c>
      <c r="BH194" s="2">
        <f t="shared" si="21"/>
        <v>0.14091379875159324</v>
      </c>
      <c r="BI194" s="2">
        <f t="shared" si="22"/>
        <v>-0.43636064347789888</v>
      </c>
    </row>
    <row r="195" spans="1:61" x14ac:dyDescent="0.3">
      <c r="A195" s="31">
        <v>2000.0833333339899</v>
      </c>
      <c r="B195">
        <v>0.69220280072122797</v>
      </c>
      <c r="C195">
        <v>6.0800000000000409E-2</v>
      </c>
      <c r="D195">
        <v>4.2085930283850943E-2</v>
      </c>
      <c r="F195" s="31">
        <v>2000.0833333339899</v>
      </c>
      <c r="G195" s="2">
        <v>0.61128424897177402</v>
      </c>
      <c r="H195" s="2">
        <v>9.2249999999999749E-2</v>
      </c>
      <c r="I195" s="2">
        <v>5.1878658277291476E-2</v>
      </c>
      <c r="K195" s="31">
        <v>2000.0833333339899</v>
      </c>
      <c r="L195" s="2">
        <v>0.80332533171276954</v>
      </c>
      <c r="M195" s="2">
        <v>9.2264999999999903E-2</v>
      </c>
      <c r="N195" s="2">
        <v>4.9418876034020329E-2</v>
      </c>
      <c r="P195" s="31">
        <v>2000.0833333339899</v>
      </c>
      <c r="Q195" s="2">
        <v>0.4958453783166154</v>
      </c>
      <c r="R195" s="2">
        <v>9.5850000000000463E-2</v>
      </c>
      <c r="S195" s="2">
        <v>3.5059131158817203E-2</v>
      </c>
      <c r="U195" s="2">
        <f t="shared" si="23"/>
        <v>0.63681831966705305</v>
      </c>
      <c r="V195" s="2">
        <f t="shared" si="24"/>
        <v>9.3455000000000024E-2</v>
      </c>
      <c r="W195" s="2">
        <f t="shared" si="25"/>
        <v>4.5452221823376333E-2</v>
      </c>
      <c r="Y195" s="31">
        <v>2000.0833333339899</v>
      </c>
      <c r="Z195" s="2">
        <v>-0.70963694595422777</v>
      </c>
      <c r="AA195" s="2">
        <v>-0.1883013680744752</v>
      </c>
      <c r="AB195" s="2">
        <v>-0.53623833202500548</v>
      </c>
      <c r="AD195" s="31">
        <v>2000.0833333339899</v>
      </c>
      <c r="AE195" s="2">
        <v>-3.532922214294467E-2</v>
      </c>
      <c r="AF195" s="2">
        <v>6.6874490811640125E-2</v>
      </c>
      <c r="AG195" s="2">
        <v>-0.40561083471360238</v>
      </c>
      <c r="AH195" s="31"/>
      <c r="AI195" s="31">
        <v>2000.0833333339899</v>
      </c>
      <c r="AJ195" s="2">
        <v>-1.1500988245492183</v>
      </c>
      <c r="AK195" s="2">
        <v>-4.4052846898962821E-2</v>
      </c>
      <c r="AL195" s="2">
        <v>-0.79530716725601713</v>
      </c>
      <c r="AM195" s="31"/>
      <c r="AN195" s="2">
        <f t="shared" si="26"/>
        <v>-0.63168833088213028</v>
      </c>
      <c r="AO195" s="2">
        <f t="shared" si="19"/>
        <v>-5.5159908053932637E-2</v>
      </c>
      <c r="AP195" s="2">
        <f t="shared" si="20"/>
        <v>-0.57905211133154166</v>
      </c>
      <c r="AQ195" s="31"/>
      <c r="AR195" s="31">
        <v>2000.0833333339899</v>
      </c>
      <c r="AS195" s="2">
        <v>-0.2214090949567715</v>
      </c>
      <c r="AT195" s="2">
        <v>0.50956041230593607</v>
      </c>
      <c r="AU195" s="2">
        <v>3.87039109906381E-3</v>
      </c>
      <c r="AV195" s="31"/>
      <c r="AW195" s="31">
        <v>2000.0833333339899</v>
      </c>
      <c r="AX195" s="2">
        <v>0.28745582104914252</v>
      </c>
      <c r="AY195" s="2">
        <v>0.56051139147476758</v>
      </c>
      <c r="AZ195" s="2">
        <v>-0.29392228607295756</v>
      </c>
      <c r="BA195" s="31"/>
      <c r="BB195" s="31">
        <v>2000.0833333339899</v>
      </c>
      <c r="BC195" s="2">
        <v>-1.5910530657095583</v>
      </c>
      <c r="BD195" s="2">
        <v>0.77441334649330551</v>
      </c>
      <c r="BE195" s="2">
        <v>-1.3521861374321711</v>
      </c>
      <c r="BG195" s="2">
        <f t="shared" si="27"/>
        <v>-0.50833544653906249</v>
      </c>
      <c r="BH195" s="2">
        <f t="shared" si="21"/>
        <v>0.61482838342466972</v>
      </c>
      <c r="BI195" s="2">
        <f t="shared" si="22"/>
        <v>-0.54741267746868827</v>
      </c>
    </row>
    <row r="196" spans="1:61" x14ac:dyDescent="0.3">
      <c r="A196" s="31">
        <v>2000.0000000006601</v>
      </c>
      <c r="B196">
        <v>0.73291488442060171</v>
      </c>
      <c r="C196">
        <v>6.0800000000000409E-2</v>
      </c>
      <c r="D196">
        <v>4.4561224972772887E-2</v>
      </c>
      <c r="F196" s="31">
        <v>2000.0000000006601</v>
      </c>
      <c r="G196" s="2">
        <v>0.6239786423015371</v>
      </c>
      <c r="H196" s="2">
        <v>6.1499999999999846E-2</v>
      </c>
      <c r="I196" s="2">
        <v>3.8374686501544443E-2</v>
      </c>
      <c r="K196" s="31">
        <v>2000.0000000006601</v>
      </c>
      <c r="L196" s="2">
        <v>0.67345278789402951</v>
      </c>
      <c r="M196" s="2">
        <v>6.1499999999999902E-2</v>
      </c>
      <c r="N196" s="2">
        <v>4.1417346455482749E-2</v>
      </c>
      <c r="P196" s="31">
        <v>2000.0000000006601</v>
      </c>
      <c r="Q196" s="2">
        <v>0.55571685241185365</v>
      </c>
      <c r="R196" s="2">
        <v>7.1900000000000297E-2</v>
      </c>
      <c r="S196" s="2">
        <v>3.5762394166934386E-2</v>
      </c>
      <c r="U196" s="2">
        <f t="shared" si="23"/>
        <v>0.61771609420247342</v>
      </c>
      <c r="V196" s="2">
        <f t="shared" si="24"/>
        <v>6.4966666666666673E-2</v>
      </c>
      <c r="W196" s="2">
        <f t="shared" si="25"/>
        <v>3.8518142374653862E-2</v>
      </c>
      <c r="Y196" s="31">
        <v>2000.0000000006601</v>
      </c>
      <c r="Z196" s="2">
        <v>-0.6360338862058813</v>
      </c>
      <c r="AA196" s="2">
        <v>-0.78876452892998183</v>
      </c>
      <c r="AB196" s="2">
        <v>-0.84702196661878104</v>
      </c>
      <c r="AD196" s="31">
        <v>2000.0000000006601</v>
      </c>
      <c r="AE196" s="2">
        <v>-0.80816912986573719</v>
      </c>
      <c r="AF196" s="2">
        <v>-0.68658960551538373</v>
      </c>
      <c r="AG196" s="2">
        <v>-0.70986748008449407</v>
      </c>
      <c r="AH196" s="31"/>
      <c r="AI196" s="31">
        <v>2000.0000000006601</v>
      </c>
      <c r="AJ196" s="2">
        <v>-1.0625525392228232</v>
      </c>
      <c r="AK196" s="2">
        <v>-0.61478205611361436</v>
      </c>
      <c r="AL196" s="2">
        <v>-0.73847095271799068</v>
      </c>
      <c r="AM196" s="31"/>
      <c r="AN196" s="2">
        <f t="shared" si="26"/>
        <v>-0.83558518509814717</v>
      </c>
      <c r="AO196" s="2">
        <f t="shared" si="19"/>
        <v>-0.69671206351965997</v>
      </c>
      <c r="AP196" s="2">
        <f t="shared" si="20"/>
        <v>-0.76512013314042182</v>
      </c>
      <c r="AQ196" s="31"/>
      <c r="AR196" s="31">
        <v>2000.0000000006601</v>
      </c>
      <c r="AS196" s="2">
        <v>-0.15294064500637941</v>
      </c>
      <c r="AT196" s="2">
        <v>-0.29853293598826575</v>
      </c>
      <c r="AU196" s="2">
        <v>-0.37298776703455289</v>
      </c>
      <c r="AV196" s="31"/>
      <c r="AW196" s="31">
        <v>2000.0000000006601</v>
      </c>
      <c r="AX196" s="2">
        <v>-0.37517096339702982</v>
      </c>
      <c r="AY196" s="2">
        <v>-0.22064426073162682</v>
      </c>
      <c r="AZ196" s="2">
        <v>-0.42785231696746734</v>
      </c>
      <c r="BA196" s="31"/>
      <c r="BB196" s="31">
        <v>2000.0000000006601</v>
      </c>
      <c r="BC196" s="2">
        <v>-1.510982068764908</v>
      </c>
      <c r="BD196" s="2">
        <v>-0.51613739712758211</v>
      </c>
      <c r="BE196" s="2">
        <v>-1.3016406320177945</v>
      </c>
      <c r="BG196" s="2">
        <f t="shared" si="27"/>
        <v>-0.67969789238943912</v>
      </c>
      <c r="BH196" s="2">
        <f t="shared" si="21"/>
        <v>-0.34510486461582485</v>
      </c>
      <c r="BI196" s="2">
        <f t="shared" si="22"/>
        <v>-0.70082690533993819</v>
      </c>
    </row>
    <row r="197" spans="1:61" x14ac:dyDescent="0.3">
      <c r="A197" s="31">
        <v>1999.91666666732</v>
      </c>
      <c r="B197">
        <v>0.77335104659721032</v>
      </c>
      <c r="C197">
        <v>6.0800000000000409E-2</v>
      </c>
      <c r="D197">
        <v>4.7019743633110705E-2</v>
      </c>
      <c r="F197" s="31">
        <v>1999.91666666732</v>
      </c>
      <c r="G197" s="2">
        <v>0.49545354409075815</v>
      </c>
      <c r="H197" s="2">
        <v>6.1499999999999798E-2</v>
      </c>
      <c r="I197" s="2">
        <v>3.0470392961581525E-2</v>
      </c>
      <c r="K197" s="31">
        <v>1999.91666666732</v>
      </c>
      <c r="L197" s="2">
        <v>0.8117348009512857</v>
      </c>
      <c r="M197" s="2">
        <v>9.2264999999999903E-2</v>
      </c>
      <c r="N197" s="2">
        <v>4.9935492860376525E-2</v>
      </c>
      <c r="P197" s="31">
        <v>1999.91666666732</v>
      </c>
      <c r="Q197" s="2">
        <v>0.6520996572910952</v>
      </c>
      <c r="R197" s="2">
        <v>9.5800000000000607E-2</v>
      </c>
      <c r="S197" s="2">
        <v>2.7767100175792495E-2</v>
      </c>
      <c r="U197" s="2">
        <f t="shared" si="23"/>
        <v>0.65309600077771301</v>
      </c>
      <c r="V197" s="2">
        <f t="shared" si="24"/>
        <v>8.3188333333333433E-2</v>
      </c>
      <c r="W197" s="2">
        <f t="shared" si="25"/>
        <v>3.605766199925018E-2</v>
      </c>
      <c r="Y197" s="31">
        <v>1999.91666666732</v>
      </c>
      <c r="Z197" s="2">
        <v>-1.3812321983292863</v>
      </c>
      <c r="AA197" s="2">
        <v>-0.78876452892998272</v>
      </c>
      <c r="AB197" s="2">
        <v>-1.0289332676818999</v>
      </c>
      <c r="AD197" s="31">
        <v>1999.91666666732</v>
      </c>
      <c r="AE197" s="2">
        <v>1.4713483106312828E-2</v>
      </c>
      <c r="AF197" s="2">
        <v>6.6874490811640125E-2</v>
      </c>
      <c r="AG197" s="2">
        <v>-0.38596657782665589</v>
      </c>
      <c r="AH197" s="31"/>
      <c r="AI197" s="31">
        <v>1999.91666666732</v>
      </c>
      <c r="AJ197" s="2">
        <v>-0.57286822188486286</v>
      </c>
      <c r="AK197" s="2">
        <v>-4.5244348379574514E-2</v>
      </c>
      <c r="AL197" s="2">
        <v>-1.3846335395882148</v>
      </c>
      <c r="AM197" s="31"/>
      <c r="AN197" s="2">
        <f t="shared" si="26"/>
        <v>-0.64646231236927887</v>
      </c>
      <c r="AO197" s="2">
        <f t="shared" ref="AO197:AO260" si="28">AVERAGE(AK197,AF197,AA197)</f>
        <v>-0.25571146216597235</v>
      </c>
      <c r="AP197" s="2">
        <f t="shared" ref="AP197:AP260" si="29">AVERAGE(AL197,AG197,AB197)</f>
        <v>-0.93317779503225695</v>
      </c>
      <c r="AQ197" s="31"/>
      <c r="AR197" s="31">
        <v>1999.91666666732</v>
      </c>
      <c r="AS197" s="2">
        <v>-1.166764841790219</v>
      </c>
      <c r="AT197" s="2">
        <v>-0.68444756444045463</v>
      </c>
      <c r="AU197" s="2">
        <v>-1.1338788059129112</v>
      </c>
      <c r="AV197" s="31"/>
      <c r="AW197" s="31">
        <v>1999.91666666732</v>
      </c>
      <c r="AX197" s="2">
        <v>0.22149786718194767</v>
      </c>
      <c r="AY197" s="2">
        <v>1.05652496446128</v>
      </c>
      <c r="AZ197" s="2">
        <v>8.5834248507341032E-2</v>
      </c>
      <c r="BA197" s="31"/>
      <c r="BB197" s="31">
        <v>1999.91666666732</v>
      </c>
      <c r="BC197" s="2">
        <v>-0.2087892843669211</v>
      </c>
      <c r="BD197" s="2">
        <v>0.88459457538944342</v>
      </c>
      <c r="BE197" s="2">
        <v>-1.2810227207039109</v>
      </c>
      <c r="BG197" s="2">
        <f t="shared" si="27"/>
        <v>-0.38468541965839748</v>
      </c>
      <c r="BH197" s="2">
        <f t="shared" ref="BH197:BH260" si="30">AVERAGE(BD197,AY197,AT197)</f>
        <v>0.41889065847008955</v>
      </c>
      <c r="BI197" s="2">
        <f t="shared" ref="BI197:BI260" si="31">AVERAGE(BE197,AZ197,AU197)</f>
        <v>-0.77635575936982704</v>
      </c>
    </row>
    <row r="198" spans="1:61" x14ac:dyDescent="0.3">
      <c r="A198" s="31">
        <v>1999.8333333339899</v>
      </c>
      <c r="B198">
        <v>0.83138001191113386</v>
      </c>
      <c r="C198">
        <v>6.0800000000000409E-2</v>
      </c>
      <c r="D198">
        <v>5.0547904724197276E-2</v>
      </c>
      <c r="F198" s="31">
        <v>1999.8333333339899</v>
      </c>
      <c r="G198" s="2">
        <v>0.66029381424847056</v>
      </c>
      <c r="H198" s="2">
        <v>6.1499999999999846E-2</v>
      </c>
      <c r="I198" s="2">
        <v>4.0608069576280846E-2</v>
      </c>
      <c r="K198" s="31">
        <v>1999.8333333339899</v>
      </c>
      <c r="L198" s="2">
        <v>0.75191951760107301</v>
      </c>
      <c r="M198" s="2">
        <v>6.1499999999999902E-2</v>
      </c>
      <c r="N198" s="2">
        <v>4.6243050332465917E-2</v>
      </c>
      <c r="P198" s="31">
        <v>1999.8333333339899</v>
      </c>
      <c r="Q198" s="2">
        <v>0.74379751161034402</v>
      </c>
      <c r="R198" s="2">
        <v>7.1900000000000297E-2</v>
      </c>
      <c r="S198" s="2">
        <v>3.9915703400468142E-2</v>
      </c>
      <c r="U198" s="2">
        <f t="shared" ref="U198:U261" si="32">AVERAGE(Q198,L198,G198)</f>
        <v>0.71867028115329579</v>
      </c>
      <c r="V198" s="2">
        <f t="shared" ref="V198:V261" si="33">AVERAGE(R198,M198,H198)</f>
        <v>6.4966666666666673E-2</v>
      </c>
      <c r="W198" s="2">
        <f t="shared" ref="W198:W261" si="34">AVERAGE(S198,N198,I198)</f>
        <v>4.2255607769738301E-2</v>
      </c>
      <c r="Y198" s="31">
        <v>1999.8333333339899</v>
      </c>
      <c r="Z198" s="2">
        <v>-0.42547575230004442</v>
      </c>
      <c r="AA198" s="2">
        <v>-0.78876452892998183</v>
      </c>
      <c r="AB198" s="2">
        <v>-0.79562235464288855</v>
      </c>
      <c r="AD198" s="31">
        <v>1999.8333333339899</v>
      </c>
      <c r="AE198" s="2">
        <v>-0.34123271387670662</v>
      </c>
      <c r="AF198" s="2">
        <v>-0.68658960551538373</v>
      </c>
      <c r="AG198" s="2">
        <v>-0.52637100497272504</v>
      </c>
      <c r="AH198" s="31"/>
      <c r="AI198" s="31">
        <v>1999.8333333339899</v>
      </c>
      <c r="AJ198" s="2">
        <v>-0.58321919135809086</v>
      </c>
      <c r="AK198" s="2">
        <v>-0.61478205611361436</v>
      </c>
      <c r="AL198" s="2">
        <v>-0.4028093696185468</v>
      </c>
      <c r="AM198" s="31"/>
      <c r="AN198" s="2">
        <f t="shared" ref="AN198:AN261" si="35">AVERAGE(AJ198,AE198,Z198)</f>
        <v>-0.44997588584494724</v>
      </c>
      <c r="AO198" s="2">
        <f t="shared" si="28"/>
        <v>-0.69671206351965997</v>
      </c>
      <c r="AP198" s="2">
        <f t="shared" si="29"/>
        <v>-0.57493424307805352</v>
      </c>
      <c r="AQ198" s="31"/>
      <c r="AR198" s="31">
        <v>1999.8333333339899</v>
      </c>
      <c r="AS198" s="2">
        <v>-0.16280711487984634</v>
      </c>
      <c r="AT198" s="2">
        <v>-0.28549293171718004</v>
      </c>
      <c r="AU198" s="2">
        <v>-0.37496137399774754</v>
      </c>
      <c r="AV198" s="31"/>
      <c r="AW198" s="31">
        <v>1999.8333333339899</v>
      </c>
      <c r="AX198" s="2">
        <v>-7.9486118739263367E-2</v>
      </c>
      <c r="AY198" s="2">
        <v>-0.19208961378086201</v>
      </c>
      <c r="AZ198" s="2">
        <v>-0.1209908282220357</v>
      </c>
      <c r="BA198" s="31"/>
      <c r="BB198" s="31">
        <v>1999.8333333339899</v>
      </c>
      <c r="BC198" s="2">
        <v>-0.30852637822482459</v>
      </c>
      <c r="BD198" s="2">
        <v>-4.0971152421897278E-2</v>
      </c>
      <c r="BE198" s="2">
        <v>-6.7894932556216064E-2</v>
      </c>
      <c r="BG198" s="2">
        <f t="shared" ref="BG198:BG261" si="36">AVERAGE(BC198,AX198,AS198)</f>
        <v>-0.18360653728131146</v>
      </c>
      <c r="BH198" s="2">
        <f t="shared" si="30"/>
        <v>-0.17285123263997978</v>
      </c>
      <c r="BI198" s="2">
        <f t="shared" si="31"/>
        <v>-0.18794904492533307</v>
      </c>
    </row>
    <row r="199" spans="1:61" x14ac:dyDescent="0.3">
      <c r="A199" s="31">
        <v>1999.7500000006601</v>
      </c>
      <c r="B199">
        <v>0.81988749450946397</v>
      </c>
      <c r="C199">
        <v>6.0800000000000409E-2</v>
      </c>
      <c r="D199">
        <v>4.9849159666175744E-2</v>
      </c>
      <c r="F199" s="31">
        <v>1999.7500000006601</v>
      </c>
      <c r="G199" s="2">
        <v>0.69214526033444346</v>
      </c>
      <c r="H199" s="2">
        <v>6.1499999999999846E-2</v>
      </c>
      <c r="I199" s="2">
        <v>4.2566933510568172E-2</v>
      </c>
      <c r="K199" s="31">
        <v>1999.7500000006601</v>
      </c>
      <c r="L199" s="2">
        <v>0.83658375252866146</v>
      </c>
      <c r="M199" s="2">
        <v>6.1514999999999952E-2</v>
      </c>
      <c r="N199" s="2">
        <v>5.1463162023445516E-2</v>
      </c>
      <c r="P199" s="31">
        <v>1999.7500000006601</v>
      </c>
      <c r="Q199" s="2">
        <v>0.76526542369113981</v>
      </c>
      <c r="R199" s="2">
        <v>7.1900000000000297E-2</v>
      </c>
      <c r="S199" s="2">
        <v>4.3438915119417949E-2</v>
      </c>
      <c r="U199" s="2">
        <f t="shared" si="32"/>
        <v>0.76466481218474824</v>
      </c>
      <c r="V199" s="2">
        <f t="shared" si="33"/>
        <v>6.4971666666666705E-2</v>
      </c>
      <c r="W199" s="2">
        <f t="shared" si="34"/>
        <v>4.5823003551143882E-2</v>
      </c>
      <c r="Y199" s="31">
        <v>1999.7500000006601</v>
      </c>
      <c r="Z199" s="2">
        <v>-0.240798641040183</v>
      </c>
      <c r="AA199" s="2">
        <v>-0.78876452892998183</v>
      </c>
      <c r="AB199" s="2">
        <v>-0.75054059178954458</v>
      </c>
      <c r="AD199" s="31">
        <v>1999.7500000006601</v>
      </c>
      <c r="AE199" s="2">
        <v>0.16258354770495617</v>
      </c>
      <c r="AF199" s="2">
        <v>-0.68622224125583742</v>
      </c>
      <c r="AG199" s="2">
        <v>-0.32787724750178066</v>
      </c>
      <c r="AH199" s="31"/>
      <c r="AI199" s="31">
        <v>1999.7500000006601</v>
      </c>
      <c r="AJ199" s="2">
        <v>-0.26584997628730045</v>
      </c>
      <c r="AK199" s="2">
        <v>-0.61478205611361436</v>
      </c>
      <c r="AL199" s="2">
        <v>-0.11807092211050761</v>
      </c>
      <c r="AM199" s="31"/>
      <c r="AN199" s="2">
        <f t="shared" si="35"/>
        <v>-0.11468835654084242</v>
      </c>
      <c r="AO199" s="2">
        <f t="shared" si="28"/>
        <v>-0.69658960876647791</v>
      </c>
      <c r="AP199" s="2">
        <f t="shared" si="29"/>
        <v>-0.39882958713394429</v>
      </c>
      <c r="AQ199" s="31"/>
      <c r="AR199" s="31">
        <v>1999.7500000006601</v>
      </c>
      <c r="AS199" s="2">
        <v>-0.3718611830888523</v>
      </c>
      <c r="AT199" s="2">
        <v>-0.6766476141944503</v>
      </c>
      <c r="AU199" s="2">
        <v>-0.6856596603549745</v>
      </c>
      <c r="AV199" s="31"/>
      <c r="AW199" s="31">
        <v>1999.7500000006601</v>
      </c>
      <c r="AX199" s="2">
        <v>0.2499109253621094</v>
      </c>
      <c r="AY199" s="2">
        <v>-0.6564669997761764</v>
      </c>
      <c r="AZ199" s="2">
        <v>-0.21438325965246496</v>
      </c>
      <c r="BA199" s="31"/>
      <c r="BB199" s="31">
        <v>1999.7500000006601</v>
      </c>
      <c r="BC199" s="2">
        <v>-0.31511606619169225</v>
      </c>
      <c r="BD199" s="2">
        <v>-0.59144451954684485</v>
      </c>
      <c r="BE199" s="2">
        <v>-0.32798589171172421</v>
      </c>
      <c r="BG199" s="2">
        <f t="shared" si="36"/>
        <v>-0.14568877463947838</v>
      </c>
      <c r="BH199" s="2">
        <f t="shared" si="30"/>
        <v>-0.64151971117249051</v>
      </c>
      <c r="BI199" s="2">
        <f t="shared" si="31"/>
        <v>-0.40934293723972121</v>
      </c>
    </row>
    <row r="200" spans="1:61" x14ac:dyDescent="0.3">
      <c r="A200" s="31">
        <v>1999.66666666733</v>
      </c>
      <c r="B200">
        <v>0.79905058155383346</v>
      </c>
      <c r="C200">
        <v>4.5600000000000307E-2</v>
      </c>
      <c r="D200">
        <v>3.6436706518855048E-2</v>
      </c>
      <c r="F200" s="31">
        <v>1999.66666666733</v>
      </c>
      <c r="G200" s="2">
        <v>0.55574329820189095</v>
      </c>
      <c r="H200" s="2">
        <v>6.1499999999999798E-2</v>
      </c>
      <c r="I200" s="2">
        <v>3.4178212839416182E-2</v>
      </c>
      <c r="K200" s="31">
        <v>1999.66666666733</v>
      </c>
      <c r="L200" s="2">
        <v>0.83997638834646371</v>
      </c>
      <c r="M200" s="2">
        <v>0.1229999999999998</v>
      </c>
      <c r="N200" s="2">
        <v>5.1658547883307433E-2</v>
      </c>
      <c r="P200" s="31">
        <v>1999.66666666733</v>
      </c>
      <c r="Q200" s="2">
        <v>0.70086142806494767</v>
      </c>
      <c r="R200" s="2">
        <v>9.5800000000000607E-2</v>
      </c>
      <c r="S200" s="2">
        <v>3.6907327974414816E-2</v>
      </c>
      <c r="U200" s="2">
        <f t="shared" si="32"/>
        <v>0.69886037153776748</v>
      </c>
      <c r="V200" s="2">
        <f t="shared" si="33"/>
        <v>9.343333333333341E-2</v>
      </c>
      <c r="W200" s="2">
        <f t="shared" si="34"/>
        <v>4.0914696232379477E-2</v>
      </c>
      <c r="Y200" s="31">
        <v>1999.66666666733</v>
      </c>
      <c r="Z200" s="2">
        <v>-1.0316676103429738</v>
      </c>
      <c r="AA200" s="2">
        <v>-0.78876452892998272</v>
      </c>
      <c r="AB200" s="2">
        <v>-0.94360061465295364</v>
      </c>
      <c r="AD200" s="31">
        <v>1999.66666666733</v>
      </c>
      <c r="AE200" s="2">
        <v>0.18277229796172131</v>
      </c>
      <c r="AF200" s="2">
        <v>0.81960385861957141</v>
      </c>
      <c r="AG200" s="2">
        <v>-0.32044773721990288</v>
      </c>
      <c r="AH200" s="31"/>
      <c r="AI200" s="31">
        <v>1999.66666666733</v>
      </c>
      <c r="AJ200" s="2">
        <v>0.67133337402662085</v>
      </c>
      <c r="AK200" s="2">
        <v>-4.5244348379574514E-2</v>
      </c>
      <c r="AL200" s="2">
        <v>-0.64593984733820353</v>
      </c>
      <c r="AM200" s="31"/>
      <c r="AN200" s="2">
        <f t="shared" si="35"/>
        <v>-5.9187312784877211E-2</v>
      </c>
      <c r="AO200" s="2">
        <f t="shared" si="28"/>
        <v>-4.8016728966619278E-3</v>
      </c>
      <c r="AP200" s="2">
        <f t="shared" si="29"/>
        <v>-0.63666273307035337</v>
      </c>
      <c r="AQ200" s="31"/>
      <c r="AR200" s="31">
        <v>1999.66666666733</v>
      </c>
      <c r="AS200" s="2">
        <v>-0.70501947751617267</v>
      </c>
      <c r="AT200" s="2">
        <v>-0.32631334910520099</v>
      </c>
      <c r="AU200" s="2">
        <v>-0.81771376639585125</v>
      </c>
      <c r="AV200" s="31"/>
      <c r="AW200" s="31">
        <v>1999.66666666733</v>
      </c>
      <c r="AX200" s="2">
        <v>2.9821243525633603E-2</v>
      </c>
      <c r="AY200" s="2">
        <v>2.4625231140590418</v>
      </c>
      <c r="AZ200" s="2">
        <v>1.3259481802658813E-2</v>
      </c>
      <c r="BA200" s="31"/>
      <c r="BB200" s="31">
        <v>1999.66666666733</v>
      </c>
      <c r="BC200" s="2">
        <v>0.32725707655265523</v>
      </c>
      <c r="BD200" s="2">
        <v>1.0262385864010182</v>
      </c>
      <c r="BE200" s="2">
        <v>-0.57239587306441542</v>
      </c>
      <c r="BG200" s="2">
        <f t="shared" si="36"/>
        <v>-0.11598038581262794</v>
      </c>
      <c r="BH200" s="2">
        <f t="shared" si="30"/>
        <v>1.0541494504516196</v>
      </c>
      <c r="BI200" s="2">
        <f t="shared" si="31"/>
        <v>-0.45895005255253601</v>
      </c>
    </row>
    <row r="201" spans="1:61" x14ac:dyDescent="0.3">
      <c r="A201" s="31">
        <v>1999.5833333339999</v>
      </c>
      <c r="B201">
        <v>0.79519885534415524</v>
      </c>
      <c r="C201">
        <v>6.0800000000000409E-2</v>
      </c>
      <c r="D201">
        <v>4.8348090404924965E-2</v>
      </c>
      <c r="F201" s="31">
        <v>1999.5833333339999</v>
      </c>
      <c r="G201" s="2">
        <v>0.74079165534773028</v>
      </c>
      <c r="H201" s="2">
        <v>6.1499999999999846E-2</v>
      </c>
      <c r="I201" s="2">
        <v>4.5558686803885307E-2</v>
      </c>
      <c r="K201" s="31">
        <v>1999.5833333339999</v>
      </c>
      <c r="L201" s="2">
        <v>0.8548429956650363</v>
      </c>
      <c r="M201" s="2">
        <v>6.1514999999999952E-2</v>
      </c>
      <c r="N201" s="2">
        <v>5.2585581673754281E-2</v>
      </c>
      <c r="P201" s="31">
        <v>1999.5833333339999</v>
      </c>
      <c r="Q201" s="2">
        <v>0.62238623655065184</v>
      </c>
      <c r="R201" s="2">
        <v>7.1900000000000297E-2</v>
      </c>
      <c r="S201" s="2">
        <v>5.0023670898226125E-2</v>
      </c>
      <c r="U201" s="2">
        <f t="shared" si="32"/>
        <v>0.73934029585447281</v>
      </c>
      <c r="V201" s="2">
        <f t="shared" si="33"/>
        <v>6.4971666666666705E-2</v>
      </c>
      <c r="W201" s="2">
        <f t="shared" si="34"/>
        <v>4.9389313125288568E-2</v>
      </c>
      <c r="Y201" s="31">
        <v>1999.5833333339999</v>
      </c>
      <c r="Z201" s="2">
        <v>4.1256863755762777E-2</v>
      </c>
      <c r="AA201" s="2">
        <v>-0.78876452892998183</v>
      </c>
      <c r="AB201" s="2">
        <v>-0.68168766631358313</v>
      </c>
      <c r="AD201" s="31">
        <v>1999.5833333339999</v>
      </c>
      <c r="AE201" s="2">
        <v>0.27123986077678602</v>
      </c>
      <c r="AF201" s="2">
        <v>-0.68622224125583742</v>
      </c>
      <c r="AG201" s="2">
        <v>-0.28519745307630906</v>
      </c>
      <c r="AH201" s="31"/>
      <c r="AI201" s="31">
        <v>1999.5833333339999</v>
      </c>
      <c r="AJ201" s="2">
        <v>0.43135305914365829</v>
      </c>
      <c r="AK201" s="2">
        <v>-0.61478205611361436</v>
      </c>
      <c r="AL201" s="2">
        <v>0.41409497856272975</v>
      </c>
      <c r="AM201" s="31"/>
      <c r="AN201" s="2">
        <f t="shared" si="35"/>
        <v>0.24794992789206904</v>
      </c>
      <c r="AO201" s="2">
        <f t="shared" si="28"/>
        <v>-0.69658960876647791</v>
      </c>
      <c r="AP201" s="2">
        <f t="shared" si="29"/>
        <v>-0.18426338027572084</v>
      </c>
      <c r="AQ201" s="31"/>
      <c r="AR201" s="31">
        <v>1999.5833333339999</v>
      </c>
      <c r="AS201" s="2">
        <v>-0.45051733991391418</v>
      </c>
      <c r="AT201" s="2">
        <v>-0.65870957567408583</v>
      </c>
      <c r="AU201" s="2">
        <v>-0.6823913161012416</v>
      </c>
      <c r="AV201" s="31"/>
      <c r="AW201" s="31">
        <v>1999.5833333339999</v>
      </c>
      <c r="AX201" s="2">
        <v>6.1857335180070666E-2</v>
      </c>
      <c r="AY201" s="2">
        <v>-0.53553372549108424</v>
      </c>
      <c r="AZ201" s="2">
        <v>-0.13912847395004729</v>
      </c>
      <c r="BA201" s="31"/>
      <c r="BB201" s="31">
        <v>1999.5833333339999</v>
      </c>
      <c r="BC201" s="2">
        <v>-0.14463613922112661</v>
      </c>
      <c r="BD201" s="2">
        <v>-0.51613739712758211</v>
      </c>
      <c r="BE201" s="2">
        <v>-0.27664225741635939</v>
      </c>
      <c r="BG201" s="2">
        <f t="shared" si="36"/>
        <v>-0.1777653813183234</v>
      </c>
      <c r="BH201" s="2">
        <f t="shared" si="30"/>
        <v>-0.57012689943091743</v>
      </c>
      <c r="BI201" s="2">
        <f t="shared" si="31"/>
        <v>-0.36605401582254943</v>
      </c>
    </row>
    <row r="202" spans="1:61" x14ac:dyDescent="0.3">
      <c r="A202" s="31">
        <v>1999.5000000006701</v>
      </c>
      <c r="B202">
        <v>0.80908998366557805</v>
      </c>
      <c r="C202">
        <v>6.0800000000000409E-2</v>
      </c>
      <c r="D202">
        <v>4.9192671006867479E-2</v>
      </c>
      <c r="F202" s="31">
        <v>1999.5000000006701</v>
      </c>
      <c r="G202" s="2">
        <v>0.60895275929421411</v>
      </c>
      <c r="H202" s="2">
        <v>6.1499999999999798E-2</v>
      </c>
      <c r="I202" s="2">
        <v>3.7450594696594043E-2</v>
      </c>
      <c r="K202" s="31">
        <v>1999.5000000006701</v>
      </c>
      <c r="L202" s="2">
        <v>0.86926740505198308</v>
      </c>
      <c r="M202" s="2">
        <v>6.1499999999999902E-2</v>
      </c>
      <c r="N202" s="2">
        <v>5.3459945410696874E-2</v>
      </c>
      <c r="P202" s="31">
        <v>1999.5000000006701</v>
      </c>
      <c r="Q202" s="2">
        <v>0.66846761023930901</v>
      </c>
      <c r="R202" s="2">
        <v>4.7900000000000303E-2</v>
      </c>
      <c r="S202" s="2">
        <v>4.2526258513893495E-2</v>
      </c>
      <c r="U202" s="2">
        <f t="shared" si="32"/>
        <v>0.71556259152850199</v>
      </c>
      <c r="V202" s="2">
        <f t="shared" si="33"/>
        <v>5.6966666666666665E-2</v>
      </c>
      <c r="W202" s="2">
        <f t="shared" si="34"/>
        <v>4.4478932873728137E-2</v>
      </c>
      <c r="Y202" s="31">
        <v>1999.5000000006701</v>
      </c>
      <c r="Z202" s="2">
        <v>-0.72315510074763201</v>
      </c>
      <c r="AA202" s="2">
        <v>-0.78876452892998272</v>
      </c>
      <c r="AB202" s="2">
        <v>-0.86828923632358024</v>
      </c>
      <c r="AD202" s="31">
        <v>1999.5000000006701</v>
      </c>
      <c r="AE202" s="2">
        <v>0.35707601129619365</v>
      </c>
      <c r="AF202" s="2">
        <v>-0.68658960551538373</v>
      </c>
      <c r="AG202" s="2">
        <v>-0.25194993773253249</v>
      </c>
      <c r="AH202" s="31"/>
      <c r="AI202" s="31">
        <v>1999.5000000006701</v>
      </c>
      <c r="AJ202" s="2">
        <v>1.4362029701201531</v>
      </c>
      <c r="AK202" s="2">
        <v>-1.186702766808877</v>
      </c>
      <c r="AL202" s="2">
        <v>-0.19182988004291687</v>
      </c>
      <c r="AM202" s="31"/>
      <c r="AN202" s="2">
        <f t="shared" si="35"/>
        <v>0.35670796022290491</v>
      </c>
      <c r="AO202" s="2">
        <f t="shared" si="28"/>
        <v>-0.88735230041808111</v>
      </c>
      <c r="AP202" s="2">
        <f t="shared" si="29"/>
        <v>-0.43735635136634321</v>
      </c>
      <c r="AQ202" s="31"/>
      <c r="AR202" s="31">
        <v>1999.5000000006701</v>
      </c>
      <c r="AS202" s="2">
        <v>-0.54149315224431771</v>
      </c>
      <c r="AT202" s="2">
        <v>-2.3130098149133811E-2</v>
      </c>
      <c r="AU202" s="2">
        <v>-0.54920801706977829</v>
      </c>
      <c r="AV202" s="31"/>
      <c r="AW202" s="31">
        <v>1999.5000000006701</v>
      </c>
      <c r="AX202" s="2">
        <v>-6.8757134473445711E-2</v>
      </c>
      <c r="AY202" s="2">
        <v>-0.1083026392523672</v>
      </c>
      <c r="AZ202" s="2">
        <v>-6.9059657178806952E-2</v>
      </c>
      <c r="BA202" s="31"/>
      <c r="BB202" s="31">
        <v>1999.5000000006701</v>
      </c>
      <c r="BC202" s="2">
        <v>0.25881502176657395</v>
      </c>
      <c r="BD202" s="2">
        <v>-0.38248368897839508</v>
      </c>
      <c r="BE202" s="2">
        <v>-1.2879125754095092E-2</v>
      </c>
      <c r="BG202" s="2">
        <f t="shared" si="36"/>
        <v>-0.11714508831706316</v>
      </c>
      <c r="BH202" s="2">
        <f t="shared" si="30"/>
        <v>-0.17130547545996536</v>
      </c>
      <c r="BI202" s="2">
        <f t="shared" si="31"/>
        <v>-0.2103822666675601</v>
      </c>
    </row>
    <row r="203" spans="1:61" x14ac:dyDescent="0.3">
      <c r="A203" s="31">
        <v>1999.41666666734</v>
      </c>
      <c r="B203">
        <v>0.78665951641078058</v>
      </c>
      <c r="C203">
        <v>0.31920000000000215</v>
      </c>
      <c r="D203">
        <v>0.25110171763832284</v>
      </c>
      <c r="F203" s="31">
        <v>1999.41666666734</v>
      </c>
      <c r="G203" s="2">
        <v>0.73349524652853515</v>
      </c>
      <c r="H203" s="2">
        <v>0.15374999999999969</v>
      </c>
      <c r="I203" s="2">
        <v>0.12366027655751957</v>
      </c>
      <c r="K203" s="31">
        <v>1999.41666666734</v>
      </c>
      <c r="L203" s="2">
        <v>0.81711504850138383</v>
      </c>
      <c r="M203" s="2">
        <v>0.15380999999999995</v>
      </c>
      <c r="N203" s="2">
        <v>0.12000390065764276</v>
      </c>
      <c r="P203" s="31">
        <v>1999.41666666734</v>
      </c>
      <c r="Q203" s="2">
        <v>0.55047305609522479</v>
      </c>
      <c r="R203" s="2">
        <v>0.21565000000000106</v>
      </c>
      <c r="S203" s="2">
        <v>5.0516402422427033E-2</v>
      </c>
      <c r="U203" s="2">
        <f t="shared" si="32"/>
        <v>0.70036111704171466</v>
      </c>
      <c r="V203" s="2">
        <f t="shared" si="33"/>
        <v>0.17440333333333358</v>
      </c>
      <c r="W203" s="2">
        <f t="shared" si="34"/>
        <v>9.8060193212529789E-2</v>
      </c>
      <c r="Y203" s="31">
        <v>1999.41666666734</v>
      </c>
      <c r="Z203" s="2">
        <v>-1.0482705123278581E-3</v>
      </c>
      <c r="AA203" s="2">
        <v>1.0126249536365408</v>
      </c>
      <c r="AB203" s="2">
        <v>1.1157609905904475</v>
      </c>
      <c r="AD203" s="31">
        <v>1999.41666666734</v>
      </c>
      <c r="AE203" s="2">
        <v>4.6730027156970243E-2</v>
      </c>
      <c r="AF203" s="2">
        <v>1.5741700477252341</v>
      </c>
      <c r="AG203" s="2">
        <v>2.2783713457697274</v>
      </c>
      <c r="AH203" s="31"/>
      <c r="AI203" s="31">
        <v>1999.41666666734</v>
      </c>
      <c r="AJ203" s="2">
        <v>0.45962732272883056</v>
      </c>
      <c r="AK203" s="2">
        <v>2.8107847006549047</v>
      </c>
      <c r="AL203" s="2">
        <v>0.45391648814860741</v>
      </c>
      <c r="AM203" s="31"/>
      <c r="AN203" s="2">
        <f t="shared" si="35"/>
        <v>0.16843635979115767</v>
      </c>
      <c r="AO203" s="2">
        <f t="shared" si="28"/>
        <v>1.7991932340055599</v>
      </c>
      <c r="AP203" s="2">
        <f t="shared" si="29"/>
        <v>1.2826829415029275</v>
      </c>
      <c r="AQ203" s="31"/>
      <c r="AR203" s="31">
        <v>1999.41666666734</v>
      </c>
      <c r="AS203" s="2">
        <v>-0.59254400862621071</v>
      </c>
      <c r="AT203" s="2">
        <v>-0.35878275268423226</v>
      </c>
      <c r="AU203" s="2">
        <v>-0.40461692673622568</v>
      </c>
      <c r="AV203" s="31"/>
      <c r="AW203" s="31">
        <v>1999.41666666734</v>
      </c>
      <c r="AX203" s="2">
        <v>-0.37394024431514772</v>
      </c>
      <c r="AY203" s="2">
        <v>0.24888333998365569</v>
      </c>
      <c r="AZ203" s="2">
        <v>0.89403360884201721</v>
      </c>
      <c r="BA203" s="31"/>
      <c r="BB203" s="31">
        <v>1999.41666666734</v>
      </c>
      <c r="BC203" s="2">
        <v>-0.26569427855010508</v>
      </c>
      <c r="BD203" s="2">
        <v>1.3372441762267826</v>
      </c>
      <c r="BE203" s="2">
        <v>-0.46798526104770022</v>
      </c>
      <c r="BG203" s="2">
        <f t="shared" si="36"/>
        <v>-0.41072617716382115</v>
      </c>
      <c r="BH203" s="2">
        <f t="shared" si="30"/>
        <v>0.40911492117540199</v>
      </c>
      <c r="BI203" s="2">
        <f t="shared" si="31"/>
        <v>7.1438070193637722E-3</v>
      </c>
    </row>
    <row r="204" spans="1:61" x14ac:dyDescent="0.3">
      <c r="A204" s="31">
        <v>1999.3333333340099</v>
      </c>
      <c r="B204">
        <v>0.70829071954867284</v>
      </c>
      <c r="C204">
        <v>0.33440000000000225</v>
      </c>
      <c r="D204">
        <v>0.23685241661707779</v>
      </c>
      <c r="F204" s="31">
        <v>1999.3333333340099</v>
      </c>
      <c r="G204" s="2">
        <v>0.61211586568631349</v>
      </c>
      <c r="H204" s="2">
        <v>0.15374999999999969</v>
      </c>
      <c r="I204" s="2">
        <v>9.5862225277661361E-2</v>
      </c>
      <c r="K204" s="31">
        <v>1999.3333333340099</v>
      </c>
      <c r="L204" s="2">
        <v>0.76260554299391137</v>
      </c>
      <c r="M204" s="2">
        <v>0.12304499999999996</v>
      </c>
      <c r="N204" s="2">
        <v>8.8951095495351393E-2</v>
      </c>
      <c r="P204" s="31">
        <v>1999.3333333340099</v>
      </c>
      <c r="Q204" s="2">
        <v>0.51117247863459958</v>
      </c>
      <c r="R204" s="2">
        <v>0.14375000000000077</v>
      </c>
      <c r="S204" s="2">
        <v>4.2189678436123534E-2</v>
      </c>
      <c r="U204" s="2">
        <f t="shared" si="32"/>
        <v>0.62863129577160815</v>
      </c>
      <c r="V204" s="2">
        <f t="shared" si="33"/>
        <v>0.14018166666666679</v>
      </c>
      <c r="W204" s="2">
        <f t="shared" si="34"/>
        <v>7.5667666403045439E-2</v>
      </c>
      <c r="Y204" s="31">
        <v>1999.3333333340099</v>
      </c>
      <c r="Z204" s="2">
        <v>-0.70481516888005591</v>
      </c>
      <c r="AA204" s="2">
        <v>1.0126249536365408</v>
      </c>
      <c r="AB204" s="2">
        <v>0.47600999326576771</v>
      </c>
      <c r="AD204" s="31">
        <v>1999.3333333340099</v>
      </c>
      <c r="AE204" s="2">
        <v>-0.27764277688393524</v>
      </c>
      <c r="AF204" s="2">
        <v>0.82070595139821056</v>
      </c>
      <c r="AG204" s="2">
        <v>1.0975943161656612</v>
      </c>
      <c r="AH204" s="31"/>
      <c r="AI204" s="31">
        <v>1999.3333333340099</v>
      </c>
      <c r="AJ204" s="2">
        <v>-0.36034812136225974</v>
      </c>
      <c r="AK204" s="2">
        <v>1.0974055715303397</v>
      </c>
      <c r="AL204" s="2">
        <v>-0.21903156318074446</v>
      </c>
      <c r="AM204" s="31"/>
      <c r="AN204" s="2">
        <f t="shared" si="35"/>
        <v>-0.44760202237541696</v>
      </c>
      <c r="AO204" s="2">
        <f t="shared" si="28"/>
        <v>0.97691215885503035</v>
      </c>
      <c r="AP204" s="2">
        <f t="shared" si="29"/>
        <v>0.45152424875022817</v>
      </c>
      <c r="AQ204" s="31"/>
      <c r="AR204" s="31">
        <v>1999.3333333340099</v>
      </c>
      <c r="AS204" s="2">
        <v>-0.93651458927316944</v>
      </c>
      <c r="AT204" s="2">
        <v>-1.8664175683888028E-2</v>
      </c>
      <c r="AU204" s="2">
        <v>-0.4559850923072214</v>
      </c>
      <c r="AV204" s="31"/>
      <c r="AW204" s="31">
        <v>1999.3333333340099</v>
      </c>
      <c r="AX204" s="2">
        <v>-0.41312480774997612</v>
      </c>
      <c r="AY204" s="2">
        <v>6.3397556491676846E-2</v>
      </c>
      <c r="AZ204" s="2">
        <v>0.42639812134548893</v>
      </c>
      <c r="BA204" s="31"/>
      <c r="BB204" s="31">
        <v>1999.3333333340099</v>
      </c>
      <c r="BC204" s="2">
        <v>-0.67815878051686562</v>
      </c>
      <c r="BD204" s="2">
        <v>0.38022549126865662</v>
      </c>
      <c r="BE204" s="2">
        <v>-0.66851277336837223</v>
      </c>
      <c r="BG204" s="2">
        <f t="shared" si="36"/>
        <v>-0.6759327258466703</v>
      </c>
      <c r="BH204" s="2">
        <f t="shared" si="30"/>
        <v>0.14165295735881514</v>
      </c>
      <c r="BI204" s="2">
        <f t="shared" si="31"/>
        <v>-0.23269991477670157</v>
      </c>
    </row>
    <row r="205" spans="1:61" x14ac:dyDescent="0.3">
      <c r="A205" s="31">
        <v>1999.2500000006801</v>
      </c>
      <c r="B205">
        <v>0.66923391102457797</v>
      </c>
      <c r="C205">
        <v>0.31920000000000215</v>
      </c>
      <c r="D205">
        <v>0.21361946439904672</v>
      </c>
      <c r="F205" s="31">
        <v>1999.2500000006801</v>
      </c>
      <c r="G205" s="2">
        <v>0.53771491299090857</v>
      </c>
      <c r="H205" s="2">
        <v>0.15374999999999969</v>
      </c>
      <c r="I205" s="2">
        <v>7.9538358191093061E-2</v>
      </c>
      <c r="K205" s="31">
        <v>1999.2500000006801</v>
      </c>
      <c r="L205" s="2">
        <v>0.71426647519493891</v>
      </c>
      <c r="M205" s="2">
        <v>0.15380999999999995</v>
      </c>
      <c r="N205" s="2">
        <v>0.10475248757641895</v>
      </c>
      <c r="P205" s="31">
        <v>1999.2500000006801</v>
      </c>
      <c r="Q205" s="2">
        <v>0.47848689314736614</v>
      </c>
      <c r="R205" s="2">
        <v>0.19170000000000093</v>
      </c>
      <c r="S205" s="2">
        <v>3.5386401654150412E-2</v>
      </c>
      <c r="U205" s="2">
        <f t="shared" si="32"/>
        <v>0.57682276044440461</v>
      </c>
      <c r="V205" s="2">
        <f t="shared" si="33"/>
        <v>0.16642000000000021</v>
      </c>
      <c r="W205" s="2">
        <f t="shared" si="34"/>
        <v>7.3225749140554144E-2</v>
      </c>
      <c r="Y205" s="31">
        <v>1999.2500000006801</v>
      </c>
      <c r="Z205" s="2">
        <v>-1.1361975614308299</v>
      </c>
      <c r="AA205" s="2">
        <v>1.0126249536365408</v>
      </c>
      <c r="AB205" s="2">
        <v>0.10032861388812482</v>
      </c>
      <c r="AD205" s="31">
        <v>1999.2500000006801</v>
      </c>
      <c r="AE205" s="2">
        <v>-0.56529680751033029</v>
      </c>
      <c r="AF205" s="2">
        <v>1.5741700477252341</v>
      </c>
      <c r="AG205" s="2">
        <v>1.6984392545723597</v>
      </c>
      <c r="AH205" s="31"/>
      <c r="AI205" s="31">
        <v>1999.2500000006801</v>
      </c>
      <c r="AJ205" s="2">
        <v>-0.89149154546859588</v>
      </c>
      <c r="AK205" s="2">
        <v>2.2400554914402537</v>
      </c>
      <c r="AL205" s="2">
        <v>-0.76885786469064599</v>
      </c>
      <c r="AM205" s="31"/>
      <c r="AN205" s="2">
        <f t="shared" si="35"/>
        <v>-0.86432863813658534</v>
      </c>
      <c r="AO205" s="2">
        <f t="shared" si="28"/>
        <v>1.6089501642673429</v>
      </c>
      <c r="AP205" s="2">
        <f t="shared" si="29"/>
        <v>0.34330333458994616</v>
      </c>
      <c r="AQ205" s="31"/>
      <c r="AR205" s="31">
        <v>1999.2500000006801</v>
      </c>
      <c r="AS205" s="2">
        <v>-1.1990609968447241</v>
      </c>
      <c r="AT205" s="2">
        <v>-6.2988546229767878E-2</v>
      </c>
      <c r="AU205" s="2">
        <v>-0.79482942672812595</v>
      </c>
      <c r="AV205" s="31"/>
      <c r="AW205" s="31">
        <v>1999.2500000006801</v>
      </c>
      <c r="AX205" s="2">
        <v>-0.51861273895210691</v>
      </c>
      <c r="AY205" s="2">
        <v>0.55987246831779702</v>
      </c>
      <c r="AZ205" s="2">
        <v>0.70372012196386857</v>
      </c>
      <c r="BA205" s="31"/>
      <c r="BB205" s="31">
        <v>1999.2500000006801</v>
      </c>
      <c r="BC205" s="2">
        <v>-0.71320947541265589</v>
      </c>
      <c r="BD205" s="2">
        <v>1.1204684408565393</v>
      </c>
      <c r="BE205" s="2">
        <v>-0.9077026341826856</v>
      </c>
      <c r="BG205" s="2">
        <f t="shared" si="36"/>
        <v>-0.81029440373649564</v>
      </c>
      <c r="BH205" s="2">
        <f t="shared" si="30"/>
        <v>0.53911745431485614</v>
      </c>
      <c r="BI205" s="2">
        <f t="shared" si="31"/>
        <v>-0.33293731298231433</v>
      </c>
    </row>
    <row r="206" spans="1:61" x14ac:dyDescent="0.3">
      <c r="A206" s="31">
        <v>1999.16666666735</v>
      </c>
      <c r="B206">
        <v>0.61670796135696215</v>
      </c>
      <c r="C206">
        <v>0.33440000000000225</v>
      </c>
      <c r="D206">
        <v>0.20622714227776953</v>
      </c>
      <c r="F206" s="31">
        <v>1999.16666666735</v>
      </c>
      <c r="G206" s="2">
        <v>0.52596840605134654</v>
      </c>
      <c r="H206" s="2">
        <v>0.12299999999999976</v>
      </c>
      <c r="I206" s="2">
        <v>6.3148079873075094E-2</v>
      </c>
      <c r="K206" s="31">
        <v>1999.16666666735</v>
      </c>
      <c r="L206" s="2">
        <v>0.6508606716974723</v>
      </c>
      <c r="M206" s="2">
        <v>0.12304499999999996</v>
      </c>
      <c r="N206" s="2">
        <v>7.6846640803765132E-2</v>
      </c>
      <c r="P206" s="31">
        <v>1999.16666666735</v>
      </c>
      <c r="Q206" s="2">
        <v>0.58456621386348151</v>
      </c>
      <c r="R206" s="2">
        <v>0.14375000000000077</v>
      </c>
      <c r="S206" s="2">
        <v>3.0968157991664552E-2</v>
      </c>
      <c r="U206" s="2">
        <f t="shared" si="32"/>
        <v>0.58713176387076682</v>
      </c>
      <c r="V206" s="2">
        <f t="shared" si="33"/>
        <v>0.12993166666666683</v>
      </c>
      <c r="W206" s="2">
        <f t="shared" si="34"/>
        <v>5.6987626222834931E-2</v>
      </c>
      <c r="Y206" s="31">
        <v>1999.16666666735</v>
      </c>
      <c r="Z206" s="2">
        <v>-1.2043047036665973</v>
      </c>
      <c r="AA206" s="2">
        <v>0.4121617927810336</v>
      </c>
      <c r="AB206" s="2">
        <v>-0.27688116944581515</v>
      </c>
      <c r="AD206" s="31">
        <v>1999.16666666735</v>
      </c>
      <c r="AE206" s="2">
        <v>-0.94260931624553501</v>
      </c>
      <c r="AF206" s="2">
        <v>0.82070595139821056</v>
      </c>
      <c r="AG206" s="2">
        <v>0.63732472116416439</v>
      </c>
      <c r="AH206" s="31"/>
      <c r="AI206" s="31">
        <v>1999.16666666735</v>
      </c>
      <c r="AJ206" s="2">
        <v>-1.2730269951787387</v>
      </c>
      <c r="AK206" s="2">
        <v>1.0974055715303397</v>
      </c>
      <c r="AL206" s="2">
        <v>-1.1259308825856511</v>
      </c>
      <c r="AM206" s="31"/>
      <c r="AN206" s="2">
        <f t="shared" si="35"/>
        <v>-1.1399803383636238</v>
      </c>
      <c r="AO206" s="2">
        <f t="shared" si="28"/>
        <v>0.77675777190319462</v>
      </c>
      <c r="AP206" s="2">
        <f t="shared" si="29"/>
        <v>-0.25516244362243395</v>
      </c>
      <c r="AQ206" s="31"/>
      <c r="AR206" s="31">
        <v>1999.16666666735</v>
      </c>
      <c r="AS206" s="2">
        <v>-0.93628693006566399</v>
      </c>
      <c r="AT206" s="2">
        <v>-0.46657286796563091</v>
      </c>
      <c r="AU206" s="2">
        <v>-0.90212669935553713</v>
      </c>
      <c r="AV206" s="31"/>
      <c r="AW206" s="31">
        <v>1999.16666666735</v>
      </c>
      <c r="AX206" s="2">
        <v>-0.74442265633326066</v>
      </c>
      <c r="AY206" s="2">
        <v>0.19145988481734807</v>
      </c>
      <c r="AZ206" s="2">
        <v>0.33798981973713055</v>
      </c>
      <c r="BA206" s="31"/>
      <c r="BB206" s="31">
        <v>1999.16666666735</v>
      </c>
      <c r="BC206" s="2">
        <v>-0.7659107934723125</v>
      </c>
      <c r="BD206" s="2">
        <v>0.96568337279325867</v>
      </c>
      <c r="BE206" s="2">
        <v>-0.79153768231081911</v>
      </c>
      <c r="BG206" s="2">
        <f t="shared" si="36"/>
        <v>-0.81554012662374564</v>
      </c>
      <c r="BH206" s="2">
        <f t="shared" si="30"/>
        <v>0.23019012988165857</v>
      </c>
      <c r="BI206" s="2">
        <f t="shared" si="31"/>
        <v>-0.4518915206430752</v>
      </c>
    </row>
    <row r="207" spans="1:61" x14ac:dyDescent="0.3">
      <c r="A207" s="31">
        <v>1999.0833333340199</v>
      </c>
      <c r="B207">
        <v>0.54840658303877665</v>
      </c>
      <c r="C207">
        <v>4.5600000000000307E-2</v>
      </c>
      <c r="D207">
        <v>2.5007340186568385E-2</v>
      </c>
      <c r="F207" s="31">
        <v>1999.0833333340199</v>
      </c>
      <c r="G207" s="2">
        <v>0.51402773740281582</v>
      </c>
      <c r="H207" s="2">
        <v>6.1499999999999846E-2</v>
      </c>
      <c r="I207" s="2">
        <v>3.1612705850273093E-2</v>
      </c>
      <c r="K207" s="31">
        <v>1999.0833333340199</v>
      </c>
      <c r="L207" s="2">
        <v>0.5967652867120562</v>
      </c>
      <c r="M207" s="2">
        <v>9.2264999999999903E-2</v>
      </c>
      <c r="N207" s="2">
        <v>3.6709284109521081E-2</v>
      </c>
      <c r="P207" s="31">
        <v>1999.0833333340199</v>
      </c>
      <c r="Q207" s="2">
        <v>0.47797900375625824</v>
      </c>
      <c r="R207" s="2">
        <v>0.11985000000000046</v>
      </c>
      <c r="S207" s="2">
        <v>3.0918863068362966E-2</v>
      </c>
      <c r="U207" s="2">
        <f t="shared" si="32"/>
        <v>0.52959067595704346</v>
      </c>
      <c r="V207" s="2">
        <f t="shared" si="33"/>
        <v>9.1205000000000078E-2</v>
      </c>
      <c r="W207" s="2">
        <f t="shared" si="34"/>
        <v>3.3080284342719042E-2</v>
      </c>
      <c r="Y207" s="31">
        <v>1999.0833333340199</v>
      </c>
      <c r="Z207" s="2">
        <v>-1.2735376102847047</v>
      </c>
      <c r="AA207" s="2">
        <v>-0.78876452892998183</v>
      </c>
      <c r="AB207" s="2">
        <v>-1.0026438057897713</v>
      </c>
      <c r="AD207" s="31">
        <v>1999.0833333340199</v>
      </c>
      <c r="AE207" s="2">
        <v>-1.2645177898233455</v>
      </c>
      <c r="AF207" s="2">
        <v>6.6874490811640125E-2</v>
      </c>
      <c r="AG207" s="2">
        <v>-0.88889065828052038</v>
      </c>
      <c r="AH207" s="31"/>
      <c r="AI207" s="31">
        <v>1999.0833333340199</v>
      </c>
      <c r="AJ207" s="2">
        <v>-1.3044210780139591</v>
      </c>
      <c r="AK207" s="2">
        <v>0.52786786379629969</v>
      </c>
      <c r="AL207" s="2">
        <v>-1.129914793020391</v>
      </c>
      <c r="AM207" s="31"/>
      <c r="AN207" s="2">
        <f t="shared" si="35"/>
        <v>-1.2808254927073364</v>
      </c>
      <c r="AO207" s="2">
        <f t="shared" si="28"/>
        <v>-6.4674058107347346E-2</v>
      </c>
      <c r="AP207" s="2">
        <f t="shared" si="29"/>
        <v>-1.0071497523635609</v>
      </c>
      <c r="AQ207" s="31"/>
      <c r="AR207" s="31">
        <v>1999.0833333340199</v>
      </c>
      <c r="AS207" s="2">
        <v>-1.0062551492383813</v>
      </c>
      <c r="AT207" s="2">
        <v>-0.93050162247170598</v>
      </c>
      <c r="AU207" s="2">
        <v>-1.2026947424190961</v>
      </c>
      <c r="AV207" s="31"/>
      <c r="AW207" s="31">
        <v>1999.0833333340199</v>
      </c>
      <c r="AX207" s="2">
        <v>-1.0261432032313356</v>
      </c>
      <c r="AY207" s="2">
        <v>0.56051139147476758</v>
      </c>
      <c r="AZ207" s="2">
        <v>-1.237138696745534</v>
      </c>
      <c r="BA207" s="31"/>
      <c r="BB207" s="31">
        <v>1999.0833333340199</v>
      </c>
      <c r="BC207" s="2">
        <v>-0.69054668880341974</v>
      </c>
      <c r="BD207" s="2">
        <v>0.93034272396242035</v>
      </c>
      <c r="BE207" s="2">
        <v>-0.92057850252030449</v>
      </c>
      <c r="BG207" s="2">
        <f t="shared" si="36"/>
        <v>-0.90764834709104558</v>
      </c>
      <c r="BH207" s="2">
        <f t="shared" si="30"/>
        <v>0.18678416432182732</v>
      </c>
      <c r="BI207" s="2">
        <f t="shared" si="31"/>
        <v>-1.1201373138949782</v>
      </c>
    </row>
    <row r="208" spans="1:61" x14ac:dyDescent="0.3">
      <c r="A208" s="31">
        <v>1999.0000000006901</v>
      </c>
      <c r="B208">
        <v>0.56094393810472298</v>
      </c>
      <c r="C208">
        <v>3.0400000000000205E-2</v>
      </c>
      <c r="D208">
        <v>1.7052695718383692E-2</v>
      </c>
      <c r="F208" s="31">
        <v>1999.0000000006901</v>
      </c>
      <c r="G208" s="2">
        <v>0.52209109685791533</v>
      </c>
      <c r="H208" s="2">
        <v>6.1499999999999846E-2</v>
      </c>
      <c r="I208" s="2">
        <v>3.2108602456761712E-2</v>
      </c>
      <c r="K208" s="31">
        <v>1999.0000000006901</v>
      </c>
      <c r="L208" s="2">
        <v>0.62181492357826162</v>
      </c>
      <c r="M208" s="2">
        <v>6.1514999999999952E-2</v>
      </c>
      <c r="N208" s="2">
        <v>3.824947800607191E-2</v>
      </c>
      <c r="P208" s="31">
        <v>1999.0000000006901</v>
      </c>
      <c r="Q208" s="2">
        <v>0.55043887500497379</v>
      </c>
      <c r="R208" s="2">
        <v>7.1900000000000297E-2</v>
      </c>
      <c r="S208" s="2">
        <v>3.3454443254506291E-2</v>
      </c>
      <c r="U208" s="2">
        <f t="shared" si="32"/>
        <v>0.56478163181371699</v>
      </c>
      <c r="V208" s="2">
        <f t="shared" si="33"/>
        <v>6.4971666666666705E-2</v>
      </c>
      <c r="W208" s="2">
        <f t="shared" si="34"/>
        <v>3.460417457244664E-2</v>
      </c>
      <c r="Y208" s="31">
        <v>1999.0000000006901</v>
      </c>
      <c r="Z208" s="2">
        <v>-1.2267856377934634</v>
      </c>
      <c r="AA208" s="2">
        <v>-0.78876452892998183</v>
      </c>
      <c r="AB208" s="2">
        <v>-0.99123112274314018</v>
      </c>
      <c r="AD208" s="31">
        <v>1999.0000000006901</v>
      </c>
      <c r="AE208" s="2">
        <v>-1.1154534959015521</v>
      </c>
      <c r="AF208" s="2">
        <v>-0.68622224125583742</v>
      </c>
      <c r="AG208" s="2">
        <v>-0.83032507733931671</v>
      </c>
      <c r="AH208" s="31"/>
      <c r="AI208" s="31">
        <v>1999.0000000006901</v>
      </c>
      <c r="AJ208" s="2">
        <v>-1.115657869803617</v>
      </c>
      <c r="AK208" s="2">
        <v>-0.61478205611361436</v>
      </c>
      <c r="AL208" s="2">
        <v>-0.92499461696301766</v>
      </c>
      <c r="AM208" s="31"/>
      <c r="AN208" s="2">
        <f t="shared" si="35"/>
        <v>-1.1526323344995442</v>
      </c>
      <c r="AO208" s="2">
        <f t="shared" si="28"/>
        <v>-0.69658960876647791</v>
      </c>
      <c r="AP208" s="2">
        <f t="shared" si="29"/>
        <v>-0.91551693901515818</v>
      </c>
      <c r="AQ208" s="31"/>
      <c r="AR208" s="31">
        <v>1999.0000000006901</v>
      </c>
      <c r="AS208" s="2">
        <v>-0.60473479197348168</v>
      </c>
      <c r="AT208" s="2">
        <v>-0.29853293598826575</v>
      </c>
      <c r="AU208" s="2">
        <v>-0.77245544732271765</v>
      </c>
      <c r="AV208" s="31"/>
      <c r="AW208" s="31">
        <v>1999.0000000006901</v>
      </c>
      <c r="AX208" s="2">
        <v>-0.60878087857218954</v>
      </c>
      <c r="AY208" s="2">
        <v>-0.21981065223360952</v>
      </c>
      <c r="AZ208" s="2">
        <v>-0.65171302873390491</v>
      </c>
      <c r="BA208" s="31"/>
      <c r="BB208" s="31">
        <v>1999.0000000006901</v>
      </c>
      <c r="BC208" s="2">
        <v>-0.46554027978226492</v>
      </c>
      <c r="BD208" s="2">
        <v>-9.3919208556921333E-2</v>
      </c>
      <c r="BE208" s="2">
        <v>-0.27871581391608841</v>
      </c>
      <c r="BG208" s="2">
        <f t="shared" si="36"/>
        <v>-0.55968531677597877</v>
      </c>
      <c r="BH208" s="2">
        <f t="shared" si="30"/>
        <v>-0.20408759892626552</v>
      </c>
      <c r="BI208" s="2">
        <f t="shared" si="31"/>
        <v>-0.5676280966575703</v>
      </c>
    </row>
    <row r="209" spans="1:61" x14ac:dyDescent="0.3">
      <c r="A209" s="31">
        <v>1998.91666666736</v>
      </c>
      <c r="B209">
        <v>0.59018520407616137</v>
      </c>
      <c r="C209">
        <v>4.5600000000000307E-2</v>
      </c>
      <c r="D209">
        <v>2.6912445305873139E-2</v>
      </c>
      <c r="F209" s="31">
        <v>1998.91666666736</v>
      </c>
      <c r="G209" s="2">
        <v>0.542262821136963</v>
      </c>
      <c r="H209" s="2">
        <v>6.1499999999999798E-2</v>
      </c>
      <c r="I209" s="2">
        <v>3.3349163499923118E-2</v>
      </c>
      <c r="K209" s="31">
        <v>1998.91666666736</v>
      </c>
      <c r="L209" s="2">
        <v>0.6567645622516376</v>
      </c>
      <c r="M209" s="2">
        <v>6.1514999999999952E-2</v>
      </c>
      <c r="N209" s="2">
        <v>4.0398747948043157E-2</v>
      </c>
      <c r="P209" s="31">
        <v>1998.91666666736</v>
      </c>
      <c r="Q209" s="2">
        <v>0.6275389341691856</v>
      </c>
      <c r="R209" s="2">
        <v>7.1900000000000297E-2</v>
      </c>
      <c r="S209" s="2">
        <v>3.620690073850942E-2</v>
      </c>
      <c r="U209" s="2">
        <f t="shared" si="32"/>
        <v>0.60885543918592866</v>
      </c>
      <c r="V209" s="2">
        <f t="shared" si="33"/>
        <v>6.4971666666666691E-2</v>
      </c>
      <c r="W209" s="2">
        <f t="shared" si="34"/>
        <v>3.6651604062158567E-2</v>
      </c>
      <c r="Y209" s="31">
        <v>1998.91666666736</v>
      </c>
      <c r="Z209" s="2">
        <v>-1.1098284434817896</v>
      </c>
      <c r="AA209" s="2">
        <v>-0.78876452892998272</v>
      </c>
      <c r="AB209" s="2">
        <v>-0.96268055433765942</v>
      </c>
      <c r="AD209" s="31">
        <v>1998.91666666736</v>
      </c>
      <c r="AE209" s="2">
        <v>-0.90747670009030901</v>
      </c>
      <c r="AF209" s="2">
        <v>-0.68622224125583742</v>
      </c>
      <c r="AG209" s="2">
        <v>-0.74859949523377889</v>
      </c>
      <c r="AH209" s="31"/>
      <c r="AI209" s="31">
        <v>1998.91666666736</v>
      </c>
      <c r="AJ209" s="2">
        <v>-0.89092797883634389</v>
      </c>
      <c r="AK209" s="2">
        <v>-0.61478205611361436</v>
      </c>
      <c r="AL209" s="2">
        <v>-0.70254688082170302</v>
      </c>
      <c r="AM209" s="31"/>
      <c r="AN209" s="2">
        <f t="shared" si="35"/>
        <v>-0.96941104080281415</v>
      </c>
      <c r="AO209" s="2">
        <f t="shared" si="28"/>
        <v>-0.69658960876647813</v>
      </c>
      <c r="AP209" s="2">
        <f t="shared" si="29"/>
        <v>-0.80460897679771382</v>
      </c>
      <c r="AQ209" s="31"/>
      <c r="AR209" s="31">
        <v>1998.91666666736</v>
      </c>
      <c r="AS209" s="2">
        <v>-0.87520406039129783</v>
      </c>
      <c r="AT209" s="2">
        <v>-0.68444756444045463</v>
      </c>
      <c r="AU209" s="2">
        <v>-0.9865915986507191</v>
      </c>
      <c r="AV209" s="31"/>
      <c r="AW209" s="31">
        <v>1998.91666666736</v>
      </c>
      <c r="AX209" s="2">
        <v>-0.62059095296993982</v>
      </c>
      <c r="AY209" s="2">
        <v>-0.51751295497595129</v>
      </c>
      <c r="AZ209" s="2">
        <v>-0.710659753298443</v>
      </c>
      <c r="BA209" s="31"/>
      <c r="BB209" s="31">
        <v>1998.91666666736</v>
      </c>
      <c r="BC209" s="2">
        <v>-0.59974088812911208</v>
      </c>
      <c r="BD209" s="2">
        <v>-0.44318112469553572</v>
      </c>
      <c r="BE209" s="2">
        <v>-0.47101556492880547</v>
      </c>
      <c r="BG209" s="2">
        <f t="shared" si="36"/>
        <v>-0.69851196716344999</v>
      </c>
      <c r="BH209" s="2">
        <f t="shared" si="30"/>
        <v>-0.54838054803731395</v>
      </c>
      <c r="BI209" s="2">
        <f t="shared" si="31"/>
        <v>-0.72275563895932249</v>
      </c>
    </row>
    <row r="210" spans="1:61" x14ac:dyDescent="0.3">
      <c r="A210" s="31">
        <v>1998.8333333340299</v>
      </c>
      <c r="B210">
        <v>0.64240482219849993</v>
      </c>
      <c r="C210">
        <v>3.0400000000000205E-2</v>
      </c>
      <c r="D210">
        <v>1.952910659483453E-2</v>
      </c>
      <c r="F210" s="31">
        <v>1998.8333333340299</v>
      </c>
      <c r="G210" s="2">
        <v>0.54719368899690146</v>
      </c>
      <c r="H210" s="2">
        <v>6.1499999999999846E-2</v>
      </c>
      <c r="I210" s="2">
        <v>3.3652411873309362E-2</v>
      </c>
      <c r="K210" s="31">
        <v>1998.8333333340299</v>
      </c>
      <c r="L210" s="2">
        <v>0.70165585518427742</v>
      </c>
      <c r="M210" s="2">
        <v>6.1514999999999952E-2</v>
      </c>
      <c r="N210" s="2">
        <v>4.3159600508955384E-2</v>
      </c>
      <c r="P210" s="31">
        <v>1998.8333333340299</v>
      </c>
      <c r="Q210" s="2">
        <v>0.69780436446365923</v>
      </c>
      <c r="R210" s="2">
        <v>7.1900000000000297E-2</v>
      </c>
      <c r="S210" s="2">
        <v>3.9149765059936975E-2</v>
      </c>
      <c r="U210" s="2">
        <f t="shared" si="32"/>
        <v>0.64888463621494596</v>
      </c>
      <c r="V210" s="2">
        <f t="shared" si="33"/>
        <v>6.4971666666666705E-2</v>
      </c>
      <c r="W210" s="2">
        <f t="shared" si="34"/>
        <v>3.8653925814067243E-2</v>
      </c>
      <c r="Y210" s="31">
        <v>1998.8333333340299</v>
      </c>
      <c r="Z210" s="2">
        <v>-1.0812388959328461</v>
      </c>
      <c r="AA210" s="2">
        <v>-0.78876452892998183</v>
      </c>
      <c r="AB210" s="2">
        <v>-0.95570152378052442</v>
      </c>
      <c r="AD210" s="31">
        <v>1998.8333333340299</v>
      </c>
      <c r="AE210" s="2">
        <v>-0.64033953878206906</v>
      </c>
      <c r="AF210" s="2">
        <v>-0.68622224125583742</v>
      </c>
      <c r="AG210" s="2">
        <v>-0.64361859998095949</v>
      </c>
      <c r="AH210" s="31"/>
      <c r="AI210" s="31">
        <v>1998.8333333340299</v>
      </c>
      <c r="AJ210" s="2">
        <v>-0.63624831532993531</v>
      </c>
      <c r="AK210" s="2">
        <v>-0.61478205611361436</v>
      </c>
      <c r="AL210" s="2">
        <v>-0.46471087068267714</v>
      </c>
      <c r="AM210" s="31"/>
      <c r="AN210" s="2">
        <f t="shared" si="35"/>
        <v>-0.78594225001495011</v>
      </c>
      <c r="AO210" s="2">
        <f t="shared" si="28"/>
        <v>-0.69658960876647791</v>
      </c>
      <c r="AP210" s="2">
        <f t="shared" si="29"/>
        <v>-0.68801033148138702</v>
      </c>
      <c r="AQ210" s="31"/>
      <c r="AR210" s="31">
        <v>1998.8333333340299</v>
      </c>
      <c r="AS210" s="2">
        <v>-0.6112952986891288</v>
      </c>
      <c r="AT210" s="2">
        <v>-0.28549293171718004</v>
      </c>
      <c r="AU210" s="2">
        <v>-0.74999342708319394</v>
      </c>
      <c r="AV210" s="31"/>
      <c r="AW210" s="31">
        <v>1998.8333333340299</v>
      </c>
      <c r="AX210" s="2">
        <v>-0.27541866116386254</v>
      </c>
      <c r="AY210" s="2">
        <v>-0.19138401234735175</v>
      </c>
      <c r="AZ210" s="2">
        <v>-0.30804839916430571</v>
      </c>
      <c r="BA210" s="31"/>
      <c r="BB210" s="31">
        <v>1998.8333333340299</v>
      </c>
      <c r="BC210" s="2">
        <v>-0.34376854857051897</v>
      </c>
      <c r="BD210" s="2">
        <v>-4.0971152421897278E-2</v>
      </c>
      <c r="BE210" s="2">
        <v>-0.11056352560241402</v>
      </c>
      <c r="BG210" s="2">
        <f t="shared" si="36"/>
        <v>-0.4101608361411701</v>
      </c>
      <c r="BH210" s="2">
        <f t="shared" si="30"/>
        <v>-0.17261603216214302</v>
      </c>
      <c r="BI210" s="2">
        <f t="shared" si="31"/>
        <v>-0.38953511728330453</v>
      </c>
    </row>
    <row r="211" spans="1:61" x14ac:dyDescent="0.3">
      <c r="A211" s="31">
        <v>1998.7500000007001</v>
      </c>
      <c r="B211">
        <v>0.70262448635634822</v>
      </c>
      <c r="C211">
        <v>4.5600000000000307E-2</v>
      </c>
      <c r="D211">
        <v>3.2039676577849695E-2</v>
      </c>
      <c r="F211" s="31">
        <v>1998.7500000007001</v>
      </c>
      <c r="G211" s="2">
        <v>0.57610786573873463</v>
      </c>
      <c r="H211" s="2">
        <v>6.1499999999999846E-2</v>
      </c>
      <c r="I211" s="2">
        <v>3.5430633742932094E-2</v>
      </c>
      <c r="K211" s="31">
        <v>1998.7500000007001</v>
      </c>
      <c r="L211" s="2">
        <v>0.747958771629888</v>
      </c>
      <c r="M211" s="2">
        <v>6.1514999999999952E-2</v>
      </c>
      <c r="N211" s="2">
        <v>4.6007266967103437E-2</v>
      </c>
      <c r="P211" s="31">
        <v>1998.7500000007001</v>
      </c>
      <c r="Q211" s="2">
        <v>0.72393062546553477</v>
      </c>
      <c r="R211" s="2">
        <v>7.1900000000000297E-2</v>
      </c>
      <c r="S211" s="2">
        <v>4.2021481922316584E-2</v>
      </c>
      <c r="U211" s="2">
        <f t="shared" si="32"/>
        <v>0.68266575427805254</v>
      </c>
      <c r="V211" s="2">
        <f t="shared" si="33"/>
        <v>6.4971666666666705E-2</v>
      </c>
      <c r="W211" s="2">
        <f t="shared" si="34"/>
        <v>4.1153127544117374E-2</v>
      </c>
      <c r="Y211" s="31">
        <v>1998.7500000007001</v>
      </c>
      <c r="Z211" s="2">
        <v>-0.91359229612931581</v>
      </c>
      <c r="AA211" s="2">
        <v>-0.78876452892998183</v>
      </c>
      <c r="AB211" s="2">
        <v>-0.91477710058615502</v>
      </c>
      <c r="AD211" s="31">
        <v>1998.7500000007001</v>
      </c>
      <c r="AE211" s="2">
        <v>-0.36480214942388617</v>
      </c>
      <c r="AF211" s="2">
        <v>-0.68622224125583742</v>
      </c>
      <c r="AG211" s="2">
        <v>-0.53533662274309124</v>
      </c>
      <c r="AH211" s="31"/>
      <c r="AI211" s="31">
        <v>1998.7500000007001</v>
      </c>
      <c r="AJ211" s="2">
        <v>-0.38197943695566189</v>
      </c>
      <c r="AK211" s="2">
        <v>-0.61478205611361436</v>
      </c>
      <c r="AL211" s="2">
        <v>-0.23262484625256938</v>
      </c>
      <c r="AM211" s="31"/>
      <c r="AN211" s="2">
        <f t="shared" si="35"/>
        <v>-0.55345796083628795</v>
      </c>
      <c r="AO211" s="2">
        <f t="shared" si="28"/>
        <v>-0.69658960876647791</v>
      </c>
      <c r="AP211" s="2">
        <f t="shared" si="29"/>
        <v>-0.56091285652727185</v>
      </c>
      <c r="AQ211" s="31"/>
      <c r="AR211" s="31">
        <v>1998.7500000007001</v>
      </c>
      <c r="AS211" s="2">
        <v>-1.1884452519269777</v>
      </c>
      <c r="AT211" s="2">
        <v>-0.6766476141944503</v>
      </c>
      <c r="AU211" s="2">
        <v>-1.0435659285611938</v>
      </c>
      <c r="AV211" s="31"/>
      <c r="AW211" s="31">
        <v>1998.7500000007001</v>
      </c>
      <c r="AX211" s="2">
        <v>-0.34875294539312784</v>
      </c>
      <c r="AY211" s="2">
        <v>-0.6564669997761764</v>
      </c>
      <c r="AZ211" s="2">
        <v>-0.64220427926054646</v>
      </c>
      <c r="BA211" s="31"/>
      <c r="BB211" s="31">
        <v>1998.7500000007001</v>
      </c>
      <c r="BC211" s="2">
        <v>-0.43081466570230126</v>
      </c>
      <c r="BD211" s="2">
        <v>-0.59144451954684485</v>
      </c>
      <c r="BE211" s="2">
        <v>-0.435786961865683</v>
      </c>
      <c r="BG211" s="2">
        <f t="shared" si="36"/>
        <v>-0.65600428767413554</v>
      </c>
      <c r="BH211" s="2">
        <f t="shared" si="30"/>
        <v>-0.64151971117249051</v>
      </c>
      <c r="BI211" s="2">
        <f t="shared" si="31"/>
        <v>-0.70718572322914108</v>
      </c>
    </row>
    <row r="212" spans="1:61" x14ac:dyDescent="0.3">
      <c r="A212" s="31">
        <v>1998.66666666737</v>
      </c>
      <c r="B212">
        <v>0.74815841545805606</v>
      </c>
      <c r="C212">
        <v>3.0400000000000205E-2</v>
      </c>
      <c r="D212">
        <v>2.2744015829925059E-2</v>
      </c>
      <c r="F212" s="31">
        <v>1998.66666666737</v>
      </c>
      <c r="G212" s="2">
        <v>0.56131014379720834</v>
      </c>
      <c r="H212" s="2">
        <v>6.1499999999999798E-2</v>
      </c>
      <c r="I212" s="2">
        <v>3.4520573843528198E-2</v>
      </c>
      <c r="K212" s="31">
        <v>1998.66666666737</v>
      </c>
      <c r="L212" s="2">
        <v>0.79529393261649961</v>
      </c>
      <c r="M212" s="2">
        <v>6.1514999999999952E-2</v>
      </c>
      <c r="N212" s="2">
        <v>4.8918418914824041E-2</v>
      </c>
      <c r="P212" s="31">
        <v>1998.66666666737</v>
      </c>
      <c r="Q212" s="2">
        <v>0.68510999071077339</v>
      </c>
      <c r="R212" s="2">
        <v>7.1900000000000297E-2</v>
      </c>
      <c r="S212" s="2">
        <v>4.4823414331538289E-2</v>
      </c>
      <c r="U212" s="2">
        <f t="shared" si="32"/>
        <v>0.68057135570816041</v>
      </c>
      <c r="V212" s="2">
        <f t="shared" si="33"/>
        <v>6.4971666666666691E-2</v>
      </c>
      <c r="W212" s="2">
        <f t="shared" si="34"/>
        <v>4.2754135696630176E-2</v>
      </c>
      <c r="Y212" s="31">
        <v>1998.66666666737</v>
      </c>
      <c r="Z212" s="2">
        <v>-0.99939061542732854</v>
      </c>
      <c r="AA212" s="2">
        <v>-0.78876452892998272</v>
      </c>
      <c r="AB212" s="2">
        <v>-0.93572143666235674</v>
      </c>
      <c r="AD212" s="31">
        <v>1998.66666666737</v>
      </c>
      <c r="AE212" s="2">
        <v>-8.3122123967591402E-2</v>
      </c>
      <c r="AF212" s="2">
        <v>-0.68622224125583742</v>
      </c>
      <c r="AG212" s="2">
        <v>-0.42464062179919515</v>
      </c>
      <c r="AH212" s="31"/>
      <c r="AI212" s="31">
        <v>1998.66666666737</v>
      </c>
      <c r="AJ212" s="2">
        <v>-0.13976196015869621</v>
      </c>
      <c r="AK212" s="2">
        <v>-0.61478205611361436</v>
      </c>
      <c r="AL212" s="2">
        <v>-6.1786523059676624E-3</v>
      </c>
      <c r="AM212" s="31"/>
      <c r="AN212" s="2">
        <f t="shared" si="35"/>
        <v>-0.40742489985120539</v>
      </c>
      <c r="AO212" s="2">
        <f t="shared" si="28"/>
        <v>-0.69658960876647813</v>
      </c>
      <c r="AP212" s="2">
        <f t="shared" si="29"/>
        <v>-0.45551357025583988</v>
      </c>
      <c r="AQ212" s="31"/>
      <c r="AR212" s="31">
        <v>1998.66666666737</v>
      </c>
      <c r="AS212" s="2">
        <v>-0.68742983169964189</v>
      </c>
      <c r="AT212" s="2">
        <v>-0.32631334910520099</v>
      </c>
      <c r="AU212" s="2">
        <v>-0.8044179804984477</v>
      </c>
      <c r="AV212" s="31"/>
      <c r="AW212" s="31">
        <v>1998.66666666737</v>
      </c>
      <c r="AX212" s="2">
        <v>-0.13478683960472301</v>
      </c>
      <c r="AY212" s="2">
        <v>-0.23837245449551037</v>
      </c>
      <c r="AZ212" s="2">
        <v>-0.15098645987706502</v>
      </c>
      <c r="BA212" s="31"/>
      <c r="BB212" s="31">
        <v>1998.66666666737</v>
      </c>
      <c r="BC212" s="2">
        <v>-0.18949585925031076</v>
      </c>
      <c r="BD212" s="2">
        <v>-0.59144451954684485</v>
      </c>
      <c r="BE212" s="2">
        <v>-0.22268957369186904</v>
      </c>
      <c r="BG212" s="2">
        <f t="shared" si="36"/>
        <v>-0.3372375101848919</v>
      </c>
      <c r="BH212" s="2">
        <f t="shared" si="30"/>
        <v>-0.38537677438251872</v>
      </c>
      <c r="BI212" s="2">
        <f t="shared" si="31"/>
        <v>-0.39269800468912724</v>
      </c>
    </row>
    <row r="213" spans="1:61" x14ac:dyDescent="0.3">
      <c r="A213" s="31">
        <v>1998.5833333340399</v>
      </c>
      <c r="B213">
        <v>0.77723920341743236</v>
      </c>
      <c r="C213">
        <v>4.5600000000000307E-2</v>
      </c>
      <c r="D213">
        <v>3.5442107675835152E-2</v>
      </c>
      <c r="F213" s="31">
        <v>1998.5833333340399</v>
      </c>
      <c r="G213" s="2">
        <v>0.61712156202530088</v>
      </c>
      <c r="H213" s="2">
        <v>6.1499999999999846E-2</v>
      </c>
      <c r="I213" s="2">
        <v>3.7952976064555916E-2</v>
      </c>
      <c r="K213" s="31">
        <v>1998.5833333340399</v>
      </c>
      <c r="L213" s="2">
        <v>0.8516535579588892</v>
      </c>
      <c r="M213" s="2">
        <v>6.1514999999999952E-2</v>
      </c>
      <c r="N213" s="2">
        <v>5.2384713436690385E-2</v>
      </c>
      <c r="P213" s="31">
        <v>1998.5833333340399</v>
      </c>
      <c r="Q213" s="2">
        <v>0.64241428515671095</v>
      </c>
      <c r="R213" s="2">
        <v>7.1900000000000297E-2</v>
      </c>
      <c r="S213" s="2">
        <v>4.7781118545010014E-2</v>
      </c>
      <c r="U213" s="2">
        <f t="shared" si="32"/>
        <v>0.70372980171363375</v>
      </c>
      <c r="V213" s="2">
        <f t="shared" si="33"/>
        <v>6.4971666666666705E-2</v>
      </c>
      <c r="W213" s="2">
        <f t="shared" si="34"/>
        <v>4.6039602682085436E-2</v>
      </c>
      <c r="Y213" s="31">
        <v>1998.5833333340399</v>
      </c>
      <c r="Z213" s="2">
        <v>-0.67579176010818942</v>
      </c>
      <c r="AA213" s="2">
        <v>-0.78876452892998183</v>
      </c>
      <c r="AB213" s="2">
        <v>-0.85672731142621072</v>
      </c>
      <c r="AD213" s="31">
        <v>1998.5833333340399</v>
      </c>
      <c r="AE213" s="2">
        <v>0.25226029304038627</v>
      </c>
      <c r="AF213" s="2">
        <v>-0.68622224125583742</v>
      </c>
      <c r="AG213" s="2">
        <v>-0.29283542971199578</v>
      </c>
      <c r="AH213" s="31"/>
      <c r="AI213" s="31">
        <v>1998.5833333340399</v>
      </c>
      <c r="AJ213" s="2">
        <v>9.9437623702804401E-2</v>
      </c>
      <c r="AK213" s="2">
        <v>-0.61478205611361436</v>
      </c>
      <c r="AL213" s="2">
        <v>0.23285668621832575</v>
      </c>
      <c r="AM213" s="31"/>
      <c r="AN213" s="2">
        <f t="shared" si="35"/>
        <v>-0.10803128112166625</v>
      </c>
      <c r="AO213" s="2">
        <f t="shared" si="28"/>
        <v>-0.69658960876647791</v>
      </c>
      <c r="AP213" s="2">
        <f t="shared" si="29"/>
        <v>-0.30556868497329359</v>
      </c>
      <c r="AQ213" s="31"/>
      <c r="AR213" s="31">
        <v>1998.5833333340399</v>
      </c>
      <c r="AS213" s="2">
        <v>-1.1799629168626105</v>
      </c>
      <c r="AT213" s="2">
        <v>-0.65870957567408583</v>
      </c>
      <c r="AU213" s="2">
        <v>-1.0170326121938018</v>
      </c>
      <c r="AV213" s="31"/>
      <c r="AW213" s="31">
        <v>1998.5833333340399</v>
      </c>
      <c r="AX213" s="2">
        <v>4.0639922210479733E-2</v>
      </c>
      <c r="AY213" s="2">
        <v>-0.53553372549108424</v>
      </c>
      <c r="AZ213" s="2">
        <v>-0.15855518788872289</v>
      </c>
      <c r="BA213" s="31"/>
      <c r="BB213" s="31">
        <v>1998.5833333340399</v>
      </c>
      <c r="BC213" s="2">
        <v>4.8816251191066196E-2</v>
      </c>
      <c r="BD213" s="2">
        <v>-0.59144451954684485</v>
      </c>
      <c r="BE213" s="2">
        <v>2.2548399589164539E-3</v>
      </c>
      <c r="BG213" s="2">
        <f t="shared" si="36"/>
        <v>-0.36350224782035484</v>
      </c>
      <c r="BH213" s="2">
        <f t="shared" si="30"/>
        <v>-0.59522927357067168</v>
      </c>
      <c r="BI213" s="2">
        <f t="shared" si="31"/>
        <v>-0.39111098670786942</v>
      </c>
    </row>
    <row r="214" spans="1:61" x14ac:dyDescent="0.3">
      <c r="A214" s="31">
        <v>1998.5000000007101</v>
      </c>
      <c r="B214">
        <v>0.80588890682731673</v>
      </c>
      <c r="C214">
        <v>3.0400000000000205E-2</v>
      </c>
      <c r="D214">
        <v>2.4499022767550595E-2</v>
      </c>
      <c r="F214" s="31">
        <v>1998.5000000007101</v>
      </c>
      <c r="G214" s="2">
        <v>0.58667651945912158</v>
      </c>
      <c r="H214" s="2">
        <v>6.1499999999999798E-2</v>
      </c>
      <c r="I214" s="2">
        <v>3.6080605946735858E-2</v>
      </c>
      <c r="K214" s="31">
        <v>1998.5000000007101</v>
      </c>
      <c r="L214" s="2">
        <v>1.2790800578996153</v>
      </c>
      <c r="M214" s="2">
        <v>6.1499999999999902E-2</v>
      </c>
      <c r="N214" s="2">
        <v>7.8663423560826215E-2</v>
      </c>
      <c r="P214" s="31">
        <v>1998.5000000007101</v>
      </c>
      <c r="Q214" s="2">
        <v>0.61763434889539004</v>
      </c>
      <c r="R214" s="2">
        <v>7.1900000000000297E-2</v>
      </c>
      <c r="S214" s="2">
        <v>5.0334875578403486E-2</v>
      </c>
      <c r="U214" s="2">
        <f t="shared" si="32"/>
        <v>0.82779697541804242</v>
      </c>
      <c r="V214" s="2">
        <f t="shared" si="33"/>
        <v>6.4966666666666659E-2</v>
      </c>
      <c r="W214" s="2">
        <f t="shared" si="34"/>
        <v>5.5026301695321855E-2</v>
      </c>
      <c r="Y214" s="31">
        <v>1998.5000000007101</v>
      </c>
      <c r="Z214" s="2">
        <v>-0.85231443660235384</v>
      </c>
      <c r="AA214" s="2">
        <v>-0.78876452892998272</v>
      </c>
      <c r="AB214" s="2">
        <v>-0.89981848491088745</v>
      </c>
      <c r="AD214" s="31">
        <v>1998.5000000007101</v>
      </c>
      <c r="AE214" s="2">
        <v>2.7957713929192312</v>
      </c>
      <c r="AF214" s="2">
        <v>-0.68658960551538373</v>
      </c>
      <c r="AG214" s="2">
        <v>0.70640754109321524</v>
      </c>
      <c r="AH214" s="31"/>
      <c r="AI214" s="31">
        <v>1998.5000000007101</v>
      </c>
      <c r="AJ214" s="2">
        <v>0.29512787233274645</v>
      </c>
      <c r="AK214" s="2">
        <v>-0.61478205611361436</v>
      </c>
      <c r="AL214" s="2">
        <v>0.43924587625483635</v>
      </c>
      <c r="AM214" s="31"/>
      <c r="AN214" s="2">
        <f t="shared" si="35"/>
        <v>0.74619494288320798</v>
      </c>
      <c r="AO214" s="2">
        <f t="shared" si="28"/>
        <v>-0.69671206351966031</v>
      </c>
      <c r="AP214" s="2">
        <f t="shared" si="29"/>
        <v>8.1944977479054673E-2</v>
      </c>
      <c r="AQ214" s="31"/>
      <c r="AR214" s="31">
        <v>1998.5000000007101</v>
      </c>
      <c r="AS214" s="2">
        <v>-0.59490504575859737</v>
      </c>
      <c r="AT214" s="2">
        <v>-2.3130098149133811E-2</v>
      </c>
      <c r="AU214" s="2">
        <v>-0.60067998314268356</v>
      </c>
      <c r="AV214" s="31"/>
      <c r="AW214" s="31">
        <v>1998.5000000007101</v>
      </c>
      <c r="AX214" s="2">
        <v>0.89911355985174257</v>
      </c>
      <c r="AY214" s="2">
        <v>-0.1083026392523672</v>
      </c>
      <c r="AZ214" s="2">
        <v>0.89872920342235518</v>
      </c>
      <c r="BA214" s="31"/>
      <c r="BB214" s="31">
        <v>1998.5000000007101</v>
      </c>
      <c r="BC214" s="2">
        <v>0.24378045384955277</v>
      </c>
      <c r="BD214" s="2">
        <v>-0.59144451954684485</v>
      </c>
      <c r="BE214" s="2">
        <v>0.19647756712235251</v>
      </c>
      <c r="BG214" s="2">
        <f t="shared" si="36"/>
        <v>0.18266298931423264</v>
      </c>
      <c r="BH214" s="2">
        <f t="shared" si="30"/>
        <v>-0.2409590856494486</v>
      </c>
      <c r="BI214" s="2">
        <f t="shared" si="31"/>
        <v>0.16484226246734138</v>
      </c>
    </row>
    <row r="215" spans="1:61" x14ac:dyDescent="0.3">
      <c r="A215" s="31">
        <v>1998.41666666738</v>
      </c>
      <c r="B215">
        <v>0.70055782208705542</v>
      </c>
      <c r="C215">
        <v>0.28880000000000194</v>
      </c>
      <c r="D215">
        <v>0.20232109901874296</v>
      </c>
      <c r="F215" s="31">
        <v>1998.41666666738</v>
      </c>
      <c r="G215" s="2">
        <v>0.58702000578078017</v>
      </c>
      <c r="H215" s="2">
        <v>0.24599999999999944</v>
      </c>
      <c r="I215" s="2">
        <v>0.14469383324409921</v>
      </c>
      <c r="K215" s="31">
        <v>1998.41666666738</v>
      </c>
      <c r="L215" s="2">
        <v>0.92324276048266041</v>
      </c>
      <c r="M215" s="2">
        <v>6.1514999999999952E-2</v>
      </c>
      <c r="N215" s="2">
        <v>5.6787751485952422E-2</v>
      </c>
      <c r="P215" s="31">
        <v>1998.41666666738</v>
      </c>
      <c r="Q215" s="2">
        <v>0.60879281432114651</v>
      </c>
      <c r="R215" s="2">
        <v>0.23965000000000106</v>
      </c>
      <c r="S215" s="2">
        <v>5.0343643132752865E-2</v>
      </c>
      <c r="U215" s="2">
        <f t="shared" si="32"/>
        <v>0.70635186019486229</v>
      </c>
      <c r="V215" s="2">
        <f t="shared" si="33"/>
        <v>0.18238833333333349</v>
      </c>
      <c r="W215" s="2">
        <f t="shared" si="34"/>
        <v>8.3941742620934831E-2</v>
      </c>
      <c r="Y215" s="31">
        <v>1998.41666666738</v>
      </c>
      <c r="Z215" s="2">
        <v>-0.85032287673816542</v>
      </c>
      <c r="AA215" s="2">
        <v>2.8140144362030615</v>
      </c>
      <c r="AB215" s="2">
        <v>1.5998322922818207</v>
      </c>
      <c r="AD215" s="31">
        <v>1998.41666666738</v>
      </c>
      <c r="AE215" s="2">
        <v>0.67827021819930355</v>
      </c>
      <c r="AF215" s="2">
        <v>-0.68622224125583742</v>
      </c>
      <c r="AG215" s="2">
        <v>-0.12541074257440127</v>
      </c>
      <c r="AH215" s="31"/>
      <c r="AI215" s="31">
        <v>1998.41666666738</v>
      </c>
      <c r="AJ215" s="2">
        <v>0.26352235944490265</v>
      </c>
      <c r="AK215" s="2">
        <v>3.3827054113501669</v>
      </c>
      <c r="AL215" s="2">
        <v>0.43995445127474136</v>
      </c>
      <c r="AM215" s="31"/>
      <c r="AN215" s="2">
        <f t="shared" si="35"/>
        <v>3.0489900302013595E-2</v>
      </c>
      <c r="AO215" s="2">
        <f t="shared" si="28"/>
        <v>1.8368325354324637</v>
      </c>
      <c r="AP215" s="2">
        <f t="shared" si="29"/>
        <v>0.63812533366072033</v>
      </c>
      <c r="AQ215" s="31"/>
      <c r="AR215" s="31">
        <v>1998.41666666738</v>
      </c>
      <c r="AS215" s="2">
        <v>-1.4211124972931497</v>
      </c>
      <c r="AT215" s="2">
        <v>1.6401497265564993</v>
      </c>
      <c r="AU215" s="2">
        <v>1.0345756331245777E-2</v>
      </c>
      <c r="AV215" s="31"/>
      <c r="AW215" s="31">
        <v>1998.41666666738</v>
      </c>
      <c r="AX215" s="2">
        <v>0.25971915425843978</v>
      </c>
      <c r="AY215" s="2">
        <v>-1.6534191247733234</v>
      </c>
      <c r="AZ215" s="2">
        <v>-0.85841264412069906</v>
      </c>
      <c r="BA215" s="31"/>
      <c r="BB215" s="31">
        <v>1998.41666666738</v>
      </c>
      <c r="BC215" s="2">
        <v>0.21229220309136881</v>
      </c>
      <c r="BD215" s="2">
        <v>6.1402498228424083</v>
      </c>
      <c r="BE215" s="2">
        <v>0.19714437226239639</v>
      </c>
      <c r="BG215" s="2">
        <f t="shared" si="36"/>
        <v>-0.31636704664778037</v>
      </c>
      <c r="BH215" s="2">
        <f t="shared" si="30"/>
        <v>2.0423268082085282</v>
      </c>
      <c r="BI215" s="2">
        <f t="shared" si="31"/>
        <v>-0.21697417184235232</v>
      </c>
    </row>
    <row r="216" spans="1:61" x14ac:dyDescent="0.3">
      <c r="A216" s="31">
        <v>1998.3333333340499</v>
      </c>
      <c r="B216">
        <v>0.65732854237370264</v>
      </c>
      <c r="C216">
        <v>0.28880000000000194</v>
      </c>
      <c r="D216">
        <v>0.18983648303752659</v>
      </c>
      <c r="F216" s="31">
        <v>1998.3333333340499</v>
      </c>
      <c r="G216" s="2">
        <v>0.54729349962576546</v>
      </c>
      <c r="H216" s="2">
        <v>0.24599999999999944</v>
      </c>
      <c r="I216" s="2">
        <v>0.13447019027778329</v>
      </c>
      <c r="K216" s="31">
        <v>1998.3333333340499</v>
      </c>
      <c r="L216" s="2">
        <v>0.88994977060387104</v>
      </c>
      <c r="M216" s="2">
        <v>6.1514999999999952E-2</v>
      </c>
      <c r="N216" s="2">
        <v>5.4740547339522237E-2</v>
      </c>
      <c r="P216" s="31">
        <v>1998.3333333340499</v>
      </c>
      <c r="Q216" s="2">
        <v>0.60154501635399915</v>
      </c>
      <c r="R216" s="2">
        <v>0.19170000000000093</v>
      </c>
      <c r="S216" s="2">
        <v>4.4494429952080874E-2</v>
      </c>
      <c r="U216" s="2">
        <f t="shared" si="32"/>
        <v>0.67959609552787859</v>
      </c>
      <c r="V216" s="2">
        <f t="shared" si="33"/>
        <v>0.16640500000000011</v>
      </c>
      <c r="W216" s="2">
        <f t="shared" si="34"/>
        <v>7.7901722523128797E-2</v>
      </c>
      <c r="Y216" s="31">
        <v>1998.3333333340499</v>
      </c>
      <c r="Z216" s="2">
        <v>-1.0806601863018335</v>
      </c>
      <c r="AA216" s="2">
        <v>2.8140144362030615</v>
      </c>
      <c r="AB216" s="2">
        <v>1.3645429290763069</v>
      </c>
      <c r="AD216" s="31">
        <v>1998.3333333340499</v>
      </c>
      <c r="AE216" s="2">
        <v>0.48015173626943247</v>
      </c>
      <c r="AF216" s="2">
        <v>-0.68622224125583742</v>
      </c>
      <c r="AG216" s="2">
        <v>-0.20325529215314184</v>
      </c>
      <c r="AH216" s="31"/>
      <c r="AI216" s="31">
        <v>1998.3333333340499</v>
      </c>
      <c r="AJ216" s="2">
        <v>-0.24466519441155812</v>
      </c>
      <c r="AK216" s="2">
        <v>2.2400554914402537</v>
      </c>
      <c r="AL216" s="2">
        <v>-3.2766467326355402E-2</v>
      </c>
      <c r="AM216" s="31"/>
      <c r="AN216" s="2">
        <f t="shared" si="35"/>
        <v>-0.28172454814798636</v>
      </c>
      <c r="AO216" s="2">
        <f t="shared" si="28"/>
        <v>1.455949228795826</v>
      </c>
      <c r="AP216" s="2">
        <f t="shared" si="29"/>
        <v>0.37617372319893655</v>
      </c>
      <c r="AQ216" s="31"/>
      <c r="AR216" s="31">
        <v>1998.3333333340499</v>
      </c>
      <c r="AS216" s="2">
        <v>-1.3604871905177611</v>
      </c>
      <c r="AT216" s="2">
        <v>1.801092953495349</v>
      </c>
      <c r="AU216" s="2">
        <v>0.46204409194592005</v>
      </c>
      <c r="AV216" s="31"/>
      <c r="AW216" s="31">
        <v>1998.3333333340499</v>
      </c>
      <c r="AX216" s="2">
        <v>0.30716010217626855</v>
      </c>
      <c r="AY216" s="2">
        <v>-1.269857360921067</v>
      </c>
      <c r="AZ216" s="2">
        <v>-0.50819229554484324</v>
      </c>
      <c r="BA216" s="31"/>
      <c r="BB216" s="31">
        <v>1998.3333333340499</v>
      </c>
      <c r="BC216" s="2">
        <v>-0.29400988366182806</v>
      </c>
      <c r="BD216" s="2">
        <v>4.2160486680432188</v>
      </c>
      <c r="BE216" s="2">
        <v>-0.24771006018955413</v>
      </c>
      <c r="BG216" s="2">
        <f t="shared" si="36"/>
        <v>-0.44911232400110684</v>
      </c>
      <c r="BH216" s="2">
        <f t="shared" si="30"/>
        <v>1.5824280868725003</v>
      </c>
      <c r="BI216" s="2">
        <f t="shared" si="31"/>
        <v>-9.7952754596159097E-2</v>
      </c>
    </row>
    <row r="217" spans="1:61" x14ac:dyDescent="0.3">
      <c r="A217" s="31">
        <v>1998.2500000007201</v>
      </c>
      <c r="B217">
        <v>0.65039712872787858</v>
      </c>
      <c r="C217">
        <v>0.28880000000000194</v>
      </c>
      <c r="D217">
        <v>0.18783469077661261</v>
      </c>
      <c r="F217" s="31">
        <v>1998.2500000007201</v>
      </c>
      <c r="G217" s="2">
        <v>0.52432498629135338</v>
      </c>
      <c r="H217" s="2">
        <v>0.24599999999999944</v>
      </c>
      <c r="I217" s="2">
        <v>0.13082277340114845</v>
      </c>
      <c r="K217" s="31">
        <v>1998.2500000007201</v>
      </c>
      <c r="L217" s="2">
        <v>0.85993519064921065</v>
      </c>
      <c r="M217" s="2">
        <v>6.1514999999999952E-2</v>
      </c>
      <c r="N217" s="2">
        <v>5.2894974708679904E-2</v>
      </c>
      <c r="P217" s="31">
        <v>1998.2500000007201</v>
      </c>
      <c r="Q217" s="2">
        <v>0.58083917745717928</v>
      </c>
      <c r="R217" s="2">
        <v>0.23965000000000106</v>
      </c>
      <c r="S217" s="2">
        <v>4.2801448118582969E-2</v>
      </c>
      <c r="U217" s="2">
        <f t="shared" si="32"/>
        <v>0.65503311813258114</v>
      </c>
      <c r="V217" s="2">
        <f t="shared" si="33"/>
        <v>0.18238833333333349</v>
      </c>
      <c r="W217" s="2">
        <f t="shared" si="34"/>
        <v>7.5506398742803779E-2</v>
      </c>
      <c r="Y217" s="31">
        <v>1998.2500000007201</v>
      </c>
      <c r="Z217" s="2">
        <v>-1.2138333766519211</v>
      </c>
      <c r="AA217" s="2">
        <v>2.8140144362030615</v>
      </c>
      <c r="AB217" s="2">
        <v>1.2806004051564104</v>
      </c>
      <c r="AD217" s="31">
        <v>1998.2500000007201</v>
      </c>
      <c r="AE217" s="2">
        <v>0.30154227409648188</v>
      </c>
      <c r="AF217" s="2">
        <v>-0.68622224125583742</v>
      </c>
      <c r="AG217" s="2">
        <v>-0.27343284157501735</v>
      </c>
      <c r="AH217" s="31"/>
      <c r="AI217" s="31">
        <v>1998.2500000007201</v>
      </c>
      <c r="AJ217" s="2">
        <v>-0.41144413390128548</v>
      </c>
      <c r="AK217" s="2">
        <v>3.3827054113501669</v>
      </c>
      <c r="AL217" s="2">
        <v>-0.1695896438436037</v>
      </c>
      <c r="AM217" s="31"/>
      <c r="AN217" s="2">
        <f t="shared" si="35"/>
        <v>-0.44124507881890823</v>
      </c>
      <c r="AO217" s="2">
        <f t="shared" si="28"/>
        <v>1.8368325354324637</v>
      </c>
      <c r="AP217" s="2">
        <f t="shared" si="29"/>
        <v>0.27919263991259641</v>
      </c>
      <c r="AQ217" s="31"/>
      <c r="AR217" s="31">
        <v>1998.2500000007201</v>
      </c>
      <c r="AS217" s="2">
        <v>-1.2935952062908602</v>
      </c>
      <c r="AT217" s="2">
        <v>1.9841392062377619</v>
      </c>
      <c r="AU217" s="2">
        <v>0.49873553270117305</v>
      </c>
      <c r="AV217" s="31"/>
      <c r="AW217" s="31">
        <v>1998.2500000007201</v>
      </c>
      <c r="AX217" s="2">
        <v>0.36230396826059724</v>
      </c>
      <c r="AY217" s="2">
        <v>-1.5103266726480709</v>
      </c>
      <c r="AZ217" s="2">
        <v>-0.65097818812096853</v>
      </c>
      <c r="BA217" s="31"/>
      <c r="BB217" s="31">
        <v>1998.2500000007201</v>
      </c>
      <c r="BC217" s="2">
        <v>-0.46017004332993477</v>
      </c>
      <c r="BD217" s="2">
        <v>6.1402498228424083</v>
      </c>
      <c r="BE217" s="2">
        <v>-0.37646762970006559</v>
      </c>
      <c r="BG217" s="2">
        <f t="shared" si="36"/>
        <v>-0.46382042712006594</v>
      </c>
      <c r="BH217" s="2">
        <f t="shared" si="30"/>
        <v>2.2046874521440332</v>
      </c>
      <c r="BI217" s="2">
        <f t="shared" si="31"/>
        <v>-0.17623676170662037</v>
      </c>
    </row>
    <row r="218" spans="1:61" x14ac:dyDescent="0.3">
      <c r="A218" s="31">
        <v>1998.16666666739</v>
      </c>
      <c r="B218">
        <v>0.61497610391290503</v>
      </c>
      <c r="C218">
        <v>0.28880000000000194</v>
      </c>
      <c r="D218">
        <v>0.17760509881004816</v>
      </c>
      <c r="F218" s="31">
        <v>1998.16666666739</v>
      </c>
      <c r="G218" s="2">
        <v>0.46734244814433173</v>
      </c>
      <c r="H218" s="2">
        <v>0.21524999999999955</v>
      </c>
      <c r="I218" s="2">
        <v>0.10060096017354103</v>
      </c>
      <c r="K218" s="31">
        <v>1998.16666666739</v>
      </c>
      <c r="L218" s="2">
        <v>1.046256248173405</v>
      </c>
      <c r="M218" s="2">
        <v>6.1499999999999902E-2</v>
      </c>
      <c r="N218" s="2">
        <v>6.4344759262664308E-2</v>
      </c>
      <c r="P218" s="31">
        <v>1998.16666666739</v>
      </c>
      <c r="Q218" s="2">
        <v>0.55860294300098956</v>
      </c>
      <c r="R218" s="2">
        <v>0.19170000000000093</v>
      </c>
      <c r="S218" s="2">
        <v>4.0513980232530077E-2</v>
      </c>
      <c r="U218" s="2">
        <f t="shared" si="32"/>
        <v>0.69073387977290868</v>
      </c>
      <c r="V218" s="2">
        <f t="shared" si="33"/>
        <v>0.15615000000000012</v>
      </c>
      <c r="W218" s="2">
        <f t="shared" si="34"/>
        <v>6.8486566556245146E-2</v>
      </c>
      <c r="Y218" s="31">
        <v>1998.16666666739</v>
      </c>
      <c r="Z218" s="2">
        <v>-1.5442224744920099</v>
      </c>
      <c r="AA218" s="2">
        <v>2.2135512753475552</v>
      </c>
      <c r="AB218" s="2">
        <v>0.58506837096193787</v>
      </c>
      <c r="AD218" s="31">
        <v>1998.16666666739</v>
      </c>
      <c r="AE218" s="2">
        <v>1.4102935518475646</v>
      </c>
      <c r="AF218" s="2">
        <v>-0.68658960551538373</v>
      </c>
      <c r="AG218" s="2">
        <v>0.16194304555023525</v>
      </c>
      <c r="AH218" s="31"/>
      <c r="AI218" s="31">
        <v>1998.16666666739</v>
      </c>
      <c r="AJ218" s="2">
        <v>-0.63786203139723463</v>
      </c>
      <c r="AK218" s="2">
        <v>2.2400554914402537</v>
      </c>
      <c r="AL218" s="2">
        <v>-0.35445791363732021</v>
      </c>
      <c r="AM218" s="31"/>
      <c r="AN218" s="2">
        <f t="shared" si="35"/>
        <v>-0.25726365134722667</v>
      </c>
      <c r="AO218" s="2">
        <f t="shared" si="28"/>
        <v>1.2556723870908084</v>
      </c>
      <c r="AP218" s="2">
        <f t="shared" si="29"/>
        <v>0.13085116762495097</v>
      </c>
      <c r="AQ218" s="31"/>
      <c r="AR218" s="31">
        <v>1998.16666666739</v>
      </c>
      <c r="AS218" s="2">
        <v>-1.3158817972971626</v>
      </c>
      <c r="AT218" s="2">
        <v>1.4394269330854659</v>
      </c>
      <c r="AU218" s="2">
        <v>6.2632773552853141E-2</v>
      </c>
      <c r="AV218" s="31"/>
      <c r="AW218" s="31">
        <v>1998.16666666739</v>
      </c>
      <c r="AX218" s="2">
        <v>1.561853267175549</v>
      </c>
      <c r="AY218" s="2">
        <v>-1.1557656163069592</v>
      </c>
      <c r="AZ218" s="2">
        <v>-3.7813894318410604E-2</v>
      </c>
      <c r="BA218" s="31"/>
      <c r="BB218" s="31">
        <v>1998.16666666739</v>
      </c>
      <c r="BC218" s="2">
        <v>-0.68574788975796785</v>
      </c>
      <c r="BD218" s="2">
        <v>4.2160486680432188</v>
      </c>
      <c r="BE218" s="2">
        <v>-0.55043807611234963</v>
      </c>
      <c r="BG218" s="2">
        <f t="shared" si="36"/>
        <v>-0.14659213995986051</v>
      </c>
      <c r="BH218" s="2">
        <f t="shared" si="30"/>
        <v>1.4999033282739085</v>
      </c>
      <c r="BI218" s="2">
        <f t="shared" si="31"/>
        <v>-0.17520639895930237</v>
      </c>
    </row>
    <row r="219" spans="1:61" x14ac:dyDescent="0.3">
      <c r="A219" s="31">
        <v>1998.0833333340599</v>
      </c>
      <c r="B219">
        <v>0.55843603678683507</v>
      </c>
      <c r="C219">
        <v>3.0400000000000205E-2</v>
      </c>
      <c r="D219">
        <v>1.6976455518319899E-2</v>
      </c>
      <c r="F219" s="31">
        <v>1998.0833333340599</v>
      </c>
      <c r="G219" s="2">
        <v>0.44584361194681549</v>
      </c>
      <c r="H219" s="2">
        <v>9.2249999999999749E-2</v>
      </c>
      <c r="I219" s="2">
        <v>4.1464668171650142E-2</v>
      </c>
      <c r="K219" s="31">
        <v>1998.0833333340599</v>
      </c>
      <c r="L219" s="2">
        <v>0.81979357898495686</v>
      </c>
      <c r="M219" s="2">
        <v>6.1514999999999952E-2</v>
      </c>
      <c r="N219" s="2">
        <v>5.0426647557438392E-2</v>
      </c>
      <c r="P219" s="31">
        <v>1998.0833333340599</v>
      </c>
      <c r="Q219" s="2">
        <v>0.55250034306996376</v>
      </c>
      <c r="R219" s="2">
        <v>9.5850000000000463E-2</v>
      </c>
      <c r="S219" s="2">
        <v>3.8667250663219119E-2</v>
      </c>
      <c r="U219" s="2">
        <f t="shared" si="32"/>
        <v>0.60604584466724531</v>
      </c>
      <c r="V219" s="2">
        <f t="shared" si="33"/>
        <v>8.3205000000000057E-2</v>
      </c>
      <c r="W219" s="2">
        <f t="shared" si="34"/>
        <v>4.3519522130769213E-2</v>
      </c>
      <c r="Y219" s="31">
        <v>1998.0833333340599</v>
      </c>
      <c r="Z219" s="2">
        <v>-1.668874364823443</v>
      </c>
      <c r="AA219" s="2">
        <v>-0.1883013680744752</v>
      </c>
      <c r="AB219" s="2">
        <v>-0.77590838979775201</v>
      </c>
      <c r="AD219" s="31">
        <v>1998.0833333340599</v>
      </c>
      <c r="AE219" s="2">
        <v>6.2669310325600705E-2</v>
      </c>
      <c r="AF219" s="2">
        <v>-0.68622224125583742</v>
      </c>
      <c r="AG219" s="2">
        <v>-0.36729051357926074</v>
      </c>
      <c r="AH219" s="31"/>
      <c r="AI219" s="31">
        <v>1998.0833333340599</v>
      </c>
      <c r="AJ219" s="2">
        <v>-0.7826252854736625</v>
      </c>
      <c r="AK219" s="2">
        <v>-4.4052846898962821E-2</v>
      </c>
      <c r="AL219" s="2">
        <v>-0.50370665384346702</v>
      </c>
      <c r="AM219" s="31"/>
      <c r="AN219" s="2">
        <f t="shared" si="35"/>
        <v>-0.79627677999050162</v>
      </c>
      <c r="AO219" s="2">
        <f t="shared" si="28"/>
        <v>-0.30619215207642514</v>
      </c>
      <c r="AP219" s="2">
        <f t="shared" si="29"/>
        <v>-0.54896851907349331</v>
      </c>
      <c r="AQ219" s="31"/>
      <c r="AR219" s="31">
        <v>1998.0833333340599</v>
      </c>
      <c r="AS219" s="2">
        <v>-1.5564912307663605</v>
      </c>
      <c r="AT219" s="2">
        <v>0.50956041230593607</v>
      </c>
      <c r="AU219" s="2">
        <v>-0.61614277667676598</v>
      </c>
      <c r="AV219" s="31"/>
      <c r="AW219" s="31">
        <v>1998.0833333340599</v>
      </c>
      <c r="AX219" s="2">
        <v>0.39218407838603553</v>
      </c>
      <c r="AY219" s="2">
        <v>-0.87038484719517628</v>
      </c>
      <c r="AZ219" s="2">
        <v>-0.21913258041261069</v>
      </c>
      <c r="BA219" s="31"/>
      <c r="BB219" s="31">
        <v>1998.0833333340599</v>
      </c>
      <c r="BC219" s="2">
        <v>-0.82997404616002091</v>
      </c>
      <c r="BD219" s="2">
        <v>0.36965282471677957</v>
      </c>
      <c r="BE219" s="2">
        <v>-0.69088873316186405</v>
      </c>
      <c r="BG219" s="2">
        <f t="shared" si="36"/>
        <v>-0.66476039951344867</v>
      </c>
      <c r="BH219" s="2">
        <f t="shared" si="30"/>
        <v>2.9427966091798061E-3</v>
      </c>
      <c r="BI219" s="2">
        <f t="shared" si="31"/>
        <v>-0.5087213634170803</v>
      </c>
    </row>
    <row r="220" spans="1:61" x14ac:dyDescent="0.3">
      <c r="A220" s="31">
        <v>1998.0000000007301</v>
      </c>
      <c r="B220">
        <v>0.5712489841825481</v>
      </c>
      <c r="C220">
        <v>3.0400000000000205E-2</v>
      </c>
      <c r="D220">
        <v>1.7365969119149578E-2</v>
      </c>
      <c r="F220" s="31">
        <v>1998.0000000007301</v>
      </c>
      <c r="G220" s="2">
        <v>0.47834942114103685</v>
      </c>
      <c r="H220" s="2">
        <v>0.1229999999999996</v>
      </c>
      <c r="I220" s="2">
        <v>5.8836978800347342E-2</v>
      </c>
      <c r="K220" s="31">
        <v>1998.0000000007301</v>
      </c>
      <c r="L220" s="2">
        <v>0.8408953005473141</v>
      </c>
      <c r="M220" s="2">
        <v>6.1514999999999952E-2</v>
      </c>
      <c r="N220" s="2">
        <v>5.1724836923180209E-2</v>
      </c>
      <c r="P220" s="31">
        <v>1998.0000000007301</v>
      </c>
      <c r="Q220" s="2">
        <v>0.60540053780729552</v>
      </c>
      <c r="R220" s="2">
        <v>9.5850000000000463E-2</v>
      </c>
      <c r="S220" s="2">
        <v>3.9217436439472141E-2</v>
      </c>
      <c r="U220" s="2">
        <f t="shared" si="32"/>
        <v>0.64154841983188216</v>
      </c>
      <c r="V220" s="2">
        <f t="shared" si="33"/>
        <v>9.345500000000001E-2</v>
      </c>
      <c r="W220" s="2">
        <f t="shared" si="34"/>
        <v>4.9926417387666566E-2</v>
      </c>
      <c r="Y220" s="31">
        <v>1998.0000000007301</v>
      </c>
      <c r="Z220" s="2">
        <v>-1.4804032064041477</v>
      </c>
      <c r="AA220" s="2">
        <v>0.41216179278103032</v>
      </c>
      <c r="AB220" s="2">
        <v>-0.37609788010939604</v>
      </c>
      <c r="AD220" s="31">
        <v>1998.0000000007301</v>
      </c>
      <c r="AE220" s="2">
        <v>0.18824052087958246</v>
      </c>
      <c r="AF220" s="2">
        <v>-0.68622224125583742</v>
      </c>
      <c r="AG220" s="2">
        <v>-0.31792710904517901</v>
      </c>
      <c r="AH220" s="31"/>
      <c r="AI220" s="31">
        <v>1998.0000000007301</v>
      </c>
      <c r="AJ220" s="2">
        <v>-0.71766812488983545</v>
      </c>
      <c r="AK220" s="2">
        <v>-4.4052846898962821E-2</v>
      </c>
      <c r="AL220" s="2">
        <v>-0.45924181429701272</v>
      </c>
      <c r="AM220" s="31"/>
      <c r="AN220" s="2">
        <f t="shared" si="35"/>
        <v>-0.66994360347146686</v>
      </c>
      <c r="AO220" s="2">
        <f t="shared" si="28"/>
        <v>-0.10603776512458997</v>
      </c>
      <c r="AP220" s="2">
        <f t="shared" si="29"/>
        <v>-0.38442226781719596</v>
      </c>
      <c r="AQ220" s="31"/>
      <c r="AR220" s="31">
        <v>1998.0000000007301</v>
      </c>
      <c r="AS220" s="2">
        <v>-0.79869601639373156</v>
      </c>
      <c r="AT220" s="2">
        <v>2.5030838479016171</v>
      </c>
      <c r="AU220" s="2">
        <v>0.93149911497384108</v>
      </c>
      <c r="AV220" s="31"/>
      <c r="AW220" s="31">
        <v>1998.0000000007301</v>
      </c>
      <c r="AX220" s="2">
        <v>0.38233966753169885</v>
      </c>
      <c r="AY220" s="2">
        <v>-0.21981065223360952</v>
      </c>
      <c r="AZ220" s="2">
        <v>0.30053719461520662</v>
      </c>
      <c r="BA220" s="31"/>
      <c r="BB220" s="31">
        <v>1998.0000000007301</v>
      </c>
      <c r="BC220" s="2">
        <v>-0.76525788830928487</v>
      </c>
      <c r="BD220" s="2">
        <v>0.36965282471677957</v>
      </c>
      <c r="BE220" s="2">
        <v>-0.64904505715310978</v>
      </c>
      <c r="BG220" s="2">
        <f t="shared" si="36"/>
        <v>-0.39387141239043921</v>
      </c>
      <c r="BH220" s="2">
        <f t="shared" si="30"/>
        <v>0.8843086734615957</v>
      </c>
      <c r="BI220" s="2">
        <f t="shared" si="31"/>
        <v>0.19433041747864599</v>
      </c>
    </row>
    <row r="221" spans="1:61" x14ac:dyDescent="0.3">
      <c r="A221" s="31">
        <v>1997.9166666674</v>
      </c>
      <c r="B221">
        <v>0.60892910754898977</v>
      </c>
      <c r="C221">
        <v>3.0400000000000205E-2</v>
      </c>
      <c r="D221">
        <v>1.8511444869489413E-2</v>
      </c>
      <c r="F221" s="31">
        <v>1997.9166666674</v>
      </c>
      <c r="G221" s="2">
        <v>0.47681555876990733</v>
      </c>
      <c r="H221" s="2">
        <v>6.1499999999999846E-2</v>
      </c>
      <c r="I221" s="2">
        <v>2.9324156864349228E-2</v>
      </c>
      <c r="K221" s="31">
        <v>1997.9166666674</v>
      </c>
      <c r="L221" s="2">
        <v>0.86290513197512175</v>
      </c>
      <c r="M221" s="2">
        <v>6.1514999999999952E-2</v>
      </c>
      <c r="N221" s="2">
        <v>5.3078895159566528E-2</v>
      </c>
      <c r="P221" s="31">
        <v>1997.9166666674</v>
      </c>
      <c r="Q221" s="2">
        <v>0.6939380624414162</v>
      </c>
      <c r="R221" s="2">
        <v>9.5850000000000463E-2</v>
      </c>
      <c r="S221" s="2">
        <v>4.1133070795003959E-2</v>
      </c>
      <c r="U221" s="2">
        <f t="shared" si="32"/>
        <v>0.67788625106214839</v>
      </c>
      <c r="V221" s="2">
        <f t="shared" si="33"/>
        <v>7.2955000000000089E-2</v>
      </c>
      <c r="W221" s="2">
        <f t="shared" si="34"/>
        <v>4.1178707606306569E-2</v>
      </c>
      <c r="Y221" s="31">
        <v>1997.9166666674</v>
      </c>
      <c r="Z221" s="2">
        <v>-1.4892966573013471</v>
      </c>
      <c r="AA221" s="2">
        <v>-0.78876452892998183</v>
      </c>
      <c r="AB221" s="2">
        <v>-1.0553130192332341</v>
      </c>
      <c r="AD221" s="31">
        <v>1997.9166666674</v>
      </c>
      <c r="AE221" s="2">
        <v>0.31921567228188069</v>
      </c>
      <c r="AF221" s="2">
        <v>-0.68622224125583742</v>
      </c>
      <c r="AG221" s="2">
        <v>-0.26643930129592314</v>
      </c>
      <c r="AH221" s="31"/>
      <c r="AI221" s="31">
        <v>1997.9166666674</v>
      </c>
      <c r="AJ221" s="2">
        <v>-0.50190222547679608</v>
      </c>
      <c r="AK221" s="2">
        <v>-4.4052846898962821E-2</v>
      </c>
      <c r="AL221" s="2">
        <v>-0.30442433641073302</v>
      </c>
      <c r="AM221" s="31"/>
      <c r="AN221" s="2">
        <f t="shared" si="35"/>
        <v>-0.55732773683208747</v>
      </c>
      <c r="AO221" s="2">
        <f t="shared" si="28"/>
        <v>-0.50634653902826077</v>
      </c>
      <c r="AP221" s="2">
        <f t="shared" si="29"/>
        <v>-0.54205888564663007</v>
      </c>
      <c r="AQ221" s="31"/>
      <c r="AR221" s="31">
        <v>1997.9166666674</v>
      </c>
      <c r="AS221" s="2">
        <v>-1.2828551962403625</v>
      </c>
      <c r="AT221" s="2">
        <v>-0.68444756444045252</v>
      </c>
      <c r="AU221" s="2">
        <v>-1.1925239502118095</v>
      </c>
      <c r="AV221" s="31"/>
      <c r="AW221" s="31">
        <v>1997.9166666674</v>
      </c>
      <c r="AX221" s="2">
        <v>0.499551021388914</v>
      </c>
      <c r="AY221" s="2">
        <v>-0.51751295497595129</v>
      </c>
      <c r="AZ221" s="2">
        <v>0.34836628638637074</v>
      </c>
      <c r="BA221" s="31"/>
      <c r="BB221" s="31">
        <v>1997.9166666674</v>
      </c>
      <c r="BC221" s="2">
        <v>-0.55029251913800803</v>
      </c>
      <c r="BD221" s="2">
        <v>0.36965282471677957</v>
      </c>
      <c r="BE221" s="2">
        <v>-0.50335393465624401</v>
      </c>
      <c r="BG221" s="2">
        <f t="shared" si="36"/>
        <v>-0.44453223132981884</v>
      </c>
      <c r="BH221" s="2">
        <f t="shared" si="30"/>
        <v>-0.27743589823320808</v>
      </c>
      <c r="BI221" s="2">
        <f t="shared" si="31"/>
        <v>-0.44917053282722758</v>
      </c>
    </row>
    <row r="222" spans="1:61" x14ac:dyDescent="0.3">
      <c r="A222" s="31">
        <v>1997.8333333340699</v>
      </c>
      <c r="B222">
        <v>0.66661262204875671</v>
      </c>
      <c r="C222">
        <v>3.0400000000000205E-2</v>
      </c>
      <c r="D222">
        <v>2.026502371028234E-2</v>
      </c>
      <c r="F222" s="31">
        <v>1997.8333333340699</v>
      </c>
      <c r="G222" s="2">
        <v>0.512303085591711</v>
      </c>
      <c r="H222" s="2">
        <v>0.1229999999999996</v>
      </c>
      <c r="I222" s="2">
        <v>6.3013279527780242E-2</v>
      </c>
      <c r="K222" s="31">
        <v>1997.8333333340699</v>
      </c>
      <c r="L222" s="2">
        <v>0.8857868824253321</v>
      </c>
      <c r="M222" s="2">
        <v>6.1514999999999952E-2</v>
      </c>
      <c r="N222" s="2">
        <v>5.448660209788439E-2</v>
      </c>
      <c r="P222" s="31">
        <v>1997.8333333340699</v>
      </c>
      <c r="Q222" s="2">
        <v>0.76259573743533426</v>
      </c>
      <c r="R222" s="2">
        <v>7.1900000000000297E-2</v>
      </c>
      <c r="S222" s="2">
        <v>4.3513496654254594E-2</v>
      </c>
      <c r="U222" s="2">
        <f t="shared" si="32"/>
        <v>0.72022856848412575</v>
      </c>
      <c r="V222" s="2">
        <f t="shared" si="33"/>
        <v>8.5471666666666612E-2</v>
      </c>
      <c r="W222" s="2">
        <f t="shared" si="34"/>
        <v>5.3671126093306411E-2</v>
      </c>
      <c r="Y222" s="31">
        <v>1997.8333333340699</v>
      </c>
      <c r="Z222" s="2">
        <v>-1.2835372728916781</v>
      </c>
      <c r="AA222" s="2">
        <v>0.41216179278103032</v>
      </c>
      <c r="AB222" s="2">
        <v>-0.27998349681667584</v>
      </c>
      <c r="AD222" s="31">
        <v>1997.8333333340699</v>
      </c>
      <c r="AE222" s="2">
        <v>0.45537940163146179</v>
      </c>
      <c r="AF222" s="2">
        <v>-0.68622224125583742</v>
      </c>
      <c r="AG222" s="2">
        <v>-0.21291151182592513</v>
      </c>
      <c r="AH222" s="31"/>
      <c r="AI222" s="31">
        <v>1997.8333333340699</v>
      </c>
      <c r="AJ222" s="2">
        <v>-0.24570136042908172</v>
      </c>
      <c r="AK222" s="2">
        <v>-0.61478205611361436</v>
      </c>
      <c r="AL222" s="2">
        <v>-0.11204340172961977</v>
      </c>
      <c r="AM222" s="31"/>
      <c r="AN222" s="2">
        <f t="shared" si="35"/>
        <v>-0.35795307722976605</v>
      </c>
      <c r="AO222" s="2">
        <f t="shared" si="28"/>
        <v>-0.29628083486280715</v>
      </c>
      <c r="AP222" s="2">
        <f t="shared" si="29"/>
        <v>-0.20164613679074025</v>
      </c>
      <c r="AQ222" s="31"/>
      <c r="AR222" s="31">
        <v>1997.8333333340699</v>
      </c>
      <c r="AS222" s="2">
        <v>-0.74965078961717035</v>
      </c>
      <c r="AT222" s="2">
        <v>2.3498264379798659</v>
      </c>
      <c r="AU222" s="2">
        <v>0.8330727540088162</v>
      </c>
      <c r="AV222" s="31"/>
      <c r="AW222" s="31">
        <v>1997.8333333340699</v>
      </c>
      <c r="AX222" s="2">
        <v>0.44234161677676298</v>
      </c>
      <c r="AY222" s="2">
        <v>-0.19138401234735175</v>
      </c>
      <c r="AZ222" s="2">
        <v>0.37910447328685681</v>
      </c>
      <c r="BA222" s="31"/>
      <c r="BB222" s="31">
        <v>1997.8333333340699</v>
      </c>
      <c r="BC222" s="2">
        <v>-0.29504220531731501</v>
      </c>
      <c r="BD222" s="2">
        <v>-0.59144451954684485</v>
      </c>
      <c r="BE222" s="2">
        <v>-0.32231368840397279</v>
      </c>
      <c r="BG222" s="2">
        <f t="shared" si="36"/>
        <v>-0.20078379271924077</v>
      </c>
      <c r="BH222" s="2">
        <f t="shared" si="30"/>
        <v>0.52233263536188979</v>
      </c>
      <c r="BI222" s="2">
        <f t="shared" si="31"/>
        <v>0.29662117963056672</v>
      </c>
    </row>
    <row r="223" spans="1:61" x14ac:dyDescent="0.3">
      <c r="A223" s="31">
        <v>1997.7500000007401</v>
      </c>
      <c r="B223">
        <v>0.73016998244603348</v>
      </c>
      <c r="C223">
        <v>3.0400000000000205E-2</v>
      </c>
      <c r="D223">
        <v>2.2197167466359566E-2</v>
      </c>
      <c r="F223" s="31">
        <v>1997.7500000007401</v>
      </c>
      <c r="G223" s="2">
        <v>0.49498524433311186</v>
      </c>
      <c r="H223" s="2">
        <v>9.2249999999999749E-2</v>
      </c>
      <c r="I223" s="2">
        <v>4.6367646368836703E-2</v>
      </c>
      <c r="K223" s="31">
        <v>1997.7500000007401</v>
      </c>
      <c r="L223" s="2">
        <v>0.89864054767804935</v>
      </c>
      <c r="M223" s="2">
        <v>6.1514999999999952E-2</v>
      </c>
      <c r="N223" s="2">
        <v>5.5277119536491642E-2</v>
      </c>
      <c r="P223" s="31">
        <v>1997.7500000007401</v>
      </c>
      <c r="Q223" s="2">
        <v>0.78712628068908042</v>
      </c>
      <c r="R223" s="2">
        <v>9.5850000000000463E-2</v>
      </c>
      <c r="S223" s="2">
        <v>4.6162497197490729E-2</v>
      </c>
      <c r="U223" s="2">
        <f t="shared" si="32"/>
        <v>0.72691735756674714</v>
      </c>
      <c r="V223" s="2">
        <f t="shared" si="33"/>
        <v>8.3205000000000057E-2</v>
      </c>
      <c r="W223" s="2">
        <f t="shared" si="34"/>
        <v>4.9269087700939691E-2</v>
      </c>
      <c r="Y223" s="31">
        <v>1997.7500000007401</v>
      </c>
      <c r="Z223" s="2">
        <v>-1.3839474360052264</v>
      </c>
      <c r="AA223" s="2">
        <v>-0.1883013680744752</v>
      </c>
      <c r="AB223" s="2">
        <v>-0.66307007750267299</v>
      </c>
      <c r="AD223" s="31">
        <v>1997.7500000007401</v>
      </c>
      <c r="AE223" s="2">
        <v>0.53186843600098999</v>
      </c>
      <c r="AF223" s="2">
        <v>-0.68622224125583742</v>
      </c>
      <c r="AG223" s="2">
        <v>-0.18285223608157528</v>
      </c>
      <c r="AH223" s="31"/>
      <c r="AI223" s="31">
        <v>1997.7500000007401</v>
      </c>
      <c r="AJ223" s="2">
        <v>2.5804482140003859E-2</v>
      </c>
      <c r="AK223" s="2">
        <v>-4.4052846898962821E-2</v>
      </c>
      <c r="AL223" s="2">
        <v>0.10204316538529706</v>
      </c>
      <c r="AM223" s="31"/>
      <c r="AN223" s="2">
        <f t="shared" si="35"/>
        <v>-0.27542483928807754</v>
      </c>
      <c r="AO223" s="2">
        <f t="shared" si="28"/>
        <v>-0.30619215207642514</v>
      </c>
      <c r="AP223" s="2">
        <f t="shared" si="29"/>
        <v>-0.24795971606631706</v>
      </c>
      <c r="AQ223" s="31"/>
      <c r="AR223" s="31">
        <v>1997.7500000007401</v>
      </c>
      <c r="AS223" s="2">
        <v>-1.759325359094327</v>
      </c>
      <c r="AT223" s="2">
        <v>0.89414149018552613</v>
      </c>
      <c r="AU223" s="2">
        <v>-0.49504281410148743</v>
      </c>
      <c r="AV223" s="31"/>
      <c r="AW223" s="31">
        <v>1997.7500000007401</v>
      </c>
      <c r="AX223" s="2">
        <v>0.66910606440796216</v>
      </c>
      <c r="AY223" s="2">
        <v>-0.6564669997761764</v>
      </c>
      <c r="AZ223" s="2">
        <v>8.4686127702516267E-2</v>
      </c>
      <c r="BA223" s="31"/>
      <c r="BB223" s="31">
        <v>1997.7500000007401</v>
      </c>
      <c r="BC223" s="2">
        <v>-2.454369819086907E-2</v>
      </c>
      <c r="BD223" s="2">
        <v>0.36965282471677957</v>
      </c>
      <c r="BE223" s="2">
        <v>-0.12084733783221328</v>
      </c>
      <c r="BG223" s="2">
        <f t="shared" si="36"/>
        <v>-0.37158766429241136</v>
      </c>
      <c r="BH223" s="2">
        <f t="shared" si="30"/>
        <v>0.20244243837537645</v>
      </c>
      <c r="BI223" s="2">
        <f t="shared" si="31"/>
        <v>-0.17706800807706147</v>
      </c>
    </row>
    <row r="224" spans="1:61" x14ac:dyDescent="0.3">
      <c r="A224" s="31">
        <v>1997.66666666741</v>
      </c>
      <c r="B224">
        <v>0.79256764136620017</v>
      </c>
      <c r="C224">
        <v>3.0400000000000205E-2</v>
      </c>
      <c r="D224">
        <v>2.4094056297532647E-2</v>
      </c>
      <c r="F224" s="31">
        <v>1997.66666666741</v>
      </c>
      <c r="G224" s="2">
        <v>0.52941551374513496</v>
      </c>
      <c r="H224" s="2">
        <v>6.1499999999999798E-2</v>
      </c>
      <c r="I224" s="2">
        <v>3.2559054095325696E-2</v>
      </c>
      <c r="K224" s="31">
        <v>1997.66666666741</v>
      </c>
      <c r="L224" s="2">
        <v>0.90455047687697432</v>
      </c>
      <c r="M224" s="2">
        <v>6.1514999999999952E-2</v>
      </c>
      <c r="N224" s="2">
        <v>5.5640204259584394E-2</v>
      </c>
      <c r="P224" s="31">
        <v>1997.66666666741</v>
      </c>
      <c r="Q224" s="2">
        <v>0.74900394894434341</v>
      </c>
      <c r="R224" s="2">
        <v>9.5850000000000463E-2</v>
      </c>
      <c r="S224" s="2">
        <v>4.9089586126667709E-2</v>
      </c>
      <c r="U224" s="2">
        <f t="shared" si="32"/>
        <v>0.7276566465221509</v>
      </c>
      <c r="V224" s="2">
        <f t="shared" si="33"/>
        <v>7.2955000000000075E-2</v>
      </c>
      <c r="W224" s="2">
        <f t="shared" si="34"/>
        <v>4.5762948160525931E-2</v>
      </c>
      <c r="Y224" s="31">
        <v>1997.66666666741</v>
      </c>
      <c r="Z224" s="2">
        <v>-1.1843181106129512</v>
      </c>
      <c r="AA224" s="2">
        <v>-0.78876452892998272</v>
      </c>
      <c r="AB224" s="2">
        <v>-0.98086432105202126</v>
      </c>
      <c r="AD224" s="31">
        <v>1997.66666666741</v>
      </c>
      <c r="AE224" s="2">
        <v>0.56703698666185998</v>
      </c>
      <c r="AF224" s="2">
        <v>-0.68622224125583742</v>
      </c>
      <c r="AG224" s="2">
        <v>-0.16904600831608219</v>
      </c>
      <c r="AH224" s="31"/>
      <c r="AI224" s="31">
        <v>1997.66666666741</v>
      </c>
      <c r="AJ224" s="2">
        <v>0.31834192190203359</v>
      </c>
      <c r="AK224" s="2">
        <v>-4.4052846898962821E-2</v>
      </c>
      <c r="AL224" s="2">
        <v>0.33860424201008094</v>
      </c>
      <c r="AM224" s="31"/>
      <c r="AN224" s="2">
        <f t="shared" si="35"/>
        <v>-9.9646400683019221E-2</v>
      </c>
      <c r="AO224" s="2">
        <f t="shared" si="28"/>
        <v>-0.50634653902826099</v>
      </c>
      <c r="AP224" s="2">
        <f t="shared" si="29"/>
        <v>-0.27043536245267413</v>
      </c>
      <c r="AQ224" s="31"/>
      <c r="AR224" s="31">
        <v>1997.66666666741</v>
      </c>
      <c r="AS224" s="2">
        <v>-0.78820777433508182</v>
      </c>
      <c r="AT224" s="2">
        <v>-0.32631334910520099</v>
      </c>
      <c r="AU224" s="2">
        <v>-0.88059472461471544</v>
      </c>
      <c r="AV224" s="31"/>
      <c r="AW224" s="31">
        <v>1997.66666666741</v>
      </c>
      <c r="AX224" s="2">
        <v>0.26770917424133955</v>
      </c>
      <c r="AY224" s="2">
        <v>-0.23837245449551037</v>
      </c>
      <c r="AZ224" s="2">
        <v>0.25192375946570855</v>
      </c>
      <c r="BA224" s="31"/>
      <c r="BB224" s="31">
        <v>1997.66666666741</v>
      </c>
      <c r="BC224" s="2">
        <v>0.26690837512533039</v>
      </c>
      <c r="BD224" s="2">
        <v>0.36965282471677957</v>
      </c>
      <c r="BE224" s="2">
        <v>0.10176866950158286</v>
      </c>
      <c r="BG224" s="2">
        <f t="shared" si="36"/>
        <v>-8.4530074989470627E-2</v>
      </c>
      <c r="BH224" s="2">
        <f t="shared" si="30"/>
        <v>-6.501099296131059E-2</v>
      </c>
      <c r="BI224" s="2">
        <f t="shared" si="31"/>
        <v>-0.17563409854914136</v>
      </c>
    </row>
    <row r="225" spans="1:61" x14ac:dyDescent="0.3">
      <c r="A225" s="31">
        <v>1997.58333333408</v>
      </c>
      <c r="B225">
        <v>0.84986990231739457</v>
      </c>
      <c r="C225">
        <v>3.0400000000000205E-2</v>
      </c>
      <c r="D225">
        <v>2.5836045030448968E-2</v>
      </c>
      <c r="F225" s="31">
        <v>1997.58333333408</v>
      </c>
      <c r="G225" s="2">
        <v>0.52830119301363276</v>
      </c>
      <c r="H225" s="2">
        <v>9.2249999999999749E-2</v>
      </c>
      <c r="I225" s="2">
        <v>4.9859859195330605E-2</v>
      </c>
      <c r="K225" s="31">
        <v>1997.58333333408</v>
      </c>
      <c r="L225" s="2">
        <v>0.91162412228224599</v>
      </c>
      <c r="M225" s="2">
        <v>6.1514999999999952E-2</v>
      </c>
      <c r="N225" s="2">
        <v>5.6074873587523222E-2</v>
      </c>
      <c r="P225" s="31">
        <v>1997.58333333408</v>
      </c>
      <c r="Q225" s="2">
        <v>0.75782319548215837</v>
      </c>
      <c r="R225" s="2">
        <v>9.5850000000000463E-2</v>
      </c>
      <c r="S225" s="2">
        <v>5.1880873953337431E-2</v>
      </c>
      <c r="U225" s="2">
        <f t="shared" si="32"/>
        <v>0.73258283692601245</v>
      </c>
      <c r="V225" s="2">
        <f t="shared" si="33"/>
        <v>8.3205000000000057E-2</v>
      </c>
      <c r="W225" s="2">
        <f t="shared" si="34"/>
        <v>5.2605202245397088E-2</v>
      </c>
      <c r="Y225" s="31">
        <v>1997.58333333408</v>
      </c>
      <c r="Z225" s="2">
        <v>-1.1907790271175061</v>
      </c>
      <c r="AA225" s="2">
        <v>-0.1883013680744752</v>
      </c>
      <c r="AB225" s="2">
        <v>-0.58269945669450429</v>
      </c>
      <c r="AD225" s="31">
        <v>1997.58333333408</v>
      </c>
      <c r="AE225" s="2">
        <v>0.60913052931167344</v>
      </c>
      <c r="AF225" s="2">
        <v>-0.68622224125583742</v>
      </c>
      <c r="AG225" s="2">
        <v>-0.15251778952163778</v>
      </c>
      <c r="AH225" s="31"/>
      <c r="AI225" s="31">
        <v>1997.58333333408</v>
      </c>
      <c r="AJ225" s="2">
        <v>0.58297747121223031</v>
      </c>
      <c r="AK225" s="2">
        <v>-4.4052846898962821E-2</v>
      </c>
      <c r="AL225" s="2">
        <v>0.5641901635257297</v>
      </c>
      <c r="AM225" s="31"/>
      <c r="AN225" s="2">
        <f t="shared" si="35"/>
        <v>4.4299113546590146E-4</v>
      </c>
      <c r="AO225" s="2">
        <f t="shared" si="28"/>
        <v>-0.30619215207642514</v>
      </c>
      <c r="AP225" s="2">
        <f t="shared" si="29"/>
        <v>-5.7009027563470781E-2</v>
      </c>
      <c r="AQ225" s="31"/>
      <c r="AR225" s="31">
        <v>1997.58333333408</v>
      </c>
      <c r="AS225" s="2">
        <v>-1.7038537264991371</v>
      </c>
      <c r="AT225" s="2">
        <v>0.98806436351113014</v>
      </c>
      <c r="AU225" s="2">
        <v>-0.4931453727408317</v>
      </c>
      <c r="AV225" s="31"/>
      <c r="AW225" s="31">
        <v>1997.58333333408</v>
      </c>
      <c r="AX225" s="2">
        <v>0.43958805868472495</v>
      </c>
      <c r="AY225" s="2">
        <v>-0.53553372549108424</v>
      </c>
      <c r="AZ225" s="2">
        <v>0.19833391855235979</v>
      </c>
      <c r="BA225" s="31"/>
      <c r="BB225" s="31">
        <v>1997.58333333408</v>
      </c>
      <c r="BC225" s="2">
        <v>0.53056207901489039</v>
      </c>
      <c r="BD225" s="2">
        <v>0.36965282471677957</v>
      </c>
      <c r="BE225" s="2">
        <v>0.31405649755447362</v>
      </c>
      <c r="BG225" s="2">
        <f t="shared" si="36"/>
        <v>-0.24456786293317392</v>
      </c>
      <c r="BH225" s="2">
        <f t="shared" si="30"/>
        <v>0.27406115424560845</v>
      </c>
      <c r="BI225" s="2">
        <f t="shared" si="31"/>
        <v>6.4150144553339157E-3</v>
      </c>
    </row>
    <row r="226" spans="1:61" x14ac:dyDescent="0.3">
      <c r="A226" s="31">
        <v>1997.5000000007501</v>
      </c>
      <c r="B226">
        <v>0.8790391546057873</v>
      </c>
      <c r="C226">
        <v>1.5200000000000102E-2</v>
      </c>
      <c r="D226">
        <v>1.3361395150008056E-2</v>
      </c>
      <c r="F226" s="31">
        <v>1997.5000000007501</v>
      </c>
      <c r="G226" s="2">
        <v>0.60230393526396719</v>
      </c>
      <c r="H226" s="2">
        <v>6.1499999999999798E-2</v>
      </c>
      <c r="I226" s="2">
        <v>3.7041692018733863E-2</v>
      </c>
      <c r="K226" s="31">
        <v>1997.5000000007501</v>
      </c>
      <c r="L226" s="2">
        <v>0.64256860787649073</v>
      </c>
      <c r="M226" s="2">
        <v>6.1530000000000001E-2</v>
      </c>
      <c r="N226" s="2">
        <v>3.9537246442640478E-2</v>
      </c>
      <c r="P226" s="31">
        <v>1997.5000000007501</v>
      </c>
      <c r="Q226" s="2">
        <v>0.63189824992418397</v>
      </c>
      <c r="R226" s="2">
        <v>4.7900000000000303E-2</v>
      </c>
      <c r="S226" s="2">
        <v>4.2956876162321626E-2</v>
      </c>
      <c r="U226" s="2">
        <f t="shared" si="32"/>
        <v>0.62559026435488063</v>
      </c>
      <c r="V226" s="2">
        <f t="shared" si="33"/>
        <v>5.6976666666666703E-2</v>
      </c>
      <c r="W226" s="2">
        <f t="shared" si="34"/>
        <v>3.9845271541231991E-2</v>
      </c>
      <c r="Y226" s="31">
        <v>1997.5000000007501</v>
      </c>
      <c r="Z226" s="2">
        <v>-0.76170548906805113</v>
      </c>
      <c r="AA226" s="2">
        <v>-0.78876452892998272</v>
      </c>
      <c r="AB226" s="2">
        <v>-0.87769982030071414</v>
      </c>
      <c r="AD226" s="31">
        <v>1997.5000000007501</v>
      </c>
      <c r="AE226" s="2">
        <v>-0.99195337042208998</v>
      </c>
      <c r="AF226" s="2">
        <v>-0.68585487699629111</v>
      </c>
      <c r="AG226" s="2">
        <v>-0.78135792666154835</v>
      </c>
      <c r="AH226" s="31"/>
      <c r="AI226" s="31">
        <v>1997.5000000007501</v>
      </c>
      <c r="AJ226" s="2">
        <v>1.4948202362546679</v>
      </c>
      <c r="AK226" s="2">
        <v>-1.186702766808877</v>
      </c>
      <c r="AL226" s="2">
        <v>-0.15702828125635934</v>
      </c>
      <c r="AM226" s="31"/>
      <c r="AN226" s="2">
        <f t="shared" si="35"/>
        <v>-8.6279541078491076E-2</v>
      </c>
      <c r="AO226" s="2">
        <f t="shared" si="28"/>
        <v>-0.88710739091171698</v>
      </c>
      <c r="AP226" s="2">
        <f t="shared" si="29"/>
        <v>-0.60536200940620732</v>
      </c>
      <c r="AQ226" s="31"/>
      <c r="AR226" s="31">
        <v>1997.5000000007501</v>
      </c>
      <c r="AS226" s="2">
        <v>-0.55743508336589276</v>
      </c>
      <c r="AT226" s="2">
        <v>-2.3130098149133811E-2</v>
      </c>
      <c r="AU226" s="2">
        <v>-0.56457093502375277</v>
      </c>
      <c r="AV226" s="31"/>
      <c r="AW226" s="31">
        <v>1997.5000000007501</v>
      </c>
      <c r="AX226" s="2">
        <v>-0.60416061872483862</v>
      </c>
      <c r="AY226" s="2">
        <v>-0.10730219351257217</v>
      </c>
      <c r="AZ226" s="2">
        <v>-0.60367765277951047</v>
      </c>
      <c r="BA226" s="31"/>
      <c r="BB226" s="31">
        <v>1997.5000000007501</v>
      </c>
      <c r="BC226" s="2">
        <v>1.4390217436177559</v>
      </c>
      <c r="BD226" s="2">
        <v>-1.5545483300824114</v>
      </c>
      <c r="BE226" s="2">
        <v>-0.36464674848941803</v>
      </c>
      <c r="BG226" s="2">
        <f t="shared" si="36"/>
        <v>9.2475347175674849E-2</v>
      </c>
      <c r="BH226" s="2">
        <f t="shared" si="30"/>
        <v>-0.56166020724803911</v>
      </c>
      <c r="BI226" s="2">
        <f t="shared" si="31"/>
        <v>-0.51096511209756035</v>
      </c>
    </row>
    <row r="227" spans="1:61" x14ac:dyDescent="0.3">
      <c r="A227" s="31">
        <v>1997.41666666742</v>
      </c>
      <c r="B227">
        <v>0.78818893479006413</v>
      </c>
      <c r="C227">
        <v>0.15200000000000102</v>
      </c>
      <c r="D227">
        <v>0.11980471808809055</v>
      </c>
      <c r="F227" s="31">
        <v>1997.41666666742</v>
      </c>
      <c r="G227" s="2">
        <v>0.55355010886671951</v>
      </c>
      <c r="H227" s="2">
        <v>0.15374999999999969</v>
      </c>
      <c r="I227" s="2">
        <v>7.9940662799927592E-2</v>
      </c>
      <c r="K227" s="31">
        <v>1997.41666666742</v>
      </c>
      <c r="L227" s="2">
        <v>0.92666793185564822</v>
      </c>
      <c r="M227" s="2">
        <v>0.12304499999999996</v>
      </c>
      <c r="N227" s="2">
        <v>9.7425203466659185E-2</v>
      </c>
      <c r="P227" s="31">
        <v>1997.41666666742</v>
      </c>
      <c r="Q227" s="2">
        <v>0.572633915692216</v>
      </c>
      <c r="R227" s="2">
        <v>0.19170000000000093</v>
      </c>
      <c r="S227" s="2">
        <v>5.2543159762659025E-2</v>
      </c>
      <c r="U227" s="2">
        <f t="shared" si="32"/>
        <v>0.68428398547152802</v>
      </c>
      <c r="V227" s="2">
        <f t="shared" si="33"/>
        <v>0.15616500000000019</v>
      </c>
      <c r="W227" s="2">
        <f t="shared" si="34"/>
        <v>7.6636342009748601E-2</v>
      </c>
      <c r="Y227" s="31">
        <v>1997.41666666742</v>
      </c>
      <c r="Z227" s="2">
        <v>-1.0443838892137083</v>
      </c>
      <c r="AA227" s="2">
        <v>1.0126249536365408</v>
      </c>
      <c r="AB227" s="2">
        <v>0.10958734832742321</v>
      </c>
      <c r="AD227" s="31">
        <v>1997.41666666742</v>
      </c>
      <c r="AE227" s="2">
        <v>0.69865257962843796</v>
      </c>
      <c r="AF227" s="2">
        <v>0.82070595139821056</v>
      </c>
      <c r="AG227" s="2">
        <v>1.4198206653347749</v>
      </c>
      <c r="AH227" s="31"/>
      <c r="AI227" s="31">
        <v>1997.41666666742</v>
      </c>
      <c r="AJ227" s="2">
        <v>0.65540567985336462</v>
      </c>
      <c r="AK227" s="2">
        <v>2.2400554914402537</v>
      </c>
      <c r="AL227" s="2">
        <v>0.61771468836156529</v>
      </c>
      <c r="AM227" s="31"/>
      <c r="AN227" s="2">
        <f t="shared" si="35"/>
        <v>0.10322479008936473</v>
      </c>
      <c r="AO227" s="2">
        <f t="shared" si="28"/>
        <v>1.3577954654916684</v>
      </c>
      <c r="AP227" s="2">
        <f t="shared" si="29"/>
        <v>0.71570756734125451</v>
      </c>
      <c r="AQ227" s="31"/>
      <c r="AR227" s="31">
        <v>1997.41666666742</v>
      </c>
      <c r="AS227" s="2">
        <v>-1.6104421188752636</v>
      </c>
      <c r="AT227" s="2">
        <v>-0.35878275268423226</v>
      </c>
      <c r="AU227" s="2">
        <v>-1.2671438164038837</v>
      </c>
      <c r="AV227" s="31"/>
      <c r="AW227" s="31">
        <v>1997.41666666742</v>
      </c>
      <c r="AX227" s="2">
        <v>0.28016991110319145</v>
      </c>
      <c r="AY227" s="2">
        <v>-0.38521748160200386</v>
      </c>
      <c r="AZ227" s="2">
        <v>0.26811833548907432</v>
      </c>
      <c r="BA227" s="31"/>
      <c r="BB227" s="31">
        <v>1997.41666666742</v>
      </c>
      <c r="BC227" s="2">
        <v>0.60272156599272364</v>
      </c>
      <c r="BD227" s="2">
        <v>4.2160486680432188</v>
      </c>
      <c r="BE227" s="2">
        <v>0.36442579830081623</v>
      </c>
      <c r="BG227" s="2">
        <f t="shared" si="36"/>
        <v>-0.24251688059311616</v>
      </c>
      <c r="BH227" s="2">
        <f t="shared" si="30"/>
        <v>1.1573494779189941</v>
      </c>
      <c r="BI227" s="2">
        <f t="shared" si="31"/>
        <v>-0.21153322753799775</v>
      </c>
    </row>
    <row r="228" spans="1:61" x14ac:dyDescent="0.3">
      <c r="A228" s="31">
        <v>1997.33333333409</v>
      </c>
      <c r="B228">
        <v>0.6685739726408485</v>
      </c>
      <c r="C228">
        <v>0.16720000000000113</v>
      </c>
      <c r="D228">
        <v>0.11178556822555062</v>
      </c>
      <c r="F228" s="31">
        <v>1997.33333333409</v>
      </c>
      <c r="G228" s="2">
        <v>0.5537883510622108</v>
      </c>
      <c r="H228" s="2">
        <v>0.15374999999999969</v>
      </c>
      <c r="I228" s="2">
        <v>8.2157933341465178E-2</v>
      </c>
      <c r="K228" s="31">
        <v>1997.33333333409</v>
      </c>
      <c r="L228" s="2">
        <v>0.95258631487350298</v>
      </c>
      <c r="M228" s="2">
        <v>0.12304499999999996</v>
      </c>
      <c r="N228" s="2">
        <v>0.10286592804583689</v>
      </c>
      <c r="P228" s="31">
        <v>1997.33333333409</v>
      </c>
      <c r="Q228" s="2">
        <v>0.60508554239576895</v>
      </c>
      <c r="R228" s="2">
        <v>0.1198000000000006</v>
      </c>
      <c r="S228" s="2">
        <v>4.5236994329266603E-2</v>
      </c>
      <c r="U228" s="2">
        <f t="shared" si="32"/>
        <v>0.70382006944382758</v>
      </c>
      <c r="V228" s="2">
        <f t="shared" si="33"/>
        <v>0.13219833333333342</v>
      </c>
      <c r="W228" s="2">
        <f t="shared" si="34"/>
        <v>7.6753618572189555E-2</v>
      </c>
      <c r="Y228" s="31">
        <v>1997.33333333409</v>
      </c>
      <c r="Z228" s="2">
        <v>-1.043002542811891</v>
      </c>
      <c r="AA228" s="2">
        <v>1.0126249536365408</v>
      </c>
      <c r="AB228" s="2">
        <v>0.16061614261255047</v>
      </c>
      <c r="AD228" s="31">
        <v>1997.33333333409</v>
      </c>
      <c r="AE228" s="2">
        <v>0.85288657051568284</v>
      </c>
      <c r="AF228" s="2">
        <v>0.82070595139821056</v>
      </c>
      <c r="AG228" s="2">
        <v>1.6267031860577832</v>
      </c>
      <c r="AH228" s="31"/>
      <c r="AI228" s="31">
        <v>1997.33333333409</v>
      </c>
      <c r="AJ228" s="2">
        <v>-0.13643538970985325</v>
      </c>
      <c r="AK228" s="2">
        <v>0.52667636231568804</v>
      </c>
      <c r="AL228" s="2">
        <v>2.7245999933960961E-2</v>
      </c>
      <c r="AM228" s="31"/>
      <c r="AN228" s="2">
        <f t="shared" si="35"/>
        <v>-0.10885045400202047</v>
      </c>
      <c r="AO228" s="2">
        <f t="shared" si="28"/>
        <v>0.78666908911681299</v>
      </c>
      <c r="AP228" s="2">
        <f t="shared" si="29"/>
        <v>0.60485510953476485</v>
      </c>
      <c r="AQ228" s="31"/>
      <c r="AR228" s="31">
        <v>1997.33333333409</v>
      </c>
      <c r="AS228" s="2">
        <v>-1.3180074227222622</v>
      </c>
      <c r="AT228" s="2">
        <v>-1.8664175683888028E-2</v>
      </c>
      <c r="AU228" s="2">
        <v>-0.78184893793890275</v>
      </c>
      <c r="AV228" s="31"/>
      <c r="AW228" s="31">
        <v>1997.33333333409</v>
      </c>
      <c r="AX228" s="2">
        <v>0.66144516475113879</v>
      </c>
      <c r="AY228" s="2">
        <v>6.3397556491676846E-2</v>
      </c>
      <c r="AZ228" s="2">
        <v>0.80653436163842707</v>
      </c>
      <c r="BA228" s="31"/>
      <c r="BB228" s="31">
        <v>1997.33333333409</v>
      </c>
      <c r="BC228" s="2">
        <v>-0.18618163097533721</v>
      </c>
      <c r="BD228" s="2">
        <v>1.3307501689804029</v>
      </c>
      <c r="BE228" s="2">
        <v>-0.19123527557005379</v>
      </c>
      <c r="BG228" s="2">
        <f t="shared" si="36"/>
        <v>-0.28091462964882025</v>
      </c>
      <c r="BH228" s="2">
        <f t="shared" si="30"/>
        <v>0.45849451659606388</v>
      </c>
      <c r="BI228" s="2">
        <f t="shared" si="31"/>
        <v>-5.5516617290176505E-2</v>
      </c>
    </row>
    <row r="229" spans="1:61" x14ac:dyDescent="0.3">
      <c r="A229" s="31">
        <v>1997.2500000007601</v>
      </c>
      <c r="B229">
        <v>0.63494109835877943</v>
      </c>
      <c r="C229">
        <v>0.15200000000000102</v>
      </c>
      <c r="D229">
        <v>9.6511046950535126E-2</v>
      </c>
      <c r="F229" s="31">
        <v>1997.2500000007601</v>
      </c>
      <c r="G229" s="2">
        <v>0.59107842116871678</v>
      </c>
      <c r="H229" s="2">
        <v>0.15374999999999969</v>
      </c>
      <c r="I229" s="2">
        <v>9.3429591813987869E-2</v>
      </c>
      <c r="K229" s="31">
        <v>1997.2500000007601</v>
      </c>
      <c r="L229" s="2">
        <v>0.97332657329284111</v>
      </c>
      <c r="M229" s="2">
        <v>0.12304499999999996</v>
      </c>
      <c r="N229" s="2">
        <v>0.11051188691975448</v>
      </c>
      <c r="P229" s="31">
        <v>1997.2500000007601</v>
      </c>
      <c r="Q229" s="2">
        <v>0.52431021910512143</v>
      </c>
      <c r="R229" s="2">
        <v>0.1198000000000006</v>
      </c>
      <c r="S229" s="2">
        <v>4.0112026169667983E-2</v>
      </c>
      <c r="U229" s="2">
        <f t="shared" si="32"/>
        <v>0.69623840452222652</v>
      </c>
      <c r="V229" s="2">
        <f t="shared" si="33"/>
        <v>0.13219833333333342</v>
      </c>
      <c r="W229" s="2">
        <f t="shared" si="34"/>
        <v>8.135116830113677E-2</v>
      </c>
      <c r="Y229" s="31">
        <v>1997.2500000007601</v>
      </c>
      <c r="Z229" s="2">
        <v>-0.82679187509655472</v>
      </c>
      <c r="AA229" s="2">
        <v>1.0126249536365408</v>
      </c>
      <c r="AB229" s="2">
        <v>0.42002478520774283</v>
      </c>
      <c r="AD229" s="31">
        <v>1997.2500000007601</v>
      </c>
      <c r="AE229" s="2">
        <v>0.97630680185664509</v>
      </c>
      <c r="AF229" s="2">
        <v>0.82070595139821056</v>
      </c>
      <c r="AG229" s="2">
        <v>1.9174393227911737</v>
      </c>
      <c r="AH229" s="31"/>
      <c r="AI229" s="31">
        <v>1997.2500000007601</v>
      </c>
      <c r="AJ229" s="2">
        <v>-0.6284344488068998</v>
      </c>
      <c r="AK229" s="2">
        <v>0.52667636231568804</v>
      </c>
      <c r="AL229" s="2">
        <v>-0.38694298264788107</v>
      </c>
      <c r="AM229" s="31"/>
      <c r="AN229" s="2">
        <f t="shared" si="35"/>
        <v>-0.1596398406822698</v>
      </c>
      <c r="AO229" s="2">
        <f t="shared" si="28"/>
        <v>0.78666908911681299</v>
      </c>
      <c r="AP229" s="2">
        <f t="shared" si="29"/>
        <v>0.65017370845034506</v>
      </c>
      <c r="AQ229" s="31"/>
      <c r="AR229" s="31">
        <v>1997.2500000007601</v>
      </c>
      <c r="AS229" s="2">
        <v>-0.82230934076365669</v>
      </c>
      <c r="AT229" s="2">
        <v>-6.2988546229767878E-2</v>
      </c>
      <c r="AU229" s="2">
        <v>-0.4444459235873981</v>
      </c>
      <c r="AV229" s="31"/>
      <c r="AW229" s="31">
        <v>1997.2500000007601</v>
      </c>
      <c r="AX229" s="2">
        <v>1.0480267956584928</v>
      </c>
      <c r="AY229" s="2">
        <v>-0.13019391200415875</v>
      </c>
      <c r="AZ229" s="2">
        <v>0.85417563218896875</v>
      </c>
      <c r="BA229" s="31"/>
      <c r="BB229" s="31">
        <v>1997.2500000007601</v>
      </c>
      <c r="BC229" s="2">
        <v>-0.67635528519238497</v>
      </c>
      <c r="BD229" s="2">
        <v>1.3307501689804029</v>
      </c>
      <c r="BE229" s="2">
        <v>-0.58100817861726972</v>
      </c>
      <c r="BG229" s="2">
        <f t="shared" si="36"/>
        <v>-0.15021261009918296</v>
      </c>
      <c r="BH229" s="2">
        <f t="shared" si="30"/>
        <v>0.37918923691549206</v>
      </c>
      <c r="BI229" s="2">
        <f t="shared" si="31"/>
        <v>-5.7092823338566356E-2</v>
      </c>
    </row>
    <row r="230" spans="1:61" x14ac:dyDescent="0.3">
      <c r="A230" s="31">
        <v>1997.16666666743</v>
      </c>
      <c r="B230">
        <v>0.56348555689602742</v>
      </c>
      <c r="C230">
        <v>0.16720000000000113</v>
      </c>
      <c r="D230">
        <v>9.4214785113016425E-2</v>
      </c>
      <c r="F230" s="31">
        <v>1997.16666666743</v>
      </c>
      <c r="G230" s="2">
        <v>0.61220272159093114</v>
      </c>
      <c r="H230" s="2">
        <v>0.12299999999999976</v>
      </c>
      <c r="I230" s="2">
        <v>7.9645564378317546E-2</v>
      </c>
      <c r="K230" s="31">
        <v>1997.16666666743</v>
      </c>
      <c r="L230" s="2">
        <v>0.96693107699921454</v>
      </c>
      <c r="M230" s="2">
        <v>0.12304499999999996</v>
      </c>
      <c r="N230" s="2">
        <v>0.11297759415987937</v>
      </c>
      <c r="P230" s="31">
        <v>1997.16666666743</v>
      </c>
      <c r="Q230" s="2">
        <v>0.43539478609813492</v>
      </c>
      <c r="R230" s="2">
        <v>0.1198000000000006</v>
      </c>
      <c r="S230" s="2">
        <v>3.5979863584327101E-2</v>
      </c>
      <c r="U230" s="2">
        <f t="shared" si="32"/>
        <v>0.67150952822942678</v>
      </c>
      <c r="V230" s="2">
        <f t="shared" si="33"/>
        <v>0.12194833333333344</v>
      </c>
      <c r="W230" s="2">
        <f t="shared" si="34"/>
        <v>7.6201007374174679E-2</v>
      </c>
      <c r="Y230" s="31">
        <v>1997.16666666743</v>
      </c>
      <c r="Z230" s="2">
        <v>-0.7043115717272812</v>
      </c>
      <c r="AA230" s="2">
        <v>0.4121617927810336</v>
      </c>
      <c r="AB230" s="2">
        <v>0.10279588270872504</v>
      </c>
      <c r="AD230" s="31">
        <v>1997.16666666743</v>
      </c>
      <c r="AE230" s="2">
        <v>0.93824875956322384</v>
      </c>
      <c r="AF230" s="2">
        <v>0.82070595139821056</v>
      </c>
      <c r="AG230" s="2">
        <v>2.0111973731718651</v>
      </c>
      <c r="AH230" s="31"/>
      <c r="AI230" s="31">
        <v>1997.16666666743</v>
      </c>
      <c r="AJ230" s="2">
        <v>-1.0648380594652267</v>
      </c>
      <c r="AK230" s="2">
        <v>0.52667636231568804</v>
      </c>
      <c r="AL230" s="2">
        <v>-0.72089553879783685</v>
      </c>
      <c r="AM230" s="31"/>
      <c r="AN230" s="2">
        <f t="shared" si="35"/>
        <v>-0.27696695720976133</v>
      </c>
      <c r="AO230" s="2">
        <f t="shared" si="28"/>
        <v>0.58651470216497736</v>
      </c>
      <c r="AP230" s="2">
        <f t="shared" si="29"/>
        <v>0.46436590569425107</v>
      </c>
      <c r="AQ230" s="31"/>
      <c r="AR230" s="31">
        <v>1997.16666666743</v>
      </c>
      <c r="AS230" s="2">
        <v>-0.37793181354941813</v>
      </c>
      <c r="AT230" s="2">
        <v>-0.46657286796563091</v>
      </c>
      <c r="AU230" s="2">
        <v>-0.47716326989684105</v>
      </c>
      <c r="AV230" s="31"/>
      <c r="AW230" s="31">
        <v>1997.16666666743</v>
      </c>
      <c r="AX230" s="2">
        <v>1.0991628798985777</v>
      </c>
      <c r="AY230" s="2">
        <v>0.19145988481734807</v>
      </c>
      <c r="AZ230" s="2">
        <v>1.4240780552524113</v>
      </c>
      <c r="BA230" s="31"/>
      <c r="BB230" s="31">
        <v>1997.16666666743</v>
      </c>
      <c r="BC230" s="2">
        <v>-0.53668760279443706</v>
      </c>
      <c r="BD230" s="2">
        <v>0.3086063174042078</v>
      </c>
      <c r="BE230" s="2">
        <v>-0.32780896160774464</v>
      </c>
      <c r="BG230" s="2">
        <f t="shared" si="36"/>
        <v>6.1514487851574186E-2</v>
      </c>
      <c r="BH230" s="2">
        <f t="shared" si="30"/>
        <v>1.1164444751974978E-2</v>
      </c>
      <c r="BI230" s="2">
        <f t="shared" si="31"/>
        <v>0.20636860791594183</v>
      </c>
    </row>
    <row r="231" spans="1:61" x14ac:dyDescent="0.3">
      <c r="A231" s="31">
        <v>1997.0833333341</v>
      </c>
      <c r="B231">
        <v>0.51512150798645173</v>
      </c>
      <c r="C231">
        <v>6.0800000000000409E-2</v>
      </c>
      <c r="D231">
        <v>3.1319387685576475E-2</v>
      </c>
      <c r="F231" s="31">
        <v>1997.0833333341</v>
      </c>
      <c r="G231" s="2">
        <v>0.60091169571666359</v>
      </c>
      <c r="H231" s="2">
        <v>6.1499999999999846E-2</v>
      </c>
      <c r="I231" s="2">
        <v>3.6956069286574716E-2</v>
      </c>
      <c r="K231" s="31">
        <v>1997.0833333341</v>
      </c>
      <c r="L231" s="2">
        <v>0.92518898263695792</v>
      </c>
      <c r="M231" s="2">
        <v>6.1514999999999952E-2</v>
      </c>
      <c r="N231" s="2">
        <v>5.6911751791589367E-2</v>
      </c>
      <c r="P231" s="31">
        <v>1997.0833333341</v>
      </c>
      <c r="Q231" s="2">
        <v>0.45982274261187306</v>
      </c>
      <c r="R231" s="2">
        <v>9.5850000000000463E-2</v>
      </c>
      <c r="S231" s="2">
        <v>3.2914719470102591E-2</v>
      </c>
      <c r="U231" s="2">
        <f t="shared" si="32"/>
        <v>0.66197447365516482</v>
      </c>
      <c r="V231" s="2">
        <f t="shared" si="33"/>
        <v>7.2955000000000089E-2</v>
      </c>
      <c r="W231" s="2">
        <f t="shared" si="34"/>
        <v>4.2260846849422225E-2</v>
      </c>
      <c r="Y231" s="31">
        <v>1997.0833333341</v>
      </c>
      <c r="Z231" s="2">
        <v>-0.76977780004205731</v>
      </c>
      <c r="AA231" s="2">
        <v>-0.78876452892998183</v>
      </c>
      <c r="AB231" s="2">
        <v>-0.87967036232688012</v>
      </c>
      <c r="AD231" s="31">
        <v>1997.0833333341</v>
      </c>
      <c r="AE231" s="2">
        <v>0.68985171268542533</v>
      </c>
      <c r="AF231" s="2">
        <v>-0.68622224125583742</v>
      </c>
      <c r="AG231" s="2">
        <v>-0.12069565445934143</v>
      </c>
      <c r="AH231" s="31"/>
      <c r="AI231" s="31">
        <v>1997.0833333341</v>
      </c>
      <c r="AJ231" s="2">
        <v>-1.4700300379312934</v>
      </c>
      <c r="AK231" s="2">
        <v>-4.4052846898962821E-2</v>
      </c>
      <c r="AL231" s="2">
        <v>-0.96861394066919615</v>
      </c>
      <c r="AM231" s="31"/>
      <c r="AN231" s="2">
        <f t="shared" si="35"/>
        <v>-0.51665204176264179</v>
      </c>
      <c r="AO231" s="2">
        <f t="shared" si="28"/>
        <v>-0.50634653902826077</v>
      </c>
      <c r="AP231" s="2">
        <f t="shared" si="29"/>
        <v>-0.65632665248513922</v>
      </c>
      <c r="AQ231" s="31"/>
      <c r="AR231" s="31">
        <v>1997.0833333341</v>
      </c>
      <c r="AS231" s="2">
        <v>-0.30511410723584292</v>
      </c>
      <c r="AT231" s="2">
        <v>-0.93050162247170598</v>
      </c>
      <c r="AU231" s="2">
        <v>-0.88456925381081908</v>
      </c>
      <c r="AV231" s="31"/>
      <c r="AW231" s="31">
        <v>1997.0833333341</v>
      </c>
      <c r="AX231" s="2">
        <v>1.0624361564219287</v>
      </c>
      <c r="AY231" s="2">
        <v>-0.87038484719517628</v>
      </c>
      <c r="AZ231" s="2">
        <v>0.26214618722291366</v>
      </c>
      <c r="BA231" s="31"/>
      <c r="BB231" s="31">
        <v>1997.0833333341</v>
      </c>
      <c r="BC231" s="2">
        <v>-0.87385352748701195</v>
      </c>
      <c r="BD231" s="2">
        <v>-1.4615836317459097E-2</v>
      </c>
      <c r="BE231" s="2">
        <v>-0.72609917583129346</v>
      </c>
      <c r="BG231" s="2">
        <f t="shared" si="36"/>
        <v>-3.8843826100308732E-2</v>
      </c>
      <c r="BH231" s="2">
        <f t="shared" si="30"/>
        <v>-0.60516743532811379</v>
      </c>
      <c r="BI231" s="2">
        <f t="shared" si="31"/>
        <v>-0.449507414139733</v>
      </c>
    </row>
    <row r="232" spans="1:61" x14ac:dyDescent="0.3">
      <c r="A232" s="31">
        <v>1997.0000000007699</v>
      </c>
      <c r="B232">
        <v>0.56316005338474251</v>
      </c>
      <c r="C232">
        <v>7.6000000000000512E-2</v>
      </c>
      <c r="D232">
        <v>4.2800164057240721E-2</v>
      </c>
      <c r="F232" s="31">
        <v>1997.0000000007699</v>
      </c>
      <c r="G232" s="2">
        <v>0.61020610854745727</v>
      </c>
      <c r="H232" s="2">
        <v>6.1499999999999846E-2</v>
      </c>
      <c r="I232" s="2">
        <v>3.7527675675668531E-2</v>
      </c>
      <c r="K232" s="31">
        <v>1997.0000000007699</v>
      </c>
      <c r="L232" s="2">
        <v>0.7696108471298817</v>
      </c>
      <c r="M232" s="2">
        <v>6.1530000000000001E-2</v>
      </c>
      <c r="N232" s="2">
        <v>4.7354155423901624E-2</v>
      </c>
      <c r="P232" s="31">
        <v>1997.0000000007699</v>
      </c>
      <c r="Q232" s="2">
        <v>0.5681773948589659</v>
      </c>
      <c r="R232" s="2">
        <v>7.1900000000000297E-2</v>
      </c>
      <c r="S232" s="2">
        <v>3.5864091775620416E-2</v>
      </c>
      <c r="U232" s="2">
        <f t="shared" si="32"/>
        <v>0.64933145017876825</v>
      </c>
      <c r="V232" s="2">
        <f t="shared" si="33"/>
        <v>6.4976666666666724E-2</v>
      </c>
      <c r="W232" s="2">
        <f t="shared" si="34"/>
        <v>4.0248640958396857E-2</v>
      </c>
      <c r="Y232" s="31">
        <v>1997.0000000007699</v>
      </c>
      <c r="Z232" s="2">
        <v>-0.71588808628103962</v>
      </c>
      <c r="AA232" s="2">
        <v>-0.78876452892998183</v>
      </c>
      <c r="AB232" s="2">
        <v>-0.86651527624482472</v>
      </c>
      <c r="AD232" s="31">
        <v>1997.0000000007699</v>
      </c>
      <c r="AE232" s="2">
        <v>-0.23595591649895986</v>
      </c>
      <c r="AF232" s="2">
        <v>-0.68585487699629111</v>
      </c>
      <c r="AG232" s="2">
        <v>-0.48412144450349626</v>
      </c>
      <c r="AH232" s="31"/>
      <c r="AI232" s="31">
        <v>1997.0000000007699</v>
      </c>
      <c r="AJ232" s="2">
        <v>-1.1777105748616414</v>
      </c>
      <c r="AK232" s="2">
        <v>-0.61478205611361436</v>
      </c>
      <c r="AL232" s="2">
        <v>-0.73025196915342316</v>
      </c>
      <c r="AM232" s="31"/>
      <c r="AN232" s="2">
        <f t="shared" si="35"/>
        <v>-0.70985152588054701</v>
      </c>
      <c r="AO232" s="2">
        <f t="shared" si="28"/>
        <v>-0.69646715401329573</v>
      </c>
      <c r="AP232" s="2">
        <f t="shared" si="29"/>
        <v>-0.69362956330058145</v>
      </c>
      <c r="AQ232" s="31"/>
      <c r="AR232" s="31">
        <v>1997.0000000007699</v>
      </c>
      <c r="AS232" s="2">
        <v>-0.21401140799225565</v>
      </c>
      <c r="AT232" s="2">
        <v>-0.29853293598826575</v>
      </c>
      <c r="AU232" s="2">
        <v>-0.42698535905110635</v>
      </c>
      <c r="AV232" s="31"/>
      <c r="AW232" s="31">
        <v>1997.0000000007699</v>
      </c>
      <c r="AX232" s="2">
        <v>5.9848500694866684E-2</v>
      </c>
      <c r="AY232" s="2">
        <v>-0.21897704373559218</v>
      </c>
      <c r="AZ232" s="2">
        <v>-8.3215496659430829E-3</v>
      </c>
      <c r="BA232" s="31"/>
      <c r="BB232" s="31">
        <v>1997.0000000007699</v>
      </c>
      <c r="BC232" s="2">
        <v>-0.51767726389826796</v>
      </c>
      <c r="BD232" s="2">
        <v>-9.3919208556921333E-2</v>
      </c>
      <c r="BE232" s="2">
        <v>-9.0977565036776786E-2</v>
      </c>
      <c r="BG232" s="2">
        <f t="shared" si="36"/>
        <v>-0.22394672373188565</v>
      </c>
      <c r="BH232" s="2">
        <f t="shared" si="30"/>
        <v>-0.20380972942692641</v>
      </c>
      <c r="BI232" s="2">
        <f t="shared" si="31"/>
        <v>-0.17542815791794208</v>
      </c>
    </row>
    <row r="233" spans="1:61" x14ac:dyDescent="0.3">
      <c r="A233" s="31">
        <v>1996.91666666744</v>
      </c>
      <c r="B233">
        <v>0.59473955422088498</v>
      </c>
      <c r="C233">
        <v>6.0800000000000409E-2</v>
      </c>
      <c r="D233">
        <v>3.616016489663005E-2</v>
      </c>
      <c r="F233" s="31">
        <v>1996.91666666744</v>
      </c>
      <c r="G233" s="2">
        <v>0.55775393797599215</v>
      </c>
      <c r="H233" s="2">
        <v>6.1499999999999798E-2</v>
      </c>
      <c r="I233" s="2">
        <v>3.4301867185523402E-2</v>
      </c>
      <c r="K233" s="31">
        <v>1996.91666666744</v>
      </c>
      <c r="L233" s="2">
        <v>1.0195512859540241</v>
      </c>
      <c r="M233" s="2">
        <v>6.1499999999999902E-2</v>
      </c>
      <c r="N233" s="2">
        <v>6.2702404086172378E-2</v>
      </c>
      <c r="P233" s="31">
        <v>1996.91666666744</v>
      </c>
      <c r="Q233" s="2">
        <v>0.69826268580201467</v>
      </c>
      <c r="R233" s="2">
        <v>9.5850000000000463E-2</v>
      </c>
      <c r="S233" s="2">
        <v>4.036023236922047E-2</v>
      </c>
      <c r="U233" s="2">
        <f t="shared" si="32"/>
        <v>0.75852263657734353</v>
      </c>
      <c r="V233" s="2">
        <f t="shared" si="33"/>
        <v>7.2950000000000056E-2</v>
      </c>
      <c r="W233" s="2">
        <f t="shared" si="34"/>
        <v>4.578816788030541E-2</v>
      </c>
      <c r="Y233" s="31">
        <v>1996.91666666744</v>
      </c>
      <c r="Z233" s="2">
        <v>-1.0200097677363014</v>
      </c>
      <c r="AA233" s="2">
        <v>-0.78876452892998272</v>
      </c>
      <c r="AB233" s="2">
        <v>-0.94075480397186662</v>
      </c>
      <c r="AD233" s="31">
        <v>1996.91666666744</v>
      </c>
      <c r="AE233" s="2">
        <v>1.2513788195222173</v>
      </c>
      <c r="AF233" s="2">
        <v>-0.68658960551538373</v>
      </c>
      <c r="AG233" s="2">
        <v>9.9492801306023865E-2</v>
      </c>
      <c r="AH233" s="31"/>
      <c r="AI233" s="31">
        <v>1996.91666666744</v>
      </c>
      <c r="AJ233" s="2">
        <v>-0.73764720650279103</v>
      </c>
      <c r="AK233" s="2">
        <v>-4.4052846898962821E-2</v>
      </c>
      <c r="AL233" s="2">
        <v>-0.36688348763021805</v>
      </c>
      <c r="AM233" s="31"/>
      <c r="AN233" s="2">
        <f t="shared" si="35"/>
        <v>-0.16875938490562503</v>
      </c>
      <c r="AO233" s="2">
        <f t="shared" si="28"/>
        <v>-0.50646899378144317</v>
      </c>
      <c r="AP233" s="2">
        <f t="shared" si="29"/>
        <v>-0.40271516343202024</v>
      </c>
      <c r="AQ233" s="31"/>
      <c r="AR233" s="31">
        <v>1996.91666666744</v>
      </c>
      <c r="AS233" s="2">
        <v>-0.77871459472680904</v>
      </c>
      <c r="AT233" s="2">
        <v>-0.68444756444045463</v>
      </c>
      <c r="AU233" s="2">
        <v>-0.93784819818459519</v>
      </c>
      <c r="AV233" s="31"/>
      <c r="AW233" s="31">
        <v>1996.91666666744</v>
      </c>
      <c r="AX233" s="2">
        <v>1.3507465547524715</v>
      </c>
      <c r="AY233" s="2">
        <v>-0.51828077835128905</v>
      </c>
      <c r="AZ233" s="2">
        <v>1.1521066828033024</v>
      </c>
      <c r="BA233" s="31"/>
      <c r="BB233" s="31">
        <v>1996.91666666744</v>
      </c>
      <c r="BC233" s="2">
        <v>-0.41133175286447321</v>
      </c>
      <c r="BD233" s="2">
        <v>0.88737234882057547</v>
      </c>
      <c r="BE233" s="2">
        <v>-7.2400891965487116E-2</v>
      </c>
      <c r="BG233" s="2">
        <f t="shared" si="36"/>
        <v>5.356673572039642E-2</v>
      </c>
      <c r="BH233" s="2">
        <f t="shared" si="30"/>
        <v>-0.10511866465705606</v>
      </c>
      <c r="BI233" s="2">
        <f t="shared" si="31"/>
        <v>4.7285864217740059E-2</v>
      </c>
    </row>
    <row r="234" spans="1:61" x14ac:dyDescent="0.3">
      <c r="A234" s="31">
        <v>1996.83333333411</v>
      </c>
      <c r="B234">
        <v>0.63792802640535784</v>
      </c>
      <c r="C234">
        <v>6.0800000000000409E-2</v>
      </c>
      <c r="D234">
        <v>3.8786024005446021E-2</v>
      </c>
      <c r="F234" s="31">
        <v>1996.83333333411</v>
      </c>
      <c r="G234" s="2">
        <v>0.63821584816932875</v>
      </c>
      <c r="H234" s="2">
        <v>6.1499999999999846E-2</v>
      </c>
      <c r="I234" s="2">
        <v>3.9250274662413626E-2</v>
      </c>
      <c r="K234" s="31">
        <v>1996.83333333411</v>
      </c>
      <c r="L234" s="2">
        <v>0.70348087716095919</v>
      </c>
      <c r="M234" s="2">
        <v>6.1530000000000001E-2</v>
      </c>
      <c r="N234" s="2">
        <v>4.328517837171382E-2</v>
      </c>
      <c r="P234" s="31">
        <v>1996.83333333411</v>
      </c>
      <c r="Q234" s="2">
        <v>0.80206389192452932</v>
      </c>
      <c r="R234" s="2">
        <v>4.7900000000000303E-2</v>
      </c>
      <c r="S234" s="2">
        <v>2.9518051728394175E-2</v>
      </c>
      <c r="U234" s="2">
        <f t="shared" si="32"/>
        <v>0.71458687241827246</v>
      </c>
      <c r="V234" s="2">
        <f t="shared" si="33"/>
        <v>5.697666666666671E-2</v>
      </c>
      <c r="W234" s="2">
        <f t="shared" si="34"/>
        <v>3.7351168254173873E-2</v>
      </c>
      <c r="Y234" s="31">
        <v>1996.83333333411</v>
      </c>
      <c r="Z234" s="2">
        <v>-0.55348548181071555</v>
      </c>
      <c r="AA234" s="2">
        <v>-0.78876452892998183</v>
      </c>
      <c r="AB234" s="2">
        <v>-0.82687097137374321</v>
      </c>
      <c r="AD234" s="31">
        <v>1996.83333333411</v>
      </c>
      <c r="AE234" s="2">
        <v>-0.62947927706255324</v>
      </c>
      <c r="AF234" s="2">
        <v>-0.68585487699629111</v>
      </c>
      <c r="AG234" s="2">
        <v>-0.63884352555541302</v>
      </c>
      <c r="AH234" s="31"/>
      <c r="AI234" s="31">
        <v>1996.83333333411</v>
      </c>
      <c r="AJ234" s="2">
        <v>-0.3345222239394875</v>
      </c>
      <c r="AK234" s="2">
        <v>-1.186702766808877</v>
      </c>
      <c r="AL234" s="2">
        <v>-1.2431253741640249</v>
      </c>
      <c r="AM234" s="31"/>
      <c r="AN234" s="2">
        <f t="shared" si="35"/>
        <v>-0.50582899427091876</v>
      </c>
      <c r="AO234" s="2">
        <f t="shared" si="28"/>
        <v>-0.88710739091171664</v>
      </c>
      <c r="AP234" s="2">
        <f t="shared" si="29"/>
        <v>-0.90294662369772694</v>
      </c>
      <c r="AQ234" s="31"/>
      <c r="AR234" s="31">
        <v>1996.83333333411</v>
      </c>
      <c r="AS234" s="2">
        <v>-0.25035526645804174</v>
      </c>
      <c r="AT234" s="2">
        <v>-0.28549293171718004</v>
      </c>
      <c r="AU234" s="2">
        <v>-0.44817035522738186</v>
      </c>
      <c r="AV234" s="31"/>
      <c r="AW234" s="31">
        <v>1996.83333333411</v>
      </c>
      <c r="AX234" s="2">
        <v>-0.26830455171224921</v>
      </c>
      <c r="AY234" s="2">
        <v>-0.19067841091384152</v>
      </c>
      <c r="AZ234" s="2">
        <v>-0.30043021456061697</v>
      </c>
      <c r="BA234" s="31"/>
      <c r="BB234" s="31">
        <v>1996.83333333411</v>
      </c>
      <c r="BC234" s="2">
        <v>-0.14324699524128581</v>
      </c>
      <c r="BD234" s="2">
        <v>-0.86039420085980967</v>
      </c>
      <c r="BE234" s="2">
        <v>-0.64712323900732949</v>
      </c>
      <c r="BG234" s="2">
        <f t="shared" si="36"/>
        <v>-0.22063560447052558</v>
      </c>
      <c r="BH234" s="2">
        <f t="shared" si="30"/>
        <v>-0.4455218478302771</v>
      </c>
      <c r="BI234" s="2">
        <f t="shared" si="31"/>
        <v>-0.46524126959844275</v>
      </c>
    </row>
    <row r="235" spans="1:61" x14ac:dyDescent="0.3">
      <c r="A235" s="31">
        <v>1996.7500000007799</v>
      </c>
      <c r="B235">
        <v>0.69242520713381794</v>
      </c>
      <c r="C235">
        <v>6.0800000000000409E-2</v>
      </c>
      <c r="D235">
        <v>4.2099452593736417E-2</v>
      </c>
      <c r="F235" s="31">
        <v>1996.7500000007799</v>
      </c>
      <c r="G235" s="2">
        <v>0.66364171007413608</v>
      </c>
      <c r="H235" s="2">
        <v>6.1499999999999846E-2</v>
      </c>
      <c r="I235" s="2">
        <v>4.0813965169559277E-2</v>
      </c>
      <c r="K235" s="31">
        <v>1996.7500000007799</v>
      </c>
      <c r="L235" s="2">
        <v>0.87485383918292725</v>
      </c>
      <c r="M235" s="2">
        <v>6.1514999999999952E-2</v>
      </c>
      <c r="N235" s="2">
        <v>5.3813151029808222E-2</v>
      </c>
      <c r="P235" s="31">
        <v>1996.7500000007799</v>
      </c>
      <c r="Q235" s="2">
        <v>0.83098899659559566</v>
      </c>
      <c r="R235" s="2">
        <v>7.1900000000000297E-2</v>
      </c>
      <c r="S235" s="2">
        <v>4.6836639565038848E-2</v>
      </c>
      <c r="U235" s="2">
        <f t="shared" si="32"/>
        <v>0.78982818195088633</v>
      </c>
      <c r="V235" s="2">
        <f t="shared" si="33"/>
        <v>6.4971666666666705E-2</v>
      </c>
      <c r="W235" s="2">
        <f t="shared" si="34"/>
        <v>4.7154585254802116E-2</v>
      </c>
      <c r="Y235" s="31">
        <v>1996.7500000007799</v>
      </c>
      <c r="Z235" s="2">
        <v>-0.40606439721701276</v>
      </c>
      <c r="AA235" s="2">
        <v>-0.78876452892998183</v>
      </c>
      <c r="AB235" s="2">
        <v>-0.79088382423949743</v>
      </c>
      <c r="AD235" s="31">
        <v>1996.7500000007799</v>
      </c>
      <c r="AE235" s="2">
        <v>0.39031952152021815</v>
      </c>
      <c r="AF235" s="2">
        <v>-0.68622224125583742</v>
      </c>
      <c r="AG235" s="2">
        <v>-0.2385193610231468</v>
      </c>
      <c r="AH235" s="31"/>
      <c r="AI235" s="31">
        <v>1996.7500000007799</v>
      </c>
      <c r="AJ235" s="2">
        <v>-8.3485919497812477E-2</v>
      </c>
      <c r="AK235" s="2">
        <v>-0.61478205611361436</v>
      </c>
      <c r="AL235" s="2">
        <v>0.15652591193799723</v>
      </c>
      <c r="AM235" s="31"/>
      <c r="AN235" s="2">
        <f t="shared" si="35"/>
        <v>-3.3076931731535697E-2</v>
      </c>
      <c r="AO235" s="2">
        <f t="shared" si="28"/>
        <v>-0.69658960876647791</v>
      </c>
      <c r="AP235" s="2">
        <f t="shared" si="29"/>
        <v>-0.29095909110821566</v>
      </c>
      <c r="AQ235" s="31"/>
      <c r="AR235" s="31">
        <v>1996.7500000007799</v>
      </c>
      <c r="AS235" s="2">
        <v>-0.57244777096415911</v>
      </c>
      <c r="AT235" s="2">
        <v>-0.6766476141944503</v>
      </c>
      <c r="AU235" s="2">
        <v>-0.77357614055378332</v>
      </c>
      <c r="AV235" s="31"/>
      <c r="AW235" s="31">
        <v>1996.7500000007799</v>
      </c>
      <c r="AX235" s="2">
        <v>0.50842627823704789</v>
      </c>
      <c r="AY235" s="2">
        <v>-0.6564669997761764</v>
      </c>
      <c r="AZ235" s="2">
        <v>-3.0110160117458241E-2</v>
      </c>
      <c r="BA235" s="31"/>
      <c r="BB235" s="31">
        <v>1996.7500000007799</v>
      </c>
      <c r="BC235" s="2">
        <v>-0.13342861280833856</v>
      </c>
      <c r="BD235" s="2">
        <v>-0.59144451954684485</v>
      </c>
      <c r="BE235" s="2">
        <v>-6.9576301704072155E-2</v>
      </c>
      <c r="BG235" s="2">
        <f t="shared" si="36"/>
        <v>-6.5816701845149927E-2</v>
      </c>
      <c r="BH235" s="2">
        <f t="shared" si="30"/>
        <v>-0.64151971117249051</v>
      </c>
      <c r="BI235" s="2">
        <f t="shared" si="31"/>
        <v>-0.29108753412510457</v>
      </c>
    </row>
    <row r="236" spans="1:61" x14ac:dyDescent="0.3">
      <c r="A236" s="31">
        <v>1996.66666666745</v>
      </c>
      <c r="B236">
        <v>0.72596884348476987</v>
      </c>
      <c r="C236">
        <v>7.6000000000000512E-2</v>
      </c>
      <c r="D236">
        <v>5.5173632104842885E-2</v>
      </c>
      <c r="F236" s="31">
        <v>1996.66666666745</v>
      </c>
      <c r="G236" s="2">
        <v>0.61959968103802043</v>
      </c>
      <c r="H236" s="2">
        <v>6.1499999999999798E-2</v>
      </c>
      <c r="I236" s="2">
        <v>3.8105380383838129E-2</v>
      </c>
      <c r="K236" s="31">
        <v>1996.66666666745</v>
      </c>
      <c r="L236" s="2"/>
      <c r="M236" s="2"/>
      <c r="N236" s="2"/>
      <c r="P236" s="31">
        <v>1996.66666666745</v>
      </c>
      <c r="Q236" s="2">
        <v>0.80716372835885553</v>
      </c>
      <c r="R236" s="2">
        <v>9.5850000000000463E-2</v>
      </c>
      <c r="S236" s="2">
        <v>5.2828142600105266E-2</v>
      </c>
      <c r="U236" s="2">
        <f t="shared" si="32"/>
        <v>0.71338170469843798</v>
      </c>
      <c r="V236" s="2">
        <f t="shared" si="33"/>
        <v>7.8675000000000134E-2</v>
      </c>
      <c r="W236" s="2">
        <f t="shared" si="34"/>
        <v>4.5466761491971694E-2</v>
      </c>
      <c r="Y236" s="31">
        <v>1996.66666666745</v>
      </c>
      <c r="Z236" s="2">
        <v>-0.66142343725741848</v>
      </c>
      <c r="AA236" s="2">
        <v>-0.78876452892998272</v>
      </c>
      <c r="AB236" s="2">
        <v>-0.85321984198974588</v>
      </c>
      <c r="AD236" s="31">
        <v>1996.66666666745</v>
      </c>
      <c r="AE236" s="2"/>
      <c r="AF236" s="2"/>
      <c r="AG236" s="2"/>
      <c r="AH236" s="31"/>
      <c r="AI236" s="31">
        <v>1996.66666666745</v>
      </c>
      <c r="AJ236" s="2">
        <v>0.42000963725186513</v>
      </c>
      <c r="AK236" s="2">
        <v>-4.4052846898962821E-2</v>
      </c>
      <c r="AL236" s="2">
        <v>0.64074639271939093</v>
      </c>
      <c r="AM236" s="31"/>
      <c r="AN236" s="2">
        <f t="shared" si="35"/>
        <v>-0.12070690000277667</v>
      </c>
      <c r="AO236" s="2">
        <f t="shared" si="28"/>
        <v>-0.41640868791447277</v>
      </c>
      <c r="AP236" s="2">
        <f t="shared" si="29"/>
        <v>-0.10623672463517747</v>
      </c>
      <c r="AQ236" s="31"/>
      <c r="AR236" s="31">
        <v>1996.66666666745</v>
      </c>
      <c r="AS236" s="2">
        <v>-0.50325150353875359</v>
      </c>
      <c r="AT236" s="2">
        <v>-0.32631334910520099</v>
      </c>
      <c r="AU236" s="2">
        <v>-0.66519996305164042</v>
      </c>
      <c r="AV236" s="31"/>
      <c r="AW236" s="31">
        <v>1996.66666666745</v>
      </c>
      <c r="AX236" s="2"/>
      <c r="AY236" s="2"/>
      <c r="AZ236" s="2"/>
      <c r="BA236" s="31"/>
      <c r="BB236" s="31">
        <v>1996.66666666745</v>
      </c>
      <c r="BC236" s="2">
        <v>0.10502006382870441</v>
      </c>
      <c r="BD236" s="2">
        <v>1.0283839161259722</v>
      </c>
      <c r="BE236" s="2">
        <v>0.71122027115250508</v>
      </c>
      <c r="BG236" s="2">
        <f t="shared" si="36"/>
        <v>-0.19911571985502458</v>
      </c>
      <c r="BH236" s="2">
        <f t="shared" si="30"/>
        <v>0.3510352835103856</v>
      </c>
      <c r="BI236" s="2">
        <f t="shared" si="31"/>
        <v>2.301015405043233E-2</v>
      </c>
    </row>
    <row r="237" spans="1:61" x14ac:dyDescent="0.3">
      <c r="A237" s="31">
        <v>1996.58333333412</v>
      </c>
      <c r="B237">
        <v>0.75917923668725584</v>
      </c>
      <c r="C237">
        <v>6.0800000000000409E-2</v>
      </c>
      <c r="D237">
        <v>4.6158097590585465E-2</v>
      </c>
      <c r="F237" s="31">
        <v>1996.58333333412</v>
      </c>
      <c r="G237" s="2">
        <v>0.71100806877740008</v>
      </c>
      <c r="H237" s="2">
        <v>6.1499999999999846E-2</v>
      </c>
      <c r="I237" s="2">
        <v>4.3726996229810008E-2</v>
      </c>
      <c r="K237" s="31">
        <v>1996.58333333412</v>
      </c>
      <c r="L237" s="2">
        <v>0.92529389346612689</v>
      </c>
      <c r="M237" s="2">
        <v>6.1514999999999952E-2</v>
      </c>
      <c r="N237" s="2">
        <v>5.6915302491851907E-2</v>
      </c>
      <c r="P237" s="31">
        <v>1996.58333333412</v>
      </c>
      <c r="Q237" s="2">
        <v>0.75345318371235415</v>
      </c>
      <c r="R237" s="2">
        <v>7.1900000000000297E-2</v>
      </c>
      <c r="S237" s="2">
        <v>5.8175821954943224E-2</v>
      </c>
      <c r="U237" s="2">
        <f t="shared" si="32"/>
        <v>0.79658504865196045</v>
      </c>
      <c r="V237" s="2">
        <f t="shared" si="33"/>
        <v>6.4971666666666705E-2</v>
      </c>
      <c r="W237" s="2">
        <f t="shared" si="34"/>
        <v>5.293937355886838E-2</v>
      </c>
      <c r="Y237" s="31">
        <v>1996.58333333412</v>
      </c>
      <c r="Z237" s="2">
        <v>-0.13143064047623154</v>
      </c>
      <c r="AA237" s="2">
        <v>-0.78876452892998183</v>
      </c>
      <c r="AB237" s="2">
        <v>-0.72384263105400592</v>
      </c>
      <c r="AD237" s="31">
        <v>1996.58333333412</v>
      </c>
      <c r="AE237" s="2">
        <v>0.69047601150294313</v>
      </c>
      <c r="AF237" s="2">
        <v>-0.68622224125583742</v>
      </c>
      <c r="AG237" s="2">
        <v>-0.12056063975496593</v>
      </c>
      <c r="AH237" s="31"/>
      <c r="AI237" s="31">
        <v>1996.58333333412</v>
      </c>
      <c r="AJ237" s="2">
        <v>0.85169468963806172</v>
      </c>
      <c r="AK237" s="2">
        <v>-0.61478205611361436</v>
      </c>
      <c r="AL237" s="2">
        <v>1.0729344185134335</v>
      </c>
      <c r="AM237" s="31"/>
      <c r="AN237" s="2">
        <f t="shared" si="35"/>
        <v>0.47024668688825777</v>
      </c>
      <c r="AO237" s="2">
        <f t="shared" si="28"/>
        <v>-0.69658960876647791</v>
      </c>
      <c r="AP237" s="2">
        <f t="shared" si="29"/>
        <v>7.6177049234820562E-2</v>
      </c>
      <c r="AQ237" s="31"/>
      <c r="AR237" s="31">
        <v>1996.58333333412</v>
      </c>
      <c r="AS237" s="2">
        <v>-0.62619041418542609</v>
      </c>
      <c r="AT237" s="2">
        <v>-0.65870957567408583</v>
      </c>
      <c r="AU237" s="2">
        <v>-0.76298329872548865</v>
      </c>
      <c r="AV237" s="31"/>
      <c r="AW237" s="31">
        <v>1996.58333333412</v>
      </c>
      <c r="AX237" s="2">
        <v>0.53052483410730733</v>
      </c>
      <c r="AY237" s="2">
        <v>-0.53553372549108424</v>
      </c>
      <c r="AZ237" s="2">
        <v>0.27961492220349643</v>
      </c>
      <c r="BA237" s="31"/>
      <c r="BB237" s="31">
        <v>1996.58333333412</v>
      </c>
      <c r="BC237" s="2">
        <v>0.23981390666653229</v>
      </c>
      <c r="BD237" s="2">
        <v>-0.51613739712758211</v>
      </c>
      <c r="BE237" s="2">
        <v>0.30927594192031005</v>
      </c>
      <c r="BG237" s="2">
        <f t="shared" si="36"/>
        <v>4.8049442196137826E-2</v>
      </c>
      <c r="BH237" s="2">
        <f t="shared" si="30"/>
        <v>-0.57012689943091743</v>
      </c>
      <c r="BI237" s="2">
        <f t="shared" si="31"/>
        <v>-5.8030811533894076E-2</v>
      </c>
    </row>
    <row r="238" spans="1:61" x14ac:dyDescent="0.3">
      <c r="A238" s="31">
        <v>1996.5000000007899</v>
      </c>
      <c r="B238">
        <v>0.81533398597146656</v>
      </c>
      <c r="C238">
        <v>6.0800000000000409E-2</v>
      </c>
      <c r="D238">
        <v>4.9572306347065498E-2</v>
      </c>
      <c r="F238" s="31">
        <v>1996.5000000007899</v>
      </c>
      <c r="G238" s="2">
        <v>0.68433721036968842</v>
      </c>
      <c r="H238" s="2">
        <v>6.1499999999999798E-2</v>
      </c>
      <c r="I238" s="2">
        <v>4.20867384377357E-2</v>
      </c>
      <c r="K238" s="31">
        <v>1996.5000000007899</v>
      </c>
      <c r="L238" s="2"/>
      <c r="M238" s="2"/>
      <c r="N238" s="2"/>
      <c r="P238" s="31">
        <v>1996.5000000007899</v>
      </c>
      <c r="Q238" s="2">
        <v>0.69865364345783443</v>
      </c>
      <c r="R238" s="2">
        <v>4.7900000000000303E-2</v>
      </c>
      <c r="S238" s="2">
        <v>3.7406895753485755E-2</v>
      </c>
      <c r="U238" s="2">
        <f t="shared" si="32"/>
        <v>0.69149542691376142</v>
      </c>
      <c r="V238" s="2">
        <f t="shared" si="33"/>
        <v>5.4700000000000054E-2</v>
      </c>
      <c r="W238" s="2">
        <f t="shared" si="34"/>
        <v>3.9746817095610731E-2</v>
      </c>
      <c r="Y238" s="31">
        <v>1996.5000000007899</v>
      </c>
      <c r="Z238" s="2">
        <v>-0.28607030965364205</v>
      </c>
      <c r="AA238" s="2">
        <v>-0.78876452892998272</v>
      </c>
      <c r="AB238" s="2">
        <v>-0.76159191598713549</v>
      </c>
      <c r="AD238" s="31">
        <v>1996.5000000007899</v>
      </c>
      <c r="AE238" s="2"/>
      <c r="AF238" s="2"/>
      <c r="AG238" s="2"/>
      <c r="AH238" s="31"/>
      <c r="AI238" s="31">
        <v>1996.5000000007899</v>
      </c>
      <c r="AJ238" s="2">
        <v>0.73933638682677227</v>
      </c>
      <c r="AK238" s="2">
        <v>-1.186702766808877</v>
      </c>
      <c r="AL238" s="2">
        <v>-0.60556584623216192</v>
      </c>
      <c r="AM238" s="31"/>
      <c r="AN238" s="2">
        <f t="shared" si="35"/>
        <v>0.22663303858656511</v>
      </c>
      <c r="AO238" s="2">
        <f t="shared" si="28"/>
        <v>-0.98773364786942985</v>
      </c>
      <c r="AP238" s="2">
        <f t="shared" si="29"/>
        <v>-0.68357888110964871</v>
      </c>
      <c r="AQ238" s="31"/>
      <c r="AR238" s="31">
        <v>1996.5000000007899</v>
      </c>
      <c r="AS238" s="2">
        <v>-0.36074333525174379</v>
      </c>
      <c r="AT238" s="2">
        <v>-2.3130098149133811E-2</v>
      </c>
      <c r="AU238" s="2">
        <v>-0.37502305870580793</v>
      </c>
      <c r="AV238" s="31"/>
      <c r="AW238" s="31">
        <v>1996.5000000007899</v>
      </c>
      <c r="AX238" s="2"/>
      <c r="AY238" s="2"/>
      <c r="AZ238" s="2"/>
      <c r="BA238" s="31"/>
      <c r="BB238" s="31">
        <v>1996.5000000007899</v>
      </c>
      <c r="BC238" s="2">
        <v>-5.6690286857689814E-2</v>
      </c>
      <c r="BD238" s="2">
        <v>-0.38248368897839508</v>
      </c>
      <c r="BE238" s="2">
        <v>-0.27527118676343626</v>
      </c>
      <c r="BG238" s="2">
        <f t="shared" si="36"/>
        <v>-0.20871681105471679</v>
      </c>
      <c r="BH238" s="2">
        <f t="shared" si="30"/>
        <v>-0.20280689356376444</v>
      </c>
      <c r="BI238" s="2">
        <f t="shared" si="31"/>
        <v>-0.3251471227346221</v>
      </c>
    </row>
    <row r="239" spans="1:61" x14ac:dyDescent="0.3">
      <c r="A239" s="31">
        <v>1996.41666666746</v>
      </c>
      <c r="B239">
        <v>0.7614320300422428</v>
      </c>
      <c r="C239">
        <v>0.24320000000000164</v>
      </c>
      <c r="D239">
        <v>0.18518026970627469</v>
      </c>
      <c r="F239" s="31">
        <v>1996.41666666746</v>
      </c>
      <c r="G239" s="2">
        <v>0.72075755259038399</v>
      </c>
      <c r="H239" s="2">
        <v>0.21524999999999955</v>
      </c>
      <c r="I239" s="2">
        <v>0.16044800651859756</v>
      </c>
      <c r="K239" s="31">
        <v>1996.41666666746</v>
      </c>
      <c r="L239" s="2">
        <v>1.0116012335197861</v>
      </c>
      <c r="M239" s="2">
        <v>0.15377999999999986</v>
      </c>
      <c r="N239" s="2">
        <v>8.5575299893989099E-2</v>
      </c>
      <c r="P239" s="31">
        <v>1996.41666666746</v>
      </c>
      <c r="Q239" s="2">
        <v>0.64910651450835843</v>
      </c>
      <c r="R239" s="2">
        <v>0.19170000000000093</v>
      </c>
      <c r="S239" s="2">
        <v>5.9900435245978961E-2</v>
      </c>
      <c r="U239" s="2">
        <f t="shared" si="32"/>
        <v>0.79382176687284289</v>
      </c>
      <c r="V239" s="2">
        <f t="shared" si="33"/>
        <v>0.18691000000000013</v>
      </c>
      <c r="W239" s="2">
        <f t="shared" si="34"/>
        <v>0.1019745805528552</v>
      </c>
      <c r="Y239" s="31">
        <v>1996.41666666746</v>
      </c>
      <c r="Z239" s="2">
        <v>-7.4902390487306431E-2</v>
      </c>
      <c r="AA239" s="2">
        <v>2.2135512753475552</v>
      </c>
      <c r="AB239" s="2">
        <v>1.96240260208224</v>
      </c>
      <c r="AD239" s="31">
        <v>1996.41666666746</v>
      </c>
      <c r="AE239" s="2">
        <v>1.2040699918900812</v>
      </c>
      <c r="AF239" s="2">
        <v>1.5734353192061419</v>
      </c>
      <c r="AG239" s="2">
        <v>0.96923032837471357</v>
      </c>
      <c r="AH239" s="31"/>
      <c r="AI239" s="31">
        <v>1996.41666666746</v>
      </c>
      <c r="AJ239" s="2">
        <v>0.98801559673294548</v>
      </c>
      <c r="AK239" s="2">
        <v>2.2400554914402537</v>
      </c>
      <c r="AL239" s="2">
        <v>1.2123139818817177</v>
      </c>
      <c r="AM239" s="31"/>
      <c r="AN239" s="2">
        <f t="shared" si="35"/>
        <v>0.70572773271190681</v>
      </c>
      <c r="AO239" s="2">
        <f t="shared" si="28"/>
        <v>2.0090140286646503</v>
      </c>
      <c r="AP239" s="2">
        <f t="shared" si="29"/>
        <v>1.3813156374462239</v>
      </c>
      <c r="AQ239" s="31"/>
      <c r="AR239" s="31">
        <v>1996.41666666746</v>
      </c>
      <c r="AS239" s="2">
        <v>-0.66459749535582857</v>
      </c>
      <c r="AT239" s="2">
        <v>0.97383890014292263</v>
      </c>
      <c r="AU239" s="2">
        <v>0.32115358160346152</v>
      </c>
      <c r="AV239" s="31"/>
      <c r="AW239" s="31">
        <v>1996.41666666746</v>
      </c>
      <c r="AX239" s="2">
        <v>0.78728331104967875</v>
      </c>
      <c r="AY239" s="2">
        <v>0.24826500666177614</v>
      </c>
      <c r="AZ239" s="2">
        <v>-6.0378723980578378E-2</v>
      </c>
      <c r="BA239" s="31"/>
      <c r="BB239" s="31">
        <v>1996.41666666746</v>
      </c>
      <c r="BC239" s="2">
        <v>0.28643030357186039</v>
      </c>
      <c r="BD239" s="2">
        <v>0.7751653150294695</v>
      </c>
      <c r="BE239" s="2">
        <v>0.3537882402567708</v>
      </c>
      <c r="BG239" s="2">
        <f t="shared" si="36"/>
        <v>0.13637203975523685</v>
      </c>
      <c r="BH239" s="2">
        <f t="shared" si="30"/>
        <v>0.66575640727805607</v>
      </c>
      <c r="BI239" s="2">
        <f t="shared" si="31"/>
        <v>0.20485436595988463</v>
      </c>
    </row>
    <row r="240" spans="1:61" x14ac:dyDescent="0.3">
      <c r="A240" s="31">
        <v>1996.33333333413</v>
      </c>
      <c r="B240">
        <v>0.67138012269859182</v>
      </c>
      <c r="C240">
        <v>0.25840000000000174</v>
      </c>
      <c r="D240">
        <v>0.17348462370531728</v>
      </c>
      <c r="F240" s="31">
        <v>1996.33333333413</v>
      </c>
      <c r="G240" s="2">
        <v>0.59655914202419025</v>
      </c>
      <c r="H240" s="2">
        <v>0.21524999999999955</v>
      </c>
      <c r="I240" s="2">
        <v>0.13074196780093505</v>
      </c>
      <c r="K240" s="31">
        <v>1996.33333333413</v>
      </c>
      <c r="L240" s="2">
        <v>0.97909579381269385</v>
      </c>
      <c r="M240" s="2">
        <v>0.1230299999999999</v>
      </c>
      <c r="N240" s="2">
        <v>8.8860836443400815E-2</v>
      </c>
      <c r="P240" s="31">
        <v>1996.33333333413</v>
      </c>
      <c r="Q240" s="2">
        <v>0.61259280920684889</v>
      </c>
      <c r="R240" s="2">
        <v>0.16775000000000076</v>
      </c>
      <c r="S240" s="2">
        <v>5.299635246595466E-2</v>
      </c>
      <c r="U240" s="2">
        <f t="shared" si="32"/>
        <v>0.7294159150145777</v>
      </c>
      <c r="V240" s="2">
        <f t="shared" si="33"/>
        <v>0.16867666666666672</v>
      </c>
      <c r="W240" s="2">
        <f t="shared" si="34"/>
        <v>9.0866385570096853E-2</v>
      </c>
      <c r="Y240" s="31">
        <v>1996.33333333413</v>
      </c>
      <c r="Z240" s="2">
        <v>-0.79501423798461635</v>
      </c>
      <c r="AA240" s="2">
        <v>2.2135512753475552</v>
      </c>
      <c r="AB240" s="2">
        <v>1.2787407257563872</v>
      </c>
      <c r="AD240" s="31">
        <v>1996.33333333413</v>
      </c>
      <c r="AE240" s="2">
        <v>1.0106380294055435</v>
      </c>
      <c r="AF240" s="2">
        <v>0.82033858713866403</v>
      </c>
      <c r="AG240" s="2">
        <v>1.094162232825683</v>
      </c>
      <c r="AH240" s="31"/>
      <c r="AI240" s="31">
        <v>1996.33333333413</v>
      </c>
      <c r="AJ240" s="2">
        <v>0.40322935589507708</v>
      </c>
      <c r="AK240" s="2">
        <v>1.6693262822256021</v>
      </c>
      <c r="AL240" s="2">
        <v>0.65434075487477361</v>
      </c>
      <c r="AM240" s="31"/>
      <c r="AN240" s="2">
        <f t="shared" si="35"/>
        <v>0.20628438243866806</v>
      </c>
      <c r="AO240" s="2">
        <f t="shared" si="28"/>
        <v>1.5677387149039406</v>
      </c>
      <c r="AP240" s="2">
        <f t="shared" si="29"/>
        <v>1.009081237818948</v>
      </c>
      <c r="AQ240" s="31"/>
      <c r="AR240" s="31">
        <v>1996.33333333413</v>
      </c>
      <c r="AS240" s="2">
        <v>-1.0382638002123838</v>
      </c>
      <c r="AT240" s="2">
        <v>1.1945072437689372</v>
      </c>
      <c r="AU240" s="2">
        <v>0.37339354952224141</v>
      </c>
      <c r="AV240" s="31"/>
      <c r="AW240" s="31">
        <v>1996.33333333413</v>
      </c>
      <c r="AX240" s="2">
        <v>0.81138818147263947</v>
      </c>
      <c r="AY240" s="2">
        <v>6.3072530914539418E-2</v>
      </c>
      <c r="AZ240" s="2">
        <v>0.42393235421991182</v>
      </c>
      <c r="BA240" s="31"/>
      <c r="BB240" s="31">
        <v>1996.33333333413</v>
      </c>
      <c r="BC240" s="2">
        <v>0.1909264076635675</v>
      </c>
      <c r="BD240" s="2">
        <v>0.93967668087391998</v>
      </c>
      <c r="BE240" s="2">
        <v>0.30721497289382121</v>
      </c>
      <c r="BG240" s="2">
        <f t="shared" si="36"/>
        <v>-1.1983070358725589E-2</v>
      </c>
      <c r="BH240" s="2">
        <f t="shared" si="30"/>
        <v>0.73241881851913215</v>
      </c>
      <c r="BI240" s="2">
        <f t="shared" si="31"/>
        <v>0.36818029221199144</v>
      </c>
    </row>
    <row r="241" spans="1:61" x14ac:dyDescent="0.3">
      <c r="A241" s="31">
        <v>1996.2500000007999</v>
      </c>
      <c r="B241">
        <v>0.54127662047207292</v>
      </c>
      <c r="C241">
        <v>0.25840000000000174</v>
      </c>
      <c r="D241">
        <v>0.13986587872998457</v>
      </c>
      <c r="F241" s="31">
        <v>1996.2500000007999</v>
      </c>
      <c r="G241" s="2">
        <v>0.55513564125738568</v>
      </c>
      <c r="H241" s="2">
        <v>0.18449999999999961</v>
      </c>
      <c r="I241" s="2">
        <v>0.10515315796100477</v>
      </c>
      <c r="K241" s="31">
        <v>1996.2500000007999</v>
      </c>
      <c r="L241" s="2">
        <v>1.0008632331308605</v>
      </c>
      <c r="M241" s="2">
        <v>0.1230299999999999</v>
      </c>
      <c r="N241" s="2">
        <v>9.5972047760001664E-2</v>
      </c>
      <c r="P241" s="31">
        <v>1996.2500000007999</v>
      </c>
      <c r="Q241" s="2">
        <v>0.59108055474275112</v>
      </c>
      <c r="R241" s="2">
        <v>0.19170000000000093</v>
      </c>
      <c r="S241" s="2">
        <v>4.5125635719323619E-2</v>
      </c>
      <c r="U241" s="2">
        <f t="shared" si="32"/>
        <v>0.71569314304366571</v>
      </c>
      <c r="V241" s="2">
        <f t="shared" si="33"/>
        <v>0.16641000000000014</v>
      </c>
      <c r="W241" s="2">
        <f t="shared" si="34"/>
        <v>8.2083613813443354E-2</v>
      </c>
      <c r="Y241" s="31">
        <v>1996.2500000007999</v>
      </c>
      <c r="Z241" s="2">
        <v>-1.0351908516063477</v>
      </c>
      <c r="AA241" s="2">
        <v>1.6130881144920477</v>
      </c>
      <c r="AB241" s="2">
        <v>0.68983373905302015</v>
      </c>
      <c r="AD241" s="31">
        <v>1996.2500000007999</v>
      </c>
      <c r="AE241" s="2">
        <v>1.1401707643421322</v>
      </c>
      <c r="AF241" s="2">
        <v>0.82033858713866403</v>
      </c>
      <c r="AG241" s="2">
        <v>1.3645646950644017</v>
      </c>
      <c r="AH241" s="31"/>
      <c r="AI241" s="31">
        <v>1996.2500000007999</v>
      </c>
      <c r="AJ241" s="2">
        <v>-0.23928367781649576</v>
      </c>
      <c r="AK241" s="2">
        <v>2.2400554914402537</v>
      </c>
      <c r="AL241" s="2">
        <v>1.8246234878323025E-2</v>
      </c>
      <c r="AM241" s="31"/>
      <c r="AN241" s="2">
        <f t="shared" si="35"/>
        <v>-4.4767921693570432E-2</v>
      </c>
      <c r="AO241" s="2">
        <f t="shared" si="28"/>
        <v>1.5578273976903219</v>
      </c>
      <c r="AP241" s="2">
        <f t="shared" si="29"/>
        <v>0.69088155633191495</v>
      </c>
      <c r="AQ241" s="31"/>
      <c r="AR241" s="31">
        <v>1996.2500000007999</v>
      </c>
      <c r="AS241" s="2">
        <v>-1.076068928882016</v>
      </c>
      <c r="AT241" s="2">
        <v>0.61938737125940868</v>
      </c>
      <c r="AU241" s="2">
        <v>-0.14873826454092876</v>
      </c>
      <c r="AV241" s="31"/>
      <c r="AW241" s="31">
        <v>1996.2500000007999</v>
      </c>
      <c r="AX241" s="2">
        <v>1.2145519389364894</v>
      </c>
      <c r="AY241" s="2">
        <v>-0.13053036562694012</v>
      </c>
      <c r="AZ241" s="2">
        <v>0.47434454409071558</v>
      </c>
      <c r="BA241" s="31"/>
      <c r="BB241" s="31">
        <v>1996.2500000007999</v>
      </c>
      <c r="BC241" s="2">
        <v>2.647829132977075E-2</v>
      </c>
      <c r="BD241" s="2">
        <v>1.1204684408565393</v>
      </c>
      <c r="BE241" s="2">
        <v>3.7139499464859151E-2</v>
      </c>
      <c r="BG241" s="2">
        <f t="shared" si="36"/>
        <v>5.4987100461414716E-2</v>
      </c>
      <c r="BH241" s="2">
        <f t="shared" si="30"/>
        <v>0.53644181549633596</v>
      </c>
      <c r="BI241" s="2">
        <f t="shared" si="31"/>
        <v>0.12091525967154866</v>
      </c>
    </row>
    <row r="242" spans="1:61" x14ac:dyDescent="0.3">
      <c r="A242" s="31">
        <v>1996.1666666674701</v>
      </c>
      <c r="B242">
        <v>0.47417966781138832</v>
      </c>
      <c r="C242">
        <v>0.25840000000000174</v>
      </c>
      <c r="D242">
        <v>0.12252802616246357</v>
      </c>
      <c r="F242" s="31">
        <v>1996.1666666674701</v>
      </c>
      <c r="G242" s="2">
        <v>0.51009380469653232</v>
      </c>
      <c r="H242" s="2">
        <v>0.18449999999999964</v>
      </c>
      <c r="I242" s="2">
        <v>9.6839040642659274E-2</v>
      </c>
      <c r="K242" s="31">
        <v>1996.1666666674701</v>
      </c>
      <c r="L242" s="2">
        <v>1.0365102458070898</v>
      </c>
      <c r="M242" s="2">
        <v>9.2264999999999903E-2</v>
      </c>
      <c r="N242" s="2">
        <v>6.3764566318004479E-2</v>
      </c>
      <c r="P242" s="31">
        <v>1996.1666666674701</v>
      </c>
      <c r="Q242" s="2">
        <v>0.6047798900651844</v>
      </c>
      <c r="R242" s="2">
        <v>0.1198000000000006</v>
      </c>
      <c r="S242" s="2">
        <v>4.1876745928138108E-2</v>
      </c>
      <c r="U242" s="2">
        <f t="shared" si="32"/>
        <v>0.71712798018960211</v>
      </c>
      <c r="V242" s="2">
        <f t="shared" si="33"/>
        <v>0.13218833333333338</v>
      </c>
      <c r="W242" s="2">
        <f t="shared" si="34"/>
        <v>6.7493450962933951E-2</v>
      </c>
      <c r="Y242" s="31">
        <v>1996.1666666674701</v>
      </c>
      <c r="Z242" s="2">
        <v>-1.2963468518533969</v>
      </c>
      <c r="AA242" s="2">
        <v>1.6130881144920481</v>
      </c>
      <c r="AB242" s="2">
        <v>0.49849065558515437</v>
      </c>
      <c r="AD242" s="31">
        <v>1996.1666666674701</v>
      </c>
      <c r="AE242" s="2">
        <v>1.3522974631595543</v>
      </c>
      <c r="AF242" s="2">
        <v>6.6874490811640125E-2</v>
      </c>
      <c r="AG242" s="2">
        <v>0.13988131881694199</v>
      </c>
      <c r="AH242" s="31"/>
      <c r="AI242" s="31">
        <v>1996.1666666674701</v>
      </c>
      <c r="AJ242" s="2">
        <v>-0.50855215809013732</v>
      </c>
      <c r="AK242" s="2">
        <v>0.52667636231568804</v>
      </c>
      <c r="AL242" s="2">
        <v>-0.24432210022662126</v>
      </c>
      <c r="AM242" s="31"/>
      <c r="AN242" s="2">
        <f t="shared" si="35"/>
        <v>-0.15086718226132664</v>
      </c>
      <c r="AO242" s="2">
        <f t="shared" si="28"/>
        <v>0.73554632253979213</v>
      </c>
      <c r="AP242" s="2">
        <f t="shared" si="29"/>
        <v>0.1313499580584917</v>
      </c>
      <c r="AQ242" s="31"/>
      <c r="AR242" s="31">
        <v>1996.1666666674701</v>
      </c>
      <c r="AS242" s="2">
        <v>-1.0390727506946629</v>
      </c>
      <c r="AT242" s="2">
        <v>0.80409366606843402</v>
      </c>
      <c r="AU242" s="2">
        <v>-3.4271589332479119E-2</v>
      </c>
      <c r="AV242" s="31"/>
      <c r="AW242" s="31">
        <v>1996.1666666674701</v>
      </c>
      <c r="AX242" s="2">
        <v>1.5050064738749649</v>
      </c>
      <c r="AY242" s="2">
        <v>-0.48231704140909132</v>
      </c>
      <c r="AZ242" s="2">
        <v>-5.525436219959852E-2</v>
      </c>
      <c r="BA242" s="31"/>
      <c r="BB242" s="31">
        <v>1996.1666666674701</v>
      </c>
      <c r="BC242" s="2">
        <v>7.5802339599941898E-2</v>
      </c>
      <c r="BD242" s="2">
        <v>0.3086063174042078</v>
      </c>
      <c r="BE242" s="2">
        <v>0.21782438713396576</v>
      </c>
      <c r="BG242" s="2">
        <f t="shared" si="36"/>
        <v>0.18057868759341464</v>
      </c>
      <c r="BH242" s="2">
        <f t="shared" si="30"/>
        <v>0.21012764735451683</v>
      </c>
      <c r="BI242" s="2">
        <f t="shared" si="31"/>
        <v>4.2766145200629373E-2</v>
      </c>
    </row>
    <row r="243" spans="1:61" x14ac:dyDescent="0.3">
      <c r="A243" s="31">
        <v>1996.08333333414</v>
      </c>
      <c r="B243">
        <v>0.41942561700440573</v>
      </c>
      <c r="C243">
        <v>4.5600000000000307E-2</v>
      </c>
      <c r="D243">
        <v>1.9125808135401028E-2</v>
      </c>
      <c r="F243" s="31">
        <v>1996.08333333414</v>
      </c>
      <c r="G243" s="2">
        <v>0.48916632095136525</v>
      </c>
      <c r="H243" s="2">
        <v>9.2249999999999749E-2</v>
      </c>
      <c r="I243" s="2">
        <v>4.465915678611989E-2</v>
      </c>
      <c r="K243" s="31">
        <v>1996.08333333414</v>
      </c>
      <c r="L243" s="2">
        <v>1.0280541985192673</v>
      </c>
      <c r="M243" s="2">
        <v>6.1514999999999952E-2</v>
      </c>
      <c r="N243" s="2">
        <v>6.324470877548051E-2</v>
      </c>
      <c r="P243" s="31">
        <v>1996.08333333414</v>
      </c>
      <c r="Q243" s="2">
        <v>0.58589060991613917</v>
      </c>
      <c r="R243" s="2">
        <v>9.5850000000000463E-2</v>
      </c>
      <c r="S243" s="2">
        <v>4.1515873515999668E-2</v>
      </c>
      <c r="U243" s="2">
        <f t="shared" si="32"/>
        <v>0.7010370431289239</v>
      </c>
      <c r="V243" s="2">
        <f t="shared" si="33"/>
        <v>8.3205000000000057E-2</v>
      </c>
      <c r="W243" s="2">
        <f t="shared" si="34"/>
        <v>4.9806579692533354E-2</v>
      </c>
      <c r="Y243" s="31">
        <v>1996.08333333414</v>
      </c>
      <c r="Z243" s="2">
        <v>-1.4176859971331208</v>
      </c>
      <c r="AA243" s="2">
        <v>-0.1883013680744752</v>
      </c>
      <c r="AB243" s="2">
        <v>-0.70238966517657131</v>
      </c>
      <c r="AD243" s="31">
        <v>1996.08333333414</v>
      </c>
      <c r="AE243" s="2">
        <v>1.3019775832722293</v>
      </c>
      <c r="AF243" s="2">
        <v>-0.68622224125583742</v>
      </c>
      <c r="AG243" s="2">
        <v>0.12011383431205977</v>
      </c>
      <c r="AH243" s="31"/>
      <c r="AI243" s="31">
        <v>1996.08333333414</v>
      </c>
      <c r="AJ243" s="2">
        <v>-0.54298653823870768</v>
      </c>
      <c r="AK243" s="2">
        <v>-4.4052846898962821E-2</v>
      </c>
      <c r="AL243" s="2">
        <v>-0.27348703795321616</v>
      </c>
      <c r="AM243" s="31"/>
      <c r="AN243" s="2">
        <f t="shared" si="35"/>
        <v>-0.21956498403319971</v>
      </c>
      <c r="AO243" s="2">
        <f t="shared" si="28"/>
        <v>-0.30619215207642514</v>
      </c>
      <c r="AP243" s="2">
        <f t="shared" si="29"/>
        <v>-0.28525428960590921</v>
      </c>
      <c r="AQ243" s="31"/>
      <c r="AR243" s="31">
        <v>1996.08333333414</v>
      </c>
      <c r="AS243" s="2">
        <v>-1.206883202733164</v>
      </c>
      <c r="AT243" s="2">
        <v>0.50956041230593607</v>
      </c>
      <c r="AU243" s="2">
        <v>-0.42595390716667386</v>
      </c>
      <c r="AV243" s="31"/>
      <c r="AW243" s="31">
        <v>1996.08333333414</v>
      </c>
      <c r="AX243" s="2">
        <v>1.7165977451983818</v>
      </c>
      <c r="AY243" s="2">
        <v>-0.87038484719517628</v>
      </c>
      <c r="AZ243" s="2">
        <v>0.73213365737726932</v>
      </c>
      <c r="BA243" s="31"/>
      <c r="BB243" s="31">
        <v>1996.08333333414</v>
      </c>
      <c r="BC243" s="2">
        <v>0.15225890831142505</v>
      </c>
      <c r="BD243" s="2">
        <v>-1.4615836317459097E-2</v>
      </c>
      <c r="BE243" s="2">
        <v>0.11201054295234757</v>
      </c>
      <c r="BG243" s="2">
        <f t="shared" si="36"/>
        <v>0.22065781692554762</v>
      </c>
      <c r="BH243" s="2">
        <f t="shared" si="30"/>
        <v>-0.12514675706889977</v>
      </c>
      <c r="BI243" s="2">
        <f t="shared" si="31"/>
        <v>0.13939676438764767</v>
      </c>
    </row>
    <row r="244" spans="1:61" x14ac:dyDescent="0.3">
      <c r="A244" s="31">
        <v>1996.0000000008099</v>
      </c>
      <c r="B244">
        <v>0.43758672819596278</v>
      </c>
      <c r="C244">
        <v>3.0400000000000205E-2</v>
      </c>
      <c r="D244">
        <v>1.3302636537157358E-2</v>
      </c>
      <c r="F244" s="31">
        <v>1996.0000000008099</v>
      </c>
      <c r="G244" s="2">
        <v>0.52225154992089196</v>
      </c>
      <c r="H244" s="2">
        <v>9.2249999999999749E-2</v>
      </c>
      <c r="I244" s="2">
        <v>4.8234844714423068E-2</v>
      </c>
      <c r="K244" s="31">
        <v>1996.0000000008099</v>
      </c>
      <c r="L244" s="2">
        <v>0.79457429540386826</v>
      </c>
      <c r="M244" s="2">
        <v>6.1499999999999902E-2</v>
      </c>
      <c r="N244" s="2">
        <v>4.8866319167337822E-2</v>
      </c>
      <c r="P244" s="31">
        <v>1996.0000000008099</v>
      </c>
      <c r="Q244" s="2">
        <v>0.60552261045270073</v>
      </c>
      <c r="R244" s="2">
        <v>7.1900000000000297E-2</v>
      </c>
      <c r="S244" s="2">
        <v>4.1781872724886107E-2</v>
      </c>
      <c r="U244" s="2">
        <f t="shared" si="32"/>
        <v>0.64078281859248698</v>
      </c>
      <c r="V244" s="2">
        <f t="shared" si="33"/>
        <v>7.521666666666664E-2</v>
      </c>
      <c r="W244" s="2">
        <f t="shared" si="34"/>
        <v>4.6294345535549002E-2</v>
      </c>
      <c r="Y244" s="31">
        <v>1996.0000000008099</v>
      </c>
      <c r="Z244" s="2">
        <v>-1.2258553187089438</v>
      </c>
      <c r="AA244" s="2">
        <v>-0.1883013680744752</v>
      </c>
      <c r="AB244" s="2">
        <v>-0.62009792842050315</v>
      </c>
      <c r="AD244" s="31">
        <v>1996.0000000008099</v>
      </c>
      <c r="AE244" s="2">
        <v>-8.7404509918082421E-2</v>
      </c>
      <c r="AF244" s="2">
        <v>-0.68658960551538373</v>
      </c>
      <c r="AG244" s="2">
        <v>-0.4266217048207897</v>
      </c>
      <c r="AH244" s="31"/>
      <c r="AI244" s="31">
        <v>1996.0000000008099</v>
      </c>
      <c r="AJ244" s="2">
        <v>-0.51584508151919328</v>
      </c>
      <c r="AK244" s="2">
        <v>-0.61478205611361436</v>
      </c>
      <c r="AL244" s="2">
        <v>-0.25198954991713879</v>
      </c>
      <c r="AM244" s="31"/>
      <c r="AN244" s="2">
        <f t="shared" si="35"/>
        <v>-0.60970163671540656</v>
      </c>
      <c r="AO244" s="2">
        <f t="shared" si="28"/>
        <v>-0.4965576765678244</v>
      </c>
      <c r="AP244" s="2">
        <f t="shared" si="29"/>
        <v>-0.43290306105281057</v>
      </c>
      <c r="AQ244" s="31"/>
      <c r="AR244" s="31">
        <v>1996.0000000008099</v>
      </c>
      <c r="AS244" s="2">
        <v>-0.60402330408357174</v>
      </c>
      <c r="AT244" s="2">
        <v>1.102275455956677</v>
      </c>
      <c r="AU244" s="2">
        <v>0.25560490750074272</v>
      </c>
      <c r="AV244" s="31"/>
      <c r="AW244" s="31">
        <v>1996.0000000008099</v>
      </c>
      <c r="AX244" s="2">
        <v>0.17278324559648228</v>
      </c>
      <c r="AY244" s="2">
        <v>-0.22064426073162682</v>
      </c>
      <c r="AZ244" s="2">
        <v>9.8537070671017246E-2</v>
      </c>
      <c r="BA244" s="31"/>
      <c r="BB244" s="31">
        <v>1996.0000000008099</v>
      </c>
      <c r="BC244" s="2">
        <v>3.8425337608920439E-2</v>
      </c>
      <c r="BD244" s="2">
        <v>-9.3919208556921333E-2</v>
      </c>
      <c r="BE244" s="2">
        <v>0.37008296845248595</v>
      </c>
      <c r="BG244" s="2">
        <f t="shared" si="36"/>
        <v>-0.13093824029272302</v>
      </c>
      <c r="BH244" s="2">
        <f t="shared" si="30"/>
        <v>0.26257066222270958</v>
      </c>
      <c r="BI244" s="2">
        <f t="shared" si="31"/>
        <v>0.24140831554141529</v>
      </c>
    </row>
    <row r="245" spans="1:61" x14ac:dyDescent="0.3">
      <c r="A245" s="31">
        <v>1995.9166666674801</v>
      </c>
      <c r="B245">
        <v>0.4917322824265779</v>
      </c>
      <c r="C245">
        <v>4.5600000000000307E-2</v>
      </c>
      <c r="D245">
        <v>2.2422992078652105E-2</v>
      </c>
      <c r="F245" s="31">
        <v>1995.9166666674801</v>
      </c>
      <c r="G245" s="2">
        <v>0.5782632956493049</v>
      </c>
      <c r="H245" s="2">
        <v>6.1499999999999798E-2</v>
      </c>
      <c r="I245" s="2">
        <v>3.5563192682432132E-2</v>
      </c>
      <c r="K245" s="31">
        <v>1995.9166666674801</v>
      </c>
      <c r="L245" s="2">
        <v>1.0150364410071744</v>
      </c>
      <c r="M245" s="2">
        <v>6.1514999999999952E-2</v>
      </c>
      <c r="N245" s="2">
        <v>6.244280316767508E-2</v>
      </c>
      <c r="P245" s="31">
        <v>1995.9166666674801</v>
      </c>
      <c r="Q245" s="2">
        <v>0.6695314835495112</v>
      </c>
      <c r="R245" s="2">
        <v>9.5850000000000463E-2</v>
      </c>
      <c r="S245" s="2">
        <v>4.2405751352255508E-2</v>
      </c>
      <c r="U245" s="2">
        <f t="shared" si="32"/>
        <v>0.7542770734019969</v>
      </c>
      <c r="V245" s="2">
        <f t="shared" si="33"/>
        <v>7.2955000000000075E-2</v>
      </c>
      <c r="W245" s="2">
        <f t="shared" si="34"/>
        <v>4.6803915734120904E-2</v>
      </c>
      <c r="Y245" s="31">
        <v>1995.9166666674801</v>
      </c>
      <c r="Z245" s="2">
        <v>-0.90109494927941813</v>
      </c>
      <c r="AA245" s="2">
        <v>-0.78876452892998272</v>
      </c>
      <c r="AB245" s="2">
        <v>-0.91172635746406794</v>
      </c>
      <c r="AD245" s="31">
        <v>1995.9166666674801</v>
      </c>
      <c r="AE245" s="2">
        <v>1.2245120757940287</v>
      </c>
      <c r="AF245" s="2">
        <v>-0.68622224125583742</v>
      </c>
      <c r="AG245" s="2">
        <v>8.9621525592808796E-2</v>
      </c>
      <c r="AH245" s="31"/>
      <c r="AI245" s="31">
        <v>1995.9166666674801</v>
      </c>
      <c r="AJ245" s="2">
        <v>-0.4551368357789965</v>
      </c>
      <c r="AK245" s="2">
        <v>-4.4052846898962821E-2</v>
      </c>
      <c r="AL245" s="2">
        <v>-0.20156901151033507</v>
      </c>
      <c r="AM245" s="31"/>
      <c r="AN245" s="2">
        <f t="shared" si="35"/>
        <v>-4.3906569754795309E-2</v>
      </c>
      <c r="AO245" s="2">
        <f t="shared" si="28"/>
        <v>-0.50634653902826099</v>
      </c>
      <c r="AP245" s="2">
        <f t="shared" si="29"/>
        <v>-0.34122461446053137</v>
      </c>
      <c r="AQ245" s="31"/>
      <c r="AR245" s="31">
        <v>1995.9166666674801</v>
      </c>
      <c r="AS245" s="2">
        <v>-0.65096802980296908</v>
      </c>
      <c r="AT245" s="2">
        <v>-0.68444756444045463</v>
      </c>
      <c r="AU245" s="2">
        <v>-0.87331470813599044</v>
      </c>
      <c r="AV245" s="31"/>
      <c r="AW245" s="31">
        <v>1995.9166666674801</v>
      </c>
      <c r="AX245" s="2">
        <v>1.3262134541625579</v>
      </c>
      <c r="AY245" s="2">
        <v>-0.51751295497595129</v>
      </c>
      <c r="AZ245" s="2">
        <v>1.1304252205908694</v>
      </c>
      <c r="BA245" s="31"/>
      <c r="BB245" s="31">
        <v>1995.9166666674801</v>
      </c>
      <c r="BC245" s="2">
        <v>-6.4076622028266653E-2</v>
      </c>
      <c r="BD245" s="2">
        <v>0.88737234882057547</v>
      </c>
      <c r="BE245" s="2">
        <v>0.1239171372604092</v>
      </c>
      <c r="BG245" s="2">
        <f t="shared" si="36"/>
        <v>0.20372293411044071</v>
      </c>
      <c r="BH245" s="2">
        <f t="shared" si="30"/>
        <v>-0.10486272353194348</v>
      </c>
      <c r="BI245" s="2">
        <f t="shared" si="31"/>
        <v>0.12700921657176276</v>
      </c>
    </row>
    <row r="246" spans="1:61" x14ac:dyDescent="0.3">
      <c r="A246" s="31">
        <v>1995.83333333415</v>
      </c>
      <c r="B246">
        <v>0.580855663012107</v>
      </c>
      <c r="C246">
        <v>3.0400000000000205E-2</v>
      </c>
      <c r="D246">
        <v>1.765801215556817E-2</v>
      </c>
      <c r="F246" s="31">
        <v>1995.83333333415</v>
      </c>
      <c r="G246" s="2">
        <v>0.61461794572483841</v>
      </c>
      <c r="H246" s="2">
        <v>9.2249999999999749E-2</v>
      </c>
      <c r="I246" s="2">
        <v>5.7432198176128969E-2</v>
      </c>
      <c r="K246" s="31">
        <v>1995.83333333415</v>
      </c>
      <c r="L246" s="2">
        <v>0.85853658439894731</v>
      </c>
      <c r="M246" s="2">
        <v>6.1499999999999902E-2</v>
      </c>
      <c r="N246" s="2">
        <v>5.2799999940535178E-2</v>
      </c>
      <c r="P246" s="31">
        <v>1995.83333333415</v>
      </c>
      <c r="Q246" s="2">
        <v>0.72940418130454721</v>
      </c>
      <c r="R246" s="2">
        <v>7.1900000000000297E-2</v>
      </c>
      <c r="S246" s="2">
        <v>4.3717980319871536E-2</v>
      </c>
      <c r="U246" s="2">
        <f t="shared" si="32"/>
        <v>0.73418623714277764</v>
      </c>
      <c r="V246" s="2">
        <f t="shared" si="33"/>
        <v>7.521666666666664E-2</v>
      </c>
      <c r="W246" s="2">
        <f t="shared" si="34"/>
        <v>5.1316726145511894E-2</v>
      </c>
      <c r="Y246" s="31">
        <v>1995.83333333415</v>
      </c>
      <c r="Z246" s="2">
        <v>-0.69030791817600579</v>
      </c>
      <c r="AA246" s="2">
        <v>-0.1883013680744752</v>
      </c>
      <c r="AB246" s="2">
        <v>-0.40842783721028364</v>
      </c>
      <c r="AD246" s="31">
        <v>1995.83333333415</v>
      </c>
      <c r="AE246" s="2">
        <v>0.29321950860955481</v>
      </c>
      <c r="AF246" s="2">
        <v>-0.68658960551538373</v>
      </c>
      <c r="AG246" s="2">
        <v>-0.27704423912931769</v>
      </c>
      <c r="AH246" s="31"/>
      <c r="AI246" s="31">
        <v>1995.83333333415</v>
      </c>
      <c r="AJ246" s="2">
        <v>-0.32937685854136689</v>
      </c>
      <c r="AK246" s="2">
        <v>-0.61478205611361436</v>
      </c>
      <c r="AL246" s="2">
        <v>-9.5517468537652403E-2</v>
      </c>
      <c r="AM246" s="31"/>
      <c r="AN246" s="2">
        <f t="shared" si="35"/>
        <v>-0.24215508936927263</v>
      </c>
      <c r="AO246" s="2">
        <f t="shared" si="28"/>
        <v>-0.4965576765678244</v>
      </c>
      <c r="AP246" s="2">
        <f t="shared" si="29"/>
        <v>-0.2603298482924179</v>
      </c>
      <c r="AQ246" s="31"/>
      <c r="AR246" s="31">
        <v>1995.83333333415</v>
      </c>
      <c r="AS246" s="2">
        <v>-0.34393058642782459</v>
      </c>
      <c r="AT246" s="2">
        <v>1.0321667531313441</v>
      </c>
      <c r="AU246" s="2">
        <v>0.53215449622098665</v>
      </c>
      <c r="AV246" s="31"/>
      <c r="AW246" s="31">
        <v>1995.83333333415</v>
      </c>
      <c r="AX246" s="2">
        <v>0.33611736017835186</v>
      </c>
      <c r="AY246" s="2">
        <v>-0.19208961378086201</v>
      </c>
      <c r="AZ246" s="2">
        <v>0.27678670560528451</v>
      </c>
      <c r="BA246" s="31"/>
      <c r="BB246" s="31">
        <v>1995.83333333415</v>
      </c>
      <c r="BC246" s="2">
        <v>-0.13982748101458112</v>
      </c>
      <c r="BD246" s="2">
        <v>-4.0971152421897278E-2</v>
      </c>
      <c r="BE246" s="2">
        <v>0.14392082066807768</v>
      </c>
      <c r="BG246" s="2">
        <f t="shared" si="36"/>
        <v>-4.9213569088017946E-2</v>
      </c>
      <c r="BH246" s="2">
        <f t="shared" si="30"/>
        <v>0.26636866230952827</v>
      </c>
      <c r="BI246" s="2">
        <f t="shared" si="31"/>
        <v>0.31762067416478296</v>
      </c>
    </row>
    <row r="247" spans="1:61" x14ac:dyDescent="0.3">
      <c r="A247" s="31">
        <v>1995.7500000008199</v>
      </c>
      <c r="B247">
        <v>0.68402044538115514</v>
      </c>
      <c r="C247">
        <v>3.0400000000000205E-2</v>
      </c>
      <c r="D247">
        <v>2.0794221539587255E-2</v>
      </c>
      <c r="F247" s="31">
        <v>1995.7500000008199</v>
      </c>
      <c r="G247" s="2">
        <v>0.69943082120544853</v>
      </c>
      <c r="H247" s="2">
        <v>9.2249999999999749E-2</v>
      </c>
      <c r="I247" s="2">
        <v>6.541085227866672E-2</v>
      </c>
      <c r="K247" s="31">
        <v>1995.7500000008199</v>
      </c>
      <c r="L247" s="2">
        <v>1.0125845805746554</v>
      </c>
      <c r="M247" s="2">
        <v>6.1514999999999952E-2</v>
      </c>
      <c r="N247" s="2">
        <v>6.2290789277307232E-2</v>
      </c>
      <c r="P247" s="31">
        <v>1995.7500000008199</v>
      </c>
      <c r="Q247" s="2">
        <v>0.74323402580052012</v>
      </c>
      <c r="R247" s="2">
        <v>7.1900000000000297E-2</v>
      </c>
      <c r="S247" s="2">
        <v>4.575281162585941E-2</v>
      </c>
      <c r="U247" s="2">
        <f t="shared" si="32"/>
        <v>0.81841647586020805</v>
      </c>
      <c r="V247" s="2">
        <f t="shared" si="33"/>
        <v>7.5221666666666673E-2</v>
      </c>
      <c r="W247" s="2">
        <f t="shared" si="34"/>
        <v>5.7818151060611118E-2</v>
      </c>
      <c r="Y247" s="31">
        <v>1995.7500000008199</v>
      </c>
      <c r="Z247" s="2">
        <v>-0.19855640400223476</v>
      </c>
      <c r="AA247" s="2">
        <v>-0.1883013680744752</v>
      </c>
      <c r="AB247" s="2">
        <v>-0.22480518438405256</v>
      </c>
      <c r="AD247" s="31">
        <v>1995.7500000008199</v>
      </c>
      <c r="AE247" s="2">
        <v>1.2099216509459421</v>
      </c>
      <c r="AF247" s="2">
        <v>-0.68622224125583742</v>
      </c>
      <c r="AG247" s="2">
        <v>8.3841226228902263E-2</v>
      </c>
      <c r="AH247" s="31"/>
      <c r="AI247" s="31">
        <v>1995.7500000008199</v>
      </c>
      <c r="AJ247" s="2">
        <v>-0.15089084535858296</v>
      </c>
      <c r="AK247" s="2">
        <v>-0.61478205611361436</v>
      </c>
      <c r="AL247" s="2">
        <v>6.8933252346203011E-2</v>
      </c>
      <c r="AM247" s="31"/>
      <c r="AN247" s="2">
        <f t="shared" si="35"/>
        <v>0.28682480052837483</v>
      </c>
      <c r="AO247" s="2">
        <f t="shared" si="28"/>
        <v>-0.49643522181464234</v>
      </c>
      <c r="AP247" s="2">
        <f t="shared" si="29"/>
        <v>-2.4010235269649089E-2</v>
      </c>
      <c r="AQ247" s="31"/>
      <c r="AR247" s="31">
        <v>1995.7500000008199</v>
      </c>
      <c r="AS247" s="2">
        <v>-0.32059087526660857</v>
      </c>
      <c r="AT247" s="2">
        <v>0.89414149018552613</v>
      </c>
      <c r="AU247" s="2">
        <v>0.46002956006919515</v>
      </c>
      <c r="AV247" s="31"/>
      <c r="AW247" s="31">
        <v>1995.7500000008199</v>
      </c>
      <c r="AX247" s="2">
        <v>1.4388007384328603</v>
      </c>
      <c r="AY247" s="2">
        <v>-0.6564669997761764</v>
      </c>
      <c r="AZ247" s="2">
        <v>0.6346591951320486</v>
      </c>
      <c r="BA247" s="31"/>
      <c r="BB247" s="31">
        <v>1995.7500000008199</v>
      </c>
      <c r="BC247" s="2">
        <v>-0.20058345428718358</v>
      </c>
      <c r="BD247" s="2">
        <v>-0.59144451954684485</v>
      </c>
      <c r="BE247" s="2">
        <v>-0.15200545035477059</v>
      </c>
      <c r="BG247" s="2">
        <f t="shared" si="36"/>
        <v>0.30587546962635603</v>
      </c>
      <c r="BH247" s="2">
        <f t="shared" si="30"/>
        <v>-0.1179233430458317</v>
      </c>
      <c r="BI247" s="2">
        <f t="shared" si="31"/>
        <v>0.3142277682821577</v>
      </c>
    </row>
    <row r="248" spans="1:61" x14ac:dyDescent="0.3">
      <c r="A248" s="31">
        <v>1995.6666666674901</v>
      </c>
      <c r="B248">
        <v>0.81080539978562338</v>
      </c>
      <c r="C248">
        <v>4.5600000000000307E-2</v>
      </c>
      <c r="D248">
        <v>3.6972726230224677E-2</v>
      </c>
      <c r="F248" s="31">
        <v>1995.6666666674901</v>
      </c>
      <c r="G248" s="2">
        <v>0.79906372118429914</v>
      </c>
      <c r="H248" s="2">
        <v>6.1499999999999798E-2</v>
      </c>
      <c r="I248" s="2">
        <v>4.9142418852834234E-2</v>
      </c>
      <c r="K248" s="31">
        <v>1995.6666666674901</v>
      </c>
      <c r="L248" s="2">
        <v>0.96078512980375075</v>
      </c>
      <c r="M248" s="2">
        <v>6.1499999999999902E-2</v>
      </c>
      <c r="N248" s="2">
        <v>5.9088285482930575E-2</v>
      </c>
      <c r="P248" s="31">
        <v>1995.6666666674901</v>
      </c>
      <c r="Q248" s="2">
        <v>0.72558370989624876</v>
      </c>
      <c r="R248" s="2">
        <v>9.5850000000000463E-2</v>
      </c>
      <c r="S248" s="2">
        <v>4.8825824483183608E-2</v>
      </c>
      <c r="U248" s="2">
        <f t="shared" si="32"/>
        <v>0.82847752029476629</v>
      </c>
      <c r="V248" s="2">
        <f t="shared" si="33"/>
        <v>7.2950000000000056E-2</v>
      </c>
      <c r="W248" s="2">
        <f t="shared" si="34"/>
        <v>5.2352176272982803E-2</v>
      </c>
      <c r="Y248" s="31">
        <v>1995.6666666674901</v>
      </c>
      <c r="Z248" s="2">
        <v>0.37912274139267399</v>
      </c>
      <c r="AA248" s="2">
        <v>-0.78876452892998272</v>
      </c>
      <c r="AB248" s="2">
        <v>-0.59921080024201334</v>
      </c>
      <c r="AD248" s="31">
        <v>1995.6666666674901</v>
      </c>
      <c r="AE248" s="2">
        <v>0.90167572323276879</v>
      </c>
      <c r="AF248" s="2">
        <v>-0.68658960551538373</v>
      </c>
      <c r="AG248" s="2">
        <v>-3.7933373452410116E-2</v>
      </c>
      <c r="AH248" s="31"/>
      <c r="AI248" s="31">
        <v>1995.6666666674901</v>
      </c>
      <c r="AJ248" s="2">
        <v>0.12930384367316181</v>
      </c>
      <c r="AK248" s="2">
        <v>-4.4052846898962821E-2</v>
      </c>
      <c r="AL248" s="2">
        <v>0.31728758923162736</v>
      </c>
      <c r="AM248" s="31"/>
      <c r="AN248" s="2">
        <f t="shared" si="35"/>
        <v>0.47003410276620156</v>
      </c>
      <c r="AO248" s="2">
        <f t="shared" si="28"/>
        <v>-0.50646899378144317</v>
      </c>
      <c r="AP248" s="2">
        <f t="shared" si="29"/>
        <v>-0.10661886148759869</v>
      </c>
      <c r="AQ248" s="31"/>
      <c r="AR248" s="31">
        <v>1995.6666666674901</v>
      </c>
      <c r="AS248" s="2">
        <v>6.3803725302511605E-2</v>
      </c>
      <c r="AT248" s="2">
        <v>-0.32631334910520099</v>
      </c>
      <c r="AU248" s="2">
        <v>-0.23657024569876572</v>
      </c>
      <c r="AV248" s="31"/>
      <c r="AW248" s="31">
        <v>1995.6666666674901</v>
      </c>
      <c r="AX248" s="2">
        <v>0.47487501310480268</v>
      </c>
      <c r="AY248" s="2">
        <v>-0.23903137022338633</v>
      </c>
      <c r="AZ248" s="2">
        <v>0.45860503397160235</v>
      </c>
      <c r="BA248" s="31"/>
      <c r="BB248" s="31">
        <v>1995.6666666674901</v>
      </c>
      <c r="BC248" s="2">
        <v>-0.15204115918015956</v>
      </c>
      <c r="BD248" s="2">
        <v>1.0283839161259722</v>
      </c>
      <c r="BE248" s="2">
        <v>0.38853325607461264</v>
      </c>
      <c r="BG248" s="2">
        <f t="shared" si="36"/>
        <v>0.12887919307571824</v>
      </c>
      <c r="BH248" s="2">
        <f t="shared" si="30"/>
        <v>0.15434639893246163</v>
      </c>
      <c r="BI248" s="2">
        <f t="shared" si="31"/>
        <v>0.20352268144914976</v>
      </c>
    </row>
    <row r="249" spans="1:61" x14ac:dyDescent="0.3">
      <c r="A249" s="31">
        <v>1995.58333333416</v>
      </c>
      <c r="B249">
        <v>0.90418776509132459</v>
      </c>
      <c r="C249">
        <v>3.0400000000000205E-2</v>
      </c>
      <c r="D249">
        <v>2.7487308058776451E-2</v>
      </c>
      <c r="F249" s="31">
        <v>1995.58333333416</v>
      </c>
      <c r="G249" s="2">
        <v>0.81061364814392256</v>
      </c>
      <c r="H249" s="2">
        <v>9.2249999999999749E-2</v>
      </c>
      <c r="I249" s="2">
        <v>7.6294958369600513E-2</v>
      </c>
      <c r="K249" s="31">
        <v>1995.58333333416</v>
      </c>
      <c r="L249" s="2">
        <v>1.0346742776906008</v>
      </c>
      <c r="M249" s="2">
        <v>6.1514999999999952E-2</v>
      </c>
      <c r="N249" s="2">
        <v>6.3648161921694507E-2</v>
      </c>
      <c r="P249" s="31">
        <v>1995.58333333416</v>
      </c>
      <c r="Q249" s="2">
        <v>0.68383680610924413</v>
      </c>
      <c r="R249" s="2">
        <v>7.1900000000000297E-2</v>
      </c>
      <c r="S249" s="2">
        <v>5.1578968133758472E-2</v>
      </c>
      <c r="U249" s="2">
        <f t="shared" si="32"/>
        <v>0.84304157731458906</v>
      </c>
      <c r="V249" s="2">
        <f t="shared" si="33"/>
        <v>7.5221666666666673E-2</v>
      </c>
      <c r="W249" s="2">
        <f t="shared" si="34"/>
        <v>6.38406961416845E-2</v>
      </c>
      <c r="Y249" s="31">
        <v>1995.58333333416</v>
      </c>
      <c r="Z249" s="2">
        <v>0.44609009792676257</v>
      </c>
      <c r="AA249" s="2">
        <v>-0.1883013680744752</v>
      </c>
      <c r="AB249" s="2">
        <v>2.5684235056216646E-2</v>
      </c>
      <c r="AD249" s="31">
        <v>1995.58333333416</v>
      </c>
      <c r="AE249" s="2">
        <v>1.3413720636254567</v>
      </c>
      <c r="AF249" s="2">
        <v>-0.68622224125583742</v>
      </c>
      <c r="AG249" s="2">
        <v>0.13545506371408092</v>
      </c>
      <c r="AH249" s="31"/>
      <c r="AI249" s="31">
        <v>1995.58333333416</v>
      </c>
      <c r="AJ249" s="2">
        <v>0.37913931900582948</v>
      </c>
      <c r="AK249" s="2">
        <v>-0.61478205611361436</v>
      </c>
      <c r="AL249" s="2">
        <v>0.53979077989000013</v>
      </c>
      <c r="AM249" s="31"/>
      <c r="AN249" s="2">
        <f t="shared" si="35"/>
        <v>0.72220049351934945</v>
      </c>
      <c r="AO249" s="2">
        <f t="shared" si="28"/>
        <v>-0.49643522181464234</v>
      </c>
      <c r="AP249" s="2">
        <f t="shared" si="29"/>
        <v>0.23364335955343254</v>
      </c>
      <c r="AQ249" s="31"/>
      <c r="AR249" s="31">
        <v>1995.58333333416</v>
      </c>
      <c r="AS249" s="2">
        <v>-3.8685000739241332E-2</v>
      </c>
      <c r="AT249" s="2">
        <v>0.98806436351113014</v>
      </c>
      <c r="AU249" s="2">
        <v>0.66996431591307037</v>
      </c>
      <c r="AV249" s="31"/>
      <c r="AW249" s="31">
        <v>1995.58333333416</v>
      </c>
      <c r="AX249" s="2">
        <v>1.2581668188967587</v>
      </c>
      <c r="AY249" s="2">
        <v>-0.53553372549108424</v>
      </c>
      <c r="AZ249" s="2">
        <v>0.93077478722117946</v>
      </c>
      <c r="BA249" s="31"/>
      <c r="BB249" s="31">
        <v>1995.58333333416</v>
      </c>
      <c r="BC249" s="2">
        <v>-0.19239152040557927</v>
      </c>
      <c r="BD249" s="2">
        <v>-0.51613739712758211</v>
      </c>
      <c r="BE249" s="2">
        <v>-0.16485863744460344</v>
      </c>
      <c r="BG249" s="2">
        <f t="shared" si="36"/>
        <v>0.34236343258397933</v>
      </c>
      <c r="BH249" s="2">
        <f t="shared" si="30"/>
        <v>-2.1202253035845404E-2</v>
      </c>
      <c r="BI249" s="2">
        <f t="shared" si="31"/>
        <v>0.47862682189654882</v>
      </c>
    </row>
    <row r="250" spans="1:61" x14ac:dyDescent="0.3">
      <c r="A250" s="31">
        <v>1995.5000000008299</v>
      </c>
      <c r="B250">
        <v>0.93890896444986982</v>
      </c>
      <c r="C250">
        <v>3.0400000000000205E-2</v>
      </c>
      <c r="D250">
        <v>2.8542832519276234E-2</v>
      </c>
      <c r="F250" s="31">
        <v>1995.5000000008299</v>
      </c>
      <c r="G250" s="2">
        <v>0.92483735882512397</v>
      </c>
      <c r="H250" s="2">
        <v>6.1499999999999798E-2</v>
      </c>
      <c r="I250" s="2">
        <v>5.687749756774494E-2</v>
      </c>
      <c r="K250" s="31">
        <v>1995.5000000008299</v>
      </c>
      <c r="L250" s="2">
        <v>1.0895959231171259</v>
      </c>
      <c r="M250" s="2">
        <v>6.1499999999999902E-2</v>
      </c>
      <c r="N250" s="2">
        <v>6.7010149271703137E-2</v>
      </c>
      <c r="P250" s="31">
        <v>1995.5000000008299</v>
      </c>
      <c r="Q250" s="2">
        <v>0.66775195101399554</v>
      </c>
      <c r="R250" s="2">
        <v>4.7900000000000303E-2</v>
      </c>
      <c r="S250" s="2">
        <v>3.6665980593405811E-2</v>
      </c>
      <c r="U250" s="2">
        <f t="shared" si="32"/>
        <v>0.89406174431874852</v>
      </c>
      <c r="V250" s="2">
        <f t="shared" si="33"/>
        <v>5.6966666666666665E-2</v>
      </c>
      <c r="W250" s="2">
        <f t="shared" si="34"/>
        <v>5.3517875810951299E-2</v>
      </c>
      <c r="Y250" s="31">
        <v>1995.5000000008299</v>
      </c>
      <c r="Z250" s="2">
        <v>1.1083678754897814</v>
      </c>
      <c r="AA250" s="2">
        <v>-0.78876452892998272</v>
      </c>
      <c r="AB250" s="2">
        <v>-0.42119384961372935</v>
      </c>
      <c r="AD250" s="31">
        <v>1995.5000000008299</v>
      </c>
      <c r="AE250" s="2">
        <v>1.6681974120429015</v>
      </c>
      <c r="AF250" s="2">
        <v>-0.68658960551538373</v>
      </c>
      <c r="AG250" s="2">
        <v>0.26329399536494091</v>
      </c>
      <c r="AH250" s="31"/>
      <c r="AI250" s="31">
        <v>1995.5000000008299</v>
      </c>
      <c r="AJ250" s="2">
        <v>0.63848027635374527</v>
      </c>
      <c r="AK250" s="2">
        <v>-1.186702766808877</v>
      </c>
      <c r="AL250" s="2">
        <v>-0.66544502728779775</v>
      </c>
      <c r="AM250" s="31"/>
      <c r="AN250" s="2">
        <f t="shared" si="35"/>
        <v>1.138348521295476</v>
      </c>
      <c r="AO250" s="2">
        <f t="shared" si="28"/>
        <v>-0.88735230041808111</v>
      </c>
      <c r="AP250" s="2">
        <f t="shared" si="29"/>
        <v>-0.27444829384552877</v>
      </c>
      <c r="AQ250" s="31"/>
      <c r="AR250" s="31">
        <v>1995.5000000008299</v>
      </c>
      <c r="AS250" s="2">
        <v>0.21590552535327201</v>
      </c>
      <c r="AT250" s="2">
        <v>-2.3130098149133811E-2</v>
      </c>
      <c r="AU250" s="2">
        <v>0.1806818346454386</v>
      </c>
      <c r="AV250" s="31"/>
      <c r="AW250" s="31">
        <v>1995.5000000008299</v>
      </c>
      <c r="AX250" s="2">
        <v>0.45160141052891051</v>
      </c>
      <c r="AY250" s="2">
        <v>-0.1083026392523672</v>
      </c>
      <c r="AZ250" s="2">
        <v>0.45125489137049402</v>
      </c>
      <c r="BA250" s="31"/>
      <c r="BB250" s="31">
        <v>1995.5000000008299</v>
      </c>
      <c r="BC250" s="2">
        <v>-0.10235274079693797</v>
      </c>
      <c r="BD250" s="2">
        <v>-0.38248368897839508</v>
      </c>
      <c r="BE250" s="2">
        <v>-0.31324666632702131</v>
      </c>
      <c r="BG250" s="2">
        <f t="shared" si="36"/>
        <v>0.18838473169508152</v>
      </c>
      <c r="BH250" s="2">
        <f t="shared" si="30"/>
        <v>-0.17130547545996536</v>
      </c>
      <c r="BI250" s="2">
        <f t="shared" si="31"/>
        <v>0.10623001989630376</v>
      </c>
    </row>
    <row r="251" spans="1:61" x14ac:dyDescent="0.3">
      <c r="A251" s="31">
        <v>1995.4166666675001</v>
      </c>
      <c r="B251">
        <v>0.91661759159375511</v>
      </c>
      <c r="C251">
        <v>0.19760000000000133</v>
      </c>
      <c r="D251">
        <v>0.18112363609892723</v>
      </c>
      <c r="F251" s="31">
        <v>1995.4166666675001</v>
      </c>
      <c r="G251" s="2">
        <v>0.83464072290497138</v>
      </c>
      <c r="H251" s="2">
        <v>0.15374999999999969</v>
      </c>
      <c r="I251" s="2">
        <v>0.11852622887292595</v>
      </c>
      <c r="K251" s="31">
        <v>1995.4166666675001</v>
      </c>
      <c r="L251" s="2">
        <v>1.0653376238523071</v>
      </c>
      <c r="M251" s="2">
        <v>0.15377999999999986</v>
      </c>
      <c r="N251" s="2">
        <v>9.701880007090366E-2</v>
      </c>
      <c r="P251" s="31">
        <v>1995.4166666675001</v>
      </c>
      <c r="Q251" s="2">
        <v>0.60784111266688456</v>
      </c>
      <c r="R251" s="2">
        <v>0.14380000000000059</v>
      </c>
      <c r="S251" s="2">
        <v>5.2246159268924383E-2</v>
      </c>
      <c r="U251" s="2">
        <f t="shared" si="32"/>
        <v>0.83593981980805443</v>
      </c>
      <c r="V251" s="2">
        <f t="shared" si="33"/>
        <v>0.15044333333333337</v>
      </c>
      <c r="W251" s="2">
        <f t="shared" si="34"/>
        <v>8.9263729404251327E-2</v>
      </c>
      <c r="Y251" s="31">
        <v>1995.4166666675001</v>
      </c>
      <c r="Z251" s="2">
        <v>0.58540090808333334</v>
      </c>
      <c r="AA251" s="2">
        <v>1.0126249536365408</v>
      </c>
      <c r="AB251" s="2">
        <v>0.99760478987464007</v>
      </c>
      <c r="AD251" s="31">
        <v>1995.4166666675001</v>
      </c>
      <c r="AE251" s="2">
        <v>1.5238421756389677</v>
      </c>
      <c r="AF251" s="2">
        <v>1.5734353192061419</v>
      </c>
      <c r="AG251" s="2">
        <v>1.404367253253217</v>
      </c>
      <c r="AH251" s="31"/>
      <c r="AI251" s="31">
        <v>1995.4166666675001</v>
      </c>
      <c r="AJ251" s="2">
        <v>0.4359560090451885</v>
      </c>
      <c r="AK251" s="2">
        <v>1.0985970730109507</v>
      </c>
      <c r="AL251" s="2">
        <v>0.59371174268553006</v>
      </c>
      <c r="AM251" s="31"/>
      <c r="AN251" s="2">
        <f t="shared" si="35"/>
        <v>0.84839969758916312</v>
      </c>
      <c r="AO251" s="2">
        <f t="shared" si="28"/>
        <v>1.2282191152845445</v>
      </c>
      <c r="AP251" s="2">
        <f t="shared" si="29"/>
        <v>0.99856126193779582</v>
      </c>
      <c r="AQ251" s="31"/>
      <c r="AR251" s="31">
        <v>1995.4166666675001</v>
      </c>
      <c r="AS251" s="2">
        <v>-2.0393015264516399E-2</v>
      </c>
      <c r="AT251" s="2">
        <v>-0.35878275268423226</v>
      </c>
      <c r="AU251" s="2">
        <v>-0.50590451370693634</v>
      </c>
      <c r="AV251" s="31"/>
      <c r="AW251" s="31">
        <v>1995.4166666675001</v>
      </c>
      <c r="AX251" s="2">
        <v>1.1081285280428437</v>
      </c>
      <c r="AY251" s="2">
        <v>0.24826500666177614</v>
      </c>
      <c r="AZ251" s="2">
        <v>0.25685222520847484</v>
      </c>
      <c r="BA251" s="31"/>
      <c r="BB251" s="31">
        <v>1995.4166666675001</v>
      </c>
      <c r="BC251" s="2">
        <v>-0.29042895723027018</v>
      </c>
      <c r="BD251" s="2">
        <v>-0.3489924073651578</v>
      </c>
      <c r="BE251" s="2">
        <v>-0.31650792002818412</v>
      </c>
      <c r="BG251" s="2">
        <f t="shared" si="36"/>
        <v>0.26576885184935234</v>
      </c>
      <c r="BH251" s="2">
        <f t="shared" si="30"/>
        <v>-0.15317005112920465</v>
      </c>
      <c r="BI251" s="2">
        <f t="shared" si="31"/>
        <v>-0.18852006950888187</v>
      </c>
    </row>
    <row r="252" spans="1:61" x14ac:dyDescent="0.3">
      <c r="A252" s="31">
        <v>1995.33333333417</v>
      </c>
      <c r="B252">
        <v>0.81933519923426701</v>
      </c>
      <c r="C252">
        <v>0.21280000000000143</v>
      </c>
      <c r="D252">
        <v>0.1743545303970532</v>
      </c>
      <c r="F252" s="31">
        <v>1995.33333333417</v>
      </c>
      <c r="G252" s="2">
        <v>0.75974211455658014</v>
      </c>
      <c r="H252" s="2">
        <v>0.15374999999999969</v>
      </c>
      <c r="I252" s="2">
        <v>0.10430851837721433</v>
      </c>
      <c r="K252" s="31">
        <v>1995.33333333417</v>
      </c>
      <c r="L252" s="2">
        <v>1.0410940397472723</v>
      </c>
      <c r="M252" s="2">
        <v>0.12301499999999986</v>
      </c>
      <c r="N252" s="2">
        <v>6.404294105531988E-2</v>
      </c>
      <c r="P252" s="31">
        <v>1995.33333333417</v>
      </c>
      <c r="Q252" s="2">
        <v>0.5640561153164656</v>
      </c>
      <c r="R252" s="2">
        <v>9.5850000000000463E-2</v>
      </c>
      <c r="S252" s="2">
        <v>4.7876628263386858E-2</v>
      </c>
      <c r="U252" s="2">
        <f t="shared" si="32"/>
        <v>0.78829742320677276</v>
      </c>
      <c r="V252" s="2">
        <f t="shared" si="33"/>
        <v>0.12420500000000001</v>
      </c>
      <c r="W252" s="2">
        <f t="shared" si="34"/>
        <v>7.207602923197369E-2</v>
      </c>
      <c r="Y252" s="31">
        <v>1995.33333333417</v>
      </c>
      <c r="Z252" s="2">
        <v>0.15113307013872743</v>
      </c>
      <c r="AA252" s="2">
        <v>1.0126249536365408</v>
      </c>
      <c r="AB252" s="2">
        <v>0.67039500175918088</v>
      </c>
      <c r="AD252" s="31">
        <v>1995.33333333417</v>
      </c>
      <c r="AE252" s="2">
        <v>1.3795745055704212</v>
      </c>
      <c r="AF252" s="2">
        <v>0.81997122287911783</v>
      </c>
      <c r="AG252" s="2">
        <v>0.15046646543175549</v>
      </c>
      <c r="AH252" s="31"/>
      <c r="AI252" s="31">
        <v>1995.33333333417</v>
      </c>
      <c r="AJ252" s="2">
        <v>3.020989573486552E-2</v>
      </c>
      <c r="AK252" s="2">
        <v>-4.4052846898962821E-2</v>
      </c>
      <c r="AL252" s="2">
        <v>0.24057557770199142</v>
      </c>
      <c r="AM252" s="31"/>
      <c r="AN252" s="2">
        <f t="shared" si="35"/>
        <v>0.52030582381467139</v>
      </c>
      <c r="AO252" s="2">
        <f t="shared" si="28"/>
        <v>0.59618110987223194</v>
      </c>
      <c r="AP252" s="2">
        <f t="shared" si="29"/>
        <v>0.35381234829764258</v>
      </c>
      <c r="AQ252" s="31"/>
      <c r="AR252" s="31">
        <v>1995.33333333417</v>
      </c>
      <c r="AS252" s="2">
        <v>2.9039255013322992E-2</v>
      </c>
      <c r="AT252" s="2">
        <v>-1.8664175683888028E-2</v>
      </c>
      <c r="AU252" s="2">
        <v>-0.25514716769448764</v>
      </c>
      <c r="AV252" s="31"/>
      <c r="AW252" s="31">
        <v>1995.33333333417</v>
      </c>
      <c r="AX252" s="2">
        <v>1.1620628985501211</v>
      </c>
      <c r="AY252" s="2">
        <v>6.2747505337402268E-2</v>
      </c>
      <c r="AZ252" s="2">
        <v>-0.25406225409317007</v>
      </c>
      <c r="BA252" s="31"/>
      <c r="BB252" s="31">
        <v>1995.33333333417</v>
      </c>
      <c r="BC252" s="2">
        <v>-0.23363520839238347</v>
      </c>
      <c r="BD252" s="2">
        <v>-0.7363458413185221</v>
      </c>
      <c r="BE252" s="2">
        <v>-0.15504167923298953</v>
      </c>
      <c r="BG252" s="2">
        <f t="shared" si="36"/>
        <v>0.31915564839035354</v>
      </c>
      <c r="BH252" s="2">
        <f t="shared" si="30"/>
        <v>-0.23075417055500261</v>
      </c>
      <c r="BI252" s="2">
        <f t="shared" si="31"/>
        <v>-0.22141703367354906</v>
      </c>
    </row>
    <row r="253" spans="1:61" x14ac:dyDescent="0.3">
      <c r="A253" s="31">
        <v>1995.2500000008399</v>
      </c>
      <c r="B253">
        <v>0.70766550786624061</v>
      </c>
      <c r="C253">
        <v>0.19760000000000133</v>
      </c>
      <c r="D253">
        <v>0.13983470435437009</v>
      </c>
      <c r="F253" s="31">
        <v>1995.2500000008399</v>
      </c>
      <c r="G253" s="2">
        <v>0.78766449869840893</v>
      </c>
      <c r="H253" s="2">
        <v>0.15374999999999969</v>
      </c>
      <c r="I253" s="2">
        <v>0.11518082375620288</v>
      </c>
      <c r="K253" s="31">
        <v>1995.2500000008399</v>
      </c>
      <c r="L253" s="2">
        <v>0.98061246796862012</v>
      </c>
      <c r="M253" s="2">
        <v>0.15377999999999986</v>
      </c>
      <c r="N253" s="2">
        <v>9.3240358302003737E-2</v>
      </c>
      <c r="P253" s="31">
        <v>1995.2500000008399</v>
      </c>
      <c r="Q253" s="2">
        <v>0.53657348280115347</v>
      </c>
      <c r="R253" s="2">
        <v>0.14380000000000059</v>
      </c>
      <c r="S253" s="2">
        <v>4.1804152992320931E-2</v>
      </c>
      <c r="U253" s="2">
        <f t="shared" si="32"/>
        <v>0.76828348315606088</v>
      </c>
      <c r="V253" s="2">
        <f t="shared" si="33"/>
        <v>0.15044333333333337</v>
      </c>
      <c r="W253" s="2">
        <f t="shared" si="34"/>
        <v>8.3408445016842511E-2</v>
      </c>
      <c r="Y253" s="31">
        <v>1995.2500000008399</v>
      </c>
      <c r="Z253" s="2">
        <v>0.31302918087989839</v>
      </c>
      <c r="AA253" s="2">
        <v>1.0126249536365408</v>
      </c>
      <c r="AB253" s="2">
        <v>0.9206128367937626</v>
      </c>
      <c r="AD253" s="31">
        <v>1995.2500000008399</v>
      </c>
      <c r="AE253" s="2">
        <v>1.0196633882708286</v>
      </c>
      <c r="AF253" s="2">
        <v>1.5734353192061419</v>
      </c>
      <c r="AG253" s="2">
        <v>1.2606927212714381</v>
      </c>
      <c r="AH253" s="31"/>
      <c r="AI253" s="31">
        <v>1995.2500000008399</v>
      </c>
      <c r="AJ253" s="2">
        <v>-0.53205310580390386</v>
      </c>
      <c r="AK253" s="2">
        <v>1.0985970730109507</v>
      </c>
      <c r="AL253" s="2">
        <v>-0.25018890628129542</v>
      </c>
      <c r="AM253" s="31"/>
      <c r="AN253" s="2">
        <f t="shared" si="35"/>
        <v>0.26687982111560771</v>
      </c>
      <c r="AO253" s="2">
        <f t="shared" si="28"/>
        <v>1.2282191152845445</v>
      </c>
      <c r="AP253" s="2">
        <f t="shared" si="29"/>
        <v>0.64370555059463508</v>
      </c>
      <c r="AQ253" s="31"/>
      <c r="AR253" s="31">
        <v>1995.2500000008399</v>
      </c>
      <c r="AS253" s="2">
        <v>0.56560784835759725</v>
      </c>
      <c r="AT253" s="2">
        <v>-6.2988546229767878E-2</v>
      </c>
      <c r="AU253" s="2">
        <v>0.10419309958609527</v>
      </c>
      <c r="AV253" s="31"/>
      <c r="AW253" s="31">
        <v>1995.2500000008399</v>
      </c>
      <c r="AX253" s="2">
        <v>1.092087500984755</v>
      </c>
      <c r="AY253" s="2">
        <v>0.5591995610722349</v>
      </c>
      <c r="AZ253" s="2">
        <v>0.40298332972116691</v>
      </c>
      <c r="BA253" s="31"/>
      <c r="BB253" s="31">
        <v>1995.2500000008399</v>
      </c>
      <c r="BC253" s="2">
        <v>-0.30555996686857972</v>
      </c>
      <c r="BD253" s="2">
        <v>3.3388824798885192E-2</v>
      </c>
      <c r="BE253" s="2">
        <v>-0.28509085311255089</v>
      </c>
      <c r="BG253" s="2">
        <f t="shared" si="36"/>
        <v>0.45071179415792417</v>
      </c>
      <c r="BH253" s="2">
        <f t="shared" si="30"/>
        <v>0.17653327988045073</v>
      </c>
      <c r="BI253" s="2">
        <f t="shared" si="31"/>
        <v>7.4028525398237094E-2</v>
      </c>
    </row>
    <row r="254" spans="1:61" x14ac:dyDescent="0.3">
      <c r="A254" s="31">
        <v>1995.1666666675101</v>
      </c>
      <c r="B254">
        <v>0.69123085826895669</v>
      </c>
      <c r="C254">
        <v>0.21280000000000143</v>
      </c>
      <c r="D254">
        <v>0.14709392663963497</v>
      </c>
      <c r="F254" s="31">
        <v>1995.1666666675101</v>
      </c>
      <c r="G254" s="2">
        <v>0.77366574764008611</v>
      </c>
      <c r="H254" s="2">
        <v>0.15374999999999969</v>
      </c>
      <c r="I254" s="2">
        <v>0.11554646785143896</v>
      </c>
      <c r="K254" s="31">
        <v>1995.1666666675101</v>
      </c>
      <c r="L254" s="2">
        <v>0.97397245071655236</v>
      </c>
      <c r="M254" s="2">
        <v>9.2264999999999903E-2</v>
      </c>
      <c r="N254" s="2">
        <v>5.9916092301723713E-2</v>
      </c>
      <c r="P254" s="31">
        <v>1995.1666666675101</v>
      </c>
      <c r="Q254" s="2">
        <v>0.53113086470963922</v>
      </c>
      <c r="R254" s="2">
        <v>9.5850000000000463E-2</v>
      </c>
      <c r="S254" s="2">
        <v>3.8041255354919035E-2</v>
      </c>
      <c r="U254" s="2">
        <f t="shared" si="32"/>
        <v>0.75958968768875923</v>
      </c>
      <c r="V254" s="2">
        <f t="shared" si="33"/>
        <v>0.11395500000000003</v>
      </c>
      <c r="W254" s="2">
        <f t="shared" si="34"/>
        <v>7.11679385026939E-2</v>
      </c>
      <c r="Y254" s="31">
        <v>1995.1666666675101</v>
      </c>
      <c r="Z254" s="2">
        <v>0.23186335563859145</v>
      </c>
      <c r="AA254" s="2">
        <v>1.0126249536365408</v>
      </c>
      <c r="AB254" s="2">
        <v>0.92902785740935001</v>
      </c>
      <c r="AD254" s="31">
        <v>1995.1666666675101</v>
      </c>
      <c r="AE254" s="2">
        <v>0.98015026125047899</v>
      </c>
      <c r="AF254" s="2">
        <v>6.6874490811640125E-2</v>
      </c>
      <c r="AG254" s="2">
        <v>-6.4561760954539322E-3</v>
      </c>
      <c r="AH254" s="31"/>
      <c r="AI254" s="31">
        <v>1995.1666666675101</v>
      </c>
      <c r="AJ254" s="2">
        <v>-0.88430844641273154</v>
      </c>
      <c r="AK254" s="2">
        <v>-4.4052846898962821E-2</v>
      </c>
      <c r="AL254" s="2">
        <v>-0.55429825788303733</v>
      </c>
      <c r="AM254" s="31"/>
      <c r="AN254" s="2">
        <f t="shared" si="35"/>
        <v>0.10923505682544631</v>
      </c>
      <c r="AO254" s="2">
        <f t="shared" si="28"/>
        <v>0.34514886584973942</v>
      </c>
      <c r="AP254" s="2">
        <f t="shared" si="29"/>
        <v>0.12275780781028627</v>
      </c>
      <c r="AQ254" s="31"/>
      <c r="AR254" s="31">
        <v>1995.1666666675101</v>
      </c>
      <c r="AS254" s="2">
        <v>0.6675186681832026</v>
      </c>
      <c r="AT254" s="2">
        <v>0.16876039905140139</v>
      </c>
      <c r="AU254" s="2">
        <v>0.44761838731612158</v>
      </c>
      <c r="AV254" s="31"/>
      <c r="AW254" s="31">
        <v>1995.1666666675101</v>
      </c>
      <c r="AX254" s="2">
        <v>1.1402340289930148</v>
      </c>
      <c r="AY254" s="2">
        <v>-0.48231704140909132</v>
      </c>
      <c r="AZ254" s="2">
        <v>-0.17093861532660495</v>
      </c>
      <c r="BA254" s="31"/>
      <c r="BB254" s="31">
        <v>1995.1666666675101</v>
      </c>
      <c r="BC254" s="2">
        <v>-0.33791827927630236</v>
      </c>
      <c r="BD254" s="2">
        <v>-0.34847073798484229</v>
      </c>
      <c r="BE254" s="2">
        <v>-0.13707018995204742</v>
      </c>
      <c r="BG254" s="2">
        <f t="shared" si="36"/>
        <v>0.48994480596663842</v>
      </c>
      <c r="BH254" s="2">
        <f t="shared" si="30"/>
        <v>-0.22067579344751073</v>
      </c>
      <c r="BI254" s="2">
        <f t="shared" si="31"/>
        <v>4.6536527345823066E-2</v>
      </c>
    </row>
    <row r="255" spans="1:61" x14ac:dyDescent="0.3">
      <c r="A255" s="31">
        <v>1995.08333333418</v>
      </c>
      <c r="B255">
        <v>0.66171603576069737</v>
      </c>
      <c r="C255">
        <v>3.0400000000000205E-2</v>
      </c>
      <c r="D255">
        <v>2.0116167487125334E-2</v>
      </c>
      <c r="F255" s="31">
        <v>1995.08333333418</v>
      </c>
      <c r="G255" s="2">
        <v>0.713279880145965</v>
      </c>
      <c r="H255" s="2">
        <v>6.1499999999999846E-2</v>
      </c>
      <c r="I255" s="2">
        <v>4.3866712628976734E-2</v>
      </c>
      <c r="K255" s="31">
        <v>1995.08333333418</v>
      </c>
      <c r="L255" s="2">
        <v>0.981806076877899</v>
      </c>
      <c r="M255" s="2">
        <v>6.1514999999999952E-2</v>
      </c>
      <c r="N255" s="2">
        <v>6.039843238449407E-2</v>
      </c>
      <c r="P255" s="31">
        <v>1995.08333333418</v>
      </c>
      <c r="Q255" s="2">
        <v>0.52494801473191433</v>
      </c>
      <c r="R255" s="2">
        <v>0.1198000000000006</v>
      </c>
      <c r="S255" s="2">
        <v>3.7217806641241358E-2</v>
      </c>
      <c r="U255" s="2">
        <f t="shared" si="32"/>
        <v>0.74001132391859281</v>
      </c>
      <c r="V255" s="2">
        <f t="shared" si="33"/>
        <v>8.0938333333333459E-2</v>
      </c>
      <c r="W255" s="2">
        <f t="shared" si="34"/>
        <v>4.7160983884904056E-2</v>
      </c>
      <c r="Y255" s="31">
        <v>1995.08333333418</v>
      </c>
      <c r="Z255" s="2">
        <v>-0.11825850506544254</v>
      </c>
      <c r="AA255" s="2">
        <v>-0.78876452892998183</v>
      </c>
      <c r="AB255" s="2">
        <v>-0.72062716444414721</v>
      </c>
      <c r="AD255" s="31">
        <v>1995.08333333418</v>
      </c>
      <c r="AE255" s="2">
        <v>1.0267662644614395</v>
      </c>
      <c r="AF255" s="2">
        <v>-0.68622224125583742</v>
      </c>
      <c r="AG255" s="2">
        <v>1.188471411449633E-2</v>
      </c>
      <c r="AH255" s="31"/>
      <c r="AI255" s="31">
        <v>1995.08333333418</v>
      </c>
      <c r="AJ255" s="2">
        <v>-0.96507363568999716</v>
      </c>
      <c r="AK255" s="2">
        <v>0.52667636231568804</v>
      </c>
      <c r="AL255" s="2">
        <v>-0.62084762449475006</v>
      </c>
      <c r="AM255" s="31"/>
      <c r="AN255" s="2">
        <f t="shared" si="35"/>
        <v>-1.8855292098000073E-2</v>
      </c>
      <c r="AO255" s="2">
        <f t="shared" si="28"/>
        <v>-0.31610346929004374</v>
      </c>
      <c r="AP255" s="2">
        <f t="shared" si="29"/>
        <v>-0.44319669160813363</v>
      </c>
      <c r="AQ255" s="31"/>
      <c r="AR255" s="31">
        <v>1995.08333333418</v>
      </c>
      <c r="AS255" s="2">
        <v>0.60168097263492226</v>
      </c>
      <c r="AT255" s="2">
        <v>-0.93050162247170598</v>
      </c>
      <c r="AU255" s="2">
        <v>-0.47313330787396096</v>
      </c>
      <c r="AV255" s="31"/>
      <c r="AW255" s="31">
        <v>1995.08333333418</v>
      </c>
      <c r="AX255" s="2">
        <v>1.4224871999441124</v>
      </c>
      <c r="AY255" s="2">
        <v>-0.87038484719517628</v>
      </c>
      <c r="AZ255" s="2">
        <v>0.52090306734445058</v>
      </c>
      <c r="BA255" s="31"/>
      <c r="BB255" s="31">
        <v>1995.08333333418</v>
      </c>
      <c r="BC255" s="2">
        <v>-0.31493472373330306</v>
      </c>
      <c r="BD255" s="2">
        <v>0.92837406029517622</v>
      </c>
      <c r="BE255" s="2">
        <v>-0.30679972372754255</v>
      </c>
      <c r="BG255" s="2">
        <f t="shared" si="36"/>
        <v>0.56974448294857716</v>
      </c>
      <c r="BH255" s="2">
        <f t="shared" si="30"/>
        <v>-0.29083746979056868</v>
      </c>
      <c r="BI255" s="2">
        <f t="shared" si="31"/>
        <v>-8.6343321419017641E-2</v>
      </c>
    </row>
    <row r="256" spans="1:61" x14ac:dyDescent="0.3">
      <c r="A256" s="31">
        <v>1995.0000000008499</v>
      </c>
      <c r="B256">
        <v>0.68245592820885581</v>
      </c>
      <c r="C256">
        <v>3.0400000000000205E-2</v>
      </c>
      <c r="D256">
        <v>2.0746660217549357E-2</v>
      </c>
      <c r="F256" s="31">
        <v>1995.0000000008499</v>
      </c>
      <c r="G256" s="2">
        <v>0.65323745076664952</v>
      </c>
      <c r="H256" s="2">
        <v>6.1499999999999902E-2</v>
      </c>
      <c r="I256" s="2">
        <v>4.0174103222148878E-2</v>
      </c>
      <c r="K256" s="31">
        <v>1995.0000000008499</v>
      </c>
      <c r="L256" s="2">
        <v>1.0054485401898798</v>
      </c>
      <c r="M256" s="2">
        <v>6.1514999999999952E-2</v>
      </c>
      <c r="N256" s="2">
        <v>6.185303024484954E-2</v>
      </c>
      <c r="P256" s="31">
        <v>1995.0000000008499</v>
      </c>
      <c r="Q256" s="2">
        <v>0.5541114679971596</v>
      </c>
      <c r="R256" s="2">
        <v>9.5850000000000463E-2</v>
      </c>
      <c r="S256" s="2">
        <v>3.7932100982824707E-2</v>
      </c>
      <c r="U256" s="2">
        <f t="shared" si="32"/>
        <v>0.73759915298456302</v>
      </c>
      <c r="V256" s="2">
        <f t="shared" si="33"/>
        <v>7.2955000000000103E-2</v>
      </c>
      <c r="W256" s="2">
        <f t="shared" si="34"/>
        <v>4.6653078149941039E-2</v>
      </c>
      <c r="Y256" s="31">
        <v>1995.0000000008499</v>
      </c>
      <c r="Z256" s="2">
        <v>-0.46638908541229457</v>
      </c>
      <c r="AA256" s="2">
        <v>-0.78876452892998072</v>
      </c>
      <c r="AB256" s="2">
        <v>-0.8056097600572546</v>
      </c>
      <c r="AD256" s="31">
        <v>1995.0000000008499</v>
      </c>
      <c r="AE256" s="2">
        <v>1.1674568109550258</v>
      </c>
      <c r="AF256" s="2">
        <v>-0.68622224125583742</v>
      </c>
      <c r="AG256" s="2">
        <v>6.7195522005844485E-2</v>
      </c>
      <c r="AH256" s="31"/>
      <c r="AI256" s="31">
        <v>1995.0000000008499</v>
      </c>
      <c r="AJ256" s="2">
        <v>-0.87988675497580293</v>
      </c>
      <c r="AK256" s="2">
        <v>-4.4052846898962821E-2</v>
      </c>
      <c r="AL256" s="2">
        <v>-0.5631198811427709</v>
      </c>
      <c r="AM256" s="31"/>
      <c r="AN256" s="2">
        <f t="shared" si="35"/>
        <v>-5.960634314435722E-2</v>
      </c>
      <c r="AO256" s="2">
        <f t="shared" si="28"/>
        <v>-0.50634653902826032</v>
      </c>
      <c r="AP256" s="2">
        <f t="shared" si="29"/>
        <v>-0.43384470639806033</v>
      </c>
      <c r="AQ256" s="31"/>
      <c r="AR256" s="31">
        <v>1995.0000000008499</v>
      </c>
      <c r="AS256" s="2">
        <v>-2.3199974994028927E-2</v>
      </c>
      <c r="AT256" s="2">
        <v>-0.29853293598826319</v>
      </c>
      <c r="AU256" s="2">
        <v>-0.25827356624912212</v>
      </c>
      <c r="AV256" s="31"/>
      <c r="AW256" s="31">
        <v>1995.0000000008499</v>
      </c>
      <c r="AX256" s="2">
        <v>1.1267792152176257</v>
      </c>
      <c r="AY256" s="2">
        <v>-0.21981065223360952</v>
      </c>
      <c r="AZ256" s="2">
        <v>1.0162564872893232</v>
      </c>
      <c r="BA256" s="31"/>
      <c r="BB256" s="31">
        <v>1995.0000000008499</v>
      </c>
      <c r="BC256" s="2">
        <v>-0.26744424420580409</v>
      </c>
      <c r="BD256" s="2">
        <v>0.75540652012817533</v>
      </c>
      <c r="BE256" s="2">
        <v>7.0143205824576255E-2</v>
      </c>
      <c r="BG256" s="2">
        <f t="shared" si="36"/>
        <v>0.27871166533926423</v>
      </c>
      <c r="BH256" s="2">
        <f t="shared" si="30"/>
        <v>7.9020977302100878E-2</v>
      </c>
      <c r="BI256" s="2">
        <f t="shared" si="31"/>
        <v>0.27604204228825913</v>
      </c>
    </row>
    <row r="257" spans="1:61" x14ac:dyDescent="0.3">
      <c r="A257" s="31">
        <v>1994.9166666675201</v>
      </c>
      <c r="B257">
        <v>0.71641585376913952</v>
      </c>
      <c r="C257">
        <v>3.0400000000000205E-2</v>
      </c>
      <c r="D257">
        <v>2.1779041954581989E-2</v>
      </c>
      <c r="F257" s="31">
        <v>1994.9166666675201</v>
      </c>
      <c r="G257" s="2">
        <v>0.77204980631692555</v>
      </c>
      <c r="H257" s="2">
        <v>6.1499999999999846E-2</v>
      </c>
      <c r="I257" s="2">
        <v>4.7481063088490802E-2</v>
      </c>
      <c r="K257" s="31">
        <v>1994.9166666675201</v>
      </c>
      <c r="L257" s="2">
        <v>1.1856686947219592</v>
      </c>
      <c r="M257" s="2">
        <v>6.1530000000000001E-2</v>
      </c>
      <c r="N257" s="2">
        <v>7.2954194786242155E-2</v>
      </c>
      <c r="P257" s="31">
        <v>1994.9166666675201</v>
      </c>
      <c r="Q257" s="2">
        <v>0.56721275636918067</v>
      </c>
      <c r="R257" s="2">
        <v>9.5850000000000463E-2</v>
      </c>
      <c r="S257" s="2">
        <v>3.8970987393211746E-2</v>
      </c>
      <c r="U257" s="2">
        <f t="shared" si="32"/>
        <v>0.84164375246935519</v>
      </c>
      <c r="V257" s="2">
        <f t="shared" si="33"/>
        <v>7.2960000000000094E-2</v>
      </c>
      <c r="W257" s="2">
        <f t="shared" si="34"/>
        <v>5.3135415089314908E-2</v>
      </c>
      <c r="Y257" s="31">
        <v>1994.9166666675201</v>
      </c>
      <c r="Z257" s="2">
        <v>0.22249400472368416</v>
      </c>
      <c r="AA257" s="2">
        <v>-0.78876452892998183</v>
      </c>
      <c r="AB257" s="2">
        <v>-0.63744563895244966</v>
      </c>
      <c r="AD257" s="31">
        <v>1994.9166666675201</v>
      </c>
      <c r="AE257" s="2">
        <v>2.2399030994696423</v>
      </c>
      <c r="AF257" s="2">
        <v>-0.68585487699629111</v>
      </c>
      <c r="AG257" s="2">
        <v>0.48931519924032241</v>
      </c>
      <c r="AH257" s="31"/>
      <c r="AI257" s="31">
        <v>1994.9166666675201</v>
      </c>
      <c r="AJ257" s="2">
        <v>-0.78049959496913157</v>
      </c>
      <c r="AK257" s="2">
        <v>-4.4052846898962821E-2</v>
      </c>
      <c r="AL257" s="2">
        <v>-0.47915929993790934</v>
      </c>
      <c r="AM257" s="31"/>
      <c r="AN257" s="2">
        <f t="shared" si="35"/>
        <v>0.56063250307473156</v>
      </c>
      <c r="AO257" s="2">
        <f t="shared" si="28"/>
        <v>-0.50622408427507859</v>
      </c>
      <c r="AP257" s="2">
        <f t="shared" si="29"/>
        <v>-0.20909657988334551</v>
      </c>
      <c r="AQ257" s="31"/>
      <c r="AR257" s="31">
        <v>1994.9166666675201</v>
      </c>
      <c r="AS257" s="2">
        <v>0.55606933629544064</v>
      </c>
      <c r="AT257" s="2">
        <v>-0.68444756444045252</v>
      </c>
      <c r="AU257" s="2">
        <v>-0.26355792994124955</v>
      </c>
      <c r="AV257" s="31"/>
      <c r="AW257" s="31">
        <v>1994.9166666675201</v>
      </c>
      <c r="AX257" s="2">
        <v>2.253407697497404</v>
      </c>
      <c r="AY257" s="2">
        <v>-0.51674513160061353</v>
      </c>
      <c r="AZ257" s="2">
        <v>2.0083201891343672</v>
      </c>
      <c r="BA257" s="31"/>
      <c r="BB257" s="31">
        <v>1994.9166666675201</v>
      </c>
      <c r="BC257" s="2">
        <v>-0.4640049050938887</v>
      </c>
      <c r="BD257" s="2">
        <v>0.88737234882057547</v>
      </c>
      <c r="BE257" s="2">
        <v>-0.2057332335687615</v>
      </c>
      <c r="BG257" s="2">
        <f t="shared" si="36"/>
        <v>0.78182404289965202</v>
      </c>
      <c r="BH257" s="2">
        <f t="shared" si="30"/>
        <v>-0.10460678240683019</v>
      </c>
      <c r="BI257" s="2">
        <f t="shared" si="31"/>
        <v>0.51300967520811869</v>
      </c>
    </row>
    <row r="258" spans="1:61" x14ac:dyDescent="0.3">
      <c r="A258" s="31">
        <v>1994.83333333419</v>
      </c>
      <c r="B258">
        <v>0.7436440727280027</v>
      </c>
      <c r="C258">
        <v>3.0400000000000205E-2</v>
      </c>
      <c r="D258">
        <v>2.2606779810931434E-2</v>
      </c>
      <c r="F258" s="31">
        <v>1994.83333333419</v>
      </c>
      <c r="G258" s="2">
        <v>0.71423103880321448</v>
      </c>
      <c r="H258" s="2">
        <v>6.1499999999999902E-2</v>
      </c>
      <c r="I258" s="2">
        <v>4.3925208886397622E-2</v>
      </c>
      <c r="K258" s="31">
        <v>1994.83333333419</v>
      </c>
      <c r="L258" s="2">
        <v>0.98898548951592158</v>
      </c>
      <c r="M258" s="2">
        <v>6.1514999999999952E-2</v>
      </c>
      <c r="N258" s="2">
        <v>6.0839462215330126E-2</v>
      </c>
      <c r="P258" s="31">
        <v>1994.83333333419</v>
      </c>
      <c r="Q258" s="2">
        <v>0.60185771958839884</v>
      </c>
      <c r="R258" s="2">
        <v>9.5850000000000463E-2</v>
      </c>
      <c r="S258" s="2">
        <v>3.9947230293522505E-2</v>
      </c>
      <c r="U258" s="2">
        <f t="shared" si="32"/>
        <v>0.76835808263584493</v>
      </c>
      <c r="V258" s="2">
        <f t="shared" si="33"/>
        <v>7.2955000000000103E-2</v>
      </c>
      <c r="W258" s="2">
        <f t="shared" si="34"/>
        <v>4.823730046508342E-2</v>
      </c>
      <c r="Y258" s="31">
        <v>1994.83333333419</v>
      </c>
      <c r="Z258" s="2">
        <v>-0.11274361469919317</v>
      </c>
      <c r="AA258" s="2">
        <v>-0.78876452892998072</v>
      </c>
      <c r="AB258" s="2">
        <v>-0.719280917592236</v>
      </c>
      <c r="AD258" s="31">
        <v>1994.83333333419</v>
      </c>
      <c r="AE258" s="2">
        <v>1.0694892021781071</v>
      </c>
      <c r="AF258" s="2">
        <v>-0.68622224125583742</v>
      </c>
      <c r="AG258" s="2">
        <v>2.8654789825844879E-2</v>
      </c>
      <c r="AH258" s="31"/>
      <c r="AI258" s="31">
        <v>1994.83333333419</v>
      </c>
      <c r="AJ258" s="2">
        <v>-0.69878369889286318</v>
      </c>
      <c r="AK258" s="2">
        <v>-4.4052846898962821E-2</v>
      </c>
      <c r="AL258" s="2">
        <v>-0.40026143344577336</v>
      </c>
      <c r="AM258" s="31"/>
      <c r="AN258" s="2">
        <f t="shared" si="35"/>
        <v>8.5987296195350241E-2</v>
      </c>
      <c r="AO258" s="2">
        <f t="shared" si="28"/>
        <v>-0.50634653902826032</v>
      </c>
      <c r="AP258" s="2">
        <f t="shared" si="29"/>
        <v>-0.3636291870707215</v>
      </c>
      <c r="AQ258" s="31"/>
      <c r="AR258" s="31">
        <v>1994.83333333419</v>
      </c>
      <c r="AS258" s="2">
        <v>5.1076007057146704E-2</v>
      </c>
      <c r="AT258" s="2">
        <v>-0.28549293171717766</v>
      </c>
      <c r="AU258" s="2">
        <v>-0.19610933455479448</v>
      </c>
      <c r="AV258" s="31"/>
      <c r="AW258" s="31">
        <v>1994.83333333419</v>
      </c>
      <c r="AX258" s="2">
        <v>0.84461961423482268</v>
      </c>
      <c r="AY258" s="2">
        <v>-0.19138401234735175</v>
      </c>
      <c r="AZ258" s="2">
        <v>0.76450091238067563</v>
      </c>
      <c r="BA258" s="31"/>
      <c r="BB258" s="31">
        <v>1994.83333333419</v>
      </c>
      <c r="BC258" s="2">
        <v>-0.38532840238458882</v>
      </c>
      <c r="BD258" s="2">
        <v>0.77674476466510867</v>
      </c>
      <c r="BE258" s="2">
        <v>-6.6138644747441841E-2</v>
      </c>
      <c r="BG258" s="2">
        <f t="shared" si="36"/>
        <v>0.1701224063024602</v>
      </c>
      <c r="BH258" s="2">
        <f t="shared" si="30"/>
        <v>9.9955940200193064E-2</v>
      </c>
      <c r="BI258" s="2">
        <f t="shared" si="31"/>
        <v>0.16741764435947978</v>
      </c>
    </row>
    <row r="259" spans="1:61" x14ac:dyDescent="0.3">
      <c r="A259" s="31">
        <v>1994.7500000008599</v>
      </c>
      <c r="B259">
        <v>0.77154862070221719</v>
      </c>
      <c r="C259">
        <v>3.0400000000000205E-2</v>
      </c>
      <c r="D259">
        <v>2.345507806934756E-2</v>
      </c>
      <c r="F259" s="31">
        <v>1994.7500000008599</v>
      </c>
      <c r="G259" s="2">
        <v>0.84018190121049741</v>
      </c>
      <c r="H259" s="2">
        <v>6.1499999999999846E-2</v>
      </c>
      <c r="I259" s="2">
        <v>5.1671186924445459E-2</v>
      </c>
      <c r="K259" s="31">
        <v>1994.7500000008599</v>
      </c>
      <c r="L259" s="2">
        <v>0.98021766004584199</v>
      </c>
      <c r="M259" s="2">
        <v>6.1514999999999952E-2</v>
      </c>
      <c r="N259" s="2">
        <v>6.0299352023441569E-2</v>
      </c>
      <c r="P259" s="31">
        <v>1994.7500000008599</v>
      </c>
      <c r="Q259" s="2">
        <v>0.63226662982437976</v>
      </c>
      <c r="R259" s="2">
        <v>0.1198000000000006</v>
      </c>
      <c r="S259" s="2">
        <v>4.0531819909551688E-2</v>
      </c>
      <c r="U259" s="2">
        <f t="shared" si="32"/>
        <v>0.81755539702690638</v>
      </c>
      <c r="V259" s="2">
        <f t="shared" si="33"/>
        <v>8.0938333333333459E-2</v>
      </c>
      <c r="W259" s="2">
        <f t="shared" si="34"/>
        <v>5.0834119619146245E-2</v>
      </c>
      <c r="Y259" s="31">
        <v>1994.7500000008599</v>
      </c>
      <c r="Z259" s="2">
        <v>0.61752908209710367</v>
      </c>
      <c r="AA259" s="2">
        <v>-0.78876452892998183</v>
      </c>
      <c r="AB259" s="2">
        <v>-0.54101312733577289</v>
      </c>
      <c r="AD259" s="31">
        <v>1994.7500000008599</v>
      </c>
      <c r="AE259" s="2">
        <v>1.0173139823869035</v>
      </c>
      <c r="AF259" s="2">
        <v>-0.68622224125583742</v>
      </c>
      <c r="AG259" s="2">
        <v>8.117202168176605E-3</v>
      </c>
      <c r="AH259" s="31"/>
      <c r="AI259" s="31">
        <v>1994.7500000008599</v>
      </c>
      <c r="AJ259" s="2">
        <v>-0.66395023984514345</v>
      </c>
      <c r="AK259" s="2">
        <v>0.52667636231568804</v>
      </c>
      <c r="AL259" s="2">
        <v>-0.35301614903604539</v>
      </c>
      <c r="AM259" s="31"/>
      <c r="AN259" s="2">
        <f t="shared" si="35"/>
        <v>0.32363094154628791</v>
      </c>
      <c r="AO259" s="2">
        <f t="shared" si="28"/>
        <v>-0.31610346929004374</v>
      </c>
      <c r="AP259" s="2">
        <f t="shared" si="29"/>
        <v>-0.29530402473454725</v>
      </c>
      <c r="AQ259" s="31"/>
      <c r="AR259" s="31">
        <v>1994.7500000008599</v>
      </c>
      <c r="AS259" s="2">
        <v>0.66990955784233797</v>
      </c>
      <c r="AT259" s="2">
        <v>-0.6766476141944503</v>
      </c>
      <c r="AU259" s="2">
        <v>-0.22905477122993034</v>
      </c>
      <c r="AV259" s="31"/>
      <c r="AW259" s="31">
        <v>1994.7500000008599</v>
      </c>
      <c r="AX259" s="2">
        <v>1.2201614142637676</v>
      </c>
      <c r="AY259" s="2">
        <v>-0.6564669997761764</v>
      </c>
      <c r="AZ259" s="2">
        <v>0.47850173469043633</v>
      </c>
      <c r="BA259" s="31"/>
      <c r="BB259" s="31">
        <v>1994.7500000008599</v>
      </c>
      <c r="BC259" s="2">
        <v>-0.71173930626668336</v>
      </c>
      <c r="BD259" s="2">
        <v>1.3307501689804029</v>
      </c>
      <c r="BE259" s="2">
        <v>-0.54908130227774254</v>
      </c>
      <c r="BG259" s="2">
        <f t="shared" si="36"/>
        <v>0.39277722194647408</v>
      </c>
      <c r="BH259" s="2">
        <f t="shared" si="30"/>
        <v>-7.8814833007460428E-4</v>
      </c>
      <c r="BI259" s="2">
        <f t="shared" si="31"/>
        <v>-9.9878112939078847E-2</v>
      </c>
    </row>
    <row r="260" spans="1:61" x14ac:dyDescent="0.3">
      <c r="A260" s="31">
        <v>1994.6666666675301</v>
      </c>
      <c r="B260">
        <v>0.80801935497091859</v>
      </c>
      <c r="C260">
        <v>3.0400000000000205E-2</v>
      </c>
      <c r="D260">
        <v>2.456378839111609E-2</v>
      </c>
      <c r="F260" s="31">
        <v>1994.6666666675301</v>
      </c>
      <c r="G260" s="2">
        <v>0.81963752000836732</v>
      </c>
      <c r="H260" s="2">
        <v>6.1499999999999902E-2</v>
      </c>
      <c r="I260" s="2">
        <v>5.0407707480514506E-2</v>
      </c>
      <c r="K260" s="31">
        <v>1994.6666666675301</v>
      </c>
      <c r="L260" s="2">
        <v>1.0084206708406611</v>
      </c>
      <c r="M260" s="2">
        <v>6.1530000000000001E-2</v>
      </c>
      <c r="N260" s="2">
        <v>6.2048123876825879E-2</v>
      </c>
      <c r="P260" s="31">
        <v>1994.6666666675301</v>
      </c>
      <c r="Q260" s="2">
        <v>0.62420183518436811</v>
      </c>
      <c r="R260" s="2">
        <v>9.5850000000000463E-2</v>
      </c>
      <c r="S260" s="2">
        <v>4.0943326799985871E-2</v>
      </c>
      <c r="U260" s="2">
        <f t="shared" si="32"/>
        <v>0.81742000867779885</v>
      </c>
      <c r="V260" s="2">
        <f t="shared" si="33"/>
        <v>7.2960000000000122E-2</v>
      </c>
      <c r="W260" s="2">
        <f t="shared" si="34"/>
        <v>5.1133052719108757E-2</v>
      </c>
      <c r="Y260" s="31">
        <v>1994.6666666675301</v>
      </c>
      <c r="Z260" s="2">
        <v>0.49841119455159399</v>
      </c>
      <c r="AA260" s="2">
        <v>-0.78876452892998072</v>
      </c>
      <c r="AB260" s="2">
        <v>-0.57009114529524552</v>
      </c>
      <c r="AD260" s="31">
        <v>1994.6666666675301</v>
      </c>
      <c r="AE260" s="2">
        <v>1.1851432372800212</v>
      </c>
      <c r="AF260" s="2">
        <v>-0.68585487699629111</v>
      </c>
      <c r="AG260" s="2">
        <v>7.4613920377770926E-2</v>
      </c>
      <c r="AH260" s="31"/>
      <c r="AI260" s="31">
        <v>1994.6666666675301</v>
      </c>
      <c r="AJ260" s="2">
        <v>-0.65014869769290295</v>
      </c>
      <c r="AK260" s="2">
        <v>-4.4052846898962821E-2</v>
      </c>
      <c r="AL260" s="2">
        <v>-0.31975904090062612</v>
      </c>
      <c r="AM260" s="31"/>
      <c r="AN260" s="2">
        <f t="shared" si="35"/>
        <v>0.34446857804623737</v>
      </c>
      <c r="AO260" s="2">
        <f t="shared" si="28"/>
        <v>-0.50622408427507815</v>
      </c>
      <c r="AP260" s="2">
        <f t="shared" si="29"/>
        <v>-0.2717454219393669</v>
      </c>
      <c r="AQ260" s="31"/>
      <c r="AR260" s="31">
        <v>1994.6666666675301</v>
      </c>
      <c r="AS260" s="2">
        <v>0.12881106711208495</v>
      </c>
      <c r="AT260" s="2">
        <v>-0.32631334910519749</v>
      </c>
      <c r="AU260" s="2">
        <v>-0.18743203635249248</v>
      </c>
      <c r="AV260" s="31"/>
      <c r="AW260" s="31">
        <v>1994.6666666675301</v>
      </c>
      <c r="AX260" s="2">
        <v>0.65036212478798938</v>
      </c>
      <c r="AY260" s="2">
        <v>-0.23771353876763443</v>
      </c>
      <c r="AZ260" s="2">
        <v>0.63602056799086615</v>
      </c>
      <c r="BA260" s="31"/>
      <c r="BB260" s="31">
        <v>1994.6666666675301</v>
      </c>
      <c r="BC260" s="2">
        <v>-0.84128446972560977</v>
      </c>
      <c r="BD260" s="2">
        <v>1.0283839161259722</v>
      </c>
      <c r="BE260" s="2">
        <v>-0.24699334986790761</v>
      </c>
      <c r="BG260" s="2">
        <f t="shared" si="36"/>
        <v>-2.0703759275178479E-2</v>
      </c>
      <c r="BH260" s="2">
        <f t="shared" si="30"/>
        <v>0.1547856760843801</v>
      </c>
      <c r="BI260" s="2">
        <f t="shared" si="31"/>
        <v>6.7198393923488683E-2</v>
      </c>
    </row>
    <row r="261" spans="1:61" x14ac:dyDescent="0.3">
      <c r="A261" s="31">
        <v>1994.5833333342</v>
      </c>
      <c r="B261">
        <v>0.84864833371688331</v>
      </c>
      <c r="C261">
        <v>3.0400000000000205E-2</v>
      </c>
      <c r="D261">
        <v>2.5798909344993425E-2</v>
      </c>
      <c r="F261" s="31">
        <v>1994.5833333342</v>
      </c>
      <c r="G261" s="2">
        <v>0.9421120098949608</v>
      </c>
      <c r="H261" s="2">
        <v>6.1499999999999846E-2</v>
      </c>
      <c r="I261" s="2">
        <v>5.7939888608539949E-2</v>
      </c>
      <c r="K261" s="31">
        <v>1994.5833333342</v>
      </c>
      <c r="L261" s="2">
        <v>0.97973640830577402</v>
      </c>
      <c r="M261" s="2">
        <v>6.1514999999999952E-2</v>
      </c>
      <c r="N261" s="2">
        <v>6.0269082380094367E-2</v>
      </c>
      <c r="P261" s="31">
        <v>1994.5833333342</v>
      </c>
      <c r="Q261" s="2">
        <v>0.60180376417588999</v>
      </c>
      <c r="R261" s="2">
        <v>9.5850000000000463E-2</v>
      </c>
      <c r="S261" s="2">
        <v>4.2390588801972856E-2</v>
      </c>
      <c r="U261" s="2">
        <f t="shared" si="32"/>
        <v>0.84121739412554153</v>
      </c>
      <c r="V261" s="2">
        <f t="shared" si="33"/>
        <v>7.2955000000000089E-2</v>
      </c>
      <c r="W261" s="2">
        <f t="shared" si="34"/>
        <v>5.3533186596869065E-2</v>
      </c>
      <c r="Y261" s="31">
        <v>1994.5833333342</v>
      </c>
      <c r="Z261" s="2">
        <v>1.2085276185981013</v>
      </c>
      <c r="AA261" s="2">
        <v>-0.78876452892998183</v>
      </c>
      <c r="AB261" s="2">
        <v>-0.39674372823454185</v>
      </c>
      <c r="AD261" s="31">
        <v>1994.5833333342</v>
      </c>
      <c r="AE261" s="2">
        <v>1.0144501703797661</v>
      </c>
      <c r="AF261" s="2">
        <v>-0.68622224125583742</v>
      </c>
      <c r="AG261" s="2">
        <v>6.9662047181270554E-3</v>
      </c>
      <c r="AH261" s="31"/>
      <c r="AI261" s="31">
        <v>1994.5833333342</v>
      </c>
      <c r="AJ261" s="2">
        <v>-0.51006546344139048</v>
      </c>
      <c r="AK261" s="2">
        <v>-4.4052846898962821E-2</v>
      </c>
      <c r="AL261" s="2">
        <v>-0.20279441644541851</v>
      </c>
      <c r="AM261" s="31"/>
      <c r="AN261" s="2">
        <f t="shared" si="35"/>
        <v>0.57097077517882566</v>
      </c>
      <c r="AO261" s="2">
        <f t="shared" ref="AO261:AO324" si="37">AVERAGE(AK261,AF261,AA261)</f>
        <v>-0.50634653902826077</v>
      </c>
      <c r="AP261" s="2">
        <f t="shared" ref="AP261:AP324" si="38">AVERAGE(AL261,AG261,AB261)</f>
        <v>-0.19752397998727778</v>
      </c>
      <c r="AQ261" s="31"/>
      <c r="AR261" s="31">
        <v>1994.5833333342</v>
      </c>
      <c r="AS261" s="2">
        <v>0.7369341952874976</v>
      </c>
      <c r="AT261" s="2">
        <v>-0.65870957567408583</v>
      </c>
      <c r="AU261" s="2">
        <v>-0.13763467716305175</v>
      </c>
      <c r="AV261" s="31"/>
      <c r="AW261" s="31">
        <v>1994.5833333342</v>
      </c>
      <c r="AX261" s="2">
        <v>0.89269817840230925</v>
      </c>
      <c r="AY261" s="2">
        <v>-0.53553372549108424</v>
      </c>
      <c r="AZ261" s="2">
        <v>0.60397144294820981</v>
      </c>
      <c r="BA261" s="31"/>
      <c r="BB261" s="31">
        <v>1994.5833333342</v>
      </c>
      <c r="BC261" s="2">
        <v>-1.0056700410538237</v>
      </c>
      <c r="BD261" s="2">
        <v>0.77441334649330551</v>
      </c>
      <c r="BE261" s="2">
        <v>-0.82525349954252303</v>
      </c>
      <c r="BG261" s="2">
        <f t="shared" si="36"/>
        <v>0.20798744421199436</v>
      </c>
      <c r="BH261" s="2">
        <f t="shared" ref="BH261:BH324" si="39">AVERAGE(BD261,AY261,AT261)</f>
        <v>-0.13994331822395487</v>
      </c>
      <c r="BI261" s="2">
        <f t="shared" ref="BI261:BI324" si="40">AVERAGE(BE261,AZ261,AU261)</f>
        <v>-0.119638911252455</v>
      </c>
    </row>
    <row r="262" spans="1:61" x14ac:dyDescent="0.3">
      <c r="A262" s="31">
        <v>1994.5000000008699</v>
      </c>
      <c r="B262">
        <v>0.87610605128803076</v>
      </c>
      <c r="C262">
        <v>3.0400000000000205E-2</v>
      </c>
      <c r="D262">
        <v>2.6633623959156316E-2</v>
      </c>
      <c r="F262" s="31">
        <v>1994.5000000008699</v>
      </c>
      <c r="G262" s="2">
        <v>0.96649255324986383</v>
      </c>
      <c r="H262" s="2">
        <v>6.1499999999999902E-2</v>
      </c>
      <c r="I262" s="2">
        <v>5.943929202486653E-2</v>
      </c>
      <c r="K262" s="31">
        <v>1994.5000000008699</v>
      </c>
      <c r="L262" s="2"/>
      <c r="M262" s="2"/>
      <c r="N262" s="2"/>
      <c r="P262" s="31">
        <v>1994.5000000008699</v>
      </c>
      <c r="Q262" s="2">
        <v>0.57983160384366661</v>
      </c>
      <c r="R262" s="2">
        <v>9.5800000000000607E-2</v>
      </c>
      <c r="S262" s="2">
        <v>3.0593770316129969E-2</v>
      </c>
      <c r="U262" s="2">
        <f t="shared" ref="U262:U325" si="41">AVERAGE(Q262,L262,G262)</f>
        <v>0.77316207854676522</v>
      </c>
      <c r="V262" s="2">
        <f t="shared" ref="V262:V325" si="42">AVERAGE(R262,M262,H262)</f>
        <v>7.8650000000000247E-2</v>
      </c>
      <c r="W262" s="2">
        <f t="shared" ref="W262:W325" si="43">AVERAGE(S262,N262,I262)</f>
        <v>4.5016531170498253E-2</v>
      </c>
      <c r="Y262" s="31">
        <v>1994.5000000008699</v>
      </c>
      <c r="Z262" s="2">
        <v>1.3498878665936287</v>
      </c>
      <c r="AA262" s="2">
        <v>-0.78876452892998072</v>
      </c>
      <c r="AB262" s="2">
        <v>-0.36223609957634134</v>
      </c>
      <c r="AD262" s="31">
        <v>1994.5000000008699</v>
      </c>
      <c r="AE262" s="2"/>
      <c r="AF262" s="2"/>
      <c r="AG262" s="2"/>
      <c r="AH262" s="31"/>
      <c r="AI262" s="31">
        <v>1994.5000000008699</v>
      </c>
      <c r="AJ262" s="2">
        <v>-0.18809143325238251</v>
      </c>
      <c r="AK262" s="2">
        <v>-4.5244348379574514E-2</v>
      </c>
      <c r="AL262" s="2">
        <v>-1.156188095038849</v>
      </c>
      <c r="AM262" s="31"/>
      <c r="AN262" s="2">
        <f t="shared" ref="AN262:AN325" si="44">AVERAGE(AJ262,AE262,Z262)</f>
        <v>0.58089821667062314</v>
      </c>
      <c r="AO262" s="2">
        <f t="shared" si="37"/>
        <v>-0.4170044386547776</v>
      </c>
      <c r="AP262" s="2">
        <f t="shared" si="38"/>
        <v>-0.7592120973075952</v>
      </c>
      <c r="AQ262" s="31"/>
      <c r="AR262" s="31">
        <v>1994.5000000008699</v>
      </c>
      <c r="AS262" s="2">
        <v>0.31578247161535555</v>
      </c>
      <c r="AT262" s="2">
        <v>-2.313009814913013E-2</v>
      </c>
      <c r="AU262" s="2">
        <v>0.27693123625283789</v>
      </c>
      <c r="AV262" s="31"/>
      <c r="AW262" s="31">
        <v>1994.5000000008699</v>
      </c>
      <c r="AX262" s="2"/>
      <c r="AY262" s="2"/>
      <c r="AZ262" s="2"/>
      <c r="BA262" s="31"/>
      <c r="BB262" s="31">
        <v>1994.5000000008699</v>
      </c>
      <c r="BC262" s="2">
        <v>-0.47658185235354</v>
      </c>
      <c r="BD262" s="2">
        <v>1.2373533970328761</v>
      </c>
      <c r="BE262" s="2">
        <v>-0.62447676352951198</v>
      </c>
      <c r="BG262" s="2">
        <f t="shared" ref="BG262:BG325" si="45">AVERAGE(BC262,AX262,AS262)</f>
        <v>-8.0399690369092225E-2</v>
      </c>
      <c r="BH262" s="2">
        <f t="shared" si="39"/>
        <v>0.60711164944187301</v>
      </c>
      <c r="BI262" s="2">
        <f t="shared" si="40"/>
        <v>-0.17377276363833705</v>
      </c>
    </row>
    <row r="263" spans="1:61" x14ac:dyDescent="0.3">
      <c r="A263" s="31">
        <v>1994.4166666675401</v>
      </c>
      <c r="B263">
        <v>0.81015174360927911</v>
      </c>
      <c r="C263">
        <v>0.24320000000000164</v>
      </c>
      <c r="D263">
        <v>0.197028904045778</v>
      </c>
      <c r="F263" s="31">
        <v>1994.4166666675401</v>
      </c>
      <c r="G263" s="2">
        <v>0.98129249615729763</v>
      </c>
      <c r="H263" s="2">
        <v>0.18449999999999961</v>
      </c>
      <c r="I263" s="2">
        <v>0.17740988818096479</v>
      </c>
      <c r="K263" s="31">
        <v>1994.4166666675401</v>
      </c>
      <c r="L263" s="2">
        <v>1.025764087653624</v>
      </c>
      <c r="M263" s="2">
        <v>9.2264999999999903E-2</v>
      </c>
      <c r="N263" s="2">
        <v>6.3101097085815072E-2</v>
      </c>
      <c r="P263" s="31">
        <v>1994.4166666675401</v>
      </c>
      <c r="Q263" s="2">
        <v>0.56669994569998727</v>
      </c>
      <c r="R263" s="2">
        <v>0.14380000000000059</v>
      </c>
      <c r="S263" s="2">
        <v>4.4282257076132231E-2</v>
      </c>
      <c r="U263" s="2">
        <f t="shared" si="41"/>
        <v>0.85791884317030298</v>
      </c>
      <c r="V263" s="2">
        <f t="shared" si="42"/>
        <v>0.14018833333333336</v>
      </c>
      <c r="W263" s="2">
        <f t="shared" si="43"/>
        <v>9.4931080780970692E-2</v>
      </c>
      <c r="Y263" s="31">
        <v>1994.4166666675401</v>
      </c>
      <c r="Z263" s="2">
        <v>1.435699063221195</v>
      </c>
      <c r="AA263" s="2">
        <v>1.6130881144920477</v>
      </c>
      <c r="AB263" s="2">
        <v>2.3527674014257567</v>
      </c>
      <c r="AD263" s="31">
        <v>1994.4166666675401</v>
      </c>
      <c r="AE263" s="2">
        <v>1.2883496907397718</v>
      </c>
      <c r="AF263" s="2">
        <v>6.6874490811640125E-2</v>
      </c>
      <c r="AG263" s="2">
        <v>0.11465302703705402</v>
      </c>
      <c r="AH263" s="31"/>
      <c r="AI263" s="31">
        <v>1994.4166666675401</v>
      </c>
      <c r="AJ263" s="2">
        <v>-0.25633712739239228</v>
      </c>
      <c r="AK263" s="2">
        <v>1.0985970730109507</v>
      </c>
      <c r="AL263" s="2">
        <v>-4.9913826077461212E-2</v>
      </c>
      <c r="AM263" s="31"/>
      <c r="AN263" s="2">
        <f t="shared" si="44"/>
        <v>0.82257054218952474</v>
      </c>
      <c r="AO263" s="2">
        <f t="shared" si="37"/>
        <v>0.92618655943821293</v>
      </c>
      <c r="AP263" s="2">
        <f t="shared" si="38"/>
        <v>0.80583553412844988</v>
      </c>
      <c r="AQ263" s="31"/>
      <c r="AR263" s="31">
        <v>1994.4166666675401</v>
      </c>
      <c r="AS263" s="2">
        <v>0.80917406722460372</v>
      </c>
      <c r="AT263" s="2">
        <v>0.30752807372934488</v>
      </c>
      <c r="AU263" s="2">
        <v>0.65578780582763951</v>
      </c>
      <c r="AV263" s="31"/>
      <c r="AW263" s="31">
        <v>1994.4166666675401</v>
      </c>
      <c r="AX263" s="2">
        <v>0.87184582036031444</v>
      </c>
      <c r="AY263" s="2">
        <v>-1.0196274698486036</v>
      </c>
      <c r="AZ263" s="2">
        <v>-0.68339725667453399</v>
      </c>
      <c r="BA263" s="31"/>
      <c r="BB263" s="31">
        <v>1994.4166666675401</v>
      </c>
      <c r="BC263" s="2">
        <v>-1.0138213515484822</v>
      </c>
      <c r="BD263" s="2">
        <v>-0.3489924073651578</v>
      </c>
      <c r="BE263" s="2">
        <v>-1.0139185016058399</v>
      </c>
      <c r="BG263" s="2">
        <f t="shared" si="45"/>
        <v>0.22239951201214533</v>
      </c>
      <c r="BH263" s="2">
        <f t="shared" si="39"/>
        <v>-0.35369726782813887</v>
      </c>
      <c r="BI263" s="2">
        <f t="shared" si="40"/>
        <v>-0.34717598415091144</v>
      </c>
    </row>
    <row r="264" spans="1:61" x14ac:dyDescent="0.3">
      <c r="A264" s="31">
        <v>1994.33333333421</v>
      </c>
      <c r="B264">
        <v>0.83129280432126584</v>
      </c>
      <c r="C264">
        <v>0.25840000000000174</v>
      </c>
      <c r="D264">
        <v>0.21480606063661653</v>
      </c>
      <c r="F264" s="31">
        <v>1994.33333333421</v>
      </c>
      <c r="G264" s="2">
        <v>0.94957085161934374</v>
      </c>
      <c r="H264" s="2">
        <v>0.15374999999999969</v>
      </c>
      <c r="I264" s="2">
        <v>0.13829639389377224</v>
      </c>
      <c r="K264" s="31">
        <v>1994.33333333421</v>
      </c>
      <c r="L264" s="2">
        <v>1.05092651585624</v>
      </c>
      <c r="M264" s="2">
        <v>9.2264999999999903E-2</v>
      </c>
      <c r="N264" s="2">
        <v>6.4650011498277538E-2</v>
      </c>
      <c r="P264" s="31">
        <v>1994.33333333421</v>
      </c>
      <c r="Q264" s="2">
        <v>0.56074268989462395</v>
      </c>
      <c r="R264" s="2">
        <v>0.14380000000000059</v>
      </c>
      <c r="S264" s="2">
        <v>4.1484950440351588E-2</v>
      </c>
      <c r="U264" s="2">
        <f t="shared" si="41"/>
        <v>0.85374668579006929</v>
      </c>
      <c r="V264" s="2">
        <f t="shared" si="42"/>
        <v>0.12993833333333341</v>
      </c>
      <c r="W264" s="2">
        <f t="shared" si="43"/>
        <v>8.1477118610800453E-2</v>
      </c>
      <c r="Y264" s="31">
        <v>1994.33333333421</v>
      </c>
      <c r="Z264" s="2">
        <v>1.2517745512267016</v>
      </c>
      <c r="AA264" s="2">
        <v>1.0126249536365408</v>
      </c>
      <c r="AB264" s="2">
        <v>1.4526000937549639</v>
      </c>
      <c r="AD264" s="31">
        <v>1994.33333333421</v>
      </c>
      <c r="AE264" s="2">
        <v>1.4380851784601951</v>
      </c>
      <c r="AF264" s="2">
        <v>6.6874490811640125E-2</v>
      </c>
      <c r="AG264" s="2">
        <v>0.17355020394264611</v>
      </c>
      <c r="AH264" s="31"/>
      <c r="AI264" s="31">
        <v>1994.33333333421</v>
      </c>
      <c r="AJ264" s="2">
        <v>-0.50030518650618039</v>
      </c>
      <c r="AK264" s="2">
        <v>1.0985970730109507</v>
      </c>
      <c r="AL264" s="2">
        <v>-0.27598617489263139</v>
      </c>
      <c r="AM264" s="31"/>
      <c r="AN264" s="2">
        <f t="shared" si="44"/>
        <v>0.7298515143935721</v>
      </c>
      <c r="AO264" s="2">
        <f t="shared" si="37"/>
        <v>0.72603217248637719</v>
      </c>
      <c r="AP264" s="2">
        <f t="shared" si="38"/>
        <v>0.4500547076016595</v>
      </c>
      <c r="AQ264" s="31"/>
      <c r="AR264" s="31">
        <v>1994.33333333421</v>
      </c>
      <c r="AS264" s="2">
        <v>1.2706197207479468</v>
      </c>
      <c r="AT264" s="2">
        <v>-1.8664175683888028E-2</v>
      </c>
      <c r="AU264" s="2">
        <v>0.55302445271763301</v>
      </c>
      <c r="AV264" s="31"/>
      <c r="AW264" s="31">
        <v>1994.33333333421</v>
      </c>
      <c r="AX264" s="2">
        <v>1.2176773877297296</v>
      </c>
      <c r="AY264" s="2">
        <v>-0.6035549277918324</v>
      </c>
      <c r="AZ264" s="2">
        <v>-0.23747783060538324</v>
      </c>
      <c r="BA264" s="31"/>
      <c r="BB264" s="31">
        <v>1994.33333333421</v>
      </c>
      <c r="BC264" s="2">
        <v>-0.83745448517106769</v>
      </c>
      <c r="BD264" s="2">
        <v>0.38139101458033026</v>
      </c>
      <c r="BE264" s="2">
        <v>-0.73214221727907924</v>
      </c>
      <c r="BG264" s="2">
        <f t="shared" si="45"/>
        <v>0.55028087443553619</v>
      </c>
      <c r="BH264" s="2">
        <f t="shared" si="39"/>
        <v>-8.0276029631796725E-2</v>
      </c>
      <c r="BI264" s="2">
        <f t="shared" si="40"/>
        <v>-0.13886519838894318</v>
      </c>
    </row>
    <row r="265" spans="1:61" x14ac:dyDescent="0.3">
      <c r="A265" s="31">
        <v>1994.2500000008799</v>
      </c>
      <c r="B265">
        <v>0.81343041608972178</v>
      </c>
      <c r="C265">
        <v>0.24320000000000164</v>
      </c>
      <c r="D265">
        <v>0.19782627719302168</v>
      </c>
      <c r="F265" s="31">
        <v>1994.2500000008799</v>
      </c>
      <c r="G265" s="2">
        <v>0.97913262432820725</v>
      </c>
      <c r="H265" s="2">
        <v>0.15374999999999969</v>
      </c>
      <c r="I265" s="2">
        <v>0.14600799371743856</v>
      </c>
      <c r="K265" s="31">
        <v>1994.2500000008799</v>
      </c>
      <c r="L265" s="2">
        <v>1.0553677182289207</v>
      </c>
      <c r="M265" s="2">
        <v>9.2264999999999903E-2</v>
      </c>
      <c r="N265" s="2">
        <v>6.4924689970069394E-2</v>
      </c>
      <c r="P265" s="31">
        <v>1994.2500000008799</v>
      </c>
      <c r="Q265" s="2">
        <v>0.55504707216547899</v>
      </c>
      <c r="R265" s="2">
        <v>0.14380000000000059</v>
      </c>
      <c r="S265" s="2">
        <v>4.0218303278478217E-2</v>
      </c>
      <c r="U265" s="2">
        <f t="shared" si="41"/>
        <v>0.86318247157420236</v>
      </c>
      <c r="V265" s="2">
        <f t="shared" si="42"/>
        <v>0.12993833333333341</v>
      </c>
      <c r="W265" s="2">
        <f t="shared" si="43"/>
        <v>8.371699565532871E-2</v>
      </c>
      <c r="Y265" s="31">
        <v>1994.2500000008799</v>
      </c>
      <c r="Z265" s="2">
        <v>1.4231759617892752</v>
      </c>
      <c r="AA265" s="2">
        <v>1.0126249536365408</v>
      </c>
      <c r="AB265" s="2">
        <v>1.6300766955674819</v>
      </c>
      <c r="AD265" s="31">
        <v>1994.2500000008799</v>
      </c>
      <c r="AE265" s="2">
        <v>1.4645136931481899</v>
      </c>
      <c r="AF265" s="2">
        <v>6.6874490811640125E-2</v>
      </c>
      <c r="AG265" s="2">
        <v>0.18399480076162927</v>
      </c>
      <c r="AH265" s="31"/>
      <c r="AI265" s="31">
        <v>1994.2500000008799</v>
      </c>
      <c r="AJ265" s="2">
        <v>-0.67698230237773693</v>
      </c>
      <c r="AK265" s="2">
        <v>1.0985970730109507</v>
      </c>
      <c r="AL265" s="2">
        <v>-0.37835389366253647</v>
      </c>
      <c r="AM265" s="31"/>
      <c r="AN265" s="2">
        <f t="shared" si="44"/>
        <v>0.7369024508532428</v>
      </c>
      <c r="AO265" s="2">
        <f t="shared" si="37"/>
        <v>0.72603217248637719</v>
      </c>
      <c r="AP265" s="2">
        <f t="shared" si="38"/>
        <v>0.47857253422219159</v>
      </c>
      <c r="AQ265" s="31"/>
      <c r="AR265" s="31">
        <v>1994.2500000008799</v>
      </c>
      <c r="AS265" s="2">
        <v>1.9173917898744499</v>
      </c>
      <c r="AT265" s="2">
        <v>-6.2988546229767878E-2</v>
      </c>
      <c r="AU265" s="2">
        <v>0.88175772027825472</v>
      </c>
      <c r="AV265" s="31"/>
      <c r="AW265" s="31">
        <v>1994.2500000008799</v>
      </c>
      <c r="AX265" s="2">
        <v>1.5441622563692647</v>
      </c>
      <c r="AY265" s="2">
        <v>-0.8205967459488962</v>
      </c>
      <c r="AZ265" s="2">
        <v>-0.33672025259347477</v>
      </c>
      <c r="BA265" s="31"/>
      <c r="BB265" s="31">
        <v>1994.2500000008799</v>
      </c>
      <c r="BC265" s="2">
        <v>-0.46992835165270269</v>
      </c>
      <c r="BD265" s="2">
        <v>3.3388824798885192E-2</v>
      </c>
      <c r="BE265" s="2">
        <v>-0.43894049028572329</v>
      </c>
      <c r="BG265" s="2">
        <f t="shared" si="45"/>
        <v>0.99720856486367071</v>
      </c>
      <c r="BH265" s="2">
        <f t="shared" si="39"/>
        <v>-0.28339882245992631</v>
      </c>
      <c r="BI265" s="2">
        <f t="shared" si="40"/>
        <v>3.5365659133018888E-2</v>
      </c>
    </row>
    <row r="266" spans="1:61" x14ac:dyDescent="0.3">
      <c r="A266" s="31">
        <v>1994.1666666675501</v>
      </c>
      <c r="B266">
        <v>0.65714197295555632</v>
      </c>
      <c r="C266">
        <v>0.25840000000000174</v>
      </c>
      <c r="D266">
        <v>0.16980548581171689</v>
      </c>
      <c r="F266" s="31">
        <v>1994.1666666675501</v>
      </c>
      <c r="G266" s="2">
        <v>0.91677844206173731</v>
      </c>
      <c r="H266" s="2">
        <v>0.15374999999999969</v>
      </c>
      <c r="I266" s="2">
        <v>0.13215065217669864</v>
      </c>
      <c r="K266" s="31">
        <v>1994.1666666675501</v>
      </c>
      <c r="L266" s="2">
        <v>0.98654203544679464</v>
      </c>
      <c r="M266" s="2">
        <v>9.2264999999999903E-2</v>
      </c>
      <c r="N266" s="2">
        <v>6.0691882226771549E-2</v>
      </c>
      <c r="P266" s="31">
        <v>1994.1666666675501</v>
      </c>
      <c r="Q266" s="2">
        <v>0.54184401984582298</v>
      </c>
      <c r="R266" s="2">
        <v>0.11985000000000046</v>
      </c>
      <c r="S266" s="2">
        <v>3.9591393171303675E-2</v>
      </c>
      <c r="U266" s="2">
        <f t="shared" si="41"/>
        <v>0.81505483245145172</v>
      </c>
      <c r="V266" s="2">
        <f t="shared" si="42"/>
        <v>0.12195500000000002</v>
      </c>
      <c r="W266" s="2">
        <f t="shared" si="43"/>
        <v>7.7477975858257955E-2</v>
      </c>
      <c r="Y266" s="31">
        <v>1994.1666666675501</v>
      </c>
      <c r="Z266" s="2">
        <v>1.0616416620635927</v>
      </c>
      <c r="AA266" s="2">
        <v>1.0126249536365408</v>
      </c>
      <c r="AB266" s="2">
        <v>1.3111605247285345</v>
      </c>
      <c r="AD266" s="31">
        <v>1994.1666666675501</v>
      </c>
      <c r="AE266" s="2">
        <v>1.0549488015531332</v>
      </c>
      <c r="AF266" s="2">
        <v>6.6874490811640125E-2</v>
      </c>
      <c r="AG266" s="2">
        <v>2.3043088737699436E-2</v>
      </c>
      <c r="AH266" s="31"/>
      <c r="AI266" s="31">
        <v>1994.1666666675501</v>
      </c>
      <c r="AJ266" s="2">
        <v>-0.7584448208589436</v>
      </c>
      <c r="AK266" s="2">
        <v>0.52786786379629969</v>
      </c>
      <c r="AL266" s="2">
        <v>-0.42901942979363955</v>
      </c>
      <c r="AM266" s="31"/>
      <c r="AN266" s="2">
        <f t="shared" si="44"/>
        <v>0.45271521425259409</v>
      </c>
      <c r="AO266" s="2">
        <f t="shared" si="37"/>
        <v>0.53578910274816016</v>
      </c>
      <c r="AP266" s="2">
        <f t="shared" si="38"/>
        <v>0.30172806122419815</v>
      </c>
      <c r="AQ266" s="31"/>
      <c r="AR266" s="31">
        <v>1994.1666666675501</v>
      </c>
      <c r="AS266" s="2">
        <v>1.5941533224824469</v>
      </c>
      <c r="AT266" s="2">
        <v>0.16876039905140139</v>
      </c>
      <c r="AU266" s="2">
        <v>0.87533032800528643</v>
      </c>
      <c r="AV266" s="31"/>
      <c r="AW266" s="31">
        <v>1994.1666666675501</v>
      </c>
      <c r="AX266" s="2">
        <v>1.2135503035204975</v>
      </c>
      <c r="AY266" s="2">
        <v>-0.48231704140909132</v>
      </c>
      <c r="AZ266" s="2">
        <v>-0.14761854672722072</v>
      </c>
      <c r="BA266" s="31"/>
      <c r="BB266" s="31">
        <v>1994.1666666675501</v>
      </c>
      <c r="BC266" s="2">
        <v>-0.19933809132901284</v>
      </c>
      <c r="BD266" s="2">
        <v>0.30997808578706199</v>
      </c>
      <c r="BE266" s="2">
        <v>6.3627019476560145E-3</v>
      </c>
      <c r="BG266" s="2">
        <f t="shared" si="45"/>
        <v>0.86945517822464391</v>
      </c>
      <c r="BH266" s="2">
        <f t="shared" si="39"/>
        <v>-1.1928521902093148E-3</v>
      </c>
      <c r="BI266" s="2">
        <f t="shared" si="40"/>
        <v>0.24469149440857393</v>
      </c>
    </row>
    <row r="267" spans="1:61" x14ac:dyDescent="0.3">
      <c r="A267" s="31">
        <v>1994.08333333422</v>
      </c>
      <c r="B267">
        <v>0.54871092800571697</v>
      </c>
      <c r="C267">
        <v>4.5600000000000307E-2</v>
      </c>
      <c r="D267">
        <v>2.5021218317060862E-2</v>
      </c>
      <c r="F267" s="31">
        <v>1994.08333333422</v>
      </c>
      <c r="G267" s="2">
        <v>0.84546255935636205</v>
      </c>
      <c r="H267" s="2">
        <v>9.2249999999999749E-2</v>
      </c>
      <c r="I267" s="2">
        <v>8.130378002929349E-2</v>
      </c>
      <c r="K267" s="31">
        <v>1994.08333333422</v>
      </c>
      <c r="L267" s="2">
        <v>0.90007214742156871</v>
      </c>
      <c r="M267" s="2">
        <v>6.1514999999999952E-2</v>
      </c>
      <c r="N267" s="2">
        <v>5.5372204118160864E-2</v>
      </c>
      <c r="P267" s="31">
        <v>1994.08333333422</v>
      </c>
      <c r="Q267" s="2">
        <v>0.55164774215703871</v>
      </c>
      <c r="R267" s="2">
        <v>0.16775000000000076</v>
      </c>
      <c r="S267" s="2">
        <v>3.8821841531046272E-2</v>
      </c>
      <c r="U267" s="2">
        <f t="shared" si="41"/>
        <v>0.76572748297832316</v>
      </c>
      <c r="V267" s="2">
        <f t="shared" si="42"/>
        <v>0.10717166666666682</v>
      </c>
      <c r="W267" s="2">
        <f t="shared" si="43"/>
        <v>5.849927522616688E-2</v>
      </c>
      <c r="Y267" s="31">
        <v>1994.08333333422</v>
      </c>
      <c r="Z267" s="2">
        <v>0.64814674037537623</v>
      </c>
      <c r="AA267" s="2">
        <v>-0.1883013680744752</v>
      </c>
      <c r="AB267" s="2">
        <v>0.14095845409947272</v>
      </c>
      <c r="AD267" s="31">
        <v>1994.08333333422</v>
      </c>
      <c r="AE267" s="2">
        <v>0.54038753773831838</v>
      </c>
      <c r="AF267" s="2">
        <v>-0.68622224125583742</v>
      </c>
      <c r="AG267" s="2">
        <v>-0.17923666288882337</v>
      </c>
      <c r="AH267" s="31"/>
      <c r="AI267" s="31">
        <v>1994.08333333422</v>
      </c>
      <c r="AJ267" s="2">
        <v>-0.8100292938048812</v>
      </c>
      <c r="AK267" s="2">
        <v>1.6693262822256021</v>
      </c>
      <c r="AL267" s="2">
        <v>-0.49121295002564908</v>
      </c>
      <c r="AM267" s="31"/>
      <c r="AN267" s="2">
        <f t="shared" si="44"/>
        <v>0.12616832810293779</v>
      </c>
      <c r="AO267" s="2">
        <f t="shared" si="37"/>
        <v>0.26493422429842983</v>
      </c>
      <c r="AP267" s="2">
        <f t="shared" si="38"/>
        <v>-0.17649705293833326</v>
      </c>
      <c r="AQ267" s="31"/>
      <c r="AR267" s="31">
        <v>1994.08333333422</v>
      </c>
      <c r="AS267" s="2">
        <v>1.6683761743139844</v>
      </c>
      <c r="AT267" s="2">
        <v>0.50956041230593607</v>
      </c>
      <c r="AU267" s="2">
        <v>1.7557409771643757</v>
      </c>
      <c r="AV267" s="31"/>
      <c r="AW267" s="31">
        <v>1994.08333333422</v>
      </c>
      <c r="AX267" s="2">
        <v>0.9027080239467693</v>
      </c>
      <c r="AY267" s="2">
        <v>-0.87038484719517628</v>
      </c>
      <c r="AZ267" s="2">
        <v>0.14789180051901002</v>
      </c>
      <c r="BA267" s="31"/>
      <c r="BB267" s="31">
        <v>1994.08333333422</v>
      </c>
      <c r="BC267" s="2">
        <v>-0.14332149591685392</v>
      </c>
      <c r="BD267" s="2">
        <v>2.8163225171876922</v>
      </c>
      <c r="BE267" s="2">
        <v>-0.15050008960404596</v>
      </c>
      <c r="BG267" s="2">
        <f t="shared" si="45"/>
        <v>0.80925423411463326</v>
      </c>
      <c r="BH267" s="2">
        <f t="shared" si="39"/>
        <v>0.81849936076615071</v>
      </c>
      <c r="BI267" s="2">
        <f t="shared" si="40"/>
        <v>0.58437756269311325</v>
      </c>
    </row>
    <row r="268" spans="1:61" x14ac:dyDescent="0.3">
      <c r="A268" s="31">
        <v>1994.0000000008899</v>
      </c>
      <c r="B268">
        <v>0.56561032245789244</v>
      </c>
      <c r="C268">
        <v>6.0800000000000409E-2</v>
      </c>
      <c r="D268">
        <v>3.4389107605440089E-2</v>
      </c>
      <c r="F268" s="31">
        <v>1994.0000000008899</v>
      </c>
      <c r="G268" s="2">
        <v>0.89720555468072916</v>
      </c>
      <c r="H268" s="2">
        <v>6.1499999999999798E-2</v>
      </c>
      <c r="I268" s="2">
        <v>5.5178141612864662E-2</v>
      </c>
      <c r="K268" s="31">
        <v>1994.0000000008899</v>
      </c>
      <c r="L268" s="2">
        <v>0.85883201388391361</v>
      </c>
      <c r="M268" s="2">
        <v>6.1514999999999952E-2</v>
      </c>
      <c r="N268" s="2">
        <v>5.2834313361633994E-2</v>
      </c>
      <c r="P268" s="31">
        <v>1994.0000000008899</v>
      </c>
      <c r="Q268" s="2">
        <v>0.6061221630536</v>
      </c>
      <c r="R268" s="2">
        <v>9.5850000000000463E-2</v>
      </c>
      <c r="S268" s="2">
        <v>4.0856975031977084E-2</v>
      </c>
      <c r="U268" s="2">
        <f t="shared" si="41"/>
        <v>0.78738657720608085</v>
      </c>
      <c r="V268" s="2">
        <f t="shared" si="42"/>
        <v>7.2955000000000075E-2</v>
      </c>
      <c r="W268" s="2">
        <f t="shared" si="43"/>
        <v>4.9623143335491914E-2</v>
      </c>
      <c r="Y268" s="31">
        <v>1994.0000000008899</v>
      </c>
      <c r="Z268" s="2">
        <v>0.94815656971385953</v>
      </c>
      <c r="AA268" s="2">
        <v>-0.78876452892998272</v>
      </c>
      <c r="AB268" s="2">
        <v>-0.46030323379318888</v>
      </c>
      <c r="AD268" s="31">
        <v>1994.0000000008899</v>
      </c>
      <c r="AE268" s="2">
        <v>0.29497753759078899</v>
      </c>
      <c r="AF268" s="2">
        <v>-0.68622224125583742</v>
      </c>
      <c r="AG268" s="2">
        <v>-0.27573947779684344</v>
      </c>
      <c r="AH268" s="31"/>
      <c r="AI268" s="31">
        <v>1994.0000000008899</v>
      </c>
      <c r="AJ268" s="2">
        <v>-0.65408244499347046</v>
      </c>
      <c r="AK268" s="2">
        <v>-4.4052846898962821E-2</v>
      </c>
      <c r="AL268" s="2">
        <v>-0.32673780639182554</v>
      </c>
      <c r="AM268" s="31"/>
      <c r="AN268" s="2">
        <f t="shared" si="44"/>
        <v>0.19635055410372604</v>
      </c>
      <c r="AO268" s="2">
        <f t="shared" si="37"/>
        <v>-0.50634653902826099</v>
      </c>
      <c r="AP268" s="2">
        <f t="shared" si="38"/>
        <v>-0.35426017266061932</v>
      </c>
      <c r="AQ268" s="31"/>
      <c r="AR268" s="31">
        <v>1994.0000000008899</v>
      </c>
      <c r="AS268" s="2">
        <v>1.0586139102568797</v>
      </c>
      <c r="AT268" s="2">
        <v>-0.29853293598826797</v>
      </c>
      <c r="AU268" s="2">
        <v>0.69824542839861459</v>
      </c>
      <c r="AV268" s="31"/>
      <c r="AW268" s="31">
        <v>1994.0000000008899</v>
      </c>
      <c r="AX268" s="2">
        <v>0.46348543404638165</v>
      </c>
      <c r="AY268" s="2">
        <v>-0.21981065223360952</v>
      </c>
      <c r="AZ268" s="2">
        <v>0.37893949861446141</v>
      </c>
      <c r="BA268" s="31"/>
      <c r="BB268" s="31">
        <v>1994.0000000008899</v>
      </c>
      <c r="BC268" s="2">
        <v>-7.772236645905059E-2</v>
      </c>
      <c r="BD268" s="2">
        <v>0.75540652012817533</v>
      </c>
      <c r="BE268" s="2">
        <v>0.29802321710793228</v>
      </c>
      <c r="BG268" s="2">
        <f t="shared" si="45"/>
        <v>0.48145899261473685</v>
      </c>
      <c r="BH268" s="2">
        <f t="shared" si="39"/>
        <v>7.9020977302099282E-2</v>
      </c>
      <c r="BI268" s="2">
        <f t="shared" si="40"/>
        <v>0.45840271470700272</v>
      </c>
    </row>
    <row r="269" spans="1:61" x14ac:dyDescent="0.3">
      <c r="A269" s="31">
        <v>1993.9166666675601</v>
      </c>
      <c r="B269">
        <v>0.60001324977632031</v>
      </c>
      <c r="C269">
        <v>4.5600000000000307E-2</v>
      </c>
      <c r="D269">
        <v>2.7360604189800391E-2</v>
      </c>
      <c r="F269" s="31">
        <v>1993.9166666675601</v>
      </c>
      <c r="G269" s="2">
        <v>0.83006864053835117</v>
      </c>
      <c r="H269" s="2">
        <v>6.1499999999999846E-2</v>
      </c>
      <c r="I269" s="2">
        <v>5.1049221393108468E-2</v>
      </c>
      <c r="K269" s="31">
        <v>1993.9166666675601</v>
      </c>
      <c r="L269" s="2">
        <v>0.82351596157424944</v>
      </c>
      <c r="M269" s="2">
        <v>6.1514999999999952E-2</v>
      </c>
      <c r="N269" s="2">
        <v>5.0660912364855037E-2</v>
      </c>
      <c r="P269" s="31">
        <v>1993.9166666675601</v>
      </c>
      <c r="Q269" s="2">
        <v>0.6659499098424182</v>
      </c>
      <c r="R269" s="2">
        <v>9.5850000000000463E-2</v>
      </c>
      <c r="S269" s="2">
        <v>4.2962797892150587E-2</v>
      </c>
      <c r="U269" s="2">
        <f t="shared" si="41"/>
        <v>0.77317817065167294</v>
      </c>
      <c r="V269" s="2">
        <f t="shared" si="42"/>
        <v>7.2955000000000089E-2</v>
      </c>
      <c r="W269" s="2">
        <f t="shared" si="43"/>
        <v>4.8224310550038028E-2</v>
      </c>
      <c r="Y269" s="31">
        <v>1993.9166666675601</v>
      </c>
      <c r="Z269" s="2">
        <v>0.55889162616154897</v>
      </c>
      <c r="AA269" s="2">
        <v>-0.78876452892998183</v>
      </c>
      <c r="AB269" s="2">
        <v>-0.5553271907558488</v>
      </c>
      <c r="AD269" s="31">
        <v>1993.9166666675601</v>
      </c>
      <c r="AE269" s="2">
        <v>8.4820303385634219E-2</v>
      </c>
      <c r="AF269" s="2">
        <v>-0.68622224125583742</v>
      </c>
      <c r="AG269" s="2">
        <v>-0.35838263868691128</v>
      </c>
      <c r="AH269" s="31"/>
      <c r="AI269" s="31">
        <v>1993.9166666675601</v>
      </c>
      <c r="AJ269" s="2">
        <v>-0.47767390810060406</v>
      </c>
      <c r="AK269" s="2">
        <v>-4.4052846898962821E-2</v>
      </c>
      <c r="AL269" s="2">
        <v>-0.15654969969709875</v>
      </c>
      <c r="AM269" s="31"/>
      <c r="AN269" s="2">
        <f t="shared" si="44"/>
        <v>5.5346007148859712E-2</v>
      </c>
      <c r="AO269" s="2">
        <f t="shared" si="37"/>
        <v>-0.50634653902826077</v>
      </c>
      <c r="AP269" s="2">
        <f t="shared" si="38"/>
        <v>-0.35675317637995296</v>
      </c>
      <c r="AQ269" s="31"/>
      <c r="AR269" s="31">
        <v>1993.9166666675601</v>
      </c>
      <c r="AS269" s="2">
        <v>0.91745104754801421</v>
      </c>
      <c r="AT269" s="2">
        <v>-0.68444756444045252</v>
      </c>
      <c r="AU269" s="2">
        <v>-8.0999415896121529E-2</v>
      </c>
      <c r="AV269" s="31"/>
      <c r="AW269" s="31">
        <v>1993.9166666675601</v>
      </c>
      <c r="AX269" s="2">
        <v>0.28551521484983861</v>
      </c>
      <c r="AY269" s="2">
        <v>-0.51751295497595129</v>
      </c>
      <c r="AZ269" s="2">
        <v>0.14642014961106364</v>
      </c>
      <c r="BA269" s="31"/>
      <c r="BB269" s="31">
        <v>1993.9166666675601</v>
      </c>
      <c r="BC269" s="2">
        <v>-9.1778663470689789E-2</v>
      </c>
      <c r="BD269" s="2">
        <v>0.88737234882057547</v>
      </c>
      <c r="BE269" s="2">
        <v>0.17737950050723966</v>
      </c>
      <c r="BG269" s="2">
        <f t="shared" si="45"/>
        <v>0.37039586630905436</v>
      </c>
      <c r="BH269" s="2">
        <f t="shared" si="39"/>
        <v>-0.10486272353194277</v>
      </c>
      <c r="BI269" s="2">
        <f t="shared" si="40"/>
        <v>8.0933411407393921E-2</v>
      </c>
    </row>
    <row r="270" spans="1:61" x14ac:dyDescent="0.3">
      <c r="A270" s="31">
        <v>1993.83333333423</v>
      </c>
      <c r="B270">
        <v>0.63086468929321471</v>
      </c>
      <c r="C270">
        <v>4.5600000000000307E-2</v>
      </c>
      <c r="D270">
        <v>2.8767429831770785E-2</v>
      </c>
      <c r="F270" s="31">
        <v>1993.83333333423</v>
      </c>
      <c r="G270" s="2">
        <v>0.84025590458390309</v>
      </c>
      <c r="H270" s="2">
        <v>6.1499999999999798E-2</v>
      </c>
      <c r="I270" s="2">
        <v>5.1675738131909871E-2</v>
      </c>
      <c r="K270" s="31">
        <v>1993.83333333423</v>
      </c>
      <c r="L270" s="2">
        <v>0.80159015819760571</v>
      </c>
      <c r="M270" s="2">
        <v>6.1514999999999952E-2</v>
      </c>
      <c r="N270" s="2">
        <v>4.9311399395067554E-2</v>
      </c>
      <c r="P270" s="31">
        <v>1993.83333333423</v>
      </c>
      <c r="Q270" s="2">
        <v>0.76819931809367326</v>
      </c>
      <c r="R270" s="2">
        <v>9.5850000000000463E-2</v>
      </c>
      <c r="S270" s="2">
        <v>4.4483682740562538E-2</v>
      </c>
      <c r="U270" s="2">
        <f t="shared" si="41"/>
        <v>0.80334846029172746</v>
      </c>
      <c r="V270" s="2">
        <f t="shared" si="42"/>
        <v>7.2955000000000075E-2</v>
      </c>
      <c r="W270" s="2">
        <f t="shared" si="43"/>
        <v>4.8490273422513323E-2</v>
      </c>
      <c r="Y270" s="31">
        <v>1993.83333333423</v>
      </c>
      <c r="Z270" s="2">
        <v>0.61795815929463993</v>
      </c>
      <c r="AA270" s="2">
        <v>-0.78876452892998272</v>
      </c>
      <c r="AB270" s="2">
        <v>-0.54090838475921321</v>
      </c>
      <c r="AD270" s="31">
        <v>1993.83333333423</v>
      </c>
      <c r="AE270" s="2">
        <v>-4.5654817529863931E-2</v>
      </c>
      <c r="AF270" s="2">
        <v>-0.68622224125583742</v>
      </c>
      <c r="AG270" s="2">
        <v>-0.40969761353539436</v>
      </c>
      <c r="AH270" s="31"/>
      <c r="AI270" s="31">
        <v>1993.83333333423</v>
      </c>
      <c r="AJ270" s="2">
        <v>-0.32335610818226695</v>
      </c>
      <c r="AK270" s="2">
        <v>-4.4052846898962821E-2</v>
      </c>
      <c r="AL270" s="2">
        <v>-3.3635034011210686E-2</v>
      </c>
      <c r="AM270" s="31"/>
      <c r="AN270" s="2">
        <f t="shared" si="44"/>
        <v>8.2982411194169672E-2</v>
      </c>
      <c r="AO270" s="2">
        <f t="shared" si="37"/>
        <v>-0.50634653902826099</v>
      </c>
      <c r="AP270" s="2">
        <f t="shared" si="38"/>
        <v>-0.32808034410193943</v>
      </c>
      <c r="AQ270" s="31"/>
      <c r="AR270" s="31">
        <v>1993.83333333423</v>
      </c>
      <c r="AS270" s="2">
        <v>0.55081606519652071</v>
      </c>
      <c r="AT270" s="2">
        <v>-0.2854929317171821</v>
      </c>
      <c r="AU270" s="2">
        <v>0.2217802482234815</v>
      </c>
      <c r="AV270" s="31"/>
      <c r="AW270" s="31">
        <v>1993.83333333423</v>
      </c>
      <c r="AX270" s="2">
        <v>0.11413476815984142</v>
      </c>
      <c r="AY270" s="2">
        <v>-0.19138401234735175</v>
      </c>
      <c r="AZ270" s="2">
        <v>6.515065463167187E-2</v>
      </c>
      <c r="BA270" s="31"/>
      <c r="BB270" s="31">
        <v>1993.83333333423</v>
      </c>
      <c r="BC270" s="2">
        <v>-0.13582620221018377</v>
      </c>
      <c r="BD270" s="2">
        <v>0.77674476466510867</v>
      </c>
      <c r="BE270" s="2">
        <v>0.1865762711842327</v>
      </c>
      <c r="BG270" s="2">
        <f t="shared" si="45"/>
        <v>0.17637487704872612</v>
      </c>
      <c r="BH270" s="2">
        <f t="shared" si="39"/>
        <v>9.9955940200191593E-2</v>
      </c>
      <c r="BI270" s="2">
        <f t="shared" si="40"/>
        <v>0.15783572467979534</v>
      </c>
    </row>
    <row r="271" spans="1:61" x14ac:dyDescent="0.3">
      <c r="A271" s="31">
        <v>1993.7500000008999</v>
      </c>
      <c r="B271">
        <v>0.66284110350754033</v>
      </c>
      <c r="C271">
        <v>6.0800000000000409E-2</v>
      </c>
      <c r="D271">
        <v>4.0300739093258722E-2</v>
      </c>
      <c r="F271" s="31">
        <v>1993.7500000008999</v>
      </c>
      <c r="G271" s="2">
        <v>0.83118390561755306</v>
      </c>
      <c r="H271" s="2">
        <v>9.2249999999999749E-2</v>
      </c>
      <c r="I271" s="2">
        <v>7.5866113276965866E-2</v>
      </c>
      <c r="K271" s="31">
        <v>1993.7500000008999</v>
      </c>
      <c r="L271" s="2">
        <v>0.78852380545433798</v>
      </c>
      <c r="M271" s="2">
        <v>6.1514999999999952E-2</v>
      </c>
      <c r="N271" s="2">
        <v>4.850711441992564E-2</v>
      </c>
      <c r="P271" s="31">
        <v>1993.7500000008999</v>
      </c>
      <c r="Q271" s="2">
        <v>0.82260663499007358</v>
      </c>
      <c r="R271" s="2">
        <v>0.1198000000000006</v>
      </c>
      <c r="S271" s="2">
        <v>4.5978536720211384E-2</v>
      </c>
      <c r="U271" s="2">
        <f t="shared" si="41"/>
        <v>0.81410478202065484</v>
      </c>
      <c r="V271" s="2">
        <f t="shared" si="42"/>
        <v>9.1188333333333427E-2</v>
      </c>
      <c r="W271" s="2">
        <f t="shared" si="43"/>
        <v>5.6783921472367625E-2</v>
      </c>
      <c r="Y271" s="31">
        <v>1993.7500000008999</v>
      </c>
      <c r="Z271" s="2">
        <v>0.56535801806601926</v>
      </c>
      <c r="AA271" s="2">
        <v>-0.1883013680744752</v>
      </c>
      <c r="AB271" s="2">
        <v>1.5814691578195924E-2</v>
      </c>
      <c r="AD271" s="31">
        <v>1993.7500000008999</v>
      </c>
      <c r="AE271" s="2">
        <v>-0.12340950340461125</v>
      </c>
      <c r="AF271" s="2">
        <v>-0.68622224125583742</v>
      </c>
      <c r="AG271" s="2">
        <v>-0.4402803972465576</v>
      </c>
      <c r="AH271" s="31"/>
      <c r="AI271" s="31">
        <v>1993.7500000008999</v>
      </c>
      <c r="AJ271" s="2">
        <v>-0.12646630545870616</v>
      </c>
      <c r="AK271" s="2">
        <v>0.52667636231568804</v>
      </c>
      <c r="AL271" s="2">
        <v>8.7175872448677263E-2</v>
      </c>
      <c r="AM271" s="31"/>
      <c r="AN271" s="2">
        <f t="shared" si="44"/>
        <v>0.10516073640090062</v>
      </c>
      <c r="AO271" s="2">
        <f t="shared" si="37"/>
        <v>-0.11594908233820818</v>
      </c>
      <c r="AP271" s="2">
        <f t="shared" si="38"/>
        <v>-0.11242994440656147</v>
      </c>
      <c r="AQ271" s="31"/>
      <c r="AR271" s="31">
        <v>1993.7500000008999</v>
      </c>
      <c r="AS271" s="2">
        <v>0.60658842004642144</v>
      </c>
      <c r="AT271" s="2">
        <v>0.89414149018552613</v>
      </c>
      <c r="AU271" s="2">
        <v>0.98439142390144097</v>
      </c>
      <c r="AV271" s="31"/>
      <c r="AW271" s="31">
        <v>1993.7500000008999</v>
      </c>
      <c r="AX271" s="2">
        <v>-7.4735169362234039E-2</v>
      </c>
      <c r="AY271" s="2">
        <v>-0.6564669997761764</v>
      </c>
      <c r="AZ271" s="2">
        <v>-0.44618011180742445</v>
      </c>
      <c r="BA271" s="31"/>
      <c r="BB271" s="31">
        <v>1993.7500000008999</v>
      </c>
      <c r="BC271" s="2">
        <v>-0.1762495338173658</v>
      </c>
      <c r="BD271" s="2">
        <v>1.3307501689804029</v>
      </c>
      <c r="BE271" s="2">
        <v>-0.13483821680788624</v>
      </c>
      <c r="BG271" s="2">
        <f t="shared" si="45"/>
        <v>0.11853457228894053</v>
      </c>
      <c r="BH271" s="2">
        <f t="shared" si="39"/>
        <v>0.52280821979658421</v>
      </c>
      <c r="BI271" s="2">
        <f t="shared" si="40"/>
        <v>0.13445769842871011</v>
      </c>
    </row>
    <row r="272" spans="1:61" x14ac:dyDescent="0.3">
      <c r="A272" s="31">
        <v>1993.6666666675701</v>
      </c>
      <c r="B272">
        <v>0.71662601787179803</v>
      </c>
      <c r="C272">
        <v>4.5600000000000307E-2</v>
      </c>
      <c r="D272">
        <v>3.2678146414954208E-2</v>
      </c>
      <c r="F272" s="31">
        <v>1993.6666666675701</v>
      </c>
      <c r="G272" s="2">
        <v>0.77518870788268224</v>
      </c>
      <c r="H272" s="2">
        <v>6.1499999999999798E-2</v>
      </c>
      <c r="I272" s="2">
        <v>4.7674105534784801E-2</v>
      </c>
      <c r="K272" s="31">
        <v>1993.6666666675701</v>
      </c>
      <c r="L272" s="2">
        <v>0.77093538496278802</v>
      </c>
      <c r="M272" s="2">
        <v>6.1514999999999952E-2</v>
      </c>
      <c r="N272" s="2">
        <v>4.7424753442921019E-2</v>
      </c>
      <c r="P272" s="31">
        <v>1993.6666666675701</v>
      </c>
      <c r="Q272" s="2">
        <v>0.80483216595247509</v>
      </c>
      <c r="R272" s="2">
        <v>9.5850000000000463E-2</v>
      </c>
      <c r="S272" s="2">
        <v>4.827287653006819E-2</v>
      </c>
      <c r="U272" s="2">
        <f t="shared" si="41"/>
        <v>0.78365208626598182</v>
      </c>
      <c r="V272" s="2">
        <f t="shared" si="42"/>
        <v>7.2955000000000075E-2</v>
      </c>
      <c r="W272" s="2">
        <f t="shared" si="43"/>
        <v>4.7790578502591337E-2</v>
      </c>
      <c r="Y272" s="31">
        <v>1993.6666666675701</v>
      </c>
      <c r="Z272" s="2">
        <v>0.24069359516388991</v>
      </c>
      <c r="AA272" s="2">
        <v>-0.78876452892998272</v>
      </c>
      <c r="AB272" s="2">
        <v>-0.63300291394632424</v>
      </c>
      <c r="AD272" s="31">
        <v>1993.6666666675701</v>
      </c>
      <c r="AE272" s="2">
        <v>-0.22807391414142267</v>
      </c>
      <c r="AF272" s="2">
        <v>-0.68622224125583742</v>
      </c>
      <c r="AG272" s="2">
        <v>-0.48143696821357701</v>
      </c>
      <c r="AH272" s="31"/>
      <c r="AI272" s="31">
        <v>1993.6666666675701</v>
      </c>
      <c r="AJ272" s="2">
        <v>0.15627507394226056</v>
      </c>
      <c r="AK272" s="2">
        <v>-4.4052846898962821E-2</v>
      </c>
      <c r="AL272" s="2">
        <v>0.2725995164496251</v>
      </c>
      <c r="AM272" s="31"/>
      <c r="AN272" s="2">
        <f t="shared" si="44"/>
        <v>5.6298251654909266E-2</v>
      </c>
      <c r="AO272" s="2">
        <f t="shared" si="37"/>
        <v>-0.50634653902826099</v>
      </c>
      <c r="AP272" s="2">
        <f t="shared" si="38"/>
        <v>-0.28061345523675874</v>
      </c>
      <c r="AQ272" s="31"/>
      <c r="AR272" s="31">
        <v>1993.6666666675701</v>
      </c>
      <c r="AS272" s="2">
        <v>-1.1634513579782658E-2</v>
      </c>
      <c r="AT272" s="2">
        <v>-0.32631334910520099</v>
      </c>
      <c r="AU272" s="2">
        <v>-0.29359303530568054</v>
      </c>
      <c r="AV272" s="31"/>
      <c r="AW272" s="31">
        <v>1993.6666666675701</v>
      </c>
      <c r="AX272" s="2">
        <v>-0.22452259319330789</v>
      </c>
      <c r="AY272" s="2">
        <v>-0.23837245449551037</v>
      </c>
      <c r="AZ272" s="2">
        <v>-0.24051819170755087</v>
      </c>
      <c r="BA272" s="31"/>
      <c r="BB272" s="31">
        <v>1993.6666666675701</v>
      </c>
      <c r="BC272" s="2">
        <v>-0.12819141971099701</v>
      </c>
      <c r="BD272" s="2">
        <v>1.0283839161259722</v>
      </c>
      <c r="BE272" s="2">
        <v>0.3439518112039881</v>
      </c>
      <c r="BG272" s="2">
        <f t="shared" si="45"/>
        <v>-0.1214495088280292</v>
      </c>
      <c r="BH272" s="2">
        <f t="shared" si="39"/>
        <v>0.1545660375084203</v>
      </c>
      <c r="BI272" s="2">
        <f t="shared" si="40"/>
        <v>-6.3386471936414432E-2</v>
      </c>
    </row>
    <row r="273" spans="1:61" x14ac:dyDescent="0.3">
      <c r="A273" s="31">
        <v>1993.58333333424</v>
      </c>
      <c r="B273">
        <v>0.79637834439851429</v>
      </c>
      <c r="C273">
        <v>4.5600000000000307E-2</v>
      </c>
      <c r="D273">
        <v>3.6314852504572497E-2</v>
      </c>
      <c r="F273" s="31">
        <v>1993.58333333424</v>
      </c>
      <c r="G273" s="2">
        <v>0.84689058281329366</v>
      </c>
      <c r="H273" s="2">
        <v>6.1499999999999846E-2</v>
      </c>
      <c r="I273" s="2">
        <v>5.2083770843017435E-2</v>
      </c>
      <c r="K273" s="31">
        <v>1993.58333333424</v>
      </c>
      <c r="L273" s="2">
        <v>0.7544791527544894</v>
      </c>
      <c r="M273" s="2">
        <v>6.1514999999999952E-2</v>
      </c>
      <c r="N273" s="2">
        <v>4.641205883970291E-2</v>
      </c>
      <c r="P273" s="31">
        <v>1993.58333333424</v>
      </c>
      <c r="Q273" s="2">
        <v>0.76542829367538279</v>
      </c>
      <c r="R273" s="2">
        <v>9.5850000000000463E-2</v>
      </c>
      <c r="S273" s="2">
        <v>5.1403565214681396E-2</v>
      </c>
      <c r="U273" s="2">
        <f t="shared" si="41"/>
        <v>0.78893267641438858</v>
      </c>
      <c r="V273" s="2">
        <f t="shared" si="42"/>
        <v>7.2955000000000089E-2</v>
      </c>
      <c r="W273" s="2">
        <f t="shared" si="43"/>
        <v>4.9966464965800574E-2</v>
      </c>
      <c r="Y273" s="31">
        <v>1993.58333333424</v>
      </c>
      <c r="Z273" s="2">
        <v>0.65642652918388467</v>
      </c>
      <c r="AA273" s="2">
        <v>-0.78876452892998183</v>
      </c>
      <c r="AB273" s="2">
        <v>-0.53151782240489098</v>
      </c>
      <c r="AD273" s="31">
        <v>1993.58333333424</v>
      </c>
      <c r="AE273" s="2">
        <v>-0.32600094788826756</v>
      </c>
      <c r="AF273" s="2">
        <v>-0.68622224125583742</v>
      </c>
      <c r="AG273" s="2">
        <v>-0.51994448852404518</v>
      </c>
      <c r="AH273" s="31"/>
      <c r="AI273" s="31">
        <v>1993.58333333424</v>
      </c>
      <c r="AJ273" s="2">
        <v>0.47346389555556118</v>
      </c>
      <c r="AK273" s="2">
        <v>-4.4052846898962821E-2</v>
      </c>
      <c r="AL273" s="2">
        <v>0.52561509053311062</v>
      </c>
      <c r="AM273" s="31"/>
      <c r="AN273" s="2">
        <f t="shared" si="44"/>
        <v>0.26796315895039274</v>
      </c>
      <c r="AO273" s="2">
        <f t="shared" si="37"/>
        <v>-0.50634653902826077</v>
      </c>
      <c r="AP273" s="2">
        <f t="shared" si="38"/>
        <v>-0.17528240679860851</v>
      </c>
      <c r="AQ273" s="31"/>
      <c r="AR273" s="31">
        <v>1993.58333333424</v>
      </c>
      <c r="AS273" s="2">
        <v>0.17528790757609733</v>
      </c>
      <c r="AT273" s="2">
        <v>-0.65870957567408583</v>
      </c>
      <c r="AU273" s="2">
        <v>-0.39529617735546002</v>
      </c>
      <c r="AV273" s="31"/>
      <c r="AW273" s="31">
        <v>1993.58333333424</v>
      </c>
      <c r="AX273" s="2">
        <v>-0.60580301703312622</v>
      </c>
      <c r="AY273" s="2">
        <v>-0.53553372549108424</v>
      </c>
      <c r="AZ273" s="2">
        <v>-0.73619281744228204</v>
      </c>
      <c r="BA273" s="31"/>
      <c r="BB273" s="31">
        <v>1993.58333333424</v>
      </c>
      <c r="BC273" s="2">
        <v>-0.10612100815527961</v>
      </c>
      <c r="BD273" s="2">
        <v>0.77441334649330551</v>
      </c>
      <c r="BE273" s="2">
        <v>-0.17746534232396846</v>
      </c>
      <c r="BG273" s="2">
        <f t="shared" si="45"/>
        <v>-0.17887870587076948</v>
      </c>
      <c r="BH273" s="2">
        <f t="shared" si="39"/>
        <v>-0.13994331822395487</v>
      </c>
      <c r="BI273" s="2">
        <f t="shared" si="40"/>
        <v>-0.4363181123739035</v>
      </c>
    </row>
    <row r="274" spans="1:61" x14ac:dyDescent="0.3">
      <c r="A274" s="31">
        <v>1993.5000000009099</v>
      </c>
      <c r="B274">
        <v>0.87652343307450797</v>
      </c>
      <c r="C274">
        <v>4.5600000000000307E-2</v>
      </c>
      <c r="D274">
        <v>3.9969468548197835E-2</v>
      </c>
      <c r="F274" s="31">
        <v>1993.5000000009099</v>
      </c>
      <c r="G274" s="2">
        <v>0.76241909181434286</v>
      </c>
      <c r="H274" s="2">
        <v>6.1499999999999798E-2</v>
      </c>
      <c r="I274" s="2">
        <v>4.6888774146581935E-2</v>
      </c>
      <c r="K274" s="31">
        <v>1993.5000000009099</v>
      </c>
      <c r="L274" s="2">
        <v>0.76440396066442284</v>
      </c>
      <c r="M274" s="2">
        <v>6.1530000000000001E-2</v>
      </c>
      <c r="N274" s="2">
        <v>4.7033775699681937E-2</v>
      </c>
      <c r="P274" s="31">
        <v>1993.5000000009099</v>
      </c>
      <c r="Q274" s="2">
        <v>0.81070662217480305</v>
      </c>
      <c r="R274" s="2">
        <v>9.5850000000000463E-2</v>
      </c>
      <c r="S274" s="2">
        <v>5.5117812003493138E-2</v>
      </c>
      <c r="U274" s="2">
        <f t="shared" si="41"/>
        <v>0.77917655821785614</v>
      </c>
      <c r="V274" s="2">
        <f t="shared" si="42"/>
        <v>7.2960000000000094E-2</v>
      </c>
      <c r="W274" s="2">
        <f t="shared" si="43"/>
        <v>4.9680120616585666E-2</v>
      </c>
      <c r="Y274" s="31">
        <v>1993.5000000009099</v>
      </c>
      <c r="Z274" s="2">
        <v>0.16665438824584108</v>
      </c>
      <c r="AA274" s="2">
        <v>-0.78876452892998272</v>
      </c>
      <c r="AB274" s="2">
        <v>-0.65107671824918911</v>
      </c>
      <c r="AD274" s="31">
        <v>1993.5000000009099</v>
      </c>
      <c r="AE274" s="2">
        <v>-0.2669408309170882</v>
      </c>
      <c r="AF274" s="2">
        <v>-0.68585487699629111</v>
      </c>
      <c r="AG274" s="2">
        <v>-0.49630382278244389</v>
      </c>
      <c r="AH274" s="31"/>
      <c r="AI274" s="31">
        <v>1993.5000000009099</v>
      </c>
      <c r="AJ274" s="2">
        <v>0.83909756213317321</v>
      </c>
      <c r="AK274" s="2">
        <v>-4.4052846898962821E-2</v>
      </c>
      <c r="AL274" s="2">
        <v>0.82579258444290593</v>
      </c>
      <c r="AM274" s="31"/>
      <c r="AN274" s="2">
        <f t="shared" si="44"/>
        <v>0.24627037315397537</v>
      </c>
      <c r="AO274" s="2">
        <f t="shared" si="37"/>
        <v>-0.50622408427507892</v>
      </c>
      <c r="AP274" s="2">
        <f t="shared" si="38"/>
        <v>-0.1071959855295757</v>
      </c>
      <c r="AQ274" s="31"/>
      <c r="AR274" s="31">
        <v>1993.5000000009099</v>
      </c>
      <c r="AS274" s="2">
        <v>-0.17352587090452676</v>
      </c>
      <c r="AT274" s="2">
        <v>-2.3130098149133811E-2</v>
      </c>
      <c r="AU274" s="2">
        <v>-0.19460535884352861</v>
      </c>
      <c r="AV274" s="31"/>
      <c r="AW274" s="31">
        <v>1993.5000000009099</v>
      </c>
      <c r="AX274" s="2">
        <v>-0.31641726410456794</v>
      </c>
      <c r="AY274" s="2">
        <v>-0.10730219351257217</v>
      </c>
      <c r="AZ274" s="2">
        <v>-0.31581827619191044</v>
      </c>
      <c r="BA274" s="31"/>
      <c r="BB274" s="31">
        <v>1993.5000000009099</v>
      </c>
      <c r="BC274" s="2">
        <v>-1.1523563185829876E-2</v>
      </c>
      <c r="BD274" s="2">
        <v>1.239044249941025</v>
      </c>
      <c r="BE274" s="2">
        <v>0.63249879061420444</v>
      </c>
      <c r="BG274" s="2">
        <f t="shared" si="45"/>
        <v>-0.16715556606497484</v>
      </c>
      <c r="BH274" s="2">
        <f t="shared" si="39"/>
        <v>0.36953731942643969</v>
      </c>
      <c r="BI274" s="2">
        <f t="shared" si="40"/>
        <v>4.0691718526255131E-2</v>
      </c>
    </row>
    <row r="275" spans="1:61" x14ac:dyDescent="0.3">
      <c r="A275" s="31">
        <v>1993.4166666675801</v>
      </c>
      <c r="B275">
        <v>0.83032133861471302</v>
      </c>
      <c r="C275">
        <v>0.22800000000000153</v>
      </c>
      <c r="D275">
        <v>0.18931326520415584</v>
      </c>
      <c r="F275" s="31">
        <v>1993.4166666675801</v>
      </c>
      <c r="G275" s="2">
        <v>0.81186686345408532</v>
      </c>
      <c r="H275" s="2">
        <v>0.15374999999999966</v>
      </c>
      <c r="I275" s="2">
        <v>0.12680129955291053</v>
      </c>
      <c r="K275" s="31">
        <v>1993.4166666675801</v>
      </c>
      <c r="L275" s="2">
        <v>0.7665674912071192</v>
      </c>
      <c r="M275" s="2">
        <v>0.15377999999999986</v>
      </c>
      <c r="N275" s="2">
        <v>7.2083561846729954E-2</v>
      </c>
      <c r="P275" s="31">
        <v>1993.4166666675801</v>
      </c>
      <c r="Q275" s="2">
        <v>0.70470691186001999</v>
      </c>
      <c r="R275" s="2">
        <v>0.16775000000000076</v>
      </c>
      <c r="S275" s="2">
        <v>5.6217430015652256E-2</v>
      </c>
      <c r="U275" s="2">
        <f t="shared" si="41"/>
        <v>0.76104708884040806</v>
      </c>
      <c r="V275" s="2">
        <f t="shared" si="42"/>
        <v>0.15842666666666677</v>
      </c>
      <c r="W275" s="2">
        <f t="shared" si="43"/>
        <v>8.5034097138430909E-2</v>
      </c>
      <c r="Y275" s="31">
        <v>1993.4166666675801</v>
      </c>
      <c r="Z275" s="2">
        <v>0.45335633578116924</v>
      </c>
      <c r="AA275" s="2">
        <v>1.0126249536365401</v>
      </c>
      <c r="AB275" s="2">
        <v>1.1880492446731044</v>
      </c>
      <c r="AD275" s="31">
        <v>1993.4166666675801</v>
      </c>
      <c r="AE275" s="2">
        <v>-0.25406618708700696</v>
      </c>
      <c r="AF275" s="2">
        <v>1.5734353192061419</v>
      </c>
      <c r="AG275" s="2">
        <v>0.45620954676158781</v>
      </c>
      <c r="AH275" s="31"/>
      <c r="AI275" s="31">
        <v>1993.4166666675801</v>
      </c>
      <c r="AJ275" s="2">
        <v>0.96108131232033389</v>
      </c>
      <c r="AK275" s="2">
        <v>1.6693262822256021</v>
      </c>
      <c r="AL275" s="2">
        <v>0.91466136401411846</v>
      </c>
      <c r="AM275" s="31"/>
      <c r="AN275" s="2">
        <f t="shared" si="44"/>
        <v>0.38679048700483204</v>
      </c>
      <c r="AO275" s="2">
        <f t="shared" si="37"/>
        <v>1.4184621850227614</v>
      </c>
      <c r="AP275" s="2">
        <f t="shared" si="38"/>
        <v>0.85297338514960364</v>
      </c>
      <c r="AQ275" s="31"/>
      <c r="AR275" s="31">
        <v>1993.4166666675801</v>
      </c>
      <c r="AS275" s="2">
        <v>-0.14921821609712305</v>
      </c>
      <c r="AT275" s="2">
        <v>-0.35878275268423288</v>
      </c>
      <c r="AU275" s="2">
        <v>-0.34264893201397834</v>
      </c>
      <c r="AV275" s="31"/>
      <c r="AW275" s="31">
        <v>1993.4166666675801</v>
      </c>
      <c r="AX275" s="2">
        <v>-0.67574581570161574</v>
      </c>
      <c r="AY275" s="2">
        <v>0.24826500666177614</v>
      </c>
      <c r="AZ275" s="2">
        <v>-0.43438989196013528</v>
      </c>
      <c r="BA275" s="31"/>
      <c r="BB275" s="31">
        <v>1993.4166666675801</v>
      </c>
      <c r="BC275" s="2">
        <v>0.25828607468242165</v>
      </c>
      <c r="BD275" s="2">
        <v>0.21308645383215588</v>
      </c>
      <c r="BE275" s="2">
        <v>3.1262076894240438E-2</v>
      </c>
      <c r="BG275" s="2">
        <f t="shared" si="45"/>
        <v>-0.18889265237210573</v>
      </c>
      <c r="BH275" s="2">
        <f t="shared" si="39"/>
        <v>3.4189569269899724E-2</v>
      </c>
      <c r="BI275" s="2">
        <f t="shared" si="40"/>
        <v>-0.24859224902662438</v>
      </c>
    </row>
    <row r="276" spans="1:61" x14ac:dyDescent="0.3">
      <c r="A276" s="31">
        <v>1993.33333333425</v>
      </c>
      <c r="B276">
        <v>0.8054577520496049</v>
      </c>
      <c r="C276">
        <v>0.24320000000000164</v>
      </c>
      <c r="D276">
        <v>0.19588732529846523</v>
      </c>
      <c r="F276" s="31">
        <v>1993.33333333425</v>
      </c>
      <c r="G276" s="2">
        <v>0.70475811819345013</v>
      </c>
      <c r="H276" s="2">
        <v>0.12299999999999976</v>
      </c>
      <c r="I276" s="2">
        <v>8.7118581219946131E-2</v>
      </c>
      <c r="K276" s="31">
        <v>1993.33333333425</v>
      </c>
      <c r="L276" s="2">
        <v>0.74325123322905795</v>
      </c>
      <c r="M276" s="2">
        <v>9.2264999999999903E-2</v>
      </c>
      <c r="N276" s="2">
        <v>4.5722828892353025E-2</v>
      </c>
      <c r="P276" s="31">
        <v>1993.33333333425</v>
      </c>
      <c r="Q276" s="2">
        <v>0.66749222694450661</v>
      </c>
      <c r="R276" s="2">
        <v>0.1198000000000006</v>
      </c>
      <c r="S276" s="2">
        <v>5.2290268643495272E-2</v>
      </c>
      <c r="U276" s="2">
        <f t="shared" si="41"/>
        <v>0.70516719278900497</v>
      </c>
      <c r="V276" s="2">
        <f t="shared" si="42"/>
        <v>0.11168833333333343</v>
      </c>
      <c r="W276" s="2">
        <f t="shared" si="43"/>
        <v>6.1710559585264814E-2</v>
      </c>
      <c r="Y276" s="31">
        <v>1993.33333333425</v>
      </c>
      <c r="Z276" s="2">
        <v>-0.16766833016370447</v>
      </c>
      <c r="AA276" s="2">
        <v>0.4121617927810336</v>
      </c>
      <c r="AB276" s="2">
        <v>0.27478167873897114</v>
      </c>
      <c r="AD276" s="31">
        <v>1993.33333333425</v>
      </c>
      <c r="AE276" s="2">
        <v>-0.3928155650106071</v>
      </c>
      <c r="AF276" s="2">
        <v>6.6874490811640125E-2</v>
      </c>
      <c r="AG276" s="2">
        <v>-0.54615232661444191</v>
      </c>
      <c r="AH276" s="31"/>
      <c r="AI276" s="31">
        <v>1993.33333333425</v>
      </c>
      <c r="AJ276" s="2">
        <v>0.58189991256154938</v>
      </c>
      <c r="AK276" s="2">
        <v>0.52667636231568804</v>
      </c>
      <c r="AL276" s="2">
        <v>0.59727656814529817</v>
      </c>
      <c r="AM276" s="31"/>
      <c r="AN276" s="2">
        <f t="shared" si="44"/>
        <v>7.1386724624126026E-3</v>
      </c>
      <c r="AO276" s="2">
        <f t="shared" si="37"/>
        <v>0.3352375486361206</v>
      </c>
      <c r="AP276" s="2">
        <f t="shared" si="38"/>
        <v>0.10863530675660914</v>
      </c>
      <c r="AQ276" s="31"/>
      <c r="AR276" s="31">
        <v>1993.33333333425</v>
      </c>
      <c r="AS276" s="2">
        <v>-0.33058519842185152</v>
      </c>
      <c r="AT276" s="2">
        <v>-0.62524988541030058</v>
      </c>
      <c r="AU276" s="2">
        <v>-0.66389349726145275</v>
      </c>
      <c r="AV276" s="31"/>
      <c r="AW276" s="31">
        <v>1993.33333333425</v>
      </c>
      <c r="AX276" s="2">
        <v>-0.5225967290714556</v>
      </c>
      <c r="AY276" s="2">
        <v>-0.6035549277918324</v>
      </c>
      <c r="AZ276" s="2">
        <v>-0.75454535614330331</v>
      </c>
      <c r="BA276" s="31"/>
      <c r="BB276" s="31">
        <v>1993.33333333425</v>
      </c>
      <c r="BC276" s="2">
        <v>0.39428486045676348</v>
      </c>
      <c r="BD276" s="2">
        <v>-0.1780601750249331</v>
      </c>
      <c r="BE276" s="2">
        <v>0.24346311225115685</v>
      </c>
      <c r="BG276" s="2">
        <f t="shared" si="45"/>
        <v>-0.15296568901218122</v>
      </c>
      <c r="BH276" s="2">
        <f t="shared" si="39"/>
        <v>-0.46895499607568869</v>
      </c>
      <c r="BI276" s="2">
        <f t="shared" si="40"/>
        <v>-0.39165858038453311</v>
      </c>
    </row>
    <row r="277" spans="1:61" x14ac:dyDescent="0.3">
      <c r="A277" s="31">
        <v>1993.25000000092</v>
      </c>
      <c r="B277">
        <v>0.68188858877385317</v>
      </c>
      <c r="C277">
        <v>0.24320000000000164</v>
      </c>
      <c r="D277">
        <v>0.16583530478980221</v>
      </c>
      <c r="F277" s="31">
        <v>1993.25000000092</v>
      </c>
      <c r="G277" s="2">
        <v>0.71981753019540795</v>
      </c>
      <c r="H277" s="2">
        <v>0.12299999999999976</v>
      </c>
      <c r="I277" s="2">
        <v>9.2294270998143052E-2</v>
      </c>
      <c r="K277" s="31">
        <v>1993.25000000092</v>
      </c>
      <c r="L277" s="2">
        <v>0.73454343789797072</v>
      </c>
      <c r="M277" s="2">
        <v>9.2264999999999903E-2</v>
      </c>
      <c r="N277" s="2">
        <v>4.5187961396176438E-2</v>
      </c>
      <c r="P277" s="31">
        <v>1993.25000000092</v>
      </c>
      <c r="Q277" s="2">
        <v>0.64371689057977521</v>
      </c>
      <c r="R277" s="2">
        <v>0.16775000000000076</v>
      </c>
      <c r="S277" s="2">
        <v>4.7640401895111643E-2</v>
      </c>
      <c r="U277" s="2">
        <f t="shared" si="41"/>
        <v>0.69935928622438459</v>
      </c>
      <c r="V277" s="2">
        <f t="shared" si="42"/>
        <v>0.12767166666666682</v>
      </c>
      <c r="W277" s="2">
        <f t="shared" si="43"/>
        <v>6.1707544763143711E-2</v>
      </c>
      <c r="Y277" s="31">
        <v>1993.25000000092</v>
      </c>
      <c r="Z277" s="2">
        <v>-8.0352711956390474E-2</v>
      </c>
      <c r="AA277" s="2">
        <v>0.4121617927810336</v>
      </c>
      <c r="AB277" s="2">
        <v>0.39389624055157602</v>
      </c>
      <c r="AD277" s="31">
        <v>1993.25000000092</v>
      </c>
      <c r="AE277" s="2">
        <v>-0.44463353624815327</v>
      </c>
      <c r="AF277" s="2">
        <v>6.6874490811640125E-2</v>
      </c>
      <c r="AG277" s="2">
        <v>-0.56649056176152235</v>
      </c>
      <c r="AH277" s="31"/>
      <c r="AI277" s="31">
        <v>1993.25000000092</v>
      </c>
      <c r="AJ277" s="2">
        <v>9.3500138553711462E-2</v>
      </c>
      <c r="AK277" s="2">
        <v>1.6693262822256021</v>
      </c>
      <c r="AL277" s="2">
        <v>0.22148426706591176</v>
      </c>
      <c r="AM277" s="31"/>
      <c r="AN277" s="2">
        <f t="shared" si="44"/>
        <v>-0.1438287032169441</v>
      </c>
      <c r="AO277" s="2">
        <f t="shared" si="37"/>
        <v>0.71612085527275859</v>
      </c>
      <c r="AP277" s="2">
        <f t="shared" si="38"/>
        <v>1.6296648618655134E-2</v>
      </c>
      <c r="AQ277" s="31"/>
      <c r="AR277" s="31">
        <v>1993.25000000092</v>
      </c>
      <c r="AS277" s="2">
        <v>8.6601527063757691E-2</v>
      </c>
      <c r="AT277" s="2">
        <v>-0.74536446371894471</v>
      </c>
      <c r="AU277" s="2">
        <v>-0.47308252242687532</v>
      </c>
      <c r="AV277" s="31"/>
      <c r="AW277" s="31">
        <v>1993.25000000092</v>
      </c>
      <c r="AX277" s="2">
        <v>-0.39598987404301861</v>
      </c>
      <c r="AY277" s="2">
        <v>-0.8205967459488962</v>
      </c>
      <c r="AZ277" s="2">
        <v>-0.85231213826389984</v>
      </c>
      <c r="BA277" s="31"/>
      <c r="BB277" s="31">
        <v>1993.25000000092</v>
      </c>
      <c r="BC277" s="2">
        <v>0.40389802228923327</v>
      </c>
      <c r="BD277" s="2">
        <v>0.57692863282771223</v>
      </c>
      <c r="BE277" s="2">
        <v>0.28110704591215535</v>
      </c>
      <c r="BG277" s="2">
        <f t="shared" si="45"/>
        <v>3.1503225103324116E-2</v>
      </c>
      <c r="BH277" s="2">
        <f t="shared" si="39"/>
        <v>-0.32967752561337621</v>
      </c>
      <c r="BI277" s="2">
        <f t="shared" si="40"/>
        <v>-0.34809587159287325</v>
      </c>
    </row>
    <row r="278" spans="1:61" x14ac:dyDescent="0.3">
      <c r="A278" s="31">
        <v>1993.1666666675901</v>
      </c>
      <c r="B278">
        <v>0.57869345539647787</v>
      </c>
      <c r="C278">
        <v>0.24320000000000164</v>
      </c>
      <c r="D278">
        <v>0.14073824835242438</v>
      </c>
      <c r="F278" s="31">
        <v>1993.1666666675901</v>
      </c>
      <c r="G278" s="2">
        <v>0.68436480978883041</v>
      </c>
      <c r="H278" s="2">
        <v>0.12299999999999976</v>
      </c>
      <c r="I278" s="2">
        <v>8.801654556475963E-2</v>
      </c>
      <c r="K278" s="31">
        <v>1993.1666666675901</v>
      </c>
      <c r="L278" s="2">
        <v>0.74278795254441765</v>
      </c>
      <c r="M278" s="2">
        <v>9.2264999999999903E-2</v>
      </c>
      <c r="N278" s="2">
        <v>4.5695870858428717E-2</v>
      </c>
      <c r="P278" s="31">
        <v>1993.1666666675901</v>
      </c>
      <c r="Q278" s="2">
        <v>0.67758987927556624</v>
      </c>
      <c r="R278" s="2">
        <v>9.5850000000000463E-2</v>
      </c>
      <c r="S278" s="2">
        <v>4.5105809768972077E-2</v>
      </c>
      <c r="U278" s="2">
        <f t="shared" si="41"/>
        <v>0.70158088053627132</v>
      </c>
      <c r="V278" s="2">
        <f t="shared" si="42"/>
        <v>0.10370500000000005</v>
      </c>
      <c r="W278" s="2">
        <f t="shared" si="43"/>
        <v>5.9606075397386805E-2</v>
      </c>
      <c r="Y278" s="31">
        <v>1993.1666666675901</v>
      </c>
      <c r="Z278" s="2">
        <v>-0.28591028611857761</v>
      </c>
      <c r="AA278" s="2">
        <v>0.4121617927810336</v>
      </c>
      <c r="AB278" s="2">
        <v>0.29544764483036717</v>
      </c>
      <c r="AD278" s="31">
        <v>1993.1666666675901</v>
      </c>
      <c r="AE278" s="2">
        <v>-0.39557243563960531</v>
      </c>
      <c r="AF278" s="2">
        <v>6.6874490811640125E-2</v>
      </c>
      <c r="AG278" s="2">
        <v>-0.54717740074396892</v>
      </c>
      <c r="AH278" s="31"/>
      <c r="AI278" s="31">
        <v>1993.1666666675901</v>
      </c>
      <c r="AJ278" s="2">
        <v>-0.17190043288395357</v>
      </c>
      <c r="AK278" s="2">
        <v>-4.4052846898962821E-2</v>
      </c>
      <c r="AL278" s="2">
        <v>1.6643943908096537E-2</v>
      </c>
      <c r="AM278" s="31"/>
      <c r="AN278" s="2">
        <f t="shared" si="44"/>
        <v>-0.28446105154737883</v>
      </c>
      <c r="AO278" s="2">
        <f t="shared" si="37"/>
        <v>0.14499447889790365</v>
      </c>
      <c r="AP278" s="2">
        <f t="shared" si="38"/>
        <v>-7.83619373351684E-2</v>
      </c>
      <c r="AQ278" s="31"/>
      <c r="AR278" s="31">
        <v>1993.1666666675901</v>
      </c>
      <c r="AS278" s="2">
        <v>8.9307601661086561E-2</v>
      </c>
      <c r="AT278" s="2">
        <v>-0.46657286796563091</v>
      </c>
      <c r="AU278" s="2">
        <v>-0.26153276745301579</v>
      </c>
      <c r="AV278" s="31"/>
      <c r="AW278" s="31">
        <v>1993.1666666675901</v>
      </c>
      <c r="AX278" s="2">
        <v>-0.20822628200723836</v>
      </c>
      <c r="AY278" s="2">
        <v>-0.48231704140909132</v>
      </c>
      <c r="AZ278" s="2">
        <v>-0.59839523579718679</v>
      </c>
      <c r="BA278" s="31"/>
      <c r="BB278" s="31">
        <v>1993.1666666675901</v>
      </c>
      <c r="BC278" s="2">
        <v>0.44646748726736613</v>
      </c>
      <c r="BD278" s="2">
        <v>-0.34847073798484229</v>
      </c>
      <c r="BE278" s="2">
        <v>0.51660683081357739</v>
      </c>
      <c r="BG278" s="2">
        <f t="shared" si="45"/>
        <v>0.10918293564040478</v>
      </c>
      <c r="BH278" s="2">
        <f t="shared" si="39"/>
        <v>-0.43245354911985484</v>
      </c>
      <c r="BI278" s="2">
        <f t="shared" si="40"/>
        <v>-0.1144403908122084</v>
      </c>
    </row>
    <row r="279" spans="1:61" x14ac:dyDescent="0.3">
      <c r="A279" s="31">
        <v>1993.08333333426</v>
      </c>
      <c r="B279">
        <v>0.4804245541474641</v>
      </c>
      <c r="C279">
        <v>6.0800000000000409E-2</v>
      </c>
      <c r="D279">
        <v>2.9209812892166013E-2</v>
      </c>
      <c r="F279" s="31">
        <v>1993.08333333426</v>
      </c>
      <c r="G279" s="2">
        <v>0.65141429418401275</v>
      </c>
      <c r="H279" s="2">
        <v>6.1499999999999846E-2</v>
      </c>
      <c r="I279" s="2">
        <v>4.0061979092316694E-2</v>
      </c>
      <c r="K279" s="31">
        <v>1993.08333333426</v>
      </c>
      <c r="L279" s="2">
        <v>0.76447960424848749</v>
      </c>
      <c r="M279" s="2">
        <v>6.1514999999999952E-2</v>
      </c>
      <c r="N279" s="2">
        <v>4.7030842045890073E-2</v>
      </c>
      <c r="P279" s="31">
        <v>1993.08333333426</v>
      </c>
      <c r="Q279" s="2">
        <v>0.63678650880107557</v>
      </c>
      <c r="R279" s="2">
        <v>7.1900000000000297E-2</v>
      </c>
      <c r="S279" s="2">
        <v>4.4766363443104182E-2</v>
      </c>
      <c r="U279" s="2">
        <f t="shared" si="41"/>
        <v>0.68422680241119194</v>
      </c>
      <c r="V279" s="2">
        <f t="shared" si="42"/>
        <v>6.4971666666666705E-2</v>
      </c>
      <c r="W279" s="2">
        <f t="shared" si="43"/>
        <v>4.3953061527103654E-2</v>
      </c>
      <c r="Y279" s="31">
        <v>1993.08333333426</v>
      </c>
      <c r="Z279" s="2">
        <v>-0.4769598861899722</v>
      </c>
      <c r="AA279" s="2">
        <v>-0.78876452892998183</v>
      </c>
      <c r="AB279" s="2">
        <v>-0.80819021158467075</v>
      </c>
      <c r="AD279" s="31">
        <v>1993.08333333426</v>
      </c>
      <c r="AE279" s="2">
        <v>-0.26649069435389028</v>
      </c>
      <c r="AF279" s="2">
        <v>-0.68622224125583742</v>
      </c>
      <c r="AG279" s="2">
        <v>-0.49641537441174566</v>
      </c>
      <c r="AH279" s="31"/>
      <c r="AI279" s="31">
        <v>1993.08333333426</v>
      </c>
      <c r="AJ279" s="2">
        <v>-0.20611696101839924</v>
      </c>
      <c r="AK279" s="2">
        <v>-0.61478205611361436</v>
      </c>
      <c r="AL279" s="2">
        <v>-1.0789383280296995E-2</v>
      </c>
      <c r="AM279" s="31"/>
      <c r="AN279" s="2">
        <f t="shared" si="44"/>
        <v>-0.31652251385408725</v>
      </c>
      <c r="AO279" s="2">
        <f t="shared" si="37"/>
        <v>-0.69658960876647791</v>
      </c>
      <c r="AP279" s="2">
        <f t="shared" si="38"/>
        <v>-0.43846498975890452</v>
      </c>
      <c r="AQ279" s="31"/>
      <c r="AR279" s="31">
        <v>1993.08333333426</v>
      </c>
      <c r="AS279" s="2">
        <v>0.10243459565963006</v>
      </c>
      <c r="AT279" s="2">
        <v>-0.93050162247170598</v>
      </c>
      <c r="AU279" s="2">
        <v>-0.69965406203999847</v>
      </c>
      <c r="AV279" s="31"/>
      <c r="AW279" s="31">
        <v>1993.08333333426</v>
      </c>
      <c r="AX279" s="2">
        <v>4.0420099816751938E-2</v>
      </c>
      <c r="AY279" s="2">
        <v>-0.87038484719517628</v>
      </c>
      <c r="AZ279" s="2">
        <v>-0.47114535194547436</v>
      </c>
      <c r="BA279" s="31"/>
      <c r="BB279" s="31">
        <v>1993.08333333426</v>
      </c>
      <c r="BC279" s="2">
        <v>0.52512821006754085</v>
      </c>
      <c r="BD279" s="2">
        <v>-0.95760573293009554</v>
      </c>
      <c r="BE279" s="2">
        <v>0.4287432958105703</v>
      </c>
      <c r="BG279" s="2">
        <f t="shared" si="45"/>
        <v>0.22266096851464098</v>
      </c>
      <c r="BH279" s="2">
        <f t="shared" si="39"/>
        <v>-0.91949740086565923</v>
      </c>
      <c r="BI279" s="2">
        <f t="shared" si="40"/>
        <v>-0.24735203939163419</v>
      </c>
    </row>
    <row r="280" spans="1:61" x14ac:dyDescent="0.3">
      <c r="A280" s="31">
        <v>1993.00000000093</v>
      </c>
      <c r="B280">
        <v>0.52898733582121094</v>
      </c>
      <c r="C280">
        <v>6.0800000000000409E-2</v>
      </c>
      <c r="D280">
        <v>3.2162430017929844E-2</v>
      </c>
      <c r="F280" s="31">
        <v>1993.00000000093</v>
      </c>
      <c r="G280" s="2"/>
      <c r="H280" s="2"/>
      <c r="I280" s="2"/>
      <c r="K280" s="31">
        <v>1993.00000000093</v>
      </c>
      <c r="L280" s="2">
        <v>0.80130030818132014</v>
      </c>
      <c r="M280" s="2">
        <v>6.1514999999999952E-2</v>
      </c>
      <c r="N280" s="2">
        <v>4.9296312891997922E-2</v>
      </c>
      <c r="P280" s="31">
        <v>1993.00000000093</v>
      </c>
      <c r="Q280" s="2">
        <v>0.65374958335338385</v>
      </c>
      <c r="R280" s="2">
        <v>4.7900000000000303E-2</v>
      </c>
      <c r="S280" s="2">
        <v>3.2535172422293437E-2</v>
      </c>
      <c r="U280" s="2">
        <f t="shared" si="41"/>
        <v>0.72752494576735205</v>
      </c>
      <c r="V280" s="2">
        <f t="shared" si="42"/>
        <v>5.4707500000000131E-2</v>
      </c>
      <c r="W280" s="2">
        <f t="shared" si="43"/>
        <v>4.0915742657145676E-2</v>
      </c>
      <c r="Y280" s="31">
        <v>1993.00000000093</v>
      </c>
      <c r="Z280" s="2"/>
      <c r="AA280" s="2"/>
      <c r="AB280" s="2"/>
      <c r="AD280" s="31">
        <v>1993.00000000093</v>
      </c>
      <c r="AE280" s="2">
        <v>-4.7379644450573424E-2</v>
      </c>
      <c r="AF280" s="2">
        <v>-0.68622224125583742</v>
      </c>
      <c r="AG280" s="2">
        <v>-0.41027127495466303</v>
      </c>
      <c r="AH280" s="31"/>
      <c r="AI280" s="31">
        <v>1993.00000000093</v>
      </c>
      <c r="AJ280" s="2">
        <v>7.6179398067443477E-2</v>
      </c>
      <c r="AK280" s="2">
        <v>-1.186702766808877</v>
      </c>
      <c r="AL280" s="2">
        <v>-0.99928812257207988</v>
      </c>
      <c r="AM280" s="31"/>
      <c r="AN280" s="2">
        <f t="shared" si="44"/>
        <v>1.4399876808435026E-2</v>
      </c>
      <c r="AO280" s="2">
        <f t="shared" si="37"/>
        <v>-0.9364625040323572</v>
      </c>
      <c r="AP280" s="2">
        <f t="shared" si="38"/>
        <v>-0.70477969876337143</v>
      </c>
      <c r="AQ280" s="31"/>
      <c r="AR280" s="31">
        <v>1993.00000000093</v>
      </c>
      <c r="AS280" s="2"/>
      <c r="AT280" s="2"/>
      <c r="AU280" s="2"/>
      <c r="AV280" s="31"/>
      <c r="AW280" s="31">
        <v>1993.00000000093</v>
      </c>
      <c r="AX280" s="2">
        <v>0.20321175566806907</v>
      </c>
      <c r="AY280" s="2">
        <v>-0.21981065223360952</v>
      </c>
      <c r="AZ280" s="2">
        <v>0.12892302349535678</v>
      </c>
      <c r="BA280" s="31"/>
      <c r="BB280" s="31">
        <v>1993.00000000093</v>
      </c>
      <c r="BC280" s="2">
        <v>0.53584718021240973</v>
      </c>
      <c r="BD280" s="2">
        <v>-0.94501805984887022</v>
      </c>
      <c r="BE280" s="2">
        <v>-0.35033717062983583</v>
      </c>
      <c r="BG280" s="2">
        <f t="shared" si="45"/>
        <v>0.36952946794023939</v>
      </c>
      <c r="BH280" s="2">
        <f t="shared" si="39"/>
        <v>-0.58241435604123981</v>
      </c>
      <c r="BI280" s="2">
        <f t="shared" si="40"/>
        <v>-0.11070707356723952</v>
      </c>
    </row>
    <row r="281" spans="1:61" x14ac:dyDescent="0.3">
      <c r="A281" s="31">
        <v>1992.9166666676001</v>
      </c>
      <c r="B281">
        <v>0.56876441336190431</v>
      </c>
      <c r="C281">
        <v>6.0800000000000409E-2</v>
      </c>
      <c r="D281">
        <v>3.4580876332404017E-2</v>
      </c>
      <c r="F281" s="31">
        <v>1992.9166666676001</v>
      </c>
      <c r="G281" s="2">
        <v>0.66795476980196922</v>
      </c>
      <c r="H281" s="2">
        <v>6.1499999999999846E-2</v>
      </c>
      <c r="I281" s="2">
        <v>4.1079218342821008E-2</v>
      </c>
      <c r="K281" s="31">
        <v>1992.9166666676001</v>
      </c>
      <c r="L281" s="2">
        <v>0.82083836495168994</v>
      </c>
      <c r="M281" s="2">
        <v>6.1514999999999952E-2</v>
      </c>
      <c r="N281" s="2">
        <v>5.0498377568553118E-2</v>
      </c>
      <c r="P281" s="31">
        <v>1992.9166666676001</v>
      </c>
      <c r="Q281" s="2">
        <v>0.70192474609500255</v>
      </c>
      <c r="R281" s="2">
        <v>7.1900000000000297E-2</v>
      </c>
      <c r="S281" s="2">
        <v>4.5913134625124807E-2</v>
      </c>
      <c r="U281" s="2">
        <f t="shared" si="41"/>
        <v>0.73023929361622064</v>
      </c>
      <c r="V281" s="2">
        <f t="shared" si="42"/>
        <v>6.4971666666666705E-2</v>
      </c>
      <c r="W281" s="2">
        <f t="shared" si="43"/>
        <v>4.5830243512166309E-2</v>
      </c>
      <c r="Y281" s="31">
        <v>1992.9166666676001</v>
      </c>
      <c r="Z281" s="2">
        <v>-0.38105694829059655</v>
      </c>
      <c r="AA281" s="2">
        <v>-0.78876452892998183</v>
      </c>
      <c r="AB281" s="2">
        <v>-0.78477922430084324</v>
      </c>
      <c r="AD281" s="31">
        <v>1992.9166666676001</v>
      </c>
      <c r="AE281" s="2">
        <v>6.888657739666848E-2</v>
      </c>
      <c r="AF281" s="2">
        <v>-0.68622224125583742</v>
      </c>
      <c r="AG281" s="2">
        <v>-0.36456299350450871</v>
      </c>
      <c r="AH281" s="31"/>
      <c r="AI281" s="31">
        <v>1992.9166666676001</v>
      </c>
      <c r="AJ281" s="2">
        <v>-0.11056606018831308</v>
      </c>
      <c r="AK281" s="2">
        <v>-0.61478205611361436</v>
      </c>
      <c r="AL281" s="2">
        <v>8.1890214786220369E-2</v>
      </c>
      <c r="AM281" s="31"/>
      <c r="AN281" s="2">
        <f t="shared" si="44"/>
        <v>-0.14091214369408037</v>
      </c>
      <c r="AO281" s="2">
        <f t="shared" si="37"/>
        <v>-0.69658960876647791</v>
      </c>
      <c r="AP281" s="2">
        <f t="shared" si="38"/>
        <v>-0.35581733433971047</v>
      </c>
      <c r="AQ281" s="31"/>
      <c r="AR281" s="31">
        <v>1992.9166666676001</v>
      </c>
      <c r="AS281" s="2">
        <v>-9.2307056189573911E-2</v>
      </c>
      <c r="AT281" s="2">
        <v>-0.68444756444045252</v>
      </c>
      <c r="AU281" s="2">
        <v>-0.59109700308288171</v>
      </c>
      <c r="AV281" s="31"/>
      <c r="AW281" s="31">
        <v>1992.9166666676001</v>
      </c>
      <c r="AX281" s="2">
        <v>0.27096549098251044</v>
      </c>
      <c r="AY281" s="2">
        <v>-0.51751295497595129</v>
      </c>
      <c r="AZ281" s="2">
        <v>0.13284549793176978</v>
      </c>
      <c r="BA281" s="31"/>
      <c r="BB281" s="31">
        <v>1992.9166666676001</v>
      </c>
      <c r="BC281" s="2">
        <v>0.35946170491357698</v>
      </c>
      <c r="BD281" s="2">
        <v>-0.44318112469553572</v>
      </c>
      <c r="BE281" s="2">
        <v>0.46053712347433351</v>
      </c>
      <c r="BG281" s="2">
        <f t="shared" si="45"/>
        <v>0.17937337990217117</v>
      </c>
      <c r="BH281" s="2">
        <f t="shared" si="39"/>
        <v>-0.54838054803731318</v>
      </c>
      <c r="BI281" s="2">
        <f t="shared" si="40"/>
        <v>7.618727744072018E-4</v>
      </c>
    </row>
    <row r="282" spans="1:61" x14ac:dyDescent="0.3">
      <c r="A282" s="31">
        <v>1992.83333333427</v>
      </c>
      <c r="B282">
        <v>0.58768007171521397</v>
      </c>
      <c r="C282">
        <v>6.0800000000000409E-2</v>
      </c>
      <c r="D282">
        <v>3.5730948360285252E-2</v>
      </c>
      <c r="F282" s="31">
        <v>1992.83333333427</v>
      </c>
      <c r="G282" s="2"/>
      <c r="H282" s="2"/>
      <c r="I282" s="2"/>
      <c r="K282" s="31">
        <v>1992.83333333427</v>
      </c>
      <c r="L282" s="2">
        <v>0.81774217173966302</v>
      </c>
      <c r="M282" s="2">
        <v>6.1514999999999952E-2</v>
      </c>
      <c r="N282" s="2">
        <v>5.0307754071795351E-2</v>
      </c>
      <c r="P282" s="31">
        <v>1992.83333333427</v>
      </c>
      <c r="Q282" s="2">
        <v>0.76580336656422787</v>
      </c>
      <c r="R282" s="2">
        <v>4.7900000000000303E-2</v>
      </c>
      <c r="S282" s="2">
        <v>3.3493608598594078E-2</v>
      </c>
      <c r="U282" s="2">
        <f t="shared" si="41"/>
        <v>0.79177276915194539</v>
      </c>
      <c r="V282" s="2">
        <f t="shared" si="42"/>
        <v>5.4707500000000131E-2</v>
      </c>
      <c r="W282" s="2">
        <f t="shared" si="43"/>
        <v>4.1900681335194714E-2</v>
      </c>
      <c r="Y282" s="31">
        <v>1992.83333333427</v>
      </c>
      <c r="Z282" s="2"/>
      <c r="AA282" s="2"/>
      <c r="AB282" s="2"/>
      <c r="AD282" s="31">
        <v>1992.83333333427</v>
      </c>
      <c r="AE282" s="2">
        <v>5.0461884956559802E-2</v>
      </c>
      <c r="AF282" s="2">
        <v>-0.68622224125583742</v>
      </c>
      <c r="AG282" s="2">
        <v>-0.37181141583215421</v>
      </c>
      <c r="AH282" s="31"/>
      <c r="AI282" s="31">
        <v>1992.83333333427</v>
      </c>
      <c r="AJ282" s="2">
        <v>0.20664527336130545</v>
      </c>
      <c r="AK282" s="2">
        <v>-1.186702766808877</v>
      </c>
      <c r="AL282" s="2">
        <v>-0.92182935748919903</v>
      </c>
      <c r="AM282" s="31"/>
      <c r="AN282" s="2">
        <f t="shared" si="44"/>
        <v>0.12855357915893262</v>
      </c>
      <c r="AO282" s="2">
        <f t="shared" si="37"/>
        <v>-0.9364625040323572</v>
      </c>
      <c r="AP282" s="2">
        <f t="shared" si="38"/>
        <v>-0.64682038666067665</v>
      </c>
      <c r="AQ282" s="31"/>
      <c r="AR282" s="31">
        <v>1992.83333333427</v>
      </c>
      <c r="AS282" s="2"/>
      <c r="AT282" s="2"/>
      <c r="AU282" s="2"/>
      <c r="AV282" s="31"/>
      <c r="AW282" s="31">
        <v>1992.83333333427</v>
      </c>
      <c r="AX282" s="2">
        <v>0.17709685501156194</v>
      </c>
      <c r="AY282" s="2">
        <v>-0.19138401234735175</v>
      </c>
      <c r="AZ282" s="2">
        <v>0.12559453933659051</v>
      </c>
      <c r="BA282" s="31"/>
      <c r="BB282" s="31">
        <v>1992.83333333427</v>
      </c>
      <c r="BC282" s="2">
        <v>0.21640286689020644</v>
      </c>
      <c r="BD282" s="2">
        <v>-0.86039420085980967</v>
      </c>
      <c r="BE282" s="2">
        <v>-0.42565447416009738</v>
      </c>
      <c r="BG282" s="2">
        <f t="shared" si="45"/>
        <v>0.1967498609508842</v>
      </c>
      <c r="BH282" s="2">
        <f t="shared" si="39"/>
        <v>-0.52588910660358068</v>
      </c>
      <c r="BI282" s="2">
        <f t="shared" si="40"/>
        <v>-0.15002996741175345</v>
      </c>
    </row>
    <row r="283" spans="1:61" x14ac:dyDescent="0.3">
      <c r="A283" s="31">
        <v>1992.75000000094</v>
      </c>
      <c r="B283">
        <v>0.60610706129825087</v>
      </c>
      <c r="C283">
        <v>6.0800000000000409E-2</v>
      </c>
      <c r="D283">
        <v>3.6851309326933902E-2</v>
      </c>
      <c r="F283" s="31">
        <v>1992.75000000094</v>
      </c>
      <c r="G283" s="2">
        <v>0.68490389722713108</v>
      </c>
      <c r="H283" s="2">
        <v>6.1499999999999846E-2</v>
      </c>
      <c r="I283" s="2">
        <v>4.2121589679468469E-2</v>
      </c>
      <c r="K283" s="31">
        <v>1992.75000000094</v>
      </c>
      <c r="L283" s="2">
        <v>0.81951073193460022</v>
      </c>
      <c r="M283" s="2">
        <v>6.1514999999999952E-2</v>
      </c>
      <c r="N283" s="2">
        <v>5.0416308350791375E-2</v>
      </c>
      <c r="P283" s="31">
        <v>1992.75000000094</v>
      </c>
      <c r="Q283" s="2">
        <v>0.79388409513618963</v>
      </c>
      <c r="R283" s="2">
        <v>7.1900000000000297E-2</v>
      </c>
      <c r="S283" s="2">
        <v>4.9268921372336925E-2</v>
      </c>
      <c r="U283" s="2">
        <f t="shared" si="41"/>
        <v>0.76609957476597368</v>
      </c>
      <c r="V283" s="2">
        <f t="shared" si="42"/>
        <v>6.4971666666666705E-2</v>
      </c>
      <c r="W283" s="2">
        <f t="shared" si="43"/>
        <v>4.7268939800865585E-2</v>
      </c>
      <c r="Y283" s="31">
        <v>1992.75000000094</v>
      </c>
      <c r="Z283" s="2">
        <v>-0.28278461607668615</v>
      </c>
      <c r="AA283" s="2">
        <v>-0.78876452892998183</v>
      </c>
      <c r="AB283" s="2">
        <v>-0.76078984117865078</v>
      </c>
      <c r="AD283" s="31">
        <v>1992.75000000094</v>
      </c>
      <c r="AE283" s="2">
        <v>6.0986156351175005E-2</v>
      </c>
      <c r="AF283" s="2">
        <v>-0.68622224125583742</v>
      </c>
      <c r="AG283" s="2">
        <v>-0.36768365995200625</v>
      </c>
      <c r="AH283" s="31"/>
      <c r="AI283" s="31">
        <v>1992.75000000094</v>
      </c>
      <c r="AJ283" s="2">
        <v>0.1731439247236683</v>
      </c>
      <c r="AK283" s="2">
        <v>-0.61478205611361436</v>
      </c>
      <c r="AL283" s="2">
        <v>0.35309773360488822</v>
      </c>
      <c r="AM283" s="31"/>
      <c r="AN283" s="2">
        <f t="shared" si="44"/>
        <v>-1.6218178333947619E-2</v>
      </c>
      <c r="AO283" s="2">
        <f t="shared" si="37"/>
        <v>-0.69658960876647791</v>
      </c>
      <c r="AP283" s="2">
        <f t="shared" si="38"/>
        <v>-0.25845858917525627</v>
      </c>
      <c r="AQ283" s="31"/>
      <c r="AR283" s="31">
        <v>1992.75000000094</v>
      </c>
      <c r="AS283" s="2">
        <v>-0.42282046023141329</v>
      </c>
      <c r="AT283" s="2">
        <v>-0.6766476141944503</v>
      </c>
      <c r="AU283" s="2">
        <v>-0.70799495369290488</v>
      </c>
      <c r="AV283" s="31"/>
      <c r="AW283" s="31">
        <v>1992.75000000094</v>
      </c>
      <c r="AX283" s="2">
        <v>0.13458226192353667</v>
      </c>
      <c r="AY283" s="2">
        <v>-0.6564669997761764</v>
      </c>
      <c r="AZ283" s="2">
        <v>-0.29647171644833897</v>
      </c>
      <c r="BA283" s="31"/>
      <c r="BB283" s="31">
        <v>1992.75000000094</v>
      </c>
      <c r="BC283" s="2">
        <v>0.12224908859633482</v>
      </c>
      <c r="BD283" s="2">
        <v>-0.59144451954684485</v>
      </c>
      <c r="BE283" s="2">
        <v>0.11540778239875465</v>
      </c>
      <c r="BG283" s="2">
        <f t="shared" si="45"/>
        <v>-5.5329703237180596E-2</v>
      </c>
      <c r="BH283" s="2">
        <f t="shared" si="39"/>
        <v>-0.64151971117249051</v>
      </c>
      <c r="BI283" s="2">
        <f t="shared" si="40"/>
        <v>-0.29635296258082972</v>
      </c>
    </row>
    <row r="284" spans="1:61" x14ac:dyDescent="0.3">
      <c r="A284" s="31">
        <v>1992.6666666676099</v>
      </c>
      <c r="B284">
        <v>0.64274746601840516</v>
      </c>
      <c r="C284">
        <v>6.0800000000000409E-2</v>
      </c>
      <c r="D284">
        <v>3.9079045933919296E-2</v>
      </c>
      <c r="F284" s="31">
        <v>1992.6666666676099</v>
      </c>
      <c r="G284" s="2"/>
      <c r="H284" s="2"/>
      <c r="I284" s="2"/>
      <c r="K284" s="31">
        <v>1992.6666666676099</v>
      </c>
      <c r="L284" s="2">
        <v>0.83054978573814342</v>
      </c>
      <c r="M284" s="2">
        <v>6.1514999999999952E-2</v>
      </c>
      <c r="N284" s="2">
        <v>5.1095005369674359E-2</v>
      </c>
      <c r="P284" s="31">
        <v>1992.6666666676099</v>
      </c>
      <c r="Q284" s="2">
        <v>0.82357128316529482</v>
      </c>
      <c r="R284" s="2">
        <v>4.7900000000000303E-2</v>
      </c>
      <c r="S284" s="2">
        <v>3.6017694533689963E-2</v>
      </c>
      <c r="U284" s="2">
        <f t="shared" si="41"/>
        <v>0.82706053445171912</v>
      </c>
      <c r="V284" s="2">
        <f t="shared" si="42"/>
        <v>5.4707500000000131E-2</v>
      </c>
      <c r="W284" s="2">
        <f t="shared" si="43"/>
        <v>4.3556349951682158E-2</v>
      </c>
      <c r="Y284" s="31">
        <v>1992.6666666676099</v>
      </c>
      <c r="Z284" s="2"/>
      <c r="AA284" s="2"/>
      <c r="AB284" s="2"/>
      <c r="AD284" s="31">
        <v>1992.6666666676099</v>
      </c>
      <c r="AE284" s="2">
        <v>0.12667687951729983</v>
      </c>
      <c r="AF284" s="2">
        <v>-0.68622224125583742</v>
      </c>
      <c r="AG284" s="2">
        <v>-0.34187633446983229</v>
      </c>
      <c r="AH284" s="31"/>
      <c r="AI284" s="31">
        <v>1992.6666666676099</v>
      </c>
      <c r="AJ284" s="2">
        <v>0.55023318143700839</v>
      </c>
      <c r="AK284" s="2">
        <v>-1.186702766808877</v>
      </c>
      <c r="AL284" s="2">
        <v>-0.71783812225616295</v>
      </c>
      <c r="AM284" s="31"/>
      <c r="AN284" s="2">
        <f t="shared" si="44"/>
        <v>0.33845503047715408</v>
      </c>
      <c r="AO284" s="2">
        <f t="shared" si="37"/>
        <v>-0.9364625040323572</v>
      </c>
      <c r="AP284" s="2">
        <f t="shared" si="38"/>
        <v>-0.52985722836299765</v>
      </c>
      <c r="AQ284" s="31"/>
      <c r="AR284" s="31">
        <v>1992.6666666676099</v>
      </c>
      <c r="AS284" s="2"/>
      <c r="AT284" s="2"/>
      <c r="AU284" s="2"/>
      <c r="AV284" s="31"/>
      <c r="AW284" s="31">
        <v>1992.6666666676099</v>
      </c>
      <c r="AX284" s="2">
        <v>-4.9059208711668715E-3</v>
      </c>
      <c r="AY284" s="2">
        <v>-0.23837245449551037</v>
      </c>
      <c r="AZ284" s="2">
        <v>-2.0519793513514618E-2</v>
      </c>
      <c r="BA284" s="31"/>
      <c r="BB284" s="31">
        <v>1992.6666666676099</v>
      </c>
      <c r="BC284" s="2">
        <v>0.22017230458966774</v>
      </c>
      <c r="BD284" s="2">
        <v>-1.0289872901111137</v>
      </c>
      <c r="BE284" s="2">
        <v>-0.64412259520757609</v>
      </c>
      <c r="BG284" s="2">
        <f t="shared" si="45"/>
        <v>0.10763319185925044</v>
      </c>
      <c r="BH284" s="2">
        <f t="shared" si="39"/>
        <v>-0.63367987230331202</v>
      </c>
      <c r="BI284" s="2">
        <f t="shared" si="40"/>
        <v>-0.33232119436054536</v>
      </c>
    </row>
    <row r="285" spans="1:61" x14ac:dyDescent="0.3">
      <c r="A285" s="31">
        <v>1992.58333333428</v>
      </c>
      <c r="B285">
        <v>0.73279500760641125</v>
      </c>
      <c r="C285">
        <v>6.0800000000000409E-2</v>
      </c>
      <c r="D285">
        <v>4.4553936462470106E-2</v>
      </c>
      <c r="F285" s="31">
        <v>1992.58333333428</v>
      </c>
      <c r="G285" s="2">
        <v>0.70229654928190133</v>
      </c>
      <c r="H285" s="2">
        <v>6.1499999999999846E-2</v>
      </c>
      <c r="I285" s="2">
        <v>4.3191237780836833E-2</v>
      </c>
      <c r="K285" s="31">
        <v>1992.58333333428</v>
      </c>
      <c r="L285" s="2">
        <v>0.83255316919433409</v>
      </c>
      <c r="M285" s="2">
        <v>6.1514999999999952E-2</v>
      </c>
      <c r="N285" s="2">
        <v>5.1217709220584329E-2</v>
      </c>
      <c r="P285" s="31">
        <v>1992.58333333428</v>
      </c>
      <c r="Q285" s="2">
        <v>0.76523990077695325</v>
      </c>
      <c r="R285" s="2">
        <v>7.1900000000000297E-2</v>
      </c>
      <c r="S285" s="2">
        <v>5.3848943076134068E-2</v>
      </c>
      <c r="U285" s="2">
        <f t="shared" si="41"/>
        <v>0.76669653975106289</v>
      </c>
      <c r="V285" s="2">
        <f t="shared" si="42"/>
        <v>6.4971666666666705E-2</v>
      </c>
      <c r="W285" s="2">
        <f t="shared" si="43"/>
        <v>4.9419296692518412E-2</v>
      </c>
      <c r="Y285" s="31">
        <v>1992.58333333428</v>
      </c>
      <c r="Z285" s="2">
        <v>-0.18194069426688769</v>
      </c>
      <c r="AA285" s="2">
        <v>-0.78876452892998183</v>
      </c>
      <c r="AB285" s="2">
        <v>-0.73617270407261581</v>
      </c>
      <c r="AD285" s="31">
        <v>1992.58333333428</v>
      </c>
      <c r="AE285" s="2">
        <v>0.13859852700251948</v>
      </c>
      <c r="AF285" s="2">
        <v>-0.68622224125583742</v>
      </c>
      <c r="AG285" s="2">
        <v>-0.33721054379999627</v>
      </c>
      <c r="AH285" s="31"/>
      <c r="AI285" s="31">
        <v>1992.58333333428</v>
      </c>
      <c r="AJ285" s="2">
        <v>0.59364756862374235</v>
      </c>
      <c r="AK285" s="2">
        <v>-0.61478205611361436</v>
      </c>
      <c r="AL285" s="2">
        <v>0.72324530733089998</v>
      </c>
      <c r="AM285" s="31"/>
      <c r="AN285" s="2">
        <f t="shared" si="44"/>
        <v>0.18343513378645807</v>
      </c>
      <c r="AO285" s="2">
        <f t="shared" si="37"/>
        <v>-0.69658960876647791</v>
      </c>
      <c r="AP285" s="2">
        <f t="shared" si="38"/>
        <v>-0.11671264684723737</v>
      </c>
      <c r="AQ285" s="31"/>
      <c r="AR285" s="31">
        <v>1992.58333333428</v>
      </c>
      <c r="AS285" s="2">
        <v>-0.67757372921152881</v>
      </c>
      <c r="AT285" s="2">
        <v>-0.65870957567408583</v>
      </c>
      <c r="AU285" s="2">
        <v>-0.78655596772403791</v>
      </c>
      <c r="AV285" s="31"/>
      <c r="AW285" s="31">
        <v>1992.58333333428</v>
      </c>
      <c r="AX285" s="2">
        <v>-8.6423489473726786E-2</v>
      </c>
      <c r="AY285" s="2">
        <v>-0.53553372549108424</v>
      </c>
      <c r="AZ285" s="2">
        <v>-0.27142050399297596</v>
      </c>
      <c r="BA285" s="31"/>
      <c r="BB285" s="31">
        <v>1992.58333333428</v>
      </c>
      <c r="BC285" s="2">
        <v>3.8005777025475829E-3</v>
      </c>
      <c r="BD285" s="2">
        <v>-0.51613739712758211</v>
      </c>
      <c r="BE285" s="2">
        <v>-1.7091053122005348E-3</v>
      </c>
      <c r="BG285" s="2">
        <f t="shared" si="45"/>
        <v>-0.25339888032756935</v>
      </c>
      <c r="BH285" s="2">
        <f t="shared" si="39"/>
        <v>-0.57012689943091743</v>
      </c>
      <c r="BI285" s="2">
        <f t="shared" si="40"/>
        <v>-0.35322852567640478</v>
      </c>
    </row>
    <row r="286" spans="1:61" x14ac:dyDescent="0.3">
      <c r="A286" s="31">
        <v>1992.50000000095</v>
      </c>
      <c r="B286">
        <v>0.86624104333635366</v>
      </c>
      <c r="C286">
        <v>6.0800000000000409E-2</v>
      </c>
      <c r="D286">
        <v>5.2667455434850657E-2</v>
      </c>
      <c r="F286" s="31">
        <v>1992.50000000095</v>
      </c>
      <c r="G286" s="2"/>
      <c r="H286" s="2"/>
      <c r="I286" s="2"/>
      <c r="K286" s="31">
        <v>1992.50000000095</v>
      </c>
      <c r="L286" s="2">
        <v>0.65958964638637119</v>
      </c>
      <c r="M286" s="2">
        <v>6.1499999999999902E-2</v>
      </c>
      <c r="N286" s="2">
        <v>4.0564763252761767E-2</v>
      </c>
      <c r="P286" s="31">
        <v>1992.50000000095</v>
      </c>
      <c r="Q286" s="2">
        <v>0.79660249841610864</v>
      </c>
      <c r="R286" s="2">
        <v>4.7900000000000303E-2</v>
      </c>
      <c r="S286" s="2">
        <v>3.9103006861388505E-2</v>
      </c>
      <c r="U286" s="2">
        <f t="shared" si="41"/>
        <v>0.72809607240123997</v>
      </c>
      <c r="V286" s="2">
        <f t="shared" si="42"/>
        <v>5.4700000000000103E-2</v>
      </c>
      <c r="W286" s="2">
        <f t="shared" si="43"/>
        <v>3.9833885057075136E-2</v>
      </c>
      <c r="Y286" s="31">
        <v>1992.50000000095</v>
      </c>
      <c r="Z286" s="2"/>
      <c r="AA286" s="2"/>
      <c r="AB286" s="2"/>
      <c r="AD286" s="31">
        <v>1992.50000000095</v>
      </c>
      <c r="AE286" s="2">
        <v>-0.89066531180300579</v>
      </c>
      <c r="AF286" s="2">
        <v>-0.68658960551538373</v>
      </c>
      <c r="AG286" s="2">
        <v>-0.74228679474343806</v>
      </c>
      <c r="AH286" s="31"/>
      <c r="AI286" s="31">
        <v>1992.50000000095</v>
      </c>
      <c r="AJ286" s="2">
        <v>0.9702173007153595</v>
      </c>
      <c r="AK286" s="2">
        <v>-1.186702766808877</v>
      </c>
      <c r="AL286" s="2">
        <v>-0.46848976843990098</v>
      </c>
      <c r="AM286" s="31"/>
      <c r="AN286" s="2">
        <f t="shared" si="44"/>
        <v>3.9775994456176855E-2</v>
      </c>
      <c r="AO286" s="2">
        <f t="shared" si="37"/>
        <v>-0.93664618616213036</v>
      </c>
      <c r="AP286" s="2">
        <f t="shared" si="38"/>
        <v>-0.60538828159166957</v>
      </c>
      <c r="AQ286" s="31"/>
      <c r="AR286" s="31">
        <v>1992.50000000095</v>
      </c>
      <c r="AS286" s="2"/>
      <c r="AT286" s="2"/>
      <c r="AU286" s="2"/>
      <c r="AV286" s="31"/>
      <c r="AW286" s="31">
        <v>1992.50000000095</v>
      </c>
      <c r="AX286" s="2">
        <v>-0.56396136121968088</v>
      </c>
      <c r="AY286" s="2">
        <v>-0.1083026392523672</v>
      </c>
      <c r="AZ286" s="2">
        <v>-0.56422201427627006</v>
      </c>
      <c r="BA286" s="31"/>
      <c r="BB286" s="31">
        <v>1992.50000000095</v>
      </c>
      <c r="BC286" s="2">
        <v>4.7840703346504559E-2</v>
      </c>
      <c r="BD286" s="2">
        <v>-0.38248368897839508</v>
      </c>
      <c r="BE286" s="2">
        <v>-0.18833730258055545</v>
      </c>
      <c r="BG286" s="2">
        <f t="shared" si="45"/>
        <v>-0.25806032893658815</v>
      </c>
      <c r="BH286" s="2">
        <f t="shared" si="39"/>
        <v>-0.24539316411538115</v>
      </c>
      <c r="BI286" s="2">
        <f t="shared" si="40"/>
        <v>-0.37627965842841277</v>
      </c>
    </row>
    <row r="287" spans="1:61" x14ac:dyDescent="0.3">
      <c r="A287" s="31">
        <v>1992.4166666676199</v>
      </c>
      <c r="B287">
        <v>0.75329754219727496</v>
      </c>
      <c r="C287">
        <v>0.22800000000000153</v>
      </c>
      <c r="D287">
        <v>0.17175183962097984</v>
      </c>
      <c r="F287" s="31">
        <v>1992.4166666676199</v>
      </c>
      <c r="G287" s="2">
        <v>0.69379440466011011</v>
      </c>
      <c r="H287" s="2">
        <v>0.12299999999999969</v>
      </c>
      <c r="I287" s="2">
        <v>8.5336711773193352E-2</v>
      </c>
      <c r="K287" s="31">
        <v>1992.4166666676199</v>
      </c>
      <c r="L287" s="2">
        <v>0.80123023197356102</v>
      </c>
      <c r="M287" s="2">
        <v>0.24604499999999974</v>
      </c>
      <c r="N287" s="2">
        <v>0.10695132053641697</v>
      </c>
      <c r="P287" s="31">
        <v>1992.4166666676199</v>
      </c>
      <c r="Q287" s="2">
        <v>0.70795842407141429</v>
      </c>
      <c r="R287" s="2">
        <v>0.1198000000000006</v>
      </c>
      <c r="S287" s="2">
        <v>5.613418461776673E-2</v>
      </c>
      <c r="U287" s="2">
        <f t="shared" si="41"/>
        <v>0.73432768690169503</v>
      </c>
      <c r="V287" s="2">
        <f t="shared" si="42"/>
        <v>0.16294833333333333</v>
      </c>
      <c r="W287" s="2">
        <f t="shared" si="43"/>
        <v>8.2807405642459017E-2</v>
      </c>
      <c r="Y287" s="31">
        <v>1992.4166666676199</v>
      </c>
      <c r="Z287" s="2">
        <v>-0.23123677658691302</v>
      </c>
      <c r="AA287" s="2">
        <v>0.41216179278103221</v>
      </c>
      <c r="AB287" s="2">
        <v>0.23377330933257151</v>
      </c>
      <c r="AD287" s="31">
        <v>1992.4166666676199</v>
      </c>
      <c r="AE287" s="2">
        <v>-4.7796650912029254E-2</v>
      </c>
      <c r="AF287" s="2">
        <v>3.8330928796681198</v>
      </c>
      <c r="AG287" s="2">
        <v>1.7820494610426856</v>
      </c>
      <c r="AH287" s="31"/>
      <c r="AI287" s="31">
        <v>1992.4166666676199</v>
      </c>
      <c r="AJ287" s="2">
        <v>0.81581699157024434</v>
      </c>
      <c r="AK287" s="2">
        <v>0.52667636231568804</v>
      </c>
      <c r="AL287" s="2">
        <v>0.90793364872280502</v>
      </c>
      <c r="AM287" s="31"/>
      <c r="AN287" s="2">
        <f t="shared" si="44"/>
        <v>0.17892785469043404</v>
      </c>
      <c r="AO287" s="2">
        <f t="shared" si="37"/>
        <v>1.5906436782549467</v>
      </c>
      <c r="AP287" s="2">
        <f t="shared" si="38"/>
        <v>0.97458547303268739</v>
      </c>
      <c r="AQ287" s="31"/>
      <c r="AR287" s="31">
        <v>1992.4166666676199</v>
      </c>
      <c r="AS287" s="2">
        <v>-0.81712030136891611</v>
      </c>
      <c r="AT287" s="2">
        <v>-1.0250935790978113</v>
      </c>
      <c r="AU287" s="2">
        <v>-1.1606873101041899</v>
      </c>
      <c r="AV287" s="31"/>
      <c r="AW287" s="31">
        <v>1992.4166666676199</v>
      </c>
      <c r="AX287" s="2">
        <v>-0.46878411779135898</v>
      </c>
      <c r="AY287" s="2">
        <v>2.1499491380968752</v>
      </c>
      <c r="AZ287" s="2">
        <v>0.5321965557369025</v>
      </c>
      <c r="BA287" s="31"/>
      <c r="BB287" s="31">
        <v>1992.4166666676199</v>
      </c>
      <c r="BC287" s="2">
        <v>0.1064961763495344</v>
      </c>
      <c r="BD287" s="2">
        <v>-0.9122447108614179</v>
      </c>
      <c r="BE287" s="2">
        <v>2.3972155452770136E-2</v>
      </c>
      <c r="BG287" s="2">
        <f t="shared" si="45"/>
        <v>-0.39313608093691355</v>
      </c>
      <c r="BH287" s="2">
        <f t="shared" si="39"/>
        <v>7.0870282712548624E-2</v>
      </c>
      <c r="BI287" s="2">
        <f t="shared" si="40"/>
        <v>-0.20150619963817243</v>
      </c>
    </row>
    <row r="288" spans="1:61" x14ac:dyDescent="0.3">
      <c r="A288" s="31">
        <v>1992.33333333429</v>
      </c>
      <c r="B288">
        <v>0.70869617265061613</v>
      </c>
      <c r="C288">
        <v>0.24320000000000164</v>
      </c>
      <c r="D288">
        <v>0.172354909188631</v>
      </c>
      <c r="F288" s="31">
        <v>1992.33333333429</v>
      </c>
      <c r="G288" s="2">
        <v>0.63843733210914255</v>
      </c>
      <c r="H288" s="2">
        <v>0.12299999999999969</v>
      </c>
      <c r="I288" s="2">
        <v>7.852779184942435E-2</v>
      </c>
      <c r="K288" s="31">
        <v>1992.33333333429</v>
      </c>
      <c r="L288" s="2">
        <v>0.73228181414330762</v>
      </c>
      <c r="M288" s="2">
        <v>0.24604499999999974</v>
      </c>
      <c r="N288" s="2">
        <v>9.6521165731609071E-2</v>
      </c>
      <c r="P288" s="31">
        <v>1992.33333333429</v>
      </c>
      <c r="Q288" s="2">
        <v>0.74598523448493914</v>
      </c>
      <c r="R288" s="2">
        <v>9.5850000000000463E-2</v>
      </c>
      <c r="S288" s="2">
        <v>5.3699518712730314E-2</v>
      </c>
      <c r="U288" s="2">
        <f t="shared" si="41"/>
        <v>0.70556812691246318</v>
      </c>
      <c r="V288" s="2">
        <f t="shared" si="42"/>
        <v>0.15496499999999994</v>
      </c>
      <c r="W288" s="2">
        <f t="shared" si="43"/>
        <v>7.6249492097921243E-2</v>
      </c>
      <c r="Y288" s="31">
        <v>1992.33333333429</v>
      </c>
      <c r="Z288" s="2">
        <v>-0.55220130105217602</v>
      </c>
      <c r="AA288" s="2">
        <v>0.41216179278103221</v>
      </c>
      <c r="AB288" s="2">
        <v>7.7071198523409767E-2</v>
      </c>
      <c r="AD288" s="31">
        <v>1992.33333333429</v>
      </c>
      <c r="AE288" s="2">
        <v>-0.45809190891464208</v>
      </c>
      <c r="AF288" s="2">
        <v>3.8330928796681198</v>
      </c>
      <c r="AG288" s="2">
        <v>1.385444801838271</v>
      </c>
      <c r="AH288" s="31"/>
      <c r="AI288" s="31">
        <v>1992.33333333429</v>
      </c>
      <c r="AJ288" s="2">
        <v>0.61122351721156765</v>
      </c>
      <c r="AK288" s="2">
        <v>-4.4052846898962821E-2</v>
      </c>
      <c r="AL288" s="2">
        <v>0.71116914936780595</v>
      </c>
      <c r="AM288" s="31"/>
      <c r="AN288" s="2">
        <f t="shared" si="44"/>
        <v>-0.13302323091841681</v>
      </c>
      <c r="AO288" s="2">
        <f t="shared" si="37"/>
        <v>1.4004006085167298</v>
      </c>
      <c r="AP288" s="2">
        <f t="shared" si="38"/>
        <v>0.7245617165764956</v>
      </c>
      <c r="AQ288" s="31"/>
      <c r="AR288" s="31">
        <v>1992.33333333429</v>
      </c>
      <c r="AS288" s="2">
        <v>-0.76435826012228214</v>
      </c>
      <c r="AT288" s="2">
        <v>-0.62524988541030202</v>
      </c>
      <c r="AU288" s="2">
        <v>-0.86816728786102892</v>
      </c>
      <c r="AV288" s="31"/>
      <c r="AW288" s="31">
        <v>1992.33333333429</v>
      </c>
      <c r="AX288" s="2">
        <v>-0.58464199948860451</v>
      </c>
      <c r="AY288" s="2">
        <v>2.7286072890086146</v>
      </c>
      <c r="AZ288" s="2">
        <v>0.63320319987761009</v>
      </c>
      <c r="BA288" s="31"/>
      <c r="BB288" s="31">
        <v>1992.33333333429</v>
      </c>
      <c r="BC288" s="2">
        <v>0.42766026927176315</v>
      </c>
      <c r="BD288" s="2">
        <v>-0.7363458413185221</v>
      </c>
      <c r="BE288" s="2">
        <v>0.37070340747786829</v>
      </c>
      <c r="BG288" s="2">
        <f t="shared" si="45"/>
        <v>-0.30711333011304115</v>
      </c>
      <c r="BH288" s="2">
        <f t="shared" si="39"/>
        <v>0.45567052075993014</v>
      </c>
      <c r="BI288" s="2">
        <f t="shared" si="40"/>
        <v>4.5246439831483132E-2</v>
      </c>
    </row>
    <row r="289" spans="1:61" x14ac:dyDescent="0.3">
      <c r="A289" s="31">
        <v>1992.25000000096</v>
      </c>
      <c r="B289">
        <v>0.78740603053059055</v>
      </c>
      <c r="C289">
        <v>0.24320000000000164</v>
      </c>
      <c r="D289">
        <v>0.19149714662504091</v>
      </c>
      <c r="F289" s="31">
        <v>1992.25000000096</v>
      </c>
      <c r="G289" s="2">
        <v>0.60302832862601397</v>
      </c>
      <c r="H289" s="2">
        <v>0.12299999999999969</v>
      </c>
      <c r="I289" s="2">
        <v>7.4172484420999538E-2</v>
      </c>
      <c r="K289" s="31">
        <v>1992.25000000096</v>
      </c>
      <c r="L289" s="2">
        <v>0.74956332867021236</v>
      </c>
      <c r="M289" s="2">
        <v>0.21529499999999979</v>
      </c>
      <c r="N289" s="2">
        <v>9.6878121968989817E-2</v>
      </c>
      <c r="P289" s="31">
        <v>1992.25000000096</v>
      </c>
      <c r="Q289" s="2">
        <v>0.64963188856811283</v>
      </c>
      <c r="R289" s="2">
        <v>9.5850000000000463E-2</v>
      </c>
      <c r="S289" s="2">
        <v>4.8980644515020974E-2</v>
      </c>
      <c r="U289" s="2">
        <f t="shared" si="41"/>
        <v>0.66740784862144642</v>
      </c>
      <c r="V289" s="2">
        <f t="shared" si="42"/>
        <v>0.14471499999999995</v>
      </c>
      <c r="W289" s="2">
        <f t="shared" si="43"/>
        <v>7.3343750301670119E-2</v>
      </c>
      <c r="Y289" s="31">
        <v>1992.25000000096</v>
      </c>
      <c r="Z289" s="2">
        <v>-0.75750540116128784</v>
      </c>
      <c r="AA289" s="2">
        <v>0.41216179278103221</v>
      </c>
      <c r="AB289" s="2">
        <v>-2.3162887777785517E-2</v>
      </c>
      <c r="AD289" s="31">
        <v>1992.25000000096</v>
      </c>
      <c r="AE289" s="2">
        <v>-0.35525382089718105</v>
      </c>
      <c r="AF289" s="2">
        <v>3.0799961476006423</v>
      </c>
      <c r="AG289" s="2">
        <v>1.3990179950963444</v>
      </c>
      <c r="AH289" s="31"/>
      <c r="AI289" s="31">
        <v>1992.25000000096</v>
      </c>
      <c r="AJ289" s="2">
        <v>0.21777471380266611</v>
      </c>
      <c r="AK289" s="2">
        <v>-4.4052846898962821E-2</v>
      </c>
      <c r="AL289" s="2">
        <v>0.32979981359538402</v>
      </c>
      <c r="AM289" s="31"/>
      <c r="AN289" s="2">
        <f t="shared" si="44"/>
        <v>-0.29832816941860091</v>
      </c>
      <c r="AO289" s="2">
        <f t="shared" si="37"/>
        <v>1.1493683644942372</v>
      </c>
      <c r="AP289" s="2">
        <f t="shared" si="38"/>
        <v>0.56855164030464767</v>
      </c>
      <c r="AQ289" s="31"/>
      <c r="AR289" s="31">
        <v>1992.25000000096</v>
      </c>
      <c r="AS289" s="2">
        <v>-0.73794180987436497</v>
      </c>
      <c r="AT289" s="2">
        <v>-0.74536446371894627</v>
      </c>
      <c r="AU289" s="2">
        <v>-0.93017476034036961</v>
      </c>
      <c r="AV289" s="31"/>
      <c r="AW289" s="31">
        <v>1992.25000000096</v>
      </c>
      <c r="AX289" s="2">
        <v>-0.30515861572845521</v>
      </c>
      <c r="AY289" s="2">
        <v>1.9389958680933654</v>
      </c>
      <c r="AZ289" s="2">
        <v>0.49801434875061701</v>
      </c>
      <c r="BA289" s="31"/>
      <c r="BB289" s="31">
        <v>1992.25000000096</v>
      </c>
      <c r="BC289" s="2">
        <v>0.54484140489466526</v>
      </c>
      <c r="BD289" s="2">
        <v>-1.0548255298976554</v>
      </c>
      <c r="BE289" s="2">
        <v>0.41112935445577764</v>
      </c>
      <c r="BG289" s="2">
        <f t="shared" si="45"/>
        <v>-0.16608634023605165</v>
      </c>
      <c r="BH289" s="2">
        <f t="shared" si="39"/>
        <v>4.6268624825587912E-2</v>
      </c>
      <c r="BI289" s="2">
        <f t="shared" si="40"/>
        <v>-7.0103523779916355E-3</v>
      </c>
    </row>
    <row r="290" spans="1:61" x14ac:dyDescent="0.3">
      <c r="A290" s="31">
        <v>1992.1666666676299</v>
      </c>
      <c r="B290">
        <v>0.7583428908224864</v>
      </c>
      <c r="C290">
        <v>0.24320000000000164</v>
      </c>
      <c r="D290">
        <v>0.18442899104802993</v>
      </c>
      <c r="F290" s="31">
        <v>1992.1666666676299</v>
      </c>
      <c r="G290" s="2">
        <v>0.5969344795154552</v>
      </c>
      <c r="H290" s="2">
        <v>9.2249999999999749E-2</v>
      </c>
      <c r="I290" s="2">
        <v>5.3598191933473247E-2</v>
      </c>
      <c r="K290" s="31">
        <v>1992.1666666676299</v>
      </c>
      <c r="L290" s="2">
        <v>0.82190868428722963</v>
      </c>
      <c r="M290" s="2">
        <v>0.24604499999999974</v>
      </c>
      <c r="N290" s="2">
        <v>0.10782326726208322</v>
      </c>
      <c r="P290" s="31">
        <v>1992.1666666676299</v>
      </c>
      <c r="Q290" s="2">
        <v>0.70347021716379432</v>
      </c>
      <c r="R290" s="2">
        <v>9.5850000000000463E-2</v>
      </c>
      <c r="S290" s="2">
        <v>4.482379336211053E-2</v>
      </c>
      <c r="U290" s="2">
        <f t="shared" si="41"/>
        <v>0.70743779365549297</v>
      </c>
      <c r="V290" s="2">
        <f t="shared" si="42"/>
        <v>0.14471499999999995</v>
      </c>
      <c r="W290" s="2">
        <f t="shared" si="43"/>
        <v>6.8748417519222338E-2</v>
      </c>
      <c r="Y290" s="31">
        <v>1992.1666666676299</v>
      </c>
      <c r="Z290" s="2">
        <v>-0.79283800261221804</v>
      </c>
      <c r="AA290" s="2">
        <v>-0.1883013680744752</v>
      </c>
      <c r="AB290" s="2">
        <v>-0.49666457340428055</v>
      </c>
      <c r="AD290" s="31">
        <v>1992.1666666676299</v>
      </c>
      <c r="AE290" s="2">
        <v>7.5255787332733942E-2</v>
      </c>
      <c r="AF290" s="2">
        <v>3.8330928796681198</v>
      </c>
      <c r="AG290" s="2">
        <v>1.8152050699908728</v>
      </c>
      <c r="AH290" s="31"/>
      <c r="AI290" s="31">
        <v>1992.1666666676299</v>
      </c>
      <c r="AJ290" s="2">
        <v>-0.14366993532878911</v>
      </c>
      <c r="AK290" s="2">
        <v>-4.4052846898962821E-2</v>
      </c>
      <c r="AL290" s="2">
        <v>-6.1480198645172991E-3</v>
      </c>
      <c r="AM290" s="31"/>
      <c r="AN290" s="2">
        <f t="shared" si="44"/>
        <v>-0.28708405020275773</v>
      </c>
      <c r="AO290" s="2">
        <f t="shared" si="37"/>
        <v>1.2002462215648939</v>
      </c>
      <c r="AP290" s="2">
        <f t="shared" si="38"/>
        <v>0.43746415890735829</v>
      </c>
      <c r="AQ290" s="31"/>
      <c r="AR290" s="31">
        <v>1992.1666666676299</v>
      </c>
      <c r="AS290" s="2">
        <v>-0.47679154276170943</v>
      </c>
      <c r="AT290" s="2">
        <v>-1.1019061349826649</v>
      </c>
      <c r="AU290" s="2">
        <v>-1.1481249985792648</v>
      </c>
      <c r="AV290" s="31"/>
      <c r="AW290" s="31">
        <v>1992.1666666676299</v>
      </c>
      <c r="AX290" s="2">
        <v>0.25327164443694755</v>
      </c>
      <c r="AY290" s="2">
        <v>2.8839407790945328</v>
      </c>
      <c r="AZ290" s="2">
        <v>1.2691401616817437</v>
      </c>
      <c r="BA290" s="31"/>
      <c r="BB290" s="31">
        <v>1992.1666666676299</v>
      </c>
      <c r="BC290" s="2">
        <v>0.4775502376634948</v>
      </c>
      <c r="BD290" s="2">
        <v>-0.34847073798484229</v>
      </c>
      <c r="BE290" s="2">
        <v>0.49051210015688196</v>
      </c>
      <c r="BG290" s="2">
        <f t="shared" si="45"/>
        <v>8.467677977957766E-2</v>
      </c>
      <c r="BH290" s="2">
        <f t="shared" si="39"/>
        <v>0.47785463537567519</v>
      </c>
      <c r="BI290" s="2">
        <f t="shared" si="40"/>
        <v>0.20384242108645365</v>
      </c>
    </row>
    <row r="291" spans="1:61" x14ac:dyDescent="0.3">
      <c r="A291" s="31">
        <v>1992.0833333343001</v>
      </c>
      <c r="B291">
        <v>0.71805254617023873</v>
      </c>
      <c r="C291">
        <v>3.0400000000000205E-2</v>
      </c>
      <c r="D291">
        <v>2.1828797403575403E-2</v>
      </c>
      <c r="F291" s="31">
        <v>1992.0833333343001</v>
      </c>
      <c r="G291" s="2">
        <v>0.59371635178471127</v>
      </c>
      <c r="H291" s="2">
        <v>6.1499999999999846E-2</v>
      </c>
      <c r="I291" s="2">
        <v>3.6513555634759658E-2</v>
      </c>
      <c r="K291" s="31">
        <v>1992.0833333343001</v>
      </c>
      <c r="L291" s="2">
        <v>0.79073257380153361</v>
      </c>
      <c r="M291" s="2">
        <v>6.1514999999999952E-2</v>
      </c>
      <c r="N291" s="2">
        <v>4.8644048625978598E-2</v>
      </c>
      <c r="P291" s="31">
        <v>1992.0833333343001</v>
      </c>
      <c r="Q291" s="2">
        <v>0.63000963541589683</v>
      </c>
      <c r="R291" s="2">
        <v>9.5850000000000463E-2</v>
      </c>
      <c r="S291" s="2">
        <v>4.3262747083158429E-2</v>
      </c>
      <c r="U291" s="2">
        <f t="shared" si="41"/>
        <v>0.67148618700071394</v>
      </c>
      <c r="V291" s="2">
        <f t="shared" si="42"/>
        <v>7.2955000000000089E-2</v>
      </c>
      <c r="W291" s="2">
        <f t="shared" si="43"/>
        <v>4.2806783781298895E-2</v>
      </c>
      <c r="Y291" s="31">
        <v>1992.0833333343001</v>
      </c>
      <c r="Z291" s="2">
        <v>-0.8114969523934894</v>
      </c>
      <c r="AA291" s="2">
        <v>-0.78876452892998183</v>
      </c>
      <c r="AB291" s="2">
        <v>-0.88985447729337053</v>
      </c>
      <c r="AD291" s="31">
        <v>1992.0833333343001</v>
      </c>
      <c r="AE291" s="2">
        <v>-0.1102656604072018</v>
      </c>
      <c r="AF291" s="2">
        <v>-0.68622224125583742</v>
      </c>
      <c r="AG291" s="2">
        <v>-0.43507350002006329</v>
      </c>
      <c r="AH291" s="31"/>
      <c r="AI291" s="31">
        <v>1992.0833333343001</v>
      </c>
      <c r="AJ291" s="2">
        <v>-0.2675460044243656</v>
      </c>
      <c r="AK291" s="2">
        <v>-4.4052846898962821E-2</v>
      </c>
      <c r="AL291" s="2">
        <v>-0.13230844660421814</v>
      </c>
      <c r="AM291" s="31"/>
      <c r="AN291" s="2">
        <f t="shared" si="44"/>
        <v>-0.39643620574168564</v>
      </c>
      <c r="AO291" s="2">
        <f t="shared" si="37"/>
        <v>-0.50634653902826077</v>
      </c>
      <c r="AP291" s="2">
        <f t="shared" si="38"/>
        <v>-0.48574547463921736</v>
      </c>
      <c r="AQ291" s="31"/>
      <c r="AR291" s="31">
        <v>1992.0833333343001</v>
      </c>
      <c r="AS291" s="2">
        <v>-0.36317949744046496</v>
      </c>
      <c r="AT291" s="2">
        <v>-0.93050162247170598</v>
      </c>
      <c r="AU291" s="2">
        <v>-0.91091499528576825</v>
      </c>
      <c r="AV291" s="31"/>
      <c r="AW291" s="31">
        <v>1992.0833333343001</v>
      </c>
      <c r="AX291" s="2">
        <v>0.20737337090665411</v>
      </c>
      <c r="AY291" s="2">
        <v>-0.87038484719517628</v>
      </c>
      <c r="AZ291" s="2">
        <v>-0.35142451990118106</v>
      </c>
      <c r="BA291" s="31"/>
      <c r="BB291" s="31">
        <v>1992.0833333343001</v>
      </c>
      <c r="BC291" s="2">
        <v>0.45713452327833803</v>
      </c>
      <c r="BD291" s="2">
        <v>-1.4615836317459097E-2</v>
      </c>
      <c r="BE291" s="2">
        <v>0.28222859814697532</v>
      </c>
      <c r="BG291" s="2">
        <f t="shared" si="45"/>
        <v>0.10044279891484238</v>
      </c>
      <c r="BH291" s="2">
        <f t="shared" si="39"/>
        <v>-0.60516743532811379</v>
      </c>
      <c r="BI291" s="2">
        <f t="shared" si="40"/>
        <v>-0.32670363901332466</v>
      </c>
    </row>
    <row r="292" spans="1:61" x14ac:dyDescent="0.3">
      <c r="A292" s="31">
        <v>1992.00000000097</v>
      </c>
      <c r="B292">
        <v>0.73264193060725791</v>
      </c>
      <c r="C292">
        <v>3.0400000000000205E-2</v>
      </c>
      <c r="D292">
        <v>2.2272314690460791E-2</v>
      </c>
      <c r="F292" s="31">
        <v>1992.00000000097</v>
      </c>
      <c r="G292" s="2">
        <v>0.64229050012690658</v>
      </c>
      <c r="H292" s="2">
        <v>6.1499999999999902E-2</v>
      </c>
      <c r="I292" s="2">
        <v>3.950086575780469E-2</v>
      </c>
      <c r="K292" s="31">
        <v>1992.00000000097</v>
      </c>
      <c r="L292" s="2">
        <v>0.65797187928007195</v>
      </c>
      <c r="M292" s="2">
        <v>6.1499999999999902E-2</v>
      </c>
      <c r="N292" s="2">
        <v>4.0465270575724362E-2</v>
      </c>
      <c r="P292" s="31">
        <v>1992.00000000097</v>
      </c>
      <c r="Q292" s="2">
        <v>0.65700383162336107</v>
      </c>
      <c r="R292" s="2">
        <v>7.1900000000000297E-2</v>
      </c>
      <c r="S292" s="2">
        <v>4.3868324728144198E-2</v>
      </c>
      <c r="U292" s="2">
        <f t="shared" si="41"/>
        <v>0.65242207034344657</v>
      </c>
      <c r="V292" s="2">
        <f t="shared" si="42"/>
        <v>6.4966666666666686E-2</v>
      </c>
      <c r="W292" s="2">
        <f t="shared" si="43"/>
        <v>4.1278153687224414E-2</v>
      </c>
      <c r="Y292" s="31">
        <v>1992.00000000097</v>
      </c>
      <c r="Z292" s="2">
        <v>-0.52986033930121412</v>
      </c>
      <c r="AA292" s="2">
        <v>-0.78876452892998072</v>
      </c>
      <c r="AB292" s="2">
        <v>-0.82110380800019844</v>
      </c>
      <c r="AD292" s="31">
        <v>1992.00000000097</v>
      </c>
      <c r="AE292" s="2">
        <v>-0.90029225021805881</v>
      </c>
      <c r="AF292" s="2">
        <v>-0.68658960551538373</v>
      </c>
      <c r="AG292" s="2">
        <v>-0.74606998492692089</v>
      </c>
      <c r="AH292" s="31"/>
      <c r="AI292" s="31">
        <v>1992.00000000097</v>
      </c>
      <c r="AJ292" s="2">
        <v>-0.21321044788394478</v>
      </c>
      <c r="AK292" s="2">
        <v>-0.61478205611361436</v>
      </c>
      <c r="AL292" s="2">
        <v>-8.3366954512956476E-2</v>
      </c>
      <c r="AM292" s="31"/>
      <c r="AN292" s="2">
        <f t="shared" si="44"/>
        <v>-0.54778767913440596</v>
      </c>
      <c r="AO292" s="2">
        <f t="shared" si="37"/>
        <v>-0.69671206351965953</v>
      </c>
      <c r="AP292" s="2">
        <f t="shared" si="38"/>
        <v>-0.55018024914669195</v>
      </c>
      <c r="AQ292" s="31"/>
      <c r="AR292" s="31">
        <v>1992.00000000097</v>
      </c>
      <c r="AS292" s="2">
        <v>-7.1741415507092565E-2</v>
      </c>
      <c r="AT292" s="2">
        <v>-0.29853293598826319</v>
      </c>
      <c r="AU292" s="2">
        <v>-0.30119297273052437</v>
      </c>
      <c r="AV292" s="31"/>
      <c r="AW292" s="31">
        <v>1992.00000000097</v>
      </c>
      <c r="AX292" s="2">
        <v>-0.44520665902584211</v>
      </c>
      <c r="AY292" s="2">
        <v>-0.22064426073162682</v>
      </c>
      <c r="AZ292" s="2">
        <v>-0.49513174712751973</v>
      </c>
      <c r="BA292" s="31"/>
      <c r="BB292" s="31">
        <v>1992.00000000097</v>
      </c>
      <c r="BC292" s="2">
        <v>0.29270042637481947</v>
      </c>
      <c r="BD292" s="2">
        <v>-9.3919208556921333E-2</v>
      </c>
      <c r="BE292" s="2">
        <v>0.53264063693821861</v>
      </c>
      <c r="BG292" s="2">
        <f t="shared" si="45"/>
        <v>-7.474921605270507E-2</v>
      </c>
      <c r="BH292" s="2">
        <f t="shared" si="39"/>
        <v>-0.20436546842560377</v>
      </c>
      <c r="BI292" s="2">
        <f t="shared" si="40"/>
        <v>-8.7894694306608498E-2</v>
      </c>
    </row>
    <row r="293" spans="1:61" x14ac:dyDescent="0.3">
      <c r="A293" s="31">
        <v>1991.9166666676399</v>
      </c>
      <c r="B293">
        <v>0.75962851103482876</v>
      </c>
      <c r="C293">
        <v>3.0400000000000205E-2</v>
      </c>
      <c r="D293">
        <v>2.3092706735458948E-2</v>
      </c>
      <c r="F293" s="31">
        <v>1991.9166666676399</v>
      </c>
      <c r="G293" s="2">
        <v>0.55278116161684876</v>
      </c>
      <c r="H293" s="2">
        <v>6.1499999999999798E-2</v>
      </c>
      <c r="I293" s="2">
        <v>3.3996041439436089E-2</v>
      </c>
      <c r="K293" s="31">
        <v>1991.9166666676399</v>
      </c>
      <c r="L293" s="2">
        <v>0.91065324511716683</v>
      </c>
      <c r="M293" s="2">
        <v>6.1530000000000001E-2</v>
      </c>
      <c r="N293" s="2">
        <v>5.6032494172059279E-2</v>
      </c>
      <c r="P293" s="31">
        <v>1991.9166666676399</v>
      </c>
      <c r="Q293" s="2">
        <v>0.70282679043051166</v>
      </c>
      <c r="R293" s="2">
        <v>9.5850000000000463E-2</v>
      </c>
      <c r="S293" s="2">
        <v>4.516457162901609E-2</v>
      </c>
      <c r="U293" s="2">
        <f t="shared" si="41"/>
        <v>0.72208706572150916</v>
      </c>
      <c r="V293" s="2">
        <f t="shared" si="42"/>
        <v>7.2960000000000094E-2</v>
      </c>
      <c r="W293" s="2">
        <f t="shared" si="43"/>
        <v>4.5064369080170495E-2</v>
      </c>
      <c r="Y293" s="31">
        <v>1991.9166666676399</v>
      </c>
      <c r="Z293" s="2">
        <v>-1.048842303956764</v>
      </c>
      <c r="AA293" s="2">
        <v>-0.78876452892998272</v>
      </c>
      <c r="AB293" s="2">
        <v>-0.94779315080046922</v>
      </c>
      <c r="AD293" s="31">
        <v>1991.9166666676399</v>
      </c>
      <c r="AE293" s="2">
        <v>0.6033530755357841</v>
      </c>
      <c r="AF293" s="2">
        <v>-0.68585487699629111</v>
      </c>
      <c r="AG293" s="2">
        <v>-0.15412925876077233</v>
      </c>
      <c r="AH293" s="31"/>
      <c r="AI293" s="31">
        <v>1991.9166666676399</v>
      </c>
      <c r="AJ293" s="2">
        <v>-0.10797379474159449</v>
      </c>
      <c r="AK293" s="2">
        <v>-4.4052846898962821E-2</v>
      </c>
      <c r="AL293" s="2">
        <v>2.1392951954256251E-2</v>
      </c>
      <c r="AM293" s="31"/>
      <c r="AN293" s="2">
        <f t="shared" si="44"/>
        <v>-0.18448767438752481</v>
      </c>
      <c r="AO293" s="2">
        <f t="shared" si="37"/>
        <v>-0.50622408427507892</v>
      </c>
      <c r="AP293" s="2">
        <f t="shared" si="38"/>
        <v>-0.36017648586899509</v>
      </c>
      <c r="AQ293" s="31"/>
      <c r="AR293" s="31">
        <v>1991.9166666676399</v>
      </c>
      <c r="AS293" s="2">
        <v>-0.80968850956772376</v>
      </c>
      <c r="AT293" s="2">
        <v>-0.68444756444045463</v>
      </c>
      <c r="AU293" s="2">
        <v>-0.95349523203121289</v>
      </c>
      <c r="AV293" s="31"/>
      <c r="AW293" s="31">
        <v>1991.9166666676399</v>
      </c>
      <c r="AX293" s="2">
        <v>0.75900827329514642</v>
      </c>
      <c r="AY293" s="2">
        <v>-0.51674513160061353</v>
      </c>
      <c r="AZ293" s="2">
        <v>0.59504625096711239</v>
      </c>
      <c r="BA293" s="31"/>
      <c r="BB293" s="31">
        <v>1991.9166666676399</v>
      </c>
      <c r="BC293" s="2">
        <v>0.36264805688556362</v>
      </c>
      <c r="BD293" s="2">
        <v>0.88737234882057547</v>
      </c>
      <c r="BE293" s="2">
        <v>0.3886940296842924</v>
      </c>
      <c r="BG293" s="2">
        <f t="shared" si="45"/>
        <v>0.10398927353766212</v>
      </c>
      <c r="BH293" s="2">
        <f t="shared" si="39"/>
        <v>-0.1046067824068309</v>
      </c>
      <c r="BI293" s="2">
        <f t="shared" si="40"/>
        <v>1.0081682873397316E-2</v>
      </c>
    </row>
    <row r="294" spans="1:61" x14ac:dyDescent="0.3">
      <c r="A294" s="31">
        <v>1991.8333333343101</v>
      </c>
      <c r="B294">
        <v>0.77570272875976054</v>
      </c>
      <c r="C294">
        <v>1.5200000000000102E-2</v>
      </c>
      <c r="D294">
        <v>1.179068147714844E-2</v>
      </c>
      <c r="F294" s="31">
        <v>1991.8333333343101</v>
      </c>
      <c r="G294" s="2">
        <v>0.67102506687025176</v>
      </c>
      <c r="H294" s="2">
        <v>6.1499999999999902E-2</v>
      </c>
      <c r="I294" s="2">
        <v>4.1268041612520415E-2</v>
      </c>
      <c r="K294" s="31">
        <v>1991.8333333343101</v>
      </c>
      <c r="L294" s="2">
        <v>0.74156453716810511</v>
      </c>
      <c r="M294" s="2">
        <v>6.1499999999999902E-2</v>
      </c>
      <c r="N294" s="2">
        <v>4.5606219035838391E-2</v>
      </c>
      <c r="P294" s="31">
        <v>1991.8333333343101</v>
      </c>
      <c r="Q294" s="2">
        <v>0.82379449508710989</v>
      </c>
      <c r="R294" s="2">
        <v>7.1900000000000297E-2</v>
      </c>
      <c r="S294" s="2">
        <v>4.6160779401228001E-2</v>
      </c>
      <c r="U294" s="2">
        <f t="shared" si="41"/>
        <v>0.74546136637515559</v>
      </c>
      <c r="V294" s="2">
        <f t="shared" si="42"/>
        <v>6.4966666666666686E-2</v>
      </c>
      <c r="W294" s="2">
        <f t="shared" si="43"/>
        <v>4.4345013349862274E-2</v>
      </c>
      <c r="Y294" s="31">
        <v>1991.8333333343101</v>
      </c>
      <c r="Z294" s="2">
        <v>-0.36325513195392006</v>
      </c>
      <c r="AA294" s="2">
        <v>-0.78876452892998072</v>
      </c>
      <c r="AB294" s="2">
        <v>-0.78043360043346699</v>
      </c>
      <c r="AD294" s="31">
        <v>1991.8333333343101</v>
      </c>
      <c r="AE294" s="2">
        <v>-0.40285268286303422</v>
      </c>
      <c r="AF294" s="2">
        <v>-0.68658960551538373</v>
      </c>
      <c r="AG294" s="2">
        <v>-0.55058639430263601</v>
      </c>
      <c r="AH294" s="31"/>
      <c r="AI294" s="31">
        <v>1991.8333333343101</v>
      </c>
      <c r="AJ294" s="2">
        <v>-8.1638669389883945E-3</v>
      </c>
      <c r="AK294" s="2">
        <v>-0.61478205611361436</v>
      </c>
      <c r="AL294" s="2">
        <v>0.10190433675959926</v>
      </c>
      <c r="AM294" s="31"/>
      <c r="AN294" s="2">
        <f t="shared" si="44"/>
        <v>-0.25809056058531427</v>
      </c>
      <c r="AO294" s="2">
        <f t="shared" si="37"/>
        <v>-0.69671206351965953</v>
      </c>
      <c r="AP294" s="2">
        <f t="shared" si="38"/>
        <v>-0.40970521932550125</v>
      </c>
      <c r="AQ294" s="31"/>
      <c r="AR294" s="31">
        <v>1991.8333333343101</v>
      </c>
      <c r="AS294" s="2">
        <v>-0.12025331586648508</v>
      </c>
      <c r="AT294" s="2">
        <v>-0.28549293171717766</v>
      </c>
      <c r="AU294" s="2">
        <v>-0.33937729578409842</v>
      </c>
      <c r="AV294" s="31"/>
      <c r="AW294" s="31">
        <v>1991.8333333343101</v>
      </c>
      <c r="AX294" s="2">
        <v>-0.11985081851311885</v>
      </c>
      <c r="AY294" s="2">
        <v>-0.19208961378086201</v>
      </c>
      <c r="AZ294" s="2">
        <v>-0.15962421688264228</v>
      </c>
      <c r="BA294" s="31"/>
      <c r="BB294" s="31">
        <v>1991.8333333343101</v>
      </c>
      <c r="BC294" s="2">
        <v>7.364470406830953E-2</v>
      </c>
      <c r="BD294" s="2">
        <v>-4.0971152421897278E-2</v>
      </c>
      <c r="BE294" s="2">
        <v>0.28000331501578557</v>
      </c>
      <c r="BG294" s="2">
        <f t="shared" si="45"/>
        <v>-5.5486476770431468E-2</v>
      </c>
      <c r="BH294" s="2">
        <f t="shared" si="39"/>
        <v>-0.17285123263997901</v>
      </c>
      <c r="BI294" s="2">
        <f t="shared" si="40"/>
        <v>-7.2999399216985048E-2</v>
      </c>
    </row>
    <row r="295" spans="1:61" x14ac:dyDescent="0.3">
      <c r="A295" s="31">
        <v>1991.75000000098</v>
      </c>
      <c r="B295">
        <v>0.78514224315367886</v>
      </c>
      <c r="C295">
        <v>3.0400000000000205E-2</v>
      </c>
      <c r="D295">
        <v>2.3868324191871997E-2</v>
      </c>
      <c r="F295" s="31">
        <v>1991.75000000098</v>
      </c>
      <c r="G295" s="2">
        <v>0.62940966837030965</v>
      </c>
      <c r="H295" s="2">
        <v>6.1499999999999846E-2</v>
      </c>
      <c r="I295" s="2">
        <v>3.8708694604773948E-2</v>
      </c>
      <c r="K295" s="31">
        <v>1991.75000000098</v>
      </c>
      <c r="L295" s="2">
        <v>0.86236351945277723</v>
      </c>
      <c r="M295" s="2">
        <v>6.1514999999999952E-2</v>
      </c>
      <c r="N295" s="2">
        <v>5.304869069238273E-2</v>
      </c>
      <c r="P295" s="31">
        <v>1991.75000000098</v>
      </c>
      <c r="Q295" s="2">
        <v>0.89001544519740916</v>
      </c>
      <c r="R295" s="2">
        <v>9.5850000000000463E-2</v>
      </c>
      <c r="S295" s="2">
        <v>4.7132463343349064E-2</v>
      </c>
      <c r="U295" s="2">
        <f t="shared" si="41"/>
        <v>0.79392954434016527</v>
      </c>
      <c r="V295" s="2">
        <f t="shared" si="42"/>
        <v>7.2955000000000089E-2</v>
      </c>
      <c r="W295" s="2">
        <f t="shared" si="43"/>
        <v>4.6296616213501916E-2</v>
      </c>
      <c r="Y295" s="31">
        <v>1991.75000000098</v>
      </c>
      <c r="Z295" s="2">
        <v>-0.60454438325362381</v>
      </c>
      <c r="AA295" s="2">
        <v>-0.78876452892998183</v>
      </c>
      <c r="AB295" s="2">
        <v>-0.83933502428586904</v>
      </c>
      <c r="AD295" s="31">
        <v>1991.75000000098</v>
      </c>
      <c r="AE295" s="2">
        <v>0.31599266794638042</v>
      </c>
      <c r="AF295" s="2">
        <v>-0.68622224125583742</v>
      </c>
      <c r="AG295" s="2">
        <v>-0.26758782043471474</v>
      </c>
      <c r="AH295" s="31"/>
      <c r="AI295" s="31">
        <v>1991.75000000098</v>
      </c>
      <c r="AJ295" s="2">
        <v>0.13875465472347001</v>
      </c>
      <c r="AK295" s="2">
        <v>-4.4052846898962821E-2</v>
      </c>
      <c r="AL295" s="2">
        <v>0.18043375798623895</v>
      </c>
      <c r="AM295" s="31"/>
      <c r="AN295" s="2">
        <f t="shared" si="44"/>
        <v>-4.9932353527924467E-2</v>
      </c>
      <c r="AO295" s="2">
        <f t="shared" si="37"/>
        <v>-0.50634653902826077</v>
      </c>
      <c r="AP295" s="2">
        <f t="shared" si="38"/>
        <v>-0.30882969557811496</v>
      </c>
      <c r="AQ295" s="31"/>
      <c r="AR295" s="31">
        <v>1991.75000000098</v>
      </c>
      <c r="AS295" s="2">
        <v>-0.81334718099090519</v>
      </c>
      <c r="AT295" s="2">
        <v>-0.6766476141944503</v>
      </c>
      <c r="AU295" s="2">
        <v>-0.87916160584265413</v>
      </c>
      <c r="AV295" s="31"/>
      <c r="AW295" s="31">
        <v>1991.75000000098</v>
      </c>
      <c r="AX295" s="2">
        <v>0.42405386900445408</v>
      </c>
      <c r="AY295" s="2">
        <v>-0.6564669997761764</v>
      </c>
      <c r="AZ295" s="2">
        <v>-9.0054898355620958E-2</v>
      </c>
      <c r="BA295" s="31"/>
      <c r="BB295" s="31">
        <v>1991.75000000098</v>
      </c>
      <c r="BC295" s="2">
        <v>8.7987408964689623E-2</v>
      </c>
      <c r="BD295" s="2">
        <v>0.36965282471677957</v>
      </c>
      <c r="BE295" s="2">
        <v>-4.7077802343366039E-2</v>
      </c>
      <c r="BG295" s="2">
        <f t="shared" si="45"/>
        <v>-0.10043530100725384</v>
      </c>
      <c r="BH295" s="2">
        <f t="shared" si="39"/>
        <v>-0.32115392975128237</v>
      </c>
      <c r="BI295" s="2">
        <f t="shared" si="40"/>
        <v>-0.33876476884721374</v>
      </c>
    </row>
    <row r="296" spans="1:61" x14ac:dyDescent="0.3">
      <c r="A296" s="31">
        <v>1991.6666666676499</v>
      </c>
      <c r="B296">
        <v>0.81348591714795759</v>
      </c>
      <c r="C296">
        <v>3.0400000000000205E-2</v>
      </c>
      <c r="D296">
        <v>2.4729971881298076E-2</v>
      </c>
      <c r="F296" s="31">
        <v>1991.6666666676499</v>
      </c>
      <c r="G296" s="2"/>
      <c r="H296" s="2"/>
      <c r="I296" s="2"/>
      <c r="K296" s="31">
        <v>1991.6666666676499</v>
      </c>
      <c r="L296" s="2"/>
      <c r="M296" s="2"/>
      <c r="N296" s="2"/>
      <c r="P296" s="31">
        <v>1991.6666666676499</v>
      </c>
      <c r="Q296" s="2">
        <v>0.87203608908799735</v>
      </c>
      <c r="R296" s="2">
        <v>7.1900000000000297E-2</v>
      </c>
      <c r="S296" s="2">
        <v>4.9139470844359531E-2</v>
      </c>
      <c r="U296" s="2">
        <f t="shared" si="41"/>
        <v>0.87203608908799735</v>
      </c>
      <c r="V296" s="2">
        <f t="shared" si="42"/>
        <v>7.1900000000000297E-2</v>
      </c>
      <c r="W296" s="2">
        <f t="shared" si="43"/>
        <v>4.9139470844359531E-2</v>
      </c>
      <c r="Y296" s="31">
        <v>1991.6666666676499</v>
      </c>
      <c r="Z296" s="2"/>
      <c r="AA296" s="2"/>
      <c r="AB296" s="2"/>
      <c r="AD296" s="31">
        <v>1991.6666666676499</v>
      </c>
      <c r="AE296" s="2"/>
      <c r="AF296" s="2"/>
      <c r="AG296" s="2"/>
      <c r="AH296" s="31"/>
      <c r="AI296" s="31">
        <v>1991.6666666676499</v>
      </c>
      <c r="AJ296" s="2">
        <v>0.41320642871738694</v>
      </c>
      <c r="AK296" s="2">
        <v>-0.61478205611361436</v>
      </c>
      <c r="AL296" s="2">
        <v>0.34263581836796736</v>
      </c>
      <c r="AM296" s="31"/>
      <c r="AN296" s="2">
        <f t="shared" si="44"/>
        <v>0.41320642871738694</v>
      </c>
      <c r="AO296" s="2">
        <f t="shared" si="37"/>
        <v>-0.61478205611361436</v>
      </c>
      <c r="AP296" s="2">
        <f t="shared" si="38"/>
        <v>0.34263581836796736</v>
      </c>
      <c r="AQ296" s="31"/>
      <c r="AR296" s="31">
        <v>1991.6666666676499</v>
      </c>
      <c r="AS296" s="2"/>
      <c r="AT296" s="2"/>
      <c r="AU296" s="2"/>
      <c r="AV296" s="31"/>
      <c r="AW296" s="31">
        <v>1991.6666666676499</v>
      </c>
      <c r="AX296" s="2"/>
      <c r="AY296" s="2"/>
      <c r="AZ296" s="2"/>
      <c r="BA296" s="31"/>
      <c r="BB296" s="31">
        <v>1991.6666666676499</v>
      </c>
      <c r="BC296" s="2">
        <v>9.9004218445203837E-2</v>
      </c>
      <c r="BD296" s="2">
        <v>7.7097786990586777E-4</v>
      </c>
      <c r="BE296" s="2">
        <v>0.41382100310551223</v>
      </c>
      <c r="BG296" s="2">
        <f t="shared" si="45"/>
        <v>9.9004218445203837E-2</v>
      </c>
      <c r="BH296" s="2">
        <f t="shared" si="39"/>
        <v>7.7097786990586777E-4</v>
      </c>
      <c r="BI296" s="2">
        <f t="shared" si="40"/>
        <v>0.41382100310551223</v>
      </c>
    </row>
    <row r="297" spans="1:61" x14ac:dyDescent="0.3">
      <c r="A297" s="31">
        <v>1991.5833333343201</v>
      </c>
      <c r="B297">
        <v>0.86420183128385097</v>
      </c>
      <c r="C297">
        <v>3.0400000000000205E-2</v>
      </c>
      <c r="D297">
        <v>2.6271735671029247E-2</v>
      </c>
      <c r="F297" s="31">
        <v>1991.5833333343201</v>
      </c>
      <c r="G297" s="2">
        <v>0.6478385350605117</v>
      </c>
      <c r="H297" s="2">
        <v>6.1499999999999846E-2</v>
      </c>
      <c r="I297" s="2">
        <v>3.9842069906221383E-2</v>
      </c>
      <c r="K297" s="31">
        <v>1991.5833333343201</v>
      </c>
      <c r="L297" s="2">
        <v>0.89244516285655306</v>
      </c>
      <c r="M297" s="2">
        <v>6.1514999999999952E-2</v>
      </c>
      <c r="N297" s="2">
        <v>5.4898021479282549E-2</v>
      </c>
      <c r="P297" s="31">
        <v>1991.5833333343201</v>
      </c>
      <c r="Q297" s="2">
        <v>0.99669884188852098</v>
      </c>
      <c r="R297" s="2">
        <v>9.5850000000000463E-2</v>
      </c>
      <c r="S297" s="2">
        <v>5.2995716734245565E-2</v>
      </c>
      <c r="U297" s="2">
        <f t="shared" si="41"/>
        <v>0.84566084660186192</v>
      </c>
      <c r="V297" s="2">
        <f t="shared" si="42"/>
        <v>7.2955000000000089E-2</v>
      </c>
      <c r="W297" s="2">
        <f t="shared" si="43"/>
        <v>4.9245269373249835E-2</v>
      </c>
      <c r="Y297" s="31">
        <v>1991.5833333343201</v>
      </c>
      <c r="Z297" s="2">
        <v>-0.49769241003541498</v>
      </c>
      <c r="AA297" s="2">
        <v>-0.78876452892998183</v>
      </c>
      <c r="AB297" s="2">
        <v>-0.81325125416312194</v>
      </c>
      <c r="AD297" s="31">
        <v>1991.5833333343201</v>
      </c>
      <c r="AE297" s="2">
        <v>0.49500120838716172</v>
      </c>
      <c r="AF297" s="2">
        <v>-0.68622224125583742</v>
      </c>
      <c r="AG297" s="2">
        <v>-0.19726736784118842</v>
      </c>
      <c r="AH297" s="31"/>
      <c r="AI297" s="31">
        <v>1991.5833333343201</v>
      </c>
      <c r="AJ297" s="2">
        <v>0.85310699722542915</v>
      </c>
      <c r="AK297" s="2">
        <v>-4.4052846898962821E-2</v>
      </c>
      <c r="AL297" s="2">
        <v>0.65428937639561335</v>
      </c>
      <c r="AM297" s="31"/>
      <c r="AN297" s="2">
        <f t="shared" si="44"/>
        <v>0.28347193185905861</v>
      </c>
      <c r="AO297" s="2">
        <f t="shared" si="37"/>
        <v>-0.50634653902826077</v>
      </c>
      <c r="AP297" s="2">
        <f t="shared" si="38"/>
        <v>-0.11874308186956567</v>
      </c>
      <c r="AQ297" s="31"/>
      <c r="AR297" s="31">
        <v>1991.5833333343201</v>
      </c>
      <c r="AS297" s="2">
        <v>-0.99878443210664258</v>
      </c>
      <c r="AT297" s="2">
        <v>-0.65870957567408583</v>
      </c>
      <c r="AU297" s="2">
        <v>-0.93391496109165828</v>
      </c>
      <c r="AV297" s="31"/>
      <c r="AW297" s="31">
        <v>1991.5833333343201</v>
      </c>
      <c r="AX297" s="2">
        <v>0.31200196359414817</v>
      </c>
      <c r="AY297" s="2">
        <v>-0.53553372549108424</v>
      </c>
      <c r="AZ297" s="2">
        <v>8.4516176190005621E-2</v>
      </c>
      <c r="BA297" s="31"/>
      <c r="BB297" s="31">
        <v>1991.5833333343201</v>
      </c>
      <c r="BC297" s="2">
        <v>0.24110562196994456</v>
      </c>
      <c r="BD297" s="2">
        <v>0.77441334649330551</v>
      </c>
      <c r="BE297" s="2">
        <v>-6.3032900515186466E-2</v>
      </c>
      <c r="BG297" s="2">
        <f t="shared" si="45"/>
        <v>-0.14855894884751661</v>
      </c>
      <c r="BH297" s="2">
        <f t="shared" si="39"/>
        <v>-0.13994331822395487</v>
      </c>
      <c r="BI297" s="2">
        <f t="shared" si="40"/>
        <v>-0.30414389513894641</v>
      </c>
    </row>
    <row r="298" spans="1:61" x14ac:dyDescent="0.3">
      <c r="A298" s="31">
        <v>1991.50000000099</v>
      </c>
      <c r="B298">
        <v>0.90147223764162832</v>
      </c>
      <c r="C298">
        <v>1.5200000000000102E-2</v>
      </c>
      <c r="D298">
        <v>1.3702378012152842E-2</v>
      </c>
      <c r="F298" s="31">
        <v>1991.50000000099</v>
      </c>
      <c r="G298" s="2"/>
      <c r="H298" s="2"/>
      <c r="I298" s="2"/>
      <c r="K298" s="31">
        <v>1991.50000000099</v>
      </c>
      <c r="L298" s="2"/>
      <c r="M298" s="2"/>
      <c r="N298" s="2"/>
      <c r="P298" s="31">
        <v>1991.50000000099</v>
      </c>
      <c r="Q298" s="2">
        <v>0.74979330994463367</v>
      </c>
      <c r="R298" s="2">
        <v>7.1900000000000297E-2</v>
      </c>
      <c r="S298" s="2">
        <v>5.7200543395466388E-2</v>
      </c>
      <c r="U298" s="2">
        <f t="shared" si="41"/>
        <v>0.74979330994463367</v>
      </c>
      <c r="V298" s="2">
        <f t="shared" si="42"/>
        <v>7.1900000000000297E-2</v>
      </c>
      <c r="W298" s="2">
        <f t="shared" si="43"/>
        <v>5.7200543395466388E-2</v>
      </c>
      <c r="Y298" s="31">
        <v>1991.50000000099</v>
      </c>
      <c r="Z298" s="2"/>
      <c r="AA298" s="2"/>
      <c r="AB298" s="2"/>
      <c r="AD298" s="31">
        <v>1991.50000000099</v>
      </c>
      <c r="AE298" s="2"/>
      <c r="AF298" s="2"/>
      <c r="AG298" s="2"/>
      <c r="AH298" s="31"/>
      <c r="AI298" s="31">
        <v>1991.50000000099</v>
      </c>
      <c r="AJ298" s="2">
        <v>1.2750779404909351</v>
      </c>
      <c r="AK298" s="2">
        <v>-0.61478205611361436</v>
      </c>
      <c r="AL298" s="2">
        <v>0.99411448798820046</v>
      </c>
      <c r="AM298" s="31"/>
      <c r="AN298" s="2">
        <f t="shared" si="44"/>
        <v>1.2750779404909351</v>
      </c>
      <c r="AO298" s="2">
        <f t="shared" si="37"/>
        <v>-0.61478205611361436</v>
      </c>
      <c r="AP298" s="2">
        <f t="shared" si="38"/>
        <v>0.99411448798820046</v>
      </c>
      <c r="AQ298" s="31"/>
      <c r="AR298" s="31">
        <v>1991.50000000099</v>
      </c>
      <c r="AS298" s="2"/>
      <c r="AT298" s="2"/>
      <c r="AU298" s="2"/>
      <c r="AV298" s="31"/>
      <c r="AW298" s="31">
        <v>1991.50000000099</v>
      </c>
      <c r="AX298" s="2"/>
      <c r="AY298" s="2"/>
      <c r="AZ298" s="2"/>
      <c r="BA298" s="31"/>
      <c r="BB298" s="31">
        <v>1991.50000000099</v>
      </c>
      <c r="BC298" s="2">
        <v>0.18586590436161704</v>
      </c>
      <c r="BD298" s="2">
        <v>0.42912570693538887</v>
      </c>
      <c r="BE298" s="2">
        <v>0.73924883120425411</v>
      </c>
      <c r="BG298" s="2">
        <f t="shared" si="45"/>
        <v>0.18586590436161704</v>
      </c>
      <c r="BH298" s="2">
        <f t="shared" si="39"/>
        <v>0.42912570693538887</v>
      </c>
      <c r="BI298" s="2">
        <f t="shared" si="40"/>
        <v>0.73924883120425411</v>
      </c>
    </row>
    <row r="299" spans="1:61" x14ac:dyDescent="0.3">
      <c r="A299" s="31">
        <v>1991.4166666676599</v>
      </c>
      <c r="B299">
        <v>0.79714337408956226</v>
      </c>
      <c r="C299">
        <v>0.22800000000000153</v>
      </c>
      <c r="D299">
        <v>0.18174868929242141</v>
      </c>
      <c r="F299" s="31">
        <v>1991.4166666676599</v>
      </c>
      <c r="G299" s="2">
        <v>0.62458822525469571</v>
      </c>
      <c r="H299" s="2">
        <v>0.12299999999999976</v>
      </c>
      <c r="I299" s="2">
        <v>8.0535979203787258E-2</v>
      </c>
      <c r="K299" s="31">
        <v>1991.4166666676599</v>
      </c>
      <c r="L299" s="2">
        <v>0.85867668512517659</v>
      </c>
      <c r="M299" s="2">
        <v>9.2279999999999945E-2</v>
      </c>
      <c r="N299" s="2">
        <v>7.5421818290275944E-2</v>
      </c>
      <c r="P299" s="31">
        <v>1991.4166666676599</v>
      </c>
      <c r="Q299" s="2">
        <v>0.6426219763645884</v>
      </c>
      <c r="R299" s="2">
        <v>0.16775000000000076</v>
      </c>
      <c r="S299" s="2">
        <v>5.8865941840678108E-2</v>
      </c>
      <c r="U299" s="2">
        <f t="shared" si="41"/>
        <v>0.70862896224815353</v>
      </c>
      <c r="V299" s="2">
        <f t="shared" si="42"/>
        <v>0.12767666666666683</v>
      </c>
      <c r="W299" s="2">
        <f t="shared" si="43"/>
        <v>7.1607913111580435E-2</v>
      </c>
      <c r="Y299" s="31">
        <v>1991.4166666676599</v>
      </c>
      <c r="Z299" s="2">
        <v>-0.63249947779758731</v>
      </c>
      <c r="AA299" s="2">
        <v>0.4121617927810336</v>
      </c>
      <c r="AB299" s="2">
        <v>0.12328810235721814</v>
      </c>
      <c r="AD299" s="31">
        <v>1991.4166666676599</v>
      </c>
      <c r="AE299" s="2">
        <v>0.29405321394208489</v>
      </c>
      <c r="AF299" s="2">
        <v>6.7241855071186282E-2</v>
      </c>
      <c r="AG299" s="2">
        <v>0.58314611519288284</v>
      </c>
      <c r="AH299" s="31"/>
      <c r="AI299" s="31">
        <v>1991.4166666676599</v>
      </c>
      <c r="AJ299" s="2">
        <v>1.4039496101137325</v>
      </c>
      <c r="AK299" s="2">
        <v>1.6693262822256021</v>
      </c>
      <c r="AL299" s="2">
        <v>1.12870843396691</v>
      </c>
      <c r="AM299" s="31"/>
      <c r="AN299" s="2">
        <f t="shared" si="44"/>
        <v>0.35516778208607674</v>
      </c>
      <c r="AO299" s="2">
        <f t="shared" si="37"/>
        <v>0.71624331002594055</v>
      </c>
      <c r="AP299" s="2">
        <f t="shared" si="38"/>
        <v>0.61171421717233698</v>
      </c>
      <c r="AQ299" s="31"/>
      <c r="AR299" s="31">
        <v>1991.4166666676599</v>
      </c>
      <c r="AS299" s="2">
        <v>-1.2085998386861205</v>
      </c>
      <c r="AT299" s="2">
        <v>-1.0250935790978097</v>
      </c>
      <c r="AU299" s="2">
        <v>-1.2553990555961549</v>
      </c>
      <c r="AV299" s="31"/>
      <c r="AW299" s="31">
        <v>1991.4166666676599</v>
      </c>
      <c r="AX299" s="2">
        <v>-0.12578713543240105</v>
      </c>
      <c r="AY299" s="2">
        <v>-1.019318303187664</v>
      </c>
      <c r="AZ299" s="2">
        <v>-0.34184842791061942</v>
      </c>
      <c r="BA299" s="31"/>
      <c r="BB299" s="31">
        <v>1991.4166666676599</v>
      </c>
      <c r="BC299" s="2">
        <v>0.72104894411798015</v>
      </c>
      <c r="BD299" s="2">
        <v>0.21308645383215588</v>
      </c>
      <c r="BE299" s="2">
        <v>0.26319613729472141</v>
      </c>
      <c r="BG299" s="2">
        <f t="shared" si="45"/>
        <v>-0.20444601000018048</v>
      </c>
      <c r="BH299" s="2">
        <f t="shared" si="39"/>
        <v>-0.61044180948443927</v>
      </c>
      <c r="BI299" s="2">
        <f t="shared" si="40"/>
        <v>-0.44468378207068432</v>
      </c>
    </row>
    <row r="300" spans="1:61" x14ac:dyDescent="0.3">
      <c r="A300" s="31">
        <v>1991.3333333343301</v>
      </c>
      <c r="B300">
        <v>0.71338722644640196</v>
      </c>
      <c r="C300">
        <v>0.24320000000000164</v>
      </c>
      <c r="D300">
        <v>0.17349577347176612</v>
      </c>
      <c r="F300" s="31">
        <v>1991.3333333343301</v>
      </c>
      <c r="G300" s="2">
        <v>0.55999274427344947</v>
      </c>
      <c r="H300" s="2">
        <v>0.12299999999999976</v>
      </c>
      <c r="I300" s="2">
        <v>6.9401107586011396E-2</v>
      </c>
      <c r="K300" s="31">
        <v>1991.3333333343301</v>
      </c>
      <c r="L300" s="2">
        <v>0.76099288396616871</v>
      </c>
      <c r="M300" s="2">
        <v>6.1514999999999952E-2</v>
      </c>
      <c r="N300" s="2">
        <v>4.6810648135920355E-2</v>
      </c>
      <c r="P300" s="31">
        <v>1991.3333333343301</v>
      </c>
      <c r="Q300" s="2">
        <v>0.74382815835432292</v>
      </c>
      <c r="R300" s="2">
        <v>0.1198000000000006</v>
      </c>
      <c r="S300" s="2">
        <v>5.1862824999620076E-2</v>
      </c>
      <c r="U300" s="2">
        <f t="shared" si="41"/>
        <v>0.6882712621979804</v>
      </c>
      <c r="V300" s="2">
        <f t="shared" si="42"/>
        <v>0.10143833333333345</v>
      </c>
      <c r="W300" s="2">
        <f t="shared" si="43"/>
        <v>5.6024860240517275E-2</v>
      </c>
      <c r="Y300" s="31">
        <v>1991.3333333343301</v>
      </c>
      <c r="Z300" s="2">
        <v>-1.0070289982425455</v>
      </c>
      <c r="AA300" s="2">
        <v>0.4121617927810336</v>
      </c>
      <c r="AB300" s="2">
        <v>-0.13297249486370738</v>
      </c>
      <c r="AD300" s="31">
        <v>1991.3333333343301</v>
      </c>
      <c r="AE300" s="2">
        <v>-0.28723931836639388</v>
      </c>
      <c r="AF300" s="2">
        <v>-0.68622224125583742</v>
      </c>
      <c r="AG300" s="2">
        <v>-0.50478820609610109</v>
      </c>
      <c r="AH300" s="31"/>
      <c r="AI300" s="31">
        <v>1991.3333333343301</v>
      </c>
      <c r="AJ300" s="2">
        <v>0.74718126061429235</v>
      </c>
      <c r="AK300" s="2">
        <v>0.52667636231568804</v>
      </c>
      <c r="AL300" s="2">
        <v>0.56273148562880337</v>
      </c>
      <c r="AM300" s="31"/>
      <c r="AN300" s="2">
        <f t="shared" si="44"/>
        <v>-0.18236235199821568</v>
      </c>
      <c r="AO300" s="2">
        <f t="shared" si="37"/>
        <v>8.4205304613628074E-2</v>
      </c>
      <c r="AP300" s="2">
        <f t="shared" si="38"/>
        <v>-2.5009738443668366E-2</v>
      </c>
      <c r="AQ300" s="31"/>
      <c r="AR300" s="31">
        <v>1991.3333333343301</v>
      </c>
      <c r="AS300" s="2">
        <v>-1.277427405534119</v>
      </c>
      <c r="AT300" s="2">
        <v>-0.62524988541030058</v>
      </c>
      <c r="AU300" s="2">
        <v>-1.0851837120432026</v>
      </c>
      <c r="AV300" s="31"/>
      <c r="AW300" s="31">
        <v>1991.3333333343301</v>
      </c>
      <c r="AX300" s="2">
        <v>-0.42224633594438421</v>
      </c>
      <c r="AY300" s="2">
        <v>-1.269857360921067</v>
      </c>
      <c r="AZ300" s="2">
        <v>-0.72482746224356209</v>
      </c>
      <c r="BA300" s="31"/>
      <c r="BB300" s="31">
        <v>1991.3333333343301</v>
      </c>
      <c r="BC300" s="2">
        <v>0.58240404384478228</v>
      </c>
      <c r="BD300" s="2">
        <v>-0.1780601750249331</v>
      </c>
      <c r="BE300" s="2">
        <v>0.20486949666312734</v>
      </c>
      <c r="BG300" s="2">
        <f t="shared" si="45"/>
        <v>-0.3724232325445736</v>
      </c>
      <c r="BH300" s="2">
        <f t="shared" si="39"/>
        <v>-0.69105580711876691</v>
      </c>
      <c r="BI300" s="2">
        <f t="shared" si="40"/>
        <v>-0.53504722587454578</v>
      </c>
    </row>
    <row r="301" spans="1:61" x14ac:dyDescent="0.3">
      <c r="A301" s="31">
        <v>1991.250000001</v>
      </c>
      <c r="B301">
        <v>0.78987431661937713</v>
      </c>
      <c r="C301">
        <v>0.24320000000000164</v>
      </c>
      <c r="D301">
        <v>0.19209743380183381</v>
      </c>
      <c r="F301" s="31">
        <v>1991.250000001</v>
      </c>
      <c r="G301" s="2">
        <v>0.6055443255041596</v>
      </c>
      <c r="H301" s="2">
        <v>0.12299999999999976</v>
      </c>
      <c r="I301" s="2">
        <v>7.8561088973506069E-2</v>
      </c>
      <c r="K301" s="31">
        <v>1991.250000001</v>
      </c>
      <c r="L301" s="2">
        <v>0.70466535776765338</v>
      </c>
      <c r="M301" s="2">
        <v>6.1514999999999952E-2</v>
      </c>
      <c r="N301" s="2">
        <v>4.3346154615398876E-2</v>
      </c>
      <c r="P301" s="31">
        <v>1991.250000001</v>
      </c>
      <c r="Q301" s="2">
        <v>0.51888544885957688</v>
      </c>
      <c r="R301" s="2">
        <v>0.1198000000000006</v>
      </c>
      <c r="S301" s="2">
        <v>4.0372666305838259E-2</v>
      </c>
      <c r="U301" s="2">
        <f t="shared" si="41"/>
        <v>0.60969837737712995</v>
      </c>
      <c r="V301" s="2">
        <f t="shared" si="42"/>
        <v>0.10143833333333345</v>
      </c>
      <c r="W301" s="2">
        <f t="shared" si="43"/>
        <v>5.4093303298247741E-2</v>
      </c>
      <c r="Y301" s="31">
        <v>1991.250000001</v>
      </c>
      <c r="Z301" s="2">
        <v>-0.74291745956075272</v>
      </c>
      <c r="AA301" s="2">
        <v>0.4121617927810336</v>
      </c>
      <c r="AB301" s="2">
        <v>7.7837506496758885E-2</v>
      </c>
      <c r="AD301" s="31">
        <v>1991.250000001</v>
      </c>
      <c r="AE301" s="2">
        <v>-0.62243072117952847</v>
      </c>
      <c r="AF301" s="2">
        <v>-0.68622224125583742</v>
      </c>
      <c r="AG301" s="2">
        <v>-0.63652491544857848</v>
      </c>
      <c r="AH301" s="31"/>
      <c r="AI301" s="31">
        <v>1991.250000001</v>
      </c>
      <c r="AJ301" s="2">
        <v>-0.34757898561745443</v>
      </c>
      <c r="AK301" s="2">
        <v>0.52667636231568804</v>
      </c>
      <c r="AL301" s="2">
        <v>-0.36587860342473011</v>
      </c>
      <c r="AM301" s="31"/>
      <c r="AN301" s="2">
        <f t="shared" si="44"/>
        <v>-0.57097572211924519</v>
      </c>
      <c r="AO301" s="2">
        <f t="shared" si="37"/>
        <v>8.4205304613628074E-2</v>
      </c>
      <c r="AP301" s="2">
        <f t="shared" si="38"/>
        <v>-0.30818867079218321</v>
      </c>
      <c r="AQ301" s="31"/>
      <c r="AR301" s="31">
        <v>1991.250000001</v>
      </c>
      <c r="AS301" s="2">
        <v>-0.7201786225783251</v>
      </c>
      <c r="AT301" s="2">
        <v>-0.74536446371894471</v>
      </c>
      <c r="AU301" s="2">
        <v>-0.81947943415477897</v>
      </c>
      <c r="AV301" s="31"/>
      <c r="AW301" s="31">
        <v>1991.250000001</v>
      </c>
      <c r="AX301" s="2">
        <v>-0.57667451785385027</v>
      </c>
      <c r="AY301" s="2">
        <v>-1.5103266726480709</v>
      </c>
      <c r="AZ301" s="2">
        <v>-0.90042652700803061</v>
      </c>
      <c r="BA301" s="31"/>
      <c r="BB301" s="31">
        <v>1991.250000001</v>
      </c>
      <c r="BC301" s="2">
        <v>-9.6342542868911668E-2</v>
      </c>
      <c r="BD301" s="2">
        <v>-0.51128572186882904</v>
      </c>
      <c r="BE301" s="2">
        <v>-0.42396511428067363</v>
      </c>
      <c r="BG301" s="2">
        <f t="shared" si="45"/>
        <v>-0.46439856110036232</v>
      </c>
      <c r="BH301" s="2">
        <f t="shared" si="39"/>
        <v>-0.92232561941194824</v>
      </c>
      <c r="BI301" s="2">
        <f t="shared" si="40"/>
        <v>-0.71462369181449448</v>
      </c>
    </row>
    <row r="302" spans="1:61" x14ac:dyDescent="0.3">
      <c r="A302" s="31">
        <v>1991.1666666676699</v>
      </c>
      <c r="B302">
        <v>0.81823255174445475</v>
      </c>
      <c r="C302">
        <v>0.24320000000000164</v>
      </c>
      <c r="D302">
        <v>0.19899415658425273</v>
      </c>
      <c r="F302" s="31">
        <v>1991.1666666676699</v>
      </c>
      <c r="G302" s="2">
        <v>0.59621072561744737</v>
      </c>
      <c r="H302" s="2">
        <v>0.12299999999999976</v>
      </c>
      <c r="I302" s="2">
        <v>7.7591991413785019E-2</v>
      </c>
      <c r="K302" s="31">
        <v>1991.1666666676699</v>
      </c>
      <c r="L302" s="2">
        <v>0.67723041083872881</v>
      </c>
      <c r="M302" s="2">
        <v>6.1514999999999952E-2</v>
      </c>
      <c r="N302" s="2">
        <v>4.1659290719224966E-2</v>
      </c>
      <c r="P302" s="31">
        <v>1991.1666666676699</v>
      </c>
      <c r="Q302" s="2">
        <v>0.66464857373705277</v>
      </c>
      <c r="R302" s="2">
        <v>9.5850000000000463E-2</v>
      </c>
      <c r="S302" s="2">
        <v>3.3044643057341089E-2</v>
      </c>
      <c r="U302" s="2">
        <f t="shared" si="41"/>
        <v>0.64602990339774302</v>
      </c>
      <c r="V302" s="2">
        <f t="shared" si="42"/>
        <v>9.3455000000000066E-2</v>
      </c>
      <c r="W302" s="2">
        <f t="shared" si="43"/>
        <v>5.0765308396783691E-2</v>
      </c>
      <c r="Y302" s="31">
        <v>1991.1666666676699</v>
      </c>
      <c r="Z302" s="2">
        <v>-0.79703438285776085</v>
      </c>
      <c r="AA302" s="2">
        <v>0.4121617927810336</v>
      </c>
      <c r="AB302" s="2">
        <v>5.5534463592968077E-2</v>
      </c>
      <c r="AD302" s="31">
        <v>1991.1666666676699</v>
      </c>
      <c r="AE302" s="2">
        <v>-0.78568941489174249</v>
      </c>
      <c r="AF302" s="2">
        <v>-0.68622224125583742</v>
      </c>
      <c r="AG302" s="2">
        <v>-0.7006675953211623</v>
      </c>
      <c r="AH302" s="31"/>
      <c r="AI302" s="31">
        <v>1991.1666666676699</v>
      </c>
      <c r="AJ302" s="2">
        <v>-1.0039857691938789</v>
      </c>
      <c r="AK302" s="2">
        <v>-4.4052846898962821E-2</v>
      </c>
      <c r="AL302" s="2">
        <v>-0.95811379379298389</v>
      </c>
      <c r="AM302" s="31"/>
      <c r="AN302" s="2">
        <f t="shared" si="44"/>
        <v>-0.86223652231446068</v>
      </c>
      <c r="AO302" s="2">
        <f t="shared" si="37"/>
        <v>-0.10603776512458889</v>
      </c>
      <c r="AP302" s="2">
        <f t="shared" si="38"/>
        <v>-0.5344156418403927</v>
      </c>
      <c r="AQ302" s="31"/>
      <c r="AR302" s="31">
        <v>1991.1666666676699</v>
      </c>
      <c r="AS302" s="2">
        <v>-0.48147774789388503</v>
      </c>
      <c r="AT302" s="2">
        <v>-0.46657286796563091</v>
      </c>
      <c r="AU302" s="2">
        <v>-0.53006184418397473</v>
      </c>
      <c r="AV302" s="31"/>
      <c r="AW302" s="31">
        <v>1991.1666666676699</v>
      </c>
      <c r="AX302" s="2">
        <v>-0.5906124012142594</v>
      </c>
      <c r="AY302" s="2">
        <v>-1.1554372649783877</v>
      </c>
      <c r="AZ302" s="2">
        <v>-0.71973391617169546</v>
      </c>
      <c r="BA302" s="31"/>
      <c r="BB302" s="31">
        <v>1991.1666666676699</v>
      </c>
      <c r="BC302" s="2">
        <v>-0.46968713474242957</v>
      </c>
      <c r="BD302" s="2">
        <v>-0.34847073798484229</v>
      </c>
      <c r="BE302" s="2">
        <v>-0.59940234130535308</v>
      </c>
      <c r="BG302" s="2">
        <f t="shared" si="45"/>
        <v>-0.51392576128352463</v>
      </c>
      <c r="BH302" s="2">
        <f t="shared" si="39"/>
        <v>-0.65682695697628701</v>
      </c>
      <c r="BI302" s="2">
        <f t="shared" si="40"/>
        <v>-0.61639936722034105</v>
      </c>
    </row>
    <row r="303" spans="1:61" x14ac:dyDescent="0.3">
      <c r="A303" s="31">
        <v>1991.0833333343401</v>
      </c>
      <c r="B303">
        <v>0.73129586173216143</v>
      </c>
      <c r="C303">
        <v>3.0400000000000205E-2</v>
      </c>
      <c r="D303">
        <v>2.2231394196657858E-2</v>
      </c>
      <c r="F303" s="31">
        <v>1991.0833333343401</v>
      </c>
      <c r="G303" s="2">
        <v>0.57566845912469766</v>
      </c>
      <c r="H303" s="2">
        <v>6.1499999999999846E-2</v>
      </c>
      <c r="I303" s="2">
        <v>3.5403610236168823E-2</v>
      </c>
      <c r="K303" s="31">
        <v>1991.0833333343401</v>
      </c>
      <c r="L303" s="2">
        <v>0.67883029531293348</v>
      </c>
      <c r="M303" s="2">
        <v>9.2279999999999945E-2</v>
      </c>
      <c r="N303" s="2">
        <v>6.2748015331966875E-2</v>
      </c>
      <c r="P303" s="31">
        <v>1991.0833333343401</v>
      </c>
      <c r="Q303" s="2">
        <v>0.5071550390913333</v>
      </c>
      <c r="R303" s="2">
        <v>9.5850000000000463E-2</v>
      </c>
      <c r="S303" s="2">
        <v>3.1337505894693911E-2</v>
      </c>
      <c r="U303" s="2">
        <f t="shared" si="41"/>
        <v>0.58721793117632148</v>
      </c>
      <c r="V303" s="2">
        <f t="shared" si="42"/>
        <v>8.3210000000000076E-2</v>
      </c>
      <c r="W303" s="2">
        <f t="shared" si="43"/>
        <v>4.3163043820943194E-2</v>
      </c>
      <c r="Y303" s="31">
        <v>1991.0833333343401</v>
      </c>
      <c r="Z303" s="2">
        <v>-0.91614000915715721</v>
      </c>
      <c r="AA303" s="2">
        <v>-0.78876452892998183</v>
      </c>
      <c r="AB303" s="2">
        <v>-0.9153990260308188</v>
      </c>
      <c r="AD303" s="31">
        <v>1991.0833333343401</v>
      </c>
      <c r="AE303" s="2">
        <v>-0.77616889166908842</v>
      </c>
      <c r="AF303" s="2">
        <v>6.7241855071186282E-2</v>
      </c>
      <c r="AG303" s="2">
        <v>0.10122716028081843</v>
      </c>
      <c r="AH303" s="31"/>
      <c r="AI303" s="31">
        <v>1991.0833333343401</v>
      </c>
      <c r="AJ303" s="2">
        <v>-1.1419276961776705</v>
      </c>
      <c r="AK303" s="2">
        <v>-4.4052846898962821E-2</v>
      </c>
      <c r="AL303" s="2">
        <v>-1.0960809737841792</v>
      </c>
      <c r="AM303" s="31"/>
      <c r="AN303" s="2">
        <f t="shared" si="44"/>
        <v>-0.94474553233463876</v>
      </c>
      <c r="AO303" s="2">
        <f t="shared" si="37"/>
        <v>-0.25519184025258612</v>
      </c>
      <c r="AP303" s="2">
        <f t="shared" si="38"/>
        <v>-0.63675094651139319</v>
      </c>
      <c r="AQ303" s="31"/>
      <c r="AR303" s="31">
        <v>1991.0833333343401</v>
      </c>
      <c r="AS303" s="2">
        <v>-0.50882339432511081</v>
      </c>
      <c r="AT303" s="2">
        <v>-0.93050162247170598</v>
      </c>
      <c r="AU303" s="2">
        <v>-0.9769973283451896</v>
      </c>
      <c r="AV303" s="31"/>
      <c r="AW303" s="31">
        <v>1991.0833333343401</v>
      </c>
      <c r="AX303" s="2">
        <v>-0.50425856080056353</v>
      </c>
      <c r="AY303" s="2">
        <v>0.56120938963997447</v>
      </c>
      <c r="AZ303" s="2">
        <v>0.69527256775467772</v>
      </c>
      <c r="BA303" s="31"/>
      <c r="BB303" s="31">
        <v>1991.0833333343401</v>
      </c>
      <c r="BC303" s="2">
        <v>-0.51068837590607397</v>
      </c>
      <c r="BD303" s="2">
        <v>-1.4615836317459097E-2</v>
      </c>
      <c r="BE303" s="2">
        <v>-0.87978529970417907</v>
      </c>
      <c r="BG303" s="2">
        <f t="shared" si="45"/>
        <v>-0.5079234436772494</v>
      </c>
      <c r="BH303" s="2">
        <f t="shared" si="39"/>
        <v>-0.12796935638306353</v>
      </c>
      <c r="BI303" s="2">
        <f t="shared" si="40"/>
        <v>-0.38717002009823026</v>
      </c>
    </row>
    <row r="304" spans="1:61" x14ac:dyDescent="0.3">
      <c r="A304" s="31">
        <v>1991.00000000101</v>
      </c>
      <c r="B304">
        <v>0.73610224494000809</v>
      </c>
      <c r="C304">
        <v>3.0400000000000205E-2</v>
      </c>
      <c r="D304">
        <v>2.2377508246176396E-2</v>
      </c>
      <c r="F304" s="31">
        <v>1991.00000000101</v>
      </c>
      <c r="G304" s="2"/>
      <c r="H304" s="2"/>
      <c r="I304" s="2"/>
      <c r="K304" s="31">
        <v>1991.00000000101</v>
      </c>
      <c r="L304" s="2">
        <v>0.71702197864973238</v>
      </c>
      <c r="M304" s="2">
        <v>6.1530000000000001E-2</v>
      </c>
      <c r="N304" s="2">
        <v>4.4118362346318031E-2</v>
      </c>
      <c r="P304" s="31">
        <v>1991.00000000101</v>
      </c>
      <c r="Q304" s="2">
        <v>0.60920650134345378</v>
      </c>
      <c r="R304" s="2">
        <v>7.1900000000000297E-2</v>
      </c>
      <c r="S304" s="2">
        <v>3.388949280419843E-2</v>
      </c>
      <c r="U304" s="2">
        <f t="shared" si="41"/>
        <v>0.66311423999659302</v>
      </c>
      <c r="V304" s="2">
        <f t="shared" si="42"/>
        <v>6.6715000000000149E-2</v>
      </c>
      <c r="W304" s="2">
        <f t="shared" si="43"/>
        <v>3.9003927575258231E-2</v>
      </c>
      <c r="Y304" s="31">
        <v>1991.00000000101</v>
      </c>
      <c r="Z304" s="2"/>
      <c r="AA304" s="2"/>
      <c r="AB304" s="2"/>
      <c r="AD304" s="31">
        <v>1991.00000000101</v>
      </c>
      <c r="AE304" s="2">
        <v>-0.54889947691900376</v>
      </c>
      <c r="AF304" s="2">
        <v>-0.68585487699629111</v>
      </c>
      <c r="AG304" s="2">
        <v>-0.60716186286809026</v>
      </c>
      <c r="AH304" s="31"/>
      <c r="AI304" s="31">
        <v>1991.00000000101</v>
      </c>
      <c r="AJ304" s="2">
        <v>-0.91237888167702941</v>
      </c>
      <c r="AK304" s="2">
        <v>-0.61478205611361436</v>
      </c>
      <c r="AL304" s="2">
        <v>-0.88983484138037516</v>
      </c>
      <c r="AM304" s="31"/>
      <c r="AN304" s="2">
        <f t="shared" si="44"/>
        <v>-0.73063917929801658</v>
      </c>
      <c r="AO304" s="2">
        <f t="shared" si="37"/>
        <v>-0.65031846655495273</v>
      </c>
      <c r="AP304" s="2">
        <f t="shared" si="38"/>
        <v>-0.74849835212423277</v>
      </c>
      <c r="AQ304" s="31"/>
      <c r="AR304" s="31">
        <v>1991.00000000101</v>
      </c>
      <c r="AS304" s="2"/>
      <c r="AT304" s="2"/>
      <c r="AU304" s="2"/>
      <c r="AV304" s="31"/>
      <c r="AW304" s="31">
        <v>1991.00000000101</v>
      </c>
      <c r="AX304" s="2">
        <v>-0.17806376131659568</v>
      </c>
      <c r="AY304" s="2">
        <v>-0.21897704373559218</v>
      </c>
      <c r="AZ304" s="2">
        <v>-0.23698222577813852</v>
      </c>
      <c r="BA304" s="31"/>
      <c r="BB304" s="31">
        <v>1991.00000000101</v>
      </c>
      <c r="BC304" s="2">
        <v>-0.29474428684105952</v>
      </c>
      <c r="BD304" s="2">
        <v>-9.3919208556921333E-2</v>
      </c>
      <c r="BE304" s="2">
        <v>-0.24482064625189653</v>
      </c>
      <c r="BG304" s="2">
        <f t="shared" si="45"/>
        <v>-0.2364040240788276</v>
      </c>
      <c r="BH304" s="2">
        <f t="shared" si="39"/>
        <v>-0.15644812614625675</v>
      </c>
      <c r="BI304" s="2">
        <f t="shared" si="40"/>
        <v>-0.24090143601501751</v>
      </c>
    </row>
    <row r="305" spans="1:61" x14ac:dyDescent="0.3">
      <c r="A305" s="31">
        <v>1990.9166666676799</v>
      </c>
      <c r="B305">
        <v>0.74370332183343468</v>
      </c>
      <c r="C305">
        <v>3.0400000000000205E-2</v>
      </c>
      <c r="D305">
        <v>2.2608580983736568E-2</v>
      </c>
      <c r="F305" s="31">
        <v>1990.9166666676799</v>
      </c>
      <c r="G305" s="2">
        <v>0.59213703364266801</v>
      </c>
      <c r="H305" s="2">
        <v>6.1499999999999846E-2</v>
      </c>
      <c r="I305" s="2">
        <v>3.6416427569023996E-2</v>
      </c>
      <c r="K305" s="31">
        <v>1990.9166666676799</v>
      </c>
      <c r="L305" s="2">
        <v>0.7201290406902261</v>
      </c>
      <c r="M305" s="2">
        <v>9.2279999999999945E-2</v>
      </c>
      <c r="N305" s="2">
        <v>6.6802708923652379E-2</v>
      </c>
      <c r="P305" s="31">
        <v>1990.9166666676799</v>
      </c>
      <c r="Q305" s="2">
        <v>0.74244638287674114</v>
      </c>
      <c r="R305" s="2">
        <v>7.1900000000000297E-2</v>
      </c>
      <c r="S305" s="2">
        <v>3.7824026814228279E-2</v>
      </c>
      <c r="U305" s="2">
        <f t="shared" si="41"/>
        <v>0.68490415240321179</v>
      </c>
      <c r="V305" s="2">
        <f t="shared" si="42"/>
        <v>7.5226666666666706E-2</v>
      </c>
      <c r="W305" s="2">
        <f t="shared" si="43"/>
        <v>4.7014387768968213E-2</v>
      </c>
      <c r="Y305" s="31">
        <v>1990.9166666676799</v>
      </c>
      <c r="Z305" s="2">
        <v>-0.82065395931385299</v>
      </c>
      <c r="AA305" s="2">
        <v>-0.78876452892998183</v>
      </c>
      <c r="AB305" s="2">
        <v>-0.89208980581683539</v>
      </c>
      <c r="AD305" s="31">
        <v>1990.9166666676799</v>
      </c>
      <c r="AE305" s="2">
        <v>-0.53041010672528877</v>
      </c>
      <c r="AF305" s="2">
        <v>6.7241855071186282E-2</v>
      </c>
      <c r="AG305" s="2">
        <v>0.25540611545485636</v>
      </c>
      <c r="AH305" s="31"/>
      <c r="AI305" s="31">
        <v>1990.9166666676799</v>
      </c>
      <c r="AJ305" s="2">
        <v>-0.56435870906044294</v>
      </c>
      <c r="AK305" s="2">
        <v>-0.61478205611361436</v>
      </c>
      <c r="AL305" s="2">
        <v>-0.57185420466251724</v>
      </c>
      <c r="AM305" s="31"/>
      <c r="AN305" s="2">
        <f t="shared" si="44"/>
        <v>-0.63847425836652816</v>
      </c>
      <c r="AO305" s="2">
        <f t="shared" si="37"/>
        <v>-0.44543490999080326</v>
      </c>
      <c r="AP305" s="2">
        <f t="shared" si="38"/>
        <v>-0.40284596500816544</v>
      </c>
      <c r="AQ305" s="31"/>
      <c r="AR305" s="31">
        <v>1990.9166666676799</v>
      </c>
      <c r="AS305" s="2">
        <v>-0.56455272613835483</v>
      </c>
      <c r="AT305" s="2">
        <v>-0.68444756444045252</v>
      </c>
      <c r="AU305" s="2">
        <v>-0.82966045299095015</v>
      </c>
      <c r="AV305" s="31"/>
      <c r="AW305" s="31">
        <v>1990.9166666676799</v>
      </c>
      <c r="AX305" s="2">
        <v>-0.27627633272013652</v>
      </c>
      <c r="AY305" s="2">
        <v>1.0572927878366174</v>
      </c>
      <c r="AZ305" s="2">
        <v>1.4945577222983912</v>
      </c>
      <c r="BA305" s="31"/>
      <c r="BB305" s="31">
        <v>1990.9166666676799</v>
      </c>
      <c r="BC305" s="2">
        <v>-0.19832959050992874</v>
      </c>
      <c r="BD305" s="2">
        <v>-0.44318112469553572</v>
      </c>
      <c r="BE305" s="2">
        <v>-0.31581240777018244</v>
      </c>
      <c r="BG305" s="2">
        <f t="shared" si="45"/>
        <v>-0.34638621645613998</v>
      </c>
      <c r="BH305" s="2">
        <f t="shared" si="39"/>
        <v>-2.3445300433123612E-2</v>
      </c>
      <c r="BI305" s="2">
        <f t="shared" si="40"/>
        <v>0.11636162051241954</v>
      </c>
    </row>
    <row r="306" spans="1:61" x14ac:dyDescent="0.3">
      <c r="A306" s="31">
        <v>1990.8333333343501</v>
      </c>
      <c r="B306">
        <v>0.75069191291384207</v>
      </c>
      <c r="C306">
        <v>3.0400000000000205E-2</v>
      </c>
      <c r="D306">
        <v>2.2821034152580952E-2</v>
      </c>
      <c r="F306" s="31">
        <v>1990.8333333343501</v>
      </c>
      <c r="G306" s="2"/>
      <c r="H306" s="2"/>
      <c r="I306" s="2"/>
      <c r="K306" s="31">
        <v>1990.8333333343501</v>
      </c>
      <c r="L306" s="2">
        <v>0.74607735940047892</v>
      </c>
      <c r="M306" s="2">
        <v>6.1530000000000001E-2</v>
      </c>
      <c r="N306" s="2">
        <v>4.5906139923911467E-2</v>
      </c>
      <c r="P306" s="31">
        <v>1990.8333333343501</v>
      </c>
      <c r="Q306" s="2">
        <v>0.8733152311965533</v>
      </c>
      <c r="R306" s="2">
        <v>7.1900000000000297E-2</v>
      </c>
      <c r="S306" s="2">
        <v>4.1712244989852654E-2</v>
      </c>
      <c r="U306" s="2">
        <f t="shared" si="41"/>
        <v>0.80969629529851606</v>
      </c>
      <c r="V306" s="2">
        <f t="shared" si="42"/>
        <v>6.6715000000000149E-2</v>
      </c>
      <c r="W306" s="2">
        <f t="shared" si="43"/>
        <v>4.3809192456882057E-2</v>
      </c>
      <c r="Y306" s="31">
        <v>1990.8333333343501</v>
      </c>
      <c r="Z306" s="2"/>
      <c r="AA306" s="2"/>
      <c r="AB306" s="2"/>
      <c r="AD306" s="31">
        <v>1990.8333333343501</v>
      </c>
      <c r="AE306" s="2">
        <v>-0.37599797581652533</v>
      </c>
      <c r="AF306" s="2">
        <v>-0.68585487699629111</v>
      </c>
      <c r="AG306" s="2">
        <v>-0.53918195938977398</v>
      </c>
      <c r="AH306" s="31"/>
      <c r="AI306" s="31">
        <v>1990.8333333343501</v>
      </c>
      <c r="AJ306" s="2">
        <v>-0.19644953068231497</v>
      </c>
      <c r="AK306" s="2">
        <v>-0.61478205611361436</v>
      </c>
      <c r="AL306" s="2">
        <v>-0.2576167147764894</v>
      </c>
      <c r="AM306" s="31"/>
      <c r="AN306" s="2">
        <f t="shared" si="44"/>
        <v>-0.28622375324942018</v>
      </c>
      <c r="AO306" s="2">
        <f t="shared" si="37"/>
        <v>-0.65031846655495273</v>
      </c>
      <c r="AP306" s="2">
        <f t="shared" si="38"/>
        <v>-0.39839933708313169</v>
      </c>
      <c r="AQ306" s="31"/>
      <c r="AR306" s="31">
        <v>1990.8333333343501</v>
      </c>
      <c r="AS306" s="2"/>
      <c r="AT306" s="2"/>
      <c r="AU306" s="2"/>
      <c r="AV306" s="31"/>
      <c r="AW306" s="31">
        <v>1990.8333333343501</v>
      </c>
      <c r="AX306" s="2">
        <v>-0.10225940772082054</v>
      </c>
      <c r="AY306" s="2">
        <v>-0.19067841091384152</v>
      </c>
      <c r="AZ306" s="2">
        <v>-0.14142950770656598</v>
      </c>
      <c r="BA306" s="31"/>
      <c r="BB306" s="31">
        <v>1990.8333333343501</v>
      </c>
      <c r="BC306" s="2">
        <v>-5.1486449122484089E-2</v>
      </c>
      <c r="BD306" s="2">
        <v>-4.0971152421897278E-2</v>
      </c>
      <c r="BE306" s="2">
        <v>3.2186102576269561E-2</v>
      </c>
      <c r="BG306" s="2">
        <f t="shared" si="45"/>
        <v>-7.6872928421652317E-2</v>
      </c>
      <c r="BH306" s="2">
        <f t="shared" si="39"/>
        <v>-0.1158247816678694</v>
      </c>
      <c r="BI306" s="2">
        <f t="shared" si="40"/>
        <v>-5.4621702565148214E-2</v>
      </c>
    </row>
    <row r="307" spans="1:61" x14ac:dyDescent="0.3">
      <c r="A307" s="31">
        <v>1990.75000000102</v>
      </c>
      <c r="B307">
        <v>0.75923640137472537</v>
      </c>
      <c r="C307">
        <v>3.0400000000000205E-2</v>
      </c>
      <c r="D307">
        <v>2.3080786601791806E-2</v>
      </c>
      <c r="F307" s="31">
        <v>1990.75000000102</v>
      </c>
      <c r="G307" s="2">
        <v>0.60915497327809565</v>
      </c>
      <c r="H307" s="2">
        <v>6.1499999999999846E-2</v>
      </c>
      <c r="I307" s="2">
        <v>3.746303085660279E-2</v>
      </c>
      <c r="K307" s="31">
        <v>1990.75000000102</v>
      </c>
      <c r="L307" s="2">
        <v>0.72765670185467513</v>
      </c>
      <c r="M307" s="2">
        <v>9.2279999999999945E-2</v>
      </c>
      <c r="N307" s="2">
        <v>6.664410703471628E-2</v>
      </c>
      <c r="P307" s="31">
        <v>1990.75000000102</v>
      </c>
      <c r="Q307" s="2">
        <v>0.89212774592772359</v>
      </c>
      <c r="R307" s="2">
        <v>7.1900000000000297E-2</v>
      </c>
      <c r="S307" s="2">
        <v>4.6354670083629729E-2</v>
      </c>
      <c r="U307" s="2">
        <f t="shared" si="41"/>
        <v>0.74297980702016486</v>
      </c>
      <c r="V307" s="2">
        <f t="shared" si="42"/>
        <v>7.5226666666666706E-2</v>
      </c>
      <c r="W307" s="2">
        <f t="shared" si="43"/>
        <v>5.0153935991649599E-2</v>
      </c>
      <c r="Y307" s="31">
        <v>1990.75000000102</v>
      </c>
      <c r="Z307" s="2">
        <v>-0.72198264866182116</v>
      </c>
      <c r="AA307" s="2">
        <v>-0.78876452892998183</v>
      </c>
      <c r="AB307" s="2">
        <v>-0.86800302756425429</v>
      </c>
      <c r="AD307" s="31">
        <v>1990.75000000102</v>
      </c>
      <c r="AE307" s="2">
        <v>-0.4856148267635686</v>
      </c>
      <c r="AF307" s="2">
        <v>6.7241855071186282E-2</v>
      </c>
      <c r="AG307" s="2">
        <v>0.24937530869428146</v>
      </c>
      <c r="AH307" s="31"/>
      <c r="AI307" s="31">
        <v>1990.75000000102</v>
      </c>
      <c r="AJ307" s="2">
        <v>0.23569632577632496</v>
      </c>
      <c r="AK307" s="2">
        <v>-0.61478205611361436</v>
      </c>
      <c r="AL307" s="2">
        <v>0.11757416766882391</v>
      </c>
      <c r="AM307" s="31"/>
      <c r="AN307" s="2">
        <f t="shared" si="44"/>
        <v>-0.32396704988302161</v>
      </c>
      <c r="AO307" s="2">
        <f t="shared" si="37"/>
        <v>-0.44543490999080326</v>
      </c>
      <c r="AP307" s="2">
        <f t="shared" si="38"/>
        <v>-0.16701785040038297</v>
      </c>
      <c r="AQ307" s="31"/>
      <c r="AR307" s="31">
        <v>1990.75000000102</v>
      </c>
      <c r="AS307" s="2">
        <v>-0.95588451896804871</v>
      </c>
      <c r="AT307" s="2">
        <v>-0.6766476141944503</v>
      </c>
      <c r="AU307" s="2">
        <v>-0.94163527960417459</v>
      </c>
      <c r="AV307" s="31"/>
      <c r="AW307" s="31">
        <v>1990.75000000102</v>
      </c>
      <c r="AX307" s="2">
        <v>-0.48589391346683786</v>
      </c>
      <c r="AY307" s="2">
        <v>0.96310780514635363</v>
      </c>
      <c r="AZ307" s="2">
        <v>0.9760222203404888</v>
      </c>
      <c r="BA307" s="31"/>
      <c r="BB307" s="31">
        <v>1990.75000000102</v>
      </c>
      <c r="BC307" s="2">
        <v>0.18456940900569366</v>
      </c>
      <c r="BD307" s="2">
        <v>-0.59144451954684485</v>
      </c>
      <c r="BE307" s="2">
        <v>-0.10623187459717411</v>
      </c>
      <c r="BG307" s="2">
        <f t="shared" si="45"/>
        <v>-0.41906967447639759</v>
      </c>
      <c r="BH307" s="2">
        <f t="shared" si="39"/>
        <v>-0.10166144286498051</v>
      </c>
      <c r="BI307" s="2">
        <f t="shared" si="40"/>
        <v>-2.3948311286953294E-2</v>
      </c>
    </row>
    <row r="308" spans="1:61" x14ac:dyDescent="0.3">
      <c r="A308" s="31">
        <v>1990.6666666676899</v>
      </c>
      <c r="B308">
        <v>0.77709580832840908</v>
      </c>
      <c r="C308">
        <v>3.0400000000000205E-2</v>
      </c>
      <c r="D308">
        <v>2.3623712573183794E-2</v>
      </c>
      <c r="F308" s="31">
        <v>1990.6666666676899</v>
      </c>
      <c r="G308" s="2"/>
      <c r="H308" s="2"/>
      <c r="I308" s="2"/>
      <c r="K308" s="31">
        <v>1990.6666666676899</v>
      </c>
      <c r="L308" s="2">
        <v>0.64750679890351515</v>
      </c>
      <c r="M308" s="2">
        <v>6.1530000000000001E-2</v>
      </c>
      <c r="N308" s="2">
        <v>3.9841093336533288E-2</v>
      </c>
      <c r="P308" s="31">
        <v>1990.6666666676899</v>
      </c>
      <c r="Q308" s="2">
        <v>0.81914292451771442</v>
      </c>
      <c r="R308" s="2">
        <v>7.1900000000000297E-2</v>
      </c>
      <c r="S308" s="2">
        <v>5.1967107940492974E-2</v>
      </c>
      <c r="U308" s="2">
        <f t="shared" si="41"/>
        <v>0.73332486171061473</v>
      </c>
      <c r="V308" s="2">
        <f t="shared" si="42"/>
        <v>6.6715000000000149E-2</v>
      </c>
      <c r="W308" s="2">
        <f t="shared" si="43"/>
        <v>4.5904100638513134E-2</v>
      </c>
      <c r="Y308" s="31">
        <v>1990.6666666676899</v>
      </c>
      <c r="Z308" s="2"/>
      <c r="AA308" s="2"/>
      <c r="AB308" s="2"/>
      <c r="AD308" s="31">
        <v>1990.6666666676899</v>
      </c>
      <c r="AE308" s="2">
        <v>-0.9625673971792037</v>
      </c>
      <c r="AF308" s="2">
        <v>-0.68585487699629111</v>
      </c>
      <c r="AG308" s="2">
        <v>-0.76980420612164524</v>
      </c>
      <c r="AH308" s="31"/>
      <c r="AI308" s="31">
        <v>1990.6666666676899</v>
      </c>
      <c r="AJ308" s="2">
        <v>0.74103011376445849</v>
      </c>
      <c r="AK308" s="2">
        <v>-0.61478205611361436</v>
      </c>
      <c r="AL308" s="2">
        <v>0.57115941021988426</v>
      </c>
      <c r="AM308" s="31"/>
      <c r="AN308" s="2">
        <f t="shared" si="44"/>
        <v>-0.11076864170737261</v>
      </c>
      <c r="AO308" s="2">
        <f t="shared" si="37"/>
        <v>-0.65031846655495273</v>
      </c>
      <c r="AP308" s="2">
        <f t="shared" si="38"/>
        <v>-9.9322397950880492E-2</v>
      </c>
      <c r="AQ308" s="31"/>
      <c r="AR308" s="31">
        <v>1990.6666666676899</v>
      </c>
      <c r="AS308" s="2"/>
      <c r="AT308" s="2"/>
      <c r="AU308" s="2"/>
      <c r="AV308" s="31"/>
      <c r="AW308" s="31">
        <v>1990.6666666676899</v>
      </c>
      <c r="AX308" s="2">
        <v>-0.67922774810900632</v>
      </c>
      <c r="AY308" s="2">
        <v>-0.23771353876763443</v>
      </c>
      <c r="AZ308" s="2">
        <v>-0.69509000561819856</v>
      </c>
      <c r="BA308" s="31"/>
      <c r="BB308" s="31">
        <v>1990.6666666676899</v>
      </c>
      <c r="BC308" s="2">
        <v>0.3888875275188432</v>
      </c>
      <c r="BD308" s="2">
        <v>7.7097786990586777E-4</v>
      </c>
      <c r="BE308" s="2">
        <v>0.64179932657186756</v>
      </c>
      <c r="BG308" s="2">
        <f t="shared" si="45"/>
        <v>-0.14517011029508156</v>
      </c>
      <c r="BH308" s="2">
        <f t="shared" si="39"/>
        <v>-0.11847128044886428</v>
      </c>
      <c r="BI308" s="2">
        <f t="shared" si="40"/>
        <v>-2.6645339523165501E-2</v>
      </c>
    </row>
    <row r="309" spans="1:61" x14ac:dyDescent="0.3">
      <c r="A309" s="31">
        <v>1990.5833333343601</v>
      </c>
      <c r="B309">
        <v>0.81717086380349357</v>
      </c>
      <c r="C309">
        <v>3.0400000000000205E-2</v>
      </c>
      <c r="D309">
        <v>2.4841994259626372E-2</v>
      </c>
      <c r="F309" s="31">
        <v>1990.5833333343601</v>
      </c>
      <c r="G309" s="2">
        <v>0.62664302370767055</v>
      </c>
      <c r="H309" s="2">
        <v>6.1499999999999846E-2</v>
      </c>
      <c r="I309" s="2">
        <v>3.8538545958021642E-2</v>
      </c>
      <c r="K309" s="31">
        <v>1990.5833333343601</v>
      </c>
      <c r="L309" s="2">
        <v>0.68665679971829796</v>
      </c>
      <c r="M309" s="2">
        <v>9.2279999999999945E-2</v>
      </c>
      <c r="N309" s="2">
        <v>6.0477116976723339E-2</v>
      </c>
      <c r="P309" s="31">
        <v>1990.5833333343601</v>
      </c>
      <c r="Q309" s="2">
        <v>0.71172388652119878</v>
      </c>
      <c r="R309" s="2">
        <v>7.1900000000000297E-2</v>
      </c>
      <c r="S309" s="2">
        <v>5.7475763686093237E-2</v>
      </c>
      <c r="U309" s="2">
        <f t="shared" si="41"/>
        <v>0.67500790331572247</v>
      </c>
      <c r="V309" s="2">
        <f t="shared" si="42"/>
        <v>7.5226666666666706E-2</v>
      </c>
      <c r="W309" s="2">
        <f t="shared" si="43"/>
        <v>5.2163808873612737E-2</v>
      </c>
      <c r="Y309" s="31">
        <v>1990.5833333343601</v>
      </c>
      <c r="Z309" s="2">
        <v>-0.62058559980622841</v>
      </c>
      <c r="AA309" s="2">
        <v>-0.78876452892998183</v>
      </c>
      <c r="AB309" s="2">
        <v>-0.84325086591654141</v>
      </c>
      <c r="AD309" s="31">
        <v>1990.5833333343601</v>
      </c>
      <c r="AE309" s="2">
        <v>-0.72959526829511467</v>
      </c>
      <c r="AF309" s="2">
        <v>6.7241855071186282E-2</v>
      </c>
      <c r="AG309" s="2">
        <v>1.487668081774623E-2</v>
      </c>
      <c r="AH309" s="31"/>
      <c r="AI309" s="31">
        <v>1990.5833333343601</v>
      </c>
      <c r="AJ309" s="2">
        <v>1.237526611342868</v>
      </c>
      <c r="AK309" s="2">
        <v>-0.61478205611361436</v>
      </c>
      <c r="AL309" s="2">
        <v>1.0163572041594442</v>
      </c>
      <c r="AM309" s="31"/>
      <c r="AN309" s="2">
        <f t="shared" si="44"/>
        <v>-3.7551418919491687E-2</v>
      </c>
      <c r="AO309" s="2">
        <f t="shared" si="37"/>
        <v>-0.44543490999080326</v>
      </c>
      <c r="AP309" s="2">
        <f t="shared" si="38"/>
        <v>6.2661006353549695E-2</v>
      </c>
      <c r="AQ309" s="31"/>
      <c r="AR309" s="31">
        <v>1990.5833333343601</v>
      </c>
      <c r="AS309" s="2">
        <v>-1.1238023049984047</v>
      </c>
      <c r="AT309" s="2">
        <v>-0.65870957567408583</v>
      </c>
      <c r="AU309" s="2">
        <v>-0.99126830497542984</v>
      </c>
      <c r="AV309" s="31"/>
      <c r="AW309" s="31">
        <v>1990.5833333343601</v>
      </c>
      <c r="AX309" s="2">
        <v>-1.0569843867663571</v>
      </c>
      <c r="AY309" s="2">
        <v>1.4464725573415451</v>
      </c>
      <c r="AZ309" s="2">
        <v>0.624091242161528</v>
      </c>
      <c r="BA309" s="31"/>
      <c r="BB309" s="31">
        <v>1990.5833333343601</v>
      </c>
      <c r="BC309" s="2">
        <v>0.59270091390839852</v>
      </c>
      <c r="BD309" s="2">
        <v>-0.51613739712758211</v>
      </c>
      <c r="BE309" s="2">
        <v>0.25896077019917779</v>
      </c>
      <c r="BG309" s="2">
        <f t="shared" si="45"/>
        <v>-0.52936192595212106</v>
      </c>
      <c r="BH309" s="2">
        <f t="shared" si="39"/>
        <v>9.0541861513292396E-2</v>
      </c>
      <c r="BI309" s="2">
        <f t="shared" si="40"/>
        <v>-3.6072097538241366E-2</v>
      </c>
    </row>
    <row r="310" spans="1:61" x14ac:dyDescent="0.3">
      <c r="A310" s="31">
        <v>1990.50000000103</v>
      </c>
      <c r="B310">
        <v>0.87504808295641301</v>
      </c>
      <c r="C310">
        <v>3.0400000000000205E-2</v>
      </c>
      <c r="D310">
        <v>2.6601461721875136E-2</v>
      </c>
      <c r="F310" s="31">
        <v>1990.50000000103</v>
      </c>
      <c r="G310" s="2"/>
      <c r="H310" s="2"/>
      <c r="I310" s="2"/>
      <c r="K310" s="31">
        <v>1990.50000000103</v>
      </c>
      <c r="L310" s="2">
        <v>0.55558293382772206</v>
      </c>
      <c r="M310" s="2">
        <v>6.1530000000000001E-2</v>
      </c>
      <c r="N310" s="2">
        <v>3.4185017918419741E-2</v>
      </c>
      <c r="P310" s="31">
        <v>1990.50000000103</v>
      </c>
      <c r="Q310" s="2">
        <v>0.62753250660686932</v>
      </c>
      <c r="R310" s="2">
        <v>4.7900000000000303E-2</v>
      </c>
      <c r="S310" s="2">
        <v>5.2444041896995017E-2</v>
      </c>
      <c r="U310" s="2">
        <f t="shared" si="41"/>
        <v>0.59155772021729569</v>
      </c>
      <c r="V310" s="2">
        <f t="shared" si="42"/>
        <v>5.4715000000000152E-2</v>
      </c>
      <c r="W310" s="2">
        <f t="shared" si="43"/>
        <v>4.3314529907707379E-2</v>
      </c>
      <c r="Y310" s="31">
        <v>1990.50000000103</v>
      </c>
      <c r="Z310" s="2"/>
      <c r="AA310" s="2"/>
      <c r="AB310" s="2"/>
      <c r="AD310" s="31">
        <v>1990.50000000103</v>
      </c>
      <c r="AE310" s="2">
        <v>-1.5095839513621305</v>
      </c>
      <c r="AF310" s="2">
        <v>-0.68585487699629111</v>
      </c>
      <c r="AG310" s="2">
        <v>-0.9848754016710487</v>
      </c>
      <c r="AH310" s="31"/>
      <c r="AI310" s="31">
        <v>1990.50000000103</v>
      </c>
      <c r="AJ310" s="2">
        <v>2.7862483065196719</v>
      </c>
      <c r="AK310" s="2">
        <v>-1.186702766808877</v>
      </c>
      <c r="AL310" s="2">
        <v>0.60970419411914367</v>
      </c>
      <c r="AM310" s="31"/>
      <c r="AN310" s="2">
        <f t="shared" si="44"/>
        <v>0.6383321775787707</v>
      </c>
      <c r="AO310" s="2">
        <f t="shared" si="37"/>
        <v>-0.93627882190258405</v>
      </c>
      <c r="AP310" s="2">
        <f t="shared" si="38"/>
        <v>-0.18758560377595251</v>
      </c>
      <c r="AQ310" s="31"/>
      <c r="AR310" s="31">
        <v>1990.50000000103</v>
      </c>
      <c r="AS310" s="2"/>
      <c r="AT310" s="2"/>
      <c r="AU310" s="2"/>
      <c r="AV310" s="31"/>
      <c r="AW310" s="31">
        <v>1990.50000000103</v>
      </c>
      <c r="AX310" s="2">
        <v>-0.80959811352378108</v>
      </c>
      <c r="AY310" s="2">
        <v>-0.10730219351257217</v>
      </c>
      <c r="AZ310" s="2">
        <v>-0.80919798272278243</v>
      </c>
      <c r="BA310" s="31"/>
      <c r="BB310" s="31">
        <v>1990.50000000103</v>
      </c>
      <c r="BC310" s="2">
        <v>0.87004603890684451</v>
      </c>
      <c r="BD310" s="2">
        <v>-0.38248368897839508</v>
      </c>
      <c r="BE310" s="2">
        <v>0.49545516199404194</v>
      </c>
      <c r="BG310" s="2">
        <f t="shared" si="45"/>
        <v>3.0223962691531714E-2</v>
      </c>
      <c r="BH310" s="2">
        <f t="shared" si="39"/>
        <v>-0.24489294124548361</v>
      </c>
      <c r="BI310" s="2">
        <f t="shared" si="40"/>
        <v>-0.15687141036437025</v>
      </c>
    </row>
    <row r="311" spans="1:61" x14ac:dyDescent="0.3">
      <c r="A311" s="31">
        <v>1990.4166666676999</v>
      </c>
      <c r="B311">
        <v>0.81395007392242769</v>
      </c>
      <c r="C311">
        <v>0.22800000000000153</v>
      </c>
      <c r="D311">
        <v>0.18558061685431476</v>
      </c>
      <c r="F311" s="31">
        <v>1990.4166666676999</v>
      </c>
      <c r="G311" s="2">
        <v>0.62491370003304914</v>
      </c>
      <c r="H311" s="2">
        <v>0.24599999999999939</v>
      </c>
      <c r="I311" s="2">
        <v>0.15372877020812975</v>
      </c>
      <c r="K311" s="31">
        <v>1990.4166666676999</v>
      </c>
      <c r="L311" s="2">
        <v>0.66895478899774297</v>
      </c>
      <c r="M311" s="2">
        <v>6.1514999999999952E-2</v>
      </c>
      <c r="N311" s="2">
        <v>4.1148741460376892E-2</v>
      </c>
      <c r="P311" s="31">
        <v>1990.4166666676999</v>
      </c>
      <c r="Q311" s="2">
        <v>0.56787714734754358</v>
      </c>
      <c r="R311" s="2">
        <v>0.16775000000000076</v>
      </c>
      <c r="S311" s="2">
        <v>5.6486147965011037E-2</v>
      </c>
      <c r="U311" s="2">
        <f t="shared" si="41"/>
        <v>0.6205818787927786</v>
      </c>
      <c r="V311" s="2">
        <f t="shared" si="42"/>
        <v>0.15842166666666671</v>
      </c>
      <c r="W311" s="2">
        <f t="shared" si="43"/>
        <v>8.3787886544505905E-2</v>
      </c>
      <c r="Y311" s="31">
        <v>1990.4166666676999</v>
      </c>
      <c r="Z311" s="2">
        <v>-0.63061235023383355</v>
      </c>
      <c r="AA311" s="2">
        <v>2.8140144362030601</v>
      </c>
      <c r="AB311" s="2">
        <v>1.8077644913886077</v>
      </c>
      <c r="AD311" s="31">
        <v>1990.4166666676999</v>
      </c>
      <c r="AE311" s="2">
        <v>-0.83493562684599965</v>
      </c>
      <c r="AF311" s="2">
        <v>-0.68622224125583742</v>
      </c>
      <c r="AG311" s="2">
        <v>-0.72008113410384345</v>
      </c>
      <c r="AH311" s="31"/>
      <c r="AI311" s="31">
        <v>1990.4166666676999</v>
      </c>
      <c r="AJ311" s="2">
        <v>1.2701955256464099</v>
      </c>
      <c r="AK311" s="2">
        <v>1.6693262822256021</v>
      </c>
      <c r="AL311" s="2">
        <v>0.93637857484945552</v>
      </c>
      <c r="AM311" s="31"/>
      <c r="AN311" s="2">
        <f t="shared" si="44"/>
        <v>-6.5117483811141089E-2</v>
      </c>
      <c r="AO311" s="2">
        <f t="shared" si="37"/>
        <v>1.2657061590576084</v>
      </c>
      <c r="AP311" s="2">
        <f t="shared" si="38"/>
        <v>0.67468731071140653</v>
      </c>
      <c r="AQ311" s="31"/>
      <c r="AR311" s="31">
        <v>1990.4166666676999</v>
      </c>
      <c r="AS311" s="2">
        <v>-1.2067587210759168</v>
      </c>
      <c r="AT311" s="2">
        <v>1.6401497265564979</v>
      </c>
      <c r="AU311" s="2">
        <v>0.18859243804113104</v>
      </c>
      <c r="AV311" s="31"/>
      <c r="AW311" s="31">
        <v>1990.4166666676999</v>
      </c>
      <c r="AX311" s="2">
        <v>-1.2585644313149289</v>
      </c>
      <c r="AY311" s="2">
        <v>-1.6534191247733234</v>
      </c>
      <c r="AZ311" s="2">
        <v>-1.2919494045603792</v>
      </c>
      <c r="BA311" s="31"/>
      <c r="BB311" s="31">
        <v>1990.4166666676999</v>
      </c>
      <c r="BC311" s="2">
        <v>0.58128634599292894</v>
      </c>
      <c r="BD311" s="2">
        <v>0.21308645383215588</v>
      </c>
      <c r="BE311" s="2">
        <v>5.479410137242622E-2</v>
      </c>
      <c r="BG311" s="2">
        <f t="shared" si="45"/>
        <v>-0.62801226879930561</v>
      </c>
      <c r="BH311" s="2">
        <f t="shared" si="39"/>
        <v>6.6605685205110163E-2</v>
      </c>
      <c r="BI311" s="2">
        <f t="shared" si="40"/>
        <v>-0.34952095504894065</v>
      </c>
    </row>
    <row r="312" spans="1:61" x14ac:dyDescent="0.3">
      <c r="A312" s="31">
        <v>1990.3333333343701</v>
      </c>
      <c r="B312">
        <v>0.83339776199516968</v>
      </c>
      <c r="C312">
        <v>0.24320000000000164</v>
      </c>
      <c r="D312">
        <v>0.20268233571722663</v>
      </c>
      <c r="F312" s="31">
        <v>1990.3333333343701</v>
      </c>
      <c r="G312" s="2">
        <v>0.60996641862860768</v>
      </c>
      <c r="H312" s="2">
        <v>0.24599999999999939</v>
      </c>
      <c r="I312" s="2">
        <v>0.15005173898263713</v>
      </c>
      <c r="K312" s="31">
        <v>1990.3333333343701</v>
      </c>
      <c r="L312" s="2">
        <v>0.6546226980630665</v>
      </c>
      <c r="M312" s="2">
        <v>6.1514999999999952E-2</v>
      </c>
      <c r="N312" s="2">
        <v>4.0267017717121364E-2</v>
      </c>
      <c r="P312" s="31">
        <v>1990.3333333343701</v>
      </c>
      <c r="Q312" s="2">
        <v>0.53215419968219879</v>
      </c>
      <c r="R312" s="2">
        <v>0.14380000000000059</v>
      </c>
      <c r="S312" s="2">
        <v>4.3078462874034905E-2</v>
      </c>
      <c r="U312" s="2">
        <f t="shared" si="41"/>
        <v>0.59891443879129103</v>
      </c>
      <c r="V312" s="2">
        <f t="shared" si="42"/>
        <v>0.15043833333333331</v>
      </c>
      <c r="W312" s="2">
        <f t="shared" si="43"/>
        <v>7.7799073191264459E-2</v>
      </c>
      <c r="Y312" s="31">
        <v>1990.3333333343701</v>
      </c>
      <c r="Z312" s="2">
        <v>-0.71727782669319462</v>
      </c>
      <c r="AA312" s="2">
        <v>2.8140144362030601</v>
      </c>
      <c r="AB312" s="2">
        <v>1.7231404157647392</v>
      </c>
      <c r="AD312" s="31">
        <v>1990.3333333343701</v>
      </c>
      <c r="AE312" s="2">
        <v>-0.92022241271884064</v>
      </c>
      <c r="AF312" s="2">
        <v>-0.68622224125583742</v>
      </c>
      <c r="AG312" s="2">
        <v>-0.7536085122924302</v>
      </c>
      <c r="AH312" s="31"/>
      <c r="AI312" s="31">
        <v>1990.3333333343701</v>
      </c>
      <c r="AJ312" s="2">
        <v>1.3564974136823595E-2</v>
      </c>
      <c r="AK312" s="2">
        <v>1.0985970730109507</v>
      </c>
      <c r="AL312" s="2">
        <v>-0.14720190285717361</v>
      </c>
      <c r="AM312" s="31"/>
      <c r="AN312" s="2">
        <f t="shared" si="44"/>
        <v>-0.54131175509173723</v>
      </c>
      <c r="AO312" s="2">
        <f t="shared" si="37"/>
        <v>1.0754630893193911</v>
      </c>
      <c r="AP312" s="2">
        <f t="shared" si="38"/>
        <v>0.27411000020504511</v>
      </c>
      <c r="AQ312" s="31"/>
      <c r="AR312" s="31">
        <v>1990.3333333343701</v>
      </c>
      <c r="AS312" s="2">
        <v>-0.95057311128765209</v>
      </c>
      <c r="AT312" s="2">
        <v>1.8010929534953479</v>
      </c>
      <c r="AU312" s="2">
        <v>0.8325457862691612</v>
      </c>
      <c r="AV312" s="31"/>
      <c r="AW312" s="31">
        <v>1990.3333333343701</v>
      </c>
      <c r="AX312" s="2">
        <v>-1.0238977905098963</v>
      </c>
      <c r="AY312" s="2">
        <v>-1.269857360921067</v>
      </c>
      <c r="AZ312" s="2">
        <v>-0.90359145787511308</v>
      </c>
      <c r="BA312" s="31"/>
      <c r="BB312" s="31">
        <v>1990.3333333343701</v>
      </c>
      <c r="BC312" s="2">
        <v>-0.25258005059915223</v>
      </c>
      <c r="BD312" s="2">
        <v>0.38139101458033026</v>
      </c>
      <c r="BE312" s="2">
        <v>-0.58826498999651422</v>
      </c>
      <c r="BG312" s="2">
        <f t="shared" si="45"/>
        <v>-0.74235031746556679</v>
      </c>
      <c r="BH312" s="2">
        <f t="shared" si="39"/>
        <v>0.30420886905153705</v>
      </c>
      <c r="BI312" s="2">
        <f t="shared" si="40"/>
        <v>-0.21977022053415532</v>
      </c>
    </row>
    <row r="313" spans="1:61" x14ac:dyDescent="0.3">
      <c r="A313" s="31">
        <v>1990.25000000104</v>
      </c>
      <c r="B313">
        <v>0.62954018922411603</v>
      </c>
      <c r="C313">
        <v>0.22800000000000153</v>
      </c>
      <c r="D313">
        <v>0.14353516314309941</v>
      </c>
      <c r="F313" s="31">
        <v>1990.25000000104</v>
      </c>
      <c r="G313" s="2">
        <v>0.61911363692574328</v>
      </c>
      <c r="H313" s="2">
        <v>0.24599999999999939</v>
      </c>
      <c r="I313" s="2">
        <v>0.1523019546837325</v>
      </c>
      <c r="K313" s="31">
        <v>1990.25000000104</v>
      </c>
      <c r="L313" s="2">
        <v>0.64588334686003424</v>
      </c>
      <c r="M313" s="2">
        <v>6.1514999999999952E-2</v>
      </c>
      <c r="N313" s="2">
        <v>3.9729413835411398E-2</v>
      </c>
      <c r="P313" s="31">
        <v>1990.25000000104</v>
      </c>
      <c r="Q313" s="2">
        <v>0.50171814647592106</v>
      </c>
      <c r="R313" s="2">
        <v>0.14380000000000059</v>
      </c>
      <c r="S313" s="2">
        <v>3.5499993837617677E-2</v>
      </c>
      <c r="U313" s="2">
        <f t="shared" si="41"/>
        <v>0.58890504342056615</v>
      </c>
      <c r="V313" s="2">
        <f t="shared" si="42"/>
        <v>0.15043833333333331</v>
      </c>
      <c r="W313" s="2">
        <f t="shared" si="43"/>
        <v>7.5843787452253855E-2</v>
      </c>
      <c r="Y313" s="31">
        <v>1990.25000000104</v>
      </c>
      <c r="Z313" s="2">
        <v>-0.66424155805350182</v>
      </c>
      <c r="AA313" s="2">
        <v>2.8140144362030601</v>
      </c>
      <c r="AB313" s="2">
        <v>1.7749274178275243</v>
      </c>
      <c r="AD313" s="31">
        <v>1990.25000000104</v>
      </c>
      <c r="AE313" s="2">
        <v>-0.97222816527216771</v>
      </c>
      <c r="AF313" s="2">
        <v>-0.68622224125583742</v>
      </c>
      <c r="AG313" s="2">
        <v>-0.77405079798067966</v>
      </c>
      <c r="AH313" s="31"/>
      <c r="AI313" s="31">
        <v>1990.25000000104</v>
      </c>
      <c r="AJ313" s="2">
        <v>-0.76634755836794377</v>
      </c>
      <c r="AK313" s="2">
        <v>1.0985970730109507</v>
      </c>
      <c r="AL313" s="2">
        <v>-0.75967758699244436</v>
      </c>
      <c r="AM313" s="31"/>
      <c r="AN313" s="2">
        <f t="shared" si="44"/>
        <v>-0.80093909389787099</v>
      </c>
      <c r="AO313" s="2">
        <f t="shared" si="37"/>
        <v>1.0754630893193911</v>
      </c>
      <c r="AP313" s="2">
        <f t="shared" si="38"/>
        <v>8.0399677618133422E-2</v>
      </c>
      <c r="AQ313" s="31"/>
      <c r="AR313" s="31">
        <v>1990.25000000104</v>
      </c>
      <c r="AS313" s="2">
        <v>-0.62437793921756757</v>
      </c>
      <c r="AT313" s="2">
        <v>1.9841392062377605</v>
      </c>
      <c r="AU313" s="2">
        <v>1.0405125257813754</v>
      </c>
      <c r="AV313" s="31"/>
      <c r="AW313" s="31">
        <v>1990.25000000104</v>
      </c>
      <c r="AX313" s="2">
        <v>-0.93215273656812536</v>
      </c>
      <c r="AY313" s="2">
        <v>-1.5103266726480709</v>
      </c>
      <c r="AZ313" s="2">
        <v>-0.99490835522760235</v>
      </c>
      <c r="BA313" s="31"/>
      <c r="BB313" s="31">
        <v>1990.25000000104</v>
      </c>
      <c r="BC313" s="2">
        <v>-0.57128006773322937</v>
      </c>
      <c r="BD313" s="2">
        <v>3.3388824798885192E-2</v>
      </c>
      <c r="BE313" s="2">
        <v>-0.89668260116215404</v>
      </c>
      <c r="BG313" s="2">
        <f t="shared" si="45"/>
        <v>-0.70927024783964077</v>
      </c>
      <c r="BH313" s="2">
        <f t="shared" si="39"/>
        <v>0.16906711946285827</v>
      </c>
      <c r="BI313" s="2">
        <f t="shared" si="40"/>
        <v>-0.28369281020279363</v>
      </c>
    </row>
    <row r="314" spans="1:61" x14ac:dyDescent="0.3">
      <c r="A314" s="31">
        <v>1990.1666666677099</v>
      </c>
      <c r="B314">
        <v>0.72299033890053432</v>
      </c>
      <c r="C314">
        <v>0.22800000000000153</v>
      </c>
      <c r="D314">
        <v>0.16484179726932294</v>
      </c>
      <c r="F314" s="31">
        <v>1990.1666666677099</v>
      </c>
      <c r="G314" s="2">
        <v>0.58560982716236065</v>
      </c>
      <c r="H314" s="2">
        <v>0.2152499999999995</v>
      </c>
      <c r="I314" s="2">
        <v>0.12909731236073574</v>
      </c>
      <c r="K314" s="31">
        <v>1990.1666666677099</v>
      </c>
      <c r="L314" s="2">
        <v>0.64510575708939344</v>
      </c>
      <c r="M314" s="2">
        <v>6.1514999999999952E-2</v>
      </c>
      <c r="N314" s="2">
        <v>3.9681699131396339E-2</v>
      </c>
      <c r="P314" s="31">
        <v>1990.1666666677099</v>
      </c>
      <c r="Q314" s="2">
        <v>0.65230823748570799</v>
      </c>
      <c r="R314" s="2">
        <v>9.5850000000000463E-2</v>
      </c>
      <c r="S314" s="2">
        <v>3.2081814835127245E-2</v>
      </c>
      <c r="U314" s="2">
        <f t="shared" si="41"/>
        <v>0.62767460724582069</v>
      </c>
      <c r="V314" s="2">
        <f t="shared" si="42"/>
        <v>0.12420499999999997</v>
      </c>
      <c r="W314" s="2">
        <f t="shared" si="43"/>
        <v>6.6953608775753112E-2</v>
      </c>
      <c r="Y314" s="31">
        <v>1990.1666666677099</v>
      </c>
      <c r="Z314" s="2">
        <v>-0.85849919981333123</v>
      </c>
      <c r="AA314" s="2">
        <v>2.2135512753475539</v>
      </c>
      <c r="AB314" s="2">
        <v>1.2408902322980437</v>
      </c>
      <c r="AD314" s="31">
        <v>1990.1666666677099</v>
      </c>
      <c r="AE314" s="2">
        <v>-0.9768554127943766</v>
      </c>
      <c r="AF314" s="2">
        <v>-0.68622224125583742</v>
      </c>
      <c r="AG314" s="2">
        <v>-0.77586514055555778</v>
      </c>
      <c r="AH314" s="31"/>
      <c r="AI314" s="31">
        <v>1990.1666666677099</v>
      </c>
      <c r="AJ314" s="2">
        <v>-1.0983708415020796</v>
      </c>
      <c r="AK314" s="2">
        <v>-4.4052846898962821E-2</v>
      </c>
      <c r="AL314" s="2">
        <v>-1.0359275146476064</v>
      </c>
      <c r="AM314" s="31"/>
      <c r="AN314" s="2">
        <f t="shared" si="44"/>
        <v>-0.97790848470326253</v>
      </c>
      <c r="AO314" s="2">
        <f t="shared" si="37"/>
        <v>0.49442539573091793</v>
      </c>
      <c r="AP314" s="2">
        <f t="shared" si="38"/>
        <v>-0.19030080763504018</v>
      </c>
      <c r="AQ314" s="31"/>
      <c r="AR314" s="31">
        <v>1990.1666666677099</v>
      </c>
      <c r="AS314" s="2">
        <v>-0.55011708079784682</v>
      </c>
      <c r="AT314" s="2">
        <v>1.4394269330854648</v>
      </c>
      <c r="AU314" s="2">
        <v>0.7966784729856895</v>
      </c>
      <c r="AV314" s="31"/>
      <c r="AW314" s="31">
        <v>1990.1666666677099</v>
      </c>
      <c r="AX314" s="2">
        <v>-0.77799010572345206</v>
      </c>
      <c r="AY314" s="2">
        <v>-1.1554372649783877</v>
      </c>
      <c r="AZ314" s="2">
        <v>-0.77917986925865401</v>
      </c>
      <c r="BA314" s="31"/>
      <c r="BB314" s="31">
        <v>1990.1666666677099</v>
      </c>
      <c r="BC314" s="2">
        <v>-0.57360835107747998</v>
      </c>
      <c r="BD314" s="2">
        <v>-0.34847073798484229</v>
      </c>
      <c r="BE314" s="2">
        <v>-0.68849199182228138</v>
      </c>
      <c r="BG314" s="2">
        <f t="shared" si="45"/>
        <v>-0.63390517919959299</v>
      </c>
      <c r="BH314" s="2">
        <f t="shared" si="39"/>
        <v>-2.149368995925512E-2</v>
      </c>
      <c r="BI314" s="2">
        <f t="shared" si="40"/>
        <v>-0.22366446269841531</v>
      </c>
    </row>
    <row r="315" spans="1:61" x14ac:dyDescent="0.3">
      <c r="A315" s="31">
        <v>1990.0833333343801</v>
      </c>
      <c r="B315">
        <v>0.71483037589746679</v>
      </c>
      <c r="C315">
        <v>3.0400000000000205E-2</v>
      </c>
      <c r="D315">
        <v>2.1730843427283136E-2</v>
      </c>
      <c r="F315" s="31">
        <v>1990.0833333343801</v>
      </c>
      <c r="G315" s="2">
        <v>0.54390693171484472</v>
      </c>
      <c r="H315" s="2">
        <v>6.1499999999999846E-2</v>
      </c>
      <c r="I315" s="2">
        <v>3.3450276300462871E-2</v>
      </c>
      <c r="K315" s="31">
        <v>1990.0833333343801</v>
      </c>
      <c r="L315" s="2">
        <v>0.64839972576330629</v>
      </c>
      <c r="M315" s="2">
        <v>9.2279999999999945E-2</v>
      </c>
      <c r="N315" s="2">
        <v>5.6014313743900215E-2</v>
      </c>
      <c r="P315" s="31">
        <v>1990.0833333343801</v>
      </c>
      <c r="Q315" s="2">
        <v>0.49002900476817823</v>
      </c>
      <c r="R315" s="2">
        <v>0.11985000000000046</v>
      </c>
      <c r="S315" s="2">
        <v>3.0497340105806413E-2</v>
      </c>
      <c r="U315" s="2">
        <f t="shared" si="41"/>
        <v>0.56077855408210964</v>
      </c>
      <c r="V315" s="2">
        <f t="shared" si="42"/>
        <v>9.1210000000000083E-2</v>
      </c>
      <c r="W315" s="2">
        <f t="shared" si="43"/>
        <v>3.9987310050056506E-2</v>
      </c>
      <c r="Y315" s="31">
        <v>1990.0833333343801</v>
      </c>
      <c r="Z315" s="2">
        <v>-1.1002957650817122</v>
      </c>
      <c r="AA315" s="2">
        <v>-0.78876452892998183</v>
      </c>
      <c r="AB315" s="2">
        <v>-0.96035352017485576</v>
      </c>
      <c r="AD315" s="31">
        <v>1990.0833333343801</v>
      </c>
      <c r="AE315" s="2">
        <v>-0.95725380670324178</v>
      </c>
      <c r="AF315" s="2">
        <v>6.7241855071186282E-2</v>
      </c>
      <c r="AG315" s="2">
        <v>-0.15482056609505004</v>
      </c>
      <c r="AH315" s="31"/>
      <c r="AI315" s="31">
        <v>1990.0833333343801</v>
      </c>
      <c r="AJ315" s="2">
        <v>-1.21543206723925</v>
      </c>
      <c r="AK315" s="2">
        <v>0.52786786379629969</v>
      </c>
      <c r="AL315" s="2">
        <v>-1.1639813787159898</v>
      </c>
      <c r="AM315" s="31"/>
      <c r="AN315" s="2">
        <f t="shared" si="44"/>
        <v>-1.0909938796747347</v>
      </c>
      <c r="AO315" s="2">
        <f t="shared" si="37"/>
        <v>-6.455160335416528E-2</v>
      </c>
      <c r="AP315" s="2">
        <f t="shared" si="38"/>
        <v>-0.75971848832863198</v>
      </c>
      <c r="AQ315" s="31"/>
      <c r="AR315" s="31">
        <v>1990.0833333343801</v>
      </c>
      <c r="AS315" s="2">
        <v>-0.76513435040855549</v>
      </c>
      <c r="AT315" s="2">
        <v>-0.93050162247170598</v>
      </c>
      <c r="AU315" s="2">
        <v>-1.0932921153495501</v>
      </c>
      <c r="AV315" s="31"/>
      <c r="AW315" s="31">
        <v>1990.0833333343801</v>
      </c>
      <c r="AX315" s="2">
        <v>-0.69777888303205549</v>
      </c>
      <c r="AY315" s="2">
        <v>0.56120938963997447</v>
      </c>
      <c r="AZ315" s="2">
        <v>0.19554465515399819</v>
      </c>
      <c r="BA315" s="31"/>
      <c r="BB315" s="31">
        <v>1990.0833333343801</v>
      </c>
      <c r="BC315" s="2">
        <v>-0.59204782587453886</v>
      </c>
      <c r="BD315" s="2">
        <v>0.93034272396242035</v>
      </c>
      <c r="BE315" s="2">
        <v>-0.96165235025328888</v>
      </c>
      <c r="BG315" s="2">
        <f t="shared" si="45"/>
        <v>-0.68498701977171661</v>
      </c>
      <c r="BH315" s="2">
        <f t="shared" si="39"/>
        <v>0.18701683037689629</v>
      </c>
      <c r="BI315" s="2">
        <f t="shared" si="40"/>
        <v>-0.61979993681628021</v>
      </c>
    </row>
    <row r="316" spans="1:61" x14ac:dyDescent="0.3">
      <c r="A316" s="31">
        <v>1990.00000000105</v>
      </c>
      <c r="B316">
        <v>0.71641229617737301</v>
      </c>
      <c r="C316">
        <v>1.5200000000000102E-2</v>
      </c>
      <c r="D316">
        <v>1.0889466901896143E-2</v>
      </c>
      <c r="F316" s="31">
        <v>1990.00000000105</v>
      </c>
      <c r="G316" s="2">
        <v>0.46966951779860178</v>
      </c>
      <c r="H316" s="2">
        <v>6.1499999999999798E-2</v>
      </c>
      <c r="I316" s="2">
        <v>2.8884675344613916E-2</v>
      </c>
      <c r="K316" s="31">
        <v>1990.00000000105</v>
      </c>
      <c r="L316" s="2">
        <v>0.66060623865155488</v>
      </c>
      <c r="M316" s="2">
        <v>6.1514999999999952E-2</v>
      </c>
      <c r="N316" s="2">
        <v>4.0635470662215137E-2</v>
      </c>
      <c r="P316" s="31">
        <v>1990.00000000105</v>
      </c>
      <c r="Q316" s="2">
        <v>0.56856864660925355</v>
      </c>
      <c r="R316" s="2">
        <v>7.1900000000000297E-2</v>
      </c>
      <c r="S316" s="2">
        <v>3.2837946660271677E-2</v>
      </c>
      <c r="U316" s="2">
        <f t="shared" si="41"/>
        <v>0.56628146768647003</v>
      </c>
      <c r="V316" s="2">
        <f t="shared" si="42"/>
        <v>6.4971666666666691E-2</v>
      </c>
      <c r="W316" s="2">
        <f t="shared" si="43"/>
        <v>3.4119364222366909E-2</v>
      </c>
      <c r="Y316" s="31">
        <v>1990.00000000105</v>
      </c>
      <c r="Z316" s="2">
        <v>-1.5307299473304148</v>
      </c>
      <c r="AA316" s="2">
        <v>-0.78876452892998272</v>
      </c>
      <c r="AB316" s="2">
        <v>-1.0654273519872048</v>
      </c>
      <c r="AD316" s="31">
        <v>1990.00000000105</v>
      </c>
      <c r="AE316" s="2">
        <v>-0.88461581858977667</v>
      </c>
      <c r="AF316" s="2">
        <v>-0.68622224125583742</v>
      </c>
      <c r="AG316" s="2">
        <v>-0.73959815890300418</v>
      </c>
      <c r="AH316" s="31"/>
      <c r="AI316" s="31">
        <v>1990.00000000105</v>
      </c>
      <c r="AJ316" s="2">
        <v>-1.0489303939145633</v>
      </c>
      <c r="AK316" s="2">
        <v>-0.61478205611361436</v>
      </c>
      <c r="AL316" s="2">
        <v>-0.9748185552157782</v>
      </c>
      <c r="AM316" s="31"/>
      <c r="AN316" s="2">
        <f t="shared" si="44"/>
        <v>-1.1547587199449183</v>
      </c>
      <c r="AO316" s="2">
        <f t="shared" si="37"/>
        <v>-0.69658960876647813</v>
      </c>
      <c r="AP316" s="2">
        <f t="shared" si="38"/>
        <v>-0.9266146887019957</v>
      </c>
      <c r="AQ316" s="31"/>
      <c r="AR316" s="31">
        <v>1990.00000000105</v>
      </c>
      <c r="AS316" s="2">
        <v>-0.83718481803556011</v>
      </c>
      <c r="AT316" s="2">
        <v>-0.29853293598826797</v>
      </c>
      <c r="AU316" s="2">
        <v>-0.97798328188473493</v>
      </c>
      <c r="AV316" s="31"/>
      <c r="AW316" s="31">
        <v>1990.00000000105</v>
      </c>
      <c r="AX316" s="2">
        <v>-0.43328880615823046</v>
      </c>
      <c r="AY316" s="2">
        <v>-0.21981065223360952</v>
      </c>
      <c r="AZ316" s="2">
        <v>-0.48310438137260014</v>
      </c>
      <c r="BA316" s="31"/>
      <c r="BB316" s="31">
        <v>1990.00000000105</v>
      </c>
      <c r="BC316" s="2">
        <v>-0.40947553051347102</v>
      </c>
      <c r="BD316" s="2">
        <v>-9.3919208556921333E-2</v>
      </c>
      <c r="BE316" s="2">
        <v>-0.32674771152584953</v>
      </c>
      <c r="BG316" s="2">
        <f t="shared" si="45"/>
        <v>-0.55998305156908723</v>
      </c>
      <c r="BH316" s="2">
        <f t="shared" si="39"/>
        <v>-0.20408759892626627</v>
      </c>
      <c r="BI316" s="2">
        <f t="shared" si="40"/>
        <v>-0.59594512492772822</v>
      </c>
    </row>
    <row r="317" spans="1:61" x14ac:dyDescent="0.3">
      <c r="A317" s="31">
        <v>1989.9166666677199</v>
      </c>
      <c r="B317">
        <v>0.72012246992124429</v>
      </c>
      <c r="C317">
        <v>3.0400000000000205E-2</v>
      </c>
      <c r="D317">
        <v>2.1891723085605976E-2</v>
      </c>
      <c r="F317" s="31">
        <v>1989.9166666677199</v>
      </c>
      <c r="G317" s="2">
        <v>0.66966995983347688</v>
      </c>
      <c r="H317" s="2">
        <v>6.1499999999999902E-2</v>
      </c>
      <c r="I317" s="2">
        <v>4.1184702529758761E-2</v>
      </c>
      <c r="K317" s="31">
        <v>1989.9166666677199</v>
      </c>
      <c r="L317" s="2">
        <v>0.67992996900029823</v>
      </c>
      <c r="M317" s="2">
        <v>6.1514999999999952E-2</v>
      </c>
      <c r="N317" s="2">
        <v>4.1824416040311875E-2</v>
      </c>
      <c r="P317" s="31">
        <v>1989.9166666677199</v>
      </c>
      <c r="Q317" s="2">
        <v>0.65775413409340677</v>
      </c>
      <c r="R317" s="2">
        <v>7.1900000000000297E-2</v>
      </c>
      <c r="S317" s="2">
        <v>3.6438565832015796E-2</v>
      </c>
      <c r="U317" s="2">
        <f t="shared" si="41"/>
        <v>0.66911802097572737</v>
      </c>
      <c r="V317" s="2">
        <f t="shared" si="42"/>
        <v>6.4971666666666719E-2</v>
      </c>
      <c r="W317" s="2">
        <f t="shared" si="43"/>
        <v>3.9815894800695473E-2</v>
      </c>
      <c r="Y317" s="31">
        <v>1989.9166666677199</v>
      </c>
      <c r="Z317" s="2">
        <v>-0.3711121458026479</v>
      </c>
      <c r="AA317" s="2">
        <v>-0.78876452892998072</v>
      </c>
      <c r="AB317" s="2">
        <v>-0.78235158600648891</v>
      </c>
      <c r="AD317" s="31">
        <v>1989.9166666677199</v>
      </c>
      <c r="AE317" s="2">
        <v>-0.76962500112780285</v>
      </c>
      <c r="AF317" s="2">
        <v>-0.68622224125583742</v>
      </c>
      <c r="AG317" s="2">
        <v>-0.69438873628970232</v>
      </c>
      <c r="AH317" s="31"/>
      <c r="AI317" s="31">
        <v>1989.9166666677199</v>
      </c>
      <c r="AJ317" s="2">
        <v>-0.78496237337031494</v>
      </c>
      <c r="AK317" s="2">
        <v>-0.61478205611361436</v>
      </c>
      <c r="AL317" s="2">
        <v>-0.68382420267209909</v>
      </c>
      <c r="AM317" s="31"/>
      <c r="AN317" s="2">
        <f t="shared" si="44"/>
        <v>-0.64189984010025525</v>
      </c>
      <c r="AO317" s="2">
        <f t="shared" si="37"/>
        <v>-0.69658960876647757</v>
      </c>
      <c r="AP317" s="2">
        <f t="shared" si="38"/>
        <v>-0.72018817498943</v>
      </c>
      <c r="AQ317" s="31"/>
      <c r="AR317" s="31">
        <v>1989.9166666677199</v>
      </c>
      <c r="AS317" s="2">
        <v>-8.1623657996083565E-2</v>
      </c>
      <c r="AT317" s="2">
        <v>-0.68444756444044996</v>
      </c>
      <c r="AU317" s="2">
        <v>-0.58570009106872201</v>
      </c>
      <c r="AV317" s="31"/>
      <c r="AW317" s="31">
        <v>1989.9166666677199</v>
      </c>
      <c r="AX317" s="2">
        <v>-0.49471304117859338</v>
      </c>
      <c r="AY317" s="2">
        <v>-0.51751295497595129</v>
      </c>
      <c r="AZ317" s="2">
        <v>-0.59159018663850216</v>
      </c>
      <c r="BA317" s="31"/>
      <c r="BB317" s="31">
        <v>1989.9166666677199</v>
      </c>
      <c r="BC317" s="2">
        <v>-0.469490447779014</v>
      </c>
      <c r="BD317" s="2">
        <v>-0.44318112469553572</v>
      </c>
      <c r="BE317" s="2">
        <v>-0.44878158178085953</v>
      </c>
      <c r="BG317" s="2">
        <f t="shared" si="45"/>
        <v>-0.34860904898456369</v>
      </c>
      <c r="BH317" s="2">
        <f t="shared" si="39"/>
        <v>-0.54838054803731229</v>
      </c>
      <c r="BI317" s="2">
        <f t="shared" si="40"/>
        <v>-0.54202395316269458</v>
      </c>
    </row>
    <row r="318" spans="1:61" x14ac:dyDescent="0.3">
      <c r="A318" s="31">
        <v>1989.8333333343901</v>
      </c>
      <c r="B318">
        <v>0.73005446386806394</v>
      </c>
      <c r="C318">
        <v>1.5200000000000102E-2</v>
      </c>
      <c r="D318">
        <v>1.1096827850794647E-2</v>
      </c>
      <c r="F318" s="31">
        <v>1989.8333333343901</v>
      </c>
      <c r="G318" s="2">
        <v>0.50005490068059555</v>
      </c>
      <c r="H318" s="2">
        <v>6.1499999999999798E-2</v>
      </c>
      <c r="I318" s="2">
        <v>3.0753376391856525E-2</v>
      </c>
      <c r="K318" s="31">
        <v>1989.8333333343901</v>
      </c>
      <c r="L318" s="2">
        <v>0.70020540933849329</v>
      </c>
      <c r="M318" s="2">
        <v>6.1514999999999952E-2</v>
      </c>
      <c r="N318" s="2">
        <v>4.3071919954260317E-2</v>
      </c>
      <c r="P318" s="31">
        <v>1989.8333333343901</v>
      </c>
      <c r="Q318" s="2">
        <v>0.77188287740743733</v>
      </c>
      <c r="R318" s="2">
        <v>7.1900000000000297E-2</v>
      </c>
      <c r="S318" s="2">
        <v>3.9885220581764726E-2</v>
      </c>
      <c r="U318" s="2">
        <f t="shared" si="41"/>
        <v>0.65738106247550876</v>
      </c>
      <c r="V318" s="2">
        <f t="shared" si="42"/>
        <v>6.4971666666666691E-2</v>
      </c>
      <c r="W318" s="2">
        <f t="shared" si="43"/>
        <v>3.7903505642627185E-2</v>
      </c>
      <c r="Y318" s="31">
        <v>1989.8333333343901</v>
      </c>
      <c r="Z318" s="2">
        <v>-1.3545531822308012</v>
      </c>
      <c r="AA318" s="2">
        <v>-0.78876452892998272</v>
      </c>
      <c r="AB318" s="2">
        <v>-1.022420619369895</v>
      </c>
      <c r="AD318" s="31">
        <v>1989.8333333343901</v>
      </c>
      <c r="AE318" s="2">
        <v>-0.64897078908834793</v>
      </c>
      <c r="AF318" s="2">
        <v>-0.68622224125583742</v>
      </c>
      <c r="AG318" s="2">
        <v>-0.64695263645160339</v>
      </c>
      <c r="AH318" s="31"/>
      <c r="AI318" s="31">
        <v>1989.8333333343901</v>
      </c>
      <c r="AJ318" s="2">
        <v>-0.50578991225272585</v>
      </c>
      <c r="AK318" s="2">
        <v>-0.61478205611361436</v>
      </c>
      <c r="AL318" s="2">
        <v>-0.40527292593183778</v>
      </c>
      <c r="AM318" s="31"/>
      <c r="AN318" s="2">
        <f t="shared" si="44"/>
        <v>-0.83643796119062497</v>
      </c>
      <c r="AO318" s="2">
        <f t="shared" si="37"/>
        <v>-0.69658960876647813</v>
      </c>
      <c r="AP318" s="2">
        <f t="shared" si="38"/>
        <v>-0.69154872725111216</v>
      </c>
      <c r="AQ318" s="31"/>
      <c r="AR318" s="31">
        <v>1989.8333333343901</v>
      </c>
      <c r="AS318" s="2">
        <v>-0.79821984463393503</v>
      </c>
      <c r="AT318" s="2">
        <v>-0.2854929317171821</v>
      </c>
      <c r="AU318" s="2">
        <v>-0.90630233056939391</v>
      </c>
      <c r="AV318" s="31"/>
      <c r="AW318" s="31">
        <v>1989.8333333343901</v>
      </c>
      <c r="AX318" s="2">
        <v>-0.28107263718847314</v>
      </c>
      <c r="AY318" s="2">
        <v>-0.19138401234735175</v>
      </c>
      <c r="AZ318" s="2">
        <v>-0.31336754250014803</v>
      </c>
      <c r="BA318" s="31"/>
      <c r="BB318" s="31">
        <v>1989.8333333343901</v>
      </c>
      <c r="BC318" s="2">
        <v>-0.25706831820813597</v>
      </c>
      <c r="BD318" s="2">
        <v>-4.0971152421897278E-2</v>
      </c>
      <c r="BE318" s="2">
        <v>-6.9593057480025325E-2</v>
      </c>
      <c r="BG318" s="2">
        <f t="shared" si="45"/>
        <v>-0.44545360001018136</v>
      </c>
      <c r="BH318" s="2">
        <f t="shared" si="39"/>
        <v>-0.17261603216214372</v>
      </c>
      <c r="BI318" s="2">
        <f t="shared" si="40"/>
        <v>-0.4297543101831891</v>
      </c>
    </row>
    <row r="319" spans="1:61" x14ac:dyDescent="0.3">
      <c r="A319" s="31">
        <v>1989.75000000106</v>
      </c>
      <c r="B319">
        <v>0.74497289407188416</v>
      </c>
      <c r="C319">
        <v>1.5200000000000102E-2</v>
      </c>
      <c r="D319">
        <v>1.1323587989892716E-2</v>
      </c>
      <c r="F319" s="31">
        <v>1989.75000000106</v>
      </c>
      <c r="G319" s="2">
        <v>0.62888090059583379</v>
      </c>
      <c r="H319" s="2">
        <v>6.1499999999999846E-2</v>
      </c>
      <c r="I319" s="2">
        <v>3.8676175386643689E-2</v>
      </c>
      <c r="K319" s="31">
        <v>1989.75000000106</v>
      </c>
      <c r="L319" s="2">
        <v>0.72178093621402795</v>
      </c>
      <c r="M319" s="2">
        <v>6.1514999999999952E-2</v>
      </c>
      <c r="N319" s="2">
        <v>4.4399421421858473E-2</v>
      </c>
      <c r="P319" s="31">
        <v>1989.75000000106</v>
      </c>
      <c r="Q319" s="2">
        <v>0.73336952420187451</v>
      </c>
      <c r="R319" s="2">
        <v>7.1900000000000297E-2</v>
      </c>
      <c r="S319" s="2">
        <v>4.2780199063851596E-2</v>
      </c>
      <c r="U319" s="2">
        <f t="shared" si="41"/>
        <v>0.69467712033724549</v>
      </c>
      <c r="V319" s="2">
        <f t="shared" si="42"/>
        <v>6.4971666666666705E-2</v>
      </c>
      <c r="W319" s="2">
        <f t="shared" si="43"/>
        <v>4.1951931957451255E-2</v>
      </c>
      <c r="Y319" s="31">
        <v>1989.75000000106</v>
      </c>
      <c r="Z319" s="2">
        <v>-0.60761021909837409</v>
      </c>
      <c r="AA319" s="2">
        <v>-0.78876452892998183</v>
      </c>
      <c r="AB319" s="2">
        <v>-0.84008342934569158</v>
      </c>
      <c r="AD319" s="31">
        <v>1989.75000000106</v>
      </c>
      <c r="AE319" s="2">
        <v>-0.52058007840179266</v>
      </c>
      <c r="AF319" s="2">
        <v>-0.68622224125583742</v>
      </c>
      <c r="AG319" s="2">
        <v>-0.59647464480114065</v>
      </c>
      <c r="AH319" s="31"/>
      <c r="AI319" s="31">
        <v>1989.75000000106</v>
      </c>
      <c r="AJ319" s="2">
        <v>-0.22544948843971946</v>
      </c>
      <c r="AK319" s="2">
        <v>-0.61478205611361436</v>
      </c>
      <c r="AL319" s="2">
        <v>-0.17130694707085001</v>
      </c>
      <c r="AM319" s="31"/>
      <c r="AN319" s="2">
        <f t="shared" si="44"/>
        <v>-0.45121326197996209</v>
      </c>
      <c r="AO319" s="2">
        <f t="shared" si="37"/>
        <v>-0.69658960876647791</v>
      </c>
      <c r="AP319" s="2">
        <f t="shared" si="38"/>
        <v>-0.53595500707256072</v>
      </c>
      <c r="AQ319" s="31"/>
      <c r="AR319" s="31">
        <v>1989.75000000106</v>
      </c>
      <c r="AS319" s="2">
        <v>-0.81706825161866592</v>
      </c>
      <c r="AT319" s="2">
        <v>-0.6766476141944503</v>
      </c>
      <c r="AU319" s="2">
        <v>-0.88079253957371295</v>
      </c>
      <c r="AV319" s="31"/>
      <c r="AW319" s="31">
        <v>1989.75000000106</v>
      </c>
      <c r="AX319" s="2">
        <v>-0.52558485124089771</v>
      </c>
      <c r="AY319" s="2">
        <v>-0.6564669997761764</v>
      </c>
      <c r="AZ319" s="2">
        <v>-0.76828260617766952</v>
      </c>
      <c r="BA319" s="31"/>
      <c r="BB319" s="31">
        <v>1989.75000000106</v>
      </c>
      <c r="BC319" s="2">
        <v>-0.27486547141058715</v>
      </c>
      <c r="BD319" s="2">
        <v>-0.59144451954684485</v>
      </c>
      <c r="BE319" s="2">
        <v>-0.37808369939879033</v>
      </c>
      <c r="BG319" s="2">
        <f t="shared" si="45"/>
        <v>-0.53917285809005022</v>
      </c>
      <c r="BH319" s="2">
        <f t="shared" si="39"/>
        <v>-0.64151971117249051</v>
      </c>
      <c r="BI319" s="2">
        <f t="shared" si="40"/>
        <v>-0.67571961505005762</v>
      </c>
    </row>
    <row r="320" spans="1:61" x14ac:dyDescent="0.3">
      <c r="A320" s="31">
        <v>1989.6666666677299</v>
      </c>
      <c r="B320">
        <v>0.77464696732636606</v>
      </c>
      <c r="C320">
        <v>3.0400000000000205E-2</v>
      </c>
      <c r="D320">
        <v>2.3549267806721688E-2</v>
      </c>
      <c r="F320" s="31">
        <v>1989.6666666677299</v>
      </c>
      <c r="G320" s="2"/>
      <c r="H320" s="2"/>
      <c r="I320" s="2"/>
      <c r="K320" s="31">
        <v>1989.6666666677299</v>
      </c>
      <c r="L320" s="2">
        <v>0.73488940161117944</v>
      </c>
      <c r="M320" s="2">
        <v>6.1514999999999952E-2</v>
      </c>
      <c r="N320" s="2">
        <v>4.5205941049237822E-2</v>
      </c>
      <c r="P320" s="31">
        <v>1989.6666666677299</v>
      </c>
      <c r="Q320" s="2">
        <v>0.70174482474166666</v>
      </c>
      <c r="R320" s="2">
        <v>7.1900000000000297E-2</v>
      </c>
      <c r="S320" s="2">
        <v>4.5672440582433298E-2</v>
      </c>
      <c r="U320" s="2">
        <f t="shared" si="41"/>
        <v>0.71831711317642299</v>
      </c>
      <c r="V320" s="2">
        <f t="shared" si="42"/>
        <v>6.6707500000000128E-2</v>
      </c>
      <c r="W320" s="2">
        <f t="shared" si="43"/>
        <v>4.5439190815835556E-2</v>
      </c>
      <c r="Y320" s="31">
        <v>1989.6666666677299</v>
      </c>
      <c r="Z320" s="2"/>
      <c r="AA320" s="2"/>
      <c r="AB320" s="2"/>
      <c r="AD320" s="31">
        <v>1989.6666666677299</v>
      </c>
      <c r="AE320" s="2">
        <v>-0.44257479037061942</v>
      </c>
      <c r="AF320" s="2">
        <v>-0.68622224125583742</v>
      </c>
      <c r="AG320" s="2">
        <v>-0.56580688886227282</v>
      </c>
      <c r="AH320" s="31"/>
      <c r="AI320" s="31">
        <v>1989.6666666677299</v>
      </c>
      <c r="AJ320" s="2">
        <v>9.7733942336822019E-2</v>
      </c>
      <c r="AK320" s="2">
        <v>-0.61478205611361436</v>
      </c>
      <c r="AL320" s="2">
        <v>6.2437836244279406E-2</v>
      </c>
      <c r="AM320" s="31"/>
      <c r="AN320" s="2">
        <f t="shared" si="44"/>
        <v>-0.17242042401689869</v>
      </c>
      <c r="AO320" s="2">
        <f t="shared" si="37"/>
        <v>-0.65050214868472589</v>
      </c>
      <c r="AP320" s="2">
        <f t="shared" si="38"/>
        <v>-0.25168452630899668</v>
      </c>
      <c r="AQ320" s="31"/>
      <c r="AR320" s="31">
        <v>1989.6666666677299</v>
      </c>
      <c r="AS320" s="2"/>
      <c r="AT320" s="2"/>
      <c r="AU320" s="2"/>
      <c r="AV320" s="31"/>
      <c r="AW320" s="31">
        <v>1989.6666666677299</v>
      </c>
      <c r="AX320" s="2">
        <v>-0.35731431484610976</v>
      </c>
      <c r="AY320" s="2">
        <v>-0.23837245449551037</v>
      </c>
      <c r="AZ320" s="2">
        <v>-0.37351592108553866</v>
      </c>
      <c r="BA320" s="31"/>
      <c r="BB320" s="31">
        <v>1989.6666666677299</v>
      </c>
      <c r="BC320" s="2">
        <v>-0.17995734670392688</v>
      </c>
      <c r="BD320" s="2">
        <v>7.7097786990586777E-4</v>
      </c>
      <c r="BE320" s="2">
        <v>0.13429158697149762</v>
      </c>
      <c r="BG320" s="2">
        <f t="shared" si="45"/>
        <v>-0.26863583077501829</v>
      </c>
      <c r="BH320" s="2">
        <f t="shared" si="39"/>
        <v>-0.11880073831280225</v>
      </c>
      <c r="BI320" s="2">
        <f t="shared" si="40"/>
        <v>-0.11961216705702052</v>
      </c>
    </row>
    <row r="321" spans="1:61" x14ac:dyDescent="0.3">
      <c r="A321" s="31">
        <v>1989.5833333344001</v>
      </c>
      <c r="B321">
        <v>0.80097428643014845</v>
      </c>
      <c r="C321">
        <v>1.5200000000000102E-2</v>
      </c>
      <c r="D321">
        <v>1.2174809153738338E-2</v>
      </c>
      <c r="F321" s="31">
        <v>1989.5833333344001</v>
      </c>
      <c r="G321" s="2">
        <v>0.67617982892178197</v>
      </c>
      <c r="H321" s="2">
        <v>6.1499999999999846E-2</v>
      </c>
      <c r="I321" s="2">
        <v>4.1585059478689498E-2</v>
      </c>
      <c r="K321" s="31">
        <v>1989.5833333344001</v>
      </c>
      <c r="L321" s="2">
        <v>0.73191143116476354</v>
      </c>
      <c r="M321" s="2">
        <v>6.1514999999999952E-2</v>
      </c>
      <c r="N321" s="2">
        <v>4.5022662112665882E-2</v>
      </c>
      <c r="P321" s="31">
        <v>1989.5833333344001</v>
      </c>
      <c r="Q321" s="2">
        <v>0.58195250025083956</v>
      </c>
      <c r="R321" s="2">
        <v>7.1900000000000297E-2</v>
      </c>
      <c r="S321" s="2">
        <v>4.9287767795666848E-2</v>
      </c>
      <c r="U321" s="2">
        <f t="shared" si="41"/>
        <v>0.66334792011246169</v>
      </c>
      <c r="V321" s="2">
        <f t="shared" si="42"/>
        <v>6.4971666666666705E-2</v>
      </c>
      <c r="W321" s="2">
        <f t="shared" si="43"/>
        <v>4.5298496462340743E-2</v>
      </c>
      <c r="Y321" s="31">
        <v>1989.5833333344001</v>
      </c>
      <c r="Z321" s="2">
        <v>-0.33336742882298459</v>
      </c>
      <c r="AA321" s="2">
        <v>-0.78876452892998183</v>
      </c>
      <c r="AB321" s="2">
        <v>-0.77313767547780776</v>
      </c>
      <c r="AD321" s="31">
        <v>1989.5833333344001</v>
      </c>
      <c r="AE321" s="2">
        <v>-0.46029596789849947</v>
      </c>
      <c r="AF321" s="2">
        <v>-0.68622224125583742</v>
      </c>
      <c r="AG321" s="2">
        <v>-0.57277603568116331</v>
      </c>
      <c r="AH321" s="31"/>
      <c r="AI321" s="31">
        <v>1989.5833333344001</v>
      </c>
      <c r="AJ321" s="2">
        <v>0.49193207468228883</v>
      </c>
      <c r="AK321" s="2">
        <v>-0.61478205611361436</v>
      </c>
      <c r="AL321" s="2">
        <v>0.35462086129295151</v>
      </c>
      <c r="AM321" s="31"/>
      <c r="AN321" s="2">
        <f t="shared" si="44"/>
        <v>-0.10057710734639841</v>
      </c>
      <c r="AO321" s="2">
        <f t="shared" si="37"/>
        <v>-0.69658960876647791</v>
      </c>
      <c r="AP321" s="2">
        <f t="shared" si="38"/>
        <v>-0.33043094995533989</v>
      </c>
      <c r="AQ321" s="31"/>
      <c r="AR321" s="31">
        <v>1989.5833333344001</v>
      </c>
      <c r="AS321" s="2">
        <v>-0.83161845934225231</v>
      </c>
      <c r="AT321" s="2">
        <v>-0.65870957567408583</v>
      </c>
      <c r="AU321" s="2">
        <v>-0.85722570618870686</v>
      </c>
      <c r="AV321" s="31"/>
      <c r="AW321" s="31">
        <v>1989.5833333344001</v>
      </c>
      <c r="AX321" s="2">
        <v>-0.75593251096527148</v>
      </c>
      <c r="AY321" s="2">
        <v>-0.53553372549108424</v>
      </c>
      <c r="AZ321" s="2">
        <v>-0.87056654002787193</v>
      </c>
      <c r="BA321" s="31"/>
      <c r="BB321" s="31">
        <v>1989.5833333344001</v>
      </c>
      <c r="BC321" s="2">
        <v>-8.9229765895071297E-2</v>
      </c>
      <c r="BD321" s="2">
        <v>-0.51613739712758211</v>
      </c>
      <c r="BE321" s="2">
        <v>-0.32953369891909295</v>
      </c>
      <c r="BG321" s="2">
        <f t="shared" si="45"/>
        <v>-0.55892691206753164</v>
      </c>
      <c r="BH321" s="2">
        <f t="shared" si="39"/>
        <v>-0.57012689943091743</v>
      </c>
      <c r="BI321" s="2">
        <f t="shared" si="40"/>
        <v>-0.68577531504522382</v>
      </c>
    </row>
    <row r="322" spans="1:61" x14ac:dyDescent="0.3">
      <c r="A322" s="31">
        <v>1989.50000000107</v>
      </c>
      <c r="B322">
        <v>0.80931591367705524</v>
      </c>
      <c r="C322">
        <v>1.5200000000000102E-2</v>
      </c>
      <c r="D322">
        <v>1.2301601887891322E-2</v>
      </c>
      <c r="F322" s="31">
        <v>1989.50000000107</v>
      </c>
      <c r="G322" s="2"/>
      <c r="H322" s="2"/>
      <c r="I322" s="2"/>
      <c r="K322" s="31">
        <v>1989.50000000107</v>
      </c>
      <c r="L322" s="2">
        <v>0.72897833722140026</v>
      </c>
      <c r="M322" s="2">
        <v>6.1514999999999952E-2</v>
      </c>
      <c r="N322" s="2">
        <v>4.4842147707435137E-2</v>
      </c>
      <c r="P322" s="31">
        <v>1989.50000000107</v>
      </c>
      <c r="Q322" s="2"/>
      <c r="R322" s="2">
        <v>7.1900000000000297E-2</v>
      </c>
      <c r="S322" s="2">
        <v>5.2891101680412445E-2</v>
      </c>
      <c r="U322" s="2">
        <f t="shared" si="41"/>
        <v>0.72897833722140026</v>
      </c>
      <c r="V322" s="2">
        <f t="shared" si="42"/>
        <v>6.6707500000000128E-2</v>
      </c>
      <c r="W322" s="2">
        <f t="shared" si="43"/>
        <v>4.8866624693923791E-2</v>
      </c>
      <c r="Y322" s="31">
        <v>1989.50000000107</v>
      </c>
      <c r="Z322" s="2"/>
      <c r="AA322" s="2"/>
      <c r="AB322" s="2"/>
      <c r="AD322" s="31">
        <v>1989.50000000107</v>
      </c>
      <c r="AE322" s="2">
        <v>-0.47775009627604853</v>
      </c>
      <c r="AF322" s="2">
        <v>-0.68622224125583742</v>
      </c>
      <c r="AG322" s="2">
        <v>-0.57964006171987803</v>
      </c>
      <c r="AH322" s="31"/>
      <c r="AI322" s="31">
        <v>1989.50000000107</v>
      </c>
      <c r="AJ322" s="2">
        <v>0.86866539127371412</v>
      </c>
      <c r="AK322" s="2">
        <v>-0.61478205611361436</v>
      </c>
      <c r="AL322" s="2">
        <v>0.64583461114429552</v>
      </c>
      <c r="AM322" s="31"/>
      <c r="AN322" s="2">
        <f t="shared" si="44"/>
        <v>0.19545764749883279</v>
      </c>
      <c r="AO322" s="2">
        <f t="shared" si="37"/>
        <v>-0.65050214868472589</v>
      </c>
      <c r="AP322" s="2">
        <f t="shared" si="38"/>
        <v>3.3097274712208746E-2</v>
      </c>
      <c r="AQ322" s="31"/>
      <c r="AR322" s="31">
        <v>1989.50000000107</v>
      </c>
      <c r="AS322" s="2"/>
      <c r="AT322" s="2"/>
      <c r="AU322" s="2"/>
      <c r="AV322" s="31"/>
      <c r="AW322" s="31">
        <v>1989.50000000107</v>
      </c>
      <c r="AX322" s="2">
        <v>-0.4000833552329181</v>
      </c>
      <c r="AY322" s="2">
        <v>-0.10780241638246968</v>
      </c>
      <c r="AZ322" s="2">
        <v>-0.39997464321569198</v>
      </c>
      <c r="BA322" s="31"/>
      <c r="BB322" s="31">
        <v>1989.50000000107</v>
      </c>
      <c r="BC322" s="2">
        <v>1.8632274595875846E-3</v>
      </c>
      <c r="BD322" s="2">
        <v>0.42912570693538887</v>
      </c>
      <c r="BE322" s="2">
        <v>0.51836913458307288</v>
      </c>
      <c r="BG322" s="2">
        <f t="shared" si="45"/>
        <v>-0.19911006388666527</v>
      </c>
      <c r="BH322" s="2">
        <f t="shared" si="39"/>
        <v>0.1606616452764596</v>
      </c>
      <c r="BI322" s="2">
        <f t="shared" si="40"/>
        <v>5.9197245683690447E-2</v>
      </c>
    </row>
    <row r="323" spans="1:61" x14ac:dyDescent="0.3">
      <c r="A323" s="31">
        <v>1989.4166666677399</v>
      </c>
      <c r="B323">
        <v>0.77412060721805176</v>
      </c>
      <c r="C323">
        <v>0.12160000000000082</v>
      </c>
      <c r="D323">
        <v>9.4133065837715732E-2</v>
      </c>
      <c r="F323" s="31">
        <v>1989.4166666677399</v>
      </c>
      <c r="G323" s="2">
        <v>0.6829085446680998</v>
      </c>
      <c r="H323" s="2">
        <v>0.12299999999999964</v>
      </c>
      <c r="I323" s="2">
        <v>7.517213829279927E-2</v>
      </c>
      <c r="K323" s="31">
        <v>1989.4166666677399</v>
      </c>
      <c r="L323" s="2">
        <v>0.72076257598266313</v>
      </c>
      <c r="M323" s="2">
        <v>0.1230299999999999</v>
      </c>
      <c r="N323" s="2">
        <v>6.4403539070598814E-2</v>
      </c>
      <c r="P323" s="31">
        <v>1989.4166666677399</v>
      </c>
      <c r="Q323" s="2">
        <v>0.55778609155991932</v>
      </c>
      <c r="R323" s="2">
        <v>9.5850000000000463E-2</v>
      </c>
      <c r="S323" s="2">
        <v>4.8184241561951821E-2</v>
      </c>
      <c r="U323" s="2">
        <f t="shared" si="41"/>
        <v>0.65381907073689405</v>
      </c>
      <c r="V323" s="2">
        <f t="shared" si="42"/>
        <v>0.11395999999999999</v>
      </c>
      <c r="W323" s="2">
        <f t="shared" si="43"/>
        <v>6.2586639641783307E-2</v>
      </c>
      <c r="Y323" s="31">
        <v>1989.4166666677399</v>
      </c>
      <c r="Z323" s="2">
        <v>-0.29435382224560636</v>
      </c>
      <c r="AA323" s="2">
        <v>0.41216179278103116</v>
      </c>
      <c r="AB323" s="2">
        <v>-1.5661460327906791E-4</v>
      </c>
      <c r="AD323" s="31">
        <v>1989.4166666677399</v>
      </c>
      <c r="AE323" s="2">
        <v>-0.52664009235158471</v>
      </c>
      <c r="AF323" s="2">
        <v>0.82033858713866403</v>
      </c>
      <c r="AG323" s="2">
        <v>0.16417813660403432</v>
      </c>
      <c r="AH323" s="31"/>
      <c r="AI323" s="31">
        <v>1989.4166666677399</v>
      </c>
      <c r="AJ323" s="2">
        <v>0.18884603965168056</v>
      </c>
      <c r="AK323" s="2">
        <v>-4.4052846898962821E-2</v>
      </c>
      <c r="AL323" s="2">
        <v>0.26543622760137442</v>
      </c>
      <c r="AM323" s="31"/>
      <c r="AN323" s="2">
        <f t="shared" si="44"/>
        <v>-0.21071595831517018</v>
      </c>
      <c r="AO323" s="2">
        <f t="shared" si="37"/>
        <v>0.39614917767357749</v>
      </c>
      <c r="AP323" s="2">
        <f t="shared" si="38"/>
        <v>0.14315258320070989</v>
      </c>
      <c r="AQ323" s="31"/>
      <c r="AR323" s="31">
        <v>1989.4166666677399</v>
      </c>
      <c r="AS323" s="2">
        <v>-0.87869849380181109</v>
      </c>
      <c r="AT323" s="2">
        <v>-1.0250935790978124</v>
      </c>
      <c r="AU323" s="2">
        <v>-1.361220141831694</v>
      </c>
      <c r="AV323" s="31"/>
      <c r="AW323" s="31">
        <v>1989.4166666677399</v>
      </c>
      <c r="AX323" s="2">
        <v>-0.94923437482520856</v>
      </c>
      <c r="AY323" s="2">
        <v>-0.38552664826294392</v>
      </c>
      <c r="AZ323" s="2">
        <v>-0.64729161585581529</v>
      </c>
      <c r="BA323" s="31"/>
      <c r="BB323" s="31">
        <v>1989.4166666677399</v>
      </c>
      <c r="BC323" s="2">
        <v>-0.54863962408640055</v>
      </c>
      <c r="BD323" s="2">
        <v>-1.4743235720587309</v>
      </c>
      <c r="BE323" s="2">
        <v>-0.67221600405063753</v>
      </c>
      <c r="BG323" s="2">
        <f t="shared" si="45"/>
        <v>-0.7921908309044734</v>
      </c>
      <c r="BH323" s="2">
        <f t="shared" si="39"/>
        <v>-0.9616479331398291</v>
      </c>
      <c r="BI323" s="2">
        <f t="shared" si="40"/>
        <v>-0.89357592057938229</v>
      </c>
    </row>
    <row r="324" spans="1:61" x14ac:dyDescent="0.3">
      <c r="A324" s="31">
        <v>1989.3333333344101</v>
      </c>
      <c r="B324">
        <v>0.60579710618145133</v>
      </c>
      <c r="C324">
        <v>0.13680000000000092</v>
      </c>
      <c r="D324">
        <v>8.2873044125623102E-2</v>
      </c>
      <c r="F324" s="31">
        <v>1989.3333333344101</v>
      </c>
      <c r="G324" s="2">
        <v>0.58975999560261894</v>
      </c>
      <c r="H324" s="2">
        <v>0.12299999999999964</v>
      </c>
      <c r="I324" s="2">
        <v>6.3290031842058211E-2</v>
      </c>
      <c r="K324" s="31">
        <v>1989.3333333344101</v>
      </c>
      <c r="L324" s="2">
        <v>0.70703468170633355</v>
      </c>
      <c r="M324" s="2">
        <v>9.2264999999999903E-2</v>
      </c>
      <c r="N324" s="2">
        <v>4.3492207625062909E-2</v>
      </c>
      <c r="P324" s="31">
        <v>1989.3333333344101</v>
      </c>
      <c r="Q324" s="2">
        <v>0.55153071390532538</v>
      </c>
      <c r="R324" s="2">
        <v>7.1900000000000297E-2</v>
      </c>
      <c r="S324" s="2">
        <v>4.2178474029154013E-2</v>
      </c>
      <c r="U324" s="2">
        <f t="shared" si="41"/>
        <v>0.61610846373809258</v>
      </c>
      <c r="V324" s="2">
        <f t="shared" si="42"/>
        <v>9.5721666666666608E-2</v>
      </c>
      <c r="W324" s="2">
        <f t="shared" si="43"/>
        <v>4.9653571165425049E-2</v>
      </c>
      <c r="Y324" s="31">
        <v>1989.3333333344101</v>
      </c>
      <c r="Z324" s="2">
        <v>-0.83443620698343024</v>
      </c>
      <c r="AA324" s="2">
        <v>0.41216179278103116</v>
      </c>
      <c r="AB324" s="2">
        <v>-0.27361425289778529</v>
      </c>
      <c r="AD324" s="31">
        <v>1989.3333333344101</v>
      </c>
      <c r="AE324" s="2">
        <v>-0.6083314509235257</v>
      </c>
      <c r="AF324" s="2">
        <v>6.6874490811640125E-2</v>
      </c>
      <c r="AG324" s="2">
        <v>-0.63097127744342807</v>
      </c>
      <c r="AH324" s="31"/>
      <c r="AI324" s="31">
        <v>1989.3333333344101</v>
      </c>
      <c r="AJ324" s="2">
        <v>-0.55810906640354063</v>
      </c>
      <c r="AK324" s="2">
        <v>-0.61478205611361436</v>
      </c>
      <c r="AL324" s="2">
        <v>-0.21993707942564975</v>
      </c>
      <c r="AM324" s="31"/>
      <c r="AN324" s="2">
        <f t="shared" si="44"/>
        <v>-0.66695890810349878</v>
      </c>
      <c r="AO324" s="2">
        <f t="shared" si="37"/>
        <v>-4.5248590840314372E-2</v>
      </c>
      <c r="AP324" s="2">
        <f t="shared" si="38"/>
        <v>-0.37484086992228766</v>
      </c>
      <c r="AQ324" s="31"/>
      <c r="AR324" s="31">
        <v>1989.3333333344101</v>
      </c>
      <c r="AS324" s="2">
        <v>-1.0827338183524788</v>
      </c>
      <c r="AT324" s="2">
        <v>-0.62524988541030313</v>
      </c>
      <c r="AU324" s="2">
        <v>-1.2304942944609183</v>
      </c>
      <c r="AV324" s="31"/>
      <c r="AW324" s="31">
        <v>1989.3333333344101</v>
      </c>
      <c r="AX324" s="2">
        <v>-0.72744492706974895</v>
      </c>
      <c r="AY324" s="2">
        <v>-0.6035549277918324</v>
      </c>
      <c r="AZ324" s="2">
        <v>-0.81548320638251071</v>
      </c>
      <c r="BA324" s="31"/>
      <c r="BB324" s="31">
        <v>1989.3333333344101</v>
      </c>
      <c r="BC324" s="2">
        <v>-0.9032454459241257</v>
      </c>
      <c r="BD324" s="2">
        <v>-1.2946315076121118</v>
      </c>
      <c r="BE324" s="2">
        <v>-0.66952441216957936</v>
      </c>
      <c r="BG324" s="2">
        <f t="shared" si="45"/>
        <v>-0.90447473044878457</v>
      </c>
      <c r="BH324" s="2">
        <f t="shared" si="39"/>
        <v>-0.8411454402714158</v>
      </c>
      <c r="BI324" s="2">
        <f t="shared" si="40"/>
        <v>-0.90516730433766934</v>
      </c>
    </row>
    <row r="325" spans="1:61" x14ac:dyDescent="0.3">
      <c r="A325" s="31">
        <v>1989.25000000108</v>
      </c>
      <c r="B325">
        <v>0.56101165316395307</v>
      </c>
      <c r="C325">
        <v>0.12160000000000082</v>
      </c>
      <c r="D325">
        <v>6.821901702473715E-2</v>
      </c>
      <c r="F325" s="31">
        <v>1989.25000000108</v>
      </c>
      <c r="G325" s="2">
        <v>0.55256952772452672</v>
      </c>
      <c r="H325" s="2">
        <v>0.12299999999999964</v>
      </c>
      <c r="I325" s="2">
        <v>6.1166944018699168E-2</v>
      </c>
      <c r="K325" s="31">
        <v>1989.25000000108</v>
      </c>
      <c r="L325" s="2">
        <v>0.68442711491589048</v>
      </c>
      <c r="M325" s="2">
        <v>0.1230299999999999</v>
      </c>
      <c r="N325" s="2">
        <v>6.1305073362960906E-2</v>
      </c>
      <c r="P325" s="31">
        <v>1989.25000000108</v>
      </c>
      <c r="Q325" s="2">
        <v>0.52664277571572649</v>
      </c>
      <c r="R325" s="2">
        <v>9.5850000000000463E-2</v>
      </c>
      <c r="S325" s="2">
        <v>4.007492262179585E-2</v>
      </c>
      <c r="U325" s="2">
        <f t="shared" si="41"/>
        <v>0.5878798061187146</v>
      </c>
      <c r="V325" s="2">
        <f t="shared" si="42"/>
        <v>0.11395999999999999</v>
      </c>
      <c r="W325" s="2">
        <f t="shared" si="43"/>
        <v>5.418231333448531E-2</v>
      </c>
      <c r="Y325" s="31">
        <v>1989.25000000108</v>
      </c>
      <c r="Z325" s="2">
        <v>-1.0500693733894428</v>
      </c>
      <c r="AA325" s="2">
        <v>0.41216179278103116</v>
      </c>
      <c r="AB325" s="2">
        <v>-0.32247550359221744</v>
      </c>
      <c r="AD325" s="31">
        <v>1989.25000000108</v>
      </c>
      <c r="AE325" s="2">
        <v>-0.74286358002810515</v>
      </c>
      <c r="AF325" s="2">
        <v>0.82033858713866403</v>
      </c>
      <c r="AG325" s="2">
        <v>4.635956544842329E-2</v>
      </c>
      <c r="AH325" s="31"/>
      <c r="AI325" s="31">
        <v>1989.25000000108</v>
      </c>
      <c r="AJ325" s="2">
        <v>-0.73064174772919299</v>
      </c>
      <c r="AK325" s="2">
        <v>-4.4052846898962821E-2</v>
      </c>
      <c r="AL325" s="2">
        <v>-0.38994161215439865</v>
      </c>
      <c r="AM325" s="31"/>
      <c r="AN325" s="2">
        <f t="shared" si="44"/>
        <v>-0.84119156704891351</v>
      </c>
      <c r="AO325" s="2">
        <f t="shared" ref="AO325:AO388" si="46">AVERAGE(AK325,AF325,AA325)</f>
        <v>0.39614917767357749</v>
      </c>
      <c r="AP325" s="2">
        <f t="shared" ref="AP325:AP388" si="47">AVERAGE(AL325,AG325,AB325)</f>
        <v>-0.22201918343273094</v>
      </c>
      <c r="AQ325" s="31"/>
      <c r="AR325" s="31">
        <v>1989.25000000108</v>
      </c>
      <c r="AS325" s="2">
        <v>-1.0941859447269133</v>
      </c>
      <c r="AT325" s="2">
        <v>-0.74536446371894749</v>
      </c>
      <c r="AU325" s="2">
        <v>-1.2582181098443177</v>
      </c>
      <c r="AV325" s="31"/>
      <c r="AW325" s="31">
        <v>1989.25000000108</v>
      </c>
      <c r="AX325" s="2">
        <v>-0.69906322840949897</v>
      </c>
      <c r="AY325" s="2">
        <v>-0.13053036562694012</v>
      </c>
      <c r="AZ325" s="2">
        <v>-0.43127720740368852</v>
      </c>
      <c r="BA325" s="31"/>
      <c r="BB325" s="31">
        <v>1989.25000000108</v>
      </c>
      <c r="BC325" s="2">
        <v>-0.53078507734591041</v>
      </c>
      <c r="BD325" s="2">
        <v>-1.0548255298976554</v>
      </c>
      <c r="BE325" s="2">
        <v>-0.45285042249158242</v>
      </c>
      <c r="BG325" s="2">
        <f t="shared" si="45"/>
        <v>-0.77467808349410772</v>
      </c>
      <c r="BH325" s="2">
        <f t="shared" ref="BH325:BH388" si="48">AVERAGE(BD325,AY325,AT325)</f>
        <v>-0.64357345308118097</v>
      </c>
      <c r="BI325" s="2">
        <f t="shared" ref="BI325:BI388" si="49">AVERAGE(BE325,AZ325,AU325)</f>
        <v>-0.71411524657986281</v>
      </c>
    </row>
    <row r="326" spans="1:61" x14ac:dyDescent="0.3">
      <c r="A326" s="31">
        <v>1989.16666666775</v>
      </c>
      <c r="B326">
        <v>0.50449935251687406</v>
      </c>
      <c r="C326">
        <v>0.12160000000000082</v>
      </c>
      <c r="D326">
        <v>6.1347121266052296E-2</v>
      </c>
      <c r="F326" s="31">
        <v>1989.16666666775</v>
      </c>
      <c r="G326" s="2">
        <v>0.5188807603489769</v>
      </c>
      <c r="H326" s="2">
        <v>0.12299999999999964</v>
      </c>
      <c r="I326" s="2">
        <v>5.9201876534409975E-2</v>
      </c>
      <c r="K326" s="31">
        <v>1989.16666666775</v>
      </c>
      <c r="L326" s="2">
        <v>0.65426417709308471</v>
      </c>
      <c r="M326" s="2">
        <v>9.2264999999999903E-2</v>
      </c>
      <c r="N326" s="2">
        <v>4.0246534171167692E-2</v>
      </c>
      <c r="P326" s="31">
        <v>1989.16666666775</v>
      </c>
      <c r="Q326" s="2"/>
      <c r="R326" s="2">
        <v>4.7900000000000303E-2</v>
      </c>
      <c r="S326" s="2">
        <v>2.5226188956783458E-2</v>
      </c>
      <c r="U326" s="2">
        <f t="shared" ref="U326:U389" si="50">AVERAGE(Q326,L326,G326)</f>
        <v>0.58657246872103075</v>
      </c>
      <c r="V326" s="2">
        <f t="shared" ref="V326:V389" si="51">AVERAGE(R326,M326,H326)</f>
        <v>8.7721666666666628E-2</v>
      </c>
      <c r="W326" s="2">
        <f t="shared" ref="W326:W389" si="52">AVERAGE(S326,N326,I326)</f>
        <v>4.1558199887453705E-2</v>
      </c>
      <c r="Y326" s="31">
        <v>1989.16666666775</v>
      </c>
      <c r="Z326" s="2">
        <v>-1.2453994134770707</v>
      </c>
      <c r="AA326" s="2">
        <v>0.41216179278103116</v>
      </c>
      <c r="AB326" s="2">
        <v>-0.36770003642827326</v>
      </c>
      <c r="AD326" s="31">
        <v>1989.16666666775</v>
      </c>
      <c r="AE326" s="2">
        <v>-0.92235588377600364</v>
      </c>
      <c r="AF326" s="2">
        <v>6.6874490811640125E-2</v>
      </c>
      <c r="AG326" s="2">
        <v>-0.75438739524424503</v>
      </c>
      <c r="AH326" s="31"/>
      <c r="AI326" s="31">
        <v>1989.16666666775</v>
      </c>
      <c r="AJ326" s="2">
        <v>-0.9187464498035306</v>
      </c>
      <c r="AK326" s="2">
        <v>-1.186702766808877</v>
      </c>
      <c r="AL326" s="2">
        <v>-1.5899845583376784</v>
      </c>
      <c r="AM326" s="31"/>
      <c r="AN326" s="2">
        <f t="shared" ref="AN326:AN389" si="53">AVERAGE(AJ326,AE326,Z326)</f>
        <v>-1.0288339156855351</v>
      </c>
      <c r="AO326" s="2">
        <f t="shared" si="46"/>
        <v>-0.23588882773873524</v>
      </c>
      <c r="AP326" s="2">
        <f t="shared" si="47"/>
        <v>-0.90402399667006561</v>
      </c>
      <c r="AQ326" s="31"/>
      <c r="AR326" s="31">
        <v>1989.16666666775</v>
      </c>
      <c r="AS326" s="2">
        <v>-0.98217844340591731</v>
      </c>
      <c r="AT326" s="2">
        <v>-0.46657286796563346</v>
      </c>
      <c r="AU326" s="2">
        <v>-1.003778081637944</v>
      </c>
      <c r="AV326" s="31"/>
      <c r="AW326" s="31">
        <v>1989.16666666775</v>
      </c>
      <c r="AX326" s="2">
        <v>-0.72457058155945242</v>
      </c>
      <c r="AY326" s="2">
        <v>-0.48231704140909132</v>
      </c>
      <c r="AZ326" s="2">
        <v>-0.76220105650339476</v>
      </c>
      <c r="BA326" s="31"/>
      <c r="BB326" s="31">
        <v>1989.16666666775</v>
      </c>
      <c r="BC326" s="2">
        <v>-0.37583570745643075</v>
      </c>
      <c r="BD326" s="2">
        <v>-1.6639966171457974</v>
      </c>
      <c r="BE326" s="2">
        <v>-1.3228370385141164</v>
      </c>
      <c r="BG326" s="2">
        <f t="shared" ref="BG326:BG389" si="54">AVERAGE(BC326,AX326,AS326)</f>
        <v>-0.69419491080726681</v>
      </c>
      <c r="BH326" s="2">
        <f t="shared" si="48"/>
        <v>-0.87096217550684063</v>
      </c>
      <c r="BI326" s="2">
        <f t="shared" si="49"/>
        <v>-1.0296053922184851</v>
      </c>
    </row>
    <row r="327" spans="1:61" x14ac:dyDescent="0.3">
      <c r="A327" s="31">
        <v>1989.0833333344201</v>
      </c>
      <c r="B327">
        <v>0.46860897085388031</v>
      </c>
      <c r="C327">
        <v>9.1200000000000614E-2</v>
      </c>
      <c r="D327">
        <v>4.2737138141874173E-2</v>
      </c>
      <c r="F327" s="31">
        <v>1989.0833333344201</v>
      </c>
      <c r="G327" s="2">
        <v>0.49417218220905901</v>
      </c>
      <c r="H327" s="2">
        <v>6.1499999999999846E-2</v>
      </c>
      <c r="I327" s="2">
        <v>3.0391589205857057E-2</v>
      </c>
      <c r="K327" s="31">
        <v>1989.0833333344201</v>
      </c>
      <c r="L327" s="2">
        <v>0.65462298775049466</v>
      </c>
      <c r="M327" s="2">
        <v>0.1230299999999999</v>
      </c>
      <c r="N327" s="2">
        <v>6.0020492239965417E-2</v>
      </c>
      <c r="P327" s="31">
        <v>1989.0833333344201</v>
      </c>
      <c r="Q327" s="2">
        <v>0.53027623317612993</v>
      </c>
      <c r="R327" s="2">
        <v>7.1900000000000297E-2</v>
      </c>
      <c r="S327" s="2">
        <v>3.836520352487291E-2</v>
      </c>
      <c r="U327" s="2">
        <f t="shared" si="50"/>
        <v>0.55969046771189457</v>
      </c>
      <c r="V327" s="2">
        <f t="shared" si="51"/>
        <v>8.5476666666666687E-2</v>
      </c>
      <c r="W327" s="2">
        <f t="shared" si="52"/>
        <v>4.2925761656898459E-2</v>
      </c>
      <c r="Y327" s="31">
        <v>1989.0833333344201</v>
      </c>
      <c r="Z327" s="2">
        <v>-1.3886616321500291</v>
      </c>
      <c r="AA327" s="2">
        <v>-0.78876452892998183</v>
      </c>
      <c r="AB327" s="2">
        <v>-1.0307468761543106</v>
      </c>
      <c r="AD327" s="31">
        <v>1989.0833333344201</v>
      </c>
      <c r="AE327" s="2">
        <v>-0.9202206888594423</v>
      </c>
      <c r="AF327" s="2">
        <v>0.82033858713866403</v>
      </c>
      <c r="AG327" s="2">
        <v>-2.4863882349490376E-3</v>
      </c>
      <c r="AH327" s="31"/>
      <c r="AI327" s="31">
        <v>1989.0833333344201</v>
      </c>
      <c r="AJ327" s="2">
        <v>-0.89899717856616757</v>
      </c>
      <c r="AK327" s="2">
        <v>-0.61478205611361436</v>
      </c>
      <c r="AL327" s="2">
        <v>-0.52811745856018777</v>
      </c>
      <c r="AM327" s="31"/>
      <c r="AN327" s="2">
        <f t="shared" si="53"/>
        <v>-1.069293166525213</v>
      </c>
      <c r="AO327" s="2">
        <f t="shared" si="46"/>
        <v>-0.19440266596831071</v>
      </c>
      <c r="AP327" s="2">
        <f t="shared" si="47"/>
        <v>-0.52045024098314918</v>
      </c>
      <c r="AQ327" s="31"/>
      <c r="AR327" s="31">
        <v>1989.0833333344201</v>
      </c>
      <c r="AS327" s="2">
        <v>-1.1664866226687387</v>
      </c>
      <c r="AT327" s="2">
        <v>-0.93050162247170598</v>
      </c>
      <c r="AU327" s="2">
        <v>-1.2753958292501704</v>
      </c>
      <c r="AV327" s="31"/>
      <c r="AW327" s="31">
        <v>1989.0833333344201</v>
      </c>
      <c r="AX327" s="2">
        <v>-0.65820263839004733</v>
      </c>
      <c r="AY327" s="2">
        <v>1.9921056283099188</v>
      </c>
      <c r="AZ327" s="2">
        <v>0.49285501130228648</v>
      </c>
      <c r="BA327" s="31"/>
      <c r="BB327" s="31">
        <v>1989.0833333344201</v>
      </c>
      <c r="BC327" s="2">
        <v>-0.24179697519103149</v>
      </c>
      <c r="BD327" s="2">
        <v>-0.95760573293009554</v>
      </c>
      <c r="BE327" s="2">
        <v>-0.1949956013571974</v>
      </c>
      <c r="BG327" s="2">
        <f t="shared" si="54"/>
        <v>-0.68882874541660577</v>
      </c>
      <c r="BH327" s="2">
        <f t="shared" si="48"/>
        <v>3.4666090969372419E-2</v>
      </c>
      <c r="BI327" s="2">
        <f t="shared" si="49"/>
        <v>-0.32584547310169376</v>
      </c>
    </row>
    <row r="328" spans="1:61" x14ac:dyDescent="0.3">
      <c r="A328" s="31">
        <v>1989.00000000109</v>
      </c>
      <c r="B328">
        <v>0.48912376101328314</v>
      </c>
      <c r="C328">
        <v>0.10640000000000072</v>
      </c>
      <c r="D328">
        <v>5.2042768171813678E-2</v>
      </c>
      <c r="F328" s="31">
        <v>1989.00000000109</v>
      </c>
      <c r="G328" s="2">
        <v>0.44375037850383681</v>
      </c>
      <c r="H328" s="2">
        <v>6.1499999999999798E-2</v>
      </c>
      <c r="I328" s="2">
        <v>2.7290648277985875E-2</v>
      </c>
      <c r="K328" s="31">
        <v>1989.00000000109</v>
      </c>
      <c r="L328" s="2">
        <v>0.67911563988087131</v>
      </c>
      <c r="M328" s="2">
        <v>9.2279999999999945E-2</v>
      </c>
      <c r="N328" s="2">
        <v>6.2505004181536358E-2</v>
      </c>
      <c r="P328" s="31">
        <v>1989.00000000109</v>
      </c>
      <c r="Q328" s="2">
        <v>0.5406474830781054</v>
      </c>
      <c r="R328" s="2">
        <v>4.7900000000000303E-2</v>
      </c>
      <c r="S328" s="2">
        <v>2.4924660607203542E-2</v>
      </c>
      <c r="U328" s="2">
        <f t="shared" si="50"/>
        <v>0.55450450048760447</v>
      </c>
      <c r="V328" s="2">
        <f t="shared" si="51"/>
        <v>6.7226666666666685E-2</v>
      </c>
      <c r="W328" s="2">
        <f t="shared" si="52"/>
        <v>3.8240104355575254E-2</v>
      </c>
      <c r="Y328" s="31">
        <v>1989.00000000109</v>
      </c>
      <c r="Z328" s="2">
        <v>-1.6810110918153167</v>
      </c>
      <c r="AA328" s="2">
        <v>-0.78876452892998272</v>
      </c>
      <c r="AB328" s="2">
        <v>-1.1021126719533831</v>
      </c>
      <c r="AD328" s="31">
        <v>1989.00000000109</v>
      </c>
      <c r="AE328" s="2">
        <v>-0.7744708755752322</v>
      </c>
      <c r="AF328" s="2">
        <v>6.7241855071186282E-2</v>
      </c>
      <c r="AG328" s="2">
        <v>9.1986707353414077E-2</v>
      </c>
      <c r="AH328" s="31"/>
      <c r="AI328" s="31">
        <v>1989.00000000109</v>
      </c>
      <c r="AJ328" s="2">
        <v>-0.9597916033845425</v>
      </c>
      <c r="AK328" s="2">
        <v>-1.186702766808877</v>
      </c>
      <c r="AL328" s="2">
        <v>-1.6143534356541511</v>
      </c>
      <c r="AM328" s="31"/>
      <c r="AN328" s="2">
        <f t="shared" si="53"/>
        <v>-1.138424523591697</v>
      </c>
      <c r="AO328" s="2">
        <f t="shared" si="46"/>
        <v>-0.63607514688922451</v>
      </c>
      <c r="AP328" s="2">
        <f t="shared" si="47"/>
        <v>-0.87482646675137332</v>
      </c>
      <c r="AQ328" s="31"/>
      <c r="AR328" s="31">
        <v>1989.00000000109</v>
      </c>
      <c r="AS328" s="2">
        <v>-0.95211658302031466</v>
      </c>
      <c r="AT328" s="2">
        <v>-0.29853293598826797</v>
      </c>
      <c r="AU328" s="2">
        <v>-1.0796037341594906</v>
      </c>
      <c r="AV328" s="31"/>
      <c r="AW328" s="31">
        <v>1989.00000000109</v>
      </c>
      <c r="AX328" s="2">
        <v>-0.3495521972101478</v>
      </c>
      <c r="AY328" s="2">
        <v>1.4899203771942273</v>
      </c>
      <c r="AZ328" s="2">
        <v>1.0623289021798534</v>
      </c>
      <c r="BA328" s="31"/>
      <c r="BB328" s="31">
        <v>1989.00000000109</v>
      </c>
      <c r="BC328" s="2">
        <v>-0.33458068585460121</v>
      </c>
      <c r="BD328" s="2">
        <v>-0.94501805984887022</v>
      </c>
      <c r="BE328" s="2">
        <v>-0.94328014497684798</v>
      </c>
      <c r="BG328" s="2">
        <f t="shared" si="54"/>
        <v>-0.54541648869502124</v>
      </c>
      <c r="BH328" s="2">
        <f t="shared" si="48"/>
        <v>8.2123127119029707E-2</v>
      </c>
      <c r="BI328" s="2">
        <f t="shared" si="49"/>
        <v>-0.32018499231882841</v>
      </c>
    </row>
    <row r="329" spans="1:61" x14ac:dyDescent="0.3">
      <c r="A329" s="31">
        <v>1988.91666666776</v>
      </c>
      <c r="B329">
        <v>0.53328066575773148</v>
      </c>
      <c r="C329">
        <v>9.1200000000000614E-2</v>
      </c>
      <c r="D329">
        <v>4.8635196717105436E-2</v>
      </c>
      <c r="F329" s="31">
        <v>1988.91666666776</v>
      </c>
      <c r="G329" s="2">
        <v>0.51471755077701875</v>
      </c>
      <c r="H329" s="2">
        <v>6.1499999999999846E-2</v>
      </c>
      <c r="I329" s="2">
        <v>3.1655129372786583E-2</v>
      </c>
      <c r="K329" s="31">
        <v>1988.91666666776</v>
      </c>
      <c r="L329" s="2">
        <v>0.70297340137940445</v>
      </c>
      <c r="M329" s="2">
        <v>9.2264999999999903E-2</v>
      </c>
      <c r="N329" s="2">
        <v>4.3243344992212017E-2</v>
      </c>
      <c r="P329" s="31">
        <v>1988.91666666776</v>
      </c>
      <c r="Q329" s="2">
        <v>0.57653994300546629</v>
      </c>
      <c r="R329" s="2">
        <v>7.1900000000000297E-2</v>
      </c>
      <c r="S329" s="2">
        <v>3.8997422662555931E-2</v>
      </c>
      <c r="U329" s="2">
        <f t="shared" si="50"/>
        <v>0.59807696505396313</v>
      </c>
      <c r="V329" s="2">
        <f t="shared" si="51"/>
        <v>7.5221666666666687E-2</v>
      </c>
      <c r="W329" s="2">
        <f t="shared" si="52"/>
        <v>3.7965299009184848E-2</v>
      </c>
      <c r="Y329" s="31">
        <v>1988.91666666776</v>
      </c>
      <c r="Z329" s="2">
        <v>-1.269538019782209</v>
      </c>
      <c r="AA329" s="2">
        <v>-0.78876452892998183</v>
      </c>
      <c r="AB329" s="2">
        <v>-1.0016674607012328</v>
      </c>
      <c r="AD329" s="31">
        <v>1988.91666666776</v>
      </c>
      <c r="AE329" s="2">
        <v>-0.63249914195975354</v>
      </c>
      <c r="AF329" s="2">
        <v>6.6874490811640125E-2</v>
      </c>
      <c r="AG329" s="2">
        <v>-0.64043423188059945</v>
      </c>
      <c r="AH329" s="31"/>
      <c r="AI329" s="31">
        <v>1988.91666666776</v>
      </c>
      <c r="AJ329" s="2">
        <v>-0.82743120531619729</v>
      </c>
      <c r="AK329" s="2">
        <v>-0.61478205611361436</v>
      </c>
      <c r="AL329" s="2">
        <v>-0.47702285792052085</v>
      </c>
      <c r="AM329" s="31"/>
      <c r="AN329" s="2">
        <f t="shared" si="53"/>
        <v>-0.90982278901938651</v>
      </c>
      <c r="AO329" s="2">
        <f t="shared" si="46"/>
        <v>-0.44555736474398538</v>
      </c>
      <c r="AP329" s="2">
        <f t="shared" si="47"/>
        <v>-0.70637485016745105</v>
      </c>
      <c r="AQ329" s="31"/>
      <c r="AR329" s="31">
        <v>1988.91666666776</v>
      </c>
      <c r="AS329" s="2">
        <v>-1.0467751902351208</v>
      </c>
      <c r="AT329" s="2">
        <v>-0.68444756444045252</v>
      </c>
      <c r="AU329" s="2">
        <v>-1.0732638610869338</v>
      </c>
      <c r="AV329" s="31"/>
      <c r="AW329" s="31">
        <v>1988.91666666776</v>
      </c>
      <c r="AX329" s="2">
        <v>-0.36949792279718624</v>
      </c>
      <c r="AY329" s="2">
        <v>1.05652496446128</v>
      </c>
      <c r="AZ329" s="2">
        <v>-0.47308346242954868</v>
      </c>
      <c r="BA329" s="31"/>
      <c r="BB329" s="31">
        <v>1988.91666666776</v>
      </c>
      <c r="BC329" s="2">
        <v>-0.5216921413170067</v>
      </c>
      <c r="BD329" s="2">
        <v>-0.44318112469553572</v>
      </c>
      <c r="BE329" s="2">
        <v>-0.20319611706055596</v>
      </c>
      <c r="BG329" s="2">
        <f t="shared" si="54"/>
        <v>-0.64598841811643792</v>
      </c>
      <c r="BH329" s="2">
        <f t="shared" si="48"/>
        <v>-2.3701241558236091E-2</v>
      </c>
      <c r="BI329" s="2">
        <f t="shared" si="49"/>
        <v>-0.58318114685901279</v>
      </c>
    </row>
    <row r="330" spans="1:61" x14ac:dyDescent="0.3">
      <c r="A330" s="31">
        <v>1988.8333333344301</v>
      </c>
      <c r="B330">
        <v>0.59868363614701525</v>
      </c>
      <c r="C330">
        <v>9.1200000000000614E-2</v>
      </c>
      <c r="D330">
        <v>5.4599947616608156E-2</v>
      </c>
      <c r="F330" s="31">
        <v>1988.8333333344301</v>
      </c>
      <c r="G330" s="2">
        <v>0.4470961149484578</v>
      </c>
      <c r="H330" s="2">
        <v>6.1499999999999798E-2</v>
      </c>
      <c r="I330" s="2">
        <v>2.7496411069330064E-2</v>
      </c>
      <c r="K330" s="31">
        <v>1988.8333333344301</v>
      </c>
      <c r="L330" s="2">
        <v>0.74392323691661066</v>
      </c>
      <c r="M330" s="2">
        <v>9.2279999999999945E-2</v>
      </c>
      <c r="N330" s="2">
        <v>6.8069772712983992E-2</v>
      </c>
      <c r="P330" s="31">
        <v>1988.8333333344301</v>
      </c>
      <c r="Q330" s="2">
        <v>0.61654540330433982</v>
      </c>
      <c r="R330" s="2"/>
      <c r="S330" s="2"/>
      <c r="U330" s="2">
        <f t="shared" si="50"/>
        <v>0.60252158505646947</v>
      </c>
      <c r="V330" s="2">
        <f t="shared" si="51"/>
        <v>7.6889999999999875E-2</v>
      </c>
      <c r="W330" s="2">
        <f t="shared" si="52"/>
        <v>4.778309189115703E-2</v>
      </c>
      <c r="Y330" s="31">
        <v>1988.8333333344301</v>
      </c>
      <c r="Z330" s="2">
        <v>-1.6616122569881107</v>
      </c>
      <c r="AA330" s="2">
        <v>-0.78876452892998272</v>
      </c>
      <c r="AB330" s="2">
        <v>-1.097377197885453</v>
      </c>
      <c r="AD330" s="31">
        <v>1988.8333333344301</v>
      </c>
      <c r="AE330" s="2">
        <v>-0.38881663457768623</v>
      </c>
      <c r="AF330" s="2">
        <v>6.7241855071186282E-2</v>
      </c>
      <c r="AG330" s="2">
        <v>0.30358597584642738</v>
      </c>
      <c r="AH330" s="31"/>
      <c r="AI330" s="31">
        <v>1988.8333333344301</v>
      </c>
      <c r="AJ330" s="2"/>
      <c r="AK330" s="2"/>
      <c r="AL330" s="2"/>
      <c r="AM330" s="31"/>
      <c r="AN330" s="2">
        <f t="shared" si="53"/>
        <v>-1.0252144457828984</v>
      </c>
      <c r="AO330" s="2">
        <f t="shared" si="46"/>
        <v>-0.36076133692939821</v>
      </c>
      <c r="AP330" s="2">
        <f t="shared" si="47"/>
        <v>-0.39689561101951276</v>
      </c>
      <c r="AQ330" s="31"/>
      <c r="AR330" s="31">
        <v>1988.8333333344301</v>
      </c>
      <c r="AS330" s="2">
        <v>-1.008223057070005</v>
      </c>
      <c r="AT330" s="2">
        <v>-0.2854929317171821</v>
      </c>
      <c r="AU330" s="2">
        <v>-1.0819099357586757</v>
      </c>
      <c r="AV330" s="31"/>
      <c r="AW330" s="31">
        <v>1988.8333333344301</v>
      </c>
      <c r="AX330" s="2">
        <v>-0.1106563822878244</v>
      </c>
      <c r="AY330" s="2">
        <v>1.2558045277773568</v>
      </c>
      <c r="AZ330" s="2">
        <v>1.2031279036607587</v>
      </c>
      <c r="BA330" s="31"/>
      <c r="BB330" s="31">
        <v>1988.8333333344301</v>
      </c>
      <c r="BC330" s="2"/>
      <c r="BD330" s="2"/>
      <c r="BE330" s="2"/>
      <c r="BG330" s="2">
        <f t="shared" si="54"/>
        <v>-0.5594397196789147</v>
      </c>
      <c r="BH330" s="2">
        <f t="shared" si="48"/>
        <v>0.48515579803008735</v>
      </c>
      <c r="BI330" s="2">
        <f t="shared" si="49"/>
        <v>6.0608983951041528E-2</v>
      </c>
    </row>
    <row r="331" spans="1:61" x14ac:dyDescent="0.3">
      <c r="A331" s="31">
        <v>1988.7500000011</v>
      </c>
      <c r="B331">
        <v>0.66164010125575801</v>
      </c>
      <c r="C331">
        <v>0.10640000000000072</v>
      </c>
      <c r="D331">
        <v>7.0398506773613131E-2</v>
      </c>
      <c r="F331" s="31">
        <v>1988.7500000011</v>
      </c>
      <c r="G331" s="2">
        <v>0.53726617485506911</v>
      </c>
      <c r="H331" s="2">
        <v>6.1499999999999846E-2</v>
      </c>
      <c r="I331" s="2">
        <v>3.3041869753586674E-2</v>
      </c>
      <c r="K331" s="31">
        <v>1988.7500000011</v>
      </c>
      <c r="L331" s="2">
        <v>0.7654050273058608</v>
      </c>
      <c r="M331" s="2">
        <v>9.2279999999999945E-2</v>
      </c>
      <c r="N331" s="2">
        <v>6.922691850324858E-2</v>
      </c>
      <c r="P331" s="31">
        <v>1988.7500000011</v>
      </c>
      <c r="Q331" s="2">
        <v>0.62122611811422424</v>
      </c>
      <c r="R331" s="2">
        <v>7.1900000000000297E-2</v>
      </c>
      <c r="S331" s="2">
        <v>4.0969984121935081E-2</v>
      </c>
      <c r="U331" s="2">
        <f t="shared" si="50"/>
        <v>0.64129910675838475</v>
      </c>
      <c r="V331" s="2">
        <f t="shared" si="51"/>
        <v>7.5226666666666706E-2</v>
      </c>
      <c r="W331" s="2">
        <f t="shared" si="52"/>
        <v>4.7746257459590109E-2</v>
      </c>
      <c r="Y331" s="31">
        <v>1988.7500000011</v>
      </c>
      <c r="Z331" s="2">
        <v>-1.1387993793330777</v>
      </c>
      <c r="AA331" s="2">
        <v>-0.78876452892998183</v>
      </c>
      <c r="AB331" s="2">
        <v>-0.96975268607492349</v>
      </c>
      <c r="AD331" s="31">
        <v>1988.7500000011</v>
      </c>
      <c r="AE331" s="2">
        <v>-0.26098372691308058</v>
      </c>
      <c r="AF331" s="2">
        <v>6.7241855071186282E-2</v>
      </c>
      <c r="AG331" s="2">
        <v>0.34758622516067161</v>
      </c>
      <c r="AH331" s="31"/>
      <c r="AI331" s="31">
        <v>1988.7500000011</v>
      </c>
      <c r="AJ331" s="2">
        <v>-0.64800744390250209</v>
      </c>
      <c r="AK331" s="2">
        <v>-0.61478205611361436</v>
      </c>
      <c r="AL331" s="2">
        <v>-0.31760465306588015</v>
      </c>
      <c r="AM331" s="31"/>
      <c r="AN331" s="2">
        <f t="shared" si="53"/>
        <v>-0.68259685004955351</v>
      </c>
      <c r="AO331" s="2">
        <f t="shared" si="46"/>
        <v>-0.44543490999080326</v>
      </c>
      <c r="AP331" s="2">
        <f t="shared" si="47"/>
        <v>-0.31325703799337734</v>
      </c>
      <c r="AQ331" s="31"/>
      <c r="AR331" s="31">
        <v>1988.7500000011</v>
      </c>
      <c r="AS331" s="2">
        <v>-1.4617839122170051</v>
      </c>
      <c r="AT331" s="2">
        <v>-0.6766476141944503</v>
      </c>
      <c r="AU331" s="2">
        <v>-1.1633694167679716</v>
      </c>
      <c r="AV331" s="31"/>
      <c r="AW331" s="31">
        <v>1988.7500000011</v>
      </c>
      <c r="AX331" s="2">
        <v>-0.23090307002793101</v>
      </c>
      <c r="AY331" s="2">
        <v>0.96310780514635363</v>
      </c>
      <c r="AZ331" s="2">
        <v>1.1785519655998804</v>
      </c>
      <c r="BA331" s="31"/>
      <c r="BB331" s="31">
        <v>1988.7500000011</v>
      </c>
      <c r="BC331" s="2">
        <v>-0.6958556609605655</v>
      </c>
      <c r="BD331" s="2">
        <v>-0.59144451954684485</v>
      </c>
      <c r="BE331" s="2">
        <v>-0.51575728313194402</v>
      </c>
      <c r="BG331" s="2">
        <f t="shared" si="54"/>
        <v>-0.79618088106850049</v>
      </c>
      <c r="BH331" s="2">
        <f t="shared" si="48"/>
        <v>-0.10166144286498051</v>
      </c>
      <c r="BI331" s="2">
        <f t="shared" si="49"/>
        <v>-0.1668582447666784</v>
      </c>
    </row>
    <row r="332" spans="1:61" x14ac:dyDescent="0.3">
      <c r="A332" s="31">
        <v>1988.66666666776</v>
      </c>
      <c r="B332">
        <v>0.6938688538243013</v>
      </c>
      <c r="C332">
        <v>9.1200000000000614E-2</v>
      </c>
      <c r="D332">
        <v>6.3280839468776703E-2</v>
      </c>
      <c r="F332" s="31">
        <v>1988.66666666776</v>
      </c>
      <c r="G332" s="2">
        <v>0.46106576669062443</v>
      </c>
      <c r="H332" s="2">
        <v>6.1499999999999798E-2</v>
      </c>
      <c r="I332" s="2">
        <v>2.8355544651473309E-2</v>
      </c>
      <c r="K332" s="31">
        <v>1988.66666666776</v>
      </c>
      <c r="L332" s="2">
        <v>0.78070350886782913</v>
      </c>
      <c r="M332" s="2">
        <v>9.2264999999999903E-2</v>
      </c>
      <c r="N332" s="2">
        <v>4.8023408524592276E-2</v>
      </c>
      <c r="P332" s="31">
        <v>1988.66666666776</v>
      </c>
      <c r="Q332" s="2">
        <v>0.5839759948659633</v>
      </c>
      <c r="R332" s="2">
        <v>4.7900000000000303E-2</v>
      </c>
      <c r="S332" s="2">
        <v>2.8582396820019357E-2</v>
      </c>
      <c r="U332" s="2">
        <f t="shared" si="50"/>
        <v>0.60858175680813897</v>
      </c>
      <c r="V332" s="2">
        <f t="shared" si="51"/>
        <v>6.7221666666666666E-2</v>
      </c>
      <c r="W332" s="2">
        <f t="shared" si="52"/>
        <v>3.4987116665361646E-2</v>
      </c>
      <c r="Y332" s="31">
        <v>1988.66666666776</v>
      </c>
      <c r="Z332" s="2">
        <v>-1.5806151517990379</v>
      </c>
      <c r="AA332" s="2">
        <v>-0.78876452892998272</v>
      </c>
      <c r="AB332" s="2">
        <v>-1.077604892248708</v>
      </c>
      <c r="AD332" s="31">
        <v>1988.66666666776</v>
      </c>
      <c r="AE332" s="2">
        <v>-0.16994618555905958</v>
      </c>
      <c r="AF332" s="2">
        <v>6.6874490811640125E-2</v>
      </c>
      <c r="AG332" s="2">
        <v>-0.45867322222029855</v>
      </c>
      <c r="AH332" s="31"/>
      <c r="AI332" s="31">
        <v>1988.66666666776</v>
      </c>
      <c r="AJ332" s="2">
        <v>-0.46188702882956134</v>
      </c>
      <c r="AK332" s="2">
        <v>-1.186702766808877</v>
      </c>
      <c r="AL332" s="2">
        <v>-1.3187430058212377</v>
      </c>
      <c r="AM332" s="31"/>
      <c r="AN332" s="2">
        <f t="shared" si="53"/>
        <v>-0.73748278872921968</v>
      </c>
      <c r="AO332" s="2">
        <f t="shared" si="46"/>
        <v>-0.63619760164240657</v>
      </c>
      <c r="AP332" s="2">
        <f t="shared" si="47"/>
        <v>-0.95167370676341478</v>
      </c>
      <c r="AQ332" s="31"/>
      <c r="AR332" s="31">
        <v>1988.66666666776</v>
      </c>
      <c r="AS332" s="2">
        <v>-1.0041734988648923</v>
      </c>
      <c r="AT332" s="2">
        <v>-0.32631334910520099</v>
      </c>
      <c r="AU332" s="2">
        <v>-1.0438404240720327</v>
      </c>
      <c r="AV332" s="31"/>
      <c r="AW332" s="31">
        <v>1988.66666666776</v>
      </c>
      <c r="AX332" s="2">
        <v>-0.18853728026632915</v>
      </c>
      <c r="AY332" s="2">
        <v>1.1124047876457037</v>
      </c>
      <c r="AZ332" s="2">
        <v>-0.2046342356013281</v>
      </c>
      <c r="BA332" s="31"/>
      <c r="BB332" s="31">
        <v>1988.66666666776</v>
      </c>
      <c r="BC332" s="2">
        <v>-0.6748110938498092</v>
      </c>
      <c r="BD332" s="2">
        <v>-1.0289872901111137</v>
      </c>
      <c r="BE332" s="2">
        <v>-1.2435936905450009</v>
      </c>
      <c r="BG332" s="2">
        <f t="shared" si="54"/>
        <v>-0.62250729099367685</v>
      </c>
      <c r="BH332" s="2">
        <f t="shared" si="48"/>
        <v>-8.096528385687031E-2</v>
      </c>
      <c r="BI332" s="2">
        <f t="shared" si="49"/>
        <v>-0.83068945007278716</v>
      </c>
    </row>
    <row r="333" spans="1:61" x14ac:dyDescent="0.3">
      <c r="A333" s="31">
        <v>1988.5833333344301</v>
      </c>
      <c r="B333">
        <v>0.80861490684711712</v>
      </c>
      <c r="C333">
        <v>0.10640000000000072</v>
      </c>
      <c r="D333">
        <v>8.6036626088533838E-2</v>
      </c>
      <c r="F333" s="31">
        <v>1988.5833333344301</v>
      </c>
      <c r="G333" s="2">
        <v>0.56930399212436289</v>
      </c>
      <c r="H333" s="2">
        <v>6.1499999999999846E-2</v>
      </c>
      <c r="I333" s="2">
        <v>3.5012195515648242E-2</v>
      </c>
      <c r="K333" s="31">
        <v>1988.5833333344301</v>
      </c>
      <c r="L333" s="2">
        <v>0.79642818043143215</v>
      </c>
      <c r="M333" s="2">
        <v>9.2279999999999945E-2</v>
      </c>
      <c r="N333" s="2">
        <v>6.9086052989158722E-2</v>
      </c>
      <c r="P333" s="31">
        <v>1988.5833333344301</v>
      </c>
      <c r="Q333" s="2">
        <v>0.51360860529448171</v>
      </c>
      <c r="R333" s="2">
        <v>7.1900000000000297E-2</v>
      </c>
      <c r="S333" s="2">
        <v>4.4199504081991872E-2</v>
      </c>
      <c r="U333" s="2">
        <f t="shared" si="50"/>
        <v>0.62644692595009221</v>
      </c>
      <c r="V333" s="2">
        <f t="shared" si="51"/>
        <v>7.5226666666666706E-2</v>
      </c>
      <c r="W333" s="2">
        <f t="shared" si="52"/>
        <v>4.9432584195599615E-2</v>
      </c>
      <c r="Y333" s="31">
        <v>1988.5833333344301</v>
      </c>
      <c r="Z333" s="2">
        <v>-0.95304167375216486</v>
      </c>
      <c r="AA333" s="2">
        <v>-0.78876452892998183</v>
      </c>
      <c r="AB333" s="2">
        <v>-0.92440713797721419</v>
      </c>
      <c r="AD333" s="31">
        <v>1988.5833333344301</v>
      </c>
      <c r="AE333" s="2">
        <v>-7.6372491205714627E-2</v>
      </c>
      <c r="AF333" s="2">
        <v>6.7241855071186282E-2</v>
      </c>
      <c r="AG333" s="2">
        <v>0.34222984069133378</v>
      </c>
      <c r="AH333" s="31"/>
      <c r="AI333" s="31">
        <v>1988.5833333344301</v>
      </c>
      <c r="AJ333" s="2">
        <v>-0.33255209344295644</v>
      </c>
      <c r="AK333" s="2">
        <v>-0.61478205611361436</v>
      </c>
      <c r="AL333" s="2">
        <v>-5.6601746349590421E-2</v>
      </c>
      <c r="AM333" s="31"/>
      <c r="AN333" s="2">
        <f t="shared" si="53"/>
        <v>-0.45398875280027867</v>
      </c>
      <c r="AO333" s="2">
        <f t="shared" si="46"/>
        <v>-0.44543490999080326</v>
      </c>
      <c r="AP333" s="2">
        <f t="shared" si="47"/>
        <v>-0.21292634787849027</v>
      </c>
      <c r="AQ333" s="31"/>
      <c r="AR333" s="31">
        <v>1988.5833333344301</v>
      </c>
      <c r="AS333" s="2">
        <v>-1.4620061653765037</v>
      </c>
      <c r="AT333" s="2">
        <v>-0.65870957567408583</v>
      </c>
      <c r="AU333" s="2">
        <v>-1.1464230989133932</v>
      </c>
      <c r="AV333" s="31"/>
      <c r="AW333" s="31">
        <v>1988.5833333344301</v>
      </c>
      <c r="AX333" s="2">
        <v>-0.32674133723324372</v>
      </c>
      <c r="AY333" s="2">
        <v>1.4464725573415451</v>
      </c>
      <c r="AZ333" s="2">
        <v>1.4566934478389968</v>
      </c>
      <c r="BA333" s="31"/>
      <c r="BB333" s="31">
        <v>1988.5833333344301</v>
      </c>
      <c r="BC333" s="2">
        <v>-0.84331395188582603</v>
      </c>
      <c r="BD333" s="2">
        <v>-0.51613739712758211</v>
      </c>
      <c r="BE333" s="2">
        <v>-0.69524163196948208</v>
      </c>
      <c r="BG333" s="2">
        <f t="shared" si="54"/>
        <v>-0.87735381816519109</v>
      </c>
      <c r="BH333" s="2">
        <f t="shared" si="48"/>
        <v>9.0541861513292396E-2</v>
      </c>
      <c r="BI333" s="2">
        <f t="shared" si="49"/>
        <v>-0.12832376101462617</v>
      </c>
    </row>
    <row r="334" spans="1:61" x14ac:dyDescent="0.3">
      <c r="A334" s="31">
        <v>1988.5000000011</v>
      </c>
      <c r="B334">
        <v>0.91858380772565873</v>
      </c>
      <c r="C334">
        <v>9.1200000000000614E-2</v>
      </c>
      <c r="D334">
        <v>8.3774843264580637E-2</v>
      </c>
      <c r="F334" s="31">
        <v>1988.5000000011</v>
      </c>
      <c r="G334" s="2">
        <v>0.48280743736546833</v>
      </c>
      <c r="H334" s="2">
        <v>6.1499999999999798E-2</v>
      </c>
      <c r="I334" s="2">
        <v>2.9692657397976205E-2</v>
      </c>
      <c r="K334" s="31">
        <v>1988.5000000011</v>
      </c>
      <c r="L334" s="2">
        <v>0.85647787974291745</v>
      </c>
      <c r="M334" s="2">
        <v>6.1514999999999952E-2</v>
      </c>
      <c r="N334" s="2">
        <v>5.2684513072246898E-2</v>
      </c>
      <c r="P334" s="31">
        <v>1988.5000000011</v>
      </c>
      <c r="Q334" s="2">
        <v>0.50166031699272318</v>
      </c>
      <c r="R334" s="2"/>
      <c r="S334" s="2"/>
      <c r="U334" s="2">
        <f t="shared" si="50"/>
        <v>0.61364854470036956</v>
      </c>
      <c r="V334" s="2">
        <f t="shared" si="51"/>
        <v>6.1507499999999875E-2</v>
      </c>
      <c r="W334" s="2">
        <f t="shared" si="52"/>
        <v>4.1188585235111555E-2</v>
      </c>
      <c r="Y334" s="31">
        <v>1988.5000000011</v>
      </c>
      <c r="Z334" s="2">
        <v>-1.4545552886658013</v>
      </c>
      <c r="AA334" s="2">
        <v>-0.78876452892998272</v>
      </c>
      <c r="AB334" s="2">
        <v>-1.0468322598616824</v>
      </c>
      <c r="AD334" s="31">
        <v>1988.5000000011</v>
      </c>
      <c r="AE334" s="2">
        <v>0.2809686581248273</v>
      </c>
      <c r="AF334" s="2">
        <v>-0.68622224125583742</v>
      </c>
      <c r="AG334" s="2">
        <v>-0.28143560540309004</v>
      </c>
      <c r="AH334" s="31"/>
      <c r="AI334" s="31">
        <v>1988.5000000011</v>
      </c>
      <c r="AJ334" s="2"/>
      <c r="AK334" s="2"/>
      <c r="AL334" s="2"/>
      <c r="AM334" s="31"/>
      <c r="AN334" s="2">
        <f t="shared" si="53"/>
        <v>-0.58679331527048695</v>
      </c>
      <c r="AO334" s="2">
        <f t="shared" si="46"/>
        <v>-0.73749338509291007</v>
      </c>
      <c r="AP334" s="2">
        <f t="shared" si="47"/>
        <v>-0.66413393263238618</v>
      </c>
      <c r="AQ334" s="31"/>
      <c r="AR334" s="31">
        <v>1988.5000000011</v>
      </c>
      <c r="AS334" s="2">
        <v>-0.84395265851918844</v>
      </c>
      <c r="AT334" s="2">
        <v>-2.3130098149133811E-2</v>
      </c>
      <c r="AU334" s="2">
        <v>-0.84068215178184769</v>
      </c>
      <c r="AV334" s="31"/>
      <c r="AW334" s="31">
        <v>1988.5000000011</v>
      </c>
      <c r="AX334" s="2">
        <v>-9.8962660474072317E-2</v>
      </c>
      <c r="AY334" s="2">
        <v>-0.10780241638246968</v>
      </c>
      <c r="AZ334" s="2">
        <v>-9.8835499022205286E-2</v>
      </c>
      <c r="BA334" s="31"/>
      <c r="BB334" s="31">
        <v>1988.5000000011</v>
      </c>
      <c r="BC334" s="2"/>
      <c r="BD334" s="2"/>
      <c r="BE334" s="2"/>
      <c r="BG334" s="2">
        <f t="shared" si="54"/>
        <v>-0.47145765949663038</v>
      </c>
      <c r="BH334" s="2">
        <f t="shared" si="48"/>
        <v>-6.5466257265801742E-2</v>
      </c>
      <c r="BI334" s="2">
        <f t="shared" si="49"/>
        <v>-0.46975882540202651</v>
      </c>
    </row>
    <row r="335" spans="1:61" x14ac:dyDescent="0.3">
      <c r="A335" s="31">
        <v>1988.41666666777</v>
      </c>
      <c r="B335">
        <v>0.86152364863408248</v>
      </c>
      <c r="C335">
        <v>0.27360000000000184</v>
      </c>
      <c r="D335">
        <v>0.23571287026628657</v>
      </c>
      <c r="F335" s="31">
        <v>1988.41666666777</v>
      </c>
      <c r="G335" s="2">
        <v>0.56379689651643861</v>
      </c>
      <c r="H335" s="2">
        <v>0.15374999999999969</v>
      </c>
      <c r="I335" s="2">
        <v>9.3630883913947888E-2</v>
      </c>
      <c r="K335" s="31">
        <v>1988.41666666777</v>
      </c>
      <c r="L335" s="2">
        <v>0.92189514543620876</v>
      </c>
      <c r="M335" s="2">
        <v>0.15377999999999986</v>
      </c>
      <c r="N335" s="2">
        <v>8.4055919593577486E-2</v>
      </c>
      <c r="P335" s="31">
        <v>1988.41666666777</v>
      </c>
      <c r="Q335" s="2">
        <v>0.46829160827011962</v>
      </c>
      <c r="R335" s="2">
        <v>0.14380000000000059</v>
      </c>
      <c r="S335" s="2">
        <v>4.3255581934041429E-2</v>
      </c>
      <c r="U335" s="2">
        <f t="shared" si="50"/>
        <v>0.65132788340758896</v>
      </c>
      <c r="V335" s="2">
        <f t="shared" si="51"/>
        <v>0.15044333333333337</v>
      </c>
      <c r="W335" s="2">
        <f t="shared" si="52"/>
        <v>7.3647461813855605E-2</v>
      </c>
      <c r="Y335" s="31">
        <v>1988.41666666777</v>
      </c>
      <c r="Z335" s="2">
        <v>-0.98497223368838138</v>
      </c>
      <c r="AA335" s="2">
        <v>1.0126249536365408</v>
      </c>
      <c r="AB335" s="2">
        <v>0.42465736971543133</v>
      </c>
      <c r="AD335" s="31">
        <v>1988.41666666777</v>
      </c>
      <c r="AE335" s="2">
        <v>0.67025088895909779</v>
      </c>
      <c r="AF335" s="2">
        <v>1.5734353192061419</v>
      </c>
      <c r="AG335" s="2">
        <v>0.91145618048106225</v>
      </c>
      <c r="AH335" s="31"/>
      <c r="AI335" s="31">
        <v>1988.41666666777</v>
      </c>
      <c r="AJ335" s="2">
        <v>-0.42347376753517119</v>
      </c>
      <c r="AK335" s="2">
        <v>1.0985970730109507</v>
      </c>
      <c r="AL335" s="2">
        <v>-0.13288751865508719</v>
      </c>
      <c r="AM335" s="31"/>
      <c r="AN335" s="2">
        <f t="shared" si="53"/>
        <v>-0.24606503742148492</v>
      </c>
      <c r="AO335" s="2">
        <f t="shared" si="46"/>
        <v>1.2282191152845445</v>
      </c>
      <c r="AP335" s="2">
        <f t="shared" si="47"/>
        <v>0.40107534384713545</v>
      </c>
      <c r="AQ335" s="31"/>
      <c r="AR335" s="31">
        <v>1988.41666666777</v>
      </c>
      <c r="AS335" s="2">
        <v>-1.552478975662277</v>
      </c>
      <c r="AT335" s="2">
        <v>-0.35878275268423226</v>
      </c>
      <c r="AU335" s="2">
        <v>-0.997054883280866</v>
      </c>
      <c r="AV335" s="31"/>
      <c r="AW335" s="31">
        <v>1988.41666666777</v>
      </c>
      <c r="AX335" s="2">
        <v>0.25167291521397683</v>
      </c>
      <c r="AY335" s="2">
        <v>0.24826500666177614</v>
      </c>
      <c r="AZ335" s="2">
        <v>-0.1024982195393823</v>
      </c>
      <c r="BA335" s="31"/>
      <c r="BB335" s="31">
        <v>1988.41666666777</v>
      </c>
      <c r="BC335" s="2">
        <v>-1.1884661196785609</v>
      </c>
      <c r="BD335" s="2">
        <v>-0.3489924073651578</v>
      </c>
      <c r="BE335" s="2">
        <v>-1.1038259478053809</v>
      </c>
      <c r="BG335" s="2">
        <f t="shared" si="54"/>
        <v>-0.82975739337562038</v>
      </c>
      <c r="BH335" s="2">
        <f t="shared" si="48"/>
        <v>-0.15317005112920465</v>
      </c>
      <c r="BI335" s="2">
        <f t="shared" si="49"/>
        <v>-0.7344596835418763</v>
      </c>
    </row>
    <row r="336" spans="1:61" x14ac:dyDescent="0.3">
      <c r="A336" s="31">
        <v>1988.3333333344401</v>
      </c>
      <c r="B336">
        <v>0.74480427878248678</v>
      </c>
      <c r="C336">
        <v>0.28880000000000194</v>
      </c>
      <c r="D336">
        <v>0.21509947571238364</v>
      </c>
      <c r="F336" s="31">
        <v>1988.3333333344401</v>
      </c>
      <c r="G336" s="2">
        <v>0.50653083591240522</v>
      </c>
      <c r="H336" s="2">
        <v>0.15374999999999969</v>
      </c>
      <c r="I336" s="2">
        <v>8.1198162761310644E-2</v>
      </c>
      <c r="K336" s="31">
        <v>1988.3333333344401</v>
      </c>
      <c r="L336" s="2">
        <v>0.82395693251961277</v>
      </c>
      <c r="M336" s="2">
        <v>0.1230299999999999</v>
      </c>
      <c r="N336" s="2">
        <v>7.9385177535995138E-2</v>
      </c>
      <c r="P336" s="31">
        <v>1988.3333333344401</v>
      </c>
      <c r="Q336" s="2">
        <v>0.46024374999121576</v>
      </c>
      <c r="R336" s="2">
        <v>0.11985000000000046</v>
      </c>
      <c r="S336" s="2">
        <v>3.6354987557531811E-2</v>
      </c>
      <c r="U336" s="2">
        <f t="shared" si="50"/>
        <v>0.59691050614107788</v>
      </c>
      <c r="V336" s="2">
        <f t="shared" si="51"/>
        <v>0.13221000000000002</v>
      </c>
      <c r="W336" s="2">
        <f t="shared" si="52"/>
        <v>6.5646109284945867E-2</v>
      </c>
      <c r="Y336" s="31">
        <v>1988.3333333344401</v>
      </c>
      <c r="Z336" s="2">
        <v>-1.3170052163366166</v>
      </c>
      <c r="AA336" s="2">
        <v>1.0126249536365408</v>
      </c>
      <c r="AB336" s="2">
        <v>0.1385277530461333</v>
      </c>
      <c r="AD336" s="31">
        <v>1988.3333333344401</v>
      </c>
      <c r="AE336" s="2">
        <v>8.7444414184593186E-2</v>
      </c>
      <c r="AF336" s="2">
        <v>0.82033858713866403</v>
      </c>
      <c r="AG336" s="2">
        <v>0.73385209917583849</v>
      </c>
      <c r="AH336" s="31"/>
      <c r="AI336" s="31">
        <v>1988.3333333344401</v>
      </c>
      <c r="AJ336" s="2">
        <v>-1.0067768620232058</v>
      </c>
      <c r="AK336" s="2">
        <v>0.52786786379629969</v>
      </c>
      <c r="AL336" s="2">
        <v>-0.6905788203392611</v>
      </c>
      <c r="AM336" s="31"/>
      <c r="AN336" s="2">
        <f t="shared" si="53"/>
        <v>-0.74544588805840972</v>
      </c>
      <c r="AO336" s="2">
        <f t="shared" si="46"/>
        <v>0.78694380152383481</v>
      </c>
      <c r="AP336" s="2">
        <f t="shared" si="47"/>
        <v>6.0600343960903559E-2</v>
      </c>
      <c r="AQ336" s="31"/>
      <c r="AR336" s="31">
        <v>1988.3333333344401</v>
      </c>
      <c r="AS336" s="2">
        <v>-1.6270965974016318</v>
      </c>
      <c r="AT336" s="2">
        <v>-1.8664175683888028E-2</v>
      </c>
      <c r="AU336" s="2">
        <v>-0.80467058634141886</v>
      </c>
      <c r="AV336" s="31"/>
      <c r="AW336" s="31">
        <v>1988.3333333344401</v>
      </c>
      <c r="AX336" s="2">
        <v>-6.6108842379955512E-2</v>
      </c>
      <c r="AY336" s="2">
        <v>6.3072530914539418E-2</v>
      </c>
      <c r="AZ336" s="2">
        <v>0.16506891922774533</v>
      </c>
      <c r="BA336" s="31"/>
      <c r="BB336" s="31">
        <v>1988.3333333344401</v>
      </c>
      <c r="BC336" s="2">
        <v>-1.4139081451268216</v>
      </c>
      <c r="BD336" s="2">
        <v>-0.17689465171325883</v>
      </c>
      <c r="BE336" s="2">
        <v>-1.1953233133540817</v>
      </c>
      <c r="BG336" s="2">
        <f t="shared" si="54"/>
        <v>-1.035704528302803</v>
      </c>
      <c r="BH336" s="2">
        <f t="shared" si="48"/>
        <v>-4.4162098827535808E-2</v>
      </c>
      <c r="BI336" s="2">
        <f t="shared" si="49"/>
        <v>-0.61164166015591848</v>
      </c>
    </row>
    <row r="337" spans="1:61" x14ac:dyDescent="0.3">
      <c r="A337" s="31">
        <v>1988.25000000111</v>
      </c>
      <c r="B337">
        <v>0.721929639993524</v>
      </c>
      <c r="C337">
        <v>0.27360000000000184</v>
      </c>
      <c r="D337">
        <v>0.19751994950222951</v>
      </c>
      <c r="F337" s="31">
        <v>1988.25000000111</v>
      </c>
      <c r="G337" s="2">
        <v>0.50777860693173504</v>
      </c>
      <c r="H337" s="2">
        <v>0.15374999999999969</v>
      </c>
      <c r="I337" s="2">
        <v>8.3086958347303896E-2</v>
      </c>
      <c r="K337" s="31">
        <v>1988.25000000111</v>
      </c>
      <c r="L337" s="2">
        <v>0.6697474781973396</v>
      </c>
      <c r="M337" s="2">
        <v>0.1230299999999999</v>
      </c>
      <c r="N337" s="2">
        <v>6.4378411636818803E-2</v>
      </c>
      <c r="P337" s="31">
        <v>1988.25000000111</v>
      </c>
      <c r="Q337" s="2">
        <v>0.45086295060157627</v>
      </c>
      <c r="R337" s="2">
        <v>0.11985000000000046</v>
      </c>
      <c r="S337" s="2">
        <v>3.3476903928108877E-2</v>
      </c>
      <c r="U337" s="2">
        <f t="shared" si="50"/>
        <v>0.54279634524355025</v>
      </c>
      <c r="V337" s="2">
        <f t="shared" si="51"/>
        <v>0.13221000000000002</v>
      </c>
      <c r="W337" s="2">
        <f t="shared" si="52"/>
        <v>6.0314091304077194E-2</v>
      </c>
      <c r="Y337" s="31">
        <v>1988.25000000111</v>
      </c>
      <c r="Z337" s="2">
        <v>-1.3097705448952754</v>
      </c>
      <c r="AA337" s="2">
        <v>1.0126249536365408</v>
      </c>
      <c r="AB337" s="2">
        <v>0.1819969461818832</v>
      </c>
      <c r="AD337" s="31">
        <v>1988.25000000111</v>
      </c>
      <c r="AE337" s="2">
        <v>-0.83021852629606252</v>
      </c>
      <c r="AF337" s="2">
        <v>0.82033858713866403</v>
      </c>
      <c r="AG337" s="2">
        <v>0.16322267069796656</v>
      </c>
      <c r="AH337" s="31"/>
      <c r="AI337" s="31">
        <v>1988.25000000111</v>
      </c>
      <c r="AJ337" s="2">
        <v>-1.2917748289179829</v>
      </c>
      <c r="AK337" s="2">
        <v>0.52786786379629969</v>
      </c>
      <c r="AL337" s="2">
        <v>-0.9231793932859429</v>
      </c>
      <c r="AM337" s="31"/>
      <c r="AN337" s="2">
        <f t="shared" si="53"/>
        <v>-1.1439213000364403</v>
      </c>
      <c r="AO337" s="2">
        <f t="shared" si="46"/>
        <v>0.78694380152383481</v>
      </c>
      <c r="AP337" s="2">
        <f t="shared" si="47"/>
        <v>-0.19265325880203102</v>
      </c>
      <c r="AQ337" s="31"/>
      <c r="AR337" s="31">
        <v>1988.25000000111</v>
      </c>
      <c r="AS337" s="2">
        <v>-1.4104142843228069</v>
      </c>
      <c r="AT337" s="2">
        <v>-6.2988546229767878E-2</v>
      </c>
      <c r="AU337" s="2">
        <v>-0.70532182879027061</v>
      </c>
      <c r="AV337" s="31"/>
      <c r="AW337" s="31">
        <v>1988.25000000111</v>
      </c>
      <c r="AX337" s="2">
        <v>-0.78783683501993151</v>
      </c>
      <c r="AY337" s="2">
        <v>-0.13053036562694012</v>
      </c>
      <c r="AZ337" s="2">
        <v>-0.3509909395964938</v>
      </c>
      <c r="BA337" s="31"/>
      <c r="BB337" s="31">
        <v>1988.25000000111</v>
      </c>
      <c r="BC337" s="2">
        <v>-1.1671823001577568</v>
      </c>
      <c r="BD337" s="2">
        <v>-0.51015098322994124</v>
      </c>
      <c r="BE337" s="2">
        <v>-1.092950662271446</v>
      </c>
      <c r="BG337" s="2">
        <f t="shared" si="54"/>
        <v>-1.1218111398334984</v>
      </c>
      <c r="BH337" s="2">
        <f t="shared" si="48"/>
        <v>-0.23455663169554974</v>
      </c>
      <c r="BI337" s="2">
        <f t="shared" si="49"/>
        <v>-0.71642114355273678</v>
      </c>
    </row>
    <row r="338" spans="1:61" x14ac:dyDescent="0.3">
      <c r="A338" s="31">
        <v>1988.16666666778</v>
      </c>
      <c r="B338">
        <v>0.83608130192832308</v>
      </c>
      <c r="C338">
        <v>0.28880000000000194</v>
      </c>
      <c r="D338">
        <v>0.24146027999690134</v>
      </c>
      <c r="F338" s="31">
        <v>1988.16666666778</v>
      </c>
      <c r="G338" s="2">
        <v>0.51136152979896599</v>
      </c>
      <c r="H338" s="2">
        <v>0.15374999999999969</v>
      </c>
      <c r="I338" s="2">
        <v>8.5504239368318982E-2</v>
      </c>
      <c r="K338" s="31">
        <v>1988.16666666778</v>
      </c>
      <c r="L338" s="2">
        <v>0.60453525958091392</v>
      </c>
      <c r="M338" s="2">
        <v>9.2264999999999903E-2</v>
      </c>
      <c r="N338" s="2">
        <v>3.7189049478265776E-2</v>
      </c>
      <c r="P338" s="31">
        <v>1988.16666666778</v>
      </c>
      <c r="Q338" s="2">
        <v>0.44733177284148484</v>
      </c>
      <c r="R338" s="2">
        <v>0.11985000000000046</v>
      </c>
      <c r="S338" s="2">
        <v>3.2332615696546198E-2</v>
      </c>
      <c r="U338" s="2">
        <f t="shared" si="50"/>
        <v>0.52107618740712158</v>
      </c>
      <c r="V338" s="2">
        <f t="shared" si="51"/>
        <v>0.12195500000000002</v>
      </c>
      <c r="W338" s="2">
        <f t="shared" si="52"/>
        <v>5.1675301514376992E-2</v>
      </c>
      <c r="Y338" s="31">
        <v>1988.16666666778</v>
      </c>
      <c r="Z338" s="2">
        <v>-1.2889964851178606</v>
      </c>
      <c r="AA338" s="2">
        <v>1.0126249536365408</v>
      </c>
      <c r="AB338" s="2">
        <v>0.23762882945454078</v>
      </c>
      <c r="AD338" s="31">
        <v>1988.16666666778</v>
      </c>
      <c r="AE338" s="2">
        <v>-1.2182805718678895</v>
      </c>
      <c r="AF338" s="2">
        <v>6.6874490811640125E-2</v>
      </c>
      <c r="AG338" s="2">
        <v>-0.87064767108330643</v>
      </c>
      <c r="AH338" s="31"/>
      <c r="AI338" s="31">
        <v>1988.16666666778</v>
      </c>
      <c r="AJ338" s="2">
        <v>-1.4335780839479229</v>
      </c>
      <c r="AK338" s="2">
        <v>0.52786786379629969</v>
      </c>
      <c r="AL338" s="2">
        <v>-1.0156583245986479</v>
      </c>
      <c r="AM338" s="31"/>
      <c r="AN338" s="2">
        <f t="shared" si="53"/>
        <v>-1.3136183803112242</v>
      </c>
      <c r="AO338" s="2">
        <f t="shared" si="46"/>
        <v>0.53578910274816016</v>
      </c>
      <c r="AP338" s="2">
        <f t="shared" si="47"/>
        <v>-0.54955905540913785</v>
      </c>
      <c r="AQ338" s="31"/>
      <c r="AR338" s="31">
        <v>1988.16666666778</v>
      </c>
      <c r="AS338" s="2">
        <v>-1.0308644081937592</v>
      </c>
      <c r="AT338" s="2">
        <v>0.16876039905140139</v>
      </c>
      <c r="AU338" s="2">
        <v>-0.32624798247567477</v>
      </c>
      <c r="AV338" s="31"/>
      <c r="AW338" s="31">
        <v>1988.16666666778</v>
      </c>
      <c r="AX338" s="2">
        <v>-1.0146309969608271</v>
      </c>
      <c r="AY338" s="2">
        <v>-0.48231704140909132</v>
      </c>
      <c r="AZ338" s="2">
        <v>-0.8541083505761341</v>
      </c>
      <c r="BA338" s="31"/>
      <c r="BB338" s="31">
        <v>1988.16666666778</v>
      </c>
      <c r="BC338" s="2">
        <v>-0.94268307346092051</v>
      </c>
      <c r="BD338" s="2">
        <v>0.30997808578706199</v>
      </c>
      <c r="BE338" s="2">
        <v>-0.6652856081936589</v>
      </c>
      <c r="BG338" s="2">
        <f t="shared" si="54"/>
        <v>-0.99605949287183559</v>
      </c>
      <c r="BH338" s="2">
        <f t="shared" si="48"/>
        <v>-1.1928521902093148E-3</v>
      </c>
      <c r="BI338" s="2">
        <f t="shared" si="49"/>
        <v>-0.61521398041515585</v>
      </c>
    </row>
    <row r="339" spans="1:61" x14ac:dyDescent="0.3">
      <c r="A339" s="31">
        <v>1988.0833333344499</v>
      </c>
      <c r="B339">
        <v>0.78385579536404193</v>
      </c>
      <c r="C339">
        <v>3.0400000000000205E-2</v>
      </c>
      <c r="D339">
        <v>2.3829216179067036E-2</v>
      </c>
      <c r="F339" s="31">
        <v>1988.0833333344499</v>
      </c>
      <c r="G339" s="2">
        <v>0.49078993588405628</v>
      </c>
      <c r="H339" s="2">
        <v>6.1499999999999846E-2</v>
      </c>
      <c r="I339" s="2">
        <v>3.0183581056869392E-2</v>
      </c>
      <c r="K339" s="31">
        <v>1988.0833333344499</v>
      </c>
      <c r="L339" s="2">
        <v>0.60860743293675656</v>
      </c>
      <c r="M339" s="2">
        <v>6.1514999999999952E-2</v>
      </c>
      <c r="N339" s="2">
        <v>3.7439988885271169E-2</v>
      </c>
      <c r="P339" s="31">
        <v>1988.0833333344499</v>
      </c>
      <c r="Q339" s="2">
        <v>0.44964559735541543</v>
      </c>
      <c r="R339" s="2">
        <v>9.5850000000000463E-2</v>
      </c>
      <c r="S339" s="2">
        <v>3.1482887557259517E-2</v>
      </c>
      <c r="U339" s="2">
        <f t="shared" si="50"/>
        <v>0.51634765539207617</v>
      </c>
      <c r="V339" s="2">
        <f t="shared" si="51"/>
        <v>7.2955000000000089E-2</v>
      </c>
      <c r="W339" s="2">
        <f t="shared" si="52"/>
        <v>3.3035485833133364E-2</v>
      </c>
      <c r="Y339" s="31">
        <v>1988.0833333344499</v>
      </c>
      <c r="Z339" s="2">
        <v>-1.4082721540454815</v>
      </c>
      <c r="AA339" s="2">
        <v>-0.78876452892998183</v>
      </c>
      <c r="AB339" s="2">
        <v>-1.0355340254198038</v>
      </c>
      <c r="AD339" s="31">
        <v>1988.0833333344499</v>
      </c>
      <c r="AE339" s="2">
        <v>-1.1940480590670852</v>
      </c>
      <c r="AF339" s="2">
        <v>-0.68622224125583742</v>
      </c>
      <c r="AG339" s="2">
        <v>-0.86110574770260506</v>
      </c>
      <c r="AH339" s="31"/>
      <c r="AI339" s="31">
        <v>1988.0833333344499</v>
      </c>
      <c r="AJ339" s="2">
        <v>-1.5194310926800034</v>
      </c>
      <c r="AK339" s="2">
        <v>-4.4052846898962821E-2</v>
      </c>
      <c r="AL339" s="2">
        <v>-1.0843315382698673</v>
      </c>
      <c r="AM339" s="31"/>
      <c r="AN339" s="2">
        <f t="shared" si="53"/>
        <v>-1.3739171019308565</v>
      </c>
      <c r="AO339" s="2">
        <f t="shared" si="46"/>
        <v>-0.50634653902826077</v>
      </c>
      <c r="AP339" s="2">
        <f t="shared" si="47"/>
        <v>-0.99365710379742545</v>
      </c>
      <c r="AQ339" s="31"/>
      <c r="AR339" s="31">
        <v>1988.0833333344499</v>
      </c>
      <c r="AS339" s="2">
        <v>-1.1937808638456362</v>
      </c>
      <c r="AT339" s="2">
        <v>-0.93050162247170598</v>
      </c>
      <c r="AU339" s="2">
        <v>-1.2877799193125534</v>
      </c>
      <c r="AV339" s="31"/>
      <c r="AW339" s="31">
        <v>1988.0833333344499</v>
      </c>
      <c r="AX339" s="2">
        <v>-0.9508341969513483</v>
      </c>
      <c r="AY339" s="2">
        <v>-0.87038484719517628</v>
      </c>
      <c r="AZ339" s="2">
        <v>-1.1829109339708874</v>
      </c>
      <c r="BA339" s="31"/>
      <c r="BB339" s="31">
        <v>1988.0833333344499</v>
      </c>
      <c r="BC339" s="2">
        <v>-0.9285338489994549</v>
      </c>
      <c r="BD339" s="2">
        <v>-1.4615836317459097E-2</v>
      </c>
      <c r="BE339" s="2">
        <v>-0.86561908623108341</v>
      </c>
      <c r="BG339" s="2">
        <f t="shared" si="54"/>
        <v>-1.0243829699321465</v>
      </c>
      <c r="BH339" s="2">
        <f t="shared" si="48"/>
        <v>-0.60516743532811379</v>
      </c>
      <c r="BI339" s="2">
        <f t="shared" si="49"/>
        <v>-1.1121033131715079</v>
      </c>
    </row>
    <row r="340" spans="1:61" x14ac:dyDescent="0.3">
      <c r="A340" s="31">
        <v>1988.00000000112</v>
      </c>
      <c r="B340">
        <v>0.79564996151895717</v>
      </c>
      <c r="C340">
        <v>1.5200000000000102E-2</v>
      </c>
      <c r="D340">
        <v>1.2093879415088231E-2</v>
      </c>
      <c r="F340" s="31">
        <v>1988.00000000112</v>
      </c>
      <c r="G340" s="2">
        <v>0.45814466365767975</v>
      </c>
      <c r="H340" s="2">
        <v>6.1499999999999798E-2</v>
      </c>
      <c r="I340" s="2">
        <v>2.8175896814947213E-2</v>
      </c>
      <c r="K340" s="31">
        <v>1988.00000000112</v>
      </c>
      <c r="L340" s="2">
        <v>0.74403270615724515</v>
      </c>
      <c r="M340" s="2">
        <v>6.1530000000000001E-2</v>
      </c>
      <c r="N340" s="2">
        <v>4.5780332409855296E-2</v>
      </c>
      <c r="P340" s="31">
        <v>1988.00000000112</v>
      </c>
      <c r="Q340" s="2">
        <v>0.51628601100780502</v>
      </c>
      <c r="R340" s="2">
        <v>9.5850000000000463E-2</v>
      </c>
      <c r="S340" s="2">
        <v>3.3814337368646356E-2</v>
      </c>
      <c r="U340" s="2">
        <f t="shared" si="50"/>
        <v>0.57282112694091003</v>
      </c>
      <c r="V340" s="2">
        <f t="shared" si="51"/>
        <v>7.2960000000000094E-2</v>
      </c>
      <c r="W340" s="2">
        <f t="shared" si="52"/>
        <v>3.5923522197816291E-2</v>
      </c>
      <c r="Y340" s="31">
        <v>1988.00000000112</v>
      </c>
      <c r="Z340" s="2">
        <v>-1.5975519297513023</v>
      </c>
      <c r="AA340" s="2">
        <v>-0.78876452892998272</v>
      </c>
      <c r="AB340" s="2">
        <v>-1.0817393505036315</v>
      </c>
      <c r="AD340" s="31">
        <v>1988.00000000112</v>
      </c>
      <c r="AE340" s="2">
        <v>-0.3881652097626882</v>
      </c>
      <c r="AF340" s="2">
        <v>-0.68585487699629111</v>
      </c>
      <c r="AG340" s="2">
        <v>-0.54396576626238169</v>
      </c>
      <c r="AH340" s="31"/>
      <c r="AI340" s="31">
        <v>1988.00000000112</v>
      </c>
      <c r="AJ340" s="2">
        <v>-1.3221550714095633</v>
      </c>
      <c r="AK340" s="2">
        <v>-4.4052846898962821E-2</v>
      </c>
      <c r="AL340" s="2">
        <v>-0.89590874319155189</v>
      </c>
      <c r="AM340" s="31"/>
      <c r="AN340" s="2">
        <f t="shared" si="53"/>
        <v>-1.1026240703078514</v>
      </c>
      <c r="AO340" s="2">
        <f t="shared" si="46"/>
        <v>-0.50622408427507892</v>
      </c>
      <c r="AP340" s="2">
        <f t="shared" si="47"/>
        <v>-0.84053795331918835</v>
      </c>
      <c r="AQ340" s="31"/>
      <c r="AR340" s="31">
        <v>1988.00000000112</v>
      </c>
      <c r="AS340" s="2">
        <v>-0.88828882317031232</v>
      </c>
      <c r="AT340" s="2">
        <v>-0.29853293598826797</v>
      </c>
      <c r="AU340" s="2">
        <v>-1.0231684586331633</v>
      </c>
      <c r="AV340" s="31"/>
      <c r="AW340" s="31">
        <v>1988.00000000112</v>
      </c>
      <c r="AX340" s="2">
        <v>-5.5867116558717365E-2</v>
      </c>
      <c r="AY340" s="2">
        <v>-0.21897704373559218</v>
      </c>
      <c r="AZ340" s="2">
        <v>-0.11953738635396439</v>
      </c>
      <c r="BA340" s="31"/>
      <c r="BB340" s="31">
        <v>1988.00000000112</v>
      </c>
      <c r="BC340" s="2">
        <v>-0.63904023131638488</v>
      </c>
      <c r="BD340" s="2">
        <v>0.75540652012817533</v>
      </c>
      <c r="BE340" s="2">
        <v>-0.25067608522595264</v>
      </c>
      <c r="BG340" s="2">
        <f t="shared" si="54"/>
        <v>-0.52773205701513815</v>
      </c>
      <c r="BH340" s="2">
        <f t="shared" si="48"/>
        <v>7.9298846801438408E-2</v>
      </c>
      <c r="BI340" s="2">
        <f t="shared" si="49"/>
        <v>-0.46446064340436011</v>
      </c>
    </row>
    <row r="341" spans="1:61" x14ac:dyDescent="0.3">
      <c r="A341" s="31">
        <v>1987.91666666779</v>
      </c>
      <c r="B341">
        <v>0.81130631098917427</v>
      </c>
      <c r="C341">
        <v>1.5200000000000102E-2</v>
      </c>
      <c r="D341">
        <v>1.2331855927035533E-2</v>
      </c>
      <c r="F341" s="31">
        <v>1987.91666666779</v>
      </c>
      <c r="G341" s="2">
        <v>0.56832667972694162</v>
      </c>
      <c r="H341" s="2">
        <v>6.1499999999999902E-2</v>
      </c>
      <c r="I341" s="2">
        <v>3.4952090803206853E-2</v>
      </c>
      <c r="K341" s="31">
        <v>1987.91666666779</v>
      </c>
      <c r="L341" s="2">
        <v>0.65345591188786867</v>
      </c>
      <c r="M341" s="2">
        <v>6.1514999999999952E-2</v>
      </c>
      <c r="N341" s="2">
        <v>4.0199245632174363E-2</v>
      </c>
      <c r="P341" s="31">
        <v>1987.91666666779</v>
      </c>
      <c r="Q341" s="2">
        <v>0.59620625619122025</v>
      </c>
      <c r="R341" s="2">
        <v>9.5800000000000607E-2</v>
      </c>
      <c r="S341" s="2">
        <v>2.2571087698993672E-2</v>
      </c>
      <c r="U341" s="2">
        <f t="shared" si="50"/>
        <v>0.60599628260201011</v>
      </c>
      <c r="V341" s="2">
        <f t="shared" si="51"/>
        <v>7.2938333333333494E-2</v>
      </c>
      <c r="W341" s="2">
        <f t="shared" si="52"/>
        <v>3.2574141378124963E-2</v>
      </c>
      <c r="Y341" s="31">
        <v>1987.91666666779</v>
      </c>
      <c r="Z341" s="2">
        <v>-0.95870820549665903</v>
      </c>
      <c r="AA341" s="2">
        <v>-0.78876452892998072</v>
      </c>
      <c r="AB341" s="2">
        <v>-0.925790402197471</v>
      </c>
      <c r="AD341" s="31">
        <v>1987.91666666779</v>
      </c>
      <c r="AE341" s="2">
        <v>-0.92716567334543354</v>
      </c>
      <c r="AF341" s="2">
        <v>-0.68622224125583742</v>
      </c>
      <c r="AG341" s="2">
        <v>-0.75618553297496005</v>
      </c>
      <c r="AH341" s="31"/>
      <c r="AI341" s="31">
        <v>1987.91666666779</v>
      </c>
      <c r="AJ341" s="2">
        <v>-1.2801686479183914</v>
      </c>
      <c r="AK341" s="2">
        <v>-4.5244348379574514E-2</v>
      </c>
      <c r="AL341" s="2">
        <v>-1.8045641721750938</v>
      </c>
      <c r="AM341" s="31"/>
      <c r="AN341" s="2">
        <f t="shared" si="53"/>
        <v>-1.0553475089201612</v>
      </c>
      <c r="AO341" s="2">
        <f t="shared" si="46"/>
        <v>-0.5067437061884642</v>
      </c>
      <c r="AP341" s="2">
        <f t="shared" si="47"/>
        <v>-1.1621800357825083</v>
      </c>
      <c r="AQ341" s="31"/>
      <c r="AR341" s="31">
        <v>1987.91666666779</v>
      </c>
      <c r="AS341" s="2">
        <v>-0.71286019489506136</v>
      </c>
      <c r="AT341" s="2">
        <v>-0.68444756444044996</v>
      </c>
      <c r="AU341" s="2">
        <v>-0.90458065585394243</v>
      </c>
      <c r="AV341" s="31"/>
      <c r="AW341" s="31">
        <v>1987.91666666779</v>
      </c>
      <c r="AX341" s="2">
        <v>-0.6385697436364578</v>
      </c>
      <c r="AY341" s="2">
        <v>-0.51751295497595129</v>
      </c>
      <c r="AZ341" s="2">
        <v>-0.72732187432575035</v>
      </c>
      <c r="BA341" s="31"/>
      <c r="BB341" s="31">
        <v>1987.91666666779</v>
      </c>
      <c r="BC341" s="2">
        <v>-1.0781864019081735</v>
      </c>
      <c r="BD341" s="2">
        <v>0.88459457538944342</v>
      </c>
      <c r="BE341" s="2">
        <v>-1.7797083539043339</v>
      </c>
      <c r="BG341" s="2">
        <f t="shared" si="54"/>
        <v>-0.80987211347989752</v>
      </c>
      <c r="BH341" s="2">
        <f t="shared" si="48"/>
        <v>-0.10578864800898595</v>
      </c>
      <c r="BI341" s="2">
        <f t="shared" si="49"/>
        <v>-1.1372036280280089</v>
      </c>
    </row>
    <row r="342" spans="1:61" x14ac:dyDescent="0.3">
      <c r="A342" s="31">
        <v>1987.8333333344599</v>
      </c>
      <c r="B342">
        <v>0.83003792626460893</v>
      </c>
      <c r="C342">
        <v>1.5200000000000102E-2</v>
      </c>
      <c r="D342">
        <v>1.261657647922214E-2</v>
      </c>
      <c r="F342" s="31">
        <v>1987.8333333344599</v>
      </c>
      <c r="G342" s="2">
        <v>0.48947857592765143</v>
      </c>
      <c r="H342" s="2">
        <v>6.1499999999999798E-2</v>
      </c>
      <c r="I342" s="2">
        <v>3.0102932419550463E-2</v>
      </c>
      <c r="K342" s="31">
        <v>1987.8333333344599</v>
      </c>
      <c r="L342" s="2">
        <v>0.80311377694629882</v>
      </c>
      <c r="M342" s="2">
        <v>6.1530000000000001E-2</v>
      </c>
      <c r="N342" s="2">
        <v>4.9415590695505766E-2</v>
      </c>
      <c r="P342" s="31">
        <v>1987.8333333344599</v>
      </c>
      <c r="Q342" s="2">
        <v>0.71618273799735643</v>
      </c>
      <c r="R342" s="2">
        <v>7.1900000000000297E-2</v>
      </c>
      <c r="S342" s="2">
        <v>3.8230718453279335E-2</v>
      </c>
      <c r="U342" s="2">
        <f t="shared" si="50"/>
        <v>0.6695916969571023</v>
      </c>
      <c r="V342" s="2">
        <f t="shared" si="51"/>
        <v>6.4976666666666696E-2</v>
      </c>
      <c r="W342" s="2">
        <f t="shared" si="52"/>
        <v>3.924974718944519E-2</v>
      </c>
      <c r="Y342" s="31">
        <v>1987.8333333344599</v>
      </c>
      <c r="Z342" s="2">
        <v>-1.4158755189890078</v>
      </c>
      <c r="AA342" s="2">
        <v>-0.78876452892998272</v>
      </c>
      <c r="AB342" s="2">
        <v>-1.0373900924382515</v>
      </c>
      <c r="AD342" s="31">
        <v>1987.8333333344599</v>
      </c>
      <c r="AE342" s="2">
        <v>-3.6588133082779195E-2</v>
      </c>
      <c r="AF342" s="2">
        <v>-0.68585487699629111</v>
      </c>
      <c r="AG342" s="2">
        <v>-0.40573575908781573</v>
      </c>
      <c r="AH342" s="31"/>
      <c r="AI342" s="31">
        <v>1987.8333333344599</v>
      </c>
      <c r="AJ342" s="2">
        <v>-0.97863855334574745</v>
      </c>
      <c r="AK342" s="2">
        <v>-0.61478205611361436</v>
      </c>
      <c r="AL342" s="2">
        <v>-0.5389862548611879</v>
      </c>
      <c r="AM342" s="31"/>
      <c r="AN342" s="2">
        <f t="shared" si="53"/>
        <v>-0.81036740180584488</v>
      </c>
      <c r="AO342" s="2">
        <f t="shared" si="46"/>
        <v>-0.69646715401329606</v>
      </c>
      <c r="AP342" s="2">
        <f t="shared" si="47"/>
        <v>-0.6607040354624184</v>
      </c>
      <c r="AQ342" s="31"/>
      <c r="AR342" s="31">
        <v>1987.8333333344599</v>
      </c>
      <c r="AS342" s="2">
        <v>-0.84015929137879408</v>
      </c>
      <c r="AT342" s="2">
        <v>-0.2854929317171821</v>
      </c>
      <c r="AU342" s="2">
        <v>-0.94137267887689979</v>
      </c>
      <c r="AV342" s="31"/>
      <c r="AW342" s="31">
        <v>1987.8333333344599</v>
      </c>
      <c r="AX342" s="2">
        <v>0.12007397912783238</v>
      </c>
      <c r="AY342" s="2">
        <v>-0.19067841091384152</v>
      </c>
      <c r="AZ342" s="2">
        <v>7.1471422826011752E-2</v>
      </c>
      <c r="BA342" s="31"/>
      <c r="BB342" s="31">
        <v>1987.8333333344599</v>
      </c>
      <c r="BC342" s="2">
        <v>-0.57131473808069821</v>
      </c>
      <c r="BD342" s="2">
        <v>-4.0971152421897278E-2</v>
      </c>
      <c r="BE342" s="2">
        <v>-0.16176141396346591</v>
      </c>
      <c r="BG342" s="2">
        <f t="shared" si="54"/>
        <v>-0.43046668344388667</v>
      </c>
      <c r="BH342" s="2">
        <f t="shared" si="48"/>
        <v>-0.17238083168430696</v>
      </c>
      <c r="BI342" s="2">
        <f t="shared" si="49"/>
        <v>-0.34388755667145127</v>
      </c>
    </row>
    <row r="343" spans="1:61" x14ac:dyDescent="0.3">
      <c r="A343" s="31">
        <v>1987.75000000113</v>
      </c>
      <c r="B343">
        <v>0.86216277221656745</v>
      </c>
      <c r="C343">
        <v>3.0400000000000205E-2</v>
      </c>
      <c r="D343">
        <v>2.6209748275383828E-2</v>
      </c>
      <c r="F343" s="31">
        <v>1987.75000000113</v>
      </c>
      <c r="G343" s="2">
        <v>0.55367422351714901</v>
      </c>
      <c r="H343" s="2">
        <v>6.1499999999999846E-2</v>
      </c>
      <c r="I343" s="2">
        <v>3.4050964746304591E-2</v>
      </c>
      <c r="K343" s="31">
        <v>1987.75000000113</v>
      </c>
      <c r="L343" s="2">
        <v>0.66977478926482692</v>
      </c>
      <c r="M343" s="2">
        <v>6.1514999999999952E-2</v>
      </c>
      <c r="N343" s="2">
        <v>4.1203066434485902E-2</v>
      </c>
      <c r="P343" s="31">
        <v>1987.75000000113</v>
      </c>
      <c r="Q343" s="2">
        <v>0.74029907512099313</v>
      </c>
      <c r="R343" s="2">
        <v>9.5850000000000463E-2</v>
      </c>
      <c r="S343" s="2">
        <v>4.3009252190347652E-2</v>
      </c>
      <c r="U343" s="2">
        <f t="shared" si="50"/>
        <v>0.65458269596765628</v>
      </c>
      <c r="V343" s="2">
        <f t="shared" si="51"/>
        <v>7.2955000000000089E-2</v>
      </c>
      <c r="W343" s="2">
        <f t="shared" si="52"/>
        <v>3.9421094457046051E-2</v>
      </c>
      <c r="Y343" s="31">
        <v>1987.75000000113</v>
      </c>
      <c r="Z343" s="2">
        <v>-1.0436642630138655</v>
      </c>
      <c r="AA343" s="2">
        <v>-0.78876452892998183</v>
      </c>
      <c r="AB343" s="2">
        <v>-0.94652913268669037</v>
      </c>
      <c r="AD343" s="31">
        <v>1987.75000000113</v>
      </c>
      <c r="AE343" s="2">
        <v>-0.83005600477876496</v>
      </c>
      <c r="AF343" s="2">
        <v>-0.68622224125583742</v>
      </c>
      <c r="AG343" s="2">
        <v>-0.71801543726175432</v>
      </c>
      <c r="AH343" s="31"/>
      <c r="AI343" s="31">
        <v>1987.75000000113</v>
      </c>
      <c r="AJ343" s="2">
        <v>-0.61653706999717517</v>
      </c>
      <c r="AK343" s="2">
        <v>-4.4052846898962821E-2</v>
      </c>
      <c r="AL343" s="2">
        <v>-0.15279536251731363</v>
      </c>
      <c r="AM343" s="31"/>
      <c r="AN343" s="2">
        <f t="shared" si="53"/>
        <v>-0.83008577926326854</v>
      </c>
      <c r="AO343" s="2">
        <f t="shared" si="46"/>
        <v>-0.50634653902826077</v>
      </c>
      <c r="AP343" s="2">
        <f t="shared" si="47"/>
        <v>-0.60577997748858614</v>
      </c>
      <c r="AQ343" s="31"/>
      <c r="AR343" s="31">
        <v>1987.75000000113</v>
      </c>
      <c r="AS343" s="2">
        <v>-1.3463163839701182</v>
      </c>
      <c r="AT343" s="2">
        <v>-0.6766476141944503</v>
      </c>
      <c r="AU343" s="2">
        <v>-1.1127603567692366</v>
      </c>
      <c r="AV343" s="31"/>
      <c r="AW343" s="31">
        <v>1987.75000000113</v>
      </c>
      <c r="AX343" s="2">
        <v>-0.87688762073018567</v>
      </c>
      <c r="AY343" s="2">
        <v>-0.6564669997761764</v>
      </c>
      <c r="AZ343" s="2">
        <v>-1.0189230300871301</v>
      </c>
      <c r="BA343" s="31"/>
      <c r="BB343" s="31">
        <v>1987.75000000113</v>
      </c>
      <c r="BC343" s="2">
        <v>-0.66450204779500011</v>
      </c>
      <c r="BD343" s="2">
        <v>0.36965282471677957</v>
      </c>
      <c r="BE343" s="2">
        <v>-0.36066335662081661</v>
      </c>
      <c r="BG343" s="2">
        <f t="shared" si="54"/>
        <v>-0.96256868416510122</v>
      </c>
      <c r="BH343" s="2">
        <f t="shared" si="48"/>
        <v>-0.32115392975128237</v>
      </c>
      <c r="BI343" s="2">
        <f t="shared" si="49"/>
        <v>-0.83078224782572774</v>
      </c>
    </row>
    <row r="344" spans="1:61" x14ac:dyDescent="0.3">
      <c r="A344" s="31">
        <v>1987.6666666678</v>
      </c>
      <c r="B344">
        <v>0.89192263599895893</v>
      </c>
      <c r="C344">
        <v>1.5200000000000102E-2</v>
      </c>
      <c r="D344">
        <v>1.3557224067184266E-2</v>
      </c>
      <c r="F344" s="31">
        <v>1987.6666666678</v>
      </c>
      <c r="G344" s="2"/>
      <c r="H344" s="2"/>
      <c r="I344" s="2"/>
      <c r="K344" s="31">
        <v>1987.6666666678</v>
      </c>
      <c r="L344" s="2">
        <v>0.78589979243089003</v>
      </c>
      <c r="M344" s="2">
        <v>6.1530000000000001E-2</v>
      </c>
      <c r="N344" s="2">
        <v>4.8356414228272665E-2</v>
      </c>
      <c r="P344" s="31">
        <v>1987.6666666678</v>
      </c>
      <c r="Q344" s="2">
        <v>0.74367234433135443</v>
      </c>
      <c r="R344" s="2">
        <v>9.5800000000000607E-2</v>
      </c>
      <c r="S344" s="2">
        <v>2.8279459950147287E-2</v>
      </c>
      <c r="U344" s="2">
        <f t="shared" si="50"/>
        <v>0.76478606838112229</v>
      </c>
      <c r="V344" s="2">
        <f t="shared" si="51"/>
        <v>7.8665000000000304E-2</v>
      </c>
      <c r="W344" s="2">
        <f t="shared" si="52"/>
        <v>3.8317937089209976E-2</v>
      </c>
      <c r="Y344" s="31">
        <v>1987.6666666678</v>
      </c>
      <c r="Z344" s="2"/>
      <c r="AA344" s="2"/>
      <c r="AB344" s="2"/>
      <c r="AD344" s="31">
        <v>1987.6666666678</v>
      </c>
      <c r="AE344" s="2">
        <v>-0.13902436643320693</v>
      </c>
      <c r="AF344" s="2">
        <v>-0.68585487699629111</v>
      </c>
      <c r="AG344" s="2">
        <v>-0.44601074346586944</v>
      </c>
      <c r="AH344" s="31"/>
      <c r="AI344" s="31">
        <v>1987.6666666678</v>
      </c>
      <c r="AJ344" s="2">
        <v>-0.50312391539950807</v>
      </c>
      <c r="AK344" s="2">
        <v>-4.5244348379574514E-2</v>
      </c>
      <c r="AL344" s="2">
        <v>-1.3432257167399078</v>
      </c>
      <c r="AM344" s="31"/>
      <c r="AN344" s="2">
        <f t="shared" si="53"/>
        <v>-0.3210741409163575</v>
      </c>
      <c r="AO344" s="2">
        <f t="shared" si="46"/>
        <v>-0.36554961268793279</v>
      </c>
      <c r="AP344" s="2">
        <f t="shared" si="47"/>
        <v>-0.89461823010288866</v>
      </c>
      <c r="AQ344" s="31"/>
      <c r="AR344" s="31">
        <v>1987.6666666678</v>
      </c>
      <c r="AS344" s="2"/>
      <c r="AT344" s="2"/>
      <c r="AU344" s="2"/>
      <c r="AV344" s="31"/>
      <c r="AW344" s="31">
        <v>1987.6666666678</v>
      </c>
      <c r="AX344" s="2">
        <v>-0.1693944139501514</v>
      </c>
      <c r="AY344" s="2">
        <v>-0.23771353876763443</v>
      </c>
      <c r="AZ344" s="2">
        <v>-0.18467355637243141</v>
      </c>
      <c r="BA344" s="31"/>
      <c r="BB344" s="31">
        <v>1987.6666666678</v>
      </c>
      <c r="BC344" s="2">
        <v>-0.71127546686505982</v>
      </c>
      <c r="BD344" s="2">
        <v>1.0262385864010182</v>
      </c>
      <c r="BE344" s="2">
        <v>-1.268017984526721</v>
      </c>
      <c r="BG344" s="2">
        <f t="shared" si="54"/>
        <v>-0.44033494040760562</v>
      </c>
      <c r="BH344" s="2">
        <f t="shared" si="48"/>
        <v>0.39426252381669186</v>
      </c>
      <c r="BI344" s="2">
        <f t="shared" si="49"/>
        <v>-0.72634577044957616</v>
      </c>
    </row>
    <row r="345" spans="1:61" x14ac:dyDescent="0.3">
      <c r="A345" s="31">
        <v>1987.5833333344699</v>
      </c>
      <c r="B345">
        <v>0.90888010349036452</v>
      </c>
      <c r="C345">
        <v>1.5200000000000102E-2</v>
      </c>
      <c r="D345">
        <v>1.3814977573053633E-2</v>
      </c>
      <c r="F345" s="31">
        <v>1987.5833333344699</v>
      </c>
      <c r="G345" s="2">
        <v>0.57583690097559537</v>
      </c>
      <c r="H345" s="2">
        <v>6.1499999999999846E-2</v>
      </c>
      <c r="I345" s="2">
        <v>3.5413969409999031E-2</v>
      </c>
      <c r="K345" s="31">
        <v>1987.5833333344699</v>
      </c>
      <c r="L345" s="2">
        <v>0.6708438452230554</v>
      </c>
      <c r="M345" s="2">
        <v>6.1514999999999952E-2</v>
      </c>
      <c r="N345" s="2">
        <v>4.1268554583531888E-2</v>
      </c>
      <c r="P345" s="31">
        <v>1987.5833333344699</v>
      </c>
      <c r="Q345" s="2">
        <v>0.70773471419473788</v>
      </c>
      <c r="R345" s="2">
        <v>9.5850000000000463E-2</v>
      </c>
      <c r="S345" s="2">
        <v>5.0682311667667346E-2</v>
      </c>
      <c r="U345" s="2">
        <f t="shared" si="50"/>
        <v>0.65147182013112959</v>
      </c>
      <c r="V345" s="2">
        <f t="shared" si="51"/>
        <v>7.2955000000000089E-2</v>
      </c>
      <c r="W345" s="2">
        <f t="shared" si="52"/>
        <v>4.2454945220399422E-2</v>
      </c>
      <c r="Y345" s="31">
        <v>1987.5833333344699</v>
      </c>
      <c r="Z345" s="2">
        <v>-0.91516337047158269</v>
      </c>
      <c r="AA345" s="2">
        <v>-0.78876452892998183</v>
      </c>
      <c r="AB345" s="2">
        <v>-0.91516061752791278</v>
      </c>
      <c r="AD345" s="31">
        <v>1987.5833333344699</v>
      </c>
      <c r="AE345" s="2">
        <v>-0.82369431289367401</v>
      </c>
      <c r="AF345" s="2">
        <v>-0.68622224125583742</v>
      </c>
      <c r="AG345" s="2">
        <v>-0.71552526280889395</v>
      </c>
      <c r="AH345" s="31"/>
      <c r="AI345" s="31">
        <v>1987.5833333344699</v>
      </c>
      <c r="AJ345" s="2">
        <v>0.2598918865895668</v>
      </c>
      <c r="AK345" s="2">
        <v>-4.4052846898962821E-2</v>
      </c>
      <c r="AL345" s="2">
        <v>0.46732491905920814</v>
      </c>
      <c r="AM345" s="31"/>
      <c r="AN345" s="2">
        <f t="shared" si="53"/>
        <v>-0.49298859892523</v>
      </c>
      <c r="AO345" s="2">
        <f t="shared" si="46"/>
        <v>-0.50634653902826077</v>
      </c>
      <c r="AP345" s="2">
        <f t="shared" si="47"/>
        <v>-0.38778698709253284</v>
      </c>
      <c r="AQ345" s="31"/>
      <c r="AR345" s="31">
        <v>1987.5833333344699</v>
      </c>
      <c r="AS345" s="2">
        <v>-1.4234729894233142</v>
      </c>
      <c r="AT345" s="2">
        <v>-0.65870957567408583</v>
      </c>
      <c r="AU345" s="2">
        <v>-1.1287455745702102</v>
      </c>
      <c r="AV345" s="31"/>
      <c r="AW345" s="31">
        <v>1987.5833333344699</v>
      </c>
      <c r="AX345" s="2">
        <v>-1.1621784732187346</v>
      </c>
      <c r="AY345" s="2">
        <v>-0.53553372549108424</v>
      </c>
      <c r="AZ345" s="2">
        <v>-1.2336402351502884</v>
      </c>
      <c r="BA345" s="31"/>
      <c r="BB345" s="31">
        <v>1987.5833333344699</v>
      </c>
      <c r="BC345" s="2">
        <v>-0.30145680811095227</v>
      </c>
      <c r="BD345" s="2">
        <v>0.77441334649330551</v>
      </c>
      <c r="BE345" s="2">
        <v>-0.22930387875337546</v>
      </c>
      <c r="BG345" s="2">
        <f t="shared" si="54"/>
        <v>-0.96236942358433364</v>
      </c>
      <c r="BH345" s="2">
        <f t="shared" si="48"/>
        <v>-0.13994331822395487</v>
      </c>
      <c r="BI345" s="2">
        <f t="shared" si="49"/>
        <v>-0.86389656282462468</v>
      </c>
    </row>
    <row r="346" spans="1:61" x14ac:dyDescent="0.3">
      <c r="A346" s="31">
        <v>1987.5000000011401</v>
      </c>
      <c r="B346">
        <v>0.92047986940176252</v>
      </c>
      <c r="C346">
        <v>1.5200000000000102E-2</v>
      </c>
      <c r="D346">
        <v>1.3991294014906884E-2</v>
      </c>
      <c r="F346" s="31">
        <v>1987.5000000011401</v>
      </c>
      <c r="G346" s="2"/>
      <c r="H346" s="2"/>
      <c r="I346" s="2"/>
      <c r="K346" s="31">
        <v>1987.5000000011401</v>
      </c>
      <c r="L346" s="2">
        <v>0.77250670917908448</v>
      </c>
      <c r="M346" s="2">
        <v>6.1530000000000001E-2</v>
      </c>
      <c r="N346" s="2">
        <v>4.7532337815789069E-2</v>
      </c>
      <c r="P346" s="31">
        <v>1987.5000000011401</v>
      </c>
      <c r="Q346" s="2">
        <v>0.67128188150902612</v>
      </c>
      <c r="R346" s="2">
        <v>4.7900000000000303E-2</v>
      </c>
      <c r="S346" s="2">
        <v>3.6766741239431508E-2</v>
      </c>
      <c r="U346" s="2">
        <f t="shared" si="50"/>
        <v>0.72189429534405525</v>
      </c>
      <c r="V346" s="2">
        <f t="shared" si="51"/>
        <v>5.4715000000000152E-2</v>
      </c>
      <c r="W346" s="2">
        <f t="shared" si="52"/>
        <v>4.2149539527610289E-2</v>
      </c>
      <c r="Y346" s="31">
        <v>1987.5000000011401</v>
      </c>
      <c r="Z346" s="2"/>
      <c r="AA346" s="2"/>
      <c r="AB346" s="2"/>
      <c r="AD346" s="31">
        <v>1987.5000000011401</v>
      </c>
      <c r="AE346" s="2">
        <v>-0.21872334606430827</v>
      </c>
      <c r="AF346" s="2">
        <v>-0.68585487699629111</v>
      </c>
      <c r="AG346" s="2">
        <v>-0.47734609283007984</v>
      </c>
      <c r="AH346" s="31"/>
      <c r="AI346" s="31">
        <v>1987.5000000011401</v>
      </c>
      <c r="AJ346" s="2">
        <v>0.65219618796473888</v>
      </c>
      <c r="AK346" s="2">
        <v>-1.186702766808877</v>
      </c>
      <c r="AL346" s="2">
        <v>-0.65730176704460808</v>
      </c>
      <c r="AM346" s="31"/>
      <c r="AN346" s="2">
        <f t="shared" si="53"/>
        <v>0.21673642095021531</v>
      </c>
      <c r="AO346" s="2">
        <f t="shared" si="46"/>
        <v>-0.93627882190258405</v>
      </c>
      <c r="AP346" s="2">
        <f t="shared" si="47"/>
        <v>-0.56732392993734393</v>
      </c>
      <c r="AQ346" s="31"/>
      <c r="AR346" s="31">
        <v>1987.5000000011401</v>
      </c>
      <c r="AS346" s="2"/>
      <c r="AT346" s="2"/>
      <c r="AU346" s="2"/>
      <c r="AV346" s="31"/>
      <c r="AW346" s="31">
        <v>1987.5000000011401</v>
      </c>
      <c r="AX346" s="2">
        <v>-0.2972806835809213</v>
      </c>
      <c r="AY346" s="2">
        <v>-0.10730219351257217</v>
      </c>
      <c r="AZ346" s="2">
        <v>-0.29667397954316599</v>
      </c>
      <c r="BA346" s="31"/>
      <c r="BB346" s="31">
        <v>1987.5000000011401</v>
      </c>
      <c r="BC346" s="2">
        <v>-9.6142882224816109E-2</v>
      </c>
      <c r="BD346" s="2">
        <v>-0.38248368897839508</v>
      </c>
      <c r="BE346" s="2">
        <v>-0.30808219668173886</v>
      </c>
      <c r="BG346" s="2">
        <f t="shared" si="54"/>
        <v>-0.1967117829028687</v>
      </c>
      <c r="BH346" s="2">
        <f t="shared" si="48"/>
        <v>-0.24489294124548361</v>
      </c>
      <c r="BI346" s="2">
        <f t="shared" si="49"/>
        <v>-0.30237808811245243</v>
      </c>
    </row>
    <row r="347" spans="1:61" x14ac:dyDescent="0.3">
      <c r="A347" s="31">
        <v>1987.41666666781</v>
      </c>
      <c r="B347">
        <v>0.88985100071049028</v>
      </c>
      <c r="C347">
        <v>0.10640000000000072</v>
      </c>
      <c r="D347">
        <v>9.4680146475596805E-2</v>
      </c>
      <c r="F347" s="31">
        <v>1987.41666666781</v>
      </c>
      <c r="G347" s="2">
        <v>0.66776535110295898</v>
      </c>
      <c r="H347" s="2">
        <v>0.21524999999999933</v>
      </c>
      <c r="I347" s="2">
        <v>0.15238594145636661</v>
      </c>
      <c r="K347" s="31">
        <v>1987.41666666781</v>
      </c>
      <c r="L347" s="2">
        <v>0.67156455769722156</v>
      </c>
      <c r="M347" s="2">
        <v>0.1230299999999999</v>
      </c>
      <c r="N347" s="2">
        <v>6.521333460139582E-2</v>
      </c>
      <c r="P347" s="31">
        <v>1987.41666666781</v>
      </c>
      <c r="Q347" s="2">
        <v>0.68142158134730724</v>
      </c>
      <c r="R347" s="2">
        <v>0.1198000000000006</v>
      </c>
      <c r="S347" s="2">
        <v>5.2399744796652464E-2</v>
      </c>
      <c r="U347" s="2">
        <f t="shared" si="50"/>
        <v>0.67358383004916256</v>
      </c>
      <c r="V347" s="2">
        <f t="shared" si="51"/>
        <v>0.15269333333333326</v>
      </c>
      <c r="W347" s="2">
        <f t="shared" si="52"/>
        <v>8.9999673618138307E-2</v>
      </c>
      <c r="Y347" s="31">
        <v>1987.41666666781</v>
      </c>
      <c r="Z347" s="2">
        <v>-0.38215521233981398</v>
      </c>
      <c r="AA347" s="2">
        <v>2.2135512753475508</v>
      </c>
      <c r="AB347" s="2">
        <v>1.7768603094901021</v>
      </c>
      <c r="AD347" s="31">
        <v>1987.41666666781</v>
      </c>
      <c r="AE347" s="2">
        <v>-0.81940552832342162</v>
      </c>
      <c r="AF347" s="2">
        <v>0.82033858713866403</v>
      </c>
      <c r="AG347" s="2">
        <v>0.1949704581493443</v>
      </c>
      <c r="AH347" s="31"/>
      <c r="AI347" s="31">
        <v>1987.41666666781</v>
      </c>
      <c r="AJ347" s="2">
        <v>0.44898750327634751</v>
      </c>
      <c r="AK347" s="2">
        <v>0.52667636231568804</v>
      </c>
      <c r="AL347" s="2">
        <v>0.60612419706338738</v>
      </c>
      <c r="AM347" s="31"/>
      <c r="AN347" s="2">
        <f t="shared" si="53"/>
        <v>-0.25085774579562936</v>
      </c>
      <c r="AO347" s="2">
        <f t="shared" si="46"/>
        <v>1.1868554082673011</v>
      </c>
      <c r="AP347" s="2">
        <f t="shared" si="47"/>
        <v>0.85931832156761123</v>
      </c>
      <c r="AQ347" s="31"/>
      <c r="AR347" s="31">
        <v>1987.41666666781</v>
      </c>
      <c r="AS347" s="2">
        <v>-0.96435920302342715</v>
      </c>
      <c r="AT347" s="2">
        <v>0.97383890014291785</v>
      </c>
      <c r="AU347" s="2">
        <v>0.16210030311431139</v>
      </c>
      <c r="AV347" s="31"/>
      <c r="AW347" s="31">
        <v>1987.41666666781</v>
      </c>
      <c r="AX347" s="2">
        <v>-1.2429822197167033</v>
      </c>
      <c r="AY347" s="2">
        <v>-0.38552664826294392</v>
      </c>
      <c r="AZ347" s="2">
        <v>-0.62484287194772092</v>
      </c>
      <c r="BA347" s="31"/>
      <c r="BB347" s="31">
        <v>1987.41666666781</v>
      </c>
      <c r="BC347" s="2">
        <v>-0.27681206098032152</v>
      </c>
      <c r="BD347" s="2">
        <v>-0.9122447108614179</v>
      </c>
      <c r="BE347" s="2">
        <v>-0.30305821037307362</v>
      </c>
      <c r="BG347" s="2">
        <f t="shared" si="54"/>
        <v>-0.82805116124015077</v>
      </c>
      <c r="BH347" s="2">
        <f t="shared" si="48"/>
        <v>-0.10797748632714799</v>
      </c>
      <c r="BI347" s="2">
        <f t="shared" si="49"/>
        <v>-0.25526692640216103</v>
      </c>
    </row>
    <row r="348" spans="1:61" x14ac:dyDescent="0.3">
      <c r="A348" s="31">
        <v>1987.3333333344799</v>
      </c>
      <c r="B348">
        <v>0.89938313290038241</v>
      </c>
      <c r="C348">
        <v>0.10640000000000072</v>
      </c>
      <c r="D348">
        <v>9.5694365340601328E-2</v>
      </c>
      <c r="F348" s="31">
        <v>1987.3333333344799</v>
      </c>
      <c r="G348" s="2">
        <v>0.5750121650330231</v>
      </c>
      <c r="H348" s="2">
        <v>0.18449999999999944</v>
      </c>
      <c r="I348" s="2">
        <v>0.10600768267366459</v>
      </c>
      <c r="K348" s="31">
        <v>1987.3333333344799</v>
      </c>
      <c r="L348" s="2">
        <v>0.65770833866180944</v>
      </c>
      <c r="M348" s="2">
        <v>9.2264999999999903E-2</v>
      </c>
      <c r="N348" s="2">
        <v>4.046078171003839E-2</v>
      </c>
      <c r="P348" s="31">
        <v>1987.3333333344799</v>
      </c>
      <c r="Q348" s="2">
        <v>0.63703187992529875</v>
      </c>
      <c r="R348" s="2">
        <v>0.14370000000000091</v>
      </c>
      <c r="S348" s="2">
        <v>3.3318462581379625E-2</v>
      </c>
      <c r="U348" s="2">
        <f t="shared" si="50"/>
        <v>0.62325079454004373</v>
      </c>
      <c r="V348" s="2">
        <f t="shared" si="51"/>
        <v>0.14015500000000009</v>
      </c>
      <c r="W348" s="2">
        <f t="shared" si="52"/>
        <v>5.9928975655027535E-2</v>
      </c>
      <c r="Y348" s="31">
        <v>1987.3333333344799</v>
      </c>
      <c r="Z348" s="2">
        <v>-0.91994525230562296</v>
      </c>
      <c r="AA348" s="2">
        <v>1.6130881144920444</v>
      </c>
      <c r="AB348" s="2">
        <v>0.7094999750657156</v>
      </c>
      <c r="AD348" s="31">
        <v>1987.3333333344799</v>
      </c>
      <c r="AE348" s="2">
        <v>-0.90186051631272668</v>
      </c>
      <c r="AF348" s="2">
        <v>6.6874490811640125E-2</v>
      </c>
      <c r="AG348" s="2">
        <v>-0.74624067319367393</v>
      </c>
      <c r="AH348" s="31"/>
      <c r="AI348" s="31">
        <v>1987.3333333344799</v>
      </c>
      <c r="AJ348" s="2">
        <v>0.18280375004953364</v>
      </c>
      <c r="AK348" s="2">
        <v>1.0962140700497278</v>
      </c>
      <c r="AL348" s="2">
        <v>-0.93598428458615057</v>
      </c>
      <c r="AM348" s="31"/>
      <c r="AN348" s="2">
        <f t="shared" si="53"/>
        <v>-0.54633400618960526</v>
      </c>
      <c r="AO348" s="2">
        <f t="shared" si="46"/>
        <v>0.92539222511780406</v>
      </c>
      <c r="AP348" s="2">
        <f t="shared" si="47"/>
        <v>-0.32424166090470297</v>
      </c>
      <c r="AQ348" s="31"/>
      <c r="AR348" s="31">
        <v>1987.3333333344799</v>
      </c>
      <c r="AS348" s="2">
        <v>-1.1791924401106799</v>
      </c>
      <c r="AT348" s="2">
        <v>0.58792153404252101</v>
      </c>
      <c r="AU348" s="2">
        <v>-0.21474404328797292</v>
      </c>
      <c r="AV348" s="31"/>
      <c r="AW348" s="31">
        <v>1987.3333333344799</v>
      </c>
      <c r="AX348" s="2">
        <v>-1.0064447782890542</v>
      </c>
      <c r="AY348" s="2">
        <v>-0.6035549277918324</v>
      </c>
      <c r="AZ348" s="2">
        <v>-0.89829806210449303</v>
      </c>
      <c r="BA348" s="31"/>
      <c r="BB348" s="31">
        <v>1987.3333333344799</v>
      </c>
      <c r="BC348" s="2">
        <v>-5.9956619719780384E-2</v>
      </c>
      <c r="BD348" s="2">
        <v>0.37905996795698232</v>
      </c>
      <c r="BE348" s="2">
        <v>-1.4694892281647955</v>
      </c>
      <c r="BG348" s="2">
        <f t="shared" si="54"/>
        <v>-0.74853127937317154</v>
      </c>
      <c r="BH348" s="2">
        <f t="shared" si="48"/>
        <v>0.12114219140255698</v>
      </c>
      <c r="BI348" s="2">
        <f t="shared" si="49"/>
        <v>-0.86084377785242039</v>
      </c>
    </row>
    <row r="349" spans="1:61" x14ac:dyDescent="0.3">
      <c r="A349" s="31">
        <v>1987.2500000011501</v>
      </c>
      <c r="B349">
        <v>0.81536504194073223</v>
      </c>
      <c r="C349">
        <v>0.10640000000000072</v>
      </c>
      <c r="D349">
        <v>8.6754840462494487E-2</v>
      </c>
      <c r="F349" s="31">
        <v>1987.2500000011501</v>
      </c>
      <c r="G349" s="2">
        <v>0.51946310990708744</v>
      </c>
      <c r="H349" s="2">
        <v>0.21524999999999933</v>
      </c>
      <c r="I349" s="2">
        <v>0.10834506312708984</v>
      </c>
      <c r="K349" s="31">
        <v>1987.2500000011501</v>
      </c>
      <c r="L349" s="2">
        <v>0.64861759938579133</v>
      </c>
      <c r="M349" s="2">
        <v>0.1230299999999999</v>
      </c>
      <c r="N349" s="2">
        <v>6.4066046448369607E-2</v>
      </c>
      <c r="P349" s="31">
        <v>1987.2500000011501</v>
      </c>
      <c r="Q349" s="2">
        <v>0.63220166941738098</v>
      </c>
      <c r="R349" s="2">
        <v>0.1198000000000006</v>
      </c>
      <c r="S349" s="2">
        <v>4.9457502299793614E-2</v>
      </c>
      <c r="U349" s="2">
        <f t="shared" si="50"/>
        <v>0.60009412623675329</v>
      </c>
      <c r="V349" s="2">
        <f t="shared" si="51"/>
        <v>0.15269333333333326</v>
      </c>
      <c r="W349" s="2">
        <f t="shared" si="52"/>
        <v>7.3956203958417691E-2</v>
      </c>
      <c r="Y349" s="31">
        <v>1987.2500000011501</v>
      </c>
      <c r="Z349" s="2">
        <v>-1.2420229063682562</v>
      </c>
      <c r="AA349" s="2">
        <v>2.2135512753475508</v>
      </c>
      <c r="AB349" s="2">
        <v>0.76329300757549834</v>
      </c>
      <c r="AD349" s="31">
        <v>1987.2500000011501</v>
      </c>
      <c r="AE349" s="2">
        <v>-0.95595729378876793</v>
      </c>
      <c r="AF349" s="2">
        <v>0.82033858713866403</v>
      </c>
      <c r="AG349" s="2">
        <v>0.15134504362237325</v>
      </c>
      <c r="AH349" s="31"/>
      <c r="AI349" s="31">
        <v>1987.2500000011501</v>
      </c>
      <c r="AJ349" s="2">
        <v>5.7720713510459862E-2</v>
      </c>
      <c r="AK349" s="2">
        <v>0.52667636231568804</v>
      </c>
      <c r="AL349" s="2">
        <v>0.36833844145813338</v>
      </c>
      <c r="AM349" s="31"/>
      <c r="AN349" s="2">
        <f t="shared" si="53"/>
        <v>-0.71341982888218813</v>
      </c>
      <c r="AO349" s="2">
        <f t="shared" si="46"/>
        <v>1.1868554082673011</v>
      </c>
      <c r="AP349" s="2">
        <f t="shared" si="47"/>
        <v>0.42765883088533502</v>
      </c>
      <c r="AQ349" s="31"/>
      <c r="AR349" s="31">
        <v>1987.2500000011501</v>
      </c>
      <c r="AS349" s="2">
        <v>-1.3279205353777392</v>
      </c>
      <c r="AT349" s="2">
        <v>1.3017632887485808</v>
      </c>
      <c r="AU349" s="2">
        <v>-6.8227710608367964E-2</v>
      </c>
      <c r="AV349" s="31"/>
      <c r="AW349" s="31">
        <v>1987.2500000011501</v>
      </c>
      <c r="AX349" s="2">
        <v>-0.91561762314884021</v>
      </c>
      <c r="AY349" s="2">
        <v>-0.13053036562694012</v>
      </c>
      <c r="AZ349" s="2">
        <v>-0.359151002999471</v>
      </c>
      <c r="BA349" s="31"/>
      <c r="BB349" s="31">
        <v>1987.2500000011501</v>
      </c>
      <c r="BC349" s="2">
        <v>0.36331954368110941</v>
      </c>
      <c r="BD349" s="2">
        <v>-0.51128572186882904</v>
      </c>
      <c r="BE349" s="2">
        <v>0.45739123950710581</v>
      </c>
      <c r="BG349" s="2">
        <f t="shared" si="54"/>
        <v>-0.62673953828182338</v>
      </c>
      <c r="BH349" s="2">
        <f t="shared" si="48"/>
        <v>0.21998240041760389</v>
      </c>
      <c r="BI349" s="2">
        <f t="shared" si="49"/>
        <v>1.0004175299755613E-2</v>
      </c>
    </row>
    <row r="350" spans="1:61" x14ac:dyDescent="0.3">
      <c r="A350" s="31">
        <v>1987.16666666782</v>
      </c>
      <c r="B350">
        <v>0.6582987994073336</v>
      </c>
      <c r="C350">
        <v>0.10640000000000072</v>
      </c>
      <c r="D350">
        <v>7.0042992256940773E-2</v>
      </c>
      <c r="F350" s="31">
        <v>1987.16666666782</v>
      </c>
      <c r="G350" s="2">
        <v>0.46503960850672216</v>
      </c>
      <c r="H350" s="2">
        <v>0.18449999999999944</v>
      </c>
      <c r="I350" s="2">
        <v>8.0236425909915754E-2</v>
      </c>
      <c r="K350" s="31">
        <v>1987.16666666782</v>
      </c>
      <c r="L350" s="2">
        <v>0.6464563139392252</v>
      </c>
      <c r="M350" s="2">
        <v>9.2264999999999903E-2</v>
      </c>
      <c r="N350" s="2">
        <v>3.9768911554164302E-2</v>
      </c>
      <c r="P350" s="31">
        <v>1987.16666666782</v>
      </c>
      <c r="Q350" s="2">
        <v>0.63128923961603345</v>
      </c>
      <c r="R350" s="2">
        <v>9.5800000000000607E-2</v>
      </c>
      <c r="S350" s="2">
        <v>3.0260607271350465E-2</v>
      </c>
      <c r="U350" s="2">
        <f t="shared" si="50"/>
        <v>0.58092838735399355</v>
      </c>
      <c r="V350" s="2">
        <f t="shared" si="51"/>
        <v>0.1241883333333333</v>
      </c>
      <c r="W350" s="2">
        <f t="shared" si="52"/>
        <v>5.0088648245143509E-2</v>
      </c>
      <c r="Y350" s="31">
        <v>1987.16666666782</v>
      </c>
      <c r="Z350" s="2">
        <v>-1.557574514170853</v>
      </c>
      <c r="AA350" s="2">
        <v>1.6130881144920444</v>
      </c>
      <c r="AB350" s="2">
        <v>0.1163941112433502</v>
      </c>
      <c r="AD350" s="31">
        <v>1987.16666666782</v>
      </c>
      <c r="AE350" s="2">
        <v>-0.96881857759805423</v>
      </c>
      <c r="AF350" s="2">
        <v>6.6874490811640125E-2</v>
      </c>
      <c r="AG350" s="2">
        <v>-0.7725489047126981</v>
      </c>
      <c r="AH350" s="31"/>
      <c r="AI350" s="31">
        <v>1987.16666666782</v>
      </c>
      <c r="AJ350" s="2">
        <v>-0.23344281848545834</v>
      </c>
      <c r="AK350" s="2">
        <v>-4.5244348379574514E-2</v>
      </c>
      <c r="AL350" s="2">
        <v>-1.1831136208672668</v>
      </c>
      <c r="AM350" s="31"/>
      <c r="AN350" s="2">
        <f t="shared" si="53"/>
        <v>-0.91994530341812197</v>
      </c>
      <c r="AO350" s="2">
        <f t="shared" si="46"/>
        <v>0.54490608564137</v>
      </c>
      <c r="AP350" s="2">
        <f t="shared" si="47"/>
        <v>-0.61308947144553827</v>
      </c>
      <c r="AQ350" s="31"/>
      <c r="AR350" s="31">
        <v>1987.16666666782</v>
      </c>
      <c r="AS350" s="2">
        <v>-1.3307923614517014</v>
      </c>
      <c r="AT350" s="2">
        <v>0.80409366606842991</v>
      </c>
      <c r="AU350" s="2">
        <v>-0.46194309843837411</v>
      </c>
      <c r="AV350" s="31"/>
      <c r="AW350" s="31">
        <v>1987.16666666782</v>
      </c>
      <c r="AX350" s="2">
        <v>-0.77011253467458496</v>
      </c>
      <c r="AY350" s="2">
        <v>-0.48231704140909132</v>
      </c>
      <c r="AZ350" s="2">
        <v>-0.77655828367729707</v>
      </c>
      <c r="BA350" s="31"/>
      <c r="BB350" s="31">
        <v>1987.16666666782</v>
      </c>
      <c r="BC350" s="2">
        <v>0.37870720048191669</v>
      </c>
      <c r="BD350" s="2">
        <v>-0.34984250636769648</v>
      </c>
      <c r="BE350" s="2">
        <v>-0.85700672958370083</v>
      </c>
      <c r="BG350" s="2">
        <f t="shared" si="54"/>
        <v>-0.57406589854812318</v>
      </c>
      <c r="BH350" s="2">
        <f t="shared" si="48"/>
        <v>-9.3552939027859629E-3</v>
      </c>
      <c r="BI350" s="2">
        <f t="shared" si="49"/>
        <v>-0.69850270389979074</v>
      </c>
    </row>
    <row r="351" spans="1:61" x14ac:dyDescent="0.3">
      <c r="A351" s="31">
        <v>1987.0833333344899</v>
      </c>
      <c r="B351">
        <v>0.62343767837117203</v>
      </c>
      <c r="C351">
        <v>4.5600000000000307E-2</v>
      </c>
      <c r="D351">
        <v>2.8428758133725637E-2</v>
      </c>
      <c r="F351" s="31">
        <v>1987.0833333344899</v>
      </c>
      <c r="G351" s="2">
        <v>0.44993018877410806</v>
      </c>
      <c r="H351" s="2">
        <v>9.2249999999999804E-2</v>
      </c>
      <c r="I351" s="2">
        <v>4.2949394557946129E-2</v>
      </c>
      <c r="K351" s="31">
        <v>1987.0833333344899</v>
      </c>
      <c r="L351" s="2">
        <v>0.64520529863098885</v>
      </c>
      <c r="M351" s="2">
        <v>9.2264999999999903E-2</v>
      </c>
      <c r="N351" s="2">
        <v>3.9692015247603372E-2</v>
      </c>
      <c r="P351" s="31">
        <v>1987.0833333344899</v>
      </c>
      <c r="Q351" s="2">
        <v>0.67495905515635668</v>
      </c>
      <c r="R351" s="2">
        <v>9.5850000000000463E-2</v>
      </c>
      <c r="S351" s="2">
        <v>4.9133767336090615E-2</v>
      </c>
      <c r="U351" s="2">
        <f t="shared" si="50"/>
        <v>0.59003151418715116</v>
      </c>
      <c r="V351" s="2">
        <f t="shared" si="51"/>
        <v>9.3455000000000066E-2</v>
      </c>
      <c r="W351" s="2">
        <f t="shared" si="52"/>
        <v>4.3925059047213368E-2</v>
      </c>
      <c r="Y351" s="31">
        <v>1987.0833333344899</v>
      </c>
      <c r="Z351" s="2">
        <v>-1.6451800810107453</v>
      </c>
      <c r="AA351" s="2">
        <v>-0.18830136807447412</v>
      </c>
      <c r="AB351" s="2">
        <v>-0.74173854181724386</v>
      </c>
      <c r="AD351" s="31">
        <v>1987.0833333344899</v>
      </c>
      <c r="AE351" s="2">
        <v>-0.97626306530075579</v>
      </c>
      <c r="AF351" s="2">
        <v>6.6874490811640125E-2</v>
      </c>
      <c r="AG351" s="2">
        <v>-0.77547287219241534</v>
      </c>
      <c r="AH351" s="31"/>
      <c r="AI351" s="31">
        <v>1987.0833333344899</v>
      </c>
      <c r="AJ351" s="2">
        <v>2.1354410643108467E-2</v>
      </c>
      <c r="AK351" s="2">
        <v>-4.4052846898962821E-2</v>
      </c>
      <c r="AL351" s="2">
        <v>0.34217487300918986</v>
      </c>
      <c r="AM351" s="31"/>
      <c r="AN351" s="2">
        <f t="shared" si="53"/>
        <v>-0.86669624522279742</v>
      </c>
      <c r="AO351" s="2">
        <f t="shared" si="46"/>
        <v>-5.5159908053932276E-2</v>
      </c>
      <c r="AP351" s="2">
        <f t="shared" si="47"/>
        <v>-0.39167884700015643</v>
      </c>
      <c r="AQ351" s="31"/>
      <c r="AR351" s="31">
        <v>1987.0833333344899</v>
      </c>
      <c r="AS351" s="2">
        <v>-1.5235131437809444</v>
      </c>
      <c r="AT351" s="2">
        <v>0.50956041230593874</v>
      </c>
      <c r="AU351" s="2">
        <v>-0.52774727209979633</v>
      </c>
      <c r="AV351" s="31"/>
      <c r="AW351" s="31">
        <v>1987.0833333344899</v>
      </c>
      <c r="AX351" s="2">
        <v>-0.71809353954819233</v>
      </c>
      <c r="AY351" s="2">
        <v>0.56051139147476758</v>
      </c>
      <c r="AZ351" s="2">
        <v>-1.0157813963085136</v>
      </c>
      <c r="BA351" s="31"/>
      <c r="BB351" s="31">
        <v>1987.0833333344899</v>
      </c>
      <c r="BC351" s="2">
        <v>0.77690841598819294</v>
      </c>
      <c r="BD351" s="2">
        <v>-1.4615836317459097E-2</v>
      </c>
      <c r="BE351" s="2">
        <v>0.85430986850920787</v>
      </c>
      <c r="BG351" s="2">
        <f t="shared" si="54"/>
        <v>-0.48823275578031461</v>
      </c>
      <c r="BH351" s="2">
        <f t="shared" si="48"/>
        <v>0.35181865582108235</v>
      </c>
      <c r="BI351" s="2">
        <f t="shared" si="49"/>
        <v>-0.22973959996636736</v>
      </c>
    </row>
    <row r="352" spans="1:61" x14ac:dyDescent="0.3">
      <c r="A352" s="31">
        <v>1987.0000000011601</v>
      </c>
      <c r="B352">
        <v>0.62778009947225244</v>
      </c>
      <c r="C352">
        <v>6.0800000000000409E-2</v>
      </c>
      <c r="D352">
        <v>3.8169030047913208E-2</v>
      </c>
      <c r="F352" s="31">
        <v>1987.0000000011601</v>
      </c>
      <c r="G352" s="2">
        <v>0.54298589039661627</v>
      </c>
      <c r="H352" s="2">
        <v>0.1229999999999998</v>
      </c>
      <c r="I352" s="2">
        <v>6.6787264518783696E-2</v>
      </c>
      <c r="K352" s="31">
        <v>1987.0000000011601</v>
      </c>
      <c r="L352" s="2">
        <v>0.64525917920289411</v>
      </c>
      <c r="M352" s="2">
        <v>9.2264999999999903E-2</v>
      </c>
      <c r="N352" s="2">
        <v>3.9695328902775537E-2</v>
      </c>
      <c r="P352" s="31">
        <v>1987.0000000011601</v>
      </c>
      <c r="Q352" s="2">
        <v>0.7115938019037219</v>
      </c>
      <c r="R352" s="2">
        <v>7.1900000000000297E-2</v>
      </c>
      <c r="S352" s="2">
        <v>4.9823415518958983E-2</v>
      </c>
      <c r="U352" s="2">
        <f t="shared" si="50"/>
        <v>0.63327962383441072</v>
      </c>
      <c r="V352" s="2">
        <f t="shared" si="51"/>
        <v>9.5721666666666663E-2</v>
      </c>
      <c r="W352" s="2">
        <f t="shared" si="52"/>
        <v>5.2102002980172736E-2</v>
      </c>
      <c r="Y352" s="31">
        <v>1987.0000000011601</v>
      </c>
      <c r="Z352" s="2">
        <v>-1.1056360328215908</v>
      </c>
      <c r="AA352" s="2">
        <v>0.41216179278103438</v>
      </c>
      <c r="AB352" s="2">
        <v>-0.1931281040563835</v>
      </c>
      <c r="AD352" s="31">
        <v>1987.0000000011601</v>
      </c>
      <c r="AE352" s="2">
        <v>-0.97594243512754975</v>
      </c>
      <c r="AF352" s="2">
        <v>6.6874490811640125E-2</v>
      </c>
      <c r="AG352" s="2">
        <v>-0.77534687108266476</v>
      </c>
      <c r="AH352" s="31"/>
      <c r="AI352" s="31">
        <v>1987.0000000011601</v>
      </c>
      <c r="AJ352" s="2">
        <v>8.9347842130882621E-2</v>
      </c>
      <c r="AK352" s="2">
        <v>-0.61478205611361436</v>
      </c>
      <c r="AL352" s="2">
        <v>0.39791076644428908</v>
      </c>
      <c r="AM352" s="31"/>
      <c r="AN352" s="2">
        <f t="shared" si="53"/>
        <v>-0.66407687527275261</v>
      </c>
      <c r="AO352" s="2">
        <f t="shared" si="46"/>
        <v>-4.5248590840313296E-2</v>
      </c>
      <c r="AP352" s="2">
        <f t="shared" si="47"/>
        <v>-0.19018806956491974</v>
      </c>
      <c r="AQ352" s="31"/>
      <c r="AR352" s="31">
        <v>1987.0000000011601</v>
      </c>
      <c r="AS352" s="2">
        <v>-0.51208219756885254</v>
      </c>
      <c r="AT352" s="2">
        <v>2.5030838479016269</v>
      </c>
      <c r="AU352" s="2">
        <v>1.4383359481338112</v>
      </c>
      <c r="AV352" s="31"/>
      <c r="AW352" s="31">
        <v>1987.0000000011601</v>
      </c>
      <c r="AX352" s="2">
        <v>-0.50271896760073242</v>
      </c>
      <c r="AY352" s="2">
        <v>1.4890867686962104</v>
      </c>
      <c r="AZ352" s="2">
        <v>-0.54954047453443622</v>
      </c>
      <c r="BA352" s="31"/>
      <c r="BB352" s="31">
        <v>1987.0000000011601</v>
      </c>
      <c r="BC352" s="2">
        <v>0.5469113708601181</v>
      </c>
      <c r="BD352" s="2">
        <v>-9.3919208556921333E-2</v>
      </c>
      <c r="BE352" s="2">
        <v>0.99660801939612376</v>
      </c>
      <c r="BG352" s="2">
        <f t="shared" si="54"/>
        <v>-0.15596326476982228</v>
      </c>
      <c r="BH352" s="2">
        <f t="shared" si="48"/>
        <v>1.2994171360136386</v>
      </c>
      <c r="BI352" s="2">
        <f t="shared" si="49"/>
        <v>0.62846783099849957</v>
      </c>
    </row>
    <row r="353" spans="1:61" x14ac:dyDescent="0.3">
      <c r="A353" s="31">
        <v>1986.91666666783</v>
      </c>
      <c r="B353">
        <v>0.63172278219574329</v>
      </c>
      <c r="C353">
        <v>4.5600000000000307E-2</v>
      </c>
      <c r="D353">
        <v>2.8806558868126088E-2</v>
      </c>
      <c r="F353" s="31">
        <v>1986.91666666783</v>
      </c>
      <c r="G353" s="2">
        <v>0.50273795044493452</v>
      </c>
      <c r="H353" s="2">
        <v>6.1499999999999846E-2</v>
      </c>
      <c r="I353" s="2">
        <v>3.0918383952363397E-2</v>
      </c>
      <c r="K353" s="31">
        <v>1986.91666666783</v>
      </c>
      <c r="L353" s="2">
        <v>0.65293412040515608</v>
      </c>
      <c r="M353" s="2">
        <v>9.2264999999999903E-2</v>
      </c>
      <c r="N353" s="2">
        <v>4.0167236901803537E-2</v>
      </c>
      <c r="P353" s="31">
        <v>1986.91666666783</v>
      </c>
      <c r="Q353" s="2">
        <v>0.80092672921437802</v>
      </c>
      <c r="R353" s="2">
        <v>7.1900000000000297E-2</v>
      </c>
      <c r="S353" s="2">
        <v>5.0913067882960905E-2</v>
      </c>
      <c r="U353" s="2">
        <f t="shared" si="50"/>
        <v>0.65219960002148947</v>
      </c>
      <c r="V353" s="2">
        <f t="shared" si="51"/>
        <v>7.5221666666666687E-2</v>
      </c>
      <c r="W353" s="2">
        <f t="shared" si="52"/>
        <v>4.0666229579042618E-2</v>
      </c>
      <c r="Y353" s="31">
        <v>1986.91666666783</v>
      </c>
      <c r="Z353" s="2">
        <v>-1.3389966552678767</v>
      </c>
      <c r="AA353" s="2">
        <v>-0.78876452892998183</v>
      </c>
      <c r="AB353" s="2">
        <v>-1.0186230959270604</v>
      </c>
      <c r="AD353" s="31">
        <v>1986.91666666783</v>
      </c>
      <c r="AE353" s="2">
        <v>-0.93027072749693263</v>
      </c>
      <c r="AF353" s="2">
        <v>6.6874490811640125E-2</v>
      </c>
      <c r="AG353" s="2">
        <v>-0.7574026588794035</v>
      </c>
      <c r="AH353" s="31"/>
      <c r="AI353" s="31">
        <v>1986.91666666783</v>
      </c>
      <c r="AJ353" s="2">
        <v>0.19693007169138496</v>
      </c>
      <c r="AK353" s="2">
        <v>-0.61478205611361436</v>
      </c>
      <c r="AL353" s="2">
        <v>0.48597414361250979</v>
      </c>
      <c r="AM353" s="31"/>
      <c r="AN353" s="2">
        <f t="shared" si="53"/>
        <v>-0.69077910369114148</v>
      </c>
      <c r="AO353" s="2">
        <f t="shared" si="46"/>
        <v>-0.44555736474398538</v>
      </c>
      <c r="AP353" s="2">
        <f t="shared" si="47"/>
        <v>-0.43001720373131808</v>
      </c>
      <c r="AQ353" s="31"/>
      <c r="AR353" s="31">
        <v>1986.91666666783</v>
      </c>
      <c r="AS353" s="2">
        <v>-1.1213924852260595</v>
      </c>
      <c r="AT353" s="2">
        <v>-0.68444756444045252</v>
      </c>
      <c r="AU353" s="2">
        <v>-1.1109581385543741</v>
      </c>
      <c r="AV353" s="31"/>
      <c r="AW353" s="31">
        <v>1986.91666666783</v>
      </c>
      <c r="AX353" s="2">
        <v>-0.64140509304115445</v>
      </c>
      <c r="AY353" s="2">
        <v>1.05652496446128</v>
      </c>
      <c r="AZ353" s="2">
        <v>-0.72999519336491336</v>
      </c>
      <c r="BA353" s="31"/>
      <c r="BB353" s="31">
        <v>1986.91666666783</v>
      </c>
      <c r="BC353" s="2">
        <v>0.73742874815500381</v>
      </c>
      <c r="BD353" s="2">
        <v>-0.44318112469553572</v>
      </c>
      <c r="BE353" s="2">
        <v>0.94040411643813548</v>
      </c>
      <c r="BG353" s="2">
        <f t="shared" si="54"/>
        <v>-0.34178961003740338</v>
      </c>
      <c r="BH353" s="2">
        <f t="shared" si="48"/>
        <v>-2.3701241558236091E-2</v>
      </c>
      <c r="BI353" s="2">
        <f t="shared" si="49"/>
        <v>-0.30018307182705067</v>
      </c>
    </row>
    <row r="354" spans="1:61" x14ac:dyDescent="0.3">
      <c r="A354" s="31">
        <v>1986.8333333344999</v>
      </c>
      <c r="B354">
        <v>0.64625448355530879</v>
      </c>
      <c r="C354">
        <v>4.5600000000000307E-2</v>
      </c>
      <c r="D354">
        <v>2.9469204450122279E-2</v>
      </c>
      <c r="F354" s="31">
        <v>1986.8333333344999</v>
      </c>
      <c r="G354" s="2">
        <v>0.67323568820558388</v>
      </c>
      <c r="H354" s="2">
        <v>0.1229999999999998</v>
      </c>
      <c r="I354" s="2">
        <v>8.2807989649286692E-2</v>
      </c>
      <c r="K354" s="31">
        <v>1986.8333333344999</v>
      </c>
      <c r="L354" s="2">
        <v>0.68097428126772908</v>
      </c>
      <c r="M354" s="2">
        <v>9.2264999999999903E-2</v>
      </c>
      <c r="N354" s="2">
        <v>4.1891603377983117E-2</v>
      </c>
      <c r="P354" s="31">
        <v>1986.8333333344999</v>
      </c>
      <c r="Q354" s="2">
        <v>0.8897131411322392</v>
      </c>
      <c r="R354" s="2">
        <v>7.1900000000000297E-2</v>
      </c>
      <c r="S354" s="2">
        <v>5.2804020436276397E-2</v>
      </c>
      <c r="U354" s="2">
        <f t="shared" si="50"/>
        <v>0.74797437020185065</v>
      </c>
      <c r="V354" s="2">
        <f t="shared" si="51"/>
        <v>9.5721666666666663E-2</v>
      </c>
      <c r="W354" s="2">
        <f t="shared" si="52"/>
        <v>5.9167871154515404E-2</v>
      </c>
      <c r="Y354" s="31">
        <v>1986.8333333344999</v>
      </c>
      <c r="Z354" s="2">
        <v>-0.35043778101805967</v>
      </c>
      <c r="AA354" s="2">
        <v>0.41216179278103438</v>
      </c>
      <c r="AB354" s="2">
        <v>0.17557669387778774</v>
      </c>
      <c r="AD354" s="31">
        <v>1986.8333333344999</v>
      </c>
      <c r="AE354" s="2">
        <v>-0.76341055292602233</v>
      </c>
      <c r="AF354" s="2">
        <v>6.6874490811640125E-2</v>
      </c>
      <c r="AG354" s="2">
        <v>-0.69183395051148244</v>
      </c>
      <c r="AH354" s="31"/>
      <c r="AI354" s="31">
        <v>1986.8333333344999</v>
      </c>
      <c r="AJ354" s="2">
        <v>0.37745865357702829</v>
      </c>
      <c r="AK354" s="2">
        <v>-0.61478205611361436</v>
      </c>
      <c r="AL354" s="2">
        <v>0.6387968909502455</v>
      </c>
      <c r="AM354" s="31"/>
      <c r="AN354" s="2">
        <f t="shared" si="53"/>
        <v>-0.24546322678901791</v>
      </c>
      <c r="AO354" s="2">
        <f t="shared" si="46"/>
        <v>-4.5248590840313296E-2</v>
      </c>
      <c r="AP354" s="2">
        <f t="shared" si="47"/>
        <v>4.08465447721836E-2</v>
      </c>
      <c r="AQ354" s="31"/>
      <c r="AR354" s="31">
        <v>1986.8333333344999</v>
      </c>
      <c r="AS354" s="2">
        <v>-0.11148729951090727</v>
      </c>
      <c r="AT354" s="2">
        <v>2.3498264379798748</v>
      </c>
      <c r="AU354" s="2">
        <v>1.9003551152337539</v>
      </c>
      <c r="AV354" s="31"/>
      <c r="AW354" s="31">
        <v>1986.8333333344999</v>
      </c>
      <c r="AX354" s="2">
        <v>-0.3560374056797328</v>
      </c>
      <c r="AY354" s="2">
        <v>1.2550989263438468</v>
      </c>
      <c r="AZ354" s="2">
        <v>-0.38497148105554879</v>
      </c>
      <c r="BA354" s="31"/>
      <c r="BB354" s="31">
        <v>1986.8333333344999</v>
      </c>
      <c r="BC354" s="2">
        <v>0.32992226513790468</v>
      </c>
      <c r="BD354" s="2">
        <v>-4.0971152421897278E-2</v>
      </c>
      <c r="BE354" s="2">
        <v>0.65008238435145727</v>
      </c>
      <c r="BG354" s="2">
        <f t="shared" si="54"/>
        <v>-4.5867480017578462E-2</v>
      </c>
      <c r="BH354" s="2">
        <f t="shared" si="48"/>
        <v>1.1879847373006081</v>
      </c>
      <c r="BI354" s="2">
        <f t="shared" si="49"/>
        <v>0.72182200617655423</v>
      </c>
    </row>
    <row r="355" spans="1:61" x14ac:dyDescent="0.3">
      <c r="A355" s="31">
        <v>1986.7500000011701</v>
      </c>
      <c r="B355">
        <v>0.66873014301109268</v>
      </c>
      <c r="C355">
        <v>6.0800000000000409E-2</v>
      </c>
      <c r="D355">
        <v>4.0658792695074705E-2</v>
      </c>
      <c r="F355" s="31">
        <v>1986.7500000011701</v>
      </c>
      <c r="G355" s="2">
        <v>0.81224287723926003</v>
      </c>
      <c r="H355" s="2">
        <v>0.1229999999999998</v>
      </c>
      <c r="I355" s="2">
        <v>9.9905873900428821E-2</v>
      </c>
      <c r="K355" s="31">
        <v>1986.7500000011701</v>
      </c>
      <c r="L355" s="2">
        <v>0.71831127466713518</v>
      </c>
      <c r="M355" s="2">
        <v>9.2264999999999903E-2</v>
      </c>
      <c r="N355" s="2">
        <v>4.4187730992666471E-2</v>
      </c>
      <c r="P355" s="31">
        <v>1986.7500000011701</v>
      </c>
      <c r="Q355" s="2">
        <v>0.88682518204285399</v>
      </c>
      <c r="R355" s="2">
        <v>7.1900000000000297E-2</v>
      </c>
      <c r="S355" s="2">
        <v>5.6195341104326078E-2</v>
      </c>
      <c r="U355" s="2">
        <f t="shared" si="50"/>
        <v>0.8057931113164164</v>
      </c>
      <c r="V355" s="2">
        <f t="shared" si="51"/>
        <v>9.5721666666666663E-2</v>
      </c>
      <c r="W355" s="2">
        <f t="shared" si="52"/>
        <v>6.676298199914045E-2</v>
      </c>
      <c r="Y355" s="31">
        <v>1986.7500000011701</v>
      </c>
      <c r="Z355" s="2">
        <v>0.45553649235718524</v>
      </c>
      <c r="AA355" s="2">
        <v>0.41216179278103438</v>
      </c>
      <c r="AB355" s="2">
        <v>0.56907148931101303</v>
      </c>
      <c r="AD355" s="31">
        <v>1986.7500000011701</v>
      </c>
      <c r="AE355" s="2">
        <v>-0.54122719003050157</v>
      </c>
      <c r="AF355" s="2">
        <v>6.6874490811640125E-2</v>
      </c>
      <c r="AG355" s="2">
        <v>-0.60452413324093146</v>
      </c>
      <c r="AH355" s="31"/>
      <c r="AI355" s="31">
        <v>1986.7500000011701</v>
      </c>
      <c r="AJ355" s="2">
        <v>0.67990098419910006</v>
      </c>
      <c r="AK355" s="2">
        <v>-0.61478205611361436</v>
      </c>
      <c r="AL355" s="2">
        <v>0.91287618537034587</v>
      </c>
      <c r="AM355" s="31"/>
      <c r="AN355" s="2">
        <f t="shared" si="53"/>
        <v>0.19807009550859456</v>
      </c>
      <c r="AO355" s="2">
        <f t="shared" si="46"/>
        <v>-4.5248590840313296E-2</v>
      </c>
      <c r="AP355" s="2">
        <f t="shared" si="47"/>
        <v>0.29247451381347583</v>
      </c>
      <c r="AQ355" s="31"/>
      <c r="AR355" s="31">
        <v>1986.7500000011701</v>
      </c>
      <c r="AS355" s="2">
        <v>0.47329568217503099</v>
      </c>
      <c r="AT355" s="2">
        <v>2.4649305945655104</v>
      </c>
      <c r="AU355" s="2">
        <v>2.1900556047048401</v>
      </c>
      <c r="AV355" s="31"/>
      <c r="AW355" s="31">
        <v>1986.7500000011701</v>
      </c>
      <c r="AX355" s="2">
        <v>-0.54902249817529813</v>
      </c>
      <c r="AY355" s="2">
        <v>0.96231815385189867</v>
      </c>
      <c r="AZ355" s="2">
        <v>-0.78488219512191038</v>
      </c>
      <c r="BA355" s="31"/>
      <c r="BB355" s="31">
        <v>1986.7500000011701</v>
      </c>
      <c r="BC355" s="2">
        <v>0.62712598835959554</v>
      </c>
      <c r="BD355" s="2">
        <v>-0.59144451954684485</v>
      </c>
      <c r="BE355" s="2">
        <v>0.64218778231047524</v>
      </c>
      <c r="BG355" s="2">
        <f t="shared" si="54"/>
        <v>0.1837997241197761</v>
      </c>
      <c r="BH355" s="2">
        <f t="shared" si="48"/>
        <v>0.94526807629018805</v>
      </c>
      <c r="BI355" s="2">
        <f t="shared" si="49"/>
        <v>0.6824537306311349</v>
      </c>
    </row>
    <row r="356" spans="1:61" x14ac:dyDescent="0.3">
      <c r="A356" s="31">
        <v>1986.66666666784</v>
      </c>
      <c r="B356">
        <v>0.71364136320091076</v>
      </c>
      <c r="C356">
        <v>4.5600000000000307E-2</v>
      </c>
      <c r="D356">
        <v>3.2542046161961748E-2</v>
      </c>
      <c r="F356" s="31">
        <v>1986.66666666784</v>
      </c>
      <c r="G356" s="2">
        <v>0.67338667857124124</v>
      </c>
      <c r="H356" s="2">
        <v>6.1499999999999846E-2</v>
      </c>
      <c r="I356" s="2">
        <v>4.1413280732131248E-2</v>
      </c>
      <c r="K356" s="31">
        <v>1986.66666666784</v>
      </c>
      <c r="L356" s="2">
        <v>0.76784473732260849</v>
      </c>
      <c r="M356" s="2">
        <v>9.2264999999999903E-2</v>
      </c>
      <c r="N356" s="2">
        <v>4.7233838171827136E-2</v>
      </c>
      <c r="P356" s="31">
        <v>1986.66666666784</v>
      </c>
      <c r="Q356" s="2">
        <v>0.81076290467174217</v>
      </c>
      <c r="R356" s="2">
        <v>7.1900000000000297E-2</v>
      </c>
      <c r="S356" s="2">
        <v>6.0514670479614896E-2</v>
      </c>
      <c r="U356" s="2">
        <f t="shared" si="50"/>
        <v>0.75066477352186389</v>
      </c>
      <c r="V356" s="2">
        <f t="shared" si="51"/>
        <v>7.5221666666666687E-2</v>
      </c>
      <c r="W356" s="2">
        <f t="shared" si="52"/>
        <v>4.9720596461191091E-2</v>
      </c>
      <c r="Y356" s="31">
        <v>1986.66666666784</v>
      </c>
      <c r="Z356" s="2">
        <v>-0.34956232737358756</v>
      </c>
      <c r="AA356" s="2">
        <v>-0.78876452892998183</v>
      </c>
      <c r="AB356" s="2">
        <v>-0.77709103261509205</v>
      </c>
      <c r="AD356" s="31">
        <v>1986.66666666784</v>
      </c>
      <c r="AE356" s="2">
        <v>-0.24646560623281411</v>
      </c>
      <c r="AF356" s="2">
        <v>6.6874490811640125E-2</v>
      </c>
      <c r="AG356" s="2">
        <v>-0.4886964852050415</v>
      </c>
      <c r="AH356" s="31"/>
      <c r="AI356" s="31">
        <v>1986.66666666784</v>
      </c>
      <c r="AJ356" s="2">
        <v>1.0594471917830426</v>
      </c>
      <c r="AK356" s="2">
        <v>-0.61478205611361436</v>
      </c>
      <c r="AL356" s="2">
        <v>1.2619551617998994</v>
      </c>
      <c r="AM356" s="31"/>
      <c r="AN356" s="2">
        <f t="shared" si="53"/>
        <v>0.1544730860588803</v>
      </c>
      <c r="AO356" s="2">
        <f t="shared" si="46"/>
        <v>-0.44555736474398538</v>
      </c>
      <c r="AP356" s="2">
        <f t="shared" si="47"/>
        <v>-1.2774520067447097E-3</v>
      </c>
      <c r="AQ356" s="31"/>
      <c r="AR356" s="31">
        <v>1986.66666666784</v>
      </c>
      <c r="AS356" s="2">
        <v>-0.33329991786161856</v>
      </c>
      <c r="AT356" s="2">
        <v>-0.32631334910519932</v>
      </c>
      <c r="AU356" s="2">
        <v>-0.5367357563440851</v>
      </c>
      <c r="AV356" s="31"/>
      <c r="AW356" s="31">
        <v>1986.66666666784</v>
      </c>
      <c r="AX356" s="2">
        <v>-0.23590839496651136</v>
      </c>
      <c r="AY356" s="2">
        <v>1.1124047876457037</v>
      </c>
      <c r="AZ356" s="2">
        <v>-0.25196183499679725</v>
      </c>
      <c r="BA356" s="31"/>
      <c r="BB356" s="31">
        <v>1986.66666666784</v>
      </c>
      <c r="BC356" s="2">
        <v>0.67045289467141067</v>
      </c>
      <c r="BD356" s="2">
        <v>7.7097786990586777E-4</v>
      </c>
      <c r="BE356" s="2">
        <v>1.3309468059487184</v>
      </c>
      <c r="BG356" s="2">
        <f t="shared" si="54"/>
        <v>3.3748193947760241E-2</v>
      </c>
      <c r="BH356" s="2">
        <f t="shared" si="48"/>
        <v>0.26228747213680342</v>
      </c>
      <c r="BI356" s="2">
        <f t="shared" si="49"/>
        <v>0.18074973820261206</v>
      </c>
    </row>
    <row r="357" spans="1:61" x14ac:dyDescent="0.3">
      <c r="A357" s="31">
        <v>1986.5833333345099</v>
      </c>
      <c r="B357">
        <v>0.75502767989855657</v>
      </c>
      <c r="C357">
        <v>4.5600000000000307E-2</v>
      </c>
      <c r="D357">
        <v>3.442926220337441E-2</v>
      </c>
      <c r="F357" s="31">
        <v>1986.5833333345099</v>
      </c>
      <c r="G357" s="2">
        <v>0.99466526081287676</v>
      </c>
      <c r="H357" s="2">
        <v>0.1229999999999998</v>
      </c>
      <c r="I357" s="2">
        <v>0.12234382707998365</v>
      </c>
      <c r="K357" s="31">
        <v>1986.5833333345099</v>
      </c>
      <c r="L357" s="2">
        <v>0.7953901182704155</v>
      </c>
      <c r="M357" s="2">
        <v>9.2264999999999903E-2</v>
      </c>
      <c r="N357" s="2">
        <v>4.8927445142464027E-2</v>
      </c>
      <c r="P357" s="31">
        <v>1986.5833333345099</v>
      </c>
      <c r="Q357" s="2">
        <v>0.72992386120381259</v>
      </c>
      <c r="R357" s="2">
        <v>7.1900000000000297E-2</v>
      </c>
      <c r="S357" s="2">
        <v>6.4189246809838507E-2</v>
      </c>
      <c r="U357" s="2">
        <f t="shared" si="50"/>
        <v>0.83999308009570173</v>
      </c>
      <c r="V357" s="2">
        <f t="shared" si="51"/>
        <v>9.5721666666666663E-2</v>
      </c>
      <c r="W357" s="2">
        <f t="shared" si="52"/>
        <v>7.8486839677428727E-2</v>
      </c>
      <c r="Y357" s="31">
        <v>1986.5833333345099</v>
      </c>
      <c r="Z357" s="2">
        <v>1.5132353716036875</v>
      </c>
      <c r="AA357" s="2">
        <v>0.41216179278103438</v>
      </c>
      <c r="AB357" s="2">
        <v>1.0854639076150161</v>
      </c>
      <c r="AD357" s="31">
        <v>1986.5833333345099</v>
      </c>
      <c r="AE357" s="2">
        <v>-8.254974654499804E-2</v>
      </c>
      <c r="AF357" s="2">
        <v>6.6874490811640125E-2</v>
      </c>
      <c r="AG357" s="2">
        <v>-0.42429740120429005</v>
      </c>
      <c r="AH357" s="31"/>
      <c r="AI357" s="31">
        <v>1986.5833333345099</v>
      </c>
      <c r="AJ357" s="2">
        <v>1.3928863701662817</v>
      </c>
      <c r="AK357" s="2">
        <v>-0.61478205611361436</v>
      </c>
      <c r="AL357" s="2">
        <v>1.5589265739606015</v>
      </c>
      <c r="AM357" s="31"/>
      <c r="AN357" s="2">
        <f t="shared" si="53"/>
        <v>0.94119066507499038</v>
      </c>
      <c r="AO357" s="2">
        <f t="shared" si="46"/>
        <v>-4.5248590840313296E-2</v>
      </c>
      <c r="AP357" s="2">
        <f t="shared" si="47"/>
        <v>0.74003102679044253</v>
      </c>
      <c r="AQ357" s="31"/>
      <c r="AR357" s="31">
        <v>1986.5833333345099</v>
      </c>
      <c r="AS357" s="2">
        <v>1.046909997896488</v>
      </c>
      <c r="AT357" s="2">
        <v>2.6348383026963544</v>
      </c>
      <c r="AU357" s="2">
        <v>2.6960541367044226</v>
      </c>
      <c r="AV357" s="31"/>
      <c r="AW357" s="31">
        <v>1986.5833333345099</v>
      </c>
      <c r="AX357" s="2">
        <v>-0.33364694116334931</v>
      </c>
      <c r="AY357" s="2">
        <v>1.4455061964040326</v>
      </c>
      <c r="AZ357" s="2">
        <v>-0.49292045709663496</v>
      </c>
      <c r="BA357" s="31"/>
      <c r="BB357" s="31">
        <v>1986.5833333345099</v>
      </c>
      <c r="BC357" s="2">
        <v>0.73479501564775096</v>
      </c>
      <c r="BD357" s="2">
        <v>-0.51613739712758211</v>
      </c>
      <c r="BE357" s="2">
        <v>0.74147782806218587</v>
      </c>
      <c r="BG357" s="2">
        <f t="shared" si="54"/>
        <v>0.48268602412696321</v>
      </c>
      <c r="BH357" s="2">
        <f t="shared" si="48"/>
        <v>1.188069033990935</v>
      </c>
      <c r="BI357" s="2">
        <f t="shared" si="49"/>
        <v>0.98153716922332457</v>
      </c>
    </row>
    <row r="358" spans="1:61" x14ac:dyDescent="0.3">
      <c r="A358" s="31">
        <v>1986.5000000011801</v>
      </c>
      <c r="B358">
        <v>0.79335414648095404</v>
      </c>
      <c r="C358">
        <v>4.5600000000000307E-2</v>
      </c>
      <c r="D358">
        <v>3.6176949079531749E-2</v>
      </c>
      <c r="F358" s="31">
        <v>1986.5000000011801</v>
      </c>
      <c r="G358" s="2">
        <v>1.0891243391237289</v>
      </c>
      <c r="H358" s="2">
        <v>6.1499999999999902E-2</v>
      </c>
      <c r="I358" s="2">
        <v>6.6981146856109217E-2</v>
      </c>
      <c r="K358" s="31">
        <v>1986.5000000011801</v>
      </c>
      <c r="L358" s="2">
        <v>0.86838980135450605</v>
      </c>
      <c r="M358" s="2">
        <v>6.1499999999999902E-2</v>
      </c>
      <c r="N358" s="2">
        <v>5.3405972783302037E-2</v>
      </c>
      <c r="P358" s="31">
        <v>1986.5000000011801</v>
      </c>
      <c r="Q358" s="2">
        <v>0.72649856449692563</v>
      </c>
      <c r="R358" s="2">
        <v>4.7900000000000303E-2</v>
      </c>
      <c r="S358" s="2">
        <v>4.2182132568260942E-2</v>
      </c>
      <c r="U358" s="2">
        <f t="shared" si="50"/>
        <v>0.89467090165838681</v>
      </c>
      <c r="V358" s="2">
        <f t="shared" si="51"/>
        <v>5.69666666666667E-2</v>
      </c>
      <c r="W358" s="2">
        <f t="shared" si="52"/>
        <v>5.4189750735890739E-2</v>
      </c>
      <c r="Y358" s="31">
        <v>1986.5000000011801</v>
      </c>
      <c r="Z358" s="2">
        <v>2.0609163047591705</v>
      </c>
      <c r="AA358" s="2">
        <v>-0.78876452892998072</v>
      </c>
      <c r="AB358" s="2">
        <v>-0.18866604959728134</v>
      </c>
      <c r="AD358" s="31">
        <v>1986.5000000011801</v>
      </c>
      <c r="AE358" s="2">
        <v>0.35185360523073661</v>
      </c>
      <c r="AF358" s="2">
        <v>-0.68658960551538373</v>
      </c>
      <c r="AG358" s="2">
        <v>-0.25400223665760968</v>
      </c>
      <c r="AH358" s="31"/>
      <c r="AI358" s="31">
        <v>1986.5000000011801</v>
      </c>
      <c r="AJ358" s="2">
        <v>1.3893592742972649</v>
      </c>
      <c r="AK358" s="2">
        <v>-1.186702766808877</v>
      </c>
      <c r="AL358" s="2">
        <v>-0.21964140410762911</v>
      </c>
      <c r="AM358" s="31"/>
      <c r="AN358" s="2">
        <f t="shared" si="53"/>
        <v>1.2673763947623906</v>
      </c>
      <c r="AO358" s="2">
        <f t="shared" si="46"/>
        <v>-0.88735230041808055</v>
      </c>
      <c r="AP358" s="2">
        <f t="shared" si="47"/>
        <v>-0.22076989678750669</v>
      </c>
      <c r="AQ358" s="31"/>
      <c r="AR358" s="31">
        <v>1986.5000000011801</v>
      </c>
      <c r="AS358" s="2">
        <v>0.60981754831812962</v>
      </c>
      <c r="AT358" s="2">
        <v>-2.313009814913013E-2</v>
      </c>
      <c r="AU358" s="2">
        <v>0.56028691785291285</v>
      </c>
      <c r="AV358" s="31"/>
      <c r="AW358" s="31">
        <v>1986.5000000011801</v>
      </c>
      <c r="AX358" s="2">
        <v>-7.0829805715090483E-2</v>
      </c>
      <c r="AY358" s="2">
        <v>-0.1083026392523672</v>
      </c>
      <c r="AZ358" s="2">
        <v>-7.113215317554826E-2</v>
      </c>
      <c r="BA358" s="31"/>
      <c r="BB358" s="31">
        <v>1986.5000000011801</v>
      </c>
      <c r="BC358" s="2">
        <v>0.23760660818781679</v>
      </c>
      <c r="BD358" s="2">
        <v>-0.38248368897839508</v>
      </c>
      <c r="BE358" s="2">
        <v>-3.0517242126634023E-2</v>
      </c>
      <c r="BG358" s="2">
        <f t="shared" si="54"/>
        <v>0.25886478359695198</v>
      </c>
      <c r="BH358" s="2">
        <f t="shared" si="48"/>
        <v>-0.17130547545996413</v>
      </c>
      <c r="BI358" s="2">
        <f t="shared" si="49"/>
        <v>0.15287917418357685</v>
      </c>
    </row>
    <row r="359" spans="1:61" x14ac:dyDescent="0.3">
      <c r="A359" s="31">
        <v>1986.41666666785</v>
      </c>
      <c r="B359">
        <v>0.74761292291456016</v>
      </c>
      <c r="C359">
        <v>0.36480000000000246</v>
      </c>
      <c r="D359">
        <v>0.27272919427923337</v>
      </c>
      <c r="F359" s="31">
        <v>1986.41666666785</v>
      </c>
      <c r="G359" s="2">
        <v>0.79060264545154935</v>
      </c>
      <c r="H359" s="2">
        <v>9.2249999999999749E-2</v>
      </c>
      <c r="I359" s="2">
        <v>6.2761995728584263E-2</v>
      </c>
      <c r="K359" s="31">
        <v>1986.41666666785</v>
      </c>
      <c r="L359" s="2">
        <v>0.76779698288075315</v>
      </c>
      <c r="M359" s="2">
        <v>0.21529499999999979</v>
      </c>
      <c r="N359" s="2">
        <v>8.9075251556441637E-2</v>
      </c>
      <c r="P359" s="31">
        <v>1986.41666666785</v>
      </c>
      <c r="Q359" s="2">
        <v>0.64993214665362442</v>
      </c>
      <c r="R359" s="2">
        <v>0.16775000000000076</v>
      </c>
      <c r="S359" s="2">
        <v>6.12587187434111E-2</v>
      </c>
      <c r="U359" s="2">
        <f t="shared" si="50"/>
        <v>0.73611059166197557</v>
      </c>
      <c r="V359" s="2">
        <f t="shared" si="51"/>
        <v>0.15843166666666675</v>
      </c>
      <c r="W359" s="2">
        <f t="shared" si="52"/>
        <v>7.1031988676145671E-2</v>
      </c>
      <c r="Y359" s="31">
        <v>1986.41666666785</v>
      </c>
      <c r="Z359" s="2">
        <v>0.33006477962046776</v>
      </c>
      <c r="AA359" s="2">
        <v>-0.1883013680744752</v>
      </c>
      <c r="AB359" s="2">
        <v>-0.28576660224117889</v>
      </c>
      <c r="AD359" s="31">
        <v>1986.41666666785</v>
      </c>
      <c r="AE359" s="2">
        <v>-0.24674978129670092</v>
      </c>
      <c r="AF359" s="2">
        <v>3.0799961476006423</v>
      </c>
      <c r="AG359" s="2">
        <v>1.102315326852306</v>
      </c>
      <c r="AH359" s="31"/>
      <c r="AI359" s="31">
        <v>1986.41666666785</v>
      </c>
      <c r="AJ359" s="2">
        <v>1.2105599640655271</v>
      </c>
      <c r="AK359" s="2">
        <v>1.6693262822256021</v>
      </c>
      <c r="AL359" s="2">
        <v>1.3220875536073193</v>
      </c>
      <c r="AM359" s="31"/>
      <c r="AN359" s="2">
        <f t="shared" si="53"/>
        <v>0.43129165412976467</v>
      </c>
      <c r="AO359" s="2">
        <f t="shared" si="46"/>
        <v>1.5203403539172564</v>
      </c>
      <c r="AP359" s="2">
        <f t="shared" si="47"/>
        <v>0.71287875940614887</v>
      </c>
      <c r="AQ359" s="31"/>
      <c r="AR359" s="31">
        <v>1986.41666666785</v>
      </c>
      <c r="AS359" s="2">
        <v>-0.26950380759437131</v>
      </c>
      <c r="AT359" s="2">
        <v>-1.691404405511389</v>
      </c>
      <c r="AU359" s="2">
        <v>-1.6060549138311564</v>
      </c>
      <c r="AV359" s="31"/>
      <c r="AW359" s="31">
        <v>1986.41666666785</v>
      </c>
      <c r="AX359" s="2">
        <v>-0.66840485884952072</v>
      </c>
      <c r="AY359" s="2">
        <v>1.5161574831721554</v>
      </c>
      <c r="AZ359" s="2">
        <v>3.6645173501021061E-2</v>
      </c>
      <c r="BA359" s="31"/>
      <c r="BB359" s="31">
        <v>1986.41666666785</v>
      </c>
      <c r="BC359" s="2">
        <v>0.51897183006330916</v>
      </c>
      <c r="BD359" s="2">
        <v>0.21308645383215588</v>
      </c>
      <c r="BE359" s="2">
        <v>0.47273511591639794</v>
      </c>
      <c r="BG359" s="2">
        <f t="shared" si="54"/>
        <v>-0.13964561212686097</v>
      </c>
      <c r="BH359" s="2">
        <f t="shared" si="48"/>
        <v>1.2613177164307432E-2</v>
      </c>
      <c r="BI359" s="2">
        <f t="shared" si="49"/>
        <v>-0.36555820813791245</v>
      </c>
    </row>
    <row r="360" spans="1:61" x14ac:dyDescent="0.3">
      <c r="A360" s="31">
        <v>1986.3333333345199</v>
      </c>
      <c r="B360">
        <v>0.7270195000094769</v>
      </c>
      <c r="C360">
        <v>0.36480000000000246</v>
      </c>
      <c r="D360">
        <v>0.26521671360345894</v>
      </c>
      <c r="F360" s="31">
        <v>1986.3333333345199</v>
      </c>
      <c r="G360" s="2">
        <v>0.80635827021459516</v>
      </c>
      <c r="H360" s="2">
        <v>9.2249999999999749E-2</v>
      </c>
      <c r="I360" s="2">
        <v>6.3678978156666732E-2</v>
      </c>
      <c r="K360" s="31">
        <v>1986.3333333345199</v>
      </c>
      <c r="L360" s="2">
        <v>0.74398807820663926</v>
      </c>
      <c r="M360" s="2">
        <v>0.18454499999999985</v>
      </c>
      <c r="N360" s="2">
        <v>8.7895313031561478E-2</v>
      </c>
      <c r="P360" s="31">
        <v>1986.3333333345199</v>
      </c>
      <c r="Q360" s="2">
        <v>0.62066902030295024</v>
      </c>
      <c r="R360" s="2">
        <v>9.5850000000000463E-2</v>
      </c>
      <c r="S360" s="2">
        <v>5.0859797589480352E-2</v>
      </c>
      <c r="U360" s="2">
        <f t="shared" si="50"/>
        <v>0.72367178957472822</v>
      </c>
      <c r="V360" s="2">
        <f t="shared" si="51"/>
        <v>0.12421500000000001</v>
      </c>
      <c r="W360" s="2">
        <f t="shared" si="52"/>
        <v>6.747802959256953E-2</v>
      </c>
      <c r="Y360" s="31">
        <v>1986.3333333345199</v>
      </c>
      <c r="Z360" s="2">
        <v>0.42141709246302494</v>
      </c>
      <c r="AA360" s="2">
        <v>-0.1883013680744752</v>
      </c>
      <c r="AB360" s="2">
        <v>-0.26466294943512658</v>
      </c>
      <c r="AD360" s="31">
        <v>1986.3333333345199</v>
      </c>
      <c r="AE360" s="2">
        <v>-0.38843077983788632</v>
      </c>
      <c r="AF360" s="2">
        <v>2.3268994155331653</v>
      </c>
      <c r="AG360" s="2">
        <v>1.057448388125132</v>
      </c>
      <c r="AH360" s="31"/>
      <c r="AI360" s="31">
        <v>1986.3333333345199</v>
      </c>
      <c r="AJ360" s="2">
        <v>0.32950444756464242</v>
      </c>
      <c r="AK360" s="2">
        <v>-4.4052846898962821E-2</v>
      </c>
      <c r="AL360" s="2">
        <v>0.48166895224908196</v>
      </c>
      <c r="AM360" s="31"/>
      <c r="AN360" s="2">
        <f t="shared" si="53"/>
        <v>0.12083025339659369</v>
      </c>
      <c r="AO360" s="2">
        <f t="shared" si="46"/>
        <v>0.69818173351990909</v>
      </c>
      <c r="AP360" s="2">
        <f t="shared" si="47"/>
        <v>0.42481813031302912</v>
      </c>
      <c r="AQ360" s="31"/>
      <c r="AR360" s="31">
        <v>1986.3333333345199</v>
      </c>
      <c r="AS360" s="2">
        <v>0.33393359897927238</v>
      </c>
      <c r="AT360" s="2">
        <v>-1.2318355951367148</v>
      </c>
      <c r="AU360" s="2">
        <v>-1.2212458383996576</v>
      </c>
      <c r="AV360" s="31"/>
      <c r="AW360" s="31">
        <v>1986.3333333345199</v>
      </c>
      <c r="AX360" s="2">
        <v>-0.51842898367562706</v>
      </c>
      <c r="AY360" s="2">
        <v>1.3960024227501457</v>
      </c>
      <c r="AZ360" s="2">
        <v>0.39755543316392616</v>
      </c>
      <c r="BA360" s="31"/>
      <c r="BB360" s="31">
        <v>1986.3333333345199</v>
      </c>
      <c r="BC360" s="2">
        <v>0.10701452217935566</v>
      </c>
      <c r="BD360" s="2">
        <v>-0.7363458413185221</v>
      </c>
      <c r="BE360" s="2">
        <v>0.11430678776367775</v>
      </c>
      <c r="BG360" s="2">
        <f t="shared" si="54"/>
        <v>-2.5826954172333012E-2</v>
      </c>
      <c r="BH360" s="2">
        <f t="shared" si="48"/>
        <v>-0.19072633790169705</v>
      </c>
      <c r="BI360" s="2">
        <f t="shared" si="49"/>
        <v>-0.23646120582401789</v>
      </c>
    </row>
    <row r="361" spans="1:61" x14ac:dyDescent="0.3">
      <c r="A361" s="31">
        <v>1986.2500000011901</v>
      </c>
      <c r="B361">
        <v>0.64117689281345391</v>
      </c>
      <c r="C361">
        <v>0.36480000000000246</v>
      </c>
      <c r="D361">
        <v>0.23390133049834957</v>
      </c>
      <c r="F361" s="31">
        <v>1986.2500000011901</v>
      </c>
      <c r="G361" s="2">
        <v>0.45560561767538643</v>
      </c>
      <c r="H361" s="2">
        <v>0.1229999999999996</v>
      </c>
      <c r="I361" s="2">
        <v>5.6039490974072348E-2</v>
      </c>
      <c r="K361" s="31">
        <v>1986.2500000011901</v>
      </c>
      <c r="L361" s="2">
        <v>0.80780714759507299</v>
      </c>
      <c r="M361" s="2">
        <v>0.18454499999999985</v>
      </c>
      <c r="N361" s="2">
        <v>9.6691024762817782E-2</v>
      </c>
      <c r="P361" s="31">
        <v>1986.2500000011901</v>
      </c>
      <c r="Q361" s="2">
        <v>0.59847417308357387</v>
      </c>
      <c r="R361" s="2">
        <v>0.14380000000000059</v>
      </c>
      <c r="S361" s="2">
        <v>4.4989241776482461E-2</v>
      </c>
      <c r="U361" s="2">
        <f t="shared" si="50"/>
        <v>0.62062897945134443</v>
      </c>
      <c r="V361" s="2">
        <f t="shared" si="51"/>
        <v>0.15044833333333335</v>
      </c>
      <c r="W361" s="2">
        <f t="shared" si="52"/>
        <v>6.5906585837790868E-2</v>
      </c>
      <c r="Y361" s="31">
        <v>1986.2500000011901</v>
      </c>
      <c r="Z361" s="2">
        <v>-1.6122735118138634</v>
      </c>
      <c r="AA361" s="2">
        <v>0.41216179278103032</v>
      </c>
      <c r="AB361" s="2">
        <v>-0.44047993368736926</v>
      </c>
      <c r="AD361" s="31">
        <v>1986.2500000011901</v>
      </c>
      <c r="AE361" s="2">
        <v>-8.6590263412501672E-3</v>
      </c>
      <c r="AF361" s="2">
        <v>2.3268994155331653</v>
      </c>
      <c r="AG361" s="2">
        <v>1.3919036592997411</v>
      </c>
      <c r="AH361" s="31"/>
      <c r="AI361" s="31">
        <v>1986.2500000011901</v>
      </c>
      <c r="AJ361" s="2">
        <v>-0.2102622219966826</v>
      </c>
      <c r="AK361" s="2">
        <v>1.0985970730109507</v>
      </c>
      <c r="AL361" s="2">
        <v>7.2231676793788032E-3</v>
      </c>
      <c r="AM361" s="31"/>
      <c r="AN361" s="2">
        <f t="shared" si="53"/>
        <v>-0.61039825338393205</v>
      </c>
      <c r="AO361" s="2">
        <f t="shared" si="46"/>
        <v>1.2792194271083821</v>
      </c>
      <c r="AP361" s="2">
        <f t="shared" si="47"/>
        <v>0.31954896443058356</v>
      </c>
      <c r="AQ361" s="31"/>
      <c r="AR361" s="31">
        <v>1986.2500000011901</v>
      </c>
      <c r="AS361" s="2">
        <v>-1.7787607588374517</v>
      </c>
      <c r="AT361" s="2">
        <v>-0.74536446371894849</v>
      </c>
      <c r="AU361" s="2">
        <v>-1.3875496730976284</v>
      </c>
      <c r="AV361" s="31"/>
      <c r="AW361" s="31">
        <v>1986.2500000011901</v>
      </c>
      <c r="AX361" s="2">
        <v>4.706494183348256E-2</v>
      </c>
      <c r="AY361" s="2">
        <v>1.2492659413941907</v>
      </c>
      <c r="AZ361" s="2">
        <v>0.49312672003480695</v>
      </c>
      <c r="BA361" s="31"/>
      <c r="BB361" s="31">
        <v>1986.2500000011901</v>
      </c>
      <c r="BC361" s="2">
        <v>5.9392361992933011E-2</v>
      </c>
      <c r="BD361" s="2">
        <v>3.3388824798885192E-2</v>
      </c>
      <c r="BE361" s="2">
        <v>2.3907376373016303E-2</v>
      </c>
      <c r="BG361" s="2">
        <f t="shared" si="54"/>
        <v>-0.55743448500367865</v>
      </c>
      <c r="BH361" s="2">
        <f t="shared" si="48"/>
        <v>0.17909676749137579</v>
      </c>
      <c r="BI361" s="2">
        <f t="shared" si="49"/>
        <v>-0.29017185889660174</v>
      </c>
    </row>
    <row r="362" spans="1:61" x14ac:dyDescent="0.3">
      <c r="A362" s="31">
        <v>1986.16666666786</v>
      </c>
      <c r="B362">
        <v>0.85315324421264438</v>
      </c>
      <c r="C362">
        <v>0.38000000000000256</v>
      </c>
      <c r="D362">
        <v>0.32419823280080706</v>
      </c>
      <c r="F362" s="31">
        <v>1986.16666666786</v>
      </c>
      <c r="G362" s="2">
        <v>0.81962387146616678</v>
      </c>
      <c r="H362" s="2">
        <v>9.2249999999999749E-2</v>
      </c>
      <c r="I362" s="2">
        <v>6.4264780670968247E-2</v>
      </c>
      <c r="K362" s="31">
        <v>1986.16666666786</v>
      </c>
      <c r="L362" s="2">
        <v>0.85035236575733686</v>
      </c>
      <c r="M362" s="2">
        <v>0.15377999999999986</v>
      </c>
      <c r="N362" s="2">
        <v>7.9543898138834446E-2</v>
      </c>
      <c r="P362" s="31">
        <v>1986.16666666786</v>
      </c>
      <c r="Q362" s="2">
        <v>0.59460170245813471</v>
      </c>
      <c r="R362" s="2">
        <v>9.5850000000000463E-2</v>
      </c>
      <c r="S362" s="2">
        <v>4.2383867180189626E-2</v>
      </c>
      <c r="U362" s="2">
        <f t="shared" si="50"/>
        <v>0.75485931322721278</v>
      </c>
      <c r="V362" s="2">
        <f t="shared" si="51"/>
        <v>0.11396000000000002</v>
      </c>
      <c r="W362" s="2">
        <f t="shared" si="52"/>
        <v>6.2064181996664108E-2</v>
      </c>
      <c r="Y362" s="31">
        <v>1986.16666666786</v>
      </c>
      <c r="Z362" s="2">
        <v>0.49833205926399354</v>
      </c>
      <c r="AA362" s="2">
        <v>-0.1883013680744752</v>
      </c>
      <c r="AB362" s="2">
        <v>-0.25118115033393396</v>
      </c>
      <c r="AD362" s="31">
        <v>1986.16666666786</v>
      </c>
      <c r="AE362" s="2">
        <v>0.24451721485458563</v>
      </c>
      <c r="AF362" s="2">
        <v>1.5734353192061419</v>
      </c>
      <c r="AG362" s="2">
        <v>0.73988742001007812</v>
      </c>
      <c r="AH362" s="31"/>
      <c r="AI362" s="31">
        <v>1986.16666666786</v>
      </c>
      <c r="AJ362" s="2">
        <v>-0.48388413441115047</v>
      </c>
      <c r="AK362" s="2">
        <v>-4.4052846898962821E-2</v>
      </c>
      <c r="AL362" s="2">
        <v>-0.20333764356429959</v>
      </c>
      <c r="AM362" s="31"/>
      <c r="AN362" s="2">
        <f t="shared" si="53"/>
        <v>8.6321713235809575E-2</v>
      </c>
      <c r="AO362" s="2">
        <f t="shared" si="46"/>
        <v>0.44702703474423466</v>
      </c>
      <c r="AP362" s="2">
        <f t="shared" si="47"/>
        <v>9.5122875370614854E-2</v>
      </c>
      <c r="AQ362" s="31"/>
      <c r="AR362" s="31">
        <v>1986.16666666786</v>
      </c>
      <c r="AS362" s="2">
        <v>0.96509108379540787</v>
      </c>
      <c r="AT362" s="2">
        <v>-1.1019061349826649</v>
      </c>
      <c r="AU362" s="2">
        <v>-0.87336128359769016</v>
      </c>
      <c r="AV362" s="31"/>
      <c r="AW362" s="31">
        <v>1986.16666666786</v>
      </c>
      <c r="AX362" s="2">
        <v>0.41917885648805375</v>
      </c>
      <c r="AY362" s="2">
        <v>0.86425175705807289</v>
      </c>
      <c r="AZ362" s="2">
        <v>0.41906876141084487</v>
      </c>
      <c r="BA362" s="31"/>
      <c r="BB362" s="31">
        <v>1986.16666666786</v>
      </c>
      <c r="BC362" s="2">
        <v>0.1029626835252111</v>
      </c>
      <c r="BD362" s="2">
        <v>-0.34847073798484229</v>
      </c>
      <c r="BE362" s="2">
        <v>0.26474787158594365</v>
      </c>
      <c r="BG362" s="2">
        <f t="shared" si="54"/>
        <v>0.49574420793622426</v>
      </c>
      <c r="BH362" s="2">
        <f t="shared" si="48"/>
        <v>-0.19537503863647809</v>
      </c>
      <c r="BI362" s="2">
        <f t="shared" si="49"/>
        <v>-6.3181550200300543E-2</v>
      </c>
    </row>
    <row r="363" spans="1:61" x14ac:dyDescent="0.3">
      <c r="A363" s="31">
        <v>1986.0833333345299</v>
      </c>
      <c r="B363">
        <v>0.81847869059514833</v>
      </c>
      <c r="C363">
        <v>4.5600000000000307E-2</v>
      </c>
      <c r="D363">
        <v>3.7322628291139012E-2</v>
      </c>
      <c r="F363" s="31">
        <v>1986.0833333345299</v>
      </c>
      <c r="G363" s="2">
        <v>0.44845417113879038</v>
      </c>
      <c r="H363" s="2">
        <v>6.1499999999999798E-2</v>
      </c>
      <c r="I363" s="2">
        <v>2.7579931525035517E-2</v>
      </c>
      <c r="K363" s="31">
        <v>1986.0833333345299</v>
      </c>
      <c r="L363" s="2">
        <v>0.86918045342708794</v>
      </c>
      <c r="M363" s="2">
        <v>9.2279999999999945E-2</v>
      </c>
      <c r="N363" s="2">
        <v>8.2865508244602371E-2</v>
      </c>
      <c r="P363" s="31">
        <v>1986.0833333345299</v>
      </c>
      <c r="Q363" s="2">
        <v>0.58301106372579925</v>
      </c>
      <c r="R363" s="2">
        <v>7.1900000000000297E-2</v>
      </c>
      <c r="S363" s="2">
        <v>4.1300690270412603E-2</v>
      </c>
      <c r="U363" s="2">
        <f t="shared" si="50"/>
        <v>0.63354856276389249</v>
      </c>
      <c r="V363" s="2">
        <f t="shared" si="51"/>
        <v>7.5226666666666678E-2</v>
      </c>
      <c r="W363" s="2">
        <f t="shared" si="52"/>
        <v>5.0582043346683501E-2</v>
      </c>
      <c r="Y363" s="31">
        <v>1986.0833333345299</v>
      </c>
      <c r="Z363" s="2">
        <v>-1.6537381437223508</v>
      </c>
      <c r="AA363" s="2">
        <v>-0.78876452892998272</v>
      </c>
      <c r="AB363" s="2">
        <v>-1.0954550381521451</v>
      </c>
      <c r="AD363" s="31">
        <v>1986.0833333345299</v>
      </c>
      <c r="AE363" s="2">
        <v>0.35655858333348206</v>
      </c>
      <c r="AF363" s="2">
        <v>6.7241855071186282E-2</v>
      </c>
      <c r="AG363" s="2">
        <v>0.86619101460301484</v>
      </c>
      <c r="AH363" s="31"/>
      <c r="AI363" s="31">
        <v>1986.0833333345299</v>
      </c>
      <c r="AJ363" s="2">
        <v>-0.58924809466596995</v>
      </c>
      <c r="AK363" s="2">
        <v>-0.61478205611361436</v>
      </c>
      <c r="AL363" s="2">
        <v>-0.29087768835002675</v>
      </c>
      <c r="AM363" s="31"/>
      <c r="AN363" s="2">
        <f t="shared" si="53"/>
        <v>-0.62880921835161285</v>
      </c>
      <c r="AO363" s="2">
        <f t="shared" si="46"/>
        <v>-0.44543490999080354</v>
      </c>
      <c r="AP363" s="2">
        <f t="shared" si="47"/>
        <v>-0.17338057063305232</v>
      </c>
      <c r="AQ363" s="31"/>
      <c r="AR363" s="31">
        <v>1986.0833333345299</v>
      </c>
      <c r="AS363" s="2">
        <v>-1.5354243937162022</v>
      </c>
      <c r="AT363" s="2">
        <v>-0.93050162247170831</v>
      </c>
      <c r="AU363" s="2">
        <v>-1.4427922611368367</v>
      </c>
      <c r="AV363" s="31"/>
      <c r="AW363" s="31">
        <v>1986.0833333345299</v>
      </c>
      <c r="AX363" s="2">
        <v>0.70625522452284928</v>
      </c>
      <c r="AY363" s="2">
        <v>0.56120938963997447</v>
      </c>
      <c r="AZ363" s="2">
        <v>2.1882512227349524</v>
      </c>
      <c r="BA363" s="31"/>
      <c r="BB363" s="31">
        <v>1986.0833333345299</v>
      </c>
      <c r="BC363" s="2">
        <v>0.10105358907328128</v>
      </c>
      <c r="BD363" s="2">
        <v>-0.95760573293009554</v>
      </c>
      <c r="BE363" s="2">
        <v>9.1042755550381924E-2</v>
      </c>
      <c r="BG363" s="2">
        <f t="shared" si="54"/>
        <v>-0.24270519337335719</v>
      </c>
      <c r="BH363" s="2">
        <f t="shared" si="48"/>
        <v>-0.44229932192060978</v>
      </c>
      <c r="BI363" s="2">
        <f t="shared" si="49"/>
        <v>0.27883390571616595</v>
      </c>
    </row>
    <row r="364" spans="1:61" x14ac:dyDescent="0.3">
      <c r="A364" s="31">
        <v>1986.0000000012001</v>
      </c>
      <c r="B364">
        <v>0.84524263852081771</v>
      </c>
      <c r="C364">
        <v>4.5600000000000307E-2</v>
      </c>
      <c r="D364">
        <v>3.8543064316549545E-2</v>
      </c>
      <c r="F364" s="31">
        <v>1986.0000000012001</v>
      </c>
      <c r="G364" s="2">
        <v>1.223597774859613</v>
      </c>
      <c r="H364" s="2">
        <v>6.1499999999999902E-2</v>
      </c>
      <c r="I364" s="2">
        <v>7.5251263153866071E-2</v>
      </c>
      <c r="K364" s="31">
        <v>1986.0000000012001</v>
      </c>
      <c r="L364" s="2">
        <v>0.92002801093817121</v>
      </c>
      <c r="M364" s="2">
        <v>6.1514999999999952E-2</v>
      </c>
      <c r="N364" s="2">
        <v>5.6596792279424407E-2</v>
      </c>
      <c r="P364" s="31">
        <v>1986.0000000012001</v>
      </c>
      <c r="Q364" s="2">
        <v>0.65077775131891658</v>
      </c>
      <c r="R364" s="2">
        <v>7.1900000000000297E-2</v>
      </c>
      <c r="S364" s="2">
        <v>4.230148833268095E-2</v>
      </c>
      <c r="U364" s="2">
        <f t="shared" si="50"/>
        <v>0.93146784570556684</v>
      </c>
      <c r="V364" s="2">
        <f t="shared" si="51"/>
        <v>6.4971666666666719E-2</v>
      </c>
      <c r="W364" s="2">
        <f t="shared" si="52"/>
        <v>5.8049847921990472E-2</v>
      </c>
      <c r="Y364" s="31">
        <v>1986.0000000012001</v>
      </c>
      <c r="Z364" s="2">
        <v>2.8406035310740987</v>
      </c>
      <c r="AA364" s="2">
        <v>-0.78876452892998072</v>
      </c>
      <c r="AB364" s="2">
        <v>1.6643838642408789E-3</v>
      </c>
      <c r="AD364" s="31">
        <v>1986.0000000012001</v>
      </c>
      <c r="AE364" s="2">
        <v>0.65914002587179776</v>
      </c>
      <c r="AF364" s="2">
        <v>-0.68622224125583742</v>
      </c>
      <c r="AG364" s="2">
        <v>-0.13267193020241974</v>
      </c>
      <c r="AH364" s="31"/>
      <c r="AI364" s="31">
        <v>1986.0000000012001</v>
      </c>
      <c r="AJ364" s="2">
        <v>-0.51316568221704861</v>
      </c>
      <c r="AK364" s="2">
        <v>-0.61478205611361436</v>
      </c>
      <c r="AL364" s="2">
        <v>-0.20999532610462493</v>
      </c>
      <c r="AM364" s="31"/>
      <c r="AN364" s="2">
        <f t="shared" si="53"/>
        <v>0.99552595824294932</v>
      </c>
      <c r="AO364" s="2">
        <f t="shared" si="46"/>
        <v>-0.69658960876647757</v>
      </c>
      <c r="AP364" s="2">
        <f t="shared" si="47"/>
        <v>-0.11366762414760125</v>
      </c>
      <c r="AQ364" s="31"/>
      <c r="AR364" s="31">
        <v>1986.0000000012001</v>
      </c>
      <c r="AS364" s="2">
        <v>2.5059163656292469</v>
      </c>
      <c r="AT364" s="2">
        <v>-0.29853293598826319</v>
      </c>
      <c r="AU364" s="2">
        <v>1.9779223750879336</v>
      </c>
      <c r="AV364" s="31"/>
      <c r="AW364" s="31">
        <v>1986.0000000012001</v>
      </c>
      <c r="AX364" s="2">
        <v>0.74033638189898454</v>
      </c>
      <c r="AY364" s="2">
        <v>-0.21981065223360952</v>
      </c>
      <c r="AZ364" s="2">
        <v>0.64481897624852269</v>
      </c>
      <c r="BA364" s="31"/>
      <c r="BB364" s="31">
        <v>1986.0000000012001</v>
      </c>
      <c r="BC364" s="2">
        <v>4.0676581913672669E-2</v>
      </c>
      <c r="BD364" s="2">
        <v>-9.3919208556921333E-2</v>
      </c>
      <c r="BE364" s="2">
        <v>0.41056676658444713</v>
      </c>
      <c r="BG364" s="2">
        <f t="shared" si="54"/>
        <v>1.0956431098139681</v>
      </c>
      <c r="BH364" s="2">
        <f t="shared" si="48"/>
        <v>-0.20408759892626469</v>
      </c>
      <c r="BI364" s="2">
        <f t="shared" si="49"/>
        <v>1.0111027059736344</v>
      </c>
    </row>
    <row r="365" spans="1:61" x14ac:dyDescent="0.3">
      <c r="A365" s="31">
        <v>1985.91666666787</v>
      </c>
      <c r="B365">
        <v>0.88266532384106366</v>
      </c>
      <c r="C365">
        <v>4.5600000000000307E-2</v>
      </c>
      <c r="D365">
        <v>4.0249538767152773E-2</v>
      </c>
      <c r="F365" s="31">
        <v>1985.91666666787</v>
      </c>
      <c r="G365" s="2">
        <v>0.85824936909399152</v>
      </c>
      <c r="H365" s="2">
        <v>6.1499999999999846E-2</v>
      </c>
      <c r="I365" s="2">
        <v>5.2782336199280369E-2</v>
      </c>
      <c r="K365" s="31">
        <v>1985.91666666787</v>
      </c>
      <c r="L365" s="2">
        <v>0.94137771451607399</v>
      </c>
      <c r="M365" s="2">
        <v>6.1514999999999952E-2</v>
      </c>
      <c r="N365" s="2">
        <v>5.7909597955149779E-2</v>
      </c>
      <c r="P365" s="31">
        <v>1985.91666666787</v>
      </c>
      <c r="Q365" s="2">
        <v>0.75395961305343118</v>
      </c>
      <c r="R365" s="2">
        <v>7.1900000000000297E-2</v>
      </c>
      <c r="S365" s="2">
        <v>4.5403270115565733E-2</v>
      </c>
      <c r="U365" s="2">
        <f t="shared" si="50"/>
        <v>0.85119556555449893</v>
      </c>
      <c r="V365" s="2">
        <f t="shared" si="51"/>
        <v>6.4971666666666705E-2</v>
      </c>
      <c r="W365" s="2">
        <f t="shared" si="52"/>
        <v>5.2031734756665303E-2</v>
      </c>
      <c r="Y365" s="31">
        <v>1985.91666666787</v>
      </c>
      <c r="Z365" s="2">
        <v>0.72228563749800412</v>
      </c>
      <c r="AA365" s="2">
        <v>-0.78876452892998183</v>
      </c>
      <c r="AB365" s="2">
        <v>-0.51544087230265478</v>
      </c>
      <c r="AD365" s="31">
        <v>1985.91666666787</v>
      </c>
      <c r="AE365" s="2">
        <v>0.78618691706139265</v>
      </c>
      <c r="AF365" s="2">
        <v>-0.68622224125583742</v>
      </c>
      <c r="AG365" s="2">
        <v>-8.2752743252032787E-2</v>
      </c>
      <c r="AH365" s="31"/>
      <c r="AI365" s="31">
        <v>1985.91666666787</v>
      </c>
      <c r="AJ365" s="2">
        <v>-0.27131180613867079</v>
      </c>
      <c r="AK365" s="2">
        <v>-0.61478205611361436</v>
      </c>
      <c r="AL365" s="2">
        <v>4.0684053910207789E-2</v>
      </c>
      <c r="AM365" s="31"/>
      <c r="AN365" s="2">
        <f t="shared" si="53"/>
        <v>0.41238691614024203</v>
      </c>
      <c r="AO365" s="2">
        <f t="shared" si="46"/>
        <v>-0.69658960876647791</v>
      </c>
      <c r="AP365" s="2">
        <f t="shared" si="47"/>
        <v>-0.18583652054815991</v>
      </c>
      <c r="AQ365" s="31"/>
      <c r="AR365" s="31">
        <v>1985.91666666787</v>
      </c>
      <c r="AS365" s="2">
        <v>1.0929802536488282</v>
      </c>
      <c r="AT365" s="2">
        <v>-0.68444756444045252</v>
      </c>
      <c r="AU365" s="2">
        <v>7.6723404199857837E-3</v>
      </c>
      <c r="AV365" s="31"/>
      <c r="AW365" s="31">
        <v>1985.91666666787</v>
      </c>
      <c r="AX365" s="2">
        <v>0.92596118246671411</v>
      </c>
      <c r="AY365" s="2">
        <v>-0.51751295497595129</v>
      </c>
      <c r="AZ365" s="2">
        <v>0.75181901963632491</v>
      </c>
      <c r="BA365" s="31"/>
      <c r="BB365" s="31">
        <v>1985.91666666787</v>
      </c>
      <c r="BC365" s="2">
        <v>0.16187679892112014</v>
      </c>
      <c r="BD365" s="2">
        <v>-0.44318112469553572</v>
      </c>
      <c r="BE365" s="2">
        <v>0.41160304047680057</v>
      </c>
      <c r="BG365" s="2">
        <f t="shared" si="54"/>
        <v>0.72693941167888754</v>
      </c>
      <c r="BH365" s="2">
        <f t="shared" si="48"/>
        <v>-0.54838054803731318</v>
      </c>
      <c r="BI365" s="2">
        <f t="shared" si="49"/>
        <v>0.39036480017770381</v>
      </c>
    </row>
    <row r="366" spans="1:61" x14ac:dyDescent="0.3">
      <c r="A366" s="31">
        <v>1985.8333333345399</v>
      </c>
      <c r="B366">
        <v>0.91540425591120334</v>
      </c>
      <c r="C366">
        <v>4.5600000000000307E-2</v>
      </c>
      <c r="D366">
        <v>4.1742434069551151E-2</v>
      </c>
      <c r="F366" s="31">
        <v>1985.8333333345399</v>
      </c>
      <c r="G366" s="2"/>
      <c r="H366" s="2"/>
      <c r="I366" s="2"/>
      <c r="K366" s="31">
        <v>1985.8333333345399</v>
      </c>
      <c r="L366" s="2">
        <v>0.91014307375428039</v>
      </c>
      <c r="M366" s="2">
        <v>6.1514999999999952E-2</v>
      </c>
      <c r="N366" s="2">
        <v>5.5986832403597683E-2</v>
      </c>
      <c r="P366" s="31">
        <v>1985.8333333345399</v>
      </c>
      <c r="Q366" s="2">
        <v>0.83502176853053967</v>
      </c>
      <c r="R366" s="2">
        <v>7.1900000000000297E-2</v>
      </c>
      <c r="S366" s="2">
        <v>4.9389262542542632E-2</v>
      </c>
      <c r="U366" s="2">
        <f t="shared" si="50"/>
        <v>0.87258242114241003</v>
      </c>
      <c r="V366" s="2">
        <f t="shared" si="51"/>
        <v>6.6707500000000128E-2</v>
      </c>
      <c r="W366" s="2">
        <f t="shared" si="52"/>
        <v>5.2688047473070154E-2</v>
      </c>
      <c r="Y366" s="31">
        <v>1985.8333333345399</v>
      </c>
      <c r="Z366" s="2"/>
      <c r="AA366" s="2"/>
      <c r="AB366" s="2"/>
      <c r="AD366" s="31">
        <v>1985.8333333345399</v>
      </c>
      <c r="AE366" s="2">
        <v>0.60031716988996675</v>
      </c>
      <c r="AF366" s="2">
        <v>-0.68622224125583742</v>
      </c>
      <c r="AG366" s="2">
        <v>-0.15586553885040572</v>
      </c>
      <c r="AH366" s="31"/>
      <c r="AI366" s="31">
        <v>1985.8333333345399</v>
      </c>
      <c r="AJ366" s="2">
        <v>5.2619693056428725E-2</v>
      </c>
      <c r="AK366" s="2">
        <v>-0.61478205611361436</v>
      </c>
      <c r="AL366" s="2">
        <v>0.36282344999921479</v>
      </c>
      <c r="AM366" s="31"/>
      <c r="AN366" s="2">
        <f t="shared" si="53"/>
        <v>0.32646843147319776</v>
      </c>
      <c r="AO366" s="2">
        <f t="shared" si="46"/>
        <v>-0.65050214868472589</v>
      </c>
      <c r="AP366" s="2">
        <f t="shared" si="47"/>
        <v>0.10347895557440454</v>
      </c>
      <c r="AQ366" s="31"/>
      <c r="AR366" s="31">
        <v>1985.8333333345399</v>
      </c>
      <c r="AS366" s="2"/>
      <c r="AT366" s="2"/>
      <c r="AU366" s="2"/>
      <c r="AV366" s="31"/>
      <c r="AW366" s="31">
        <v>1985.8333333345399</v>
      </c>
      <c r="AX366" s="2">
        <v>0.53728436987917516</v>
      </c>
      <c r="AY366" s="2">
        <v>-0.19138401234735175</v>
      </c>
      <c r="AZ366" s="2">
        <v>0.47011598730630955</v>
      </c>
      <c r="BA366" s="31"/>
      <c r="BB366" s="31">
        <v>1985.8333333345399</v>
      </c>
      <c r="BC366" s="2">
        <v>0.11404032849374011</v>
      </c>
      <c r="BD366" s="2">
        <v>-4.0971152421897278E-2</v>
      </c>
      <c r="BE366" s="2">
        <v>0.45985438921287292</v>
      </c>
      <c r="BG366" s="2">
        <f t="shared" si="54"/>
        <v>0.32566234918645764</v>
      </c>
      <c r="BH366" s="2">
        <f t="shared" si="48"/>
        <v>-0.11617758238462451</v>
      </c>
      <c r="BI366" s="2">
        <f t="shared" si="49"/>
        <v>0.46498518825959123</v>
      </c>
    </row>
    <row r="367" spans="1:61" x14ac:dyDescent="0.3">
      <c r="A367" s="31">
        <v>1985.7500000012101</v>
      </c>
      <c r="B367">
        <v>0.93327792347270655</v>
      </c>
      <c r="C367">
        <v>4.5600000000000307E-2</v>
      </c>
      <c r="D367">
        <v>4.2557473310355705E-2</v>
      </c>
      <c r="F367" s="31">
        <v>1985.7500000012101</v>
      </c>
      <c r="G367" s="2">
        <v>0.88117404912882491</v>
      </c>
      <c r="H367" s="2">
        <v>6.1499999999999846E-2</v>
      </c>
      <c r="I367" s="2">
        <v>5.4192204021422621E-2</v>
      </c>
      <c r="K367" s="31">
        <v>1985.7500000012101</v>
      </c>
      <c r="L367" s="2">
        <v>0.88416290496658201</v>
      </c>
      <c r="M367" s="2">
        <v>6.1514999999999952E-2</v>
      </c>
      <c r="N367" s="2">
        <v>5.4387449977264295E-2</v>
      </c>
      <c r="P367" s="31">
        <v>1985.7500000012101</v>
      </c>
      <c r="Q367" s="2">
        <v>0.84530505346147244</v>
      </c>
      <c r="R367" s="2">
        <v>7.1900000000000297E-2</v>
      </c>
      <c r="S367" s="2">
        <v>5.3229322867525727E-2</v>
      </c>
      <c r="U367" s="2">
        <f t="shared" si="50"/>
        <v>0.87021400251895964</v>
      </c>
      <c r="V367" s="2">
        <f t="shared" si="51"/>
        <v>6.4971666666666705E-2</v>
      </c>
      <c r="W367" s="2">
        <f t="shared" si="52"/>
        <v>5.3936325622070881E-2</v>
      </c>
      <c r="Y367" s="31">
        <v>1985.7500000012101</v>
      </c>
      <c r="Z367" s="2">
        <v>0.85520467903734942</v>
      </c>
      <c r="AA367" s="2">
        <v>-0.78876452892998183</v>
      </c>
      <c r="AB367" s="2">
        <v>-0.48299383721264394</v>
      </c>
      <c r="AD367" s="31">
        <v>1985.7500000012101</v>
      </c>
      <c r="AE367" s="2">
        <v>0.44571550692007467</v>
      </c>
      <c r="AF367" s="2">
        <v>-0.68622224125583742</v>
      </c>
      <c r="AG367" s="2">
        <v>-0.21668175241619911</v>
      </c>
      <c r="AH367" s="31"/>
      <c r="AI367" s="31">
        <v>1985.7500000012101</v>
      </c>
      <c r="AJ367" s="2">
        <v>0.38278896870981494</v>
      </c>
      <c r="AK367" s="2">
        <v>-0.61478205611361436</v>
      </c>
      <c r="AL367" s="2">
        <v>0.67316892523475513</v>
      </c>
      <c r="AM367" s="31"/>
      <c r="AN367" s="2">
        <f t="shared" si="53"/>
        <v>0.56123638488907968</v>
      </c>
      <c r="AO367" s="2">
        <f t="shared" si="46"/>
        <v>-0.69658960876647791</v>
      </c>
      <c r="AP367" s="2">
        <f t="shared" si="47"/>
        <v>-8.8355547980293134E-3</v>
      </c>
      <c r="AQ367" s="31"/>
      <c r="AR367" s="31">
        <v>1985.7500000012101</v>
      </c>
      <c r="AS367" s="2">
        <v>0.9583815203005509</v>
      </c>
      <c r="AT367" s="2">
        <v>-0.6766476141944503</v>
      </c>
      <c r="AU367" s="2">
        <v>-0.1026184035544651</v>
      </c>
      <c r="AV367" s="31"/>
      <c r="AW367" s="31">
        <v>1985.7500000012101</v>
      </c>
      <c r="AX367" s="2">
        <v>0.57130924079049905</v>
      </c>
      <c r="AY367" s="2">
        <v>-0.6564669997761764</v>
      </c>
      <c r="AZ367" s="2">
        <v>1.4923176983646752E-2</v>
      </c>
      <c r="BA367" s="31"/>
      <c r="BB367" s="31">
        <v>1985.7500000012101</v>
      </c>
      <c r="BC367" s="2">
        <v>0.33111631181375428</v>
      </c>
      <c r="BD367" s="2">
        <v>-0.59144451954684485</v>
      </c>
      <c r="BE367" s="2">
        <v>0.41661105624176153</v>
      </c>
      <c r="BG367" s="2">
        <f t="shared" si="54"/>
        <v>0.62026902430160147</v>
      </c>
      <c r="BH367" s="2">
        <f t="shared" si="48"/>
        <v>-0.64151971117249051</v>
      </c>
      <c r="BI367" s="2">
        <f t="shared" si="49"/>
        <v>0.10963860989031439</v>
      </c>
    </row>
    <row r="368" spans="1:61" x14ac:dyDescent="0.3">
      <c r="A368" s="31">
        <v>1985.66666666788</v>
      </c>
      <c r="B368">
        <v>0.97042213785748632</v>
      </c>
      <c r="C368">
        <v>4.5600000000000307E-2</v>
      </c>
      <c r="D368">
        <v>4.4251249486301672E-2</v>
      </c>
      <c r="F368" s="31">
        <v>1985.66666666788</v>
      </c>
      <c r="G368" s="2"/>
      <c r="H368" s="2"/>
      <c r="I368" s="2"/>
      <c r="K368" s="31">
        <v>1985.66666666788</v>
      </c>
      <c r="L368" s="2">
        <v>0.84812667731063285</v>
      </c>
      <c r="M368" s="2">
        <v>6.1514999999999952E-2</v>
      </c>
      <c r="N368" s="2">
        <v>5.2169812512686722E-2</v>
      </c>
      <c r="P368" s="31">
        <v>1985.66666666788</v>
      </c>
      <c r="Q368" s="2">
        <v>0.81682953679699077</v>
      </c>
      <c r="R368" s="2">
        <v>7.1900000000000297E-2</v>
      </c>
      <c r="S368" s="2">
        <v>5.7422728428177069E-2</v>
      </c>
      <c r="U368" s="2">
        <f t="shared" si="50"/>
        <v>0.83247810705381187</v>
      </c>
      <c r="V368" s="2">
        <f t="shared" si="51"/>
        <v>6.6707500000000128E-2</v>
      </c>
      <c r="W368" s="2">
        <f t="shared" si="52"/>
        <v>5.4796270470431896E-2</v>
      </c>
      <c r="Y368" s="31">
        <v>1985.66666666788</v>
      </c>
      <c r="Z368" s="2"/>
      <c r="AA368" s="2"/>
      <c r="AB368" s="2"/>
      <c r="AD368" s="31">
        <v>1985.66666666788</v>
      </c>
      <c r="AE368" s="2">
        <v>0.23127268446199462</v>
      </c>
      <c r="AF368" s="2">
        <v>-0.68622224125583742</v>
      </c>
      <c r="AG368" s="2">
        <v>-0.30100699660838531</v>
      </c>
      <c r="AH368" s="31"/>
      <c r="AI368" s="31">
        <v>1985.66666666788</v>
      </c>
      <c r="AJ368" s="2">
        <v>0.74407747750438458</v>
      </c>
      <c r="AK368" s="2">
        <v>-0.61478205611361436</v>
      </c>
      <c r="AL368" s="2">
        <v>1.012071007868425</v>
      </c>
      <c r="AM368" s="31"/>
      <c r="AN368" s="2">
        <f t="shared" si="53"/>
        <v>0.48767508098318957</v>
      </c>
      <c r="AO368" s="2">
        <f t="shared" si="46"/>
        <v>-0.65050214868472589</v>
      </c>
      <c r="AP368" s="2">
        <f t="shared" si="47"/>
        <v>0.35553200563001985</v>
      </c>
      <c r="AQ368" s="31"/>
      <c r="AR368" s="31">
        <v>1985.66666666788</v>
      </c>
      <c r="AS368" s="2"/>
      <c r="AT368" s="2"/>
      <c r="AU368" s="2"/>
      <c r="AV368" s="31"/>
      <c r="AW368" s="31">
        <v>1985.66666666788</v>
      </c>
      <c r="AX368" s="2">
        <v>5.9846527978625323E-2</v>
      </c>
      <c r="AY368" s="2">
        <v>-0.23837245449551037</v>
      </c>
      <c r="AZ368" s="2">
        <v>4.3905170916486852E-2</v>
      </c>
      <c r="BA368" s="31"/>
      <c r="BB368" s="31">
        <v>1985.66666666788</v>
      </c>
      <c r="BC368" s="2">
        <v>0.39158220738846256</v>
      </c>
      <c r="BD368" s="2">
        <v>7.7097786990586777E-4</v>
      </c>
      <c r="BE368" s="2">
        <v>1.0816588877410369</v>
      </c>
      <c r="BG368" s="2">
        <f t="shared" si="54"/>
        <v>0.22571436768354394</v>
      </c>
      <c r="BH368" s="2">
        <f t="shared" si="48"/>
        <v>-0.11880073831280225</v>
      </c>
      <c r="BI368" s="2">
        <f t="shared" si="49"/>
        <v>0.56278202932876187</v>
      </c>
    </row>
    <row r="369" spans="1:61" x14ac:dyDescent="0.3">
      <c r="A369" s="31">
        <v>1985.5833333345499</v>
      </c>
      <c r="B369">
        <v>1.0331002885818479</v>
      </c>
      <c r="C369">
        <v>4.5600000000000307E-2</v>
      </c>
      <c r="D369">
        <v>4.7109373159332578E-2</v>
      </c>
      <c r="F369" s="31">
        <v>1985.5833333345499</v>
      </c>
      <c r="G369" s="2">
        <v>0.9045874822809914</v>
      </c>
      <c r="H369" s="2">
        <v>6.1499999999999846E-2</v>
      </c>
      <c r="I369" s="2">
        <v>5.5632130160280853E-2</v>
      </c>
      <c r="K369" s="31">
        <v>1985.5833333345499</v>
      </c>
      <c r="L369" s="2">
        <v>0.82518457345670149</v>
      </c>
      <c r="M369" s="2">
        <v>6.1514999999999952E-2</v>
      </c>
      <c r="N369" s="2">
        <v>5.0757849361935725E-2</v>
      </c>
      <c r="P369" s="31">
        <v>1985.5833333345499</v>
      </c>
      <c r="Q369" s="2">
        <v>0.78389188105084195</v>
      </c>
      <c r="R369" s="2">
        <v>7.1900000000000297E-2</v>
      </c>
      <c r="S369" s="2">
        <v>6.0986271425048533E-2</v>
      </c>
      <c r="U369" s="2">
        <f t="shared" si="50"/>
        <v>0.83788797892951161</v>
      </c>
      <c r="V369" s="2">
        <f t="shared" si="51"/>
        <v>6.4971666666666705E-2</v>
      </c>
      <c r="W369" s="2">
        <f t="shared" si="52"/>
        <v>5.5792083649088366E-2</v>
      </c>
      <c r="Y369" s="31">
        <v>1985.5833333345499</v>
      </c>
      <c r="Z369" s="2">
        <v>0.99095754839049932</v>
      </c>
      <c r="AA369" s="2">
        <v>-0.78876452892998183</v>
      </c>
      <c r="AB369" s="2">
        <v>-0.44985503283624134</v>
      </c>
      <c r="AD369" s="31">
        <v>1985.5833333345499</v>
      </c>
      <c r="AE369" s="2">
        <v>9.4749806692039099E-2</v>
      </c>
      <c r="AF369" s="2">
        <v>-0.68622224125583742</v>
      </c>
      <c r="AG369" s="2">
        <v>-0.3546966277493015</v>
      </c>
      <c r="AH369" s="31"/>
      <c r="AI369" s="31">
        <v>1985.5833333345499</v>
      </c>
      <c r="AJ369" s="2">
        <v>1.0521495594373034</v>
      </c>
      <c r="AK369" s="2">
        <v>-0.61478205611361436</v>
      </c>
      <c r="AL369" s="2">
        <v>1.3000689431329508</v>
      </c>
      <c r="AM369" s="31"/>
      <c r="AN369" s="2">
        <f t="shared" si="53"/>
        <v>0.71261897150661391</v>
      </c>
      <c r="AO369" s="2">
        <f t="shared" si="46"/>
        <v>-0.69658960876647791</v>
      </c>
      <c r="AP369" s="2">
        <f t="shared" si="47"/>
        <v>0.16517242751580266</v>
      </c>
      <c r="AQ369" s="31"/>
      <c r="AR369" s="31">
        <v>1985.5833333345499</v>
      </c>
      <c r="AS369" s="2">
        <v>0.51560258665245451</v>
      </c>
      <c r="AT369" s="2">
        <v>-0.65870957567408583</v>
      </c>
      <c r="AU369" s="2">
        <v>-0.23917302179145553</v>
      </c>
      <c r="AV369" s="31"/>
      <c r="AW369" s="31">
        <v>1985.5833333345499</v>
      </c>
      <c r="AX369" s="2">
        <v>-0.13544233015213056</v>
      </c>
      <c r="AY369" s="2">
        <v>-0.53553372549108424</v>
      </c>
      <c r="AZ369" s="2">
        <v>-0.31589526046233479</v>
      </c>
      <c r="BA369" s="31"/>
      <c r="BB369" s="31">
        <v>1985.5833333345499</v>
      </c>
      <c r="BC369" s="2">
        <v>0.42315259667941502</v>
      </c>
      <c r="BD369" s="2">
        <v>-0.51613739712758211</v>
      </c>
      <c r="BE369" s="2">
        <v>0.51127091004519276</v>
      </c>
      <c r="BG369" s="2">
        <f t="shared" si="54"/>
        <v>0.267770951059913</v>
      </c>
      <c r="BH369" s="2">
        <f t="shared" si="48"/>
        <v>-0.57012689943091743</v>
      </c>
      <c r="BI369" s="2">
        <f t="shared" si="49"/>
        <v>-1.4599124069532518E-2</v>
      </c>
    </row>
    <row r="370" spans="1:61" x14ac:dyDescent="0.3">
      <c r="A370" s="31">
        <v>1985.5000000012201</v>
      </c>
      <c r="B370">
        <v>1.1010754591067766</v>
      </c>
      <c r="C370">
        <v>4.5600000000000307E-2</v>
      </c>
      <c r="D370">
        <v>5.0209040935269351E-2</v>
      </c>
      <c r="F370" s="31">
        <v>1985.5000000012201</v>
      </c>
      <c r="G370" s="2"/>
      <c r="H370" s="2"/>
      <c r="I370" s="2"/>
      <c r="K370" s="31">
        <v>1985.5000000012201</v>
      </c>
      <c r="L370" s="2">
        <v>0.82301189872084146</v>
      </c>
      <c r="M370" s="2">
        <v>6.1514999999999952E-2</v>
      </c>
      <c r="N370" s="2">
        <v>5.0623817217948119E-2</v>
      </c>
      <c r="P370" s="31">
        <v>1985.5000000012201</v>
      </c>
      <c r="Q370" s="2">
        <v>0.76966196011001686</v>
      </c>
      <c r="R370" s="2">
        <v>4.7900000000000303E-2</v>
      </c>
      <c r="S370" s="2">
        <v>3.8106300370894054E-2</v>
      </c>
      <c r="U370" s="2">
        <f t="shared" si="50"/>
        <v>0.79633692941542922</v>
      </c>
      <c r="V370" s="2">
        <f t="shared" si="51"/>
        <v>5.4707500000000131E-2</v>
      </c>
      <c r="W370" s="2">
        <f t="shared" si="52"/>
        <v>4.4365058794421083E-2</v>
      </c>
      <c r="Y370" s="31">
        <v>1985.5000000012201</v>
      </c>
      <c r="Z370" s="2"/>
      <c r="AA370" s="2"/>
      <c r="AB370" s="2"/>
      <c r="AD370" s="31">
        <v>1985.5000000012201</v>
      </c>
      <c r="AE370" s="2">
        <v>8.1820747993402804E-2</v>
      </c>
      <c r="AF370" s="2">
        <v>-0.68622224125583742</v>
      </c>
      <c r="AG370" s="2">
        <v>-0.35979317461590576</v>
      </c>
      <c r="AH370" s="31"/>
      <c r="AI370" s="31">
        <v>1985.5000000012201</v>
      </c>
      <c r="AJ370" s="2">
        <v>0.8345419287825675</v>
      </c>
      <c r="AK370" s="2">
        <v>-1.186702766808877</v>
      </c>
      <c r="AL370" s="2">
        <v>-0.54904145859185438</v>
      </c>
      <c r="AM370" s="31"/>
      <c r="AN370" s="2">
        <f t="shared" si="53"/>
        <v>0.45818133838798514</v>
      </c>
      <c r="AO370" s="2">
        <f t="shared" si="46"/>
        <v>-0.9364625040323572</v>
      </c>
      <c r="AP370" s="2">
        <f t="shared" si="47"/>
        <v>-0.45441731660388007</v>
      </c>
      <c r="AQ370" s="31"/>
      <c r="AR370" s="31">
        <v>1985.5000000012201</v>
      </c>
      <c r="AS370" s="2"/>
      <c r="AT370" s="2"/>
      <c r="AU370" s="2"/>
      <c r="AV370" s="31"/>
      <c r="AW370" s="31">
        <v>1985.5000000012201</v>
      </c>
      <c r="AX370" s="2">
        <v>-0.17800058686077441</v>
      </c>
      <c r="AY370" s="2">
        <v>-0.10780241638246968</v>
      </c>
      <c r="AZ370" s="2">
        <v>-0.17796420026724036</v>
      </c>
      <c r="BA370" s="31"/>
      <c r="BB370" s="31">
        <v>1985.5000000012201</v>
      </c>
      <c r="BC370" s="2">
        <v>-1.3586119406375061E-2</v>
      </c>
      <c r="BD370" s="2">
        <v>-0.38248368897839508</v>
      </c>
      <c r="BE370" s="2">
        <v>-0.23942332295106664</v>
      </c>
      <c r="BG370" s="2">
        <f t="shared" si="54"/>
        <v>-9.5793353133574732E-2</v>
      </c>
      <c r="BH370" s="2">
        <f t="shared" si="48"/>
        <v>-0.24514305268043238</v>
      </c>
      <c r="BI370" s="2">
        <f t="shared" si="49"/>
        <v>-0.20869376160915348</v>
      </c>
    </row>
    <row r="371" spans="1:61" x14ac:dyDescent="0.3">
      <c r="A371" s="31">
        <v>1985.41666666789</v>
      </c>
      <c r="B371">
        <v>0.99321549204272275</v>
      </c>
      <c r="C371">
        <v>0.24320000000000164</v>
      </c>
      <c r="D371">
        <v>0.24155000766479179</v>
      </c>
      <c r="F371" s="31">
        <v>1985.41666666789</v>
      </c>
      <c r="G371" s="2">
        <v>0.91634040491054414</v>
      </c>
      <c r="H371" s="2">
        <v>0.15374999999999969</v>
      </c>
      <c r="I371" s="2">
        <v>0.18073896111953744</v>
      </c>
      <c r="K371" s="31">
        <v>1985.41666666789</v>
      </c>
      <c r="L371" s="2">
        <v>0.79602596105324663</v>
      </c>
      <c r="M371" s="2">
        <v>9.2264999999999903E-2</v>
      </c>
      <c r="N371" s="2">
        <v>4.8963789509611153E-2</v>
      </c>
      <c r="P371" s="31">
        <v>1985.41666666789</v>
      </c>
      <c r="Q371" s="2">
        <v>0.71114660869332602</v>
      </c>
      <c r="R371" s="2">
        <v>0.19170000000000093</v>
      </c>
      <c r="S371" s="2">
        <v>6.0702061632895821E-2</v>
      </c>
      <c r="U371" s="2">
        <f t="shared" si="50"/>
        <v>0.80783765821903897</v>
      </c>
      <c r="V371" s="2">
        <f t="shared" si="51"/>
        <v>0.14590500000000017</v>
      </c>
      <c r="W371" s="2">
        <f t="shared" si="52"/>
        <v>9.6801604087348128E-2</v>
      </c>
      <c r="Y371" s="31">
        <v>1985.41666666789</v>
      </c>
      <c r="Z371" s="2">
        <v>1.0591018892856627</v>
      </c>
      <c r="AA371" s="2">
        <v>1.0126249536365408</v>
      </c>
      <c r="AB371" s="2">
        <v>2.4293834818544462</v>
      </c>
      <c r="AD371" s="31">
        <v>1985.41666666789</v>
      </c>
      <c r="AE371" s="2">
        <v>-7.8766000857416391E-2</v>
      </c>
      <c r="AF371" s="2">
        <v>6.6874490811640125E-2</v>
      </c>
      <c r="AG371" s="2">
        <v>-0.42291541353333612</v>
      </c>
      <c r="AH371" s="31"/>
      <c r="AI371" s="31">
        <v>1985.41666666789</v>
      </c>
      <c r="AJ371" s="2">
        <v>1.0662003754945841</v>
      </c>
      <c r="AK371" s="2">
        <v>2.2400554914402537</v>
      </c>
      <c r="AL371" s="2">
        <v>1.2770997146449541</v>
      </c>
      <c r="AM371" s="31"/>
      <c r="AN371" s="2">
        <f t="shared" si="53"/>
        <v>0.68217875464094346</v>
      </c>
      <c r="AO371" s="2">
        <f t="shared" si="46"/>
        <v>1.1065183119628115</v>
      </c>
      <c r="AP371" s="2">
        <f t="shared" si="47"/>
        <v>1.0945225943220214</v>
      </c>
      <c r="AQ371" s="31"/>
      <c r="AR371" s="31">
        <v>1985.41666666789</v>
      </c>
      <c r="AS371" s="2">
        <v>0.44175868831590231</v>
      </c>
      <c r="AT371" s="2">
        <v>-0.35878275268423226</v>
      </c>
      <c r="AU371" s="2">
        <v>0.72146576316515632</v>
      </c>
      <c r="AV371" s="31"/>
      <c r="AW371" s="31">
        <v>1985.41666666789</v>
      </c>
      <c r="AX371" s="2">
        <v>-0.4998573890398923</v>
      </c>
      <c r="AY371" s="2">
        <v>-1.0196274698486036</v>
      </c>
      <c r="AZ371" s="2">
        <v>-1.0753045780397326</v>
      </c>
      <c r="BA371" s="31"/>
      <c r="BB371" s="31">
        <v>1985.41666666789</v>
      </c>
      <c r="BC371" s="2">
        <v>0.36812730637425772</v>
      </c>
      <c r="BD371" s="2">
        <v>0.7751653150294695</v>
      </c>
      <c r="BE371" s="2">
        <v>0.42398783728518102</v>
      </c>
      <c r="BG371" s="2">
        <f t="shared" si="54"/>
        <v>0.10334286855008924</v>
      </c>
      <c r="BH371" s="2">
        <f t="shared" si="48"/>
        <v>-0.20108163583445546</v>
      </c>
      <c r="BI371" s="2">
        <f t="shared" si="49"/>
        <v>2.3383007470201611E-2</v>
      </c>
    </row>
    <row r="372" spans="1:61" x14ac:dyDescent="0.3">
      <c r="A372" s="31">
        <v>1985.3333333345599</v>
      </c>
      <c r="B372">
        <v>0.90126134946329273</v>
      </c>
      <c r="C372">
        <v>0.24320000000000164</v>
      </c>
      <c r="D372">
        <v>0.21918676018947428</v>
      </c>
      <c r="F372" s="31">
        <v>1985.3333333345599</v>
      </c>
      <c r="G372" s="2">
        <v>0.83287306515613801</v>
      </c>
      <c r="H372" s="2">
        <v>0.15374999999999969</v>
      </c>
      <c r="I372" s="2">
        <v>0.16217492836810216</v>
      </c>
      <c r="K372" s="31">
        <v>1985.3333333345599</v>
      </c>
      <c r="L372" s="2">
        <v>0.72178534176636244</v>
      </c>
      <c r="M372" s="2">
        <v>9.2264999999999903E-2</v>
      </c>
      <c r="N372" s="2">
        <v>4.4397615701290388E-2</v>
      </c>
      <c r="P372" s="31">
        <v>1985.3333333345599</v>
      </c>
      <c r="Q372" s="2">
        <v>0.64353836581767476</v>
      </c>
      <c r="R372" s="2">
        <v>0.14375000000000077</v>
      </c>
      <c r="S372" s="2">
        <v>5.6112238609753451E-2</v>
      </c>
      <c r="U372" s="2">
        <f t="shared" si="50"/>
        <v>0.73273225758005844</v>
      </c>
      <c r="V372" s="2">
        <f t="shared" si="51"/>
        <v>0.1299216666666668</v>
      </c>
      <c r="W372" s="2">
        <f t="shared" si="52"/>
        <v>8.7561594226381989E-2</v>
      </c>
      <c r="Y372" s="31">
        <v>1985.3333333345599</v>
      </c>
      <c r="Z372" s="2">
        <v>0.57515189377266385</v>
      </c>
      <c r="AA372" s="2">
        <v>1.0126249536365408</v>
      </c>
      <c r="AB372" s="2">
        <v>2.0021463943502562</v>
      </c>
      <c r="AD372" s="31">
        <v>1985.3333333345599</v>
      </c>
      <c r="AE372" s="2">
        <v>-0.52055386203180753</v>
      </c>
      <c r="AF372" s="2">
        <v>6.6874490811640125E-2</v>
      </c>
      <c r="AG372" s="2">
        <v>-0.59654330698343094</v>
      </c>
      <c r="AH372" s="31"/>
      <c r="AI372" s="31">
        <v>1985.3333333345599</v>
      </c>
      <c r="AJ372" s="2">
        <v>0.71634275380350743</v>
      </c>
      <c r="AK372" s="2">
        <v>1.0974055715303397</v>
      </c>
      <c r="AL372" s="2">
        <v>0.90616001921961897</v>
      </c>
      <c r="AM372" s="31"/>
      <c r="AN372" s="2">
        <f t="shared" si="53"/>
        <v>0.25698026184812123</v>
      </c>
      <c r="AO372" s="2">
        <f t="shared" si="46"/>
        <v>0.72563500532617342</v>
      </c>
      <c r="AP372" s="2">
        <f t="shared" si="47"/>
        <v>0.77058770219548134</v>
      </c>
      <c r="AQ372" s="31"/>
      <c r="AR372" s="31">
        <v>1985.3333333345599</v>
      </c>
      <c r="AS372" s="2">
        <v>0.5073543990212297</v>
      </c>
      <c r="AT372" s="2">
        <v>-1.8664175683888028E-2</v>
      </c>
      <c r="AU372" s="2">
        <v>1.1208138071827125</v>
      </c>
      <c r="AV372" s="31"/>
      <c r="AW372" s="31">
        <v>1985.3333333345599</v>
      </c>
      <c r="AX372" s="2">
        <v>-0.64401218691263162</v>
      </c>
      <c r="AY372" s="2">
        <v>-0.6035549277918324</v>
      </c>
      <c r="AZ372" s="2">
        <v>-0.79074856291632201</v>
      </c>
      <c r="BA372" s="31"/>
      <c r="BB372" s="31">
        <v>1985.3333333345599</v>
      </c>
      <c r="BC372" s="2">
        <v>0.54730441048325229</v>
      </c>
      <c r="BD372" s="2">
        <v>0.38022549126865662</v>
      </c>
      <c r="BE372" s="2">
        <v>0.58854635721298898</v>
      </c>
      <c r="BG372" s="2">
        <f t="shared" si="54"/>
        <v>0.13688220753061678</v>
      </c>
      <c r="BH372" s="2">
        <f t="shared" si="48"/>
        <v>-8.0664537402354602E-2</v>
      </c>
      <c r="BI372" s="2">
        <f t="shared" si="49"/>
        <v>0.30620386715979314</v>
      </c>
    </row>
    <row r="373" spans="1:61" x14ac:dyDescent="0.3">
      <c r="A373" s="31">
        <v>1985.2500000012301</v>
      </c>
      <c r="B373">
        <v>0.87488668293459182</v>
      </c>
      <c r="C373">
        <v>0.24320000000000164</v>
      </c>
      <c r="D373">
        <v>0.21277244128969416</v>
      </c>
      <c r="F373" s="31">
        <v>1985.2500000012301</v>
      </c>
      <c r="G373" s="2">
        <v>0.74218022398547634</v>
      </c>
      <c r="H373" s="2">
        <v>0.15374999999999969</v>
      </c>
      <c r="I373" s="2">
        <v>0.14173487282264746</v>
      </c>
      <c r="K373" s="31">
        <v>1985.2500000012301</v>
      </c>
      <c r="L373" s="2">
        <v>0.65995778747185119</v>
      </c>
      <c r="M373" s="2">
        <v>9.2264999999999903E-2</v>
      </c>
      <c r="N373" s="2">
        <v>4.0595030392846246E-2</v>
      </c>
      <c r="P373" s="31">
        <v>1985.2500000012301</v>
      </c>
      <c r="Q373" s="2">
        <v>0.63169496833738981</v>
      </c>
      <c r="R373" s="2">
        <v>0.14375000000000077</v>
      </c>
      <c r="S373" s="2">
        <v>5.0948781321968374E-2</v>
      </c>
      <c r="U373" s="2">
        <f t="shared" si="50"/>
        <v>0.67794432659823911</v>
      </c>
      <c r="V373" s="2">
        <f t="shared" si="51"/>
        <v>0.1299216666666668</v>
      </c>
      <c r="W373" s="2">
        <f t="shared" si="52"/>
        <v>7.7759561512487363E-2</v>
      </c>
      <c r="Y373" s="31">
        <v>1985.2500000012301</v>
      </c>
      <c r="Z373" s="2">
        <v>4.9307890516457176E-2</v>
      </c>
      <c r="AA373" s="2">
        <v>1.0126249536365408</v>
      </c>
      <c r="AB373" s="2">
        <v>1.5317340697981594</v>
      </c>
      <c r="AD373" s="31">
        <v>1985.2500000012301</v>
      </c>
      <c r="AE373" s="2">
        <v>-0.88847459377927618</v>
      </c>
      <c r="AF373" s="2">
        <v>6.6874490811640125E-2</v>
      </c>
      <c r="AG373" s="2">
        <v>-0.74113589247947897</v>
      </c>
      <c r="AH373" s="31"/>
      <c r="AI373" s="31">
        <v>1985.2500000012301</v>
      </c>
      <c r="AJ373" s="2">
        <v>0.20247958178787678</v>
      </c>
      <c r="AK373" s="2">
        <v>1.0974055715303397</v>
      </c>
      <c r="AL373" s="2">
        <v>0.48886042748908332</v>
      </c>
      <c r="AM373" s="31"/>
      <c r="AN373" s="2">
        <f t="shared" si="53"/>
        <v>-0.21222904049164737</v>
      </c>
      <c r="AO373" s="2">
        <f t="shared" si="46"/>
        <v>0.72563500532617342</v>
      </c>
      <c r="AP373" s="2">
        <f t="shared" si="47"/>
        <v>0.42648620160258793</v>
      </c>
      <c r="AQ373" s="31"/>
      <c r="AR373" s="31">
        <v>1985.2500000012301</v>
      </c>
      <c r="AS373" s="2">
        <v>0.24448436137384844</v>
      </c>
      <c r="AT373" s="2">
        <v>-6.2988546229767878E-2</v>
      </c>
      <c r="AU373" s="2">
        <v>0.77397527927221721</v>
      </c>
      <c r="AV373" s="31"/>
      <c r="AW373" s="31">
        <v>1985.2500000012301</v>
      </c>
      <c r="AX373" s="2">
        <v>-0.84703899171935826</v>
      </c>
      <c r="AY373" s="2">
        <v>-0.8205967459488962</v>
      </c>
      <c r="AZ373" s="2">
        <v>-0.97229544491450559</v>
      </c>
      <c r="BA373" s="31"/>
      <c r="BB373" s="31">
        <v>1985.2500000012301</v>
      </c>
      <c r="BC373" s="2">
        <v>0.52749475422824776</v>
      </c>
      <c r="BD373" s="2">
        <v>3.2254086159998023E-2</v>
      </c>
      <c r="BE373" s="2">
        <v>0.60206619482150669</v>
      </c>
      <c r="BG373" s="2">
        <f t="shared" si="54"/>
        <v>-2.501995870575402E-2</v>
      </c>
      <c r="BH373" s="2">
        <f t="shared" si="48"/>
        <v>-0.28377706867288871</v>
      </c>
      <c r="BI373" s="2">
        <f t="shared" si="49"/>
        <v>0.1345820097264061</v>
      </c>
    </row>
    <row r="374" spans="1:61" x14ac:dyDescent="0.3">
      <c r="A374" s="31">
        <v>1985.1666666679</v>
      </c>
      <c r="B374">
        <v>0.86617850868367019</v>
      </c>
      <c r="C374">
        <v>0.24320000000000164</v>
      </c>
      <c r="D374">
        <v>0.21065461331187002</v>
      </c>
      <c r="F374" s="31">
        <v>1985.1666666679</v>
      </c>
      <c r="G374" s="2">
        <v>0.6767168808552313</v>
      </c>
      <c r="H374" s="2">
        <v>0.15374999999999969</v>
      </c>
      <c r="I374" s="2">
        <v>0.12742495249783961</v>
      </c>
      <c r="K374" s="31">
        <v>1985.1666666679</v>
      </c>
      <c r="L374" s="2">
        <v>0.71106808378642505</v>
      </c>
      <c r="M374" s="2">
        <v>0.1229999999999998</v>
      </c>
      <c r="N374" s="2">
        <v>4.3730687152865072E-2</v>
      </c>
      <c r="P374" s="31">
        <v>1985.1666666679</v>
      </c>
      <c r="Q374" s="2">
        <v>0.56940639567810669</v>
      </c>
      <c r="R374" s="2">
        <v>0.1198000000000006</v>
      </c>
      <c r="S374" s="2">
        <v>4.601321765916553E-2</v>
      </c>
      <c r="U374" s="2">
        <f t="shared" si="50"/>
        <v>0.65239712010658768</v>
      </c>
      <c r="V374" s="2">
        <f t="shared" si="51"/>
        <v>0.13218333333333335</v>
      </c>
      <c r="W374" s="2">
        <f t="shared" si="52"/>
        <v>7.2389619103290073E-2</v>
      </c>
      <c r="Y374" s="31">
        <v>1985.1666666679</v>
      </c>
      <c r="Z374" s="2">
        <v>-0.3302535607933122</v>
      </c>
      <c r="AA374" s="2">
        <v>1.0126249536365408</v>
      </c>
      <c r="AB374" s="2">
        <v>1.2024021426329679</v>
      </c>
      <c r="AD374" s="31">
        <v>1985.1666666679</v>
      </c>
      <c r="AE374" s="2">
        <v>-0.58432965655090285</v>
      </c>
      <c r="AF374" s="2">
        <v>0.81960385861957141</v>
      </c>
      <c r="AG374" s="2">
        <v>-0.62190313860740543</v>
      </c>
      <c r="AH374" s="31"/>
      <c r="AI374" s="31">
        <v>1985.1666666679</v>
      </c>
      <c r="AJ374" s="2">
        <v>-0.26437153723842427</v>
      </c>
      <c r="AK374" s="2">
        <v>0.52667636231568804</v>
      </c>
      <c r="AL374" s="2">
        <v>8.9978711875786141E-2</v>
      </c>
      <c r="AM374" s="31"/>
      <c r="AN374" s="2">
        <f t="shared" si="53"/>
        <v>-0.39298491819421311</v>
      </c>
      <c r="AO374" s="2">
        <f t="shared" si="46"/>
        <v>0.7863017248572669</v>
      </c>
      <c r="AP374" s="2">
        <f t="shared" si="47"/>
        <v>0.22349257196711617</v>
      </c>
      <c r="AQ374" s="31"/>
      <c r="AR374" s="31">
        <v>1985.1666666679</v>
      </c>
      <c r="AS374" s="2">
        <v>3.9788332862953642E-2</v>
      </c>
      <c r="AT374" s="2">
        <v>0.16876039905140139</v>
      </c>
      <c r="AU374" s="2">
        <v>0.75359967619096757</v>
      </c>
      <c r="AV374" s="31"/>
      <c r="AW374" s="31">
        <v>1985.1666666679</v>
      </c>
      <c r="AX374" s="2">
        <v>-0.39324294371455631</v>
      </c>
      <c r="AY374" s="2">
        <v>0.1904748308316335</v>
      </c>
      <c r="AZ374" s="2">
        <v>-0.6574682107669384</v>
      </c>
      <c r="BA374" s="31"/>
      <c r="BB374" s="31">
        <v>1985.1666666679</v>
      </c>
      <c r="BC374" s="2">
        <v>0.34465361558877211</v>
      </c>
      <c r="BD374" s="2">
        <v>0.3086063174042078</v>
      </c>
      <c r="BE374" s="2">
        <v>0.60056848664015861</v>
      </c>
      <c r="BG374" s="2">
        <f t="shared" si="54"/>
        <v>-2.9336650876101871E-3</v>
      </c>
      <c r="BH374" s="2">
        <f t="shared" si="48"/>
        <v>0.22261384909574755</v>
      </c>
      <c r="BI374" s="2">
        <f t="shared" si="49"/>
        <v>0.23223331735472927</v>
      </c>
    </row>
    <row r="375" spans="1:61" x14ac:dyDescent="0.3">
      <c r="A375" s="31">
        <v>1985.0833333345699</v>
      </c>
      <c r="B375">
        <v>0.7860064050876524</v>
      </c>
      <c r="C375">
        <v>3.0400000000000205E-2</v>
      </c>
      <c r="D375">
        <v>2.3894594714664794E-2</v>
      </c>
      <c r="F375" s="31">
        <v>1985.0833333345699</v>
      </c>
      <c r="G375" s="2">
        <v>0.58430136981132463</v>
      </c>
      <c r="H375" s="2">
        <v>6.1499999999999846E-2</v>
      </c>
      <c r="I375" s="2">
        <v>3.5934534243396384E-2</v>
      </c>
      <c r="K375" s="31">
        <v>1985.0833333345699</v>
      </c>
      <c r="L375" s="2">
        <v>0.59743988313082375</v>
      </c>
      <c r="M375" s="2">
        <v>9.2279999999999945E-2</v>
      </c>
      <c r="N375" s="2">
        <v>5.3233425434467137E-2</v>
      </c>
      <c r="P375" s="31">
        <v>1985.0833333345699</v>
      </c>
      <c r="Q375" s="2">
        <v>0.60115012427344261</v>
      </c>
      <c r="R375" s="2">
        <v>7.1900000000000297E-2</v>
      </c>
      <c r="S375" s="2">
        <v>4.369919423616505E-2</v>
      </c>
      <c r="U375" s="2">
        <f t="shared" si="50"/>
        <v>0.59429712573853033</v>
      </c>
      <c r="V375" s="2">
        <f t="shared" si="51"/>
        <v>7.5226666666666706E-2</v>
      </c>
      <c r="W375" s="2">
        <f t="shared" si="52"/>
        <v>4.428905130467619E-2</v>
      </c>
      <c r="Y375" s="31">
        <v>1985.0833333345699</v>
      </c>
      <c r="Z375" s="2">
        <v>-0.86608573522977117</v>
      </c>
      <c r="AA375" s="2">
        <v>-0.78876452892998183</v>
      </c>
      <c r="AB375" s="2">
        <v>-0.90318021401022386</v>
      </c>
      <c r="AD375" s="31">
        <v>1985.0833333345699</v>
      </c>
      <c r="AE375" s="2">
        <v>-1.2605034306778278</v>
      </c>
      <c r="AF375" s="2">
        <v>6.7241855071186282E-2</v>
      </c>
      <c r="AG375" s="2">
        <v>-0.26056331688719037</v>
      </c>
      <c r="AH375" s="31"/>
      <c r="AI375" s="31">
        <v>1985.0833333345699</v>
      </c>
      <c r="AJ375" s="2">
        <v>-0.45665366725259182</v>
      </c>
      <c r="AK375" s="2">
        <v>-0.61478205611361436</v>
      </c>
      <c r="AL375" s="2">
        <v>-9.7035719706201354E-2</v>
      </c>
      <c r="AM375" s="31"/>
      <c r="AN375" s="2">
        <f t="shared" si="53"/>
        <v>-0.86108094438673033</v>
      </c>
      <c r="AO375" s="2">
        <f t="shared" si="46"/>
        <v>-0.44543490999080326</v>
      </c>
      <c r="AP375" s="2">
        <f t="shared" si="47"/>
        <v>-0.42025975020120515</v>
      </c>
      <c r="AQ375" s="31"/>
      <c r="AR375" s="31">
        <v>1985.0833333345699</v>
      </c>
      <c r="AS375" s="2">
        <v>-0.43915704725938598</v>
      </c>
      <c r="AT375" s="2">
        <v>-0.93050162247170598</v>
      </c>
      <c r="AU375" s="2">
        <v>-0.94538793826222056</v>
      </c>
      <c r="AV375" s="31"/>
      <c r="AW375" s="31">
        <v>1985.0833333345699</v>
      </c>
      <c r="AX375" s="2">
        <v>-1.0218531712579542</v>
      </c>
      <c r="AY375" s="2">
        <v>0.56120938963997447</v>
      </c>
      <c r="AZ375" s="2">
        <v>-1.0833291934034844E-2</v>
      </c>
      <c r="BA375" s="31"/>
      <c r="BB375" s="31">
        <v>1985.0833333345699</v>
      </c>
      <c r="BC375" s="2">
        <v>0.24781778183398542</v>
      </c>
      <c r="BD375" s="2">
        <v>-0.95760573293009554</v>
      </c>
      <c r="BE375" s="2">
        <v>0.32475668202018404</v>
      </c>
      <c r="BG375" s="2">
        <f t="shared" si="54"/>
        <v>-0.40439747889445155</v>
      </c>
      <c r="BH375" s="2">
        <f t="shared" si="48"/>
        <v>-0.44229932192060906</v>
      </c>
      <c r="BI375" s="2">
        <f t="shared" si="49"/>
        <v>-0.2104881827253571</v>
      </c>
    </row>
    <row r="376" spans="1:61" x14ac:dyDescent="0.3">
      <c r="A376" s="31">
        <v>1985.0000000012401</v>
      </c>
      <c r="B376">
        <v>0.79959621182271423</v>
      </c>
      <c r="C376">
        <v>3.0400000000000205E-2</v>
      </c>
      <c r="D376">
        <v>2.4307724839410676E-2</v>
      </c>
      <c r="F376" s="31">
        <v>1985.0000000012401</v>
      </c>
      <c r="G376" s="2">
        <v>0.43354972423301669</v>
      </c>
      <c r="H376" s="2">
        <v>6.1499999999999798E-2</v>
      </c>
      <c r="I376" s="2">
        <v>2.6663308040330437E-2</v>
      </c>
      <c r="K376" s="31">
        <v>1985.0000000012401</v>
      </c>
      <c r="L376" s="2">
        <v>0.63165155126747297</v>
      </c>
      <c r="M376" s="2">
        <v>6.1514999999999952E-2</v>
      </c>
      <c r="N376" s="2">
        <v>3.8855037615992252E-2</v>
      </c>
      <c r="P376" s="31">
        <v>1985.0000000012401</v>
      </c>
      <c r="Q376" s="2">
        <v>0.64209926068152234</v>
      </c>
      <c r="R376" s="2">
        <v>4.7900000000000303E-2</v>
      </c>
      <c r="S376" s="2">
        <v>2.7844801804228391E-2</v>
      </c>
      <c r="U376" s="2">
        <f t="shared" si="50"/>
        <v>0.56910017872733731</v>
      </c>
      <c r="V376" s="2">
        <f t="shared" si="51"/>
        <v>5.6971666666666691E-2</v>
      </c>
      <c r="W376" s="2">
        <f t="shared" si="52"/>
        <v>3.1121049153517027E-2</v>
      </c>
      <c r="Y376" s="31">
        <v>1985.0000000012401</v>
      </c>
      <c r="Z376" s="2">
        <v>-1.7401552624947525</v>
      </c>
      <c r="AA376" s="2">
        <v>-0.78876452892998272</v>
      </c>
      <c r="AB376" s="2">
        <v>-1.1165504301495042</v>
      </c>
      <c r="AD376" s="31">
        <v>1985.0000000012401</v>
      </c>
      <c r="AE376" s="2">
        <v>-1.0569181179679092</v>
      </c>
      <c r="AF376" s="2">
        <v>-0.68622224125583742</v>
      </c>
      <c r="AG376" s="2">
        <v>-0.80729878796826093</v>
      </c>
      <c r="AH376" s="31"/>
      <c r="AI376" s="31">
        <v>1985.0000000012401</v>
      </c>
      <c r="AJ376" s="2">
        <v>-0.56229118898865504</v>
      </c>
      <c r="AK376" s="2">
        <v>-1.186702766808877</v>
      </c>
      <c r="AL376" s="2">
        <v>-1.378353859905417</v>
      </c>
      <c r="AM376" s="31"/>
      <c r="AN376" s="2">
        <f t="shared" si="53"/>
        <v>-1.1197881898171056</v>
      </c>
      <c r="AO376" s="2">
        <f t="shared" si="46"/>
        <v>-0.88722984566489904</v>
      </c>
      <c r="AP376" s="2">
        <f t="shared" si="47"/>
        <v>-1.1007343593410608</v>
      </c>
      <c r="AQ376" s="31"/>
      <c r="AR376" s="31">
        <v>1985.0000000012401</v>
      </c>
      <c r="AS376" s="2">
        <v>-0.99734876399715067</v>
      </c>
      <c r="AT376" s="2">
        <v>-0.29853293598826797</v>
      </c>
      <c r="AU376" s="2">
        <v>-1.1195971571165766</v>
      </c>
      <c r="AV376" s="31"/>
      <c r="AW376" s="31">
        <v>1985.0000000012401</v>
      </c>
      <c r="AX376" s="2">
        <v>-0.56427993356729311</v>
      </c>
      <c r="AY376" s="2">
        <v>-0.21981065223360952</v>
      </c>
      <c r="AZ376" s="2">
        <v>-0.60892053041567906</v>
      </c>
      <c r="BA376" s="31"/>
      <c r="BB376" s="31">
        <v>1985.0000000012401</v>
      </c>
      <c r="BC376" s="2">
        <v>-5.989074279579966E-4</v>
      </c>
      <c r="BD376" s="2">
        <v>-0.94501805984887022</v>
      </c>
      <c r="BE376" s="2">
        <v>-0.71576887517709065</v>
      </c>
      <c r="BG376" s="2">
        <f t="shared" si="54"/>
        <v>-0.52074253499746725</v>
      </c>
      <c r="BH376" s="2">
        <f t="shared" si="48"/>
        <v>-0.48778721602358255</v>
      </c>
      <c r="BI376" s="2">
        <f t="shared" si="49"/>
        <v>-0.81476218756978225</v>
      </c>
    </row>
    <row r="377" spans="1:61" x14ac:dyDescent="0.3">
      <c r="A377" s="31">
        <v>1984.91666666791</v>
      </c>
      <c r="B377">
        <v>0.8120787746075504</v>
      </c>
      <c r="C377">
        <v>3.0400000000000205E-2</v>
      </c>
      <c r="D377">
        <v>2.4687194748069699E-2</v>
      </c>
      <c r="F377" s="31">
        <v>1984.91666666791</v>
      </c>
      <c r="G377" s="2">
        <v>0.64098406855603074</v>
      </c>
      <c r="H377" s="2">
        <v>6.1499999999999846E-2</v>
      </c>
      <c r="I377" s="2">
        <v>3.9420520216195805E-2</v>
      </c>
      <c r="K377" s="31">
        <v>1984.91666666791</v>
      </c>
      <c r="L377" s="2">
        <v>0.65792163286132554</v>
      </c>
      <c r="M377" s="2">
        <v>6.1514999999999952E-2</v>
      </c>
      <c r="N377" s="2">
        <v>4.0470799416206994E-2</v>
      </c>
      <c r="P377" s="31">
        <v>1984.91666666791</v>
      </c>
      <c r="Q377" s="2">
        <v>0.72809200496854753</v>
      </c>
      <c r="R377" s="2">
        <v>7.1900000000000297E-2</v>
      </c>
      <c r="S377" s="2">
        <v>4.5868061677206785E-2</v>
      </c>
      <c r="U377" s="2">
        <f t="shared" si="50"/>
        <v>0.67566590212863453</v>
      </c>
      <c r="V377" s="2">
        <f t="shared" si="51"/>
        <v>6.4971666666666705E-2</v>
      </c>
      <c r="W377" s="2">
        <f t="shared" si="52"/>
        <v>4.1919793769869866E-2</v>
      </c>
      <c r="Y377" s="31">
        <v>1984.91666666791</v>
      </c>
      <c r="Z377" s="2">
        <v>-0.5374351290899354</v>
      </c>
      <c r="AA377" s="2">
        <v>-0.78876452892998183</v>
      </c>
      <c r="AB377" s="2">
        <v>-0.82295289950151962</v>
      </c>
      <c r="AD377" s="31">
        <v>1984.91666666791</v>
      </c>
      <c r="AE377" s="2">
        <v>-0.90059125443007737</v>
      </c>
      <c r="AF377" s="2">
        <v>-0.68622224125583742</v>
      </c>
      <c r="AG377" s="2">
        <v>-0.7458597518156731</v>
      </c>
      <c r="AH377" s="31"/>
      <c r="AI377" s="31">
        <v>1984.91666666791</v>
      </c>
      <c r="AJ377" s="2">
        <v>-0.23535671570302716</v>
      </c>
      <c r="AK377" s="2">
        <v>-0.61478205611361436</v>
      </c>
      <c r="AL377" s="2">
        <v>7.8247515386192873E-2</v>
      </c>
      <c r="AM377" s="31"/>
      <c r="AN377" s="2">
        <f t="shared" si="53"/>
        <v>-0.55779436640767999</v>
      </c>
      <c r="AO377" s="2">
        <f t="shared" si="46"/>
        <v>-0.69658960876647791</v>
      </c>
      <c r="AP377" s="2">
        <f t="shared" si="47"/>
        <v>-0.49685504531033331</v>
      </c>
      <c r="AQ377" s="31"/>
      <c r="AR377" s="31">
        <v>1984.91666666791</v>
      </c>
      <c r="AS377" s="2">
        <v>-0.26029936938810122</v>
      </c>
      <c r="AT377" s="2">
        <v>-0.68444756444045252</v>
      </c>
      <c r="AU377" s="2">
        <v>-0.67596136149833075</v>
      </c>
      <c r="AV377" s="31"/>
      <c r="AW377" s="31">
        <v>1984.91666666791</v>
      </c>
      <c r="AX377" s="2">
        <v>-0.6143035765503102</v>
      </c>
      <c r="AY377" s="2">
        <v>-0.51751295497595129</v>
      </c>
      <c r="AZ377" s="2">
        <v>-0.70464212750040156</v>
      </c>
      <c r="BA377" s="31"/>
      <c r="BB377" s="31">
        <v>1984.91666666791</v>
      </c>
      <c r="BC377" s="2">
        <v>0.20607195395726569</v>
      </c>
      <c r="BD377" s="2">
        <v>-0.44318112469553572</v>
      </c>
      <c r="BE377" s="2">
        <v>0.45621126173457177</v>
      </c>
      <c r="BG377" s="2">
        <f t="shared" si="54"/>
        <v>-0.22284366399371525</v>
      </c>
      <c r="BH377" s="2">
        <f t="shared" si="48"/>
        <v>-0.54838054803731318</v>
      </c>
      <c r="BI377" s="2">
        <f t="shared" si="49"/>
        <v>-0.30813074242138683</v>
      </c>
    </row>
    <row r="378" spans="1:61" x14ac:dyDescent="0.3">
      <c r="A378" s="31">
        <v>1984.8333333345799</v>
      </c>
      <c r="B378">
        <v>0.82448250250892641</v>
      </c>
      <c r="C378">
        <v>3.0400000000000205E-2</v>
      </c>
      <c r="D378">
        <v>2.5064268076271531E-2</v>
      </c>
      <c r="F378" s="31">
        <v>1984.8333333345799</v>
      </c>
      <c r="G378" s="2">
        <v>0.48708044476115742</v>
      </c>
      <c r="H378" s="2">
        <v>6.1499999999999798E-2</v>
      </c>
      <c r="I378" s="2">
        <v>2.9955447352811082E-2</v>
      </c>
      <c r="K378" s="31">
        <v>1984.8333333345799</v>
      </c>
      <c r="L378" s="2">
        <v>0.67202078241764696</v>
      </c>
      <c r="M378" s="2">
        <v>6.1514999999999952E-2</v>
      </c>
      <c r="N378" s="2">
        <v>4.1337646842620132E-2</v>
      </c>
      <c r="P378" s="31">
        <v>1984.8333333345799</v>
      </c>
      <c r="Q378" s="2">
        <v>0.79859246536327499</v>
      </c>
      <c r="R378" s="2">
        <v>4.7900000000000303E-2</v>
      </c>
      <c r="S378" s="2">
        <v>3.1355184635464543E-2</v>
      </c>
      <c r="U378" s="2">
        <f t="shared" si="50"/>
        <v>0.65256456418069309</v>
      </c>
      <c r="V378" s="2">
        <f t="shared" si="51"/>
        <v>5.6971666666666691E-2</v>
      </c>
      <c r="W378" s="2">
        <f t="shared" si="52"/>
        <v>3.4216092943631919E-2</v>
      </c>
      <c r="Y378" s="31">
        <v>1984.8333333345799</v>
      </c>
      <c r="Z378" s="2">
        <v>-1.4297800662128588</v>
      </c>
      <c r="AA378" s="2">
        <v>-0.78876452892998272</v>
      </c>
      <c r="AB378" s="2">
        <v>-1.0407843490207402</v>
      </c>
      <c r="AD378" s="31">
        <v>1984.8333333345799</v>
      </c>
      <c r="AE378" s="2">
        <v>-0.81669064602061159</v>
      </c>
      <c r="AF378" s="2">
        <v>-0.68622224125583742</v>
      </c>
      <c r="AG378" s="2">
        <v>-0.71289804275490931</v>
      </c>
      <c r="AH378" s="31"/>
      <c r="AI378" s="31">
        <v>1984.8333333345799</v>
      </c>
      <c r="AJ378" s="2">
        <v>-8.4444901443982714E-2</v>
      </c>
      <c r="AK378" s="2">
        <v>-1.186702766808877</v>
      </c>
      <c r="AL378" s="2">
        <v>-1.0946522157070382</v>
      </c>
      <c r="AM378" s="31"/>
      <c r="AN378" s="2">
        <f t="shared" si="53"/>
        <v>-0.77697187122581768</v>
      </c>
      <c r="AO378" s="2">
        <f t="shared" si="46"/>
        <v>-0.88722984566489904</v>
      </c>
      <c r="AP378" s="2">
        <f t="shared" si="47"/>
        <v>-0.94944486916089588</v>
      </c>
      <c r="AQ378" s="31"/>
      <c r="AR378" s="31">
        <v>1984.8333333345799</v>
      </c>
      <c r="AS378" s="2">
        <v>-0.84966886078912862</v>
      </c>
      <c r="AT378" s="2">
        <v>-0.2854929317171821</v>
      </c>
      <c r="AU378" s="2">
        <v>-0.94932471299656107</v>
      </c>
      <c r="AV378" s="31"/>
      <c r="AW378" s="31">
        <v>1984.8333333345799</v>
      </c>
      <c r="AX378" s="2">
        <v>-0.39093899678834493</v>
      </c>
      <c r="AY378" s="2">
        <v>-0.19138401234735175</v>
      </c>
      <c r="AZ378" s="2">
        <v>-0.418577269974994</v>
      </c>
      <c r="BA378" s="31"/>
      <c r="BB378" s="31">
        <v>1984.8333333345799</v>
      </c>
      <c r="BC378" s="2">
        <v>2.2949746075072681E-2</v>
      </c>
      <c r="BD378" s="2">
        <v>-0.86039420085980967</v>
      </c>
      <c r="BE378" s="2">
        <v>-0.54478095864935261</v>
      </c>
      <c r="BG378" s="2">
        <f t="shared" si="54"/>
        <v>-0.40588603716746691</v>
      </c>
      <c r="BH378" s="2">
        <f t="shared" si="48"/>
        <v>-0.44575704830811452</v>
      </c>
      <c r="BI378" s="2">
        <f t="shared" si="49"/>
        <v>-0.63756098054030252</v>
      </c>
    </row>
    <row r="379" spans="1:61" x14ac:dyDescent="0.3">
      <c r="A379" s="31">
        <v>1984.7500000012501</v>
      </c>
      <c r="B379">
        <v>0.84292988154949144</v>
      </c>
      <c r="C379">
        <v>3.0400000000000205E-2</v>
      </c>
      <c r="D379">
        <v>2.5625068399104712E-2</v>
      </c>
      <c r="F379" s="31">
        <v>1984.7500000012501</v>
      </c>
      <c r="G379" s="2">
        <v>0.70203454226980044</v>
      </c>
      <c r="H379" s="2">
        <v>6.1499999999999846E-2</v>
      </c>
      <c r="I379" s="2">
        <v>4.3175124349592628E-2</v>
      </c>
      <c r="K379" s="31">
        <v>1984.7500000012501</v>
      </c>
      <c r="L379" s="2">
        <v>0.6866962293145934</v>
      </c>
      <c r="M379" s="2">
        <v>6.1514999999999952E-2</v>
      </c>
      <c r="N379" s="2">
        <v>4.2239947351607694E-2</v>
      </c>
      <c r="P379" s="31">
        <v>1984.7500000012501</v>
      </c>
      <c r="Q379" s="2">
        <v>0.79942781582228895</v>
      </c>
      <c r="R379" s="2">
        <v>7.1900000000000297E-2</v>
      </c>
      <c r="S379" s="2">
        <v>5.1657907791146804E-2</v>
      </c>
      <c r="U379" s="2">
        <f t="shared" si="50"/>
        <v>0.72938619580222763</v>
      </c>
      <c r="V379" s="2">
        <f t="shared" si="51"/>
        <v>6.4971666666666705E-2</v>
      </c>
      <c r="W379" s="2">
        <f t="shared" si="52"/>
        <v>4.5690993164115713E-2</v>
      </c>
      <c r="Y379" s="31">
        <v>1984.7500000012501</v>
      </c>
      <c r="Z379" s="2">
        <v>-0.18345983088611728</v>
      </c>
      <c r="AA379" s="2">
        <v>-0.78876452892998183</v>
      </c>
      <c r="AB379" s="2">
        <v>-0.73654354243121223</v>
      </c>
      <c r="AD379" s="31">
        <v>1984.7500000012501</v>
      </c>
      <c r="AE379" s="2">
        <v>-0.72936063236155624</v>
      </c>
      <c r="AF379" s="2">
        <v>-0.68622224125583742</v>
      </c>
      <c r="AG379" s="2">
        <v>-0.67858823695010728</v>
      </c>
      <c r="AH379" s="31"/>
      <c r="AI379" s="31">
        <v>1984.7500000012501</v>
      </c>
      <c r="AJ379" s="2">
        <v>0.31032725537142164</v>
      </c>
      <c r="AK379" s="2">
        <v>-0.61478205611361436</v>
      </c>
      <c r="AL379" s="2">
        <v>0.54617051442899345</v>
      </c>
      <c r="AM379" s="31"/>
      <c r="AN379" s="2">
        <f t="shared" si="53"/>
        <v>-0.20083106929208397</v>
      </c>
      <c r="AO379" s="2">
        <f t="shared" si="46"/>
        <v>-0.69658960876647791</v>
      </c>
      <c r="AP379" s="2">
        <f t="shared" si="47"/>
        <v>-0.28965375498410867</v>
      </c>
      <c r="AQ379" s="31"/>
      <c r="AR379" s="31">
        <v>1984.7500000012501</v>
      </c>
      <c r="AS379" s="2">
        <v>-0.30226784114251554</v>
      </c>
      <c r="AT379" s="2">
        <v>-0.6766476141944503</v>
      </c>
      <c r="AU379" s="2">
        <v>-0.65515711412791799</v>
      </c>
      <c r="AV379" s="31"/>
      <c r="AW379" s="31">
        <v>1984.7500000012501</v>
      </c>
      <c r="AX379" s="2">
        <v>-0.76258288750246783</v>
      </c>
      <c r="AY379" s="2">
        <v>-0.6564669997761764</v>
      </c>
      <c r="AZ379" s="2">
        <v>-0.93761658144868809</v>
      </c>
      <c r="BA379" s="31"/>
      <c r="BB379" s="31">
        <v>1984.7500000012501</v>
      </c>
      <c r="BC379" s="2">
        <v>0.25892344444710685</v>
      </c>
      <c r="BD379" s="2">
        <v>-0.59144451954684485</v>
      </c>
      <c r="BE379" s="2">
        <v>0.29709909106687049</v>
      </c>
      <c r="BG379" s="2">
        <f t="shared" si="54"/>
        <v>-0.26864242806595878</v>
      </c>
      <c r="BH379" s="2">
        <f t="shared" si="48"/>
        <v>-0.64151971117249051</v>
      </c>
      <c r="BI379" s="2">
        <f t="shared" si="49"/>
        <v>-0.43189153483657855</v>
      </c>
    </row>
    <row r="380" spans="1:61" x14ac:dyDescent="0.3">
      <c r="A380" s="31">
        <v>1984.66666666792</v>
      </c>
      <c r="B380">
        <v>0.86282119036642735</v>
      </c>
      <c r="C380">
        <v>3.0400000000000205E-2</v>
      </c>
      <c r="D380">
        <v>2.6229764187139567E-2</v>
      </c>
      <c r="F380" s="31">
        <v>1984.66666666792</v>
      </c>
      <c r="G380" s="2">
        <v>0.51411696285212649</v>
      </c>
      <c r="H380" s="2">
        <v>6.1499999999999798E-2</v>
      </c>
      <c r="I380" s="2">
        <v>3.1618193215405675E-2</v>
      </c>
      <c r="K380" s="31">
        <v>1984.66666666792</v>
      </c>
      <c r="L380" s="2">
        <v>0.69781659869931922</v>
      </c>
      <c r="M380" s="2">
        <v>6.1514999999999952E-2</v>
      </c>
      <c r="N380" s="2">
        <v>4.2923616306893286E-2</v>
      </c>
      <c r="P380" s="31">
        <v>1984.66666666792</v>
      </c>
      <c r="Q380" s="2">
        <v>0.73296649494633836</v>
      </c>
      <c r="R380" s="2">
        <v>4.7900000000000303E-2</v>
      </c>
      <c r="S380" s="2">
        <v>3.6259123504875902E-2</v>
      </c>
      <c r="U380" s="2">
        <f t="shared" si="50"/>
        <v>0.64830001883259469</v>
      </c>
      <c r="V380" s="2">
        <f t="shared" si="51"/>
        <v>5.6971666666666691E-2</v>
      </c>
      <c r="W380" s="2">
        <f t="shared" si="52"/>
        <v>3.6933644342391624E-2</v>
      </c>
      <c r="Y380" s="31">
        <v>1984.66666666792</v>
      </c>
      <c r="Z380" s="2">
        <v>-1.2730202743312575</v>
      </c>
      <c r="AA380" s="2">
        <v>-0.78876452892998272</v>
      </c>
      <c r="AB380" s="2">
        <v>-1.0025175182568464</v>
      </c>
      <c r="AD380" s="31">
        <v>1984.66666666792</v>
      </c>
      <c r="AE380" s="2">
        <v>-0.66318601995749271</v>
      </c>
      <c r="AF380" s="2">
        <v>-0.68622224125583742</v>
      </c>
      <c r="AG380" s="2">
        <v>-0.65259185452875601</v>
      </c>
      <c r="AH380" s="31"/>
      <c r="AI380" s="31">
        <v>1984.66666666792</v>
      </c>
      <c r="AJ380" s="2">
        <v>0.58309738546637535</v>
      </c>
      <c r="AK380" s="2">
        <v>-1.186702766808877</v>
      </c>
      <c r="AL380" s="2">
        <v>-0.69832634836270013</v>
      </c>
      <c r="AM380" s="31"/>
      <c r="AN380" s="2">
        <f t="shared" si="53"/>
        <v>-0.45103630294079161</v>
      </c>
      <c r="AO380" s="2">
        <f t="shared" si="46"/>
        <v>-0.88722984566489904</v>
      </c>
      <c r="AP380" s="2">
        <f t="shared" si="47"/>
        <v>-0.78447857371610086</v>
      </c>
      <c r="AQ380" s="31"/>
      <c r="AR380" s="31">
        <v>1984.66666666792</v>
      </c>
      <c r="AS380" s="2">
        <v>-0.83654683585684231</v>
      </c>
      <c r="AT380" s="2">
        <v>-0.32631334910520099</v>
      </c>
      <c r="AU380" s="2">
        <v>-0.91713359635656388</v>
      </c>
      <c r="AV380" s="31"/>
      <c r="AW380" s="31">
        <v>1984.66666666792</v>
      </c>
      <c r="AX380" s="2">
        <v>-0.49388879187286105</v>
      </c>
      <c r="AY380" s="2">
        <v>-0.23837245449551037</v>
      </c>
      <c r="AZ380" s="2">
        <v>-0.51032064116876541</v>
      </c>
      <c r="BA380" s="31"/>
      <c r="BB380" s="31">
        <v>1984.66666666792</v>
      </c>
      <c r="BC380" s="2">
        <v>0.2492329998616894</v>
      </c>
      <c r="BD380" s="2">
        <v>-1.0289872901111137</v>
      </c>
      <c r="BE380" s="2">
        <v>-0.62465737735396942</v>
      </c>
      <c r="BG380" s="2">
        <f t="shared" si="54"/>
        <v>-0.36040087595600467</v>
      </c>
      <c r="BH380" s="2">
        <f t="shared" si="48"/>
        <v>-0.5312243645706084</v>
      </c>
      <c r="BI380" s="2">
        <f t="shared" si="49"/>
        <v>-0.68403720495976617</v>
      </c>
    </row>
    <row r="381" spans="1:61" x14ac:dyDescent="0.3">
      <c r="A381" s="31">
        <v>1984.58333333459</v>
      </c>
      <c r="B381">
        <v>0.8797398799035776</v>
      </c>
      <c r="C381">
        <v>3.0400000000000205E-2</v>
      </c>
      <c r="D381">
        <v>2.6744092349068938E-2</v>
      </c>
      <c r="F381" s="31">
        <v>1984.58333333459</v>
      </c>
      <c r="G381" s="2">
        <v>0.73963052143123309</v>
      </c>
      <c r="H381" s="2">
        <v>6.1499999999999846E-2</v>
      </c>
      <c r="I381" s="2">
        <v>4.5487277068020734E-2</v>
      </c>
      <c r="K381" s="31">
        <v>1984.58333333459</v>
      </c>
      <c r="L381" s="2">
        <v>0.71119415381598172</v>
      </c>
      <c r="M381" s="2">
        <v>6.1514999999999952E-2</v>
      </c>
      <c r="N381" s="2">
        <v>4.3746149988834408E-2</v>
      </c>
      <c r="P381" s="31">
        <v>1984.58333333459</v>
      </c>
      <c r="Q381" s="2">
        <v>0.72581636381477566</v>
      </c>
      <c r="R381" s="2">
        <v>7.1900000000000297E-2</v>
      </c>
      <c r="S381" s="2">
        <v>5.7467932671442831E-2</v>
      </c>
      <c r="U381" s="2">
        <f t="shared" si="50"/>
        <v>0.72554701302066338</v>
      </c>
      <c r="V381" s="2">
        <f t="shared" si="51"/>
        <v>6.4971666666666705E-2</v>
      </c>
      <c r="W381" s="2">
        <f t="shared" si="52"/>
        <v>4.8900453242765984E-2</v>
      </c>
      <c r="Y381" s="31">
        <v>1984.58333333459</v>
      </c>
      <c r="Z381" s="2">
        <v>3.4524520837775581E-2</v>
      </c>
      <c r="AA381" s="2">
        <v>-0.78876452892998183</v>
      </c>
      <c r="AB381" s="2">
        <v>-0.68333110704538558</v>
      </c>
      <c r="AD381" s="31">
        <v>1984.58333333459</v>
      </c>
      <c r="AE381" s="2">
        <v>-0.58357944448032717</v>
      </c>
      <c r="AF381" s="2">
        <v>-0.68622224125583742</v>
      </c>
      <c r="AG381" s="2">
        <v>-0.62131516720096713</v>
      </c>
      <c r="AH381" s="31"/>
      <c r="AI381" s="31">
        <v>1984.58333333459</v>
      </c>
      <c r="AJ381" s="2">
        <v>0.85445392888699645</v>
      </c>
      <c r="AK381" s="2">
        <v>-0.61478205611361436</v>
      </c>
      <c r="AL381" s="2">
        <v>1.0157243182780831</v>
      </c>
      <c r="AM381" s="31"/>
      <c r="AN381" s="2">
        <f t="shared" si="53"/>
        <v>0.10179966841481496</v>
      </c>
      <c r="AO381" s="2">
        <f t="shared" si="46"/>
        <v>-0.69658960876647791</v>
      </c>
      <c r="AP381" s="2">
        <f t="shared" si="47"/>
        <v>-9.630731865608988E-2</v>
      </c>
      <c r="AQ381" s="31"/>
      <c r="AR381" s="31">
        <v>1984.58333333459</v>
      </c>
      <c r="AS381" s="2">
        <v>-0.45736607736433205</v>
      </c>
      <c r="AT381" s="2">
        <v>-0.65870957567408583</v>
      </c>
      <c r="AU381" s="2">
        <v>-0.68553325081087724</v>
      </c>
      <c r="AV381" s="31"/>
      <c r="AW381" s="31">
        <v>1984.58333333459</v>
      </c>
      <c r="AX381" s="2">
        <v>-0.8937521110369282</v>
      </c>
      <c r="AY381" s="2">
        <v>-0.53553372549108424</v>
      </c>
      <c r="AZ381" s="2">
        <v>-0.99402277298638031</v>
      </c>
      <c r="BA381" s="31"/>
      <c r="BB381" s="31">
        <v>1984.58333333459</v>
      </c>
      <c r="BC381" s="2">
        <v>0.24233754358210566</v>
      </c>
      <c r="BD381" s="2">
        <v>-0.51613739712758211</v>
      </c>
      <c r="BE381" s="2">
        <v>0.25839793298345126</v>
      </c>
      <c r="BG381" s="2">
        <f t="shared" si="54"/>
        <v>-0.36959354827305152</v>
      </c>
      <c r="BH381" s="2">
        <f t="shared" si="48"/>
        <v>-0.57012689943091743</v>
      </c>
      <c r="BI381" s="2">
        <f t="shared" si="49"/>
        <v>-0.47371936360460215</v>
      </c>
    </row>
    <row r="382" spans="1:61" x14ac:dyDescent="0.3">
      <c r="A382" s="31">
        <v>1984.5000000012601</v>
      </c>
      <c r="B382">
        <v>0.88898960553416817</v>
      </c>
      <c r="C382">
        <v>1.5200000000000102E-2</v>
      </c>
      <c r="D382">
        <v>1.3512642004119448E-2</v>
      </c>
      <c r="F382" s="31">
        <v>1984.5000000012601</v>
      </c>
      <c r="G382" s="2"/>
      <c r="H382" s="2"/>
      <c r="I382" s="2"/>
      <c r="K382" s="31">
        <v>1984.5000000012601</v>
      </c>
      <c r="L382" s="2">
        <v>0.72974610777647153</v>
      </c>
      <c r="M382" s="2">
        <v>6.1514999999999952E-2</v>
      </c>
      <c r="N382" s="2">
        <v>4.4887029739775888E-2</v>
      </c>
      <c r="P382" s="31">
        <v>1984.5000000012601</v>
      </c>
      <c r="Q382" s="2">
        <v>0.59992523247297891</v>
      </c>
      <c r="R382" s="2"/>
      <c r="S382" s="2"/>
      <c r="U382" s="2">
        <f t="shared" si="50"/>
        <v>0.66483567012472522</v>
      </c>
      <c r="V382" s="2">
        <f t="shared" si="51"/>
        <v>6.1514999999999952E-2</v>
      </c>
      <c r="W382" s="2">
        <f t="shared" si="52"/>
        <v>4.4887029739775888E-2</v>
      </c>
      <c r="Y382" s="31">
        <v>1984.5000000012601</v>
      </c>
      <c r="Z382" s="2"/>
      <c r="AA382" s="2"/>
      <c r="AB382" s="2"/>
      <c r="AD382" s="31">
        <v>1984.5000000012601</v>
      </c>
      <c r="AE382" s="2">
        <v>-0.47318128051648584</v>
      </c>
      <c r="AF382" s="2">
        <v>-0.68622224125583742</v>
      </c>
      <c r="AG382" s="2">
        <v>-0.57793343094842486</v>
      </c>
      <c r="AH382" s="31"/>
      <c r="AI382" s="31">
        <v>1984.5000000012601</v>
      </c>
      <c r="AJ382" s="2"/>
      <c r="AK382" s="2"/>
      <c r="AL382" s="2"/>
      <c r="AM382" s="31"/>
      <c r="AN382" s="2">
        <f t="shared" si="53"/>
        <v>-0.47318128051648584</v>
      </c>
      <c r="AO382" s="2">
        <f t="shared" si="46"/>
        <v>-0.68622224125583742</v>
      </c>
      <c r="AP382" s="2">
        <f t="shared" si="47"/>
        <v>-0.57793343094842486</v>
      </c>
      <c r="AQ382" s="31"/>
      <c r="AR382" s="31">
        <v>1984.5000000012601</v>
      </c>
      <c r="AS382" s="2"/>
      <c r="AT382" s="2"/>
      <c r="AU382" s="2"/>
      <c r="AV382" s="31"/>
      <c r="AW382" s="31">
        <v>1984.5000000012601</v>
      </c>
      <c r="AX382" s="2">
        <v>-0.39827008125258656</v>
      </c>
      <c r="AY382" s="2">
        <v>-0.10780241638246968</v>
      </c>
      <c r="AZ382" s="2">
        <v>-0.39825121715989992</v>
      </c>
      <c r="BA382" s="31"/>
      <c r="BB382" s="31">
        <v>1984.5000000012601</v>
      </c>
      <c r="BC382" s="2"/>
      <c r="BD382" s="2"/>
      <c r="BE382" s="2"/>
      <c r="BG382" s="2">
        <f t="shared" si="54"/>
        <v>-0.39827008125258656</v>
      </c>
      <c r="BH382" s="2">
        <f t="shared" si="48"/>
        <v>-0.10780241638246968</v>
      </c>
      <c r="BI382" s="2">
        <f t="shared" si="49"/>
        <v>-0.39825121715989992</v>
      </c>
    </row>
    <row r="383" spans="1:61" x14ac:dyDescent="0.3">
      <c r="A383" s="31">
        <v>1984.41666666793</v>
      </c>
      <c r="B383">
        <v>0.87042355834493002</v>
      </c>
      <c r="C383">
        <v>0.22800000000000153</v>
      </c>
      <c r="D383">
        <v>0.19845657130264538</v>
      </c>
      <c r="F383" s="31">
        <v>1984.41666666793</v>
      </c>
      <c r="G383" s="2">
        <v>0.72866972606301883</v>
      </c>
      <c r="H383" s="2">
        <v>0.15374999999999966</v>
      </c>
      <c r="I383" s="2">
        <v>0.11860988428565268</v>
      </c>
      <c r="K383" s="31">
        <v>1984.41666666793</v>
      </c>
      <c r="L383" s="2">
        <v>0.73269572982592579</v>
      </c>
      <c r="M383" s="2">
        <v>0.12304499999999996</v>
      </c>
      <c r="N383" s="2">
        <v>7.5911413244313511E-2</v>
      </c>
      <c r="P383" s="31">
        <v>1984.41666666793</v>
      </c>
      <c r="Q383" s="2">
        <v>0.51080239592716192</v>
      </c>
      <c r="R383" s="2">
        <v>0.14380000000000059</v>
      </c>
      <c r="S383" s="2">
        <v>5.4386509435638344E-2</v>
      </c>
      <c r="U383" s="2">
        <f t="shared" si="50"/>
        <v>0.65738928393870222</v>
      </c>
      <c r="V383" s="2">
        <f t="shared" si="51"/>
        <v>0.1401983333333334</v>
      </c>
      <c r="W383" s="2">
        <f t="shared" si="52"/>
        <v>8.296926898853485E-2</v>
      </c>
      <c r="Y383" s="31">
        <v>1984.41666666793</v>
      </c>
      <c r="Z383" s="2">
        <v>-2.9027005841690379E-2</v>
      </c>
      <c r="AA383" s="2">
        <v>1.0126249536365401</v>
      </c>
      <c r="AB383" s="2">
        <v>0.99953005554109753</v>
      </c>
      <c r="AD383" s="31">
        <v>1984.41666666793</v>
      </c>
      <c r="AE383" s="2">
        <v>-0.45562879740120238</v>
      </c>
      <c r="AF383" s="2">
        <v>0.82070595139821056</v>
      </c>
      <c r="AG383" s="2">
        <v>0.60176287050746002</v>
      </c>
      <c r="AH383" s="31"/>
      <c r="AI383" s="31">
        <v>1984.41666666793</v>
      </c>
      <c r="AJ383" s="2">
        <v>0.64322597713996976</v>
      </c>
      <c r="AK383" s="2">
        <v>1.0985970730109507</v>
      </c>
      <c r="AL383" s="2">
        <v>0.76669027256376476</v>
      </c>
      <c r="AM383" s="31"/>
      <c r="AN383" s="2">
        <f t="shared" si="53"/>
        <v>5.2856724632358999E-2</v>
      </c>
      <c r="AO383" s="2">
        <f t="shared" si="46"/>
        <v>0.97730932601523379</v>
      </c>
      <c r="AP383" s="2">
        <f t="shared" si="47"/>
        <v>0.78932773287077407</v>
      </c>
      <c r="AQ383" s="31"/>
      <c r="AR383" s="31">
        <v>1984.41666666793</v>
      </c>
      <c r="AS383" s="2">
        <v>-0.61984059594522167</v>
      </c>
      <c r="AT383" s="2">
        <v>-0.35878275268423288</v>
      </c>
      <c r="AU383" s="2">
        <v>-0.50425410930622228</v>
      </c>
      <c r="AV383" s="31"/>
      <c r="AW383" s="31">
        <v>1984.41666666793</v>
      </c>
      <c r="AX383" s="2">
        <v>-0.87798479310670374</v>
      </c>
      <c r="AY383" s="2">
        <v>-0.38521748160200386</v>
      </c>
      <c r="AZ383" s="2">
        <v>-0.32827612314491228</v>
      </c>
      <c r="BA383" s="31"/>
      <c r="BB383" s="31">
        <v>1984.41666666793</v>
      </c>
      <c r="BC383" s="2">
        <v>-7.3847987986669986E-2</v>
      </c>
      <c r="BD383" s="2">
        <v>-0.3489924073651578</v>
      </c>
      <c r="BE383" s="2">
        <v>-0.12907432046705328</v>
      </c>
      <c r="BG383" s="2">
        <f t="shared" si="54"/>
        <v>-0.52389112567953189</v>
      </c>
      <c r="BH383" s="2">
        <f t="shared" si="48"/>
        <v>-0.36433088055046481</v>
      </c>
      <c r="BI383" s="2">
        <f t="shared" si="49"/>
        <v>-0.32053485097272927</v>
      </c>
    </row>
    <row r="384" spans="1:61" x14ac:dyDescent="0.3">
      <c r="A384" s="31">
        <v>1984.3333333346</v>
      </c>
      <c r="B384">
        <v>0.75600837151346589</v>
      </c>
      <c r="C384">
        <v>0.22800000000000153</v>
      </c>
      <c r="D384">
        <v>0.17236990870507138</v>
      </c>
      <c r="F384" s="31">
        <v>1984.3333333346</v>
      </c>
      <c r="G384" s="2">
        <v>0.6188170969771376</v>
      </c>
      <c r="H384" s="2">
        <v>0.12299999999999976</v>
      </c>
      <c r="I384" s="2">
        <v>8.3613217408469512E-2</v>
      </c>
      <c r="K384" s="31">
        <v>1984.3333333346</v>
      </c>
      <c r="L384" s="2">
        <v>0.6760756824602383</v>
      </c>
      <c r="M384" s="2">
        <v>9.2279999999999945E-2</v>
      </c>
      <c r="N384" s="2">
        <v>5.6901586676192759E-2</v>
      </c>
      <c r="P384" s="31">
        <v>1984.3333333346</v>
      </c>
      <c r="Q384" s="2">
        <v>0.50156665362368891</v>
      </c>
      <c r="R384" s="2">
        <v>9.5850000000000463E-2</v>
      </c>
      <c r="S384" s="2">
        <v>4.285917144141678E-2</v>
      </c>
      <c r="U384" s="2">
        <f t="shared" si="50"/>
        <v>0.59881981102035498</v>
      </c>
      <c r="V384" s="2">
        <f t="shared" si="51"/>
        <v>0.10371000000000007</v>
      </c>
      <c r="W384" s="2">
        <f t="shared" si="52"/>
        <v>6.112465850869301E-2</v>
      </c>
      <c r="Y384" s="31">
        <v>1984.3333333346</v>
      </c>
      <c r="Z384" s="2">
        <v>-0.6659609192697501</v>
      </c>
      <c r="AA384" s="2">
        <v>0.4121617927810336</v>
      </c>
      <c r="AB384" s="2">
        <v>0.19410839801864554</v>
      </c>
      <c r="AD384" s="31">
        <v>1984.3333333346</v>
      </c>
      <c r="AE384" s="2">
        <v>-0.7925609225040291</v>
      </c>
      <c r="AF384" s="2">
        <v>6.7241855071186282E-2</v>
      </c>
      <c r="AG384" s="2">
        <v>-0.12108218104529268</v>
      </c>
      <c r="AH384" s="31"/>
      <c r="AI384" s="31">
        <v>1984.3333333346</v>
      </c>
      <c r="AJ384" s="2">
        <v>-0.31649860018320558</v>
      </c>
      <c r="AK384" s="2">
        <v>-4.4052846898962821E-2</v>
      </c>
      <c r="AL384" s="2">
        <v>-0.16492456815703557</v>
      </c>
      <c r="AM384" s="31"/>
      <c r="AN384" s="2">
        <f t="shared" si="53"/>
        <v>-0.59167348065232828</v>
      </c>
      <c r="AO384" s="2">
        <f t="shared" si="46"/>
        <v>0.14511693365108569</v>
      </c>
      <c r="AP384" s="2">
        <f t="shared" si="47"/>
        <v>-3.0632783727894242E-2</v>
      </c>
      <c r="AQ384" s="31"/>
      <c r="AR384" s="31">
        <v>1984.3333333346</v>
      </c>
      <c r="AS384" s="2">
        <v>-0.89268498793991113</v>
      </c>
      <c r="AT384" s="2">
        <v>-0.62524988541030058</v>
      </c>
      <c r="AU384" s="2">
        <v>-0.74724485443218691</v>
      </c>
      <c r="AV384" s="31"/>
      <c r="AW384" s="31">
        <v>1984.3333333346</v>
      </c>
      <c r="AX384" s="2">
        <v>-0.90255533766237117</v>
      </c>
      <c r="AY384" s="2">
        <v>-0.6032299022146953</v>
      </c>
      <c r="AZ384" s="2">
        <v>-0.44915533871574981</v>
      </c>
      <c r="BA384" s="31"/>
      <c r="BB384" s="31">
        <v>1984.3333333346</v>
      </c>
      <c r="BC384" s="2">
        <v>-0.62825032918013657</v>
      </c>
      <c r="BD384" s="2">
        <v>-0.7363458413185221</v>
      </c>
      <c r="BE384" s="2">
        <v>-0.60806467440750356</v>
      </c>
      <c r="BG384" s="2">
        <f t="shared" si="54"/>
        <v>-0.80783021826080637</v>
      </c>
      <c r="BH384" s="2">
        <f t="shared" si="48"/>
        <v>-0.65494187631450596</v>
      </c>
      <c r="BI384" s="2">
        <f t="shared" si="49"/>
        <v>-0.60148828918514674</v>
      </c>
    </row>
    <row r="385" spans="1:61" x14ac:dyDescent="0.3">
      <c r="A385" s="31">
        <v>1984.2500000012701</v>
      </c>
      <c r="B385">
        <v>0.74116447215808512</v>
      </c>
      <c r="C385">
        <v>0.21280000000000143</v>
      </c>
      <c r="D385">
        <v>0.15771979967524158</v>
      </c>
      <c r="F385" s="31">
        <v>1984.2500000012701</v>
      </c>
      <c r="G385" s="2">
        <v>0.6463172452591065</v>
      </c>
      <c r="H385" s="2">
        <v>0.12299999999999976</v>
      </c>
      <c r="I385" s="2">
        <v>8.9723920213836864E-2</v>
      </c>
      <c r="K385" s="31">
        <v>1984.2500000012701</v>
      </c>
      <c r="L385" s="2">
        <v>0.62938710633101946</v>
      </c>
      <c r="M385" s="2">
        <v>9.2279999999999945E-2</v>
      </c>
      <c r="N385" s="2">
        <v>5.4143918275074206E-2</v>
      </c>
      <c r="P385" s="31">
        <v>1984.2500000012701</v>
      </c>
      <c r="Q385" s="2">
        <v>0.43091265786985633</v>
      </c>
      <c r="R385" s="2">
        <v>9.5850000000000463E-2</v>
      </c>
      <c r="S385" s="2">
        <v>3.4497453783740271E-2</v>
      </c>
      <c r="U385" s="2">
        <f t="shared" si="50"/>
        <v>0.56887233648666069</v>
      </c>
      <c r="V385" s="2">
        <f t="shared" si="51"/>
        <v>0.10371000000000007</v>
      </c>
      <c r="W385" s="2">
        <f t="shared" si="52"/>
        <v>5.9455097424217118E-2</v>
      </c>
      <c r="Y385" s="31">
        <v>1984.2500000012701</v>
      </c>
      <c r="Z385" s="2">
        <v>-0.5065129642154127</v>
      </c>
      <c r="AA385" s="2">
        <v>0.4121617927810336</v>
      </c>
      <c r="AB385" s="2">
        <v>0.33474157315495751</v>
      </c>
      <c r="AD385" s="31">
        <v>1984.2500000012701</v>
      </c>
      <c r="AE385" s="2">
        <v>-1.0703932788007837</v>
      </c>
      <c r="AF385" s="2">
        <v>6.7241855071186282E-2</v>
      </c>
      <c r="AG385" s="2">
        <v>-0.22594199922558</v>
      </c>
      <c r="AH385" s="31"/>
      <c r="AI385" s="31">
        <v>1984.2500000012701</v>
      </c>
      <c r="AJ385" s="2">
        <v>-1.133084666582993</v>
      </c>
      <c r="AK385" s="2">
        <v>-4.4052846898962821E-2</v>
      </c>
      <c r="AL385" s="2">
        <v>-0.84070073327976669</v>
      </c>
      <c r="AM385" s="31"/>
      <c r="AN385" s="2">
        <f t="shared" si="53"/>
        <v>-0.90333030319972984</v>
      </c>
      <c r="AO385" s="2">
        <f t="shared" si="46"/>
        <v>0.14511693365108569</v>
      </c>
      <c r="AP385" s="2">
        <f t="shared" si="47"/>
        <v>-0.24396705311679642</v>
      </c>
      <c r="AQ385" s="31"/>
      <c r="AR385" s="31">
        <v>1984.2500000012701</v>
      </c>
      <c r="AS385" s="2">
        <v>-0.432317768495181</v>
      </c>
      <c r="AT385" s="2">
        <v>-0.74536446371894471</v>
      </c>
      <c r="AU385" s="2">
        <v>-0.53791539015875067</v>
      </c>
      <c r="AV385" s="31"/>
      <c r="AW385" s="31">
        <v>1984.2500000012701</v>
      </c>
      <c r="AX385" s="2">
        <v>-1.0319120695373947</v>
      </c>
      <c r="AY385" s="2">
        <v>-0.82026029232611508</v>
      </c>
      <c r="AZ385" s="2">
        <v>-0.61835144523993346</v>
      </c>
      <c r="BA385" s="31"/>
      <c r="BB385" s="31">
        <v>1984.2500000012701</v>
      </c>
      <c r="BC385" s="2">
        <v>-0.98720720693460184</v>
      </c>
      <c r="BD385" s="2">
        <v>-1.0548255298976554</v>
      </c>
      <c r="BE385" s="2">
        <v>-0.99394303018910612</v>
      </c>
      <c r="BG385" s="2">
        <f t="shared" si="54"/>
        <v>-0.81714568165572576</v>
      </c>
      <c r="BH385" s="2">
        <f t="shared" si="48"/>
        <v>-0.87348342864757178</v>
      </c>
      <c r="BI385" s="2">
        <f t="shared" si="49"/>
        <v>-0.71673662186259668</v>
      </c>
    </row>
    <row r="386" spans="1:61" x14ac:dyDescent="0.3">
      <c r="A386" s="31">
        <v>1984.16666666794</v>
      </c>
      <c r="B386">
        <v>0.81693763222021665</v>
      </c>
      <c r="C386">
        <v>0.22800000000000153</v>
      </c>
      <c r="D386">
        <v>0.18626178014621064</v>
      </c>
      <c r="F386" s="31">
        <v>1984.16666666794</v>
      </c>
      <c r="G386" s="2">
        <v>0.64714091066480683</v>
      </c>
      <c r="H386" s="2">
        <v>0.12299999999999976</v>
      </c>
      <c r="I386" s="2">
        <v>9.0873547894110937E-2</v>
      </c>
      <c r="K386" s="31">
        <v>1984.16666666794</v>
      </c>
      <c r="L386" s="2">
        <v>0.61082068940224521</v>
      </c>
      <c r="M386" s="2">
        <v>9.2279999999999945E-2</v>
      </c>
      <c r="N386" s="2">
        <v>5.4513442479573918E-2</v>
      </c>
      <c r="P386" s="31">
        <v>1984.16666666794</v>
      </c>
      <c r="Q386" s="2"/>
      <c r="R386" s="2">
        <v>7.1900000000000297E-2</v>
      </c>
      <c r="S386" s="2">
        <v>3.0400456289832629E-2</v>
      </c>
      <c r="U386" s="2">
        <f t="shared" si="50"/>
        <v>0.62898080003352597</v>
      </c>
      <c r="V386" s="2">
        <f t="shared" si="51"/>
        <v>9.5726666666666668E-2</v>
      </c>
      <c r="W386" s="2">
        <f t="shared" si="52"/>
        <v>5.8595815554505826E-2</v>
      </c>
      <c r="Y386" s="31">
        <v>1984.16666666794</v>
      </c>
      <c r="Z386" s="2">
        <v>-0.50173728943572327</v>
      </c>
      <c r="AA386" s="2">
        <v>0.4121617927810336</v>
      </c>
      <c r="AB386" s="2">
        <v>0.36119937940917879</v>
      </c>
      <c r="AD386" s="31">
        <v>1984.16666666794</v>
      </c>
      <c r="AE386" s="2">
        <v>-1.1808775083697614</v>
      </c>
      <c r="AF386" s="2">
        <v>6.7241855071186282E-2</v>
      </c>
      <c r="AG386" s="2">
        <v>-0.21189091140032218</v>
      </c>
      <c r="AH386" s="31"/>
      <c r="AI386" s="31">
        <v>1984.16666666794</v>
      </c>
      <c r="AJ386" s="2">
        <v>-1.5429379369730249</v>
      </c>
      <c r="AK386" s="2">
        <v>-0.61478205611361436</v>
      </c>
      <c r="AL386" s="2">
        <v>-1.1718113218331332</v>
      </c>
      <c r="AM386" s="31"/>
      <c r="AN386" s="2">
        <f t="shared" si="53"/>
        <v>-1.0751842449261699</v>
      </c>
      <c r="AO386" s="2">
        <f t="shared" si="46"/>
        <v>-4.5126136087131487E-2</v>
      </c>
      <c r="AP386" s="2">
        <f t="shared" si="47"/>
        <v>-0.34083428460809223</v>
      </c>
      <c r="AQ386" s="31"/>
      <c r="AR386" s="31">
        <v>1984.16666666794</v>
      </c>
      <c r="AS386" s="2">
        <v>-0.15171193218147638</v>
      </c>
      <c r="AT386" s="2">
        <v>-0.46657286796563091</v>
      </c>
      <c r="AU386" s="2">
        <v>-0.18793842599648647</v>
      </c>
      <c r="AV386" s="31"/>
      <c r="AW386" s="31">
        <v>1984.16666666794</v>
      </c>
      <c r="AX386" s="2">
        <v>-0.97796914152218151</v>
      </c>
      <c r="AY386" s="2">
        <v>-0.48198869008051998</v>
      </c>
      <c r="AZ386" s="2">
        <v>-0.33334103949216182</v>
      </c>
      <c r="BA386" s="31"/>
      <c r="BB386" s="31">
        <v>1984.16666666794</v>
      </c>
      <c r="BC386" s="2">
        <v>-1.0630920392715393</v>
      </c>
      <c r="BD386" s="2">
        <v>-1.0055477933738932</v>
      </c>
      <c r="BE386" s="2">
        <v>-0.84406662262145993</v>
      </c>
      <c r="BG386" s="2">
        <f t="shared" si="54"/>
        <v>-0.73092437099173235</v>
      </c>
      <c r="BH386" s="2">
        <f t="shared" si="48"/>
        <v>-0.65136978380668131</v>
      </c>
      <c r="BI386" s="2">
        <f t="shared" si="49"/>
        <v>-0.45511536270336944</v>
      </c>
    </row>
    <row r="387" spans="1:61" x14ac:dyDescent="0.3">
      <c r="A387" s="31">
        <v>1984.08333333461</v>
      </c>
      <c r="B387">
        <v>0.79337027969998319</v>
      </c>
      <c r="C387">
        <v>3.0400000000000205E-2</v>
      </c>
      <c r="D387">
        <v>2.4118456502879651E-2</v>
      </c>
      <c r="F387" s="31">
        <v>1984.08333333461</v>
      </c>
      <c r="G387" s="2">
        <v>0.63235189973382622</v>
      </c>
      <c r="H387" s="2">
        <v>6.1499999999999846E-2</v>
      </c>
      <c r="I387" s="2">
        <v>3.888964183363023E-2</v>
      </c>
      <c r="K387" s="31">
        <v>1984.08333333461</v>
      </c>
      <c r="L387" s="2">
        <v>0.61312056881247134</v>
      </c>
      <c r="M387" s="2">
        <v>0.1230299999999999</v>
      </c>
      <c r="N387" s="2">
        <v>5.6753023177226733E-2</v>
      </c>
      <c r="P387" s="31">
        <v>1984.08333333461</v>
      </c>
      <c r="Q387" s="2">
        <v>0.42348736338842402</v>
      </c>
      <c r="R387" s="2">
        <v>9.5850000000000463E-2</v>
      </c>
      <c r="S387" s="2">
        <v>2.9446244337596166E-2</v>
      </c>
      <c r="U387" s="2">
        <f t="shared" si="50"/>
        <v>0.55631994397824058</v>
      </c>
      <c r="V387" s="2">
        <f t="shared" si="51"/>
        <v>9.3460000000000057E-2</v>
      </c>
      <c r="W387" s="2">
        <f t="shared" si="52"/>
        <v>4.1696303116151044E-2</v>
      </c>
      <c r="Y387" s="31">
        <v>1984.08333333461</v>
      </c>
      <c r="Z387" s="2">
        <v>-0.58748510163087531</v>
      </c>
      <c r="AA387" s="2">
        <v>-0.78876452892998183</v>
      </c>
      <c r="AB387" s="2">
        <v>-0.835170661505237</v>
      </c>
      <c r="AD387" s="31">
        <v>1984.08333333461</v>
      </c>
      <c r="AE387" s="2">
        <v>-1.1671914856053698</v>
      </c>
      <c r="AF387" s="2">
        <v>0.82033858713866403</v>
      </c>
      <c r="AG387" s="2">
        <v>-0.12673127993023692</v>
      </c>
      <c r="AH387" s="31"/>
      <c r="AI387" s="31">
        <v>1984.08333333461</v>
      </c>
      <c r="AJ387" s="2">
        <v>-1.6378910340102653</v>
      </c>
      <c r="AK387" s="2">
        <v>-4.4052846898962821E-2</v>
      </c>
      <c r="AL387" s="2">
        <v>-1.2489286941477364</v>
      </c>
      <c r="AM387" s="31"/>
      <c r="AN387" s="2">
        <f t="shared" si="53"/>
        <v>-1.1308558737488368</v>
      </c>
      <c r="AO387" s="2">
        <f t="shared" si="46"/>
        <v>-4.159596230093543E-3</v>
      </c>
      <c r="AP387" s="2">
        <f t="shared" si="47"/>
        <v>-0.73694354519440353</v>
      </c>
      <c r="AQ387" s="31"/>
      <c r="AR387" s="31">
        <v>1984.08333333461</v>
      </c>
      <c r="AS387" s="2">
        <v>-5.1396184696713164E-2</v>
      </c>
      <c r="AT387" s="2">
        <v>-0.93050162247170598</v>
      </c>
      <c r="AU387" s="2">
        <v>-0.76945099194740052</v>
      </c>
      <c r="AV387" s="31"/>
      <c r="AW387" s="31">
        <v>1984.08333333461</v>
      </c>
      <c r="AX387" s="2">
        <v>-0.92213333719522428</v>
      </c>
      <c r="AY387" s="2">
        <v>1.9921056283099188</v>
      </c>
      <c r="AZ387" s="2">
        <v>0.25036646724452782</v>
      </c>
      <c r="BA387" s="31"/>
      <c r="BB387" s="31">
        <v>1984.08333333461</v>
      </c>
      <c r="BC387" s="2">
        <v>-1.0596530672273405</v>
      </c>
      <c r="BD387" s="2">
        <v>-1.4615836317459097E-2</v>
      </c>
      <c r="BE387" s="2">
        <v>-1.0640727433782775</v>
      </c>
      <c r="BG387" s="2">
        <f t="shared" si="54"/>
        <v>-0.67772752970642591</v>
      </c>
      <c r="BH387" s="2">
        <f t="shared" si="48"/>
        <v>0.3489960565069179</v>
      </c>
      <c r="BI387" s="2">
        <f t="shared" si="49"/>
        <v>-0.52771908936038336</v>
      </c>
    </row>
    <row r="388" spans="1:61" x14ac:dyDescent="0.3">
      <c r="A388" s="31">
        <v>1984.0000000012799</v>
      </c>
      <c r="B388">
        <v>0.808587960247661</v>
      </c>
      <c r="C388">
        <v>1.5200000000000102E-2</v>
      </c>
      <c r="D388">
        <v>1.2290536995764529E-2</v>
      </c>
      <c r="F388" s="31">
        <v>1984.0000000012799</v>
      </c>
      <c r="G388" s="2">
        <v>0.45702097808915615</v>
      </c>
      <c r="H388" s="2">
        <v>6.1499999999999798E-2</v>
      </c>
      <c r="I388" s="2">
        <v>2.8106790152483012E-2</v>
      </c>
      <c r="K388" s="31">
        <v>1984.0000000012799</v>
      </c>
      <c r="L388" s="2">
        <v>0.64906825213174857</v>
      </c>
      <c r="M388" s="2">
        <v>9.2264999999999903E-2</v>
      </c>
      <c r="N388" s="2">
        <v>3.9928050425174375E-2</v>
      </c>
      <c r="P388" s="31">
        <v>1984.0000000012799</v>
      </c>
      <c r="Q388" s="2">
        <v>0.51012429911603574</v>
      </c>
      <c r="R388" s="2">
        <v>9.5850000000000463E-2</v>
      </c>
      <c r="S388" s="2">
        <v>3.1089813561237849E-2</v>
      </c>
      <c r="U388" s="2">
        <f t="shared" si="50"/>
        <v>0.53873784311231343</v>
      </c>
      <c r="V388" s="2">
        <f t="shared" si="51"/>
        <v>8.3205000000000057E-2</v>
      </c>
      <c r="W388" s="2">
        <f t="shared" si="52"/>
        <v>3.3041551379631745E-2</v>
      </c>
      <c r="Y388" s="31">
        <v>1984.0000000012799</v>
      </c>
      <c r="Z388" s="2">
        <v>-1.6040671442944412</v>
      </c>
      <c r="AA388" s="2">
        <v>-0.78876452892998272</v>
      </c>
      <c r="AB388" s="2">
        <v>-1.0833297877536443</v>
      </c>
      <c r="AD388" s="31">
        <v>1984.0000000012799</v>
      </c>
      <c r="AE388" s="2">
        <v>-0.95327556895024701</v>
      </c>
      <c r="AF388" s="2">
        <v>6.6874490811640125E-2</v>
      </c>
      <c r="AG388" s="2">
        <v>-0.76649767931055623</v>
      </c>
      <c r="AH388" s="31"/>
      <c r="AI388" s="31">
        <v>1984.0000000012799</v>
      </c>
      <c r="AJ388" s="2">
        <v>-1.449483546530091</v>
      </c>
      <c r="AK388" s="2">
        <v>-4.4052846898962821E-2</v>
      </c>
      <c r="AL388" s="2">
        <v>-1.1160989392412608</v>
      </c>
      <c r="AM388" s="31"/>
      <c r="AN388" s="2">
        <f t="shared" si="53"/>
        <v>-1.3356087532582597</v>
      </c>
      <c r="AO388" s="2">
        <f t="shared" si="46"/>
        <v>-0.25531429500576847</v>
      </c>
      <c r="AP388" s="2">
        <f t="shared" si="47"/>
        <v>-0.98864213543515378</v>
      </c>
      <c r="AQ388" s="31"/>
      <c r="AR388" s="31">
        <v>1984.0000000012799</v>
      </c>
      <c r="AS388" s="2">
        <v>-0.89327151816683936</v>
      </c>
      <c r="AT388" s="2">
        <v>-0.29853293598826797</v>
      </c>
      <c r="AU388" s="2">
        <v>-1.0275740615503499</v>
      </c>
      <c r="AV388" s="31"/>
      <c r="AW388" s="31">
        <v>1984.0000000012799</v>
      </c>
      <c r="AX388" s="2">
        <v>-0.4854867056627814</v>
      </c>
      <c r="AY388" s="2">
        <v>1.4890867686962104</v>
      </c>
      <c r="AZ388" s="2">
        <v>-0.53309496662287448</v>
      </c>
      <c r="BA388" s="31"/>
      <c r="BB388" s="31">
        <v>1984.0000000012799</v>
      </c>
      <c r="BC388" s="2">
        <v>-0.74602223441626991</v>
      </c>
      <c r="BD388" s="2">
        <v>0.75540652012817533</v>
      </c>
      <c r="BE388" s="2">
        <v>-0.46294659860205789</v>
      </c>
      <c r="BG388" s="2">
        <f t="shared" si="54"/>
        <v>-0.70826015274863019</v>
      </c>
      <c r="BH388" s="2">
        <f t="shared" si="48"/>
        <v>0.64865345094537252</v>
      </c>
      <c r="BI388" s="2">
        <f t="shared" si="49"/>
        <v>-0.67453854225842746</v>
      </c>
    </row>
    <row r="389" spans="1:61" x14ac:dyDescent="0.3">
      <c r="A389" s="31">
        <v>1983.91666666795</v>
      </c>
      <c r="B389">
        <v>0.84117569440355311</v>
      </c>
      <c r="C389">
        <v>3.0400000000000205E-2</v>
      </c>
      <c r="D389">
        <v>2.5571741109868186E-2</v>
      </c>
      <c r="F389" s="31">
        <v>1983.91666666795</v>
      </c>
      <c r="G389" s="2">
        <v>0.68109049738216842</v>
      </c>
      <c r="H389" s="2">
        <v>6.1499999999999846E-2</v>
      </c>
      <c r="I389" s="2">
        <v>4.1887065589003264E-2</v>
      </c>
      <c r="K389" s="31">
        <v>1983.91666666795</v>
      </c>
      <c r="L389" s="2">
        <v>0.69815819377497856</v>
      </c>
      <c r="M389" s="2">
        <v>0.1230299999999999</v>
      </c>
      <c r="N389" s="2">
        <v>6.6839482995921434E-2</v>
      </c>
      <c r="P389" s="31">
        <v>1983.91666666795</v>
      </c>
      <c r="Q389" s="2">
        <v>0.57202010450985075</v>
      </c>
      <c r="R389" s="2">
        <v>4.7900000000000303E-2</v>
      </c>
      <c r="S389" s="2">
        <v>2.6656257672603715E-2</v>
      </c>
      <c r="U389" s="2">
        <f t="shared" si="50"/>
        <v>0.65042293188899925</v>
      </c>
      <c r="V389" s="2">
        <f t="shared" si="51"/>
        <v>7.747666666666668E-2</v>
      </c>
      <c r="W389" s="2">
        <f t="shared" si="52"/>
        <v>4.5127602085842801E-2</v>
      </c>
      <c r="Y389" s="31">
        <v>1983.91666666795</v>
      </c>
      <c r="Z389" s="2">
        <v>-0.30489499893169414</v>
      </c>
      <c r="AA389" s="2">
        <v>-0.78876452892998183</v>
      </c>
      <c r="AB389" s="2">
        <v>-0.76618723465998773</v>
      </c>
      <c r="AD389" s="31">
        <v>1983.91666666795</v>
      </c>
      <c r="AE389" s="2">
        <v>-0.66115327077903985</v>
      </c>
      <c r="AF389" s="2">
        <v>0.82033858713866403</v>
      </c>
      <c r="AG389" s="2">
        <v>0.25680444258161234</v>
      </c>
      <c r="AH389" s="31"/>
      <c r="AI389" s="31">
        <v>1983.91666666795</v>
      </c>
      <c r="AJ389" s="2">
        <v>-0.72408020978325072</v>
      </c>
      <c r="AK389" s="2">
        <v>-1.186702766808877</v>
      </c>
      <c r="AL389" s="2">
        <v>-1.4744094585551848</v>
      </c>
      <c r="AM389" s="31"/>
      <c r="AN389" s="2">
        <f t="shared" si="53"/>
        <v>-0.56337615983132816</v>
      </c>
      <c r="AO389" s="2">
        <f t="shared" ref="AO389:AO452" si="55">AVERAGE(AK389,AF389,AA389)</f>
        <v>-0.38504290286673165</v>
      </c>
      <c r="AP389" s="2">
        <f t="shared" ref="AP389:AP452" si="56">AVERAGE(AL389,AG389,AB389)</f>
        <v>-0.66126408354452015</v>
      </c>
      <c r="AQ389" s="31"/>
      <c r="AR389" s="31">
        <v>1983.91666666795</v>
      </c>
      <c r="AS389" s="2">
        <v>-1.0488595422794046E-2</v>
      </c>
      <c r="AT389" s="2">
        <v>-0.68444756444045252</v>
      </c>
      <c r="AU389" s="2">
        <v>-0.54976492635085339</v>
      </c>
      <c r="AV389" s="31"/>
      <c r="AW389" s="31">
        <v>1983.91666666795</v>
      </c>
      <c r="AX389" s="2">
        <v>-0.39566315635700655</v>
      </c>
      <c r="AY389" s="2">
        <v>2.631330707273849</v>
      </c>
      <c r="AZ389" s="2">
        <v>1.4976290352310035</v>
      </c>
      <c r="BA389" s="31"/>
      <c r="BB389" s="31">
        <v>1983.91666666795</v>
      </c>
      <c r="BC389" s="2">
        <v>-0.39465551825818884</v>
      </c>
      <c r="BD389" s="2">
        <v>-1.7765123716427775</v>
      </c>
      <c r="BE389" s="2">
        <v>-1.3876354741494004</v>
      </c>
      <c r="BG389" s="2">
        <f t="shared" si="54"/>
        <v>-0.26693575667932978</v>
      </c>
      <c r="BH389" s="2">
        <f t="shared" ref="BH389:BH452" si="57">AVERAGE(BD389,AY389,AT389)</f>
        <v>5.6790257063539649E-2</v>
      </c>
      <c r="BI389" s="2">
        <f t="shared" ref="BI389:BI452" si="58">AVERAGE(BE389,AZ389,AU389)</f>
        <v>-0.14659045508975008</v>
      </c>
    </row>
    <row r="390" spans="1:61" x14ac:dyDescent="0.3">
      <c r="A390" s="31">
        <v>1983.83333333462</v>
      </c>
      <c r="B390">
        <v>0.88366853955386915</v>
      </c>
      <c r="C390">
        <v>1.5200000000000102E-2</v>
      </c>
      <c r="D390">
        <v>1.3431761801218901E-2</v>
      </c>
      <c r="F390" s="31">
        <v>1983.83333333462</v>
      </c>
      <c r="G390" s="2">
        <v>0.47109614078800177</v>
      </c>
      <c r="H390" s="2">
        <v>6.1499999999999798E-2</v>
      </c>
      <c r="I390" s="2">
        <v>2.8972412658462014E-2</v>
      </c>
      <c r="K390" s="31">
        <v>1983.83333333462</v>
      </c>
      <c r="L390" s="2">
        <v>0.75657715000117043</v>
      </c>
      <c r="M390" s="2">
        <v>9.2264999999999903E-2</v>
      </c>
      <c r="N390" s="2">
        <v>4.6542363468947481E-2</v>
      </c>
      <c r="P390" s="31">
        <v>1983.83333333462</v>
      </c>
      <c r="Q390" s="2">
        <v>0.58918610834803653</v>
      </c>
      <c r="R390" s="2">
        <v>9.5850000000000463E-2</v>
      </c>
      <c r="S390" s="2">
        <v>3.6191274857488048E-2</v>
      </c>
      <c r="U390" s="2">
        <f t="shared" ref="U390:U453" si="59">AVERAGE(Q390,L390,G390)</f>
        <v>0.60561979971240287</v>
      </c>
      <c r="V390" s="2">
        <f t="shared" ref="V390:V453" si="60">AVERAGE(R390,M390,H390)</f>
        <v>8.3205000000000057E-2</v>
      </c>
      <c r="W390" s="2">
        <f t="shared" ref="W390:W453" si="61">AVERAGE(S390,N390,I390)</f>
        <v>3.723535032829918E-2</v>
      </c>
      <c r="Y390" s="31">
        <v>1983.83333333462</v>
      </c>
      <c r="Z390" s="2">
        <v>-1.5224582785393601</v>
      </c>
      <c r="AA390" s="2">
        <v>-0.78876452892998272</v>
      </c>
      <c r="AB390" s="2">
        <v>-1.0634081444725554</v>
      </c>
      <c r="AD390" s="31">
        <v>1983.83333333462</v>
      </c>
      <c r="AE390" s="2">
        <v>-0.31351627675723459</v>
      </c>
      <c r="AF390" s="2">
        <v>6.6874490811640125E-2</v>
      </c>
      <c r="AG390" s="2">
        <v>-0.5149896796989184</v>
      </c>
      <c r="AH390" s="31"/>
      <c r="AI390" s="31">
        <v>1983.83333333462</v>
      </c>
      <c r="AJ390" s="2">
        <v>-0.85788691539447282</v>
      </c>
      <c r="AK390" s="2">
        <v>-4.4052846898962821E-2</v>
      </c>
      <c r="AL390" s="2">
        <v>-0.70380973115767342</v>
      </c>
      <c r="AM390" s="31"/>
      <c r="AN390" s="2">
        <f t="shared" ref="AN390:AN453" si="62">AVERAGE(AJ390,AE390,Z390)</f>
        <v>-0.89795382356368914</v>
      </c>
      <c r="AO390" s="2">
        <f t="shared" si="55"/>
        <v>-0.25531429500576847</v>
      </c>
      <c r="AP390" s="2">
        <f t="shared" si="56"/>
        <v>-0.76073585177638237</v>
      </c>
      <c r="AQ390" s="31"/>
      <c r="AR390" s="31">
        <v>1983.83333333462</v>
      </c>
      <c r="AS390" s="2">
        <v>-0.91305315362196626</v>
      </c>
      <c r="AT390" s="2">
        <v>-0.2854929317171821</v>
      </c>
      <c r="AU390" s="2">
        <v>-1.0023275396765541</v>
      </c>
      <c r="AV390" s="31"/>
      <c r="AW390" s="31">
        <v>1983.83333333462</v>
      </c>
      <c r="AX390" s="2">
        <v>-6.1330224123726219E-2</v>
      </c>
      <c r="AY390" s="2">
        <v>1.2550989263438468</v>
      </c>
      <c r="AZ390" s="2">
        <v>-0.10283298831348485</v>
      </c>
      <c r="BA390" s="31"/>
      <c r="BB390" s="31">
        <v>1983.83333333462</v>
      </c>
      <c r="BC390" s="2">
        <v>-0.49106544343913672</v>
      </c>
      <c r="BD390" s="2">
        <v>0.77674476466510867</v>
      </c>
      <c r="BE390" s="2">
        <v>-0.27537393892095252</v>
      </c>
      <c r="BG390" s="2">
        <f t="shared" ref="BG390:BG453" si="63">AVERAGE(BC390,AX390,AS390)</f>
        <v>-0.48848294039494311</v>
      </c>
      <c r="BH390" s="2">
        <f t="shared" si="57"/>
        <v>0.58211691976392432</v>
      </c>
      <c r="BI390" s="2">
        <f t="shared" si="58"/>
        <v>-0.46017815563699721</v>
      </c>
    </row>
    <row r="391" spans="1:61" x14ac:dyDescent="0.3">
      <c r="A391" s="31">
        <v>1983.7500000012899</v>
      </c>
      <c r="B391">
        <v>0.9137247992930595</v>
      </c>
      <c r="C391">
        <v>1.5200000000000102E-2</v>
      </c>
      <c r="D391">
        <v>1.3888616949254598E-2</v>
      </c>
      <c r="F391" s="31">
        <v>1983.7500000012899</v>
      </c>
      <c r="G391" s="2">
        <v>0.73415320871098255</v>
      </c>
      <c r="H391" s="2">
        <v>6.1499999999999846E-2</v>
      </c>
      <c r="I391" s="2">
        <v>4.5150422335725332E-2</v>
      </c>
      <c r="K391" s="31">
        <v>1983.7500000012899</v>
      </c>
      <c r="L391" s="2">
        <v>0.77600466389881273</v>
      </c>
      <c r="M391" s="2">
        <v>0.1230299999999999</v>
      </c>
      <c r="N391" s="2">
        <v>7.4374403490699584E-2</v>
      </c>
      <c r="P391" s="31">
        <v>1983.7500000012899</v>
      </c>
      <c r="Q391" s="2">
        <v>0.60460232684647086</v>
      </c>
      <c r="R391" s="2">
        <v>9.5850000000000463E-2</v>
      </c>
      <c r="S391" s="2">
        <v>3.9016894233905003E-2</v>
      </c>
      <c r="U391" s="2">
        <f t="shared" si="59"/>
        <v>0.70492006648542205</v>
      </c>
      <c r="V391" s="2">
        <f t="shared" si="60"/>
        <v>9.3460000000000057E-2</v>
      </c>
      <c r="W391" s="2">
        <f t="shared" si="61"/>
        <v>5.2847240020109966E-2</v>
      </c>
      <c r="Y391" s="31">
        <v>1983.7500000012899</v>
      </c>
      <c r="Z391" s="2">
        <v>2.7666443535354019E-3</v>
      </c>
      <c r="AA391" s="2">
        <v>-0.78876452892998183</v>
      </c>
      <c r="AB391" s="2">
        <v>-0.69108356238011148</v>
      </c>
      <c r="AD391" s="31">
        <v>1983.7500000012899</v>
      </c>
      <c r="AE391" s="2">
        <v>-0.19790786864834037</v>
      </c>
      <c r="AF391" s="2">
        <v>0.82033858713866403</v>
      </c>
      <c r="AG391" s="2">
        <v>0.54331836599781291</v>
      </c>
      <c r="AH391" s="31"/>
      <c r="AI391" s="31">
        <v>1983.7500000012899</v>
      </c>
      <c r="AJ391" s="2">
        <v>-0.60546933866881647</v>
      </c>
      <c r="AK391" s="2">
        <v>-4.4052846898962821E-2</v>
      </c>
      <c r="AL391" s="2">
        <v>-0.47544920710451782</v>
      </c>
      <c r="AM391" s="31"/>
      <c r="AN391" s="2">
        <f t="shared" si="62"/>
        <v>-0.26687018765454046</v>
      </c>
      <c r="AO391" s="2">
        <f t="shared" si="55"/>
        <v>-4.159596230093543E-3</v>
      </c>
      <c r="AP391" s="2">
        <f t="shared" si="56"/>
        <v>-0.20773813449560544</v>
      </c>
      <c r="AQ391" s="31"/>
      <c r="AR391" s="31">
        <v>1983.7500000012899</v>
      </c>
      <c r="AS391" s="2">
        <v>-7.6240779611396317E-2</v>
      </c>
      <c r="AT391" s="2">
        <v>-0.6766476141944503</v>
      </c>
      <c r="AU391" s="2">
        <v>-0.5560901531212894</v>
      </c>
      <c r="AV391" s="31"/>
      <c r="AW391" s="31">
        <v>1983.7500000012899</v>
      </c>
      <c r="AX391" s="2">
        <v>-0.15930227071624078</v>
      </c>
      <c r="AY391" s="2">
        <v>2.581892958774429</v>
      </c>
      <c r="AZ391" s="2">
        <v>1.5821891787439788</v>
      </c>
      <c r="BA391" s="31"/>
      <c r="BB391" s="31">
        <v>1983.7500000012899</v>
      </c>
      <c r="BC391" s="2">
        <v>-0.65347537973780778</v>
      </c>
      <c r="BD391" s="2">
        <v>0.36965282471677957</v>
      </c>
      <c r="BE391" s="2">
        <v>-0.66429703828025044</v>
      </c>
      <c r="BG391" s="2">
        <f t="shared" si="63"/>
        <v>-0.29633947668848165</v>
      </c>
      <c r="BH391" s="2">
        <f t="shared" si="57"/>
        <v>0.75829938976558608</v>
      </c>
      <c r="BI391" s="2">
        <f t="shared" si="58"/>
        <v>0.12060066244747965</v>
      </c>
    </row>
    <row r="392" spans="1:61" x14ac:dyDescent="0.3">
      <c r="A392" s="31">
        <v>1983.66666666796</v>
      </c>
      <c r="B392">
        <v>0.9474163843960921</v>
      </c>
      <c r="C392">
        <v>3.0400000000000205E-2</v>
      </c>
      <c r="D392">
        <v>2.8801458085641395E-2</v>
      </c>
      <c r="F392" s="31">
        <v>1983.66666666796</v>
      </c>
      <c r="G392" s="2">
        <v>0.49053983745266366</v>
      </c>
      <c r="H392" s="2">
        <v>6.1499999999999798E-2</v>
      </c>
      <c r="I392" s="2">
        <v>3.0168200003338717E-2</v>
      </c>
      <c r="K392" s="31">
        <v>1983.66666666796</v>
      </c>
      <c r="L392" s="2">
        <v>0.78937276757110941</v>
      </c>
      <c r="M392" s="2">
        <v>9.2264999999999903E-2</v>
      </c>
      <c r="N392" s="2">
        <v>4.8559534104666721E-2</v>
      </c>
      <c r="P392" s="31">
        <v>1983.66666666796</v>
      </c>
      <c r="Q392" s="2">
        <v>0.58580753591063872</v>
      </c>
      <c r="R392" s="2">
        <v>4.7900000000000303E-2</v>
      </c>
      <c r="S392" s="2">
        <v>3.1357453787763834E-2</v>
      </c>
      <c r="U392" s="2">
        <f t="shared" si="59"/>
        <v>0.62190671364480388</v>
      </c>
      <c r="V392" s="2">
        <f t="shared" si="60"/>
        <v>6.7221666666666666E-2</v>
      </c>
      <c r="W392" s="2">
        <f t="shared" si="61"/>
        <v>3.6695062631923091E-2</v>
      </c>
      <c r="Y392" s="31">
        <v>1983.66666666796</v>
      </c>
      <c r="Z392" s="2">
        <v>-1.4097222438064154</v>
      </c>
      <c r="AA392" s="2">
        <v>-0.78876452892998272</v>
      </c>
      <c r="AB392" s="2">
        <v>-1.035888008662625</v>
      </c>
      <c r="AD392" s="31">
        <v>1983.66666666796</v>
      </c>
      <c r="AE392" s="2">
        <v>-0.11835753641687363</v>
      </c>
      <c r="AF392" s="2">
        <v>6.6874490811640125E-2</v>
      </c>
      <c r="AG392" s="2">
        <v>-0.43828714867149754</v>
      </c>
      <c r="AH392" s="31"/>
      <c r="AI392" s="31">
        <v>1983.66666666796</v>
      </c>
      <c r="AJ392" s="2">
        <v>-8.4136016044805584E-2</v>
      </c>
      <c r="AK392" s="2">
        <v>-1.186702766808877</v>
      </c>
      <c r="AL392" s="2">
        <v>-1.0944688276638548</v>
      </c>
      <c r="AM392" s="31"/>
      <c r="AN392" s="2">
        <f t="shared" si="62"/>
        <v>-0.53740526542269818</v>
      </c>
      <c r="AO392" s="2">
        <f t="shared" si="55"/>
        <v>-0.63619760164240657</v>
      </c>
      <c r="AP392" s="2">
        <f t="shared" si="56"/>
        <v>-0.85621466166599236</v>
      </c>
      <c r="AQ392" s="31"/>
      <c r="AR392" s="31">
        <v>1983.66666666796</v>
      </c>
      <c r="AS392" s="2">
        <v>-0.91104383385106036</v>
      </c>
      <c r="AT392" s="2">
        <v>-0.32631334910520099</v>
      </c>
      <c r="AU392" s="2">
        <v>-0.97344491414327972</v>
      </c>
      <c r="AV392" s="31"/>
      <c r="AW392" s="31">
        <v>1983.66666666796</v>
      </c>
      <c r="AX392" s="2">
        <v>-0.15660013549675106</v>
      </c>
      <c r="AY392" s="2">
        <v>1.1124047876457037</v>
      </c>
      <c r="AZ392" s="2">
        <v>-0.17249835741065558</v>
      </c>
      <c r="BA392" s="31"/>
      <c r="BB392" s="31">
        <v>1983.66666666796</v>
      </c>
      <c r="BC392" s="2">
        <v>-0.34077875089618698</v>
      </c>
      <c r="BD392" s="2">
        <v>-1.0289872901111137</v>
      </c>
      <c r="BE392" s="2">
        <v>-1.0198546414657845</v>
      </c>
      <c r="BG392" s="2">
        <f t="shared" si="63"/>
        <v>-0.46947424008133282</v>
      </c>
      <c r="BH392" s="2">
        <f t="shared" si="57"/>
        <v>-8.096528385687031E-2</v>
      </c>
      <c r="BI392" s="2">
        <f t="shared" si="58"/>
        <v>-0.7219326376732399</v>
      </c>
    </row>
    <row r="393" spans="1:61" x14ac:dyDescent="0.3">
      <c r="A393" s="31">
        <v>1983.58333333463</v>
      </c>
      <c r="B393">
        <v>0.96786038417858922</v>
      </c>
      <c r="C393">
        <v>1.5200000000000102E-2</v>
      </c>
      <c r="D393">
        <v>1.4711477839514655E-2</v>
      </c>
      <c r="F393" s="31">
        <v>1983.58333333463</v>
      </c>
      <c r="G393" s="2">
        <v>0.79702518580754833</v>
      </c>
      <c r="H393" s="2">
        <v>6.1499999999999846E-2</v>
      </c>
      <c r="I393" s="2">
        <v>4.9017048927164117E-2</v>
      </c>
      <c r="K393" s="31">
        <v>1983.58333333463</v>
      </c>
      <c r="L393" s="2">
        <v>0.79104253682385628</v>
      </c>
      <c r="M393" s="2">
        <v>0.1230299999999999</v>
      </c>
      <c r="N393" s="2">
        <v>7.5146093500727706E-2</v>
      </c>
      <c r="P393" s="31">
        <v>1983.58333333463</v>
      </c>
      <c r="Q393" s="2">
        <v>0.54861199394577265</v>
      </c>
      <c r="R393" s="2">
        <v>9.5850000000000463E-2</v>
      </c>
      <c r="S393" s="2">
        <v>4.0468753615542509E-2</v>
      </c>
      <c r="U393" s="2">
        <f t="shared" si="59"/>
        <v>0.71222657219239238</v>
      </c>
      <c r="V393" s="2">
        <f t="shared" si="60"/>
        <v>9.3460000000000057E-2</v>
      </c>
      <c r="W393" s="2">
        <f t="shared" si="61"/>
        <v>5.487729868114477E-2</v>
      </c>
      <c r="Y393" s="31">
        <v>1983.58333333463</v>
      </c>
      <c r="Z393" s="2">
        <v>0.36730315795639268</v>
      </c>
      <c r="AA393" s="2">
        <v>-0.78876452892998183</v>
      </c>
      <c r="AB393" s="2">
        <v>-0.60209609368127304</v>
      </c>
      <c r="AD393" s="31">
        <v>1983.58333333463</v>
      </c>
      <c r="AE393" s="2">
        <v>-0.1084211458814552</v>
      </c>
      <c r="AF393" s="2">
        <v>0.82033858713866403</v>
      </c>
      <c r="AG393" s="2">
        <v>0.57266173233956408</v>
      </c>
      <c r="AH393" s="31"/>
      <c r="AI393" s="31">
        <v>1983.58333333463</v>
      </c>
      <c r="AJ393" s="2">
        <v>-0.53239171877679603</v>
      </c>
      <c r="AK393" s="2">
        <v>-4.4052846898962821E-2</v>
      </c>
      <c r="AL393" s="2">
        <v>-0.35811303224339686</v>
      </c>
      <c r="AM393" s="31"/>
      <c r="AN393" s="2">
        <f t="shared" si="62"/>
        <v>-9.1169902233952868E-2</v>
      </c>
      <c r="AO393" s="2">
        <f t="shared" si="55"/>
        <v>-4.159596230093543E-3</v>
      </c>
      <c r="AP393" s="2">
        <f t="shared" si="56"/>
        <v>-0.1291824645283686</v>
      </c>
      <c r="AQ393" s="31"/>
      <c r="AR393" s="31">
        <v>1983.58333333463</v>
      </c>
      <c r="AS393" s="2">
        <v>-0.11883407706410275</v>
      </c>
      <c r="AT393" s="2">
        <v>-0.65870957567408583</v>
      </c>
      <c r="AU393" s="2">
        <v>-0.53022791902291921</v>
      </c>
      <c r="AV393" s="31"/>
      <c r="AW393" s="31">
        <v>1983.58333333463</v>
      </c>
      <c r="AX393" s="2">
        <v>-0.36256878867044845</v>
      </c>
      <c r="AY393" s="2">
        <v>3.4275124792366625</v>
      </c>
      <c r="AZ393" s="2">
        <v>2.042782494050853</v>
      </c>
      <c r="BA393" s="31"/>
      <c r="BB393" s="31">
        <v>1983.58333333463</v>
      </c>
      <c r="BC393" s="2">
        <v>-1.0260899311277634</v>
      </c>
      <c r="BD393" s="2">
        <v>0.77441334649330551</v>
      </c>
      <c r="BE393" s="2">
        <v>-0.96338124080012688</v>
      </c>
      <c r="BG393" s="2">
        <f t="shared" si="63"/>
        <v>-0.50249759895410484</v>
      </c>
      <c r="BH393" s="2">
        <f t="shared" si="57"/>
        <v>1.1810720833519608</v>
      </c>
      <c r="BI393" s="2">
        <f t="shared" si="58"/>
        <v>0.1830577780759356</v>
      </c>
    </row>
    <row r="394" spans="1:61" x14ac:dyDescent="0.3">
      <c r="A394" s="31">
        <v>1983.5000000012999</v>
      </c>
      <c r="B394">
        <v>0.97379492167379766</v>
      </c>
      <c r="C394">
        <v>1.5200000000000102E-2</v>
      </c>
      <c r="D394">
        <v>1.4801682809441824E-2</v>
      </c>
      <c r="F394" s="31">
        <v>1983.5000000012999</v>
      </c>
      <c r="G394" s="2">
        <v>0.51538103132903879</v>
      </c>
      <c r="H394" s="2">
        <v>6.1499999999999798E-2</v>
      </c>
      <c r="I394" s="2">
        <v>3.1695933426735781E-2</v>
      </c>
      <c r="K394" s="31">
        <v>1983.5000000012999</v>
      </c>
      <c r="L394" s="2">
        <v>0.77798688591490006</v>
      </c>
      <c r="M394" s="2">
        <v>6.1514999999999952E-2</v>
      </c>
      <c r="N394" s="2">
        <v>4.7858589700400092E-2</v>
      </c>
      <c r="P394" s="31">
        <v>1983.5000000012999</v>
      </c>
      <c r="Q394" s="2"/>
      <c r="R394" s="2">
        <v>4.7900000000000303E-2</v>
      </c>
      <c r="S394" s="2">
        <v>3.2317362759213007E-2</v>
      </c>
      <c r="U394" s="2">
        <f t="shared" si="59"/>
        <v>0.64668395862196948</v>
      </c>
      <c r="V394" s="2">
        <f t="shared" si="60"/>
        <v>5.6971666666666691E-2</v>
      </c>
      <c r="W394" s="2">
        <f t="shared" si="61"/>
        <v>3.7290628628782956E-2</v>
      </c>
      <c r="Y394" s="31">
        <v>1983.5000000012999</v>
      </c>
      <c r="Z394" s="2">
        <v>-1.2656911089891032</v>
      </c>
      <c r="AA394" s="2">
        <v>-0.78876452892998272</v>
      </c>
      <c r="AB394" s="2">
        <v>-1.0007283864493695</v>
      </c>
      <c r="AD394" s="31">
        <v>1983.5000000012999</v>
      </c>
      <c r="AE394" s="2">
        <v>-0.18611214774418136</v>
      </c>
      <c r="AF394" s="2">
        <v>-0.68622224125583742</v>
      </c>
      <c r="AG394" s="2">
        <v>-0.46494042676543929</v>
      </c>
      <c r="AH394" s="31"/>
      <c r="AI394" s="31">
        <v>1983.5000000012999</v>
      </c>
      <c r="AJ394" s="2">
        <v>4.6530341569041893E-2</v>
      </c>
      <c r="AK394" s="2">
        <v>-1.186702766808877</v>
      </c>
      <c r="AL394" s="2">
        <v>-1.0168910344221396</v>
      </c>
      <c r="AM394" s="31"/>
      <c r="AN394" s="2">
        <f t="shared" si="62"/>
        <v>-0.46842430505474758</v>
      </c>
      <c r="AO394" s="2">
        <f t="shared" si="55"/>
        <v>-0.88722984566489904</v>
      </c>
      <c r="AP394" s="2">
        <f t="shared" si="56"/>
        <v>-0.82751994921231609</v>
      </c>
      <c r="AQ394" s="31"/>
      <c r="AR394" s="31">
        <v>1983.5000000012999</v>
      </c>
      <c r="AS394" s="2">
        <v>-0.7658507281647301</v>
      </c>
      <c r="AT394" s="2">
        <v>-2.3130098149133811E-2</v>
      </c>
      <c r="AU394" s="2">
        <v>-0.76541689445936878</v>
      </c>
      <c r="AV394" s="31"/>
      <c r="AW394" s="31">
        <v>1983.5000000012999</v>
      </c>
      <c r="AX394" s="2">
        <v>-0.28433793419174952</v>
      </c>
      <c r="AY394" s="2">
        <v>-0.10780241638246968</v>
      </c>
      <c r="AZ394" s="2">
        <v>-0.28414622691331465</v>
      </c>
      <c r="BA394" s="31"/>
      <c r="BB394" s="31">
        <v>1983.5000000012999</v>
      </c>
      <c r="BC394" s="2">
        <v>-0.37035719292853531</v>
      </c>
      <c r="BD394" s="2">
        <v>-0.38248368897839508</v>
      </c>
      <c r="BE394" s="2">
        <v>-0.53613432822128171</v>
      </c>
      <c r="BG394" s="2">
        <f t="shared" si="63"/>
        <v>-0.47351528509500501</v>
      </c>
      <c r="BH394" s="2">
        <f t="shared" si="57"/>
        <v>-0.17113873450333286</v>
      </c>
      <c r="BI394" s="2">
        <f t="shared" si="58"/>
        <v>-0.52856581653132173</v>
      </c>
    </row>
    <row r="395" spans="1:61" x14ac:dyDescent="0.3">
      <c r="A395" s="31">
        <v>1983.41666666797</v>
      </c>
      <c r="B395">
        <v>0.94864896245782082</v>
      </c>
      <c r="C395">
        <v>0.16720000000000113</v>
      </c>
      <c r="D395">
        <v>0.15861410652294872</v>
      </c>
      <c r="F395" s="31">
        <v>1983.41666666797</v>
      </c>
      <c r="G395" s="2">
        <v>0.84657162134585873</v>
      </c>
      <c r="H395" s="2">
        <v>0.12299999999999976</v>
      </c>
      <c r="I395" s="2">
        <v>0.12380695125458778</v>
      </c>
      <c r="K395" s="31">
        <v>1983.41666666797</v>
      </c>
      <c r="L395" s="2">
        <v>0.76406608653300268</v>
      </c>
      <c r="M395" s="2">
        <v>0.21530999999999986</v>
      </c>
      <c r="N395" s="2">
        <v>0.12184579374520711</v>
      </c>
      <c r="P395" s="31">
        <v>1983.41666666797</v>
      </c>
      <c r="Q395" s="2">
        <v>0.51063674923622671</v>
      </c>
      <c r="R395" s="2">
        <v>0.14380000000000059</v>
      </c>
      <c r="S395" s="2">
        <v>4.1183845327527065E-2</v>
      </c>
      <c r="U395" s="2">
        <f t="shared" si="59"/>
        <v>0.70709148570502933</v>
      </c>
      <c r="V395" s="2">
        <f t="shared" si="60"/>
        <v>0.16070333333333342</v>
      </c>
      <c r="W395" s="2">
        <f t="shared" si="61"/>
        <v>9.5612196775773983E-2</v>
      </c>
      <c r="Y395" s="31">
        <v>1983.41666666797</v>
      </c>
      <c r="Z395" s="2">
        <v>0.65457716629310436</v>
      </c>
      <c r="AA395" s="2">
        <v>0.4121617927810336</v>
      </c>
      <c r="AB395" s="2">
        <v>1.1191365971316036</v>
      </c>
      <c r="AD395" s="31">
        <v>1983.41666666797</v>
      </c>
      <c r="AE395" s="2">
        <v>-0.26895143766175261</v>
      </c>
      <c r="AF395" s="2">
        <v>3.08036351186019</v>
      </c>
      <c r="AG395" s="2">
        <v>2.3484089812559903</v>
      </c>
      <c r="AH395" s="31"/>
      <c r="AI395" s="31">
        <v>1983.41666666797</v>
      </c>
      <c r="AJ395" s="2">
        <v>-0.47169890750727506</v>
      </c>
      <c r="AK395" s="2">
        <v>1.0985970730109507</v>
      </c>
      <c r="AL395" s="2">
        <v>-0.30032084711833112</v>
      </c>
      <c r="AM395" s="31"/>
      <c r="AN395" s="2">
        <f t="shared" si="62"/>
        <v>-2.8691059625307751E-2</v>
      </c>
      <c r="AO395" s="2">
        <f t="shared" si="55"/>
        <v>1.5303741258840582</v>
      </c>
      <c r="AP395" s="2">
        <f t="shared" si="56"/>
        <v>1.0557415770897542</v>
      </c>
      <c r="AQ395" s="31"/>
      <c r="AR395" s="31">
        <v>1983.41666666797</v>
      </c>
      <c r="AS395" s="2">
        <v>4.7096660390830047E-2</v>
      </c>
      <c r="AT395" s="2">
        <v>-1.0250935790978097</v>
      </c>
      <c r="AU395" s="2">
        <v>-0.4017232399128095</v>
      </c>
      <c r="AV395" s="31"/>
      <c r="AW395" s="31">
        <v>1983.41666666797</v>
      </c>
      <c r="AX395" s="2">
        <v>-0.6906810154887314</v>
      </c>
      <c r="AY395" s="2">
        <v>1.5164666498330959</v>
      </c>
      <c r="AZ395" s="2">
        <v>0.94509364147534902</v>
      </c>
      <c r="BA395" s="31"/>
      <c r="BB395" s="31">
        <v>1983.41666666797</v>
      </c>
      <c r="BC395" s="2">
        <v>-1.2388576339585764</v>
      </c>
      <c r="BD395" s="2">
        <v>-0.3489924073651578</v>
      </c>
      <c r="BE395" s="2">
        <v>-1.2852509573858082</v>
      </c>
      <c r="BG395" s="2">
        <f t="shared" si="63"/>
        <v>-0.62748066301882599</v>
      </c>
      <c r="BH395" s="2">
        <f t="shared" si="57"/>
        <v>4.7460221123376112E-2</v>
      </c>
      <c r="BI395" s="2">
        <f t="shared" si="58"/>
        <v>-0.2472935186077562</v>
      </c>
    </row>
    <row r="396" spans="1:61" x14ac:dyDescent="0.3">
      <c r="A396" s="31">
        <v>1983.33333333464</v>
      </c>
      <c r="B396">
        <v>0.86979074544830304</v>
      </c>
      <c r="C396">
        <v>0.16720000000000113</v>
      </c>
      <c r="D396">
        <v>0.14542901263895724</v>
      </c>
      <c r="F396" s="31">
        <v>1983.33333333464</v>
      </c>
      <c r="G396" s="2">
        <v>0.79885913443575096</v>
      </c>
      <c r="H396" s="2">
        <v>0.12299999999999976</v>
      </c>
      <c r="I396" s="2">
        <v>0.11550989172414658</v>
      </c>
      <c r="K396" s="31">
        <v>1983.33333333464</v>
      </c>
      <c r="L396" s="2">
        <v>0.73519565797918762</v>
      </c>
      <c r="M396" s="2">
        <v>0.1537949999999999</v>
      </c>
      <c r="N396" s="2">
        <v>9.7770581119701688E-2</v>
      </c>
      <c r="P396" s="31">
        <v>1983.33333333464</v>
      </c>
      <c r="Q396" s="2">
        <v>0.48529712626963639</v>
      </c>
      <c r="R396" s="2">
        <v>7.1900000000000297E-2</v>
      </c>
      <c r="S396" s="2">
        <v>3.8132779194116409E-2</v>
      </c>
      <c r="U396" s="2">
        <f t="shared" si="59"/>
        <v>0.67311730622819166</v>
      </c>
      <c r="V396" s="2">
        <f t="shared" si="60"/>
        <v>0.11623166666666666</v>
      </c>
      <c r="W396" s="2">
        <f t="shared" si="61"/>
        <v>8.3804417345988244E-2</v>
      </c>
      <c r="Y396" s="31">
        <v>1983.33333333464</v>
      </c>
      <c r="Z396" s="2">
        <v>0.37793653183653819</v>
      </c>
      <c r="AA396" s="2">
        <v>0.4121617927810336</v>
      </c>
      <c r="AB396" s="2">
        <v>0.92818608567225958</v>
      </c>
      <c r="AD396" s="31">
        <v>1983.33333333464</v>
      </c>
      <c r="AE396" s="2">
        <v>-0.44075233324279645</v>
      </c>
      <c r="AF396" s="2">
        <v>1.573802683465688</v>
      </c>
      <c r="AG396" s="2">
        <v>1.4329535851183433</v>
      </c>
      <c r="AH396" s="31"/>
      <c r="AI396" s="31">
        <v>1983.33333333464</v>
      </c>
      <c r="AJ396" s="2">
        <v>-0.77550000545001763</v>
      </c>
      <c r="AK396" s="2">
        <v>-0.61478205611361436</v>
      </c>
      <c r="AL396" s="2">
        <v>-0.546901496643039</v>
      </c>
      <c r="AM396" s="31"/>
      <c r="AN396" s="2">
        <f t="shared" si="62"/>
        <v>-0.27943860228542533</v>
      </c>
      <c r="AO396" s="2">
        <f t="shared" si="55"/>
        <v>0.45706080671103572</v>
      </c>
      <c r="AP396" s="2">
        <f t="shared" si="56"/>
        <v>0.60474605804918802</v>
      </c>
      <c r="AQ396" s="31"/>
      <c r="AR396" s="31">
        <v>1983.33333333464</v>
      </c>
      <c r="AS396" s="2">
        <v>0.28488527975758304</v>
      </c>
      <c r="AT396" s="2">
        <v>-0.62524988541030058</v>
      </c>
      <c r="AU396" s="2">
        <v>1.1201696747515914E-2</v>
      </c>
      <c r="AV396" s="31"/>
      <c r="AW396" s="31">
        <v>1983.33333333464</v>
      </c>
      <c r="AX396" s="2">
        <v>-0.56816070477853453</v>
      </c>
      <c r="AY396" s="2">
        <v>0.7296999896209112</v>
      </c>
      <c r="AZ396" s="2">
        <v>0.66733570319523705</v>
      </c>
      <c r="BA396" s="31"/>
      <c r="BB396" s="31">
        <v>1983.33333333464</v>
      </c>
      <c r="BC396" s="2">
        <v>-1.1506744898615437</v>
      </c>
      <c r="BD396" s="2">
        <v>-1.2946315076121118</v>
      </c>
      <c r="BE396" s="2">
        <v>-1.0348076336824175</v>
      </c>
      <c r="BG396" s="2">
        <f t="shared" si="63"/>
        <v>-0.47798330496083175</v>
      </c>
      <c r="BH396" s="2">
        <f t="shared" si="57"/>
        <v>-0.39672713446716701</v>
      </c>
      <c r="BI396" s="2">
        <f t="shared" si="58"/>
        <v>-0.11875674457988816</v>
      </c>
    </row>
    <row r="397" spans="1:61" x14ac:dyDescent="0.3">
      <c r="A397" s="31">
        <v>1983.2500000013099</v>
      </c>
      <c r="B397">
        <v>0.73500902364507992</v>
      </c>
      <c r="C397">
        <v>0.16720000000000113</v>
      </c>
      <c r="D397">
        <v>0.12289350875345818</v>
      </c>
      <c r="F397" s="31">
        <v>1983.2500000013099</v>
      </c>
      <c r="G397" s="2">
        <v>0.77385856470623948</v>
      </c>
      <c r="H397" s="2">
        <v>0.12299999999999976</v>
      </c>
      <c r="I397" s="2">
        <v>0.11139074963985805</v>
      </c>
      <c r="K397" s="31">
        <v>1983.2500000013099</v>
      </c>
      <c r="L397" s="2">
        <v>0.68123803946676542</v>
      </c>
      <c r="M397" s="2">
        <v>0.18455999999999989</v>
      </c>
      <c r="N397" s="2">
        <v>0.11630534150856188</v>
      </c>
      <c r="P397" s="31">
        <v>1983.2500000013099</v>
      </c>
      <c r="Q397" s="2">
        <v>0.47330368834901226</v>
      </c>
      <c r="R397" s="2">
        <v>0.14380000000000059</v>
      </c>
      <c r="S397" s="2">
        <v>3.4716219771662948E-2</v>
      </c>
      <c r="U397" s="2">
        <f t="shared" si="59"/>
        <v>0.64280009750733902</v>
      </c>
      <c r="V397" s="2">
        <f t="shared" si="60"/>
        <v>0.15045333333333341</v>
      </c>
      <c r="W397" s="2">
        <f t="shared" si="61"/>
        <v>8.7470770306694298E-2</v>
      </c>
      <c r="Y397" s="31">
        <v>1983.2500000013099</v>
      </c>
      <c r="Z397" s="2">
        <v>0.23298132367943619</v>
      </c>
      <c r="AA397" s="2">
        <v>0.4121617927810336</v>
      </c>
      <c r="AB397" s="2">
        <v>0.83338716505673194</v>
      </c>
      <c r="AD397" s="31">
        <v>1983.2500000013099</v>
      </c>
      <c r="AE397" s="2">
        <v>-0.76184099206111089</v>
      </c>
      <c r="AF397" s="2">
        <v>2.3272667797927116</v>
      </c>
      <c r="AG397" s="2">
        <v>2.1377343352631892</v>
      </c>
      <c r="AH397" s="31"/>
      <c r="AI397" s="31">
        <v>1983.2500000013099</v>
      </c>
      <c r="AJ397" s="2">
        <v>-1.105722234923183</v>
      </c>
      <c r="AK397" s="2">
        <v>1.0985970730109507</v>
      </c>
      <c r="AL397" s="2">
        <v>-0.82302053329813374</v>
      </c>
      <c r="AM397" s="31"/>
      <c r="AN397" s="2">
        <f t="shared" si="62"/>
        <v>-0.54486063443495258</v>
      </c>
      <c r="AO397" s="2">
        <f t="shared" si="55"/>
        <v>1.2793418818615652</v>
      </c>
      <c r="AP397" s="2">
        <f t="shared" si="56"/>
        <v>0.71603365567392918</v>
      </c>
      <c r="AQ397" s="31"/>
      <c r="AR397" s="31">
        <v>1983.2500000013099</v>
      </c>
      <c r="AS397" s="2">
        <v>0.46813658619910969</v>
      </c>
      <c r="AT397" s="2">
        <v>-0.74536446371894471</v>
      </c>
      <c r="AU397" s="2">
        <v>8.5947184704546348E-3</v>
      </c>
      <c r="AV397" s="31"/>
      <c r="AW397" s="31">
        <v>1983.2500000013099</v>
      </c>
      <c r="AX397" s="2">
        <v>-0.71834883709311514</v>
      </c>
      <c r="AY397" s="2">
        <v>1.2496023950169717</v>
      </c>
      <c r="AZ397" s="2">
        <v>1.0055207836818234</v>
      </c>
      <c r="BA397" s="31"/>
      <c r="BB397" s="31">
        <v>1983.2500000013099</v>
      </c>
      <c r="BC397" s="2">
        <v>-0.95617468345409184</v>
      </c>
      <c r="BD397" s="2">
        <v>3.3388824798885192E-2</v>
      </c>
      <c r="BE397" s="2">
        <v>-0.97271966483869143</v>
      </c>
      <c r="BG397" s="2">
        <f t="shared" si="63"/>
        <v>-0.40212897811603243</v>
      </c>
      <c r="BH397" s="2">
        <f t="shared" si="57"/>
        <v>0.17920891869897071</v>
      </c>
      <c r="BI397" s="2">
        <f t="shared" si="58"/>
        <v>1.3798612437862201E-2</v>
      </c>
    </row>
    <row r="398" spans="1:61" x14ac:dyDescent="0.3">
      <c r="A398" s="31">
        <v>1983.1666666679801</v>
      </c>
      <c r="B398">
        <v>0.67297375861386854</v>
      </c>
      <c r="C398">
        <v>0.16720000000000113</v>
      </c>
      <c r="D398">
        <v>0.11252121244023958</v>
      </c>
      <c r="F398" s="31">
        <v>1983.1666666679801</v>
      </c>
      <c r="G398" s="2">
        <v>0.7426728057268801</v>
      </c>
      <c r="H398" s="2">
        <v>0.12299999999999976</v>
      </c>
      <c r="I398" s="2">
        <v>0.10611834260979378</v>
      </c>
      <c r="K398" s="31">
        <v>1983.1666666679801</v>
      </c>
      <c r="L398" s="2">
        <v>0.74642687360875459</v>
      </c>
      <c r="M398" s="2">
        <v>0.1537949999999999</v>
      </c>
      <c r="N398" s="2">
        <v>0.10435564547343325</v>
      </c>
      <c r="P398" s="31">
        <v>1983.1666666679801</v>
      </c>
      <c r="Q398" s="2"/>
      <c r="R398" s="2">
        <v>7.1900000000000297E-2</v>
      </c>
      <c r="S398" s="2">
        <v>3.3004770925416524E-2</v>
      </c>
      <c r="U398" s="2">
        <f t="shared" si="59"/>
        <v>0.7445498396678174</v>
      </c>
      <c r="V398" s="2">
        <f t="shared" si="60"/>
        <v>0.11623166666666666</v>
      </c>
      <c r="W398" s="2">
        <f t="shared" si="61"/>
        <v>8.115958633621452E-2</v>
      </c>
      <c r="Y398" s="31">
        <v>1983.1666666679801</v>
      </c>
      <c r="Z398" s="2">
        <v>5.2163916984337422E-2</v>
      </c>
      <c r="AA398" s="2">
        <v>0.4121617927810336</v>
      </c>
      <c r="AB398" s="2">
        <v>0.71204672928923307</v>
      </c>
      <c r="AD398" s="31">
        <v>1983.1666666679801</v>
      </c>
      <c r="AE398" s="2">
        <v>-0.37391810180675333</v>
      </c>
      <c r="AF398" s="2">
        <v>1.573802683465688</v>
      </c>
      <c r="AG398" s="2">
        <v>1.6833494088358365</v>
      </c>
      <c r="AH398" s="31"/>
      <c r="AI398" s="31">
        <v>1983.1666666679801</v>
      </c>
      <c r="AJ398" s="2">
        <v>-1.2665346382741378</v>
      </c>
      <c r="AK398" s="2">
        <v>-0.61478205611361436</v>
      </c>
      <c r="AL398" s="2">
        <v>-0.96133617435046581</v>
      </c>
      <c r="AM398" s="31"/>
      <c r="AN398" s="2">
        <f t="shared" si="62"/>
        <v>-0.52942960769885117</v>
      </c>
      <c r="AO398" s="2">
        <f t="shared" si="55"/>
        <v>0.45706080671103572</v>
      </c>
      <c r="AP398" s="2">
        <f t="shared" si="56"/>
        <v>0.47801998792486788</v>
      </c>
      <c r="AQ398" s="31"/>
      <c r="AR398" s="31">
        <v>1983.1666666679801</v>
      </c>
      <c r="AS398" s="2">
        <v>0.46684370967221706</v>
      </c>
      <c r="AT398" s="2">
        <v>-0.46657286796563091</v>
      </c>
      <c r="AU398" s="2">
        <v>0.20475660831081663</v>
      </c>
      <c r="AV398" s="31"/>
      <c r="AW398" s="31">
        <v>1983.1666666679801</v>
      </c>
      <c r="AX398" s="2">
        <v>-0.18700106721594398</v>
      </c>
      <c r="AY398" s="2">
        <v>0.86458010838664423</v>
      </c>
      <c r="AZ398" s="2">
        <v>1.1649042398462668</v>
      </c>
      <c r="BA398" s="31"/>
      <c r="BB398" s="31">
        <v>1983.1666666679801</v>
      </c>
      <c r="BC398" s="2">
        <v>-0.75876248484778486</v>
      </c>
      <c r="BD398" s="2">
        <v>-1.0055477933738932</v>
      </c>
      <c r="BE398" s="2">
        <v>-0.60309167468442326</v>
      </c>
      <c r="BG398" s="2">
        <f t="shared" si="63"/>
        <v>-0.15963994746383728</v>
      </c>
      <c r="BH398" s="2">
        <f t="shared" si="57"/>
        <v>-0.20251351765095996</v>
      </c>
      <c r="BI398" s="2">
        <f t="shared" si="58"/>
        <v>0.25552305782422008</v>
      </c>
    </row>
    <row r="399" spans="1:61" x14ac:dyDescent="0.3">
      <c r="A399" s="31">
        <v>1983.08333333465</v>
      </c>
      <c r="B399">
        <v>0.66589606005468305</v>
      </c>
      <c r="C399">
        <v>4.5600000000000307E-2</v>
      </c>
      <c r="D399">
        <v>3.0364860338493751E-2</v>
      </c>
      <c r="F399" s="31">
        <v>1983.08333333465</v>
      </c>
      <c r="G399" s="2">
        <v>0.72325987429349603</v>
      </c>
      <c r="H399" s="2">
        <v>9.2249999999999804E-2</v>
      </c>
      <c r="I399" s="2">
        <v>7.3635265285249746E-2</v>
      </c>
      <c r="K399" s="31">
        <v>1983.08333333465</v>
      </c>
      <c r="L399" s="2">
        <v>0.78219746963147663</v>
      </c>
      <c r="M399" s="2">
        <v>6.1514999999999952E-2</v>
      </c>
      <c r="N399" s="2">
        <v>4.8120566324572255E-2</v>
      </c>
      <c r="P399" s="31">
        <v>1983.08333333465</v>
      </c>
      <c r="Q399" s="2">
        <v>0.47580569075416768</v>
      </c>
      <c r="R399" s="2">
        <v>9.5850000000000463E-2</v>
      </c>
      <c r="S399" s="2">
        <v>3.286267867109624E-2</v>
      </c>
      <c r="U399" s="2">
        <f t="shared" si="59"/>
        <v>0.66042101155971344</v>
      </c>
      <c r="V399" s="2">
        <f t="shared" si="60"/>
        <v>8.3205000000000071E-2</v>
      </c>
      <c r="W399" s="2">
        <f t="shared" si="61"/>
        <v>5.1539503426972749E-2</v>
      </c>
      <c r="Y399" s="31">
        <v>1983.08333333465</v>
      </c>
      <c r="Z399" s="2">
        <v>-6.0393738593567052E-2</v>
      </c>
      <c r="AA399" s="2">
        <v>-0.18830136807447412</v>
      </c>
      <c r="AB399" s="2">
        <v>-3.5526577391051993E-2</v>
      </c>
      <c r="AD399" s="31">
        <v>1983.08333333465</v>
      </c>
      <c r="AE399" s="2">
        <v>-0.16105598856461062</v>
      </c>
      <c r="AF399" s="2">
        <v>-0.68622224125583742</v>
      </c>
      <c r="AG399" s="2">
        <v>-0.4549788152943009</v>
      </c>
      <c r="AH399" s="31"/>
      <c r="AI399" s="31">
        <v>1983.08333333465</v>
      </c>
      <c r="AJ399" s="2">
        <v>-1.2712234052465035</v>
      </c>
      <c r="AK399" s="2">
        <v>-4.4052846898962821E-2</v>
      </c>
      <c r="AL399" s="2">
        <v>-0.97281976691473415</v>
      </c>
      <c r="AM399" s="31"/>
      <c r="AN399" s="2">
        <f t="shared" si="62"/>
        <v>-0.49755771080156036</v>
      </c>
      <c r="AO399" s="2">
        <f t="shared" si="55"/>
        <v>-0.30619215207642481</v>
      </c>
      <c r="AP399" s="2">
        <f t="shared" si="56"/>
        <v>-0.48777505320002906</v>
      </c>
      <c r="AQ399" s="31"/>
      <c r="AR399" s="31">
        <v>1983.08333333465</v>
      </c>
      <c r="AS399" s="2">
        <v>0.68221808940051376</v>
      </c>
      <c r="AT399" s="2">
        <v>0.50956041230593874</v>
      </c>
      <c r="AU399" s="2">
        <v>1.2991839735222628</v>
      </c>
      <c r="AV399" s="31"/>
      <c r="AW399" s="31">
        <v>1983.08333333465</v>
      </c>
      <c r="AX399" s="2">
        <v>0.15309518506543598</v>
      </c>
      <c r="AY399" s="2">
        <v>-0.87038484719517628</v>
      </c>
      <c r="AZ399" s="2">
        <v>-0.39027368990728767</v>
      </c>
      <c r="BA399" s="31"/>
      <c r="BB399" s="31">
        <v>1983.08333333465</v>
      </c>
      <c r="BC399" s="2">
        <v>-0.65380133124732942</v>
      </c>
      <c r="BD399" s="2">
        <v>-1.4615836317459097E-2</v>
      </c>
      <c r="BE399" s="2">
        <v>-0.73117011156709677</v>
      </c>
      <c r="BG399" s="2">
        <f t="shared" si="63"/>
        <v>6.0503981072873435E-2</v>
      </c>
      <c r="BH399" s="2">
        <f t="shared" si="57"/>
        <v>-0.12514675706889888</v>
      </c>
      <c r="BI399" s="2">
        <f t="shared" si="58"/>
        <v>5.9246724015959464E-2</v>
      </c>
    </row>
    <row r="400" spans="1:61" x14ac:dyDescent="0.3">
      <c r="A400" s="31">
        <v>1983.0000000013199</v>
      </c>
      <c r="B400">
        <v>0.6887218390126405</v>
      </c>
      <c r="C400">
        <v>4.5600000000000307E-2</v>
      </c>
      <c r="D400">
        <v>3.140571585897662E-2</v>
      </c>
      <c r="F400" s="31">
        <v>1983.0000000013199</v>
      </c>
      <c r="G400" s="2">
        <v>0.75466276619538464</v>
      </c>
      <c r="H400" s="2">
        <v>6.1499999999999846E-2</v>
      </c>
      <c r="I400" s="2">
        <v>4.6411760121016055E-2</v>
      </c>
      <c r="K400" s="31">
        <v>1983.0000000013199</v>
      </c>
      <c r="L400" s="2">
        <v>0.80100056453831647</v>
      </c>
      <c r="M400" s="2">
        <v>6.1514999999999952E-2</v>
      </c>
      <c r="N400" s="2">
        <v>4.92772921619615E-2</v>
      </c>
      <c r="P400" s="31">
        <v>1983.0000000013199</v>
      </c>
      <c r="Q400" s="2">
        <v>0.50872897147910079</v>
      </c>
      <c r="R400" s="2">
        <v>7.1900000000000297E-2</v>
      </c>
      <c r="S400" s="2">
        <v>3.3347056792180502E-2</v>
      </c>
      <c r="U400" s="2">
        <f t="shared" si="59"/>
        <v>0.68813076740426737</v>
      </c>
      <c r="V400" s="2">
        <f t="shared" si="60"/>
        <v>6.4971666666666705E-2</v>
      </c>
      <c r="W400" s="2">
        <f t="shared" si="61"/>
        <v>4.3012036358386019E-2</v>
      </c>
      <c r="Y400" s="31">
        <v>1983.0000000013199</v>
      </c>
      <c r="Z400" s="2">
        <v>0.12168262133033876</v>
      </c>
      <c r="AA400" s="2">
        <v>-0.78876452892998183</v>
      </c>
      <c r="AB400" s="2">
        <v>-0.66205483306455215</v>
      </c>
      <c r="AD400" s="31">
        <v>1983.0000000013199</v>
      </c>
      <c r="AE400" s="2">
        <v>-4.9163345936568514E-2</v>
      </c>
      <c r="AF400" s="2">
        <v>-0.68622224125583742</v>
      </c>
      <c r="AG400" s="2">
        <v>-0.41099453460853091</v>
      </c>
      <c r="AH400" s="31"/>
      <c r="AI400" s="31">
        <v>1983.0000000013199</v>
      </c>
      <c r="AJ400" s="2">
        <v>-1.2111307575227097</v>
      </c>
      <c r="AK400" s="2">
        <v>-0.61478205611361436</v>
      </c>
      <c r="AL400" s="2">
        <v>-0.93367336153052838</v>
      </c>
      <c r="AM400" s="31"/>
      <c r="AN400" s="2">
        <f t="shared" si="62"/>
        <v>-0.37953716070964649</v>
      </c>
      <c r="AO400" s="2">
        <f t="shared" si="55"/>
        <v>-0.69658960876647791</v>
      </c>
      <c r="AP400" s="2">
        <f t="shared" si="56"/>
        <v>-0.66890757640120369</v>
      </c>
      <c r="AQ400" s="31"/>
      <c r="AR400" s="31">
        <v>1983.0000000013199</v>
      </c>
      <c r="AS400" s="2">
        <v>0.42654453171165535</v>
      </c>
      <c r="AT400" s="2">
        <v>-0.29853293598826575</v>
      </c>
      <c r="AU400" s="2">
        <v>0.13938186160914498</v>
      </c>
      <c r="AV400" s="31"/>
      <c r="AW400" s="31">
        <v>1983.0000000013199</v>
      </c>
      <c r="AX400" s="2">
        <v>0.20185571416743331</v>
      </c>
      <c r="AY400" s="2">
        <v>-0.21981065223360952</v>
      </c>
      <c r="AZ400" s="2">
        <v>0.127578903866569</v>
      </c>
      <c r="BA400" s="31"/>
      <c r="BB400" s="31">
        <v>1983.0000000013199</v>
      </c>
      <c r="BC400" s="2">
        <v>-0.54575706365759702</v>
      </c>
      <c r="BD400" s="2">
        <v>-9.3919208556921333E-2</v>
      </c>
      <c r="BE400" s="2">
        <v>-0.28708240606167917</v>
      </c>
      <c r="BG400" s="2">
        <f t="shared" si="63"/>
        <v>2.754772740716388E-2</v>
      </c>
      <c r="BH400" s="2">
        <f t="shared" si="57"/>
        <v>-0.20408759892626552</v>
      </c>
      <c r="BI400" s="2">
        <f t="shared" si="58"/>
        <v>-6.7072135286550634E-3</v>
      </c>
    </row>
    <row r="401" spans="1:61" x14ac:dyDescent="0.3">
      <c r="A401" s="31">
        <v>1982.9166666679901</v>
      </c>
      <c r="B401">
        <v>0.7087176119718267</v>
      </c>
      <c r="C401">
        <v>4.5600000000000307E-2</v>
      </c>
      <c r="D401">
        <v>3.2317523105915513E-2</v>
      </c>
      <c r="F401" s="31">
        <v>1982.9166666679901</v>
      </c>
      <c r="G401" s="2">
        <v>0.98704106078891041</v>
      </c>
      <c r="H401" s="2">
        <v>0.1229999999999998</v>
      </c>
      <c r="I401" s="2">
        <v>0.12140605047703579</v>
      </c>
      <c r="K401" s="31">
        <v>1982.9166666679901</v>
      </c>
      <c r="L401" s="2">
        <v>0.82041946006636768</v>
      </c>
      <c r="M401" s="2">
        <v>6.1514999999999952E-2</v>
      </c>
      <c r="N401" s="2">
        <v>5.047190170442678E-2</v>
      </c>
      <c r="P401" s="31">
        <v>1982.9166666679901</v>
      </c>
      <c r="Q401" s="2">
        <v>0.59312966885118734</v>
      </c>
      <c r="R401" s="2">
        <v>7.1900000000000297E-2</v>
      </c>
      <c r="S401" s="2">
        <v>3.4562799878508792E-2</v>
      </c>
      <c r="U401" s="2">
        <f t="shared" si="59"/>
        <v>0.80019672990215518</v>
      </c>
      <c r="V401" s="2">
        <f t="shared" si="60"/>
        <v>8.5471666666666682E-2</v>
      </c>
      <c r="W401" s="2">
        <f t="shared" si="61"/>
        <v>6.8813584019990451E-2</v>
      </c>
      <c r="Y401" s="31">
        <v>1982.9166666679901</v>
      </c>
      <c r="Z401" s="2">
        <v>1.4690296789549777</v>
      </c>
      <c r="AA401" s="2">
        <v>0.41216179278103438</v>
      </c>
      <c r="AB401" s="2">
        <v>1.0638816926977299</v>
      </c>
      <c r="AD401" s="31">
        <v>1982.9166666679901</v>
      </c>
      <c r="AE401" s="2">
        <v>6.639377635190781E-2</v>
      </c>
      <c r="AF401" s="2">
        <v>-0.68622224125583742</v>
      </c>
      <c r="AG401" s="2">
        <v>-0.36556973321887309</v>
      </c>
      <c r="AH401" s="31"/>
      <c r="AI401" s="31">
        <v>1982.9166666679901</v>
      </c>
      <c r="AJ401" s="2">
        <v>-1.0915021441845076</v>
      </c>
      <c r="AK401" s="2">
        <v>-0.61478205611361436</v>
      </c>
      <c r="AL401" s="2">
        <v>-0.83541960144342964</v>
      </c>
      <c r="AM401" s="31"/>
      <c r="AN401" s="2">
        <f t="shared" si="62"/>
        <v>0.14797377037412596</v>
      </c>
      <c r="AO401" s="2">
        <f t="shared" si="55"/>
        <v>-0.29628083486280582</v>
      </c>
      <c r="AP401" s="2">
        <f t="shared" si="56"/>
        <v>-4.5702547321524234E-2</v>
      </c>
      <c r="AQ401" s="31"/>
      <c r="AR401" s="31">
        <v>1982.9166666679901</v>
      </c>
      <c r="AS401" s="2">
        <v>1.8951846164975379</v>
      </c>
      <c r="AT401" s="2">
        <v>2.0533426933213605</v>
      </c>
      <c r="AU401" s="2">
        <v>3.5186834103581628</v>
      </c>
      <c r="AV401" s="31"/>
      <c r="AW401" s="31">
        <v>1982.9166666679901</v>
      </c>
      <c r="AX401" s="2">
        <v>0.268689214430336</v>
      </c>
      <c r="AY401" s="2">
        <v>-0.51751295497595129</v>
      </c>
      <c r="AZ401" s="2">
        <v>0.13063427521761484</v>
      </c>
      <c r="BA401" s="31"/>
      <c r="BB401" s="31">
        <v>1982.9166666679901</v>
      </c>
      <c r="BC401" s="2">
        <v>-0.84628195439827048</v>
      </c>
      <c r="BD401" s="2">
        <v>-0.44318112469553572</v>
      </c>
      <c r="BE401" s="2">
        <v>-0.62880761836896459</v>
      </c>
      <c r="BG401" s="2">
        <f t="shared" si="63"/>
        <v>0.43919729217653442</v>
      </c>
      <c r="BH401" s="2">
        <f t="shared" si="57"/>
        <v>0.3642162045499579</v>
      </c>
      <c r="BI401" s="2">
        <f t="shared" si="58"/>
        <v>1.0068366890689378</v>
      </c>
    </row>
    <row r="402" spans="1:61" x14ac:dyDescent="0.3">
      <c r="A402" s="31">
        <v>1982.83333333466</v>
      </c>
      <c r="B402">
        <v>0.72329302230156156</v>
      </c>
      <c r="C402">
        <v>3.0400000000000205E-2</v>
      </c>
      <c r="D402">
        <v>2.1988107877967619E-2</v>
      </c>
      <c r="F402" s="31">
        <v>1982.83333333466</v>
      </c>
      <c r="G402" s="2">
        <v>0.79454731593630634</v>
      </c>
      <c r="H402" s="2">
        <v>6.1499999999999846E-2</v>
      </c>
      <c r="I402" s="2">
        <v>4.8864659930082724E-2</v>
      </c>
      <c r="K402" s="31">
        <v>1982.83333333466</v>
      </c>
      <c r="L402" s="2">
        <v>0.58329694351371131</v>
      </c>
      <c r="M402" s="2">
        <v>6.1499999999999902E-2</v>
      </c>
      <c r="N402" s="2">
        <v>3.5872762026093186E-2</v>
      </c>
      <c r="P402" s="31">
        <v>1982.83333333466</v>
      </c>
      <c r="Q402" s="2">
        <v>0.68368791306036114</v>
      </c>
      <c r="R402" s="2">
        <v>4.7900000000000303E-2</v>
      </c>
      <c r="S402" s="2">
        <v>2.8391061674559473E-2</v>
      </c>
      <c r="U402" s="2">
        <f t="shared" si="59"/>
        <v>0.68717739083679297</v>
      </c>
      <c r="V402" s="2">
        <f t="shared" si="60"/>
        <v>5.6966666666666686E-2</v>
      </c>
      <c r="W402" s="2">
        <f t="shared" si="61"/>
        <v>3.7709494543578463E-2</v>
      </c>
      <c r="Y402" s="31">
        <v>1982.83333333466</v>
      </c>
      <c r="Z402" s="2">
        <v>0.35293627964689134</v>
      </c>
      <c r="AA402" s="2">
        <v>-0.78876452892998183</v>
      </c>
      <c r="AB402" s="2">
        <v>-0.60560321048894539</v>
      </c>
      <c r="AD402" s="31">
        <v>1982.83333333466</v>
      </c>
      <c r="AE402" s="2">
        <v>-1.3446646230840784</v>
      </c>
      <c r="AF402" s="2">
        <v>-0.68658960551538373</v>
      </c>
      <c r="AG402" s="2">
        <v>-0.92069925192305724</v>
      </c>
      <c r="AH402" s="31"/>
      <c r="AI402" s="31">
        <v>1982.83333333466</v>
      </c>
      <c r="AJ402" s="2">
        <v>-0.48793227612318191</v>
      </c>
      <c r="AK402" s="2">
        <v>-1.186702766808877</v>
      </c>
      <c r="AL402" s="2">
        <v>-1.334206303692026</v>
      </c>
      <c r="AM402" s="31"/>
      <c r="AN402" s="2">
        <f t="shared" si="62"/>
        <v>-0.49322020652012299</v>
      </c>
      <c r="AO402" s="2">
        <f t="shared" si="55"/>
        <v>-0.88735230041808089</v>
      </c>
      <c r="AP402" s="2">
        <f t="shared" si="56"/>
        <v>-0.95350292203467613</v>
      </c>
      <c r="AQ402" s="31"/>
      <c r="AR402" s="31">
        <v>1982.83333333466</v>
      </c>
      <c r="AS402" s="2">
        <v>0.36956284499496445</v>
      </c>
      <c r="AT402" s="2">
        <v>-0.28549293171718004</v>
      </c>
      <c r="AU402" s="2">
        <v>7.0213786152669322E-2</v>
      </c>
      <c r="AV402" s="31"/>
      <c r="AW402" s="31">
        <v>1982.83333333466</v>
      </c>
      <c r="AX402" s="2">
        <v>-0.73679296950462381</v>
      </c>
      <c r="AY402" s="2">
        <v>-0.19208961378086201</v>
      </c>
      <c r="AZ402" s="2">
        <v>-0.75010466226931249</v>
      </c>
      <c r="BA402" s="31"/>
      <c r="BB402" s="31">
        <v>1982.83333333466</v>
      </c>
      <c r="BC402" s="2">
        <v>-0.24520046508684057</v>
      </c>
      <c r="BD402" s="2">
        <v>-0.86039420085980967</v>
      </c>
      <c r="BE402" s="2">
        <v>-0.70990515946954047</v>
      </c>
      <c r="BG402" s="2">
        <f t="shared" si="63"/>
        <v>-0.20414352986549997</v>
      </c>
      <c r="BH402" s="2">
        <f t="shared" si="57"/>
        <v>-0.44599224878595062</v>
      </c>
      <c r="BI402" s="2">
        <f t="shared" si="58"/>
        <v>-0.46326534519539453</v>
      </c>
    </row>
    <row r="403" spans="1:61" x14ac:dyDescent="0.3">
      <c r="A403" s="31">
        <v>1982.7500000013299</v>
      </c>
      <c r="B403">
        <v>0.7500613867689444</v>
      </c>
      <c r="C403">
        <v>4.5600000000000307E-2</v>
      </c>
      <c r="D403">
        <v>3.4202799236664097E-2</v>
      </c>
      <c r="F403" s="31">
        <v>1982.7500000013299</v>
      </c>
      <c r="G403" s="2">
        <v>0.82536763886538544</v>
      </c>
      <c r="H403" s="2">
        <v>9.2249999999999804E-2</v>
      </c>
      <c r="I403" s="2">
        <v>8.1840984775095632E-2</v>
      </c>
      <c r="K403" s="31">
        <v>1982.7500000013299</v>
      </c>
      <c r="L403" s="2">
        <v>0.83969591898415619</v>
      </c>
      <c r="M403" s="2">
        <v>6.1514999999999952E-2</v>
      </c>
      <c r="N403" s="2">
        <v>5.1657476194430577E-2</v>
      </c>
      <c r="P403" s="31">
        <v>1982.7500000013299</v>
      </c>
      <c r="Q403" s="2">
        <v>0.70456480921286868</v>
      </c>
      <c r="R403" s="2">
        <v>9.5850000000000463E-2</v>
      </c>
      <c r="S403" s="2">
        <v>3.8694784763655517E-2</v>
      </c>
      <c r="U403" s="2">
        <f t="shared" si="59"/>
        <v>0.78987612235413673</v>
      </c>
      <c r="V403" s="2">
        <f t="shared" si="60"/>
        <v>8.3205000000000071E-2</v>
      </c>
      <c r="W403" s="2">
        <f t="shared" si="61"/>
        <v>5.7397748577727246E-2</v>
      </c>
      <c r="Y403" s="31">
        <v>1982.7500000013299</v>
      </c>
      <c r="Z403" s="2">
        <v>0.53163486027884022</v>
      </c>
      <c r="AA403" s="2">
        <v>-0.18830136807447412</v>
      </c>
      <c r="AB403" s="2">
        <v>0.15332181253904403</v>
      </c>
      <c r="AD403" s="31">
        <v>1982.7500000013299</v>
      </c>
      <c r="AE403" s="2">
        <v>0.18110329303033765</v>
      </c>
      <c r="AF403" s="2">
        <v>-0.68622224125583742</v>
      </c>
      <c r="AG403" s="2">
        <v>-0.32048848798628488</v>
      </c>
      <c r="AH403" s="31"/>
      <c r="AI403" s="31">
        <v>1982.7500000013299</v>
      </c>
      <c r="AJ403" s="2">
        <v>-0.64796122161444958</v>
      </c>
      <c r="AK403" s="2">
        <v>-4.4052846898962821E-2</v>
      </c>
      <c r="AL403" s="2">
        <v>-0.50148140664369689</v>
      </c>
      <c r="AM403" s="31"/>
      <c r="AN403" s="2">
        <f t="shared" si="62"/>
        <v>2.1592310564909439E-2</v>
      </c>
      <c r="AO403" s="2">
        <f t="shared" si="55"/>
        <v>-0.30619215207642481</v>
      </c>
      <c r="AP403" s="2">
        <f t="shared" si="56"/>
        <v>-0.22288269403031258</v>
      </c>
      <c r="AQ403" s="31"/>
      <c r="AR403" s="31">
        <v>1982.7500000013299</v>
      </c>
      <c r="AS403" s="2">
        <v>0.56565790116946124</v>
      </c>
      <c r="AT403" s="2">
        <v>0.89414149018552891</v>
      </c>
      <c r="AU403" s="2">
        <v>1.284048673531762</v>
      </c>
      <c r="AV403" s="31"/>
      <c r="AW403" s="31">
        <v>1982.7500000013299</v>
      </c>
      <c r="AX403" s="2">
        <v>0.27093368438317073</v>
      </c>
      <c r="AY403" s="2">
        <v>-0.6564669997761764</v>
      </c>
      <c r="AZ403" s="2">
        <v>-0.19914622046885877</v>
      </c>
      <c r="BA403" s="31"/>
      <c r="BB403" s="31">
        <v>1982.7500000013299</v>
      </c>
      <c r="BC403" s="2">
        <v>-0.69580961016550391</v>
      </c>
      <c r="BD403" s="2">
        <v>0.36965282471677957</v>
      </c>
      <c r="BE403" s="2">
        <v>-0.68879466234509457</v>
      </c>
      <c r="BG403" s="2">
        <f t="shared" si="63"/>
        <v>4.6927325129042685E-2</v>
      </c>
      <c r="BH403" s="2">
        <f t="shared" si="57"/>
        <v>0.20244243837537734</v>
      </c>
      <c r="BI403" s="2">
        <f t="shared" si="58"/>
        <v>0.13203593023926954</v>
      </c>
    </row>
    <row r="404" spans="1:61" x14ac:dyDescent="0.3">
      <c r="A404" s="31">
        <v>1982.6666666680001</v>
      </c>
      <c r="B404">
        <v>0.79726906194382197</v>
      </c>
      <c r="C404">
        <v>4.5600000000000307E-2</v>
      </c>
      <c r="D404">
        <v>3.6355469224638524E-2</v>
      </c>
      <c r="F404" s="31">
        <v>1982.6666666680001</v>
      </c>
      <c r="G404" s="2">
        <v>1.0213195980889913</v>
      </c>
      <c r="H404" s="2">
        <v>6.1499999999999902E-2</v>
      </c>
      <c r="I404" s="2">
        <v>6.2811155282472872E-2</v>
      </c>
      <c r="K404" s="31">
        <v>1982.6666666680001</v>
      </c>
      <c r="L404" s="2">
        <v>0.82056315771168786</v>
      </c>
      <c r="M404" s="2">
        <v>6.1514999999999952E-2</v>
      </c>
      <c r="N404" s="2">
        <v>5.0479832770353894E-2</v>
      </c>
      <c r="P404" s="31">
        <v>1982.6666666680001</v>
      </c>
      <c r="Q404" s="2">
        <v>0.78602990629408376</v>
      </c>
      <c r="R404" s="2">
        <v>7.1900000000000297E-2</v>
      </c>
      <c r="S404" s="2">
        <v>4.2944367910169562E-2</v>
      </c>
      <c r="U404" s="2">
        <f t="shared" si="59"/>
        <v>0.8759708873649209</v>
      </c>
      <c r="V404" s="2">
        <f t="shared" si="60"/>
        <v>6.4971666666666719E-2</v>
      </c>
      <c r="W404" s="2">
        <f t="shared" si="61"/>
        <v>5.207845198766544E-2</v>
      </c>
      <c r="Y404" s="31">
        <v>1982.6666666680001</v>
      </c>
      <c r="Z404" s="2">
        <v>1.6677792500013053</v>
      </c>
      <c r="AA404" s="2">
        <v>-0.78876452892998072</v>
      </c>
      <c r="AB404" s="2">
        <v>-0.28463523251631401</v>
      </c>
      <c r="AD404" s="31">
        <v>1982.6666666680001</v>
      </c>
      <c r="AE404" s="2">
        <v>6.7248886074746772E-2</v>
      </c>
      <c r="AF404" s="2">
        <v>-0.68622224125583742</v>
      </c>
      <c r="AG404" s="2">
        <v>-0.36526815594048978</v>
      </c>
      <c r="AH404" s="31"/>
      <c r="AI404" s="31">
        <v>1982.6666666680001</v>
      </c>
      <c r="AJ404" s="2">
        <v>-0.24966925291044656</v>
      </c>
      <c r="AK404" s="2">
        <v>-0.61478205611361436</v>
      </c>
      <c r="AL404" s="2">
        <v>-0.15803917148463081</v>
      </c>
      <c r="AM404" s="31"/>
      <c r="AN404" s="2">
        <f t="shared" si="62"/>
        <v>0.49511962772186852</v>
      </c>
      <c r="AO404" s="2">
        <f t="shared" si="55"/>
        <v>-0.69658960876647757</v>
      </c>
      <c r="AP404" s="2">
        <f t="shared" si="56"/>
        <v>-0.26931418664714485</v>
      </c>
      <c r="AQ404" s="31"/>
      <c r="AR404" s="31">
        <v>1982.6666666680001</v>
      </c>
      <c r="AS404" s="2">
        <v>0.76606896482782172</v>
      </c>
      <c r="AT404" s="2">
        <v>-0.32631334910519749</v>
      </c>
      <c r="AU404" s="2">
        <v>0.29426297091680093</v>
      </c>
      <c r="AV404" s="31"/>
      <c r="AW404" s="31">
        <v>1982.6666666680001</v>
      </c>
      <c r="AX404" s="2">
        <v>-4.1696192791435528E-2</v>
      </c>
      <c r="AY404" s="2">
        <v>-0.23837245449551037</v>
      </c>
      <c r="AZ404" s="2">
        <v>-5.7393825368619866E-2</v>
      </c>
      <c r="BA404" s="31"/>
      <c r="BB404" s="31">
        <v>1982.6666666680001</v>
      </c>
      <c r="BC404" s="2">
        <v>-0.48715414917588246</v>
      </c>
      <c r="BD404" s="2">
        <v>7.7097786990586777E-4</v>
      </c>
      <c r="BE404" s="2">
        <v>-8.5659351912250756E-2</v>
      </c>
      <c r="BG404" s="2">
        <f t="shared" si="63"/>
        <v>7.9072874286834585E-2</v>
      </c>
      <c r="BH404" s="2">
        <f t="shared" si="57"/>
        <v>-0.18797160857693399</v>
      </c>
      <c r="BI404" s="2">
        <f t="shared" si="58"/>
        <v>5.0403264545310099E-2</v>
      </c>
    </row>
    <row r="405" spans="1:61" x14ac:dyDescent="0.3">
      <c r="A405" s="31">
        <v>1982.58333333467</v>
      </c>
      <c r="B405">
        <v>0.84955347154759187</v>
      </c>
      <c r="C405">
        <v>4.5600000000000307E-2</v>
      </c>
      <c r="D405">
        <v>3.8739638302570448E-2</v>
      </c>
      <c r="F405" s="31">
        <v>1982.58333333467</v>
      </c>
      <c r="G405" s="2">
        <v>0.86569699267428113</v>
      </c>
      <c r="H405" s="2">
        <v>9.2249999999999804E-2</v>
      </c>
      <c r="I405" s="2">
        <v>8.5318463698489902E-2</v>
      </c>
      <c r="K405" s="31">
        <v>1982.58333333467</v>
      </c>
      <c r="L405" s="2">
        <v>0.80354519717972006</v>
      </c>
      <c r="M405" s="2">
        <v>6.1514999999999952E-2</v>
      </c>
      <c r="N405" s="2">
        <v>4.9432300551055894E-2</v>
      </c>
      <c r="P405" s="31">
        <v>1982.58333333467</v>
      </c>
      <c r="Q405" s="2">
        <v>0.66369024445449509</v>
      </c>
      <c r="R405" s="2">
        <v>7.1900000000000297E-2</v>
      </c>
      <c r="S405" s="2">
        <v>4.6655212349490445E-2</v>
      </c>
      <c r="U405" s="2">
        <f t="shared" si="59"/>
        <v>0.77764414476949872</v>
      </c>
      <c r="V405" s="2">
        <f t="shared" si="60"/>
        <v>7.5221666666666687E-2</v>
      </c>
      <c r="W405" s="2">
        <f t="shared" si="61"/>
        <v>6.0468658866345414E-2</v>
      </c>
      <c r="Y405" s="31">
        <v>1982.58333333467</v>
      </c>
      <c r="Z405" s="2">
        <v>0.76546752647240857</v>
      </c>
      <c r="AA405" s="2">
        <v>-0.18830136807447412</v>
      </c>
      <c r="AB405" s="2">
        <v>0.23335334377911393</v>
      </c>
      <c r="AD405" s="31">
        <v>1982.58333333467</v>
      </c>
      <c r="AE405" s="2">
        <v>-3.4020856246711653E-2</v>
      </c>
      <c r="AF405" s="2">
        <v>-0.68622224125583742</v>
      </c>
      <c r="AG405" s="2">
        <v>-0.4051003699982158</v>
      </c>
      <c r="AH405" s="31"/>
      <c r="AI405" s="31">
        <v>1982.58333333467</v>
      </c>
      <c r="AJ405" s="2">
        <v>6.389620713485554E-2</v>
      </c>
      <c r="AK405" s="2">
        <v>-0.61478205611361436</v>
      </c>
      <c r="AL405" s="2">
        <v>0.14186335180483631</v>
      </c>
      <c r="AM405" s="31"/>
      <c r="AN405" s="2">
        <f t="shared" si="62"/>
        <v>0.26511429245351747</v>
      </c>
      <c r="AO405" s="2">
        <f t="shared" si="55"/>
        <v>-0.49643522181464195</v>
      </c>
      <c r="AP405" s="2">
        <f t="shared" si="56"/>
        <v>-9.9612248047551977E-3</v>
      </c>
      <c r="AQ405" s="31"/>
      <c r="AR405" s="31">
        <v>1982.58333333467</v>
      </c>
      <c r="AS405" s="2">
        <v>0.2862140993726523</v>
      </c>
      <c r="AT405" s="2">
        <v>0.98806436351113314</v>
      </c>
      <c r="AU405" s="2">
        <v>1.0669867142200451</v>
      </c>
      <c r="AV405" s="31"/>
      <c r="AW405" s="31">
        <v>1982.58333333467</v>
      </c>
      <c r="AX405" s="2">
        <v>-0.27939610043213498</v>
      </c>
      <c r="AY405" s="2">
        <v>-0.53553372549108424</v>
      </c>
      <c r="AZ405" s="2">
        <v>-0.44409401372028595</v>
      </c>
      <c r="BA405" s="31"/>
      <c r="BB405" s="31">
        <v>1982.58333333467</v>
      </c>
      <c r="BC405" s="2">
        <v>-0.48071706332650094</v>
      </c>
      <c r="BD405" s="2">
        <v>-0.51613739712758211</v>
      </c>
      <c r="BE405" s="2">
        <v>-0.51874291939921191</v>
      </c>
      <c r="BG405" s="2">
        <f t="shared" si="63"/>
        <v>-0.15796635479532786</v>
      </c>
      <c r="BH405" s="2">
        <f t="shared" si="57"/>
        <v>-2.1202253035844405E-2</v>
      </c>
      <c r="BI405" s="2">
        <f t="shared" si="58"/>
        <v>3.4716593700182395E-2</v>
      </c>
    </row>
    <row r="406" spans="1:61" x14ac:dyDescent="0.3">
      <c r="A406" s="31">
        <v>1982.5000000013399</v>
      </c>
      <c r="B406">
        <v>0.88528555449325219</v>
      </c>
      <c r="C406">
        <v>3.0400000000000205E-2</v>
      </c>
      <c r="D406">
        <v>2.6912680856595046E-2</v>
      </c>
      <c r="F406" s="31">
        <v>1982.5000000013399</v>
      </c>
      <c r="G406" s="2">
        <v>1.0662428507641559</v>
      </c>
      <c r="H406" s="2">
        <v>6.1499999999999902E-2</v>
      </c>
      <c r="I406" s="2">
        <v>6.5573935321995486E-2</v>
      </c>
      <c r="K406" s="31">
        <v>1982.5000000013399</v>
      </c>
      <c r="L406" s="2">
        <v>0.68483202811093258</v>
      </c>
      <c r="M406" s="2">
        <v>6.1499999999999902E-2</v>
      </c>
      <c r="N406" s="2">
        <v>4.2117169728822283E-2</v>
      </c>
      <c r="P406" s="31">
        <v>1982.5000000013399</v>
      </c>
      <c r="Q406" s="2">
        <v>0.7173483074489958</v>
      </c>
      <c r="R406" s="2">
        <v>4.7900000000000303E-2</v>
      </c>
      <c r="S406" s="2">
        <v>3.7743388924365476E-2</v>
      </c>
      <c r="U406" s="2">
        <f t="shared" si="59"/>
        <v>0.82280772877469477</v>
      </c>
      <c r="V406" s="2">
        <f t="shared" si="60"/>
        <v>5.69666666666667E-2</v>
      </c>
      <c r="W406" s="2">
        <f t="shared" si="61"/>
        <v>4.8478164658394413E-2</v>
      </c>
      <c r="Y406" s="31">
        <v>1982.5000000013399</v>
      </c>
      <c r="Z406" s="2">
        <v>1.9282476918438833</v>
      </c>
      <c r="AA406" s="2">
        <v>-0.78876452892998072</v>
      </c>
      <c r="AB406" s="2">
        <v>-0.22105195223961377</v>
      </c>
      <c r="AD406" s="31">
        <v>1982.5000000013399</v>
      </c>
      <c r="AE406" s="2">
        <v>-0.7404540401277484</v>
      </c>
      <c r="AF406" s="2">
        <v>-0.68658960551538373</v>
      </c>
      <c r="AG406" s="2">
        <v>-0.68325683278152194</v>
      </c>
      <c r="AH406" s="31"/>
      <c r="AI406" s="31">
        <v>1982.5000000013399</v>
      </c>
      <c r="AJ406" s="2">
        <v>0.78514108113482428</v>
      </c>
      <c r="AK406" s="2">
        <v>-1.186702766808877</v>
      </c>
      <c r="AL406" s="2">
        <v>-0.57837118672361876</v>
      </c>
      <c r="AM406" s="31"/>
      <c r="AN406" s="2">
        <f t="shared" si="62"/>
        <v>0.65764491095031974</v>
      </c>
      <c r="AO406" s="2">
        <f t="shared" si="55"/>
        <v>-0.88735230041808055</v>
      </c>
      <c r="AP406" s="2">
        <f t="shared" si="56"/>
        <v>-0.49422665724825143</v>
      </c>
      <c r="AQ406" s="31"/>
      <c r="AR406" s="31">
        <v>1982.5000000013399</v>
      </c>
      <c r="AS406" s="2">
        <v>0.55495444625256229</v>
      </c>
      <c r="AT406" s="2">
        <v>-2.313009814913013E-2</v>
      </c>
      <c r="AU406" s="2">
        <v>0.50741645132623459</v>
      </c>
      <c r="AV406" s="31"/>
      <c r="AW406" s="31">
        <v>1982.5000000013399</v>
      </c>
      <c r="AX406" s="2">
        <v>-0.50434543341362503</v>
      </c>
      <c r="AY406" s="2">
        <v>-0.1083026392523672</v>
      </c>
      <c r="AZ406" s="2">
        <v>-0.50461112701272925</v>
      </c>
      <c r="BA406" s="31"/>
      <c r="BB406" s="31">
        <v>1982.5000000013399</v>
      </c>
      <c r="BC406" s="2">
        <v>-3.595227966870413E-2</v>
      </c>
      <c r="BD406" s="2">
        <v>-0.38248368897839508</v>
      </c>
      <c r="BE406" s="2">
        <v>-0.25802428695286961</v>
      </c>
      <c r="BG406" s="2">
        <f t="shared" si="63"/>
        <v>4.8855777234110276E-3</v>
      </c>
      <c r="BH406" s="2">
        <f t="shared" si="57"/>
        <v>-0.17130547545996413</v>
      </c>
      <c r="BI406" s="2">
        <f t="shared" si="58"/>
        <v>-8.5072987546454759E-2</v>
      </c>
    </row>
    <row r="407" spans="1:61" x14ac:dyDescent="0.3">
      <c r="A407" s="31">
        <v>1982.4166666680101</v>
      </c>
      <c r="B407">
        <v>0.80656171849385128</v>
      </c>
      <c r="C407">
        <v>0.13680000000000092</v>
      </c>
      <c r="D407">
        <v>0.11033764308995959</v>
      </c>
      <c r="F407" s="31">
        <v>1982.4166666680101</v>
      </c>
      <c r="G407" s="2">
        <v>0.90119572738605402</v>
      </c>
      <c r="H407" s="2">
        <v>9.2249999999999749E-2</v>
      </c>
      <c r="I407" s="2">
        <v>7.7587884829822679E-2</v>
      </c>
      <c r="K407" s="31">
        <v>1982.4166666680101</v>
      </c>
      <c r="L407" s="2">
        <v>0.78789921437495991</v>
      </c>
      <c r="M407" s="2">
        <v>0.1230299999999999</v>
      </c>
      <c r="N407" s="2">
        <v>7.5107779669589925E-2</v>
      </c>
      <c r="P407" s="31">
        <v>1982.4166666680101</v>
      </c>
      <c r="Q407" s="2">
        <v>0.58555989528577568</v>
      </c>
      <c r="R407" s="2">
        <v>9.5850000000000463E-2</v>
      </c>
      <c r="S407" s="2">
        <v>4.8327876442941689E-2</v>
      </c>
      <c r="U407" s="2">
        <f t="shared" si="59"/>
        <v>0.75821827901559657</v>
      </c>
      <c r="V407" s="2">
        <f t="shared" si="60"/>
        <v>0.10371000000000004</v>
      </c>
      <c r="W407" s="2">
        <f t="shared" si="61"/>
        <v>6.7007846980784769E-2</v>
      </c>
      <c r="Y407" s="31">
        <v>1982.4166666680101</v>
      </c>
      <c r="Z407" s="2">
        <v>0.9712918950820808</v>
      </c>
      <c r="AA407" s="2">
        <v>-0.1883013680744752</v>
      </c>
      <c r="AB407" s="2">
        <v>5.5439953687973102E-2</v>
      </c>
      <c r="AD407" s="31">
        <v>1982.4166666680101</v>
      </c>
      <c r="AE407" s="2">
        <v>-0.12712629294270431</v>
      </c>
      <c r="AF407" s="2">
        <v>0.82033858713866403</v>
      </c>
      <c r="AG407" s="2">
        <v>0.57120485617371752</v>
      </c>
      <c r="AH407" s="31"/>
      <c r="AI407" s="31">
        <v>1982.4166666680101</v>
      </c>
      <c r="AJ407" s="2">
        <v>0.2243634836216056</v>
      </c>
      <c r="AK407" s="2">
        <v>-4.4052846898962821E-2</v>
      </c>
      <c r="AL407" s="2">
        <v>0.27704449195888736</v>
      </c>
      <c r="AM407" s="31"/>
      <c r="AN407" s="2">
        <f t="shared" si="62"/>
        <v>0.35617636192032737</v>
      </c>
      <c r="AO407" s="2">
        <f t="shared" si="55"/>
        <v>0.195994790721742</v>
      </c>
      <c r="AP407" s="2">
        <f t="shared" si="56"/>
        <v>0.30122976727352596</v>
      </c>
      <c r="AQ407" s="31"/>
      <c r="AR407" s="31">
        <v>1982.4166666680101</v>
      </c>
      <c r="AS407" s="2">
        <v>0.35608958476123032</v>
      </c>
      <c r="AT407" s="2">
        <v>-1.691404405511389</v>
      </c>
      <c r="AU407" s="2">
        <v>-1.3135608381983817</v>
      </c>
      <c r="AV407" s="31"/>
      <c r="AW407" s="31">
        <v>1982.4166666680101</v>
      </c>
      <c r="AX407" s="2">
        <v>-0.54837995978401211</v>
      </c>
      <c r="AY407" s="2">
        <v>-0.38552664826294392</v>
      </c>
      <c r="AZ407" s="2">
        <v>-0.35055404840977578</v>
      </c>
      <c r="BA407" s="31"/>
      <c r="BB407" s="31">
        <v>1982.4166666680101</v>
      </c>
      <c r="BC407" s="2">
        <v>-0.51152666213262621</v>
      </c>
      <c r="BD407" s="2">
        <v>-1.4743235720587309</v>
      </c>
      <c r="BE407" s="2">
        <v>-0.65963768710738779</v>
      </c>
      <c r="BG407" s="2">
        <f t="shared" si="63"/>
        <v>-0.23460567905180271</v>
      </c>
      <c r="BH407" s="2">
        <f t="shared" si="57"/>
        <v>-1.1837515419443545</v>
      </c>
      <c r="BI407" s="2">
        <f t="shared" si="58"/>
        <v>-0.77458419123851507</v>
      </c>
    </row>
    <row r="408" spans="1:61" x14ac:dyDescent="0.3">
      <c r="A408" s="31">
        <v>1982.33333333468</v>
      </c>
      <c r="B408">
        <v>0.7174969545828872</v>
      </c>
      <c r="C408">
        <v>0.13680000000000092</v>
      </c>
      <c r="D408">
        <v>9.8153583386939636E-2</v>
      </c>
      <c r="F408" s="31">
        <v>1982.33333333468</v>
      </c>
      <c r="G408" s="2">
        <v>0.79981701218287293</v>
      </c>
      <c r="H408" s="2">
        <v>9.2249999999999749E-2</v>
      </c>
      <c r="I408" s="2">
        <v>6.7631716804022302E-2</v>
      </c>
      <c r="K408" s="31">
        <v>1982.33333333468</v>
      </c>
      <c r="L408" s="2">
        <v>0.73252827280882049</v>
      </c>
      <c r="M408" s="2">
        <v>0.1230299999999999</v>
      </c>
      <c r="N408" s="2">
        <v>6.8430686956586273E-2</v>
      </c>
      <c r="P408" s="31">
        <v>1982.33333333468</v>
      </c>
      <c r="Q408" s="2">
        <v>0.63474082994351599</v>
      </c>
      <c r="R408" s="2">
        <v>9.5850000000000463E-2</v>
      </c>
      <c r="S408" s="2">
        <v>4.4971504861936934E-2</v>
      </c>
      <c r="U408" s="2">
        <f t="shared" si="59"/>
        <v>0.7223620383117364</v>
      </c>
      <c r="V408" s="2">
        <f t="shared" si="60"/>
        <v>0.10371000000000004</v>
      </c>
      <c r="W408" s="2">
        <f t="shared" si="61"/>
        <v>6.0344636207515172E-2</v>
      </c>
      <c r="Y408" s="31">
        <v>1982.33333333468</v>
      </c>
      <c r="Z408" s="2">
        <v>0.3834903799978151</v>
      </c>
      <c r="AA408" s="2">
        <v>-0.1883013680744752</v>
      </c>
      <c r="AB408" s="2">
        <v>-0.17369367729619017</v>
      </c>
      <c r="AD408" s="31">
        <v>1982.33333333468</v>
      </c>
      <c r="AE408" s="2">
        <v>-0.45662529336441243</v>
      </c>
      <c r="AF408" s="2">
        <v>0.82033858713866403</v>
      </c>
      <c r="AG408" s="2">
        <v>0.31730967154075396</v>
      </c>
      <c r="AH408" s="31"/>
      <c r="AI408" s="31">
        <v>1982.33333333468</v>
      </c>
      <c r="AJ408" s="2">
        <v>-9.1308564589589664E-2</v>
      </c>
      <c r="AK408" s="2">
        <v>-4.4052846898962821E-2</v>
      </c>
      <c r="AL408" s="2">
        <v>5.7897081219777198E-3</v>
      </c>
      <c r="AM408" s="31"/>
      <c r="AN408" s="2">
        <f t="shared" si="62"/>
        <v>-5.481449265206232E-2</v>
      </c>
      <c r="AO408" s="2">
        <f t="shared" si="55"/>
        <v>0.195994790721742</v>
      </c>
      <c r="AP408" s="2">
        <f t="shared" si="56"/>
        <v>4.9801900788847164E-2</v>
      </c>
      <c r="AQ408" s="31"/>
      <c r="AR408" s="31">
        <v>1982.33333333468</v>
      </c>
      <c r="AS408" s="2">
        <v>0.29115030747567461</v>
      </c>
      <c r="AT408" s="2">
        <v>-1.2318355951367148</v>
      </c>
      <c r="AU408" s="2">
        <v>-1.1272566981798546</v>
      </c>
      <c r="AV408" s="31"/>
      <c r="AW408" s="31">
        <v>1982.33333333468</v>
      </c>
      <c r="AX408" s="2">
        <v>-0.5832479790369417</v>
      </c>
      <c r="AY408" s="2">
        <v>6.3072530914539418E-2</v>
      </c>
      <c r="AZ408" s="2">
        <v>-0.13419439192403743</v>
      </c>
      <c r="BA408" s="31"/>
      <c r="BB408" s="31">
        <v>1982.33333333468</v>
      </c>
      <c r="BC408" s="2">
        <v>-0.37194454451608838</v>
      </c>
      <c r="BD408" s="2">
        <v>-0.7363458413185221</v>
      </c>
      <c r="BE408" s="2">
        <v>-0.4173434291780268</v>
      </c>
      <c r="BG408" s="2">
        <f t="shared" si="63"/>
        <v>-0.22134740535911848</v>
      </c>
      <c r="BH408" s="2">
        <f t="shared" si="57"/>
        <v>-0.63503630184689908</v>
      </c>
      <c r="BI408" s="2">
        <f t="shared" si="58"/>
        <v>-0.55959817309397297</v>
      </c>
    </row>
    <row r="409" spans="1:61" x14ac:dyDescent="0.3">
      <c r="A409" s="31">
        <v>1982.2500000013499</v>
      </c>
      <c r="B409">
        <v>0.85077669391394883</v>
      </c>
      <c r="C409">
        <v>0.13680000000000092</v>
      </c>
      <c r="D409">
        <v>0.11638625172742899</v>
      </c>
      <c r="F409" s="31">
        <v>1982.2500000013499</v>
      </c>
      <c r="G409" s="2">
        <v>0.71768428632352121</v>
      </c>
      <c r="H409" s="2">
        <v>9.2249999999999749E-2</v>
      </c>
      <c r="I409" s="2">
        <v>5.9885657266379802E-2</v>
      </c>
      <c r="K409" s="31">
        <v>1982.2500000013499</v>
      </c>
      <c r="L409" s="2">
        <v>0.68082781320211372</v>
      </c>
      <c r="M409" s="2">
        <v>0.1230299999999999</v>
      </c>
      <c r="N409" s="2">
        <v>6.2596950189527795E-2</v>
      </c>
      <c r="P409" s="31">
        <v>1982.2500000013499</v>
      </c>
      <c r="Q409" s="2">
        <v>0.52409539617993439</v>
      </c>
      <c r="R409" s="2">
        <v>9.5850000000000463E-2</v>
      </c>
      <c r="S409" s="2">
        <v>3.9525611753711921E-2</v>
      </c>
      <c r="U409" s="2">
        <f t="shared" si="59"/>
        <v>0.64086916523518977</v>
      </c>
      <c r="V409" s="2">
        <f t="shared" si="60"/>
        <v>0.10371000000000004</v>
      </c>
      <c r="W409" s="2">
        <f t="shared" si="61"/>
        <v>5.400273973653983E-2</v>
      </c>
      <c r="Y409" s="31">
        <v>1982.2500000013499</v>
      </c>
      <c r="Z409" s="2">
        <v>-9.2721422463582837E-2</v>
      </c>
      <c r="AA409" s="2">
        <v>-0.1883013680744752</v>
      </c>
      <c r="AB409" s="2">
        <v>-0.35196334320380745</v>
      </c>
      <c r="AD409" s="31">
        <v>1982.2500000013499</v>
      </c>
      <c r="AE409" s="2">
        <v>-0.76428214874594014</v>
      </c>
      <c r="AF409" s="2">
        <v>0.82033858713866403</v>
      </c>
      <c r="AG409" s="2">
        <v>9.5482936877048813E-2</v>
      </c>
      <c r="AH409" s="31"/>
      <c r="AI409" s="31">
        <v>1982.2500000013499</v>
      </c>
      <c r="AJ409" s="2">
        <v>-0.59783357550436178</v>
      </c>
      <c r="AK409" s="2">
        <v>-4.4052846898962821E-2</v>
      </c>
      <c r="AL409" s="2">
        <v>-0.43433574349094334</v>
      </c>
      <c r="AM409" s="31"/>
      <c r="AN409" s="2">
        <f t="shared" si="62"/>
        <v>-0.4849457155712949</v>
      </c>
      <c r="AO409" s="2">
        <f t="shared" si="55"/>
        <v>0.195994790721742</v>
      </c>
      <c r="AP409" s="2">
        <f t="shared" si="56"/>
        <v>-0.23027204993923397</v>
      </c>
      <c r="AQ409" s="31"/>
      <c r="AR409" s="31">
        <v>1982.2500000013499</v>
      </c>
      <c r="AS409" s="2">
        <v>7.1540613922886923E-2</v>
      </c>
      <c r="AT409" s="2">
        <v>-1.4277403812081235</v>
      </c>
      <c r="AU409" s="2">
        <v>-1.2905364591711581</v>
      </c>
      <c r="AV409" s="31"/>
      <c r="AW409" s="31">
        <v>1982.2500000013499</v>
      </c>
      <c r="AX409" s="2">
        <v>-0.72082963861005167</v>
      </c>
      <c r="AY409" s="2">
        <v>-0.13053036562694012</v>
      </c>
      <c r="AZ409" s="2">
        <v>-0.39752889868222113</v>
      </c>
      <c r="BA409" s="31"/>
      <c r="BB409" s="31">
        <v>1982.2500000013499</v>
      </c>
      <c r="BC409" s="2">
        <v>-0.3801634961132685</v>
      </c>
      <c r="BD409" s="2">
        <v>-1.0548255298976554</v>
      </c>
      <c r="BE409" s="2">
        <v>-0.50614127156277922</v>
      </c>
      <c r="BG409" s="2">
        <f t="shared" si="63"/>
        <v>-0.34315084026681109</v>
      </c>
      <c r="BH409" s="2">
        <f t="shared" si="57"/>
        <v>-0.87103209224423972</v>
      </c>
      <c r="BI409" s="2">
        <f t="shared" si="58"/>
        <v>-0.73140220980538617</v>
      </c>
    </row>
    <row r="410" spans="1:61" x14ac:dyDescent="0.3">
      <c r="A410" s="31">
        <v>1982.1666666680201</v>
      </c>
      <c r="B410">
        <v>0.86642802653947326</v>
      </c>
      <c r="C410">
        <v>0.13680000000000092</v>
      </c>
      <c r="D410">
        <v>0.11852735403060075</v>
      </c>
      <c r="F410" s="31">
        <v>1982.1666666680201</v>
      </c>
      <c r="G410" s="2">
        <v>0.66056741777030392</v>
      </c>
      <c r="H410" s="2">
        <v>9.2249999999999749E-2</v>
      </c>
      <c r="I410" s="2">
        <v>5.5032187979599037E-2</v>
      </c>
      <c r="K410" s="31">
        <v>1982.1666666680201</v>
      </c>
      <c r="L410" s="2">
        <v>0.6716923530042882</v>
      </c>
      <c r="M410" s="2">
        <v>9.2264999999999903E-2</v>
      </c>
      <c r="N410" s="2">
        <v>4.1319562043259025E-2</v>
      </c>
      <c r="P410" s="31">
        <v>1982.1666666680201</v>
      </c>
      <c r="Q410" s="2">
        <v>0.58972650215723199</v>
      </c>
      <c r="R410" s="2">
        <v>9.5850000000000463E-2</v>
      </c>
      <c r="S410" s="2">
        <v>3.5528815363895613E-2</v>
      </c>
      <c r="U410" s="2">
        <f t="shared" si="59"/>
        <v>0.64066209097727478</v>
      </c>
      <c r="V410" s="2">
        <f t="shared" si="60"/>
        <v>9.3455000000000024E-2</v>
      </c>
      <c r="W410" s="2">
        <f t="shared" si="61"/>
        <v>4.3960188462251228E-2</v>
      </c>
      <c r="Y410" s="31">
        <v>1982.1666666680201</v>
      </c>
      <c r="Z410" s="2">
        <v>-0.4238893782338144</v>
      </c>
      <c r="AA410" s="2">
        <v>-0.1883013680744752</v>
      </c>
      <c r="AB410" s="2">
        <v>-0.46366224559962083</v>
      </c>
      <c r="AD410" s="31">
        <v>1982.1666666680201</v>
      </c>
      <c r="AE410" s="2">
        <v>-0.81864504954617801</v>
      </c>
      <c r="AF410" s="2">
        <v>6.6874490811640125E-2</v>
      </c>
      <c r="AG410" s="2">
        <v>-0.71358571382227309</v>
      </c>
      <c r="AH410" s="31"/>
      <c r="AI410" s="31">
        <v>1982.1666666680201</v>
      </c>
      <c r="AJ410" s="2">
        <v>-0.96156876367517863</v>
      </c>
      <c r="AK410" s="2">
        <v>-4.4052846898962821E-2</v>
      </c>
      <c r="AL410" s="2">
        <v>-0.75734829278538551</v>
      </c>
      <c r="AM410" s="31"/>
      <c r="AN410" s="2">
        <f t="shared" si="62"/>
        <v>-0.7347010638183904</v>
      </c>
      <c r="AO410" s="2">
        <f t="shared" si="55"/>
        <v>-5.5159908053932637E-2</v>
      </c>
      <c r="AP410" s="2">
        <f t="shared" si="56"/>
        <v>-0.64486541740242653</v>
      </c>
      <c r="AQ410" s="31"/>
      <c r="AR410" s="31">
        <v>1982.1666666680201</v>
      </c>
      <c r="AS410" s="2">
        <v>-6.4777178975778921E-2</v>
      </c>
      <c r="AT410" s="2">
        <v>-1.1019061349826649</v>
      </c>
      <c r="AU410" s="2">
        <v>-1.1111862836255892</v>
      </c>
      <c r="AV410" s="31"/>
      <c r="AW410" s="31">
        <v>1982.1666666680201</v>
      </c>
      <c r="AX410" s="2">
        <v>-0.62291496150187342</v>
      </c>
      <c r="AY410" s="2">
        <v>-0.48231704140909132</v>
      </c>
      <c r="AZ410" s="2">
        <v>-0.7299460828587212</v>
      </c>
      <c r="BA410" s="31"/>
      <c r="BB410" s="31">
        <v>1982.1666666680201</v>
      </c>
      <c r="BC410" s="2">
        <v>-0.42298455032950349</v>
      </c>
      <c r="BD410" s="2">
        <v>-0.34847073798484229</v>
      </c>
      <c r="BE410" s="2">
        <v>-0.36954405764816678</v>
      </c>
      <c r="BG410" s="2">
        <f t="shared" si="63"/>
        <v>-0.37022556360238529</v>
      </c>
      <c r="BH410" s="2">
        <f t="shared" si="57"/>
        <v>-0.64423130479219948</v>
      </c>
      <c r="BI410" s="2">
        <f t="shared" si="58"/>
        <v>-0.73689214137749237</v>
      </c>
    </row>
    <row r="411" spans="1:61" x14ac:dyDescent="0.3">
      <c r="A411" s="31">
        <v>1982.08333333469</v>
      </c>
      <c r="B411">
        <v>0.81130932185659643</v>
      </c>
      <c r="C411">
        <v>3.0400000000000205E-2</v>
      </c>
      <c r="D411">
        <v>2.4663803384440696E-2</v>
      </c>
      <c r="F411" s="31">
        <v>1982.08333333469</v>
      </c>
      <c r="G411" s="2">
        <v>0.61978013264718645</v>
      </c>
      <c r="H411" s="2">
        <v>9.2249999999999804E-2</v>
      </c>
      <c r="I411" s="2">
        <v>6.2720993750270349E-2</v>
      </c>
      <c r="K411" s="31">
        <v>1982.08333333469</v>
      </c>
      <c r="L411" s="2">
        <v>0.67912671841586181</v>
      </c>
      <c r="M411" s="2">
        <v>6.1514999999999952E-2</v>
      </c>
      <c r="N411" s="2">
        <v>4.1777411836325808E-2</v>
      </c>
      <c r="P411" s="31">
        <v>1982.08333333469</v>
      </c>
      <c r="Q411" s="2">
        <v>0.52654261576792205</v>
      </c>
      <c r="R411" s="2">
        <v>9.5850000000000463E-2</v>
      </c>
      <c r="S411" s="2">
        <v>3.5505140658625547E-2</v>
      </c>
      <c r="U411" s="2">
        <f t="shared" si="59"/>
        <v>0.6084831556103234</v>
      </c>
      <c r="V411" s="2">
        <f t="shared" si="60"/>
        <v>8.3205000000000071E-2</v>
      </c>
      <c r="W411" s="2">
        <f t="shared" si="61"/>
        <v>4.6667848748407237E-2</v>
      </c>
      <c r="Y411" s="31">
        <v>1982.08333333469</v>
      </c>
      <c r="Z411" s="2">
        <v>-0.6603771650783461</v>
      </c>
      <c r="AA411" s="2">
        <v>-0.18830136807447412</v>
      </c>
      <c r="AB411" s="2">
        <v>-0.2867102315716859</v>
      </c>
      <c r="AD411" s="31">
        <v>1982.08333333469</v>
      </c>
      <c r="AE411" s="2">
        <v>-0.77440494990912911</v>
      </c>
      <c r="AF411" s="2">
        <v>-0.68622224125583742</v>
      </c>
      <c r="AG411" s="2">
        <v>-0.69617606223566775</v>
      </c>
      <c r="AH411" s="31"/>
      <c r="AI411" s="31">
        <v>1982.08333333469</v>
      </c>
      <c r="AJ411" s="2">
        <v>-0.96249734441115209</v>
      </c>
      <c r="AK411" s="2">
        <v>-4.4052846898962821E-2</v>
      </c>
      <c r="AL411" s="2">
        <v>-0.75926163190933071</v>
      </c>
      <c r="AM411" s="31"/>
      <c r="AN411" s="2">
        <f t="shared" si="62"/>
        <v>-0.79909315313287577</v>
      </c>
      <c r="AO411" s="2">
        <f t="shared" si="55"/>
        <v>-0.30619215207642481</v>
      </c>
      <c r="AP411" s="2">
        <f t="shared" si="56"/>
        <v>-0.58071597523889473</v>
      </c>
      <c r="AQ411" s="31"/>
      <c r="AR411" s="31">
        <v>1982.08333333469</v>
      </c>
      <c r="AS411" s="2">
        <v>-0.15284853615495619</v>
      </c>
      <c r="AT411" s="2">
        <v>0.50956041230593874</v>
      </c>
      <c r="AU411" s="2">
        <v>0.64938576940236303</v>
      </c>
      <c r="AV411" s="31"/>
      <c r="AW411" s="31">
        <v>1982.08333333469</v>
      </c>
      <c r="AX411" s="2">
        <v>-0.50237348617841437</v>
      </c>
      <c r="AY411" s="2">
        <v>-0.87038484719517628</v>
      </c>
      <c r="AZ411" s="2">
        <v>-0.86101794702325196</v>
      </c>
      <c r="BA411" s="31"/>
      <c r="BB411" s="31">
        <v>1982.08333333469</v>
      </c>
      <c r="BC411" s="2">
        <v>-0.31208311588497811</v>
      </c>
      <c r="BD411" s="2">
        <v>-1.4615836317459097E-2</v>
      </c>
      <c r="BE411" s="2">
        <v>-0.47368453911404995</v>
      </c>
      <c r="BG411" s="2">
        <f t="shared" si="63"/>
        <v>-0.32243504607278289</v>
      </c>
      <c r="BH411" s="2">
        <f t="shared" si="57"/>
        <v>-0.12514675706889888</v>
      </c>
      <c r="BI411" s="2">
        <f t="shared" si="58"/>
        <v>-0.22843890557831301</v>
      </c>
    </row>
    <row r="412" spans="1:61" x14ac:dyDescent="0.3">
      <c r="A412" s="31">
        <v>1982.0000000013599</v>
      </c>
      <c r="B412">
        <v>0.81645577412738835</v>
      </c>
      <c r="C412">
        <v>3.0400000000000205E-2</v>
      </c>
      <c r="D412">
        <v>2.4820255533472772E-2</v>
      </c>
      <c r="F412" s="31">
        <v>1982.0000000013599</v>
      </c>
      <c r="G412" s="2">
        <v>0.64134456207738089</v>
      </c>
      <c r="H412" s="2">
        <v>6.1499999999999846E-2</v>
      </c>
      <c r="I412" s="2">
        <v>3.9442690567758842E-2</v>
      </c>
      <c r="K412" s="31">
        <v>1982.0000000013599</v>
      </c>
      <c r="L412" s="2">
        <v>0.70632823505979592</v>
      </c>
      <c r="M412" s="2">
        <v>6.1514999999999952E-2</v>
      </c>
      <c r="N412" s="2">
        <v>4.3450978355715063E-2</v>
      </c>
      <c r="P412" s="31">
        <v>1982.0000000013599</v>
      </c>
      <c r="Q412" s="2">
        <v>0.60255664899575812</v>
      </c>
      <c r="R412" s="2">
        <v>4.7900000000000303E-2</v>
      </c>
      <c r="S412" s="2">
        <v>3.0552667546203092E-2</v>
      </c>
      <c r="U412" s="2">
        <f t="shared" si="59"/>
        <v>0.65007648204431157</v>
      </c>
      <c r="V412" s="2">
        <f t="shared" si="60"/>
        <v>5.6971666666666698E-2</v>
      </c>
      <c r="W412" s="2">
        <f t="shared" si="61"/>
        <v>3.7815445489892331E-2</v>
      </c>
      <c r="Y412" s="31">
        <v>1982.0000000013599</v>
      </c>
      <c r="Z412" s="2">
        <v>-0.53534496018610778</v>
      </c>
      <c r="AA412" s="2">
        <v>-0.78876452892998183</v>
      </c>
      <c r="AB412" s="2">
        <v>-0.82244266573078872</v>
      </c>
      <c r="AD412" s="31">
        <v>1982.0000000013599</v>
      </c>
      <c r="AE412" s="2">
        <v>-0.61253534302471691</v>
      </c>
      <c r="AF412" s="2">
        <v>-0.68622224125583742</v>
      </c>
      <c r="AG412" s="2">
        <v>-0.63253901259453171</v>
      </c>
      <c r="AH412" s="31"/>
      <c r="AI412" s="31">
        <v>1982.0000000013599</v>
      </c>
      <c r="AJ412" s="2">
        <v>-0.19368649423621415</v>
      </c>
      <c r="AK412" s="2">
        <v>-1.186702766808877</v>
      </c>
      <c r="AL412" s="2">
        <v>-1.1595099331317207</v>
      </c>
      <c r="AM412" s="31"/>
      <c r="AN412" s="2">
        <f t="shared" si="62"/>
        <v>-0.44718893248234631</v>
      </c>
      <c r="AO412" s="2">
        <f t="shared" si="55"/>
        <v>-0.88722984566489871</v>
      </c>
      <c r="AP412" s="2">
        <f t="shared" si="56"/>
        <v>-0.87149720381901374</v>
      </c>
      <c r="AQ412" s="31"/>
      <c r="AR412" s="31">
        <v>1982.0000000013599</v>
      </c>
      <c r="AS412" s="2">
        <v>-7.5935934791156248E-2</v>
      </c>
      <c r="AT412" s="2">
        <v>-0.29853293598826575</v>
      </c>
      <c r="AU412" s="2">
        <v>-0.30490168586808386</v>
      </c>
      <c r="AV412" s="31"/>
      <c r="AW412" s="31">
        <v>1982.0000000013599</v>
      </c>
      <c r="AX412" s="2">
        <v>-0.22644230225844364</v>
      </c>
      <c r="AY412" s="2">
        <v>-0.21981065223360952</v>
      </c>
      <c r="AZ412" s="2">
        <v>-0.28414360812205863</v>
      </c>
      <c r="BA412" s="31"/>
      <c r="BB412" s="31">
        <v>1982.0000000013599</v>
      </c>
      <c r="BC412" s="2">
        <v>0.30910454703743145</v>
      </c>
      <c r="BD412" s="2">
        <v>-0.94501805984887022</v>
      </c>
      <c r="BE412" s="2">
        <v>-0.50479620918696588</v>
      </c>
      <c r="BG412" s="2">
        <f t="shared" si="63"/>
        <v>2.2421033292771889E-3</v>
      </c>
      <c r="BH412" s="2">
        <f t="shared" si="57"/>
        <v>-0.48778721602358183</v>
      </c>
      <c r="BI412" s="2">
        <f t="shared" si="58"/>
        <v>-0.36461383439236944</v>
      </c>
    </row>
    <row r="413" spans="1:61" x14ac:dyDescent="0.3">
      <c r="F413" s="31">
        <v>1981.9166666680301</v>
      </c>
      <c r="G413" s="2">
        <v>0.66429973180385737</v>
      </c>
      <c r="H413" s="2">
        <v>9.2249999999999804E-2</v>
      </c>
      <c r="I413" s="2">
        <v>6.8053676467304258E-2</v>
      </c>
      <c r="K413" s="31">
        <v>1981.9166666680301</v>
      </c>
      <c r="L413" s="2">
        <v>0.63628768358901022</v>
      </c>
      <c r="M413" s="2">
        <v>6.1499999999999902E-2</v>
      </c>
      <c r="N413" s="2">
        <v>3.9131692540724065E-2</v>
      </c>
      <c r="P413" s="31">
        <v>1981.9166666680301</v>
      </c>
      <c r="Q413" s="2">
        <v>0.67642487834949794</v>
      </c>
      <c r="R413" s="2">
        <v>9.5850000000000463E-2</v>
      </c>
      <c r="S413" s="2">
        <v>4.0857389240667216E-2</v>
      </c>
      <c r="U413" s="2">
        <f t="shared" si="59"/>
        <v>0.65900409791412173</v>
      </c>
      <c r="V413" s="2">
        <f t="shared" si="60"/>
        <v>8.3200000000000066E-2</v>
      </c>
      <c r="W413" s="2">
        <f t="shared" si="61"/>
        <v>4.9347586082898513E-2</v>
      </c>
      <c r="Y413" s="31">
        <v>1981.9166666680301</v>
      </c>
      <c r="Z413" s="2">
        <v>-0.40224913709151844</v>
      </c>
      <c r="AA413" s="2">
        <v>-0.18830136807447412</v>
      </c>
      <c r="AB413" s="2">
        <v>-0.16398259673526552</v>
      </c>
      <c r="AD413" s="31">
        <v>1981.9166666680301</v>
      </c>
      <c r="AE413" s="2">
        <v>-1.029329622584557</v>
      </c>
      <c r="AF413" s="2">
        <v>-0.68658960551538373</v>
      </c>
      <c r="AG413" s="2">
        <v>-0.79677903690091278</v>
      </c>
      <c r="AH413" s="31"/>
      <c r="AI413" s="31">
        <v>1981.9166666680301</v>
      </c>
      <c r="AJ413" s="2">
        <v>-0.45371291322028545</v>
      </c>
      <c r="AK413" s="2">
        <v>-4.4052846898962821E-2</v>
      </c>
      <c r="AL413" s="2">
        <v>-0.32670433093000811</v>
      </c>
      <c r="AM413" s="31"/>
      <c r="AN413" s="2">
        <f t="shared" si="62"/>
        <v>-0.6284305576321203</v>
      </c>
      <c r="AO413" s="2">
        <f t="shared" si="55"/>
        <v>-0.30631460682960693</v>
      </c>
      <c r="AP413" s="2">
        <f t="shared" si="56"/>
        <v>-0.42915532152206209</v>
      </c>
      <c r="AQ413" s="31"/>
      <c r="AR413" s="31">
        <v>1981.9166666680301</v>
      </c>
      <c r="AS413" s="2">
        <v>-0.11507317867679652</v>
      </c>
      <c r="AT413" s="2">
        <v>0.68444756444045307</v>
      </c>
      <c r="AU413" s="2">
        <v>0.78900347788662839</v>
      </c>
      <c r="AV413" s="31"/>
      <c r="AW413" s="31">
        <v>1981.9166666680301</v>
      </c>
      <c r="AX413" s="2">
        <v>-0.73185974069391724</v>
      </c>
      <c r="AY413" s="2">
        <v>-0.51828077835128905</v>
      </c>
      <c r="AZ413" s="2">
        <v>-0.81648223687772936</v>
      </c>
      <c r="BA413" s="31"/>
      <c r="BB413" s="31">
        <v>1981.9166666680301</v>
      </c>
      <c r="BC413" s="2">
        <v>-6.2326369769707034E-2</v>
      </c>
      <c r="BD413" s="2">
        <v>0.88737234882057547</v>
      </c>
      <c r="BE413" s="2">
        <v>-2.4686420465583295E-2</v>
      </c>
      <c r="BG413" s="2">
        <f t="shared" si="63"/>
        <v>-0.3030864297134736</v>
      </c>
      <c r="BH413" s="2">
        <f t="shared" si="57"/>
        <v>0.35117971163657985</v>
      </c>
      <c r="BI413" s="2">
        <f t="shared" si="58"/>
        <v>-1.7388393152228104E-2</v>
      </c>
    </row>
    <row r="414" spans="1:61" x14ac:dyDescent="0.3">
      <c r="F414" s="31">
        <v>1981.8333333347</v>
      </c>
      <c r="G414" s="2">
        <v>0.67335459701365585</v>
      </c>
      <c r="H414" s="2">
        <v>6.1499999999999846E-2</v>
      </c>
      <c r="I414" s="2">
        <v>4.1411307716339746E-2</v>
      </c>
      <c r="K414" s="31">
        <v>1981.8333333347</v>
      </c>
      <c r="L414" s="2">
        <v>0.73872721065584601</v>
      </c>
      <c r="M414" s="2">
        <v>6.1514999999999952E-2</v>
      </c>
      <c r="N414" s="2">
        <v>4.5444195093453696E-2</v>
      </c>
      <c r="P414" s="31">
        <v>1981.8333333347</v>
      </c>
      <c r="Q414" s="2">
        <v>0.76958249261773615</v>
      </c>
      <c r="R414" s="2">
        <v>4.7900000000000303E-2</v>
      </c>
      <c r="S414" s="2">
        <v>3.4226006047907896E-2</v>
      </c>
      <c r="U414" s="2">
        <f t="shared" si="59"/>
        <v>0.72722143342907941</v>
      </c>
      <c r="V414" s="2">
        <f t="shared" si="60"/>
        <v>5.6971666666666698E-2</v>
      </c>
      <c r="W414" s="2">
        <f t="shared" si="61"/>
        <v>4.0360502952567108E-2</v>
      </c>
      <c r="Y414" s="31">
        <v>1981.8333333347</v>
      </c>
      <c r="Z414" s="2">
        <v>-0.34974833868885385</v>
      </c>
      <c r="AA414" s="2">
        <v>-0.78876452892998183</v>
      </c>
      <c r="AB414" s="2">
        <v>-0.77713644007217042</v>
      </c>
      <c r="AD414" s="31">
        <v>1981.8333333347</v>
      </c>
      <c r="AE414" s="2">
        <v>-0.41973692256018058</v>
      </c>
      <c r="AF414" s="2">
        <v>-0.68622224125583742</v>
      </c>
      <c r="AG414" s="2">
        <v>-0.55674732399687388</v>
      </c>
      <c r="AH414" s="31"/>
      <c r="AI414" s="31">
        <v>1981.8333333347</v>
      </c>
      <c r="AJ414" s="2">
        <v>0.30634192155809364</v>
      </c>
      <c r="AK414" s="2">
        <v>-1.186702766808877</v>
      </c>
      <c r="AL414" s="2">
        <v>-0.86263855962859648</v>
      </c>
      <c r="AM414" s="31"/>
      <c r="AN414" s="2">
        <f t="shared" si="62"/>
        <v>-0.15438111323031359</v>
      </c>
      <c r="AO414" s="2">
        <f t="shared" si="55"/>
        <v>-0.88722984566489871</v>
      </c>
      <c r="AP414" s="2">
        <f t="shared" si="56"/>
        <v>-0.73217410789921356</v>
      </c>
      <c r="AQ414" s="31"/>
      <c r="AR414" s="31">
        <v>1981.8333333347</v>
      </c>
      <c r="AS414" s="2">
        <v>-0.1110157775275982</v>
      </c>
      <c r="AT414" s="2">
        <v>-0.28549293171718004</v>
      </c>
      <c r="AU414" s="2">
        <v>-0.33165273782749238</v>
      </c>
      <c r="AV414" s="31"/>
      <c r="AW414" s="31">
        <v>1981.8333333347</v>
      </c>
      <c r="AX414" s="2">
        <v>-0.13091098744044086</v>
      </c>
      <c r="AY414" s="2">
        <v>-0.19138401234735175</v>
      </c>
      <c r="AZ414" s="2">
        <v>-0.16945340393990585</v>
      </c>
      <c r="BA414" s="31"/>
      <c r="BB414" s="31">
        <v>1981.8333333347</v>
      </c>
      <c r="BC414" s="2">
        <v>0.28265940660810684</v>
      </c>
      <c r="BD414" s="2">
        <v>-0.86039420085980967</v>
      </c>
      <c r="BE414" s="2">
        <v>-0.38485436394342765</v>
      </c>
      <c r="BG414" s="2">
        <f t="shared" si="63"/>
        <v>1.3577547213355931E-2</v>
      </c>
      <c r="BH414" s="2">
        <f t="shared" si="57"/>
        <v>-0.44575704830811375</v>
      </c>
      <c r="BI414" s="2">
        <f t="shared" si="58"/>
        <v>-0.29532016857027527</v>
      </c>
    </row>
    <row r="415" spans="1:61" x14ac:dyDescent="0.3">
      <c r="F415" s="31">
        <v>1981.7500000013699</v>
      </c>
      <c r="G415" s="2">
        <v>0.67571932983924055</v>
      </c>
      <c r="H415" s="2">
        <v>9.2249999999999804E-2</v>
      </c>
      <c r="I415" s="2">
        <v>6.9253617343958629E-2</v>
      </c>
      <c r="K415" s="31">
        <v>1981.7500000013699</v>
      </c>
      <c r="L415" s="2">
        <v>0.7672513129770997</v>
      </c>
      <c r="M415" s="2">
        <v>6.1514999999999952E-2</v>
      </c>
      <c r="N415" s="2">
        <v>4.7198994759167376E-2</v>
      </c>
      <c r="P415" s="31">
        <v>1981.7500000013699</v>
      </c>
      <c r="Q415" s="2">
        <v>0.82071163701146999</v>
      </c>
      <c r="R415" s="2">
        <v>9.5850000000000463E-2</v>
      </c>
      <c r="S415" s="2">
        <v>4.7452051187893404E-2</v>
      </c>
      <c r="U415" s="2">
        <f t="shared" si="59"/>
        <v>0.7545607599426033</v>
      </c>
      <c r="V415" s="2">
        <f t="shared" si="60"/>
        <v>8.3205000000000071E-2</v>
      </c>
      <c r="W415" s="2">
        <f t="shared" si="61"/>
        <v>5.4634887763673139E-2</v>
      </c>
      <c r="Y415" s="31">
        <v>1981.7500000013699</v>
      </c>
      <c r="Z415" s="2">
        <v>-0.33603743759031085</v>
      </c>
      <c r="AA415" s="2">
        <v>-0.18830136807447412</v>
      </c>
      <c r="AB415" s="2">
        <v>-0.13636687055209548</v>
      </c>
      <c r="AD415" s="31">
        <v>1981.7500000013699</v>
      </c>
      <c r="AE415" s="2">
        <v>-0.24999693012113006</v>
      </c>
      <c r="AF415" s="2">
        <v>-0.68622224125583742</v>
      </c>
      <c r="AG415" s="2">
        <v>-0.49002139936614991</v>
      </c>
      <c r="AH415" s="31"/>
      <c r="AI415" s="31">
        <v>1981.7500000013699</v>
      </c>
      <c r="AJ415" s="2">
        <v>4.6773218795812713E-2</v>
      </c>
      <c r="AK415" s="2">
        <v>-4.4052846898962821E-2</v>
      </c>
      <c r="AL415" s="2">
        <v>0.20626216512071591</v>
      </c>
      <c r="AM415" s="31"/>
      <c r="AN415" s="2">
        <f t="shared" si="62"/>
        <v>-0.17975371630520942</v>
      </c>
      <c r="AO415" s="2">
        <f t="shared" si="55"/>
        <v>-0.30619215207642481</v>
      </c>
      <c r="AP415" s="2">
        <f t="shared" si="56"/>
        <v>-0.14004203493250986</v>
      </c>
      <c r="AQ415" s="31"/>
      <c r="AR415" s="31">
        <v>1981.7500000013699</v>
      </c>
      <c r="AS415" s="2">
        <v>-0.48745455025258788</v>
      </c>
      <c r="AT415" s="2">
        <v>0.89414149018552891</v>
      </c>
      <c r="AU415" s="2">
        <v>0.65275544727886936</v>
      </c>
      <c r="AV415" s="31"/>
      <c r="AW415" s="31">
        <v>1981.7500000013699</v>
      </c>
      <c r="AX415" s="2">
        <v>-0.21843136605401106</v>
      </c>
      <c r="AY415" s="2">
        <v>-0.6564669997761764</v>
      </c>
      <c r="AZ415" s="2">
        <v>-0.54875559781946504</v>
      </c>
      <c r="BA415" s="31"/>
      <c r="BB415" s="31">
        <v>1981.7500000013699</v>
      </c>
      <c r="BC415" s="2">
        <v>-3.6527593143672989E-3</v>
      </c>
      <c r="BD415" s="2">
        <v>0.36965282471677957</v>
      </c>
      <c r="BE415" s="2">
        <v>-2.2771957298583206E-2</v>
      </c>
      <c r="BG415" s="2">
        <f t="shared" si="63"/>
        <v>-0.23651289187365543</v>
      </c>
      <c r="BH415" s="2">
        <f t="shared" si="57"/>
        <v>0.20244243837537734</v>
      </c>
      <c r="BI415" s="2">
        <f t="shared" si="58"/>
        <v>2.7075964053607054E-2</v>
      </c>
    </row>
    <row r="416" spans="1:61" x14ac:dyDescent="0.3">
      <c r="F416" s="31">
        <v>1981.6666666680401</v>
      </c>
      <c r="G416" s="2">
        <v>0.70067216713450009</v>
      </c>
      <c r="H416" s="2">
        <v>6.1499999999999846E-2</v>
      </c>
      <c r="I416" s="2">
        <v>4.3091338278771665E-2</v>
      </c>
      <c r="K416" s="31">
        <v>1981.6666666680401</v>
      </c>
      <c r="L416" s="2">
        <v>0.76850010050213413</v>
      </c>
      <c r="M416" s="2">
        <v>6.1499999999999902E-2</v>
      </c>
      <c r="N416" s="2">
        <v>4.7262756180881174E-2</v>
      </c>
      <c r="P416" s="31">
        <v>1981.6666666680401</v>
      </c>
      <c r="Q416" s="2">
        <v>0.80589415324766489</v>
      </c>
      <c r="R416" s="2">
        <v>4.7900000000000303E-2</v>
      </c>
      <c r="S416" s="2">
        <v>3.4925167432619503E-2</v>
      </c>
      <c r="U416" s="2">
        <f t="shared" si="59"/>
        <v>0.75835547362809974</v>
      </c>
      <c r="V416" s="2">
        <f t="shared" si="60"/>
        <v>5.6966666666666686E-2</v>
      </c>
      <c r="W416" s="2">
        <f t="shared" si="61"/>
        <v>4.1759753964090783E-2</v>
      </c>
      <c r="Y416" s="31">
        <v>1981.6666666680401</v>
      </c>
      <c r="Z416" s="2">
        <v>-0.19135898572387311</v>
      </c>
      <c r="AA416" s="2">
        <v>-0.78876452892998183</v>
      </c>
      <c r="AB416" s="2">
        <v>-0.73847181509428428</v>
      </c>
      <c r="AD416" s="31">
        <v>1981.6666666680401</v>
      </c>
      <c r="AE416" s="2">
        <v>-0.24256569941419964</v>
      </c>
      <c r="AF416" s="2">
        <v>-0.68658960551538373</v>
      </c>
      <c r="AG416" s="2">
        <v>-0.48759688339275964</v>
      </c>
      <c r="AH416" s="31"/>
      <c r="AI416" s="31">
        <v>1981.6666666680401</v>
      </c>
      <c r="AJ416" s="2">
        <v>0.40151435378007622</v>
      </c>
      <c r="AK416" s="2">
        <v>-1.186702766808877</v>
      </c>
      <c r="AL416" s="2">
        <v>-0.80613382953542601</v>
      </c>
      <c r="AM416" s="31"/>
      <c r="AN416" s="2">
        <f t="shared" si="62"/>
        <v>-1.0803443785998845E-2</v>
      </c>
      <c r="AO416" s="2">
        <f t="shared" si="55"/>
        <v>-0.88735230041808089</v>
      </c>
      <c r="AP416" s="2">
        <f t="shared" si="56"/>
        <v>-0.67740084267415668</v>
      </c>
      <c r="AQ416" s="31"/>
      <c r="AR416" s="31">
        <v>1981.6666666680401</v>
      </c>
      <c r="AS416" s="2">
        <v>-0.24708554896257254</v>
      </c>
      <c r="AT416" s="2">
        <v>-0.32631334910519932</v>
      </c>
      <c r="AU416" s="2">
        <v>-0.4715674293568401</v>
      </c>
      <c r="AV416" s="31"/>
      <c r="AW416" s="31">
        <v>1981.6666666680401</v>
      </c>
      <c r="AX416" s="2">
        <v>-0.23349406757618427</v>
      </c>
      <c r="AY416" s="2">
        <v>-0.23903137022338633</v>
      </c>
      <c r="AZ416" s="2">
        <v>-0.25022846197559523</v>
      </c>
      <c r="BA416" s="31"/>
      <c r="BB416" s="31">
        <v>1981.6666666680401</v>
      </c>
      <c r="BC416" s="2">
        <v>8.8665315164686093E-2</v>
      </c>
      <c r="BD416" s="2">
        <v>-1.0289872901111137</v>
      </c>
      <c r="BE416" s="2">
        <v>-0.73220762464228928</v>
      </c>
      <c r="BG416" s="2">
        <f t="shared" si="63"/>
        <v>-0.13063810045802357</v>
      </c>
      <c r="BH416" s="2">
        <f t="shared" si="57"/>
        <v>-0.53144400314656648</v>
      </c>
      <c r="BI416" s="2">
        <f t="shared" si="58"/>
        <v>-0.48466783865824153</v>
      </c>
    </row>
    <row r="417" spans="6:61" x14ac:dyDescent="0.3">
      <c r="F417" s="31">
        <v>1981.58333333471</v>
      </c>
      <c r="G417" s="2">
        <v>0.80887011837981049</v>
      </c>
      <c r="H417" s="2">
        <v>9.2249999999999804E-2</v>
      </c>
      <c r="I417" s="2">
        <v>8.2433967720432641E-2</v>
      </c>
      <c r="K417" s="31">
        <v>1981.58333333471</v>
      </c>
      <c r="L417" s="2">
        <v>0.89804322497549172</v>
      </c>
      <c r="M417" s="2">
        <v>6.1514999999999952E-2</v>
      </c>
      <c r="N417" s="2">
        <v>5.52432846314556E-2</v>
      </c>
      <c r="P417" s="31">
        <v>1981.58333333471</v>
      </c>
      <c r="Q417" s="2">
        <v>0.75600324632179572</v>
      </c>
      <c r="R417" s="2">
        <v>9.5850000000000463E-2</v>
      </c>
      <c r="S417" s="2">
        <v>5.5035880173978695E-2</v>
      </c>
      <c r="U417" s="2">
        <f t="shared" si="59"/>
        <v>0.82097219655903275</v>
      </c>
      <c r="V417" s="2">
        <f t="shared" si="60"/>
        <v>8.3205000000000071E-2</v>
      </c>
      <c r="W417" s="2">
        <f t="shared" si="61"/>
        <v>6.4237710841955634E-2</v>
      </c>
      <c r="Y417" s="31">
        <v>1981.58333333471</v>
      </c>
      <c r="Z417" s="2">
        <v>0.43598097950988773</v>
      </c>
      <c r="AA417" s="2">
        <v>-0.18830136807447412</v>
      </c>
      <c r="AB417" s="2">
        <v>0.16696886379658141</v>
      </c>
      <c r="AD417" s="31">
        <v>1981.58333333471</v>
      </c>
      <c r="AE417" s="2">
        <v>0.52831391393842331</v>
      </c>
      <c r="AF417" s="2">
        <v>-0.68622224125583742</v>
      </c>
      <c r="AG417" s="2">
        <v>-0.184138801931475</v>
      </c>
      <c r="AH417" s="31"/>
      <c r="AI417" s="31">
        <v>1981.58333333471</v>
      </c>
      <c r="AJ417" s="2">
        <v>0.62924699110063109</v>
      </c>
      <c r="AK417" s="2">
        <v>-4.4052846898962821E-2</v>
      </c>
      <c r="AL417" s="2">
        <v>0.81917102894229299</v>
      </c>
      <c r="AM417" s="31"/>
      <c r="AN417" s="2">
        <f t="shared" si="62"/>
        <v>0.53118062818298073</v>
      </c>
      <c r="AO417" s="2">
        <f t="shared" si="55"/>
        <v>-0.30619215207642481</v>
      </c>
      <c r="AP417" s="2">
        <f t="shared" si="56"/>
        <v>0.26733369693579978</v>
      </c>
      <c r="AQ417" s="31"/>
      <c r="AR417" s="31">
        <v>1981.58333333471</v>
      </c>
      <c r="AS417" s="2">
        <v>-4.8968894286520584E-2</v>
      </c>
      <c r="AT417" s="2">
        <v>0.98806436351113314</v>
      </c>
      <c r="AU417" s="2">
        <v>0.94007267478919909</v>
      </c>
      <c r="AV417" s="31"/>
      <c r="AW417" s="31">
        <v>1981.58333333471</v>
      </c>
      <c r="AX417" s="2">
        <v>0.34924250777471744</v>
      </c>
      <c r="AY417" s="2">
        <v>-0.53553372549108424</v>
      </c>
      <c r="AZ417" s="2">
        <v>0.11790785916025873</v>
      </c>
      <c r="BA417" s="31"/>
      <c r="BB417" s="31">
        <v>1981.58333333471</v>
      </c>
      <c r="BC417" s="2">
        <v>3.6360282980172347E-2</v>
      </c>
      <c r="BD417" s="2">
        <v>0.77441334649330551</v>
      </c>
      <c r="BE417" s="2">
        <v>8.3599427645121238E-2</v>
      </c>
      <c r="BG417" s="2">
        <f t="shared" si="63"/>
        <v>0.11221129882278974</v>
      </c>
      <c r="BH417" s="2">
        <f t="shared" si="57"/>
        <v>0.4089813281711181</v>
      </c>
      <c r="BI417" s="2">
        <f t="shared" si="58"/>
        <v>0.38052665386485968</v>
      </c>
    </row>
    <row r="418" spans="6:61" x14ac:dyDescent="0.3">
      <c r="F418" s="31">
        <v>1981.5000000013799</v>
      </c>
      <c r="G418" s="2">
        <v>0.93471186422016572</v>
      </c>
      <c r="H418" s="2">
        <v>6.1499999999999846E-2</v>
      </c>
      <c r="I418" s="2">
        <v>5.7484779649540074E-2</v>
      </c>
      <c r="K418" s="31">
        <v>1981.5000000013799</v>
      </c>
      <c r="L418" s="2">
        <v>1.0256078023732123</v>
      </c>
      <c r="M418" s="2">
        <v>6.1499999999999902E-2</v>
      </c>
      <c r="N418" s="2">
        <v>6.3074879845952447E-2</v>
      </c>
      <c r="P418" s="31">
        <v>1981.5000000013799</v>
      </c>
      <c r="Q418" s="2">
        <v>0.71264878193339487</v>
      </c>
      <c r="R418" s="2">
        <v>4.7900000000000303E-2</v>
      </c>
      <c r="S418" s="2">
        <v>3.7986770936362553E-2</v>
      </c>
      <c r="U418" s="2">
        <f t="shared" si="59"/>
        <v>0.89098948284225765</v>
      </c>
      <c r="V418" s="2">
        <f t="shared" si="60"/>
        <v>5.6966666666666686E-2</v>
      </c>
      <c r="W418" s="2">
        <f t="shared" si="61"/>
        <v>5.2848810143951687E-2</v>
      </c>
      <c r="Y418" s="31">
        <v>1981.5000000013799</v>
      </c>
      <c r="Z418" s="2">
        <v>1.1656210101372324</v>
      </c>
      <c r="AA418" s="2">
        <v>-0.78876452892998183</v>
      </c>
      <c r="AB418" s="2">
        <v>-0.40721771461151252</v>
      </c>
      <c r="AD418" s="31">
        <v>1981.5000000013799</v>
      </c>
      <c r="AE418" s="2">
        <v>1.2874196750633216</v>
      </c>
      <c r="AF418" s="2">
        <v>-0.68658960551538373</v>
      </c>
      <c r="AG418" s="2">
        <v>0.11365612146128982</v>
      </c>
      <c r="AH418" s="31"/>
      <c r="AI418" s="31">
        <v>1981.5000000013799</v>
      </c>
      <c r="AJ418" s="2">
        <v>0.81827114029905668</v>
      </c>
      <c r="AK418" s="2">
        <v>-1.186702766808877</v>
      </c>
      <c r="AL418" s="2">
        <v>-0.5587015722424068</v>
      </c>
      <c r="AM418" s="31"/>
      <c r="AN418" s="2">
        <f t="shared" si="62"/>
        <v>1.090437275166537</v>
      </c>
      <c r="AO418" s="2">
        <f t="shared" si="55"/>
        <v>-0.88735230041808089</v>
      </c>
      <c r="AP418" s="2">
        <f t="shared" si="56"/>
        <v>-0.28408772179754316</v>
      </c>
      <c r="AQ418" s="31"/>
      <c r="AR418" s="31">
        <v>1981.5000000013799</v>
      </c>
      <c r="AS418" s="2">
        <v>0.23958169487606973</v>
      </c>
      <c r="AT418" s="2">
        <v>-2.3130098149132094E-2</v>
      </c>
      <c r="AU418" s="2">
        <v>0.20349808238037664</v>
      </c>
      <c r="AV418" s="31"/>
      <c r="AW418" s="31">
        <v>1981.5000000013799</v>
      </c>
      <c r="AX418" s="2">
        <v>0.30047814378096543</v>
      </c>
      <c r="AY418" s="2">
        <v>-0.1083026392523672</v>
      </c>
      <c r="AZ418" s="2">
        <v>0.30014440213485233</v>
      </c>
      <c r="BA418" s="31"/>
      <c r="BB418" s="31">
        <v>1981.5000000013799</v>
      </c>
      <c r="BC418" s="2">
        <v>-2.095269468078308E-2</v>
      </c>
      <c r="BD418" s="2">
        <v>-0.38248368897839508</v>
      </c>
      <c r="BE418" s="2">
        <v>-0.24554978363491625</v>
      </c>
      <c r="BG418" s="2">
        <f t="shared" si="63"/>
        <v>0.17303571465875067</v>
      </c>
      <c r="BH418" s="2">
        <f t="shared" si="57"/>
        <v>-0.1713054754599648</v>
      </c>
      <c r="BI418" s="2">
        <f t="shared" si="58"/>
        <v>8.6030900293437573E-2</v>
      </c>
    </row>
    <row r="419" spans="6:61" x14ac:dyDescent="0.3">
      <c r="F419" s="31">
        <v>1981.4166666680501</v>
      </c>
      <c r="G419" s="2">
        <v>0.98453696021044435</v>
      </c>
      <c r="H419" s="2">
        <v>0.24599999999999944</v>
      </c>
      <c r="I419" s="2">
        <v>0.26335580087098293</v>
      </c>
      <c r="K419" s="31">
        <v>1981.4166666680501</v>
      </c>
      <c r="L419" s="2">
        <v>0.97651058009550651</v>
      </c>
      <c r="M419" s="2">
        <v>0.21532499999999988</v>
      </c>
      <c r="N419" s="2">
        <v>0.1633552531753994</v>
      </c>
      <c r="P419" s="31">
        <v>1981.4166666680501</v>
      </c>
      <c r="Q419" s="2">
        <v>0.67061730130867536</v>
      </c>
      <c r="R419" s="2">
        <v>0.14380000000000059</v>
      </c>
      <c r="S419" s="2">
        <v>5.9094953190717232E-2</v>
      </c>
      <c r="U419" s="2">
        <f t="shared" si="59"/>
        <v>0.87722161387154207</v>
      </c>
      <c r="V419" s="2">
        <f t="shared" si="60"/>
        <v>0.2017083333333333</v>
      </c>
      <c r="W419" s="2">
        <f t="shared" si="61"/>
        <v>0.16193533574569985</v>
      </c>
      <c r="Y419" s="31">
        <v>1981.4166666680501</v>
      </c>
      <c r="Z419" s="2">
        <v>1.4545107130063979</v>
      </c>
      <c r="AA419" s="2">
        <v>2.8140144362030615</v>
      </c>
      <c r="AB419" s="2">
        <v>4.3307471815860659</v>
      </c>
      <c r="AD419" s="31">
        <v>1981.4166666680501</v>
      </c>
      <c r="AE419" s="2">
        <v>0.99525405160787084</v>
      </c>
      <c r="AF419" s="2">
        <v>3.0807308761197345</v>
      </c>
      <c r="AG419" s="2">
        <v>3.9267983071250701</v>
      </c>
      <c r="AH419" s="31"/>
      <c r="AI419" s="31">
        <v>1981.4166666680501</v>
      </c>
      <c r="AJ419" s="2">
        <v>0.95037071285573771</v>
      </c>
      <c r="AK419" s="2">
        <v>1.0985970730109507</v>
      </c>
      <c r="AL419" s="2">
        <v>1.1472166422364085</v>
      </c>
      <c r="AM419" s="31"/>
      <c r="AN419" s="2">
        <f t="shared" si="62"/>
        <v>1.1333784924900021</v>
      </c>
      <c r="AO419" s="2">
        <f t="shared" si="55"/>
        <v>2.331114128444582</v>
      </c>
      <c r="AP419" s="2">
        <f t="shared" si="56"/>
        <v>3.1349207103158481</v>
      </c>
      <c r="AQ419" s="31"/>
      <c r="AR419" s="31">
        <v>1981.4166666680501</v>
      </c>
      <c r="AS419" s="2">
        <v>0.82752707120893876</v>
      </c>
      <c r="AT419" s="2">
        <v>1.6401497265564993</v>
      </c>
      <c r="AU419" s="2">
        <v>2.3513805702833079</v>
      </c>
      <c r="AV419" s="31"/>
      <c r="AW419" s="31">
        <v>1981.4166666680501</v>
      </c>
      <c r="AX419" s="2">
        <v>0.57776666427314116</v>
      </c>
      <c r="AY419" s="2">
        <v>1.516775816494035</v>
      </c>
      <c r="AZ419" s="2">
        <v>2.0957979724744349</v>
      </c>
      <c r="BA419" s="31"/>
      <c r="BB419" s="31">
        <v>1981.4166666680501</v>
      </c>
      <c r="BC419" s="2">
        <v>0.24709433265368033</v>
      </c>
      <c r="BD419" s="2">
        <v>-0.3489924073651578</v>
      </c>
      <c r="BE419" s="2">
        <v>0.28325099670311821</v>
      </c>
      <c r="BG419" s="2">
        <f t="shared" si="63"/>
        <v>0.55079602271192007</v>
      </c>
      <c r="BH419" s="2">
        <f t="shared" si="57"/>
        <v>0.93597771189512546</v>
      </c>
      <c r="BI419" s="2">
        <f t="shared" si="58"/>
        <v>1.5768098464869535</v>
      </c>
    </row>
    <row r="420" spans="6:61" x14ac:dyDescent="0.3">
      <c r="F420" s="31">
        <v>1981.33333333472</v>
      </c>
      <c r="G420" s="2">
        <v>0.92437250174770136</v>
      </c>
      <c r="H420" s="2">
        <v>0.24599999999999944</v>
      </c>
      <c r="I420" s="2">
        <v>0.25021033278097582</v>
      </c>
      <c r="K420" s="31">
        <v>1981.33333333472</v>
      </c>
      <c r="L420" s="2">
        <v>0.77868965176659555</v>
      </c>
      <c r="M420" s="2">
        <v>0.18455999999999989</v>
      </c>
      <c r="N420" s="2">
        <v>0.10398625109712761</v>
      </c>
      <c r="P420" s="31">
        <v>1981.33333333472</v>
      </c>
      <c r="Q420" s="2">
        <v>0.62939619986165329</v>
      </c>
      <c r="R420" s="2">
        <v>0.11985000000000046</v>
      </c>
      <c r="S420" s="2">
        <v>5.3317798247592391E-2</v>
      </c>
      <c r="U420" s="2">
        <f t="shared" si="59"/>
        <v>0.7774861177919834</v>
      </c>
      <c r="V420" s="2">
        <f t="shared" si="60"/>
        <v>0.18346999999999994</v>
      </c>
      <c r="W420" s="2">
        <f t="shared" si="61"/>
        <v>0.13583812737523193</v>
      </c>
      <c r="Y420" s="31">
        <v>1981.33333333472</v>
      </c>
      <c r="Z420" s="2">
        <v>1.105672598736086</v>
      </c>
      <c r="AA420" s="2">
        <v>2.8140144362030615</v>
      </c>
      <c r="AB420" s="2">
        <v>4.0282142365168063</v>
      </c>
      <c r="AD420" s="31">
        <v>1981.33333333472</v>
      </c>
      <c r="AE420" s="2">
        <v>-0.18193015915748595</v>
      </c>
      <c r="AF420" s="2">
        <v>2.3272667797927116</v>
      </c>
      <c r="AG420" s="2">
        <v>1.6693032577030469</v>
      </c>
      <c r="AH420" s="31"/>
      <c r="AI420" s="31">
        <v>1981.33333333472</v>
      </c>
      <c r="AJ420" s="2">
        <v>0.46773969029586576</v>
      </c>
      <c r="AK420" s="2">
        <v>0.52786786379629969</v>
      </c>
      <c r="AL420" s="2">
        <v>0.68031931651761979</v>
      </c>
      <c r="AM420" s="31"/>
      <c r="AN420" s="2">
        <f t="shared" si="62"/>
        <v>0.46382737662482193</v>
      </c>
      <c r="AO420" s="2">
        <f t="shared" si="55"/>
        <v>1.8897163599306908</v>
      </c>
      <c r="AP420" s="2">
        <f t="shared" si="56"/>
        <v>2.1259456035791575</v>
      </c>
      <c r="AQ420" s="31"/>
      <c r="AR420" s="31">
        <v>1981.33333333472</v>
      </c>
      <c r="AS420" s="2">
        <v>1.1058091685972804</v>
      </c>
      <c r="AT420" s="2">
        <v>1.801092953495349</v>
      </c>
      <c r="AU420" s="2">
        <v>3.2141401583201161</v>
      </c>
      <c r="AV420" s="31"/>
      <c r="AW420" s="31">
        <v>1981.33333333472</v>
      </c>
      <c r="AX420" s="2">
        <v>-0.32214980985638753</v>
      </c>
      <c r="AY420" s="2">
        <v>1.3963274483272827</v>
      </c>
      <c r="AZ420" s="2">
        <v>0.83714021988975829</v>
      </c>
      <c r="BA420" s="31"/>
      <c r="BB420" s="31">
        <v>1981.33333333472</v>
      </c>
      <c r="BC420" s="2">
        <v>0.2643504907227871</v>
      </c>
      <c r="BD420" s="2">
        <v>-0.17689465171325883</v>
      </c>
      <c r="BE420" s="2">
        <v>0.3362381087075858</v>
      </c>
      <c r="BG420" s="2">
        <f t="shared" si="63"/>
        <v>0.34933661648789333</v>
      </c>
      <c r="BH420" s="2">
        <f t="shared" si="57"/>
        <v>1.0068419167031244</v>
      </c>
      <c r="BI420" s="2">
        <f t="shared" si="58"/>
        <v>1.46250616230582</v>
      </c>
    </row>
    <row r="421" spans="6:61" x14ac:dyDescent="0.3">
      <c r="F421" s="31">
        <v>1981.2500000013899</v>
      </c>
      <c r="G421" s="2">
        <v>0.95168056901356812</v>
      </c>
      <c r="H421" s="2">
        <v>0.24599999999999944</v>
      </c>
      <c r="I421" s="2">
        <v>0.25712752037064646</v>
      </c>
      <c r="K421" s="31">
        <v>1981.2500000013899</v>
      </c>
      <c r="L421" s="2">
        <v>0.72795339053455566</v>
      </c>
      <c r="M421" s="2">
        <v>0.21532499999999988</v>
      </c>
      <c r="N421" s="2">
        <v>0.12431612278644158</v>
      </c>
      <c r="P421" s="31">
        <v>1981.2500000013899</v>
      </c>
      <c r="Q421" s="2">
        <v>0.59884729424465188</v>
      </c>
      <c r="R421" s="2">
        <v>0.14380000000000059</v>
      </c>
      <c r="S421" s="2">
        <v>4.6723363384825564E-2</v>
      </c>
      <c r="U421" s="2">
        <f t="shared" si="59"/>
        <v>0.75949375126425844</v>
      </c>
      <c r="V421" s="2">
        <f t="shared" si="60"/>
        <v>0.2017083333333333</v>
      </c>
      <c r="W421" s="2">
        <f t="shared" si="61"/>
        <v>0.1427223355139712</v>
      </c>
      <c r="Y421" s="31">
        <v>1981.2500000013899</v>
      </c>
      <c r="Z421" s="2">
        <v>1.2640068534238575</v>
      </c>
      <c r="AA421" s="2">
        <v>2.8140144362030615</v>
      </c>
      <c r="AB421" s="2">
        <v>4.1874080452705931</v>
      </c>
      <c r="AD421" s="31">
        <v>1981.2500000013899</v>
      </c>
      <c r="AE421" s="2">
        <v>-0.48384930461978676</v>
      </c>
      <c r="AF421" s="2">
        <v>3.0807308761197345</v>
      </c>
      <c r="AG421" s="2">
        <v>2.4423427747477167</v>
      </c>
      <c r="AH421" s="31"/>
      <c r="AI421" s="31">
        <v>1981.2500000013899</v>
      </c>
      <c r="AJ421" s="2">
        <v>-0.11437323195298486</v>
      </c>
      <c r="AK421" s="2">
        <v>1.0985970730109507</v>
      </c>
      <c r="AL421" s="2">
        <v>0.14737117294797547</v>
      </c>
      <c r="AM421" s="31"/>
      <c r="AN421" s="2">
        <f t="shared" si="62"/>
        <v>0.22192810561702866</v>
      </c>
      <c r="AO421" s="2">
        <f t="shared" si="55"/>
        <v>2.331114128444582</v>
      </c>
      <c r="AP421" s="2">
        <f t="shared" si="56"/>
        <v>2.2590406643220953</v>
      </c>
      <c r="AQ421" s="31"/>
      <c r="AR421" s="31">
        <v>1981.2500000013899</v>
      </c>
      <c r="AS421" s="2">
        <v>1.7235775588430566</v>
      </c>
      <c r="AT421" s="2">
        <v>1.9841392062377619</v>
      </c>
      <c r="AU421" s="2">
        <v>3.6845648771545698</v>
      </c>
      <c r="AV421" s="31"/>
      <c r="AW421" s="31">
        <v>1981.2500000013899</v>
      </c>
      <c r="AX421" s="2">
        <v>-0.43584251368256943</v>
      </c>
      <c r="AY421" s="2">
        <v>1.9396687753389275</v>
      </c>
      <c r="AZ421" s="2">
        <v>1.2147902079074135</v>
      </c>
      <c r="BA421" s="31"/>
      <c r="BB421" s="31">
        <v>1981.2500000013899</v>
      </c>
      <c r="BC421" s="2">
        <v>0.16814283315168302</v>
      </c>
      <c r="BD421" s="2">
        <v>3.3388824798885192E-2</v>
      </c>
      <c r="BE421" s="2">
        <v>0.19214146433792756</v>
      </c>
      <c r="BG421" s="2">
        <f t="shared" si="63"/>
        <v>0.48529262610405671</v>
      </c>
      <c r="BH421" s="2">
        <f t="shared" si="57"/>
        <v>1.3190656021251914</v>
      </c>
      <c r="BI421" s="2">
        <f t="shared" si="58"/>
        <v>1.6971655164666368</v>
      </c>
    </row>
    <row r="422" spans="6:61" x14ac:dyDescent="0.3">
      <c r="F422" s="31">
        <v>1981.1666666680601</v>
      </c>
      <c r="G422" s="2">
        <v>0.94628075852148197</v>
      </c>
      <c r="H422" s="2">
        <v>0.24599999999999944</v>
      </c>
      <c r="I422" s="2">
        <v>0.25691002298365856</v>
      </c>
      <c r="K422" s="31">
        <v>1981.1666666680601</v>
      </c>
      <c r="L422" s="2">
        <v>0.69744901951620919</v>
      </c>
      <c r="M422" s="2">
        <v>0.18455999999999989</v>
      </c>
      <c r="N422" s="2">
        <v>0.10794409541625437</v>
      </c>
      <c r="P422" s="31">
        <v>1981.1666666680601</v>
      </c>
      <c r="Q422" s="2">
        <v>0.58011605233562136</v>
      </c>
      <c r="R422" s="2">
        <v>0.11985000000000046</v>
      </c>
      <c r="S422" s="2">
        <v>4.260830948961436E-2</v>
      </c>
      <c r="U422" s="2">
        <f t="shared" si="59"/>
        <v>0.74128194345777088</v>
      </c>
      <c r="V422" s="2">
        <f t="shared" si="60"/>
        <v>0.18346999999999994</v>
      </c>
      <c r="W422" s="2">
        <f t="shared" si="61"/>
        <v>0.13582080929650911</v>
      </c>
      <c r="Y422" s="31">
        <v>1981.1666666680601</v>
      </c>
      <c r="Z422" s="2">
        <v>1.2326983407636323</v>
      </c>
      <c r="AA422" s="2">
        <v>2.8140144362030615</v>
      </c>
      <c r="AB422" s="2">
        <v>4.182402508413344</v>
      </c>
      <c r="AD422" s="31">
        <v>1981.1666666680601</v>
      </c>
      <c r="AE422" s="2">
        <v>-0.66537339423694064</v>
      </c>
      <c r="AF422" s="2">
        <v>2.3272667797927116</v>
      </c>
      <c r="AG422" s="2">
        <v>1.8197995376477918</v>
      </c>
      <c r="AH422" s="31"/>
      <c r="AI422" s="31">
        <v>1981.1666666680601</v>
      </c>
      <c r="AJ422" s="2">
        <v>-0.49612423781232357</v>
      </c>
      <c r="AK422" s="2">
        <v>0.52786786379629969</v>
      </c>
      <c r="AL422" s="2">
        <v>-0.18519869540033085</v>
      </c>
      <c r="AM422" s="31"/>
      <c r="AN422" s="2">
        <f t="shared" si="62"/>
        <v>2.3733569571456004E-2</v>
      </c>
      <c r="AO422" s="2">
        <f t="shared" si="55"/>
        <v>1.8897163599306908</v>
      </c>
      <c r="AP422" s="2">
        <f t="shared" si="56"/>
        <v>1.939001116886935</v>
      </c>
      <c r="AQ422" s="31"/>
      <c r="AR422" s="31">
        <v>1981.1666666680601</v>
      </c>
      <c r="AS422" s="2">
        <v>1.7851766899354917</v>
      </c>
      <c r="AT422" s="2">
        <v>2.0747602001024976</v>
      </c>
      <c r="AU422" s="2">
        <v>4.0890427008453454</v>
      </c>
      <c r="AV422" s="31"/>
      <c r="AW422" s="31">
        <v>1981.1666666680601</v>
      </c>
      <c r="AX422" s="2">
        <v>-0.47268065595975078</v>
      </c>
      <c r="AY422" s="2">
        <v>1.5380286832845118</v>
      </c>
      <c r="AZ422" s="2">
        <v>1.2727722284991034</v>
      </c>
      <c r="BA422" s="31"/>
      <c r="BB422" s="31">
        <v>1981.1666666680601</v>
      </c>
      <c r="BC422" s="2">
        <v>8.9485907988470031E-2</v>
      </c>
      <c r="BD422" s="2">
        <v>0.30997808578706199</v>
      </c>
      <c r="BE422" s="2">
        <v>0.28551532152824582</v>
      </c>
      <c r="BG422" s="2">
        <f t="shared" si="63"/>
        <v>0.46732731398807031</v>
      </c>
      <c r="BH422" s="2">
        <f t="shared" si="57"/>
        <v>1.3075889897246904</v>
      </c>
      <c r="BI422" s="2">
        <f t="shared" si="58"/>
        <v>1.8824434169575648</v>
      </c>
    </row>
    <row r="423" spans="6:61" x14ac:dyDescent="0.3">
      <c r="F423" s="31">
        <v>1981.08333333473</v>
      </c>
      <c r="G423" s="2">
        <v>0.85822906366223606</v>
      </c>
      <c r="H423" s="2">
        <v>6.1499999999999846E-2</v>
      </c>
      <c r="I423" s="2">
        <v>5.2781087415227398E-2</v>
      </c>
      <c r="K423" s="31">
        <v>1981.08333333473</v>
      </c>
      <c r="L423" s="2">
        <v>0.67117149448487456</v>
      </c>
      <c r="M423" s="2">
        <v>6.1514999999999952E-2</v>
      </c>
      <c r="N423" s="2">
        <v>4.1287906841330851E-2</v>
      </c>
      <c r="P423" s="31">
        <v>1981.08333333473</v>
      </c>
      <c r="Q423" s="2">
        <v>0.57423826192078653</v>
      </c>
      <c r="R423" s="2">
        <v>7.1900000000000297E-2</v>
      </c>
      <c r="S423" s="2">
        <v>4.1113664294942079E-2</v>
      </c>
      <c r="U423" s="2">
        <f t="shared" si="59"/>
        <v>0.70121294002263246</v>
      </c>
      <c r="V423" s="2">
        <f t="shared" si="60"/>
        <v>6.4971666666666705E-2</v>
      </c>
      <c r="W423" s="2">
        <f t="shared" si="61"/>
        <v>4.5060886183833443E-2</v>
      </c>
      <c r="Y423" s="31">
        <v>1981.08333333473</v>
      </c>
      <c r="Z423" s="2">
        <v>0.72216790505755668</v>
      </c>
      <c r="AA423" s="2">
        <v>-0.78876452892998183</v>
      </c>
      <c r="AB423" s="2">
        <v>-0.51546961211737374</v>
      </c>
      <c r="AD423" s="31">
        <v>1981.08333333473</v>
      </c>
      <c r="AE423" s="2">
        <v>-0.82174455186009343</v>
      </c>
      <c r="AF423" s="2">
        <v>-0.68622224125583742</v>
      </c>
      <c r="AG423" s="2">
        <v>-0.71478939687470322</v>
      </c>
      <c r="AH423" s="31"/>
      <c r="AI423" s="31">
        <v>1981.08333333473</v>
      </c>
      <c r="AJ423" s="2">
        <v>-0.62291254923940886</v>
      </c>
      <c r="AK423" s="2">
        <v>-0.61478205611361436</v>
      </c>
      <c r="AL423" s="2">
        <v>-0.30599272830426127</v>
      </c>
      <c r="AM423" s="31"/>
      <c r="AN423" s="2">
        <f t="shared" si="62"/>
        <v>-0.24082973201398192</v>
      </c>
      <c r="AO423" s="2">
        <f t="shared" si="55"/>
        <v>-0.69658960876647791</v>
      </c>
      <c r="AP423" s="2">
        <f t="shared" si="56"/>
        <v>-0.51208391243211271</v>
      </c>
      <c r="AQ423" s="31"/>
      <c r="AR423" s="31">
        <v>1981.08333333473</v>
      </c>
      <c r="AS423" s="2">
        <v>1.7714000271110288</v>
      </c>
      <c r="AT423" s="2">
        <v>-0.93050162247170598</v>
      </c>
      <c r="AU423" s="2">
        <v>5.7597919436330795E-2</v>
      </c>
      <c r="AV423" s="31"/>
      <c r="AW423" s="31">
        <v>1981.08333333473</v>
      </c>
      <c r="AX423" s="2">
        <v>-0.55296397861194124</v>
      </c>
      <c r="AY423" s="2">
        <v>-0.87038484719517628</v>
      </c>
      <c r="AZ423" s="2">
        <v>-0.89734556061841708</v>
      </c>
      <c r="BA423" s="31"/>
      <c r="BB423" s="31">
        <v>1981.08333333473</v>
      </c>
      <c r="BC423" s="2">
        <v>6.379156685573463E-2</v>
      </c>
      <c r="BD423" s="2">
        <v>-0.95760573293009554</v>
      </c>
      <c r="BE423" s="2">
        <v>7.2818655985323069E-2</v>
      </c>
      <c r="BG423" s="2">
        <f t="shared" si="63"/>
        <v>0.42740920511827407</v>
      </c>
      <c r="BH423" s="2">
        <f t="shared" si="57"/>
        <v>-0.91949740086565923</v>
      </c>
      <c r="BI423" s="2">
        <f t="shared" si="58"/>
        <v>-0.25564299506558774</v>
      </c>
    </row>
    <row r="424" spans="6:61" x14ac:dyDescent="0.3">
      <c r="F424" s="31">
        <v>1981.0000000013999</v>
      </c>
      <c r="G424" s="2">
        <v>0.52765929127993694</v>
      </c>
      <c r="H424" s="2">
        <v>6.1499999999999798E-2</v>
      </c>
      <c r="I424" s="2">
        <v>3.2451046413716017E-2</v>
      </c>
      <c r="K424" s="31">
        <v>1981.0000000013999</v>
      </c>
      <c r="L424" s="2">
        <v>0.68555398167214832</v>
      </c>
      <c r="M424" s="2">
        <v>6.1514999999999952E-2</v>
      </c>
      <c r="N424" s="2">
        <v>4.2172513262780764E-2</v>
      </c>
      <c r="P424" s="31">
        <v>1981.0000000013999</v>
      </c>
      <c r="Q424" s="2">
        <v>0.63409777257129629</v>
      </c>
      <c r="R424" s="2">
        <v>4.7900000000000303E-2</v>
      </c>
      <c r="S424" s="2">
        <v>2.7853864905533196E-2</v>
      </c>
      <c r="U424" s="2">
        <f t="shared" si="59"/>
        <v>0.61577034850779377</v>
      </c>
      <c r="V424" s="2">
        <f t="shared" si="60"/>
        <v>5.6971666666666691E-2</v>
      </c>
      <c r="W424" s="2">
        <f t="shared" si="61"/>
        <v>3.4159141527343326E-2</v>
      </c>
      <c r="Y424" s="31">
        <v>1981.0000000013999</v>
      </c>
      <c r="Z424" s="2">
        <v>-1.194500822277816</v>
      </c>
      <c r="AA424" s="2">
        <v>-0.78876452892998272</v>
      </c>
      <c r="AB424" s="2">
        <v>-0.98335003565600099</v>
      </c>
      <c r="AD424" s="31">
        <v>1981.0000000013999</v>
      </c>
      <c r="AE424" s="2">
        <v>-0.73615787015044487</v>
      </c>
      <c r="AF424" s="2">
        <v>-0.68622224125583742</v>
      </c>
      <c r="AG424" s="2">
        <v>-0.68115240539424549</v>
      </c>
      <c r="AH424" s="31"/>
      <c r="AI424" s="31">
        <v>1981.0000000013999</v>
      </c>
      <c r="AJ424" s="2">
        <v>-0.56105748613618922</v>
      </c>
      <c r="AK424" s="2">
        <v>-1.186702766808877</v>
      </c>
      <c r="AL424" s="2">
        <v>-1.3776213994116981</v>
      </c>
      <c r="AM424" s="31"/>
      <c r="AN424" s="2">
        <f t="shared" si="62"/>
        <v>-0.83057205952148327</v>
      </c>
      <c r="AO424" s="2">
        <f t="shared" si="55"/>
        <v>-0.88722984566489904</v>
      </c>
      <c r="AP424" s="2">
        <f t="shared" si="56"/>
        <v>-1.0140412801539815</v>
      </c>
      <c r="AQ424" s="31"/>
      <c r="AR424" s="31">
        <v>1981.0000000013999</v>
      </c>
      <c r="AS424" s="2">
        <v>-0.58004406419030774</v>
      </c>
      <c r="AT424" s="2">
        <v>-0.29853293598826797</v>
      </c>
      <c r="AU424" s="2">
        <v>-0.75062438151900646</v>
      </c>
      <c r="AV424" s="31"/>
      <c r="AW424" s="31">
        <v>1981.0000000013999</v>
      </c>
      <c r="AX424" s="2">
        <v>-0.32042511188896744</v>
      </c>
      <c r="AY424" s="2">
        <v>-0.21981065223360952</v>
      </c>
      <c r="AZ424" s="2">
        <v>-0.37448767077593687</v>
      </c>
      <c r="BA424" s="31"/>
      <c r="BB424" s="31">
        <v>1981.0000000013999</v>
      </c>
      <c r="BC424" s="2">
        <v>4.3765569951129162E-4</v>
      </c>
      <c r="BD424" s="2">
        <v>-0.94501805984887022</v>
      </c>
      <c r="BE424" s="2">
        <v>-0.71506275942889297</v>
      </c>
      <c r="BG424" s="2">
        <f t="shared" si="63"/>
        <v>-0.30001050679325464</v>
      </c>
      <c r="BH424" s="2">
        <f t="shared" si="57"/>
        <v>-0.48778721602358255</v>
      </c>
      <c r="BI424" s="2">
        <f t="shared" si="58"/>
        <v>-0.61339160390794545</v>
      </c>
    </row>
    <row r="425" spans="6:61" x14ac:dyDescent="0.3">
      <c r="F425" s="31">
        <v>1980.9166666680701</v>
      </c>
      <c r="G425" s="2">
        <v>0.87993165597863099</v>
      </c>
      <c r="H425" s="2">
        <v>6.1499999999999846E-2</v>
      </c>
      <c r="I425" s="2">
        <v>5.41157968426857E-2</v>
      </c>
      <c r="K425" s="31">
        <v>1980.9166666680701</v>
      </c>
      <c r="L425" s="2">
        <v>0.70054680604426411</v>
      </c>
      <c r="M425" s="2">
        <v>6.1514999999999952E-2</v>
      </c>
      <c r="N425" s="2">
        <v>4.3094659245483988E-2</v>
      </c>
      <c r="P425" s="31">
        <v>1980.9166666680701</v>
      </c>
      <c r="Q425" s="2">
        <v>0.75502887787854056</v>
      </c>
      <c r="R425" s="2">
        <v>7.1900000000000297E-2</v>
      </c>
      <c r="S425" s="2">
        <v>4.4791058367375555E-2</v>
      </c>
      <c r="U425" s="2">
        <f t="shared" si="59"/>
        <v>0.77850244663381185</v>
      </c>
      <c r="V425" s="2">
        <f t="shared" si="60"/>
        <v>6.4971666666666705E-2</v>
      </c>
      <c r="W425" s="2">
        <f t="shared" si="61"/>
        <v>4.7333838151848412E-2</v>
      </c>
      <c r="Y425" s="31">
        <v>1980.9166666680701</v>
      </c>
      <c r="Z425" s="2">
        <v>0.84800118889101361</v>
      </c>
      <c r="AA425" s="2">
        <v>-0.78876452892998183</v>
      </c>
      <c r="AB425" s="2">
        <v>-0.48475229028935762</v>
      </c>
      <c r="AD425" s="31">
        <v>1980.9166666680701</v>
      </c>
      <c r="AE425" s="2">
        <v>-0.6469392203608344</v>
      </c>
      <c r="AF425" s="2">
        <v>-0.68622224125583742</v>
      </c>
      <c r="AG425" s="2">
        <v>-0.64608797921351935</v>
      </c>
      <c r="AH425" s="31"/>
      <c r="AI425" s="31">
        <v>1980.9166666680701</v>
      </c>
      <c r="AJ425" s="2">
        <v>-0.30580183663799876</v>
      </c>
      <c r="AK425" s="2">
        <v>-0.61478205611361436</v>
      </c>
      <c r="AL425" s="2">
        <v>-8.7935922352855335E-3</v>
      </c>
      <c r="AM425" s="31"/>
      <c r="AN425" s="2">
        <f t="shared" si="62"/>
        <v>-3.4913289369273182E-2</v>
      </c>
      <c r="AO425" s="2">
        <f t="shared" si="55"/>
        <v>-0.69658960876647791</v>
      </c>
      <c r="AP425" s="2">
        <f t="shared" si="56"/>
        <v>-0.37987795391272083</v>
      </c>
      <c r="AQ425" s="31"/>
      <c r="AR425" s="31">
        <v>1980.9166666680701</v>
      </c>
      <c r="AS425" s="2">
        <v>1.2280326386784237</v>
      </c>
      <c r="AT425" s="2">
        <v>-0.68444756444045252</v>
      </c>
      <c r="AU425" s="2">
        <v>7.5896497762640985E-2</v>
      </c>
      <c r="AV425" s="31"/>
      <c r="AW425" s="31">
        <v>1980.9166666680701</v>
      </c>
      <c r="AX425" s="2">
        <v>-0.38268373718258436</v>
      </c>
      <c r="AY425" s="2">
        <v>-0.51751295497595129</v>
      </c>
      <c r="AZ425" s="2">
        <v>-0.48550146317419829</v>
      </c>
      <c r="BA425" s="31"/>
      <c r="BB425" s="31">
        <v>1980.9166666680701</v>
      </c>
      <c r="BC425" s="2">
        <v>0.11948246124458062</v>
      </c>
      <c r="BD425" s="2">
        <v>-0.44318112469553572</v>
      </c>
      <c r="BE425" s="2">
        <v>0.35284621403302585</v>
      </c>
      <c r="BG425" s="2">
        <f t="shared" si="63"/>
        <v>0.32161045424680662</v>
      </c>
      <c r="BH425" s="2">
        <f t="shared" si="57"/>
        <v>-0.54838054803731318</v>
      </c>
      <c r="BI425" s="2">
        <f t="shared" si="58"/>
        <v>-1.8919583792843819E-2</v>
      </c>
    </row>
    <row r="426" spans="6:61" x14ac:dyDescent="0.3">
      <c r="F426" s="31">
        <v>1980.83333333474</v>
      </c>
      <c r="G426" s="2">
        <v>0.54234178035181191</v>
      </c>
      <c r="H426" s="2">
        <v>6.1499999999999798E-2</v>
      </c>
      <c r="I426" s="2">
        <v>3.3354019491636321E-2</v>
      </c>
      <c r="K426" s="31">
        <v>1980.83333333474</v>
      </c>
      <c r="L426" s="2">
        <v>0.69059310011158537</v>
      </c>
      <c r="M426" s="2">
        <v>6.1499999999999902E-2</v>
      </c>
      <c r="N426" s="2">
        <v>4.2471475656862434E-2</v>
      </c>
      <c r="P426" s="31">
        <v>1980.83333333474</v>
      </c>
      <c r="Q426" s="2">
        <v>0.90063919935896974</v>
      </c>
      <c r="R426" s="2">
        <v>4.7900000000000303E-2</v>
      </c>
      <c r="S426" s="2">
        <v>3.1973774903329907E-2</v>
      </c>
      <c r="U426" s="2">
        <f t="shared" si="59"/>
        <v>0.71119135994078908</v>
      </c>
      <c r="V426" s="2">
        <f t="shared" si="60"/>
        <v>5.6966666666666665E-2</v>
      </c>
      <c r="W426" s="2">
        <f t="shared" si="61"/>
        <v>3.5933090017276216E-2</v>
      </c>
      <c r="Y426" s="31">
        <v>1980.83333333474</v>
      </c>
      <c r="Z426" s="2">
        <v>-1.1093706319379655</v>
      </c>
      <c r="AA426" s="2">
        <v>-0.78876452892998272</v>
      </c>
      <c r="AB426" s="2">
        <v>-0.96256879738353895</v>
      </c>
      <c r="AD426" s="31">
        <v>1980.83333333474</v>
      </c>
      <c r="AE426" s="2">
        <v>-0.70617130243391413</v>
      </c>
      <c r="AF426" s="2">
        <v>-0.68658960551538373</v>
      </c>
      <c r="AG426" s="2">
        <v>-0.6697844170337045</v>
      </c>
      <c r="AH426" s="31"/>
      <c r="AI426" s="31">
        <v>1980.83333333474</v>
      </c>
      <c r="AJ426" s="2">
        <v>-2.4010748803736471E-4</v>
      </c>
      <c r="AK426" s="2">
        <v>-1.186702766808877</v>
      </c>
      <c r="AL426" s="2">
        <v>-1.0446590712223609</v>
      </c>
      <c r="AM426" s="31"/>
      <c r="AN426" s="2">
        <f t="shared" si="62"/>
        <v>-0.60526068061997229</v>
      </c>
      <c r="AO426" s="2">
        <f t="shared" si="55"/>
        <v>-0.88735230041808111</v>
      </c>
      <c r="AP426" s="2">
        <f t="shared" si="56"/>
        <v>-0.89233742854653475</v>
      </c>
      <c r="AQ426" s="31"/>
      <c r="AR426" s="31">
        <v>1980.83333333474</v>
      </c>
      <c r="AS426" s="2">
        <v>-0.6305350978618055</v>
      </c>
      <c r="AT426" s="2">
        <v>-0.2854929317171821</v>
      </c>
      <c r="AU426" s="2">
        <v>-0.76608201457594682</v>
      </c>
      <c r="AV426" s="31"/>
      <c r="AW426" s="31">
        <v>1980.83333333474</v>
      </c>
      <c r="AX426" s="2">
        <v>-0.31854233388073361</v>
      </c>
      <c r="AY426" s="2">
        <v>-0.19208961378086201</v>
      </c>
      <c r="AZ426" s="2">
        <v>-0.34979351282111509</v>
      </c>
      <c r="BA426" s="31"/>
      <c r="BB426" s="31">
        <v>1980.83333333474</v>
      </c>
      <c r="BC426" s="2">
        <v>7.8910687351325642E-2</v>
      </c>
      <c r="BD426" s="2">
        <v>-0.86039420085980967</v>
      </c>
      <c r="BE426" s="2">
        <v>-0.51032077431704503</v>
      </c>
      <c r="BG426" s="2">
        <f t="shared" si="63"/>
        <v>-0.29005558146373783</v>
      </c>
      <c r="BH426" s="2">
        <f t="shared" si="57"/>
        <v>-0.44599224878595128</v>
      </c>
      <c r="BI426" s="2">
        <f t="shared" si="58"/>
        <v>-0.5420654339047023</v>
      </c>
    </row>
    <row r="427" spans="6:61" x14ac:dyDescent="0.3">
      <c r="F427" s="31">
        <v>1980.7500000014099</v>
      </c>
      <c r="G427" s="2">
        <v>0.90550075631575511</v>
      </c>
      <c r="H427" s="2">
        <v>6.1499999999999846E-2</v>
      </c>
      <c r="I427" s="2">
        <v>5.5688296513418827E-2</v>
      </c>
      <c r="K427" s="31">
        <v>1980.7500000014099</v>
      </c>
      <c r="L427" s="2">
        <v>0.72394245927779988</v>
      </c>
      <c r="M427" s="2">
        <v>6.1514999999999952E-2</v>
      </c>
      <c r="N427" s="2">
        <v>4.4533450569143068E-2</v>
      </c>
      <c r="P427" s="31">
        <v>1980.7500000014099</v>
      </c>
      <c r="Q427" s="2">
        <v>0.94514282012787998</v>
      </c>
      <c r="R427" s="2">
        <v>4.7900000000000303E-2</v>
      </c>
      <c r="S427" s="2">
        <v>3.5215171532551735E-2</v>
      </c>
      <c r="U427" s="2">
        <f t="shared" si="59"/>
        <v>0.85819534524047825</v>
      </c>
      <c r="V427" s="2">
        <f t="shared" si="60"/>
        <v>5.6971666666666698E-2</v>
      </c>
      <c r="W427" s="2">
        <f t="shared" si="61"/>
        <v>4.5145639538371217E-2</v>
      </c>
      <c r="Y427" s="31">
        <v>1980.7500000014099</v>
      </c>
      <c r="Z427" s="2">
        <v>0.99625278082903779</v>
      </c>
      <c r="AA427" s="2">
        <v>-0.78876452892998183</v>
      </c>
      <c r="AB427" s="2">
        <v>-0.44856240695846467</v>
      </c>
      <c r="AD427" s="31">
        <v>1980.7500000014099</v>
      </c>
      <c r="AE427" s="2">
        <v>-0.50771738059033156</v>
      </c>
      <c r="AF427" s="2">
        <v>-0.68622224125583742</v>
      </c>
      <c r="AG427" s="2">
        <v>-0.59137821188360029</v>
      </c>
      <c r="AH427" s="31"/>
      <c r="AI427" s="31">
        <v>1980.7500000014099</v>
      </c>
      <c r="AJ427" s="2">
        <v>0.44099078389825574</v>
      </c>
      <c r="AK427" s="2">
        <v>-1.186702766808877</v>
      </c>
      <c r="AL427" s="2">
        <v>-0.78269631746610202</v>
      </c>
      <c r="AM427" s="31"/>
      <c r="AN427" s="2">
        <f t="shared" si="62"/>
        <v>0.30984206137898734</v>
      </c>
      <c r="AO427" s="2">
        <f t="shared" si="55"/>
        <v>-0.88722984566489871</v>
      </c>
      <c r="AP427" s="2">
        <f t="shared" si="56"/>
        <v>-0.6075456454360556</v>
      </c>
      <c r="AQ427" s="31"/>
      <c r="AR427" s="31">
        <v>1980.7500000014099</v>
      </c>
      <c r="AS427" s="2">
        <v>1.1295746223634591</v>
      </c>
      <c r="AT427" s="2">
        <v>-0.6766476141944503</v>
      </c>
      <c r="AU427" s="2">
        <v>-2.7584997148237624E-2</v>
      </c>
      <c r="AV427" s="31"/>
      <c r="AW427" s="31">
        <v>1980.7500000014099</v>
      </c>
      <c r="AX427" s="2">
        <v>-0.51098371112260033</v>
      </c>
      <c r="AY427" s="2">
        <v>-0.6564669997761764</v>
      </c>
      <c r="AZ427" s="2">
        <v>-0.75777278407582338</v>
      </c>
      <c r="BA427" s="31"/>
      <c r="BB427" s="31">
        <v>1980.7500000014099</v>
      </c>
      <c r="BC427" s="2">
        <v>0.389102187813887</v>
      </c>
      <c r="BD427" s="2">
        <v>-1.5545483300824114</v>
      </c>
      <c r="BE427" s="2">
        <v>-0.95343219926884482</v>
      </c>
      <c r="BG427" s="2">
        <f t="shared" si="63"/>
        <v>0.33589769968491523</v>
      </c>
      <c r="BH427" s="2">
        <f t="shared" si="57"/>
        <v>-0.96255431468434605</v>
      </c>
      <c r="BI427" s="2">
        <f t="shared" si="58"/>
        <v>-0.579596660164302</v>
      </c>
    </row>
    <row r="428" spans="6:61" x14ac:dyDescent="0.3">
      <c r="F428" s="31">
        <v>1980.6666666680801</v>
      </c>
      <c r="G428" s="2">
        <v>0.59298090259897185</v>
      </c>
      <c r="H428" s="2">
        <v>6.1499999999999798E-2</v>
      </c>
      <c r="I428" s="2">
        <v>3.6468325509836648E-2</v>
      </c>
      <c r="K428" s="31">
        <v>1980.6666666680801</v>
      </c>
      <c r="L428" s="2">
        <v>0.70570812953725004</v>
      </c>
      <c r="M428" s="2">
        <v>6.1514999999999952E-2</v>
      </c>
      <c r="N428" s="2">
        <v>4.341130466119611E-2</v>
      </c>
      <c r="P428" s="31">
        <v>1980.6666666680801</v>
      </c>
      <c r="Q428" s="2">
        <v>0.95811987636591378</v>
      </c>
      <c r="R428" s="2">
        <v>7.1900000000000297E-2</v>
      </c>
      <c r="S428" s="2">
        <v>5.4761214241591222E-2</v>
      </c>
      <c r="U428" s="2">
        <f t="shared" si="59"/>
        <v>0.75226963616737852</v>
      </c>
      <c r="V428" s="2">
        <f t="shared" si="60"/>
        <v>6.4971666666666691E-2</v>
      </c>
      <c r="W428" s="2">
        <f t="shared" si="61"/>
        <v>4.488028147087466E-2</v>
      </c>
      <c r="Y428" s="31">
        <v>1980.6666666680801</v>
      </c>
      <c r="Z428" s="2">
        <v>-0.81576114280839762</v>
      </c>
      <c r="AA428" s="2">
        <v>-0.78876452892998272</v>
      </c>
      <c r="AB428" s="2">
        <v>-0.89089541420068463</v>
      </c>
      <c r="AD428" s="31">
        <v>1980.6666666680801</v>
      </c>
      <c r="AE428" s="2">
        <v>-0.61622544010552571</v>
      </c>
      <c r="AF428" s="2">
        <v>-0.68622224125583742</v>
      </c>
      <c r="AG428" s="2">
        <v>-0.63404759730765758</v>
      </c>
      <c r="AH428" s="31"/>
      <c r="AI428" s="31">
        <v>1980.6666666680801</v>
      </c>
      <c r="AJ428" s="2">
        <v>0.68192418665789367</v>
      </c>
      <c r="AK428" s="2">
        <v>-0.61478205611361436</v>
      </c>
      <c r="AL428" s="2">
        <v>0.79697311482015532</v>
      </c>
      <c r="AM428" s="31"/>
      <c r="AN428" s="2">
        <f t="shared" si="62"/>
        <v>-0.25002079875200989</v>
      </c>
      <c r="AO428" s="2">
        <f t="shared" si="55"/>
        <v>-0.69658960876647813</v>
      </c>
      <c r="AP428" s="2">
        <f t="shared" si="56"/>
        <v>-0.24265663222939562</v>
      </c>
      <c r="AQ428" s="31"/>
      <c r="AR428" s="31">
        <v>1980.6666666680801</v>
      </c>
      <c r="AS428" s="2">
        <v>-0.58735925842338932</v>
      </c>
      <c r="AT428" s="2">
        <v>-0.32631334910520099</v>
      </c>
      <c r="AU428" s="2">
        <v>-0.7287759277368685</v>
      </c>
      <c r="AV428" s="31"/>
      <c r="AW428" s="31">
        <v>1980.6666666680801</v>
      </c>
      <c r="AX428" s="2">
        <v>-0.46481676028967367</v>
      </c>
      <c r="AY428" s="2">
        <v>-0.23837245449551037</v>
      </c>
      <c r="AZ428" s="2">
        <v>-0.48108813645091764</v>
      </c>
      <c r="BA428" s="31"/>
      <c r="BB428" s="31">
        <v>1980.6666666680801</v>
      </c>
      <c r="BC428" s="2">
        <v>0.33662217111832526</v>
      </c>
      <c r="BD428" s="2">
        <v>7.7097786990586777E-4</v>
      </c>
      <c r="BE428" s="2">
        <v>0.86707422870913142</v>
      </c>
      <c r="BG428" s="2">
        <f t="shared" si="63"/>
        <v>-0.2385179491982459</v>
      </c>
      <c r="BH428" s="2">
        <f t="shared" si="57"/>
        <v>-0.18797160857693518</v>
      </c>
      <c r="BI428" s="2">
        <f t="shared" si="58"/>
        <v>-0.11426327849288491</v>
      </c>
    </row>
    <row r="429" spans="6:61" x14ac:dyDescent="0.3">
      <c r="F429" s="31">
        <v>1980.58333333475</v>
      </c>
      <c r="G429" s="2">
        <v>0.96780949148183604</v>
      </c>
      <c r="H429" s="2">
        <v>6.1499999999999846E-2</v>
      </c>
      <c r="I429" s="2">
        <v>5.9520283726132786E-2</v>
      </c>
      <c r="K429" s="31">
        <v>1980.58333333475</v>
      </c>
      <c r="L429" s="2">
        <v>0.68917320198355547</v>
      </c>
      <c r="M429" s="2">
        <v>6.1514999999999952E-2</v>
      </c>
      <c r="N429" s="2">
        <v>4.2393719704019318E-2</v>
      </c>
      <c r="P429" s="31">
        <v>1980.58333333475</v>
      </c>
      <c r="Q429" s="2">
        <v>1.0137884988310424</v>
      </c>
      <c r="R429" s="2">
        <v>4.7900000000000303E-2</v>
      </c>
      <c r="S429" s="2">
        <v>4.0951372758241657E-2</v>
      </c>
      <c r="U429" s="2">
        <f t="shared" si="59"/>
        <v>0.89025706409881133</v>
      </c>
      <c r="V429" s="2">
        <f t="shared" si="60"/>
        <v>5.6971666666666698E-2</v>
      </c>
      <c r="W429" s="2">
        <f t="shared" si="61"/>
        <v>4.7621792062797923E-2</v>
      </c>
      <c r="Y429" s="31">
        <v>1980.58333333475</v>
      </c>
      <c r="Z429" s="2">
        <v>1.3575235748039194</v>
      </c>
      <c r="AA429" s="2">
        <v>-0.78876452892998183</v>
      </c>
      <c r="AB429" s="2">
        <v>-0.36037213720219996</v>
      </c>
      <c r="AD429" s="31">
        <v>1980.58333333475</v>
      </c>
      <c r="AE429" s="2">
        <v>-0.71462077070469765</v>
      </c>
      <c r="AF429" s="2">
        <v>-0.68622224125583742</v>
      </c>
      <c r="AG429" s="2">
        <v>-0.67274107240033842</v>
      </c>
      <c r="AH429" s="31"/>
      <c r="AI429" s="31">
        <v>1980.58333333475</v>
      </c>
      <c r="AJ429" s="2">
        <v>1.2218236993042091</v>
      </c>
      <c r="AK429" s="2">
        <v>-1.186702766808877</v>
      </c>
      <c r="AL429" s="2">
        <v>-0.31910878373607804</v>
      </c>
      <c r="AM429" s="31"/>
      <c r="AN429" s="2">
        <f t="shared" si="62"/>
        <v>0.6215755011344769</v>
      </c>
      <c r="AO429" s="2">
        <f t="shared" si="55"/>
        <v>-0.88722984566489871</v>
      </c>
      <c r="AP429" s="2">
        <f t="shared" si="56"/>
        <v>-0.45074066444620547</v>
      </c>
      <c r="AQ429" s="31"/>
      <c r="AR429" s="31">
        <v>1980.58333333475</v>
      </c>
      <c r="AS429" s="2">
        <v>0.88850612168198539</v>
      </c>
      <c r="AT429" s="2">
        <v>-0.65870957567408583</v>
      </c>
      <c r="AU429" s="2">
        <v>-6.8099364998885525E-2</v>
      </c>
      <c r="AV429" s="31"/>
      <c r="AW429" s="31">
        <v>1980.58333333475</v>
      </c>
      <c r="AX429" s="2">
        <v>-1.0402442742516402</v>
      </c>
      <c r="AY429" s="2">
        <v>-0.53553372549108424</v>
      </c>
      <c r="AZ429" s="2">
        <v>-1.1248213335210993</v>
      </c>
      <c r="BA429" s="31"/>
      <c r="BB429" s="31">
        <v>1980.58333333475</v>
      </c>
      <c r="BC429" s="2">
        <v>0.57833882170560702</v>
      </c>
      <c r="BD429" s="2">
        <v>-1.8093824011735564</v>
      </c>
      <c r="BE429" s="2">
        <v>-0.92869403528978567</v>
      </c>
      <c r="BG429" s="2">
        <f t="shared" si="63"/>
        <v>0.1422002230453174</v>
      </c>
      <c r="BH429" s="2">
        <f t="shared" si="57"/>
        <v>-1.0012085674462421</v>
      </c>
      <c r="BI429" s="2">
        <f t="shared" si="58"/>
        <v>-0.70720491126992346</v>
      </c>
    </row>
    <row r="430" spans="6:61" x14ac:dyDescent="0.3">
      <c r="F430" s="31">
        <v>1980.5000000014199</v>
      </c>
      <c r="G430" s="2">
        <v>0.68800519842538921</v>
      </c>
      <c r="H430" s="2">
        <v>6.1499999999999798E-2</v>
      </c>
      <c r="I430" s="2">
        <v>4.2312319703161294E-2</v>
      </c>
      <c r="K430" s="31">
        <v>1980.5000000014199</v>
      </c>
      <c r="L430" s="2">
        <v>0.7534410602870294</v>
      </c>
      <c r="M430" s="2">
        <v>6.1499999999999902E-2</v>
      </c>
      <c r="N430" s="2">
        <v>4.6336625207652235E-2</v>
      </c>
      <c r="P430" s="31">
        <v>1980.5000000014199</v>
      </c>
      <c r="Q430" s="2">
        <v>0.9313227579618214</v>
      </c>
      <c r="R430" s="2">
        <v>4.7900000000000303E-2</v>
      </c>
      <c r="S430" s="2">
        <v>4.5329862540348188E-2</v>
      </c>
      <c r="U430" s="2">
        <f t="shared" si="59"/>
        <v>0.79092300555807993</v>
      </c>
      <c r="V430" s="2">
        <f t="shared" si="60"/>
        <v>5.6966666666666665E-2</v>
      </c>
      <c r="W430" s="2">
        <f t="shared" si="61"/>
        <v>4.4659602483720577E-2</v>
      </c>
      <c r="Y430" s="31">
        <v>1980.5000000014199</v>
      </c>
      <c r="Z430" s="2">
        <v>-0.26480303543211731</v>
      </c>
      <c r="AA430" s="2">
        <v>-0.78876452892998272</v>
      </c>
      <c r="AB430" s="2">
        <v>-0.75640033481905722</v>
      </c>
      <c r="AD430" s="31">
        <v>1980.5000000014199</v>
      </c>
      <c r="AE430" s="2">
        <v>-0.33217838357382123</v>
      </c>
      <c r="AF430" s="2">
        <v>-0.68658960551538373</v>
      </c>
      <c r="AG430" s="2">
        <v>-0.52281283808278989</v>
      </c>
      <c r="AH430" s="31"/>
      <c r="AI430" s="31">
        <v>1980.5000000014199</v>
      </c>
      <c r="AJ430" s="2">
        <v>1.8178399140642154</v>
      </c>
      <c r="AK430" s="2">
        <v>-1.186702766808877</v>
      </c>
      <c r="AL430" s="2">
        <v>3.4751410438811831E-2</v>
      </c>
      <c r="AM430" s="31"/>
      <c r="AN430" s="2">
        <f t="shared" si="62"/>
        <v>0.40695283168609225</v>
      </c>
      <c r="AO430" s="2">
        <f t="shared" si="55"/>
        <v>-0.88735230041808111</v>
      </c>
      <c r="AP430" s="2">
        <f t="shared" si="56"/>
        <v>-0.41482058748767842</v>
      </c>
      <c r="AQ430" s="31"/>
      <c r="AR430" s="31">
        <v>1980.5000000014199</v>
      </c>
      <c r="AS430" s="2">
        <v>-0.35194857505464311</v>
      </c>
      <c r="AT430" s="2">
        <v>-2.3130098149133811E-2</v>
      </c>
      <c r="AU430" s="2">
        <v>-0.36654772542889513</v>
      </c>
      <c r="AV430" s="31"/>
      <c r="AW430" s="31">
        <v>1980.5000000014199</v>
      </c>
      <c r="AX430" s="2">
        <v>-0.34230877801063248</v>
      </c>
      <c r="AY430" s="2">
        <v>-0.1083026392523672</v>
      </c>
      <c r="AZ430" s="2">
        <v>-0.34258817185194668</v>
      </c>
      <c r="BA430" s="31"/>
      <c r="BB430" s="31">
        <v>1980.5000000014199</v>
      </c>
      <c r="BC430" s="2">
        <v>0.43160058024814679</v>
      </c>
      <c r="BD430" s="2">
        <v>-0.38248368897839508</v>
      </c>
      <c r="BE430" s="2">
        <v>0.13081911818455935</v>
      </c>
      <c r="BG430" s="2">
        <f t="shared" si="63"/>
        <v>-8.7552257605709602E-2</v>
      </c>
      <c r="BH430" s="2">
        <f t="shared" si="57"/>
        <v>-0.17130547545996536</v>
      </c>
      <c r="BI430" s="2">
        <f t="shared" si="58"/>
        <v>-0.1927722596987608</v>
      </c>
    </row>
    <row r="431" spans="6:61" x14ac:dyDescent="0.3">
      <c r="F431" s="31">
        <v>1980.4166666680901</v>
      </c>
      <c r="G431" s="2">
        <v>0.99336793028569847</v>
      </c>
      <c r="H431" s="2">
        <v>0.18449999999999955</v>
      </c>
      <c r="I431" s="2">
        <v>0.183276383137711</v>
      </c>
      <c r="K431" s="31">
        <v>1980.4166666680901</v>
      </c>
      <c r="L431" s="2">
        <v>0.65064426927819197</v>
      </c>
      <c r="M431" s="2">
        <v>0.1230299999999999</v>
      </c>
      <c r="N431" s="2">
        <v>5.7787183041293648E-2</v>
      </c>
      <c r="P431" s="31">
        <v>1980.4166666680901</v>
      </c>
      <c r="Q431" s="2">
        <v>0.92908721067129296</v>
      </c>
      <c r="R431" s="2">
        <v>0.16775000000000076</v>
      </c>
      <c r="S431" s="2">
        <v>6.603959180726679E-2</v>
      </c>
      <c r="U431" s="2">
        <f t="shared" si="59"/>
        <v>0.85769980341172769</v>
      </c>
      <c r="V431" s="2">
        <f t="shared" si="60"/>
        <v>0.15842666666666674</v>
      </c>
      <c r="W431" s="2">
        <f t="shared" si="61"/>
        <v>0.10236771932875714</v>
      </c>
      <c r="Y431" s="31">
        <v>1980.4166666680901</v>
      </c>
      <c r="Z431" s="2">
        <v>1.5057133503597595</v>
      </c>
      <c r="AA431" s="2">
        <v>1.6130881144920466</v>
      </c>
      <c r="AB431" s="2">
        <v>2.4877803187556125</v>
      </c>
      <c r="AD431" s="31">
        <v>1980.4166666680901</v>
      </c>
      <c r="AE431" s="2">
        <v>-0.94389707438771042</v>
      </c>
      <c r="AF431" s="2">
        <v>0.82033858713866403</v>
      </c>
      <c r="AG431" s="2">
        <v>-8.7407547145170475E-2</v>
      </c>
      <c r="AH431" s="31"/>
      <c r="AI431" s="31">
        <v>1980.4166666680901</v>
      </c>
      <c r="AJ431" s="2">
        <v>1.852029562076815</v>
      </c>
      <c r="AK431" s="2">
        <v>1.6693262822256021</v>
      </c>
      <c r="AL431" s="2">
        <v>1.70846750534665</v>
      </c>
      <c r="AM431" s="31"/>
      <c r="AN431" s="2">
        <f t="shared" si="62"/>
        <v>0.8046152793496214</v>
      </c>
      <c r="AO431" s="2">
        <f t="shared" si="55"/>
        <v>1.3675843279521043</v>
      </c>
      <c r="AP431" s="2">
        <f t="shared" si="56"/>
        <v>1.369613425652364</v>
      </c>
      <c r="AQ431" s="31"/>
      <c r="AR431" s="31">
        <v>1980.4166666680901</v>
      </c>
      <c r="AS431" s="2">
        <v>0.87748133987142896</v>
      </c>
      <c r="AT431" s="2">
        <v>0.30752807372934365</v>
      </c>
      <c r="AU431" s="2">
        <v>0.77152555402342804</v>
      </c>
      <c r="AV431" s="31"/>
      <c r="AW431" s="31">
        <v>1980.4166666680901</v>
      </c>
      <c r="AX431" s="2">
        <v>-1.3678915118337993</v>
      </c>
      <c r="AY431" s="2">
        <v>-0.38552664826294392</v>
      </c>
      <c r="AZ431" s="2">
        <v>-0.83070690583705853</v>
      </c>
      <c r="BA431" s="31"/>
      <c r="BB431" s="31">
        <v>1980.4166666680901</v>
      </c>
      <c r="BC431" s="2">
        <v>1.1892575861457186</v>
      </c>
      <c r="BD431" s="2">
        <v>0.21308645383215588</v>
      </c>
      <c r="BE431" s="2">
        <v>0.89140317375998135</v>
      </c>
      <c r="BG431" s="2">
        <f t="shared" si="63"/>
        <v>0.23294913806111608</v>
      </c>
      <c r="BH431" s="2">
        <f t="shared" si="57"/>
        <v>4.5029293099518537E-2</v>
      </c>
      <c r="BI431" s="2">
        <f t="shared" si="58"/>
        <v>0.27740727398211695</v>
      </c>
    </row>
    <row r="432" spans="6:61" x14ac:dyDescent="0.3">
      <c r="F432" s="31">
        <v>1980.33333333476</v>
      </c>
      <c r="G432" s="2">
        <v>0.87660887277985711</v>
      </c>
      <c r="H432" s="2">
        <v>0.18449999999999955</v>
      </c>
      <c r="I432" s="2">
        <v>0.16173433702788328</v>
      </c>
      <c r="K432" s="31">
        <v>1980.33333333476</v>
      </c>
      <c r="L432" s="2">
        <v>0.57355718069300055</v>
      </c>
      <c r="M432" s="2">
        <v>9.2264999999999903E-2</v>
      </c>
      <c r="N432" s="2">
        <v>3.5282061931089195E-2</v>
      </c>
      <c r="P432" s="31">
        <v>1980.33333333476</v>
      </c>
      <c r="Q432" s="2">
        <v>0.96609435660978427</v>
      </c>
      <c r="R432" s="2">
        <v>0.1198000000000006</v>
      </c>
      <c r="S432" s="2">
        <v>6.5454870085361994E-2</v>
      </c>
      <c r="U432" s="2">
        <f t="shared" si="59"/>
        <v>0.80542013669421397</v>
      </c>
      <c r="V432" s="2">
        <f t="shared" si="60"/>
        <v>0.13218833333333335</v>
      </c>
      <c r="W432" s="2">
        <f t="shared" si="61"/>
        <v>8.7490423014778163E-2</v>
      </c>
      <c r="Y432" s="31">
        <v>1980.33333333476</v>
      </c>
      <c r="Z432" s="2">
        <v>0.82873543873210309</v>
      </c>
      <c r="AA432" s="2">
        <v>1.6130881144920466</v>
      </c>
      <c r="AB432" s="2">
        <v>1.9920065199223724</v>
      </c>
      <c r="AD432" s="31">
        <v>1980.33333333476</v>
      </c>
      <c r="AE432" s="2">
        <v>-1.4026235817544008</v>
      </c>
      <c r="AF432" s="2">
        <v>6.6874490811640125E-2</v>
      </c>
      <c r="AG432" s="2">
        <v>-0.94316051105634269</v>
      </c>
      <c r="AH432" s="31"/>
      <c r="AI432" s="31">
        <v>1980.33333333476</v>
      </c>
      <c r="AJ432" s="2">
        <v>1.7455634073896753</v>
      </c>
      <c r="AK432" s="2">
        <v>0.52667636231568804</v>
      </c>
      <c r="AL432" s="2">
        <v>1.6612115444221596</v>
      </c>
      <c r="AM432" s="31"/>
      <c r="AN432" s="2">
        <f t="shared" si="62"/>
        <v>0.3905584214557925</v>
      </c>
      <c r="AO432" s="2">
        <f t="shared" si="55"/>
        <v>0.73554632253979157</v>
      </c>
      <c r="AP432" s="2">
        <f t="shared" si="56"/>
        <v>0.90335251776272985</v>
      </c>
      <c r="AQ432" s="31"/>
      <c r="AR432" s="31">
        <v>1980.33333333476</v>
      </c>
      <c r="AS432" s="2">
        <v>0.7934097415312692</v>
      </c>
      <c r="AT432" s="2">
        <v>0.58792153404252323</v>
      </c>
      <c r="AU432" s="2">
        <v>1.1103373236734457</v>
      </c>
      <c r="AV432" s="31"/>
      <c r="AW432" s="31">
        <v>1980.33333333476</v>
      </c>
      <c r="AX432" s="2">
        <v>-1.4824208816064544</v>
      </c>
      <c r="AY432" s="2">
        <v>-0.6035549277918324</v>
      </c>
      <c r="AZ432" s="2">
        <v>-1.0397743651184117</v>
      </c>
      <c r="BA432" s="31"/>
      <c r="BB432" s="31">
        <v>1980.33333333476</v>
      </c>
      <c r="BC432" s="2">
        <v>1.7187381576047249</v>
      </c>
      <c r="BD432" s="2">
        <v>-0.1780601750249331</v>
      </c>
      <c r="BE432" s="2">
        <v>1.4320866295197132</v>
      </c>
      <c r="BG432" s="2">
        <f t="shared" si="63"/>
        <v>0.34324233917651331</v>
      </c>
      <c r="BH432" s="2">
        <f t="shared" si="57"/>
        <v>-6.4564522924747417E-2</v>
      </c>
      <c r="BI432" s="2">
        <f t="shared" si="58"/>
        <v>0.50088319602491571</v>
      </c>
    </row>
    <row r="433" spans="6:61" x14ac:dyDescent="0.3">
      <c r="F433" s="31">
        <v>1980.25000000143</v>
      </c>
      <c r="G433" s="2">
        <v>0.84583563456872224</v>
      </c>
      <c r="H433" s="2">
        <v>0.18449999999999955</v>
      </c>
      <c r="I433" s="2">
        <v>0.15605667457792893</v>
      </c>
      <c r="K433" s="31">
        <v>1980.25000000143</v>
      </c>
      <c r="L433" s="2">
        <v>0.52790569188105996</v>
      </c>
      <c r="M433" s="2">
        <v>9.2264999999999903E-2</v>
      </c>
      <c r="N433" s="2">
        <v>3.2474397685831401E-2</v>
      </c>
      <c r="P433" s="31">
        <v>1980.25000000143</v>
      </c>
      <c r="Q433" s="2">
        <v>0.88094118075783556</v>
      </c>
      <c r="R433" s="2">
        <v>0.1198000000000006</v>
      </c>
      <c r="S433" s="2">
        <v>6.4980116330465271E-2</v>
      </c>
      <c r="U433" s="2">
        <f t="shared" si="59"/>
        <v>0.75156083573587251</v>
      </c>
      <c r="V433" s="2">
        <f t="shared" si="60"/>
        <v>0.13218833333333335</v>
      </c>
      <c r="W433" s="2">
        <f t="shared" si="61"/>
        <v>8.4503729531408542E-2</v>
      </c>
      <c r="Y433" s="31">
        <v>1980.25000000143</v>
      </c>
      <c r="Z433" s="2">
        <v>0.65030985888231518</v>
      </c>
      <c r="AA433" s="2">
        <v>1.6130881144920466</v>
      </c>
      <c r="AB433" s="2">
        <v>1.8613394390445466</v>
      </c>
      <c r="AD433" s="31">
        <v>1980.25000000143</v>
      </c>
      <c r="AE433" s="2">
        <v>-1.6742844837697606</v>
      </c>
      <c r="AF433" s="2">
        <v>6.6874490811640125E-2</v>
      </c>
      <c r="AG433" s="2">
        <v>-1.0499214117322935</v>
      </c>
      <c r="AH433" s="31"/>
      <c r="AI433" s="31">
        <v>1980.25000000143</v>
      </c>
      <c r="AJ433" s="2">
        <v>1.6736180652605785</v>
      </c>
      <c r="AK433" s="2">
        <v>0.52667636231568804</v>
      </c>
      <c r="AL433" s="2">
        <v>1.6228429597609462</v>
      </c>
      <c r="AM433" s="31"/>
      <c r="AN433" s="2">
        <f t="shared" si="62"/>
        <v>0.21654781345771104</v>
      </c>
      <c r="AO433" s="2">
        <f t="shared" si="55"/>
        <v>0.73554632253979157</v>
      </c>
      <c r="AP433" s="2">
        <f t="shared" si="56"/>
        <v>0.81142032902439976</v>
      </c>
      <c r="AQ433" s="31"/>
      <c r="AR433" s="31">
        <v>1980.25000000143</v>
      </c>
      <c r="AS433" s="2">
        <v>0.97630183238564427</v>
      </c>
      <c r="AT433" s="2">
        <v>0.61938737125940746</v>
      </c>
      <c r="AU433" s="2">
        <v>1.1352191548364392</v>
      </c>
      <c r="AV433" s="31"/>
      <c r="AW433" s="31">
        <v>1980.25000000143</v>
      </c>
      <c r="AX433" s="2">
        <v>-1.6456105783885244</v>
      </c>
      <c r="AY433" s="2">
        <v>-0.8205967459488962</v>
      </c>
      <c r="AZ433" s="2">
        <v>-1.1844345699255796</v>
      </c>
      <c r="BA433" s="31"/>
      <c r="BB433" s="31">
        <v>1980.25000000143</v>
      </c>
      <c r="BC433" s="2">
        <v>2.195955368366715</v>
      </c>
      <c r="BD433" s="2">
        <v>-0.51128572186882904</v>
      </c>
      <c r="BE433" s="2">
        <v>1.9633022446623443</v>
      </c>
      <c r="BG433" s="2">
        <f t="shared" si="63"/>
        <v>0.50888220745461166</v>
      </c>
      <c r="BH433" s="2">
        <f t="shared" si="57"/>
        <v>-0.23749836551943926</v>
      </c>
      <c r="BI433" s="2">
        <f t="shared" si="58"/>
        <v>0.63802894319106795</v>
      </c>
    </row>
    <row r="434" spans="6:61" x14ac:dyDescent="0.3">
      <c r="F434" s="31">
        <v>1980.1666666681001</v>
      </c>
      <c r="G434" s="2">
        <v>0.75284386289487082</v>
      </c>
      <c r="H434" s="2">
        <v>0.18449999999999955</v>
      </c>
      <c r="I434" s="2">
        <v>0.13889969270410335</v>
      </c>
      <c r="K434" s="31">
        <v>1980.1666666681001</v>
      </c>
      <c r="L434" s="2">
        <v>0.51440347075615844</v>
      </c>
      <c r="M434" s="2">
        <v>9.2264999999999903E-2</v>
      </c>
      <c r="N434" s="2">
        <v>3.164390988953613E-2</v>
      </c>
      <c r="P434" s="31">
        <v>1980.1666666681001</v>
      </c>
      <c r="Q434" s="2">
        <v>0.87888190790225773</v>
      </c>
      <c r="R434" s="2">
        <v>0.1198000000000006</v>
      </c>
      <c r="S434" s="2">
        <v>6.2197806151405972E-2</v>
      </c>
      <c r="U434" s="2">
        <f t="shared" si="59"/>
        <v>0.71537641385109563</v>
      </c>
      <c r="V434" s="2">
        <f t="shared" si="60"/>
        <v>0.13218833333333335</v>
      </c>
      <c r="W434" s="2">
        <f t="shared" si="61"/>
        <v>7.7580469581681813E-2</v>
      </c>
      <c r="Y434" s="31">
        <v>1980.1666666681001</v>
      </c>
      <c r="Z434" s="2">
        <v>0.11113648140647982</v>
      </c>
      <c r="AA434" s="2">
        <v>1.6130881144920466</v>
      </c>
      <c r="AB434" s="2">
        <v>1.4664845567955</v>
      </c>
      <c r="AD434" s="31">
        <v>1980.1666666681001</v>
      </c>
      <c r="AE434" s="2">
        <v>-1.7546329163282663</v>
      </c>
      <c r="AF434" s="2">
        <v>6.6874490811640125E-2</v>
      </c>
      <c r="AG434" s="2">
        <v>-1.0815005527505344</v>
      </c>
      <c r="AH434" s="31"/>
      <c r="AI434" s="31">
        <v>1980.1666666681001</v>
      </c>
      <c r="AJ434" s="2">
        <v>1.3509170923780758</v>
      </c>
      <c r="AK434" s="2">
        <v>0.52667636231568804</v>
      </c>
      <c r="AL434" s="2">
        <v>1.397982592553918</v>
      </c>
      <c r="AM434" s="31"/>
      <c r="AN434" s="2">
        <f t="shared" si="62"/>
        <v>-9.752644751457025E-2</v>
      </c>
      <c r="AO434" s="2">
        <f t="shared" si="55"/>
        <v>0.73554632253979157</v>
      </c>
      <c r="AP434" s="2">
        <f t="shared" si="56"/>
        <v>0.59432219886629456</v>
      </c>
      <c r="AQ434" s="31"/>
      <c r="AR434" s="31">
        <v>1980.1666666681001</v>
      </c>
      <c r="AS434" s="2">
        <v>0.53269988043894578</v>
      </c>
      <c r="AT434" s="2">
        <v>0.80409366606843224</v>
      </c>
      <c r="AU434" s="2">
        <v>1.0491807963703412</v>
      </c>
      <c r="AV434" s="31"/>
      <c r="AW434" s="31">
        <v>1980.1666666681001</v>
      </c>
      <c r="AX434" s="2">
        <v>-1.5403545681803112</v>
      </c>
      <c r="AY434" s="2">
        <v>-0.48231704140909132</v>
      </c>
      <c r="AZ434" s="2">
        <v>-1.0207939846984939</v>
      </c>
      <c r="BA434" s="31"/>
      <c r="BB434" s="31">
        <v>1980.1666666681001</v>
      </c>
      <c r="BC434" s="2">
        <v>2.1231420461934749</v>
      </c>
      <c r="BD434" s="2">
        <v>0.3086063174042078</v>
      </c>
      <c r="BE434" s="2">
        <v>2.0981142578044762</v>
      </c>
      <c r="BG434" s="2">
        <f t="shared" si="63"/>
        <v>0.37182911948403646</v>
      </c>
      <c r="BH434" s="2">
        <f t="shared" si="57"/>
        <v>0.21012764735451625</v>
      </c>
      <c r="BI434" s="2">
        <f t="shared" si="58"/>
        <v>0.70883368982544115</v>
      </c>
    </row>
    <row r="435" spans="6:61" x14ac:dyDescent="0.3">
      <c r="F435" s="31">
        <v>1980.08333333477</v>
      </c>
      <c r="G435" s="2">
        <v>0.67312224949244293</v>
      </c>
      <c r="H435" s="2">
        <v>6.1499999999999846E-2</v>
      </c>
      <c r="I435" s="2">
        <v>4.1397018343785147E-2</v>
      </c>
      <c r="K435" s="31">
        <v>1980.08333333477</v>
      </c>
      <c r="L435" s="2">
        <v>0.51036626794383866</v>
      </c>
      <c r="M435" s="2">
        <v>9.2279999999999945E-2</v>
      </c>
      <c r="N435" s="2">
        <v>4.8128311866379045E-2</v>
      </c>
      <c r="P435" s="31">
        <v>1980.08333333477</v>
      </c>
      <c r="Q435" s="2">
        <v>0.85331777058741498</v>
      </c>
      <c r="R435" s="2">
        <v>7.1900000000000297E-2</v>
      </c>
      <c r="S435" s="2">
        <v>6.0299517216177337E-2</v>
      </c>
      <c r="U435" s="2">
        <f t="shared" si="59"/>
        <v>0.6789354293412323</v>
      </c>
      <c r="V435" s="2">
        <f t="shared" si="60"/>
        <v>7.5226666666666706E-2</v>
      </c>
      <c r="W435" s="2">
        <f t="shared" si="61"/>
        <v>4.994161580878051E-2</v>
      </c>
      <c r="Y435" s="31">
        <v>1980.08333333477</v>
      </c>
      <c r="Z435" s="2">
        <v>-0.35109550732007311</v>
      </c>
      <c r="AA435" s="2">
        <v>-0.78876452892998183</v>
      </c>
      <c r="AB435" s="2">
        <v>-0.77746529910803996</v>
      </c>
      <c r="AD435" s="31">
        <v>1980.08333333477</v>
      </c>
      <c r="AE435" s="2">
        <v>-1.7786573279335869</v>
      </c>
      <c r="AF435" s="2">
        <v>6.7241855071186282E-2</v>
      </c>
      <c r="AG435" s="2">
        <v>-0.45468429253542297</v>
      </c>
      <c r="AH435" s="31"/>
      <c r="AI435" s="31">
        <v>1980.08333333477</v>
      </c>
      <c r="AJ435" s="2">
        <v>1.1787440309414741</v>
      </c>
      <c r="AK435" s="2">
        <v>-0.61478205611361436</v>
      </c>
      <c r="AL435" s="2">
        <v>1.2445669344963868</v>
      </c>
      <c r="AM435" s="31"/>
      <c r="AN435" s="2">
        <f t="shared" si="62"/>
        <v>-0.31700293477072866</v>
      </c>
      <c r="AO435" s="2">
        <f t="shared" si="55"/>
        <v>-0.44543490999080326</v>
      </c>
      <c r="AP435" s="2">
        <f t="shared" si="56"/>
        <v>4.1391142843079471E-3</v>
      </c>
      <c r="AQ435" s="31"/>
      <c r="AR435" s="31">
        <v>1980.08333333477</v>
      </c>
      <c r="AS435" s="2">
        <v>0.27761467147658803</v>
      </c>
      <c r="AT435" s="2">
        <v>-0.93050162247170598</v>
      </c>
      <c r="AU435" s="2">
        <v>-0.62017041484893443</v>
      </c>
      <c r="AV435" s="31"/>
      <c r="AW435" s="31">
        <v>1980.08333333477</v>
      </c>
      <c r="AX435" s="2">
        <v>-1.5755895724569489</v>
      </c>
      <c r="AY435" s="2">
        <v>0.56120938963997447</v>
      </c>
      <c r="AZ435" s="2">
        <v>-0.38969887033911316</v>
      </c>
      <c r="BA435" s="31"/>
      <c r="BB435" s="31">
        <v>1980.08333333477</v>
      </c>
      <c r="BC435" s="2">
        <v>2.0579830180386951</v>
      </c>
      <c r="BD435" s="2">
        <v>-0.95760573293009554</v>
      </c>
      <c r="BE435" s="2">
        <v>1.9423177616444283</v>
      </c>
      <c r="BG435" s="2">
        <f t="shared" si="63"/>
        <v>0.25333603901944474</v>
      </c>
      <c r="BH435" s="2">
        <f t="shared" si="57"/>
        <v>-0.44229932192060906</v>
      </c>
      <c r="BI435" s="2">
        <f t="shared" si="58"/>
        <v>0.3108161588187936</v>
      </c>
    </row>
    <row r="436" spans="6:61" x14ac:dyDescent="0.3">
      <c r="F436" s="31">
        <v>1980.00000000144</v>
      </c>
      <c r="G436" s="2">
        <v>0.56139114669517687</v>
      </c>
      <c r="H436" s="2">
        <v>6.1499999999999798E-2</v>
      </c>
      <c r="I436" s="2">
        <v>3.4525555521753265E-2</v>
      </c>
      <c r="K436" s="31">
        <v>1980.00000000144</v>
      </c>
      <c r="L436" s="2">
        <v>0.53623041953114881</v>
      </c>
      <c r="M436" s="2">
        <v>6.1514999999999952E-2</v>
      </c>
      <c r="N436" s="2">
        <v>3.2986678474622409E-2</v>
      </c>
      <c r="P436" s="31">
        <v>1980.00000000144</v>
      </c>
      <c r="Q436" s="2">
        <v>0.8793378745128555</v>
      </c>
      <c r="R436" s="2">
        <v>4.7900000000000303E-2</v>
      </c>
      <c r="S436" s="2">
        <v>4.2978586324199264E-2</v>
      </c>
      <c r="U436" s="2">
        <f t="shared" si="59"/>
        <v>0.65898648024639372</v>
      </c>
      <c r="V436" s="2">
        <f t="shared" si="60"/>
        <v>5.6971666666666691E-2</v>
      </c>
      <c r="W436" s="2">
        <f t="shared" si="61"/>
        <v>3.6830273440191651E-2</v>
      </c>
      <c r="Y436" s="31">
        <v>1980.00000000144</v>
      </c>
      <c r="Z436" s="2">
        <v>-0.99892095445306295</v>
      </c>
      <c r="AA436" s="2">
        <v>-0.78876452892998272</v>
      </c>
      <c r="AB436" s="2">
        <v>-0.93560678712880663</v>
      </c>
      <c r="AD436" s="31">
        <v>1980.00000000144</v>
      </c>
      <c r="AE436" s="2">
        <v>-1.6247460550939399</v>
      </c>
      <c r="AF436" s="2">
        <v>-0.68622224125583742</v>
      </c>
      <c r="AG436" s="2">
        <v>-1.0304420318517791</v>
      </c>
      <c r="AH436" s="31"/>
      <c r="AI436" s="31">
        <v>1980.00000000144</v>
      </c>
      <c r="AJ436" s="2">
        <v>1.4977755037437037</v>
      </c>
      <c r="AK436" s="2">
        <v>-1.186702766808877</v>
      </c>
      <c r="AL436" s="2">
        <v>-0.15527371233421994</v>
      </c>
      <c r="AM436" s="31"/>
      <c r="AN436" s="2">
        <f t="shared" si="62"/>
        <v>-0.37529716860109968</v>
      </c>
      <c r="AO436" s="2">
        <f t="shared" si="55"/>
        <v>-0.88722984566489904</v>
      </c>
      <c r="AP436" s="2">
        <f t="shared" si="56"/>
        <v>-0.70710751043826858</v>
      </c>
      <c r="AQ436" s="31"/>
      <c r="AR436" s="31">
        <v>1980.00000000144</v>
      </c>
      <c r="AS436" s="2">
        <v>-0.43046881653279362</v>
      </c>
      <c r="AT436" s="2">
        <v>-0.29853293598826797</v>
      </c>
      <c r="AU436" s="2">
        <v>-0.61837282932121862</v>
      </c>
      <c r="AV436" s="31"/>
      <c r="AW436" s="31">
        <v>1980.00000000144</v>
      </c>
      <c r="AX436" s="2">
        <v>-0.99596553455435133</v>
      </c>
      <c r="AY436" s="2">
        <v>-0.21981065223360952</v>
      </c>
      <c r="AZ436" s="2">
        <v>-1.0236142196477729</v>
      </c>
      <c r="BA436" s="31"/>
      <c r="BB436" s="31">
        <v>1980.00000000144</v>
      </c>
      <c r="BC436" s="2">
        <v>1.7302791314336907</v>
      </c>
      <c r="BD436" s="2">
        <v>-0.94501805984887022</v>
      </c>
      <c r="BE436" s="2">
        <v>0.46332018275012649</v>
      </c>
      <c r="BG436" s="2">
        <f t="shared" si="63"/>
        <v>0.10128159344884859</v>
      </c>
      <c r="BH436" s="2">
        <f t="shared" si="57"/>
        <v>-0.48778721602358255</v>
      </c>
      <c r="BI436" s="2">
        <f t="shared" si="58"/>
        <v>-0.39288895540628826</v>
      </c>
    </row>
    <row r="437" spans="6:61" x14ac:dyDescent="0.3">
      <c r="F437" s="31">
        <v>1979.9166666681101</v>
      </c>
      <c r="G437" s="2">
        <v>0.73332112098790847</v>
      </c>
      <c r="H437" s="2">
        <v>6.1499999999999846E-2</v>
      </c>
      <c r="I437" s="2">
        <v>4.5099248940756273E-2</v>
      </c>
      <c r="K437" s="31">
        <v>1979.9166666681101</v>
      </c>
      <c r="L437" s="2">
        <v>0.55939421560130109</v>
      </c>
      <c r="M437" s="2">
        <v>6.1514999999999952E-2</v>
      </c>
      <c r="N437" s="2">
        <v>3.4411493713632696E-2</v>
      </c>
      <c r="P437" s="31">
        <v>1979.9166666681101</v>
      </c>
      <c r="Q437" s="2">
        <v>0.94191694808061222</v>
      </c>
      <c r="R437" s="2">
        <v>7.1900000000000297E-2</v>
      </c>
      <c r="S437" s="2">
        <v>6.18731514477176E-2</v>
      </c>
      <c r="U437" s="2">
        <f t="shared" si="59"/>
        <v>0.74487742822327385</v>
      </c>
      <c r="V437" s="2">
        <f t="shared" si="60"/>
        <v>6.4971666666666705E-2</v>
      </c>
      <c r="W437" s="2">
        <f t="shared" si="61"/>
        <v>4.7127964700702185E-2</v>
      </c>
      <c r="Y437" s="31">
        <v>1979.9166666681101</v>
      </c>
      <c r="Z437" s="2">
        <v>-2.0578636640076644E-3</v>
      </c>
      <c r="AA437" s="2">
        <v>-0.78876452892998183</v>
      </c>
      <c r="AB437" s="2">
        <v>-0.6922612791250139</v>
      </c>
      <c r="AD437" s="31">
        <v>1979.9166666681101</v>
      </c>
      <c r="AE437" s="2">
        <v>-1.4869039408873272</v>
      </c>
      <c r="AF437" s="2">
        <v>-0.68622224125583742</v>
      </c>
      <c r="AG437" s="2">
        <v>-0.97626370249117866</v>
      </c>
      <c r="AH437" s="31"/>
      <c r="AI437" s="31">
        <v>1979.9166666681101</v>
      </c>
      <c r="AJ437" s="2">
        <v>1.3809402443048171</v>
      </c>
      <c r="AK437" s="2">
        <v>-0.61478205611361436</v>
      </c>
      <c r="AL437" s="2">
        <v>1.3717446926834087</v>
      </c>
      <c r="AM437" s="31"/>
      <c r="AN437" s="2">
        <f t="shared" si="62"/>
        <v>-3.6007186748839272E-2</v>
      </c>
      <c r="AO437" s="2">
        <f t="shared" si="55"/>
        <v>-0.69658960876647791</v>
      </c>
      <c r="AP437" s="2">
        <f t="shared" si="56"/>
        <v>-9.8926762977594618E-2</v>
      </c>
      <c r="AQ437" s="31"/>
      <c r="AR437" s="31">
        <v>1979.9166666681101</v>
      </c>
      <c r="AS437" s="2">
        <v>0.31484010846662386</v>
      </c>
      <c r="AT437" s="2">
        <v>-0.68444756444045252</v>
      </c>
      <c r="AU437" s="2">
        <v>-0.38541924169397185</v>
      </c>
      <c r="AV437" s="31"/>
      <c r="AW437" s="31">
        <v>1979.9166666681101</v>
      </c>
      <c r="AX437" s="2">
        <v>-1.149689191551593</v>
      </c>
      <c r="AY437" s="2">
        <v>-0.51751295497595129</v>
      </c>
      <c r="AZ437" s="2">
        <v>-1.2107058517137377</v>
      </c>
      <c r="BA437" s="31"/>
      <c r="BB437" s="31">
        <v>1979.9166666681101</v>
      </c>
      <c r="BC437" s="2">
        <v>2.1927863208660412</v>
      </c>
      <c r="BD437" s="2">
        <v>-0.44318112469553572</v>
      </c>
      <c r="BE437" s="2">
        <v>1.9922946260982526</v>
      </c>
      <c r="BG437" s="2">
        <f t="shared" si="63"/>
        <v>0.45264574592702406</v>
      </c>
      <c r="BH437" s="2">
        <f t="shared" si="57"/>
        <v>-0.54838054803731318</v>
      </c>
      <c r="BI437" s="2">
        <f t="shared" si="58"/>
        <v>0.1320565108968477</v>
      </c>
    </row>
    <row r="438" spans="6:61" x14ac:dyDescent="0.3">
      <c r="F438" s="31">
        <v>1979.83333333478</v>
      </c>
      <c r="G438" s="2">
        <v>0.6107143232366381</v>
      </c>
      <c r="H438" s="2">
        <v>6.1499999999999798E-2</v>
      </c>
      <c r="I438" s="2">
        <v>3.7558930879053119E-2</v>
      </c>
      <c r="K438" s="31">
        <v>1979.83333333478</v>
      </c>
      <c r="L438" s="2">
        <v>0.58420953893011451</v>
      </c>
      <c r="M438" s="2">
        <v>6.1514999999999952E-2</v>
      </c>
      <c r="N438" s="2">
        <v>3.5937900344866533E-2</v>
      </c>
      <c r="P438" s="31">
        <v>1979.83333333478</v>
      </c>
      <c r="Q438" s="2">
        <v>1.0107768337310616</v>
      </c>
      <c r="R438" s="2"/>
      <c r="S438" s="2"/>
      <c r="U438" s="2">
        <f t="shared" si="59"/>
        <v>0.73523356529927142</v>
      </c>
      <c r="V438" s="2">
        <f t="shared" si="60"/>
        <v>6.1507499999999875E-2</v>
      </c>
      <c r="W438" s="2">
        <f t="shared" si="61"/>
        <v>3.6748415611959823E-2</v>
      </c>
      <c r="Y438" s="31">
        <v>1979.83333333478</v>
      </c>
      <c r="Z438" s="2">
        <v>-0.71294141879082862</v>
      </c>
      <c r="AA438" s="2">
        <v>-0.78876452892998272</v>
      </c>
      <c r="AB438" s="2">
        <v>-0.8657959615225238</v>
      </c>
      <c r="AD438" s="31">
        <v>1979.83333333478</v>
      </c>
      <c r="AE438" s="2">
        <v>-1.3392339898134646</v>
      </c>
      <c r="AF438" s="2">
        <v>-0.68622224125583742</v>
      </c>
      <c r="AG438" s="2">
        <v>-0.91822237969999654</v>
      </c>
      <c r="AH438" s="31"/>
      <c r="AI438" s="31">
        <v>1979.83333333478</v>
      </c>
      <c r="AJ438" s="2"/>
      <c r="AK438" s="2"/>
      <c r="AL438" s="2"/>
      <c r="AM438" s="31"/>
      <c r="AN438" s="2">
        <f t="shared" si="62"/>
        <v>-1.0260877043021466</v>
      </c>
      <c r="AO438" s="2">
        <f t="shared" si="55"/>
        <v>-0.73749338509291007</v>
      </c>
      <c r="AP438" s="2">
        <f t="shared" si="56"/>
        <v>-0.89200917061126017</v>
      </c>
      <c r="AQ438" s="31"/>
      <c r="AR438" s="31">
        <v>1979.83333333478</v>
      </c>
      <c r="AS438" s="2">
        <v>-0.3594100437327204</v>
      </c>
      <c r="AT438" s="2">
        <v>-0.2854929317171821</v>
      </c>
      <c r="AU438" s="2">
        <v>-0.53936347579684552</v>
      </c>
      <c r="AV438" s="31"/>
      <c r="AW438" s="31">
        <v>1979.83333333478</v>
      </c>
      <c r="AX438" s="2">
        <v>-0.73323558567019065</v>
      </c>
      <c r="AY438" s="2">
        <v>-0.19138401234735175</v>
      </c>
      <c r="AZ438" s="2">
        <v>-0.74615304431461094</v>
      </c>
      <c r="BA438" s="31"/>
      <c r="BB438" s="31">
        <v>1979.83333333478</v>
      </c>
      <c r="BC438" s="2"/>
      <c r="BD438" s="2"/>
      <c r="BE438" s="2"/>
      <c r="BG438" s="2">
        <f t="shared" si="63"/>
        <v>-0.54632281470145549</v>
      </c>
      <c r="BH438" s="2">
        <f t="shared" si="57"/>
        <v>-0.23843847203226692</v>
      </c>
      <c r="BI438" s="2">
        <f t="shared" si="58"/>
        <v>-0.64275826005572823</v>
      </c>
    </row>
    <row r="439" spans="6:61" x14ac:dyDescent="0.3">
      <c r="F439" s="31">
        <v>1979.75000000145</v>
      </c>
      <c r="G439" s="2">
        <v>0.8069754680233</v>
      </c>
      <c r="H439" s="2">
        <v>6.1499999999999846E-2</v>
      </c>
      <c r="I439" s="2">
        <v>4.9628991283432844E-2</v>
      </c>
      <c r="K439" s="31">
        <v>1979.75000000145</v>
      </c>
      <c r="L439" s="2">
        <v>0.62261413092402695</v>
      </c>
      <c r="M439" s="2">
        <v>9.2279999999999945E-2</v>
      </c>
      <c r="N439" s="2">
        <v>5.804512174181567E-2</v>
      </c>
      <c r="P439" s="31">
        <v>1979.75000000145</v>
      </c>
      <c r="Q439" s="2">
        <v>1.0365775384315192</v>
      </c>
      <c r="R439" s="2">
        <v>7.1900000000000297E-2</v>
      </c>
      <c r="S439" s="2">
        <v>6.5391258028432778E-2</v>
      </c>
      <c r="U439" s="2">
        <f t="shared" si="59"/>
        <v>0.8220557124596154</v>
      </c>
      <c r="V439" s="2">
        <f t="shared" si="60"/>
        <v>7.5226666666666706E-2</v>
      </c>
      <c r="W439" s="2">
        <f t="shared" si="61"/>
        <v>5.7688457017893768E-2</v>
      </c>
      <c r="Y439" s="31">
        <v>1979.75000000145</v>
      </c>
      <c r="Z439" s="2">
        <v>0.4249956523839738</v>
      </c>
      <c r="AA439" s="2">
        <v>-0.78876452892998183</v>
      </c>
      <c r="AB439" s="2">
        <v>-0.5880127060082746</v>
      </c>
      <c r="AD439" s="31">
        <v>1979.75000000145</v>
      </c>
      <c r="AE439" s="2">
        <v>-1.1106976074497581</v>
      </c>
      <c r="AF439" s="2">
        <v>6.7241855071186282E-2</v>
      </c>
      <c r="AG439" s="2">
        <v>-7.7599476955357988E-2</v>
      </c>
      <c r="AH439" s="31"/>
      <c r="AI439" s="31">
        <v>1979.75000000145</v>
      </c>
      <c r="AJ439" s="2">
        <v>1.7036075415161649</v>
      </c>
      <c r="AK439" s="2">
        <v>-0.61478205611361436</v>
      </c>
      <c r="AL439" s="2">
        <v>1.6560705538210563</v>
      </c>
      <c r="AM439" s="31"/>
      <c r="AN439" s="2">
        <f t="shared" si="62"/>
        <v>0.33930186215012687</v>
      </c>
      <c r="AO439" s="2">
        <f t="shared" si="55"/>
        <v>-0.44543490999080326</v>
      </c>
      <c r="AP439" s="2">
        <f t="shared" si="56"/>
        <v>0.33015279028580785</v>
      </c>
      <c r="AQ439" s="31"/>
      <c r="AR439" s="31">
        <v>1979.75000000145</v>
      </c>
      <c r="AS439" s="2">
        <v>0.43622761058664022</v>
      </c>
      <c r="AT439" s="2">
        <v>-0.6766476141944503</v>
      </c>
      <c r="AU439" s="2">
        <v>-0.33147684494054047</v>
      </c>
      <c r="AV439" s="31"/>
      <c r="AW439" s="31">
        <v>1979.75000000145</v>
      </c>
      <c r="AX439" s="2">
        <v>-1.1954589984991293</v>
      </c>
      <c r="AY439" s="2">
        <v>0.96310780514635363</v>
      </c>
      <c r="AZ439" s="2">
        <v>0.30173750305523434</v>
      </c>
      <c r="BA439" s="31"/>
      <c r="BB439" s="31">
        <v>1979.75000000145</v>
      </c>
      <c r="BC439" s="2">
        <v>1.6470344104752579</v>
      </c>
      <c r="BD439" s="2">
        <v>-0.59144451954684485</v>
      </c>
      <c r="BE439" s="2">
        <v>1.3415714904759541</v>
      </c>
      <c r="BG439" s="2">
        <f t="shared" si="63"/>
        <v>0.29593434085425629</v>
      </c>
      <c r="BH439" s="2">
        <f t="shared" si="57"/>
        <v>-0.10166144286498051</v>
      </c>
      <c r="BI439" s="2">
        <f t="shared" si="58"/>
        <v>0.43727738286354928</v>
      </c>
    </row>
    <row r="440" spans="6:61" x14ac:dyDescent="0.3">
      <c r="F440" s="31">
        <v>1979.6666666681199</v>
      </c>
      <c r="G440" s="2">
        <v>0.66255024318571576</v>
      </c>
      <c r="H440" s="2">
        <v>6.1499999999999798E-2</v>
      </c>
      <c r="I440" s="2">
        <v>4.0746839955921384E-2</v>
      </c>
      <c r="K440" s="31">
        <v>1979.6666666681199</v>
      </c>
      <c r="L440" s="2">
        <v>0.68128935539411573</v>
      </c>
      <c r="M440" s="2">
        <v>6.1514999999999952E-2</v>
      </c>
      <c r="N440" s="2">
        <v>4.1909567837159746E-2</v>
      </c>
      <c r="P440" s="31">
        <v>1979.6666666681199</v>
      </c>
      <c r="Q440" s="2">
        <v>1.0066389427142197</v>
      </c>
      <c r="R440" s="2">
        <v>4.7900000000000303E-2</v>
      </c>
      <c r="S440" s="2">
        <v>4.9775856929299596E-2</v>
      </c>
      <c r="U440" s="2">
        <f t="shared" si="59"/>
        <v>0.78349284709801703</v>
      </c>
      <c r="V440" s="2">
        <f t="shared" si="60"/>
        <v>5.6971666666666691E-2</v>
      </c>
      <c r="W440" s="2">
        <f t="shared" si="61"/>
        <v>4.4144088240793578E-2</v>
      </c>
      <c r="Y440" s="31">
        <v>1979.6666666681199</v>
      </c>
      <c r="Z440" s="2">
        <v>-0.41239280539807882</v>
      </c>
      <c r="AA440" s="2">
        <v>-0.78876452892998272</v>
      </c>
      <c r="AB440" s="2">
        <v>-0.79242865995255296</v>
      </c>
      <c r="AD440" s="31">
        <v>1979.6666666681199</v>
      </c>
      <c r="AE440" s="2">
        <v>-0.76153562346362302</v>
      </c>
      <c r="AF440" s="2">
        <v>-0.68622224125583742</v>
      </c>
      <c r="AG440" s="2">
        <v>-0.69115085535682053</v>
      </c>
      <c r="AH440" s="31"/>
      <c r="AI440" s="31">
        <v>1979.6666666681199</v>
      </c>
      <c r="AJ440" s="2">
        <v>2.4230451054469317</v>
      </c>
      <c r="AK440" s="2">
        <v>-1.186702766808877</v>
      </c>
      <c r="AL440" s="2">
        <v>0.39406718278667052</v>
      </c>
      <c r="AM440" s="31"/>
      <c r="AN440" s="2">
        <f t="shared" si="62"/>
        <v>0.41637222552840997</v>
      </c>
      <c r="AO440" s="2">
        <f t="shared" si="55"/>
        <v>-0.88722984566489904</v>
      </c>
      <c r="AP440" s="2">
        <f t="shared" si="56"/>
        <v>-0.36317077750756765</v>
      </c>
      <c r="AQ440" s="31"/>
      <c r="AR440" s="31">
        <v>1979.6666666681199</v>
      </c>
      <c r="AS440" s="2">
        <v>-0.36753996585315013</v>
      </c>
      <c r="AT440" s="2">
        <v>-0.32631334910520099</v>
      </c>
      <c r="AU440" s="2">
        <v>-0.56261736601154211</v>
      </c>
      <c r="AV440" s="31"/>
      <c r="AW440" s="31">
        <v>1979.6666666681199</v>
      </c>
      <c r="AX440" s="2">
        <v>-0.55477438545661262</v>
      </c>
      <c r="AY440" s="2">
        <v>-0.23837245449551037</v>
      </c>
      <c r="AZ440" s="2">
        <v>-0.57110367282017416</v>
      </c>
      <c r="BA440" s="31"/>
      <c r="BB440" s="31">
        <v>1979.6666666681199</v>
      </c>
      <c r="BC440" s="2">
        <v>1.8762360442386568</v>
      </c>
      <c r="BD440" s="2">
        <v>-1.0289872901111137</v>
      </c>
      <c r="BE440" s="2">
        <v>0.46512964979158855</v>
      </c>
      <c r="BG440" s="2">
        <f t="shared" si="63"/>
        <v>0.31797389764296469</v>
      </c>
      <c r="BH440" s="2">
        <f t="shared" si="57"/>
        <v>-0.5312243645706084</v>
      </c>
      <c r="BI440" s="2">
        <f t="shared" si="58"/>
        <v>-0.22286379634670925</v>
      </c>
    </row>
    <row r="441" spans="6:61" x14ac:dyDescent="0.3">
      <c r="F441" s="31">
        <v>1979.58333333479</v>
      </c>
      <c r="G441" s="2">
        <v>0.88640807632110197</v>
      </c>
      <c r="H441" s="2">
        <v>6.1499999999999846E-2</v>
      </c>
      <c r="I441" s="2">
        <v>5.4514096693747648E-2</v>
      </c>
      <c r="K441" s="31">
        <v>1979.58333333479</v>
      </c>
      <c r="L441" s="2">
        <v>0.73579477382975944</v>
      </c>
      <c r="M441" s="2">
        <v>6.1514999999999952E-2</v>
      </c>
      <c r="N441" s="2">
        <v>4.5262044197001472E-2</v>
      </c>
      <c r="P441" s="31">
        <v>1979.58333333479</v>
      </c>
      <c r="Q441" s="2">
        <v>1.0042260996561394</v>
      </c>
      <c r="R441" s="2">
        <v>7.1900000000000297E-2</v>
      </c>
      <c r="S441" s="2">
        <v>7.1020454686816684E-2</v>
      </c>
      <c r="U441" s="2">
        <f t="shared" si="59"/>
        <v>0.8754763166023336</v>
      </c>
      <c r="V441" s="2">
        <f t="shared" si="60"/>
        <v>6.4971666666666705E-2</v>
      </c>
      <c r="W441" s="2">
        <f t="shared" si="61"/>
        <v>5.6932198525855265E-2</v>
      </c>
      <c r="Y441" s="31">
        <v>1979.58333333479</v>
      </c>
      <c r="Z441" s="2">
        <v>0.88555196749377452</v>
      </c>
      <c r="AA441" s="2">
        <v>-0.78876452892998183</v>
      </c>
      <c r="AB441" s="2">
        <v>-0.4755857223027814</v>
      </c>
      <c r="AD441" s="31">
        <v>1979.58333333479</v>
      </c>
      <c r="AE441" s="2">
        <v>-0.43718714059270553</v>
      </c>
      <c r="AF441" s="2">
        <v>-0.68622224125583742</v>
      </c>
      <c r="AG441" s="2">
        <v>-0.5636735773040551</v>
      </c>
      <c r="AH441" s="31"/>
      <c r="AI441" s="31">
        <v>1979.58333333479</v>
      </c>
      <c r="AJ441" s="2">
        <v>2.2379649850297341</v>
      </c>
      <c r="AK441" s="2">
        <v>-0.61478205611361436</v>
      </c>
      <c r="AL441" s="2">
        <v>2.1110102069235528</v>
      </c>
      <c r="AM441" s="31"/>
      <c r="AN441" s="2">
        <f t="shared" si="62"/>
        <v>0.89544327064360107</v>
      </c>
      <c r="AO441" s="2">
        <f t="shared" si="55"/>
        <v>-0.69658960876647791</v>
      </c>
      <c r="AP441" s="2">
        <f t="shared" si="56"/>
        <v>0.35725030243890538</v>
      </c>
      <c r="AQ441" s="31"/>
      <c r="AR441" s="31">
        <v>1979.58333333479</v>
      </c>
      <c r="AS441" s="2">
        <v>0.40837466345179291</v>
      </c>
      <c r="AT441" s="2">
        <v>-0.65870957567408583</v>
      </c>
      <c r="AU441" s="2">
        <v>-0.28836502779042655</v>
      </c>
      <c r="AV441" s="31"/>
      <c r="AW441" s="31">
        <v>1979.58333333479</v>
      </c>
      <c r="AX441" s="2">
        <v>-0.73009896517541384</v>
      </c>
      <c r="AY441" s="2">
        <v>-0.53553372549108424</v>
      </c>
      <c r="AZ441" s="2">
        <v>-0.84741500874345022</v>
      </c>
      <c r="BA441" s="31"/>
      <c r="BB441" s="31">
        <v>1979.58333333479</v>
      </c>
      <c r="BC441" s="2">
        <v>1.5077151565360067</v>
      </c>
      <c r="BD441" s="2">
        <v>-0.51613739712758211</v>
      </c>
      <c r="BE441" s="2">
        <v>1.2324560975675793</v>
      </c>
      <c r="BG441" s="2">
        <f t="shared" si="63"/>
        <v>0.39533028493746197</v>
      </c>
      <c r="BH441" s="2">
        <f t="shared" si="57"/>
        <v>-0.57012689943091743</v>
      </c>
      <c r="BI441" s="2">
        <f t="shared" si="58"/>
        <v>3.2225353677900859E-2</v>
      </c>
    </row>
    <row r="442" spans="6:61" x14ac:dyDescent="0.3">
      <c r="F442" s="31">
        <v>1979.50000000146</v>
      </c>
      <c r="G442" s="2">
        <v>0.71702197864973238</v>
      </c>
      <c r="H442" s="2">
        <v>6.1499999999999798E-2</v>
      </c>
      <c r="I442" s="2">
        <v>4.4096851686958399E-2</v>
      </c>
      <c r="K442" s="31">
        <v>1979.50000000146</v>
      </c>
      <c r="L442" s="2">
        <v>0.78143387942952125</v>
      </c>
      <c r="M442" s="2">
        <v>6.1514999999999952E-2</v>
      </c>
      <c r="N442" s="2">
        <v>4.8068815344576181E-2</v>
      </c>
      <c r="P442" s="31">
        <v>1979.50000000146</v>
      </c>
      <c r="Q442" s="2">
        <v>0.92241784110507119</v>
      </c>
      <c r="R442" s="2"/>
      <c r="S442" s="2"/>
      <c r="U442" s="2">
        <f t="shared" si="59"/>
        <v>0.80695789972810827</v>
      </c>
      <c r="V442" s="2">
        <f t="shared" si="60"/>
        <v>6.1507499999999875E-2</v>
      </c>
      <c r="W442" s="2">
        <f t="shared" si="61"/>
        <v>4.6082833515767294E-2</v>
      </c>
      <c r="Y442" s="31">
        <v>1979.50000000146</v>
      </c>
      <c r="Z442" s="2">
        <v>-9.6561532819339199E-2</v>
      </c>
      <c r="AA442" s="2">
        <v>-0.78876452892998272</v>
      </c>
      <c r="AB442" s="2">
        <v>-0.71533068914863562</v>
      </c>
      <c r="AD442" s="31">
        <v>1979.50000000146</v>
      </c>
      <c r="AE442" s="2">
        <v>-0.16559992805994272</v>
      </c>
      <c r="AF442" s="2">
        <v>-0.68622224125583742</v>
      </c>
      <c r="AG442" s="2">
        <v>-0.45694663649819867</v>
      </c>
      <c r="AH442" s="31"/>
      <c r="AI442" s="31">
        <v>1979.50000000146</v>
      </c>
      <c r="AJ442" s="2"/>
      <c r="AK442" s="2"/>
      <c r="AL442" s="2"/>
      <c r="AM442" s="31"/>
      <c r="AN442" s="2">
        <f t="shared" si="62"/>
        <v>-0.13108073043964097</v>
      </c>
      <c r="AO442" s="2">
        <f t="shared" si="55"/>
        <v>-0.73749338509291007</v>
      </c>
      <c r="AP442" s="2">
        <f t="shared" si="56"/>
        <v>-0.58613866282341709</v>
      </c>
      <c r="AQ442" s="31"/>
      <c r="AR442" s="31">
        <v>1979.50000000146</v>
      </c>
      <c r="AS442" s="2">
        <v>-0.28237484147379188</v>
      </c>
      <c r="AT442" s="2">
        <v>-2.3130098149133811E-2</v>
      </c>
      <c r="AU442" s="2">
        <v>-0.29950091958065206</v>
      </c>
      <c r="AV442" s="31"/>
      <c r="AW442" s="31">
        <v>1979.50000000146</v>
      </c>
      <c r="AX442" s="2">
        <v>-0.27619703375066129</v>
      </c>
      <c r="AY442" s="2">
        <v>-0.10780241638246968</v>
      </c>
      <c r="AZ442" s="2">
        <v>-0.27607376820605173</v>
      </c>
      <c r="BA442" s="31"/>
      <c r="BB442" s="31">
        <v>1979.50000000146</v>
      </c>
      <c r="BC442" s="2"/>
      <c r="BD442" s="2"/>
      <c r="BE442" s="2"/>
      <c r="BG442" s="2">
        <f t="shared" si="63"/>
        <v>-0.27928593761222659</v>
      </c>
      <c r="BH442" s="2">
        <f t="shared" si="57"/>
        <v>-6.5466257265801742E-2</v>
      </c>
      <c r="BI442" s="2">
        <f t="shared" si="58"/>
        <v>-0.28778734389335192</v>
      </c>
    </row>
    <row r="443" spans="6:61" x14ac:dyDescent="0.3">
      <c r="F443" s="31">
        <v>1979.4166666681299</v>
      </c>
      <c r="G443" s="2">
        <v>0.94905958971625948</v>
      </c>
      <c r="H443" s="2">
        <v>0.15374999999999961</v>
      </c>
      <c r="I443" s="2">
        <v>0.13892007933348449</v>
      </c>
      <c r="K443" s="31">
        <v>1979.4166666681299</v>
      </c>
      <c r="L443" s="2">
        <v>0.82751084838149414</v>
      </c>
      <c r="M443" s="2">
        <v>9.2264999999999903E-2</v>
      </c>
      <c r="N443" s="2">
        <v>5.0902516738907264E-2</v>
      </c>
      <c r="P443" s="31">
        <v>1979.4166666681299</v>
      </c>
      <c r="Q443" s="2">
        <v>0.86772035305775885</v>
      </c>
      <c r="R443" s="2">
        <v>0.14380000000000059</v>
      </c>
      <c r="S443" s="2">
        <v>7.2796982609912991E-2</v>
      </c>
      <c r="U443" s="2">
        <f t="shared" si="59"/>
        <v>0.88143026371850419</v>
      </c>
      <c r="V443" s="2">
        <f t="shared" si="60"/>
        <v>0.12993833333333338</v>
      </c>
      <c r="W443" s="2">
        <f t="shared" si="61"/>
        <v>8.7539859560768249E-2</v>
      </c>
      <c r="Y443" s="31">
        <v>1979.4166666681299</v>
      </c>
      <c r="Z443" s="2">
        <v>1.2488102157581025</v>
      </c>
      <c r="AA443" s="2">
        <v>1.012624953636539</v>
      </c>
      <c r="AB443" s="2">
        <v>1.4669537395575352</v>
      </c>
      <c r="AD443" s="31">
        <v>1979.4166666681299</v>
      </c>
      <c r="AE443" s="2">
        <v>0.10859290274106849</v>
      </c>
      <c r="AF443" s="2">
        <v>6.6874490811640125E-2</v>
      </c>
      <c r="AG443" s="2">
        <v>-0.34919567816460828</v>
      </c>
      <c r="AH443" s="31"/>
      <c r="AI443" s="31">
        <v>1979.4166666681299</v>
      </c>
      <c r="AJ443" s="2">
        <v>2.3746603023122574</v>
      </c>
      <c r="AK443" s="2">
        <v>1.0985970730109507</v>
      </c>
      <c r="AL443" s="2">
        <v>2.2545853999942391</v>
      </c>
      <c r="AM443" s="31"/>
      <c r="AN443" s="2">
        <f t="shared" si="62"/>
        <v>1.2440211402704762</v>
      </c>
      <c r="AO443" s="2">
        <f t="shared" si="55"/>
        <v>0.72603217248637664</v>
      </c>
      <c r="AP443" s="2">
        <f t="shared" si="56"/>
        <v>1.1241144871290552</v>
      </c>
      <c r="AQ443" s="31"/>
      <c r="AR443" s="31">
        <v>1979.4166666681299</v>
      </c>
      <c r="AS443" s="2">
        <v>0.62684174649344171</v>
      </c>
      <c r="AT443" s="2">
        <v>-0.3587827526842341</v>
      </c>
      <c r="AU443" s="2">
        <v>-0.10356234061218159</v>
      </c>
      <c r="AV443" s="31"/>
      <c r="AW443" s="31">
        <v>1979.4166666681299</v>
      </c>
      <c r="AX443" s="2">
        <v>-0.31186978056215325</v>
      </c>
      <c r="AY443" s="2">
        <v>-1.0196274698486036</v>
      </c>
      <c r="AZ443" s="2">
        <v>-1.0215601580930294</v>
      </c>
      <c r="BA443" s="31"/>
      <c r="BB443" s="31">
        <v>1979.4166666681299</v>
      </c>
      <c r="BC443" s="2">
        <v>1.7353659940214394</v>
      </c>
      <c r="BD443" s="2">
        <v>-0.3489924073651578</v>
      </c>
      <c r="BE443" s="2">
        <v>1.4831577854484908</v>
      </c>
      <c r="BG443" s="2">
        <f t="shared" si="63"/>
        <v>0.68344598665090928</v>
      </c>
      <c r="BH443" s="2">
        <f t="shared" si="57"/>
        <v>-0.57580087663266522</v>
      </c>
      <c r="BI443" s="2">
        <f t="shared" si="58"/>
        <v>0.11934509558109326</v>
      </c>
    </row>
    <row r="444" spans="6:61" x14ac:dyDescent="0.3">
      <c r="F444" s="31">
        <v>1979.3333333348</v>
      </c>
      <c r="G444" s="2">
        <v>0.86090487102595903</v>
      </c>
      <c r="H444" s="2">
        <v>0.15374999999999961</v>
      </c>
      <c r="I444" s="2">
        <v>0.12628942577381277</v>
      </c>
      <c r="K444" s="31">
        <v>1979.3333333348</v>
      </c>
      <c r="L444" s="2">
        <v>0.81835951876265178</v>
      </c>
      <c r="M444" s="2">
        <v>9.2264999999999903E-2</v>
      </c>
      <c r="N444" s="2">
        <v>5.0339674819302904E-2</v>
      </c>
      <c r="P444" s="31">
        <v>1979.3333333348</v>
      </c>
      <c r="Q444" s="2">
        <v>0.8908648669579855</v>
      </c>
      <c r="R444" s="2">
        <v>7.1900000000000297E-2</v>
      </c>
      <c r="S444" s="2">
        <v>6.8249468509066449E-2</v>
      </c>
      <c r="U444" s="2">
        <f t="shared" si="59"/>
        <v>0.85670975224886536</v>
      </c>
      <c r="V444" s="2">
        <f t="shared" si="60"/>
        <v>0.10597166666666662</v>
      </c>
      <c r="W444" s="2">
        <f t="shared" si="61"/>
        <v>8.1626189700727381E-2</v>
      </c>
      <c r="Y444" s="31">
        <v>1979.3333333348</v>
      </c>
      <c r="Z444" s="2">
        <v>0.73768244002989025</v>
      </c>
      <c r="AA444" s="2">
        <v>1.012624953636539</v>
      </c>
      <c r="AB444" s="2">
        <v>1.1762688591566772</v>
      </c>
      <c r="AD444" s="31">
        <v>1979.3333333348</v>
      </c>
      <c r="AE444" s="2">
        <v>5.4135566877701435E-2</v>
      </c>
      <c r="AF444" s="2">
        <v>6.6874490811640125E-2</v>
      </c>
      <c r="AG444" s="2">
        <v>-0.37059763545940771</v>
      </c>
      <c r="AH444" s="31"/>
      <c r="AI444" s="31">
        <v>1979.3333333348</v>
      </c>
      <c r="AJ444" s="2">
        <v>1.9993309126612293</v>
      </c>
      <c r="AK444" s="2">
        <v>-0.61478205611361436</v>
      </c>
      <c r="AL444" s="2">
        <v>1.8870650213205646</v>
      </c>
      <c r="AM444" s="31"/>
      <c r="AN444" s="2">
        <f t="shared" si="62"/>
        <v>0.93038297318960694</v>
      </c>
      <c r="AO444" s="2">
        <f t="shared" si="55"/>
        <v>0.15490579611152158</v>
      </c>
      <c r="AP444" s="2">
        <f t="shared" si="56"/>
        <v>0.89757874833927798</v>
      </c>
      <c r="AQ444" s="31"/>
      <c r="AR444" s="31">
        <v>1979.3333333348</v>
      </c>
      <c r="AS444" s="2">
        <v>0.69069725387954173</v>
      </c>
      <c r="AT444" s="2">
        <v>-1.8664175683889669E-2</v>
      </c>
      <c r="AU444" s="2">
        <v>0.26751996812526835</v>
      </c>
      <c r="AV444" s="31"/>
      <c r="AW444" s="31">
        <v>1979.3333333348</v>
      </c>
      <c r="AX444" s="2">
        <v>-9.7768955597660911E-2</v>
      </c>
      <c r="AY444" s="2">
        <v>-0.6035549277918324</v>
      </c>
      <c r="AZ444" s="2">
        <v>-0.6284187609209082</v>
      </c>
      <c r="BA444" s="31"/>
      <c r="BB444" s="31">
        <v>1979.3333333348</v>
      </c>
      <c r="BC444" s="2">
        <v>2.0075701185278998</v>
      </c>
      <c r="BD444" s="2">
        <v>-1.2946315076121118</v>
      </c>
      <c r="BE444" s="2">
        <v>1.684409149301652</v>
      </c>
      <c r="BG444" s="2">
        <f t="shared" si="63"/>
        <v>0.86683280560326015</v>
      </c>
      <c r="BH444" s="2">
        <f t="shared" si="57"/>
        <v>-0.63895020369594457</v>
      </c>
      <c r="BI444" s="2">
        <f t="shared" si="58"/>
        <v>0.44117011883533735</v>
      </c>
    </row>
    <row r="445" spans="6:61" x14ac:dyDescent="0.3">
      <c r="F445" s="31">
        <v>1979.25000000147</v>
      </c>
      <c r="G445" s="2">
        <v>0.82272061671221408</v>
      </c>
      <c r="H445" s="2">
        <v>0.15374999999999961</v>
      </c>
      <c r="I445" s="2">
        <v>0.12279408481899898</v>
      </c>
      <c r="K445" s="31">
        <v>1979.25000000147</v>
      </c>
      <c r="L445" s="2">
        <v>0.79325619675724668</v>
      </c>
      <c r="M445" s="2">
        <v>9.2264999999999903E-2</v>
      </c>
      <c r="N445" s="2">
        <v>4.8795749027620398E-2</v>
      </c>
      <c r="P445" s="31">
        <v>1979.25000000147</v>
      </c>
      <c r="Q445" s="2">
        <v>0.82957370162517841</v>
      </c>
      <c r="R445" s="2">
        <v>7.1900000000000297E-2</v>
      </c>
      <c r="S445" s="2">
        <v>6.3704361360794284E-2</v>
      </c>
      <c r="U445" s="2">
        <f t="shared" si="59"/>
        <v>0.81518350503154646</v>
      </c>
      <c r="V445" s="2">
        <f t="shared" si="60"/>
        <v>0.10597166666666662</v>
      </c>
      <c r="W445" s="2">
        <f t="shared" si="61"/>
        <v>7.8431398402471222E-2</v>
      </c>
      <c r="Y445" s="31">
        <v>1979.25000000147</v>
      </c>
      <c r="Z445" s="2">
        <v>0.51628722415051287</v>
      </c>
      <c r="AA445" s="2">
        <v>1.012624953636539</v>
      </c>
      <c r="AB445" s="2">
        <v>1.0958262468555702</v>
      </c>
      <c r="AD445" s="31">
        <v>1979.25000000147</v>
      </c>
      <c r="AE445" s="2">
        <v>-9.5248194244819756E-2</v>
      </c>
      <c r="AF445" s="2">
        <v>6.6874490811640125E-2</v>
      </c>
      <c r="AG445" s="2">
        <v>-0.42930512100553653</v>
      </c>
      <c r="AH445" s="31"/>
      <c r="AI445" s="31">
        <v>1979.25000000147</v>
      </c>
      <c r="AJ445" s="2">
        <v>1.6173639396180077</v>
      </c>
      <c r="AK445" s="2">
        <v>-0.61478205611361436</v>
      </c>
      <c r="AL445" s="2">
        <v>1.5197391674140415</v>
      </c>
      <c r="AM445" s="31"/>
      <c r="AN445" s="2">
        <f t="shared" si="62"/>
        <v>0.67946765650790031</v>
      </c>
      <c r="AO445" s="2">
        <f t="shared" si="55"/>
        <v>0.15490579611152158</v>
      </c>
      <c r="AP445" s="2">
        <f t="shared" si="56"/>
        <v>0.72875343108802504</v>
      </c>
      <c r="AQ445" s="31"/>
      <c r="AR445" s="31">
        <v>1979.25000000147</v>
      </c>
      <c r="AS445" s="2">
        <v>0.81310751561086247</v>
      </c>
      <c r="AT445" s="2">
        <v>-6.2988546229769724E-2</v>
      </c>
      <c r="AU445" s="2">
        <v>0.29622507845303064</v>
      </c>
      <c r="AV445" s="31"/>
      <c r="AW445" s="31">
        <v>1979.25000000147</v>
      </c>
      <c r="AX445" s="2">
        <v>-4.093045003153168E-2</v>
      </c>
      <c r="AY445" s="2">
        <v>-0.8205967459488962</v>
      </c>
      <c r="AZ445" s="2">
        <v>-0.75806419737387998</v>
      </c>
      <c r="BA445" s="31"/>
      <c r="BB445" s="31">
        <v>1979.25000000147</v>
      </c>
      <c r="BC445" s="2">
        <v>2.1321559408676327</v>
      </c>
      <c r="BD445" s="2">
        <v>-1.5983653379264826</v>
      </c>
      <c r="BE445" s="2">
        <v>1.8395361415489824</v>
      </c>
      <c r="BG445" s="2">
        <f t="shared" si="63"/>
        <v>0.96811100214898793</v>
      </c>
      <c r="BH445" s="2">
        <f t="shared" si="57"/>
        <v>-0.82731687670171616</v>
      </c>
      <c r="BI445" s="2">
        <f t="shared" si="58"/>
        <v>0.45923234087604436</v>
      </c>
    </row>
    <row r="446" spans="6:61" x14ac:dyDescent="0.3">
      <c r="F446" s="31">
        <v>1979.1666666681399</v>
      </c>
      <c r="G446" s="2">
        <v>0.76759925327767831</v>
      </c>
      <c r="H446" s="2">
        <v>0.15374999999999961</v>
      </c>
      <c r="I446" s="2">
        <v>0.11599298663440991</v>
      </c>
      <c r="K446" s="31">
        <v>1979.1666666681399</v>
      </c>
      <c r="L446" s="2">
        <v>0.72426599630385669</v>
      </c>
      <c r="M446" s="2">
        <v>9.2264999999999903E-2</v>
      </c>
      <c r="N446" s="2">
        <v>4.4552514696030297E-2</v>
      </c>
      <c r="P446" s="31">
        <v>1979.1666666681399</v>
      </c>
      <c r="Q446" s="2">
        <v>0.85967130017847804</v>
      </c>
      <c r="R446" s="2">
        <v>9.5850000000000463E-2</v>
      </c>
      <c r="S446" s="2">
        <v>6.0335305387293481E-2</v>
      </c>
      <c r="U446" s="2">
        <f t="shared" si="59"/>
        <v>0.78384551658667101</v>
      </c>
      <c r="V446" s="2">
        <f t="shared" si="60"/>
        <v>0.11395499999999999</v>
      </c>
      <c r="W446" s="2">
        <f t="shared" si="61"/>
        <v>7.3626935572577892E-2</v>
      </c>
      <c r="Y446" s="31">
        <v>1979.1666666681399</v>
      </c>
      <c r="Z446" s="2">
        <v>0.19668935910167765</v>
      </c>
      <c r="AA446" s="2">
        <v>1.012624953636539</v>
      </c>
      <c r="AB446" s="2">
        <v>0.9393041474216951</v>
      </c>
      <c r="AD446" s="31">
        <v>1979.1666666681399</v>
      </c>
      <c r="AE446" s="2">
        <v>-0.50579209047118501</v>
      </c>
      <c r="AF446" s="2">
        <v>6.6874490811640125E-2</v>
      </c>
      <c r="AG446" s="2">
        <v>-0.59065330207270716</v>
      </c>
      <c r="AH446" s="31"/>
      <c r="AI446" s="31">
        <v>1979.1666666681399</v>
      </c>
      <c r="AJ446" s="2">
        <v>1.2923164210610281</v>
      </c>
      <c r="AK446" s="2">
        <v>-4.4052846898962821E-2</v>
      </c>
      <c r="AL446" s="2">
        <v>1.2474592580623973</v>
      </c>
      <c r="AM446" s="31"/>
      <c r="AN446" s="2">
        <f t="shared" si="62"/>
        <v>0.32773789656384023</v>
      </c>
      <c r="AO446" s="2">
        <f t="shared" si="55"/>
        <v>0.34514886584973881</v>
      </c>
      <c r="AP446" s="2">
        <f t="shared" si="56"/>
        <v>0.53203670113712842</v>
      </c>
      <c r="AQ446" s="31"/>
      <c r="AR446" s="31">
        <v>1979.1666666681399</v>
      </c>
      <c r="AS446" s="2">
        <v>0.62823896676303559</v>
      </c>
      <c r="AT446" s="2">
        <v>0.16876039905139967</v>
      </c>
      <c r="AU446" s="2">
        <v>0.45912039256236126</v>
      </c>
      <c r="AV446" s="31"/>
      <c r="AW446" s="31">
        <v>1979.1666666681399</v>
      </c>
      <c r="AX446" s="2">
        <v>-0.3162617388391375</v>
      </c>
      <c r="AY446" s="2">
        <v>-0.48231704140909132</v>
      </c>
      <c r="AZ446" s="2">
        <v>-0.63276426184378798</v>
      </c>
      <c r="BA446" s="31"/>
      <c r="BB446" s="31">
        <v>1979.1666666681399</v>
      </c>
      <c r="BC446" s="2">
        <v>2.0586206881821938</v>
      </c>
      <c r="BD446" s="2">
        <v>-0.34847073798484229</v>
      </c>
      <c r="BE446" s="2">
        <v>1.9257786964508947</v>
      </c>
      <c r="BG446" s="2">
        <f t="shared" si="63"/>
        <v>0.79019930536869731</v>
      </c>
      <c r="BH446" s="2">
        <f t="shared" si="57"/>
        <v>-0.22067579344751129</v>
      </c>
      <c r="BI446" s="2">
        <f t="shared" si="58"/>
        <v>0.58404494238982263</v>
      </c>
    </row>
    <row r="447" spans="6:61" x14ac:dyDescent="0.3">
      <c r="F447" s="31">
        <v>1979.08333333481</v>
      </c>
      <c r="G447" s="2">
        <v>0.72599791201567976</v>
      </c>
      <c r="H447" s="2">
        <v>0.12299999999999969</v>
      </c>
      <c r="I447" s="2">
        <v>8.9297743177928407E-2</v>
      </c>
      <c r="K447" s="31">
        <v>1979.08333333481</v>
      </c>
      <c r="L447" s="2">
        <v>0.67808328517187166</v>
      </c>
      <c r="M447" s="2">
        <v>6.1514999999999952E-2</v>
      </c>
      <c r="N447" s="2">
        <v>4.1711950363001085E-2</v>
      </c>
      <c r="P447" s="31">
        <v>1979.08333333481</v>
      </c>
      <c r="Q447" s="2">
        <v>0.81631885353568934</v>
      </c>
      <c r="R447" s="2">
        <v>7.1900000000000297E-2</v>
      </c>
      <c r="S447" s="2">
        <v>5.9252543741234037E-2</v>
      </c>
      <c r="U447" s="2">
        <f t="shared" si="59"/>
        <v>0.74013335024108029</v>
      </c>
      <c r="V447" s="2">
        <f t="shared" si="60"/>
        <v>8.5471666666666654E-2</v>
      </c>
      <c r="W447" s="2">
        <f t="shared" si="61"/>
        <v>6.3420745760721167E-2</v>
      </c>
      <c r="Y447" s="31">
        <v>1979.08333333481</v>
      </c>
      <c r="Z447" s="2">
        <v>-4.4518387261367816E-2</v>
      </c>
      <c r="AA447" s="2">
        <v>0.41216179278103221</v>
      </c>
      <c r="AB447" s="2">
        <v>0.3249334329722367</v>
      </c>
      <c r="AD447" s="31">
        <v>1979.08333333481</v>
      </c>
      <c r="AE447" s="2">
        <v>-0.78061416725629773</v>
      </c>
      <c r="AF447" s="2">
        <v>-0.68622224125583742</v>
      </c>
      <c r="AG447" s="2">
        <v>-0.69866522234928397</v>
      </c>
      <c r="AH447" s="31"/>
      <c r="AI447" s="31">
        <v>1979.08333333481</v>
      </c>
      <c r="AJ447" s="2">
        <v>1.1584313412372031</v>
      </c>
      <c r="AK447" s="2">
        <v>-0.61478205611361436</v>
      </c>
      <c r="AL447" s="2">
        <v>1.1599527740035529</v>
      </c>
      <c r="AM447" s="31"/>
      <c r="AN447" s="2">
        <f t="shared" si="62"/>
        <v>0.11109959557317921</v>
      </c>
      <c r="AO447" s="2">
        <f t="shared" si="55"/>
        <v>-0.29628083486280654</v>
      </c>
      <c r="AP447" s="2">
        <f t="shared" si="56"/>
        <v>0.26207366154216855</v>
      </c>
      <c r="AQ447" s="31"/>
      <c r="AR447" s="31">
        <v>1979.08333333481</v>
      </c>
      <c r="AS447" s="2">
        <v>0.70431365984678085</v>
      </c>
      <c r="AT447" s="2">
        <v>1.9496224470835801</v>
      </c>
      <c r="AU447" s="2">
        <v>2.23167405992998</v>
      </c>
      <c r="AV447" s="31"/>
      <c r="AW447" s="31">
        <v>1979.08333333481</v>
      </c>
      <c r="AX447" s="2">
        <v>-0.50900910097605123</v>
      </c>
      <c r="AY447" s="2">
        <v>-0.87038484719517628</v>
      </c>
      <c r="AZ447" s="2">
        <v>-0.86587603658847745</v>
      </c>
      <c r="BA447" s="31"/>
      <c r="BB447" s="31">
        <v>1979.08333333481</v>
      </c>
      <c r="BC447" s="2">
        <v>2.0354996032723127</v>
      </c>
      <c r="BD447" s="2">
        <v>-0.95760573293009554</v>
      </c>
      <c r="BE447" s="2">
        <v>1.8402990511346176</v>
      </c>
      <c r="BG447" s="2">
        <f t="shared" si="63"/>
        <v>0.743601387381014</v>
      </c>
      <c r="BH447" s="2">
        <f t="shared" si="57"/>
        <v>4.0543955652769435E-2</v>
      </c>
      <c r="BI447" s="2">
        <f t="shared" si="58"/>
        <v>1.0686990248253734</v>
      </c>
    </row>
    <row r="448" spans="6:61" x14ac:dyDescent="0.3">
      <c r="F448" s="31">
        <v>1979.00000000148</v>
      </c>
      <c r="G448" s="2">
        <v>0.74755377396969913</v>
      </c>
      <c r="H448" s="2">
        <v>9.2249999999999749E-2</v>
      </c>
      <c r="I448" s="2">
        <v>6.7768742697782353E-2</v>
      </c>
      <c r="K448" s="31">
        <v>1979.00000000148</v>
      </c>
      <c r="L448" s="2">
        <v>0.63390328390560791</v>
      </c>
      <c r="M448" s="2">
        <v>6.1530000000000001E-2</v>
      </c>
      <c r="N448" s="2">
        <v>3.9004069058712058E-2</v>
      </c>
      <c r="P448" s="31">
        <v>1979.00000000148</v>
      </c>
      <c r="Q448" s="2">
        <v>0.82752656682301939</v>
      </c>
      <c r="R448" s="2">
        <v>4.7900000000000303E-2</v>
      </c>
      <c r="S448" s="2">
        <v>4.2936702624154922E-2</v>
      </c>
      <c r="U448" s="2">
        <f t="shared" si="59"/>
        <v>0.73632787489944229</v>
      </c>
      <c r="V448" s="2">
        <f t="shared" si="60"/>
        <v>6.7226666666666685E-2</v>
      </c>
      <c r="W448" s="2">
        <f t="shared" si="61"/>
        <v>4.9903171460216444E-2</v>
      </c>
      <c r="Y448" s="31">
        <v>1979.00000000148</v>
      </c>
      <c r="Z448" s="2">
        <v>8.0464142751226847E-2</v>
      </c>
      <c r="AA448" s="2">
        <v>-0.1883013680744752</v>
      </c>
      <c r="AB448" s="2">
        <v>-0.17054013062093037</v>
      </c>
      <c r="AD448" s="31">
        <v>1979.00000000148</v>
      </c>
      <c r="AE448" s="2">
        <v>-1.0435186049291763</v>
      </c>
      <c r="AF448" s="2">
        <v>-0.68585487699629111</v>
      </c>
      <c r="AG448" s="2">
        <v>-0.8016318956107874</v>
      </c>
      <c r="AH448" s="31"/>
      <c r="AI448" s="31">
        <v>1979.00000000148</v>
      </c>
      <c r="AJ448" s="2">
        <v>1.49207413966548</v>
      </c>
      <c r="AK448" s="2">
        <v>-1.186702766808877</v>
      </c>
      <c r="AL448" s="2">
        <v>-0.15865866353155331</v>
      </c>
      <c r="AM448" s="31"/>
      <c r="AN448" s="2">
        <f t="shared" si="62"/>
        <v>0.1763398924958435</v>
      </c>
      <c r="AO448" s="2">
        <f t="shared" si="55"/>
        <v>-0.68695300395988113</v>
      </c>
      <c r="AP448" s="2">
        <f t="shared" si="56"/>
        <v>-0.37694356325442374</v>
      </c>
      <c r="AQ448" s="31"/>
      <c r="AR448" s="31">
        <v>1979.00000000148</v>
      </c>
      <c r="AS448" s="2">
        <v>0.39502153187477579</v>
      </c>
      <c r="AT448" s="2">
        <v>1.102275455956677</v>
      </c>
      <c r="AU448" s="2">
        <v>1.5009059373991944</v>
      </c>
      <c r="AV448" s="31"/>
      <c r="AW448" s="31">
        <v>1979.00000000148</v>
      </c>
      <c r="AX448" s="2">
        <v>-0.55409308564935522</v>
      </c>
      <c r="AY448" s="2">
        <v>-0.21897704373559218</v>
      </c>
      <c r="AZ448" s="2">
        <v>-0.5983890688428225</v>
      </c>
      <c r="BA448" s="31"/>
      <c r="BB448" s="31">
        <v>1979.00000000148</v>
      </c>
      <c r="BC448" s="2">
        <v>1.725488817649498</v>
      </c>
      <c r="BD448" s="2">
        <v>-0.94501805984887022</v>
      </c>
      <c r="BE448" s="2">
        <v>0.46005697965888254</v>
      </c>
      <c r="BG448" s="2">
        <f t="shared" si="63"/>
        <v>0.52213908795830621</v>
      </c>
      <c r="BH448" s="2">
        <f t="shared" si="57"/>
        <v>-2.0573215875928492E-2</v>
      </c>
      <c r="BI448" s="2">
        <f t="shared" si="58"/>
        <v>0.45419128273841819</v>
      </c>
    </row>
    <row r="449" spans="6:61" x14ac:dyDescent="0.3">
      <c r="F449" s="31">
        <v>1978.9166666681499</v>
      </c>
      <c r="G449" s="2">
        <v>0.77808175960090731</v>
      </c>
      <c r="H449" s="2">
        <v>0.12299999999999969</v>
      </c>
      <c r="I449" s="2">
        <v>9.5704056430911372E-2</v>
      </c>
      <c r="K449" s="31">
        <v>1978.9166666681499</v>
      </c>
      <c r="L449" s="2">
        <v>0.71192190526377397</v>
      </c>
      <c r="M449" s="2">
        <v>6.1514999999999952E-2</v>
      </c>
      <c r="N449" s="2">
        <v>4.3792452321524206E-2</v>
      </c>
      <c r="P449" s="31">
        <v>1978.9166666681499</v>
      </c>
      <c r="Q449" s="2">
        <v>0.85288002024317677</v>
      </c>
      <c r="R449" s="2">
        <v>9.5850000000000463E-2</v>
      </c>
      <c r="S449" s="2">
        <v>5.9865777920634911E-2</v>
      </c>
      <c r="U449" s="2">
        <f t="shared" si="59"/>
        <v>0.78096122836928605</v>
      </c>
      <c r="V449" s="2">
        <f t="shared" si="60"/>
        <v>9.3455000000000024E-2</v>
      </c>
      <c r="W449" s="2">
        <f t="shared" si="61"/>
        <v>6.6454095557690163E-2</v>
      </c>
      <c r="Y449" s="31">
        <v>1978.9166666681499</v>
      </c>
      <c r="Z449" s="2">
        <v>0.25746772945609953</v>
      </c>
      <c r="AA449" s="2">
        <v>0.41216179278103221</v>
      </c>
      <c r="AB449" s="2">
        <v>0.4723698576161397</v>
      </c>
      <c r="AD449" s="31">
        <v>1978.9166666681499</v>
      </c>
      <c r="AE449" s="2">
        <v>-0.57924877269074659</v>
      </c>
      <c r="AF449" s="2">
        <v>-0.68622224125583742</v>
      </c>
      <c r="AG449" s="2">
        <v>-0.61955452977798842</v>
      </c>
      <c r="AH449" s="31"/>
      <c r="AI449" s="31">
        <v>1978.9166666681499</v>
      </c>
      <c r="AJ449" s="2">
        <v>1.1523670732775191</v>
      </c>
      <c r="AK449" s="2">
        <v>-4.4052846898962821E-2</v>
      </c>
      <c r="AL449" s="2">
        <v>1.2095130508561511</v>
      </c>
      <c r="AM449" s="31"/>
      <c r="AN449" s="2">
        <f t="shared" si="62"/>
        <v>0.27686201001429067</v>
      </c>
      <c r="AO449" s="2">
        <f t="shared" si="55"/>
        <v>-0.10603776512458934</v>
      </c>
      <c r="AP449" s="2">
        <f t="shared" si="56"/>
        <v>0.35410945956476753</v>
      </c>
      <c r="AQ449" s="31"/>
      <c r="AR449" s="31">
        <v>1978.9166666681499</v>
      </c>
      <c r="AS449" s="2">
        <v>0.59364054277024991</v>
      </c>
      <c r="AT449" s="2">
        <v>2.0533426933213557</v>
      </c>
      <c r="AU449" s="2">
        <v>2.2036863052731719</v>
      </c>
      <c r="AV449" s="31"/>
      <c r="AW449" s="31">
        <v>1978.9166666681499</v>
      </c>
      <c r="AX449" s="2">
        <v>-0.32087287619892985</v>
      </c>
      <c r="AY449" s="2">
        <v>-0.51751295497595129</v>
      </c>
      <c r="AZ449" s="2">
        <v>-0.42722287811433479</v>
      </c>
      <c r="BA449" s="31"/>
      <c r="BB449" s="31">
        <v>1978.9166666681499</v>
      </c>
      <c r="BC449" s="2">
        <v>1.9118295325988495</v>
      </c>
      <c r="BD449" s="2">
        <v>0.88737234882057547</v>
      </c>
      <c r="BE449" s="2">
        <v>1.7996375947895582</v>
      </c>
      <c r="BG449" s="2">
        <f t="shared" si="63"/>
        <v>0.72819906639005649</v>
      </c>
      <c r="BH449" s="2">
        <f t="shared" si="57"/>
        <v>0.80773402905532665</v>
      </c>
      <c r="BI449" s="2">
        <f t="shared" si="58"/>
        <v>1.1920336739827986</v>
      </c>
    </row>
    <row r="450" spans="6:61" x14ac:dyDescent="0.3">
      <c r="F450" s="31">
        <v>1978.8333333348201</v>
      </c>
      <c r="G450" s="2">
        <v>0.83116981278872604</v>
      </c>
      <c r="H450" s="2">
        <v>9.2249999999999749E-2</v>
      </c>
      <c r="I450" s="2">
        <v>7.6418378652731767E-2</v>
      </c>
      <c r="K450" s="31">
        <v>1978.8333333348201</v>
      </c>
      <c r="L450" s="2">
        <v>0.62652983427667641</v>
      </c>
      <c r="M450" s="2">
        <v>6.1530000000000001E-2</v>
      </c>
      <c r="N450" s="2">
        <v>3.8550380703043903E-2</v>
      </c>
      <c r="P450" s="31">
        <v>1978.8333333348201</v>
      </c>
      <c r="Q450" s="2">
        <v>0.87167400038075282</v>
      </c>
      <c r="R450" s="2">
        <v>4.7900000000000303E-2</v>
      </c>
      <c r="S450" s="2">
        <v>4.1178255278549361E-2</v>
      </c>
      <c r="U450" s="2">
        <f t="shared" si="59"/>
        <v>0.77645788248205172</v>
      </c>
      <c r="V450" s="2">
        <f t="shared" si="60"/>
        <v>6.7226666666666685E-2</v>
      </c>
      <c r="W450" s="2">
        <f t="shared" si="61"/>
        <v>5.2049004878108346E-2</v>
      </c>
      <c r="Y450" s="31">
        <v>1978.8333333348201</v>
      </c>
      <c r="Z450" s="2">
        <v>0.56527630677070695</v>
      </c>
      <c r="AA450" s="2">
        <v>-0.1883013680744752</v>
      </c>
      <c r="AB450" s="2">
        <v>2.8524658956021631E-2</v>
      </c>
      <c r="AD450" s="31">
        <v>1978.8333333348201</v>
      </c>
      <c r="AE450" s="2">
        <v>-1.0873962095657292</v>
      </c>
      <c r="AF450" s="2">
        <v>-0.68585487699629111</v>
      </c>
      <c r="AG450" s="2">
        <v>-0.81888330932919517</v>
      </c>
      <c r="AH450" s="31"/>
      <c r="AI450" s="31">
        <v>1978.8333333348201</v>
      </c>
      <c r="AJ450" s="2">
        <v>1.2527077866673062</v>
      </c>
      <c r="AK450" s="2">
        <v>-1.186702766808877</v>
      </c>
      <c r="AL450" s="2">
        <v>-0.30077262293947871</v>
      </c>
      <c r="AM450" s="31"/>
      <c r="AN450" s="2">
        <f t="shared" si="62"/>
        <v>0.24352929462409464</v>
      </c>
      <c r="AO450" s="2">
        <f t="shared" si="55"/>
        <v>-0.68695300395988113</v>
      </c>
      <c r="AP450" s="2">
        <f t="shared" si="56"/>
        <v>-0.36371042443755081</v>
      </c>
      <c r="AQ450" s="31"/>
      <c r="AR450" s="31">
        <v>1978.8333333348201</v>
      </c>
      <c r="AS450" s="2">
        <v>0.5147860007020798</v>
      </c>
      <c r="AT450" s="2">
        <v>1.0321667531313441</v>
      </c>
      <c r="AU450" s="2">
        <v>1.5558429162749656</v>
      </c>
      <c r="AV450" s="31"/>
      <c r="AW450" s="31">
        <v>1978.8333333348201</v>
      </c>
      <c r="AX450" s="2">
        <v>-0.56826704448722543</v>
      </c>
      <c r="AY450" s="2">
        <v>-0.19067841091384152</v>
      </c>
      <c r="AZ450" s="2">
        <v>-0.58766684933619573</v>
      </c>
      <c r="BA450" s="31"/>
      <c r="BB450" s="31">
        <v>1978.8333333348201</v>
      </c>
      <c r="BC450" s="2">
        <v>0.91159657413962036</v>
      </c>
      <c r="BD450" s="2">
        <v>-0.86039420085980967</v>
      </c>
      <c r="BE450" s="2">
        <v>2.4388129097721784E-3</v>
      </c>
      <c r="BG450" s="2">
        <f t="shared" si="63"/>
        <v>0.28603851011815823</v>
      </c>
      <c r="BH450" s="2">
        <f t="shared" si="57"/>
        <v>-6.3019528807690683E-3</v>
      </c>
      <c r="BI450" s="2">
        <f t="shared" si="58"/>
        <v>0.32353829328284739</v>
      </c>
    </row>
    <row r="451" spans="6:61" x14ac:dyDescent="0.3">
      <c r="F451" s="31">
        <v>1978.75000000149</v>
      </c>
      <c r="G451" s="2">
        <v>0.89033040233618177</v>
      </c>
      <c r="H451" s="2">
        <v>0.12299999999999969</v>
      </c>
      <c r="I451" s="2">
        <v>0.1095106394873501</v>
      </c>
      <c r="K451" s="31">
        <v>1978.75000000149</v>
      </c>
      <c r="L451" s="2">
        <v>0.78250347017936073</v>
      </c>
      <c r="M451" s="2">
        <v>6.1514999999999952E-2</v>
      </c>
      <c r="N451" s="2">
        <v>4.8133507731284483E-2</v>
      </c>
      <c r="P451" s="31">
        <v>1978.75000000149</v>
      </c>
      <c r="Q451" s="2">
        <v>0.86416694532828564</v>
      </c>
      <c r="R451" s="2">
        <v>7.1900000000000297E-2</v>
      </c>
      <c r="S451" s="2">
        <v>6.1804071788726225E-2</v>
      </c>
      <c r="U451" s="2">
        <f t="shared" si="59"/>
        <v>0.84566693928127601</v>
      </c>
      <c r="V451" s="2">
        <f t="shared" si="60"/>
        <v>8.5471666666666654E-2</v>
      </c>
      <c r="W451" s="2">
        <f t="shared" si="61"/>
        <v>7.314940633578694E-2</v>
      </c>
      <c r="Y451" s="31">
        <v>1978.75000000149</v>
      </c>
      <c r="Z451" s="2">
        <v>0.90829391258252024</v>
      </c>
      <c r="AA451" s="2">
        <v>0.41216179278103221</v>
      </c>
      <c r="AB451" s="2">
        <v>0.79011786056347988</v>
      </c>
      <c r="AD451" s="31">
        <v>1978.75000000149</v>
      </c>
      <c r="AE451" s="2">
        <v>-0.1592350537601</v>
      </c>
      <c r="AF451" s="2">
        <v>-0.68622224125583742</v>
      </c>
      <c r="AG451" s="2">
        <v>-0.45448672075737578</v>
      </c>
      <c r="AH451" s="31"/>
      <c r="AI451" s="31">
        <v>1978.75000000149</v>
      </c>
      <c r="AJ451" s="2">
        <v>1.2376159452986961</v>
      </c>
      <c r="AK451" s="2">
        <v>-0.61478205611361436</v>
      </c>
      <c r="AL451" s="2">
        <v>1.3661618221593939</v>
      </c>
      <c r="AM451" s="31"/>
      <c r="AN451" s="2">
        <f t="shared" si="62"/>
        <v>0.6622249347070388</v>
      </c>
      <c r="AO451" s="2">
        <f t="shared" si="55"/>
        <v>-0.29628083486280654</v>
      </c>
      <c r="AP451" s="2">
        <f t="shared" si="56"/>
        <v>0.56726432065516608</v>
      </c>
      <c r="AQ451" s="31"/>
      <c r="AR451" s="31">
        <v>1978.75000000149</v>
      </c>
      <c r="AS451" s="2">
        <v>1.0228170601007438</v>
      </c>
      <c r="AT451" s="2">
        <v>2.4649305945655047</v>
      </c>
      <c r="AU451" s="2">
        <v>2.6717626405836352</v>
      </c>
      <c r="AV451" s="31"/>
      <c r="AW451" s="31">
        <v>1978.75000000149</v>
      </c>
      <c r="AX451" s="2">
        <v>-0.11540267848225075</v>
      </c>
      <c r="AY451" s="2">
        <v>-0.6564669997761764</v>
      </c>
      <c r="AZ451" s="2">
        <v>-0.4754762754645791</v>
      </c>
      <c r="BA451" s="31"/>
      <c r="BB451" s="31">
        <v>1978.75000000149</v>
      </c>
      <c r="BC451" s="2">
        <v>1.1827717267791564</v>
      </c>
      <c r="BD451" s="2">
        <v>-0.59144451954684485</v>
      </c>
      <c r="BE451" s="2">
        <v>1.0687526258742757</v>
      </c>
      <c r="BG451" s="2">
        <f t="shared" si="63"/>
        <v>0.69672870279921639</v>
      </c>
      <c r="BH451" s="2">
        <f t="shared" si="57"/>
        <v>0.40567302508082781</v>
      </c>
      <c r="BI451" s="2">
        <f t="shared" si="58"/>
        <v>1.0883463303311105</v>
      </c>
    </row>
    <row r="452" spans="6:61" x14ac:dyDescent="0.3">
      <c r="F452" s="31">
        <v>1978.6666666681599</v>
      </c>
      <c r="G452" s="2">
        <v>0.95842678674746007</v>
      </c>
      <c r="H452" s="2">
        <v>9.2249999999999749E-2</v>
      </c>
      <c r="I452" s="2">
        <v>9.0313379625346274E-2</v>
      </c>
      <c r="K452" s="31">
        <v>1978.6666666681599</v>
      </c>
      <c r="L452" s="2">
        <v>0.64601188003182841</v>
      </c>
      <c r="M452" s="2">
        <v>6.1530000000000001E-2</v>
      </c>
      <c r="N452" s="2">
        <v>3.9749110978358405E-2</v>
      </c>
      <c r="P452" s="31">
        <v>1978.6666666681599</v>
      </c>
      <c r="Q452" s="2">
        <v>0.83299203399949884</v>
      </c>
      <c r="R452" s="2">
        <v>9.5800000000000607E-2</v>
      </c>
      <c r="S452" s="2">
        <v>4.0508678026929174E-2</v>
      </c>
      <c r="U452" s="2">
        <f t="shared" si="59"/>
        <v>0.81247690025959562</v>
      </c>
      <c r="V452" s="2">
        <f t="shared" si="60"/>
        <v>8.3193333333333452E-2</v>
      </c>
      <c r="W452" s="2">
        <f t="shared" si="61"/>
        <v>5.6857056210211282E-2</v>
      </c>
      <c r="Y452" s="31">
        <v>1978.6666666681599</v>
      </c>
      <c r="Z452" s="2">
        <v>1.3031219378587173</v>
      </c>
      <c r="AA452" s="2">
        <v>-0.1883013680744752</v>
      </c>
      <c r="AB452" s="2">
        <v>0.34830753296267997</v>
      </c>
      <c r="AD452" s="31">
        <v>1978.6666666681599</v>
      </c>
      <c r="AE452" s="2">
        <v>-0.97146329564146761</v>
      </c>
      <c r="AF452" s="2">
        <v>-0.68585487699629111</v>
      </c>
      <c r="AG452" s="2">
        <v>-0.77330181785411467</v>
      </c>
      <c r="AH452" s="31"/>
      <c r="AI452" s="31">
        <v>1978.6666666681599</v>
      </c>
      <c r="AJ452" s="2">
        <v>1.161562456003072</v>
      </c>
      <c r="AK452" s="2">
        <v>-4.5244348379574514E-2</v>
      </c>
      <c r="AL452" s="2">
        <v>-0.35488642657142783</v>
      </c>
      <c r="AM452" s="31"/>
      <c r="AN452" s="2">
        <f t="shared" si="62"/>
        <v>0.49774036607344058</v>
      </c>
      <c r="AO452" s="2">
        <f t="shared" si="55"/>
        <v>-0.3064668644834469</v>
      </c>
      <c r="AP452" s="2">
        <f t="shared" si="56"/>
        <v>-0.25996023715428751</v>
      </c>
      <c r="AQ452" s="31"/>
      <c r="AR452" s="31">
        <v>1978.6666666681599</v>
      </c>
      <c r="AS452" s="2">
        <v>0.56734560220501706</v>
      </c>
      <c r="AT452" s="2">
        <v>0.70701225639459664</v>
      </c>
      <c r="AU452" s="2">
        <v>1.3623276224784804</v>
      </c>
      <c r="AV452" s="31"/>
      <c r="AW452" s="31">
        <v>1978.6666666681599</v>
      </c>
      <c r="AX452" s="2">
        <v>-0.68473495951634022</v>
      </c>
      <c r="AY452" s="2">
        <v>-0.23771353876763443</v>
      </c>
      <c r="AZ452" s="2">
        <v>-0.70060351582524449</v>
      </c>
      <c r="BA452" s="31"/>
      <c r="BB452" s="31">
        <v>1978.6666666681599</v>
      </c>
      <c r="BC452" s="2">
        <v>0.76074994167941024</v>
      </c>
      <c r="BD452" s="2">
        <v>1.0262385864010182</v>
      </c>
      <c r="BE452" s="2">
        <v>-0.28203691989097468</v>
      </c>
      <c r="BG452" s="2">
        <f t="shared" si="63"/>
        <v>0.21445352812269569</v>
      </c>
      <c r="BH452" s="2">
        <f t="shared" si="57"/>
        <v>0.49851243467599343</v>
      </c>
      <c r="BI452" s="2">
        <f t="shared" si="58"/>
        <v>0.12656239558742041</v>
      </c>
    </row>
    <row r="453" spans="6:61" x14ac:dyDescent="0.3">
      <c r="F453" s="31">
        <v>1978.5833333348301</v>
      </c>
      <c r="G453" s="2">
        <v>1.0463299360930081</v>
      </c>
      <c r="H453" s="2">
        <v>0.12299999999999969</v>
      </c>
      <c r="I453" s="2">
        <v>0.12869858213943966</v>
      </c>
      <c r="K453" s="31">
        <v>1978.5833333348301</v>
      </c>
      <c r="L453" s="2">
        <v>0.86712695505230319</v>
      </c>
      <c r="M453" s="2">
        <v>6.1514999999999952E-2</v>
      </c>
      <c r="N453" s="2">
        <v>5.333828626403013E-2</v>
      </c>
      <c r="P453" s="31">
        <v>1978.5833333348301</v>
      </c>
      <c r="Q453" s="2">
        <v>0.79901929533687033</v>
      </c>
      <c r="R453" s="2">
        <v>7.1900000000000297E-2</v>
      </c>
      <c r="S453" s="2">
        <v>6.3816760065746853E-2</v>
      </c>
      <c r="U453" s="2">
        <f t="shared" si="59"/>
        <v>0.90415872882739379</v>
      </c>
      <c r="V453" s="2">
        <f t="shared" si="60"/>
        <v>8.5471666666666654E-2</v>
      </c>
      <c r="W453" s="2">
        <f t="shared" si="61"/>
        <v>8.1951209489738885E-2</v>
      </c>
      <c r="Y453" s="31">
        <v>1978.5833333348301</v>
      </c>
      <c r="Z453" s="2">
        <v>1.812791095358262</v>
      </c>
      <c r="AA453" s="2">
        <v>0.41216179278103221</v>
      </c>
      <c r="AB453" s="2">
        <v>1.2317137596680185</v>
      </c>
      <c r="AD453" s="31">
        <v>1978.5833333348301</v>
      </c>
      <c r="AE453" s="2">
        <v>0.34433871416165374</v>
      </c>
      <c r="AF453" s="2">
        <v>-0.68622224125583742</v>
      </c>
      <c r="AG453" s="2">
        <v>-0.25657600372156486</v>
      </c>
      <c r="AH453" s="31"/>
      <c r="AI453" s="31">
        <v>1978.5833333348301</v>
      </c>
      <c r="AJ453" s="2">
        <v>1.3598504111800849</v>
      </c>
      <c r="AK453" s="2">
        <v>-0.61478205611361436</v>
      </c>
      <c r="AL453" s="2">
        <v>1.5288229907272906</v>
      </c>
      <c r="AM453" s="31"/>
      <c r="AN453" s="2">
        <f t="shared" si="62"/>
        <v>1.1723267402333335</v>
      </c>
      <c r="AO453" s="2">
        <f t="shared" ref="AO453:AO516" si="64">AVERAGE(AK453,AF453,AA453)</f>
        <v>-0.29628083486280654</v>
      </c>
      <c r="AP453" s="2">
        <f t="shared" ref="AP453:AP516" si="65">AVERAGE(AL453,AG453,AB453)</f>
        <v>0.83465358222458141</v>
      </c>
      <c r="AQ453" s="31"/>
      <c r="AR453" s="31">
        <v>1978.5833333348301</v>
      </c>
      <c r="AS453" s="2">
        <v>1.3516446985433694</v>
      </c>
      <c r="AT453" s="2">
        <v>2.6348383026963482</v>
      </c>
      <c r="AU453" s="2">
        <v>2.9756550237655861</v>
      </c>
      <c r="AV453" s="31"/>
      <c r="AW453" s="31">
        <v>1978.5833333348301</v>
      </c>
      <c r="AX453" s="2">
        <v>0.14357513726129562</v>
      </c>
      <c r="AY453" s="2">
        <v>-0.53553372549108424</v>
      </c>
      <c r="AZ453" s="2">
        <v>-6.6331614828087235E-2</v>
      </c>
      <c r="BA453" s="31"/>
      <c r="BB453" s="31">
        <v>1978.5833333348301</v>
      </c>
      <c r="BC453" s="2">
        <v>0.70457988817334938</v>
      </c>
      <c r="BD453" s="2">
        <v>-0.51613739712758211</v>
      </c>
      <c r="BE453" s="2">
        <v>0.71470615015085315</v>
      </c>
      <c r="BG453" s="2">
        <f t="shared" si="63"/>
        <v>0.7332665746593382</v>
      </c>
      <c r="BH453" s="2">
        <f t="shared" ref="BH453:BH516" si="66">AVERAGE(BD453,AY453,AT453)</f>
        <v>0.52772239335922733</v>
      </c>
      <c r="BI453" s="2">
        <f t="shared" ref="BI453:BI516" si="67">AVERAGE(BE453,AZ453,AU453)</f>
        <v>1.2080098530294505</v>
      </c>
    </row>
    <row r="454" spans="6:61" x14ac:dyDescent="0.3">
      <c r="F454" s="31">
        <v>1978.5000000015</v>
      </c>
      <c r="G454" s="2">
        <v>1.0969131358116044</v>
      </c>
      <c r="H454" s="2">
        <v>9.2249999999999749E-2</v>
      </c>
      <c r="I454" s="2">
        <v>0.10171396283805002</v>
      </c>
      <c r="K454" s="31">
        <v>1978.5000000015</v>
      </c>
      <c r="L454" s="2">
        <v>0.76850010050213413</v>
      </c>
      <c r="M454" s="2">
        <v>6.1530000000000001E-2</v>
      </c>
      <c r="N454" s="2">
        <v>4.7285811183896312E-2</v>
      </c>
      <c r="P454" s="31">
        <v>1978.5000000015</v>
      </c>
      <c r="Q454" s="2">
        <v>0.75566448424364963</v>
      </c>
      <c r="R454" s="2">
        <v>4.7900000000000303E-2</v>
      </c>
      <c r="S454" s="2">
        <v>3.9894602239527059E-2</v>
      </c>
      <c r="U454" s="2">
        <f t="shared" ref="U454:U517" si="68">AVERAGE(Q454,L454,G454)</f>
        <v>0.87369257351912932</v>
      </c>
      <c r="V454" s="2">
        <f t="shared" ref="V454:V517" si="69">AVERAGE(R454,M454,H454)</f>
        <v>6.7226666666666685E-2</v>
      </c>
      <c r="W454" s="2">
        <f t="shared" ref="W454:W517" si="70">AVERAGE(S454,N454,I454)</f>
        <v>6.2964792087157787E-2</v>
      </c>
      <c r="Y454" s="31">
        <v>1978.5000000015</v>
      </c>
      <c r="Z454" s="2">
        <v>2.1060763414063199</v>
      </c>
      <c r="AA454" s="2">
        <v>-0.1883013680744752</v>
      </c>
      <c r="AB454" s="2">
        <v>0.61068328034807107</v>
      </c>
      <c r="AD454" s="31">
        <v>1978.5000000015</v>
      </c>
      <c r="AE454" s="2">
        <v>-0.24256569941419964</v>
      </c>
      <c r="AF454" s="2">
        <v>-0.68585487699629111</v>
      </c>
      <c r="AG454" s="2">
        <v>-0.48672022127365472</v>
      </c>
      <c r="AH454" s="31"/>
      <c r="AI454" s="31">
        <v>1978.5000000015</v>
      </c>
      <c r="AJ454" s="2">
        <v>1.0779721898161094</v>
      </c>
      <c r="AK454" s="2">
        <v>-1.186702766808877</v>
      </c>
      <c r="AL454" s="2">
        <v>-0.40451472038548053</v>
      </c>
      <c r="AM454" s="31"/>
      <c r="AN454" s="2">
        <f t="shared" ref="AN454:AN517" si="71">AVERAGE(AJ454,AE454,Z454)</f>
        <v>0.98049427726940996</v>
      </c>
      <c r="AO454" s="2">
        <f t="shared" si="64"/>
        <v>-0.68695300395988113</v>
      </c>
      <c r="AP454" s="2">
        <f t="shared" si="65"/>
        <v>-9.3517220437021376E-2</v>
      </c>
      <c r="AQ454" s="31"/>
      <c r="AR454" s="31">
        <v>1978.5000000015</v>
      </c>
      <c r="AS454" s="2">
        <v>0.62849279972397154</v>
      </c>
      <c r="AT454" s="2">
        <v>1.0639845148600848</v>
      </c>
      <c r="AU454" s="2">
        <v>1.8652365577853447</v>
      </c>
      <c r="AV454" s="31"/>
      <c r="AW454" s="31">
        <v>1978.5000000015</v>
      </c>
      <c r="AX454" s="2">
        <v>-0.30674324920719798</v>
      </c>
      <c r="AY454" s="2">
        <v>-0.10730219351257217</v>
      </c>
      <c r="AZ454" s="2">
        <v>-0.30614036060240524</v>
      </c>
      <c r="BA454" s="31"/>
      <c r="BB454" s="31">
        <v>1978.5000000015</v>
      </c>
      <c r="BC454" s="2">
        <v>9.6626569043830726E-2</v>
      </c>
      <c r="BD454" s="2">
        <v>-0.38248368897839508</v>
      </c>
      <c r="BE454" s="2">
        <v>-0.14776421712514989</v>
      </c>
      <c r="BG454" s="2">
        <f t="shared" ref="BG454:BG517" si="72">AVERAGE(BC454,AX454,AS454)</f>
        <v>0.13945870652020143</v>
      </c>
      <c r="BH454" s="2">
        <f t="shared" si="66"/>
        <v>0.19139954412303919</v>
      </c>
      <c r="BI454" s="2">
        <f t="shared" si="67"/>
        <v>0.47044399335259657</v>
      </c>
    </row>
    <row r="455" spans="6:61" x14ac:dyDescent="0.3">
      <c r="F455" s="31">
        <v>1978.4166666681699</v>
      </c>
      <c r="G455" s="2">
        <v>1.1225260478288164</v>
      </c>
      <c r="H455" s="2">
        <v>0.12299999999999976</v>
      </c>
      <c r="I455" s="2">
        <v>0.13848957922303293</v>
      </c>
      <c r="K455" s="31">
        <v>1978.4166666681699</v>
      </c>
      <c r="L455" s="2">
        <v>0.91259458166654617</v>
      </c>
      <c r="M455" s="2">
        <v>0.1230299999999999</v>
      </c>
      <c r="N455" s="2">
        <v>8.5569862170821631E-2</v>
      </c>
      <c r="P455" s="31">
        <v>1978.4166666681699</v>
      </c>
      <c r="Q455" s="2">
        <v>0.77475788151198954</v>
      </c>
      <c r="R455" s="2">
        <v>0.14380000000000059</v>
      </c>
      <c r="S455" s="2">
        <v>6.2066179599395303E-2</v>
      </c>
      <c r="U455" s="2">
        <f t="shared" si="68"/>
        <v>0.9366261703357841</v>
      </c>
      <c r="V455" s="2">
        <f t="shared" si="69"/>
        <v>0.12994333333333344</v>
      </c>
      <c r="W455" s="2">
        <f t="shared" si="70"/>
        <v>9.537520699774997E-2</v>
      </c>
      <c r="Y455" s="31">
        <v>1978.4166666681699</v>
      </c>
      <c r="Z455" s="2">
        <v>2.2545819568036314</v>
      </c>
      <c r="AA455" s="2">
        <v>0.4121617927810336</v>
      </c>
      <c r="AB455" s="2">
        <v>1.4570461071038412</v>
      </c>
      <c r="AD455" s="31">
        <v>1978.4166666681699</v>
      </c>
      <c r="AE455" s="2">
        <v>0.61490549697580144</v>
      </c>
      <c r="AF455" s="2">
        <v>0.82033858713866403</v>
      </c>
      <c r="AG455" s="2">
        <v>0.96902355998210177</v>
      </c>
      <c r="AH455" s="31"/>
      <c r="AI455" s="31">
        <v>1978.4166666681699</v>
      </c>
      <c r="AJ455" s="2">
        <v>1.1803855765176374</v>
      </c>
      <c r="AK455" s="2">
        <v>1.0985970730109507</v>
      </c>
      <c r="AL455" s="2">
        <v>1.3873448157014028</v>
      </c>
      <c r="AM455" s="31"/>
      <c r="AN455" s="2">
        <f t="shared" si="71"/>
        <v>1.3499576767656902</v>
      </c>
      <c r="AO455" s="2">
        <f t="shared" si="64"/>
        <v>0.7770324843102161</v>
      </c>
      <c r="AP455" s="2">
        <f t="shared" si="65"/>
        <v>1.2711381609291152</v>
      </c>
      <c r="AQ455" s="31"/>
      <c r="AR455" s="31">
        <v>1978.4166666681699</v>
      </c>
      <c r="AS455" s="2">
        <v>1.6080918219259415</v>
      </c>
      <c r="AT455" s="2">
        <v>-1.0250935790978097</v>
      </c>
      <c r="AU455" s="2">
        <v>-0.11205550625010746</v>
      </c>
      <c r="AV455" s="31"/>
      <c r="AW455" s="31">
        <v>1978.4166666681699</v>
      </c>
      <c r="AX455" s="2">
        <v>0.19614180524602207</v>
      </c>
      <c r="AY455" s="2">
        <v>-0.38552664826294392</v>
      </c>
      <c r="AZ455" s="2">
        <v>-6.0529465803899438E-2</v>
      </c>
      <c r="BA455" s="31"/>
      <c r="BB455" s="31">
        <v>1978.4166666681699</v>
      </c>
      <c r="BC455" s="2">
        <v>0.48744194581849903</v>
      </c>
      <c r="BD455" s="2">
        <v>-0.3489924073651578</v>
      </c>
      <c r="BE455" s="2">
        <v>0.54344564594812106</v>
      </c>
      <c r="BG455" s="2">
        <f t="shared" si="72"/>
        <v>0.76389185766348755</v>
      </c>
      <c r="BH455" s="2">
        <f t="shared" si="66"/>
        <v>-0.58653754490863719</v>
      </c>
      <c r="BI455" s="2">
        <f t="shared" si="67"/>
        <v>0.12362022463137139</v>
      </c>
    </row>
    <row r="456" spans="6:61" x14ac:dyDescent="0.3">
      <c r="F456" s="31">
        <v>1978.3333333348401</v>
      </c>
      <c r="G456" s="2">
        <v>1.044351430059326</v>
      </c>
      <c r="H456" s="2">
        <v>0.12299999999999976</v>
      </c>
      <c r="I456" s="2">
        <v>0.12915081510955467</v>
      </c>
      <c r="K456" s="31">
        <v>1978.3333333348401</v>
      </c>
      <c r="L456" s="2">
        <v>0.80691190399878698</v>
      </c>
      <c r="M456" s="2">
        <v>9.2279999999999945E-2</v>
      </c>
      <c r="N456" s="2">
        <v>8.390466788204326E-2</v>
      </c>
      <c r="P456" s="31">
        <v>1978.3333333348401</v>
      </c>
      <c r="Q456" s="2">
        <v>0.76259766470754076</v>
      </c>
      <c r="R456" s="2">
        <v>9.5850000000000463E-2</v>
      </c>
      <c r="S456" s="2">
        <v>5.7948685681223411E-2</v>
      </c>
      <c r="U456" s="2">
        <f t="shared" si="68"/>
        <v>0.87128699958855138</v>
      </c>
      <c r="V456" s="2">
        <f t="shared" si="69"/>
        <v>0.10371000000000007</v>
      </c>
      <c r="W456" s="2">
        <f t="shared" si="70"/>
        <v>9.0334722890940453E-2</v>
      </c>
      <c r="Y456" s="31">
        <v>1978.3333333348401</v>
      </c>
      <c r="Z456" s="2">
        <v>1.8013195666269015</v>
      </c>
      <c r="AA456" s="2">
        <v>0.4121617927810336</v>
      </c>
      <c r="AB456" s="2">
        <v>1.242121557349283</v>
      </c>
      <c r="AD456" s="31">
        <v>1978.3333333348401</v>
      </c>
      <c r="AE456" s="2">
        <v>-1.398640315238541E-2</v>
      </c>
      <c r="AF456" s="2">
        <v>6.7241855071186282E-2</v>
      </c>
      <c r="AG456" s="2">
        <v>0.9057048628228177</v>
      </c>
      <c r="AH456" s="31"/>
      <c r="AI456" s="31">
        <v>1978.3333333348401</v>
      </c>
      <c r="AJ456" s="2">
        <v>0.83270910757208938</v>
      </c>
      <c r="AK456" s="2">
        <v>-4.4052846898962821E-2</v>
      </c>
      <c r="AL456" s="2">
        <v>1.0545777499079434</v>
      </c>
      <c r="AM456" s="31"/>
      <c r="AN456" s="2">
        <f t="shared" si="71"/>
        <v>0.87334742368220175</v>
      </c>
      <c r="AO456" s="2">
        <f t="shared" si="64"/>
        <v>0.14511693365108569</v>
      </c>
      <c r="AP456" s="2">
        <f t="shared" si="65"/>
        <v>1.0674680566933479</v>
      </c>
      <c r="AQ456" s="31"/>
      <c r="AR456" s="31">
        <v>1978.3333333348401</v>
      </c>
      <c r="AS456" s="2">
        <v>1.8905348955678798</v>
      </c>
      <c r="AT456" s="2">
        <v>-0.62524988541030058</v>
      </c>
      <c r="AU456" s="2">
        <v>0.33555875021889797</v>
      </c>
      <c r="AV456" s="31"/>
      <c r="AW456" s="31">
        <v>1978.3333333348401</v>
      </c>
      <c r="AX456" s="2">
        <v>-0.16251899824832455</v>
      </c>
      <c r="AY456" s="2">
        <v>-0.6032299022146953</v>
      </c>
      <c r="AZ456" s="2">
        <v>0.28853587881591664</v>
      </c>
      <c r="BA456" s="31"/>
      <c r="BB456" s="31">
        <v>1978.3333333348401</v>
      </c>
      <c r="BC456" s="2">
        <v>0.67974974507600627</v>
      </c>
      <c r="BD456" s="2">
        <v>-0.7363458413185221</v>
      </c>
      <c r="BE456" s="2">
        <v>0.75435799891041055</v>
      </c>
      <c r="BG456" s="2">
        <f t="shared" si="72"/>
        <v>0.80258854746518715</v>
      </c>
      <c r="BH456" s="2">
        <f t="shared" si="66"/>
        <v>-0.65494187631450596</v>
      </c>
      <c r="BI456" s="2">
        <f t="shared" si="67"/>
        <v>0.45948420931507505</v>
      </c>
    </row>
    <row r="457" spans="6:61" x14ac:dyDescent="0.3">
      <c r="F457" s="31">
        <v>1978.25000000151</v>
      </c>
      <c r="G457" s="2">
        <v>0.99624991699519194</v>
      </c>
      <c r="H457" s="2">
        <v>0.12299999999999976</v>
      </c>
      <c r="I457" s="2">
        <v>0.12524656251390209</v>
      </c>
      <c r="K457" s="31">
        <v>1978.25000000151</v>
      </c>
      <c r="L457" s="2">
        <v>0.71725636105537016</v>
      </c>
      <c r="M457" s="2">
        <v>9.2279999999999945E-2</v>
      </c>
      <c r="N457" s="2">
        <v>7.334237832435736E-2</v>
      </c>
      <c r="P457" s="31">
        <v>1978.25000000151</v>
      </c>
      <c r="Q457" s="2">
        <v>0.74946034968716224</v>
      </c>
      <c r="R457" s="2">
        <v>0.14380000000000059</v>
      </c>
      <c r="S457" s="2">
        <v>5.5732201229291033E-2</v>
      </c>
      <c r="U457" s="2">
        <f t="shared" si="68"/>
        <v>0.82098887591257474</v>
      </c>
      <c r="V457" s="2">
        <f t="shared" si="69"/>
        <v>0.11969333333333343</v>
      </c>
      <c r="W457" s="2">
        <f t="shared" si="70"/>
        <v>8.4773714022516836E-2</v>
      </c>
      <c r="Y457" s="31">
        <v>1978.25000000151</v>
      </c>
      <c r="Z457" s="2">
        <v>1.5224233288882683</v>
      </c>
      <c r="AA457" s="2">
        <v>0.4121617927810336</v>
      </c>
      <c r="AB457" s="2">
        <v>1.1522681547949098</v>
      </c>
      <c r="AD457" s="31">
        <v>1978.25000000151</v>
      </c>
      <c r="AE457" s="2">
        <v>-0.54750472425289942</v>
      </c>
      <c r="AF457" s="2">
        <v>6.7241855071186282E-2</v>
      </c>
      <c r="AG457" s="2">
        <v>0.50407580468905244</v>
      </c>
      <c r="AH457" s="31"/>
      <c r="AI457" s="31">
        <v>1978.25000000151</v>
      </c>
      <c r="AJ457" s="2">
        <v>0.65940041107978309</v>
      </c>
      <c r="AK457" s="2">
        <v>1.0985970730109507</v>
      </c>
      <c r="AL457" s="2">
        <v>0.87544620967877584</v>
      </c>
      <c r="AM457" s="31"/>
      <c r="AN457" s="2">
        <f t="shared" si="71"/>
        <v>0.54477300523838401</v>
      </c>
      <c r="AO457" s="2">
        <f t="shared" si="64"/>
        <v>0.52600024028772341</v>
      </c>
      <c r="AP457" s="2">
        <f t="shared" si="65"/>
        <v>0.84393005638757934</v>
      </c>
      <c r="AQ457" s="31"/>
      <c r="AR457" s="31">
        <v>1978.25000000151</v>
      </c>
      <c r="AS457" s="2">
        <v>2.0382415724341478</v>
      </c>
      <c r="AT457" s="2">
        <v>-0.74536446371894471</v>
      </c>
      <c r="AU457" s="2">
        <v>0.35808479152404149</v>
      </c>
      <c r="AV457" s="31"/>
      <c r="AW457" s="31">
        <v>1978.25000000151</v>
      </c>
      <c r="AX457" s="2">
        <v>-0.50053170900069133</v>
      </c>
      <c r="AY457" s="2">
        <v>-0.82026029232611508</v>
      </c>
      <c r="AZ457" s="2">
        <v>-0.11682100255696012</v>
      </c>
      <c r="BA457" s="31"/>
      <c r="BB457" s="31">
        <v>1978.25000000151</v>
      </c>
      <c r="BC457" s="2">
        <v>1.0457018543874748</v>
      </c>
      <c r="BD457" s="2">
        <v>3.3388824798885192E-2</v>
      </c>
      <c r="BE457" s="2">
        <v>1.0661249330264502</v>
      </c>
      <c r="BG457" s="2">
        <f t="shared" si="72"/>
        <v>0.86113723927364383</v>
      </c>
      <c r="BH457" s="2">
        <f t="shared" si="66"/>
        <v>-0.51074531041539151</v>
      </c>
      <c r="BI457" s="2">
        <f t="shared" si="67"/>
        <v>0.43579624066451056</v>
      </c>
    </row>
    <row r="458" spans="6:61" x14ac:dyDescent="0.3">
      <c r="F458" s="31">
        <v>1978.1666666681799</v>
      </c>
      <c r="G458" s="2">
        <v>0.94027484697783592</v>
      </c>
      <c r="H458" s="2">
        <v>0.12299999999999976</v>
      </c>
      <c r="I458" s="2">
        <v>0.11950083979110154</v>
      </c>
      <c r="K458" s="31">
        <v>1978.1666666681799</v>
      </c>
      <c r="L458" s="2">
        <v>0.63958957187106713</v>
      </c>
      <c r="M458" s="2">
        <v>9.2279999999999945E-2</v>
      </c>
      <c r="N458" s="2">
        <v>6.4253550868635823E-2</v>
      </c>
      <c r="P458" s="31">
        <v>1978.1666666681799</v>
      </c>
      <c r="Q458" s="2">
        <v>0.73976174915684312</v>
      </c>
      <c r="R458" s="2">
        <v>9.5850000000000463E-2</v>
      </c>
      <c r="S458" s="2">
        <v>5.3872773063065135E-2</v>
      </c>
      <c r="U458" s="2">
        <f t="shared" si="68"/>
        <v>0.77320872266858209</v>
      </c>
      <c r="V458" s="2">
        <f t="shared" si="69"/>
        <v>0.10371000000000007</v>
      </c>
      <c r="W458" s="2">
        <f t="shared" si="70"/>
        <v>7.920905457426751E-2</v>
      </c>
      <c r="Y458" s="31">
        <v>1978.1666666681799</v>
      </c>
      <c r="Z458" s="2">
        <v>1.1978756080258786</v>
      </c>
      <c r="AA458" s="2">
        <v>0.4121617927810336</v>
      </c>
      <c r="AB458" s="2">
        <v>1.0200347185278813</v>
      </c>
      <c r="AD458" s="31">
        <v>1978.1666666681799</v>
      </c>
      <c r="AE458" s="2">
        <v>-1.0096808888323534</v>
      </c>
      <c r="AF458" s="2">
        <v>6.7241855071186282E-2</v>
      </c>
      <c r="AG458" s="2">
        <v>0.15847486365771196</v>
      </c>
      <c r="AH458" s="31"/>
      <c r="AI458" s="31">
        <v>1978.1666666681799</v>
      </c>
      <c r="AJ458" s="2">
        <v>0.52294121190949794</v>
      </c>
      <c r="AK458" s="2">
        <v>-4.4052846898962821E-2</v>
      </c>
      <c r="AL458" s="2">
        <v>0.72517119598709223</v>
      </c>
      <c r="AM458" s="31"/>
      <c r="AN458" s="2">
        <f t="shared" si="71"/>
        <v>0.23704531036767437</v>
      </c>
      <c r="AO458" s="2">
        <f t="shared" si="64"/>
        <v>0.14511693365108569</v>
      </c>
      <c r="AP458" s="2">
        <f t="shared" si="65"/>
        <v>0.63456025939089511</v>
      </c>
      <c r="AQ458" s="31"/>
      <c r="AR458" s="31">
        <v>1978.1666666681799</v>
      </c>
      <c r="AS458" s="2">
        <v>1.7462892537825438</v>
      </c>
      <c r="AT458" s="2">
        <v>-0.46657286796563091</v>
      </c>
      <c r="AU458" s="2">
        <v>0.54948018693170797</v>
      </c>
      <c r="AV458" s="31"/>
      <c r="AW458" s="31">
        <v>1978.1666666681799</v>
      </c>
      <c r="AX458" s="2">
        <v>-0.81016508671850496</v>
      </c>
      <c r="AY458" s="2">
        <v>-0.48198869008051998</v>
      </c>
      <c r="AZ458" s="2">
        <v>-4.0555597886490331E-2</v>
      </c>
      <c r="BA458" s="31"/>
      <c r="BB458" s="31">
        <v>1978.1666666681799</v>
      </c>
      <c r="BC458" s="2">
        <v>1.211512076642635</v>
      </c>
      <c r="BD458" s="2">
        <v>-0.34847073798484229</v>
      </c>
      <c r="BE458" s="2">
        <v>1.3278062513806435</v>
      </c>
      <c r="BG458" s="2">
        <f t="shared" si="72"/>
        <v>0.71587874790222461</v>
      </c>
      <c r="BH458" s="2">
        <f t="shared" si="66"/>
        <v>-0.43234409867699775</v>
      </c>
      <c r="BI458" s="2">
        <f t="shared" si="67"/>
        <v>0.612243613475287</v>
      </c>
    </row>
    <row r="459" spans="6:61" x14ac:dyDescent="0.3">
      <c r="F459" s="31">
        <v>1978.0833333348501</v>
      </c>
      <c r="G459" s="2">
        <v>0.88891474651413094</v>
      </c>
      <c r="H459" s="2">
        <v>9.2249999999999749E-2</v>
      </c>
      <c r="I459" s="2">
        <v>7.965119496393383E-2</v>
      </c>
      <c r="K459" s="31">
        <v>1978.0833333348501</v>
      </c>
      <c r="L459" s="2">
        <v>0.57454159838275654</v>
      </c>
      <c r="M459" s="2">
        <v>0.1230299999999999</v>
      </c>
      <c r="N459" s="2">
        <v>5.6578562689885939E-2</v>
      </c>
      <c r="P459" s="31">
        <v>1978.0833333348501</v>
      </c>
      <c r="Q459" s="2">
        <v>0.73893693381350556</v>
      </c>
      <c r="R459" s="2">
        <v>9.5850000000000463E-2</v>
      </c>
      <c r="S459" s="2">
        <v>5.3047023405083868E-2</v>
      </c>
      <c r="U459" s="2">
        <f t="shared" si="68"/>
        <v>0.73413109290346446</v>
      </c>
      <c r="V459" s="2">
        <f t="shared" si="69"/>
        <v>0.10371000000000004</v>
      </c>
      <c r="W459" s="2">
        <f t="shared" si="70"/>
        <v>6.3092260352967874E-2</v>
      </c>
      <c r="Y459" s="31">
        <v>1978.0833333348501</v>
      </c>
      <c r="Z459" s="2">
        <v>0.90008583226337624</v>
      </c>
      <c r="AA459" s="2">
        <v>-0.1883013680744752</v>
      </c>
      <c r="AB459" s="2">
        <v>0.10292546635209898</v>
      </c>
      <c r="AD459" s="31">
        <v>1978.0833333348501</v>
      </c>
      <c r="AE459" s="2">
        <v>-1.3967655516108353</v>
      </c>
      <c r="AF459" s="2">
        <v>0.82033858713866403</v>
      </c>
      <c r="AG459" s="2">
        <v>-0.1333651068888298</v>
      </c>
      <c r="AH459" s="31"/>
      <c r="AI459" s="31">
        <v>1978.0833333348501</v>
      </c>
      <c r="AJ459" s="2">
        <v>0.45207346306564927</v>
      </c>
      <c r="AK459" s="2">
        <v>-4.4052846898962821E-2</v>
      </c>
      <c r="AL459" s="2">
        <v>0.65843587197029851</v>
      </c>
      <c r="AM459" s="31"/>
      <c r="AN459" s="2">
        <f t="shared" si="71"/>
        <v>-1.4868752093936566E-2</v>
      </c>
      <c r="AO459" s="2">
        <f t="shared" si="64"/>
        <v>0.195994790721742</v>
      </c>
      <c r="AP459" s="2">
        <f t="shared" si="65"/>
        <v>0.20933207714452259</v>
      </c>
      <c r="AQ459" s="31"/>
      <c r="AR459" s="31">
        <v>1978.0833333348501</v>
      </c>
      <c r="AS459" s="2">
        <v>2.0190290724132605</v>
      </c>
      <c r="AT459" s="2">
        <v>0.50956041230593607</v>
      </c>
      <c r="AU459" s="2">
        <v>1.6573517439311289</v>
      </c>
      <c r="AV459" s="31"/>
      <c r="AW459" s="31">
        <v>1978.0833333348501</v>
      </c>
      <c r="AX459" s="2">
        <v>-1.1674726423548634</v>
      </c>
      <c r="AY459" s="2">
        <v>1.9921056283099188</v>
      </c>
      <c r="AZ459" s="2">
        <v>0.23741923843881182</v>
      </c>
      <c r="BA459" s="31"/>
      <c r="BB459" s="31">
        <v>1978.0833333348501</v>
      </c>
      <c r="BC459" s="2">
        <v>1.253656460899405</v>
      </c>
      <c r="BD459" s="2">
        <v>-1.4615836317459097E-2</v>
      </c>
      <c r="BE459" s="2">
        <v>1.235623576647805</v>
      </c>
      <c r="BG459" s="2">
        <f t="shared" si="72"/>
        <v>0.70173763031926739</v>
      </c>
      <c r="BH459" s="2">
        <f t="shared" si="66"/>
        <v>0.82901673476613202</v>
      </c>
      <c r="BI459" s="2">
        <f t="shared" si="67"/>
        <v>1.0434648530059152</v>
      </c>
    </row>
    <row r="460" spans="6:61" x14ac:dyDescent="0.3">
      <c r="F460" s="31">
        <v>1978.00000000152</v>
      </c>
      <c r="G460" s="2">
        <v>0.82713026170909143</v>
      </c>
      <c r="H460" s="2">
        <v>6.1499999999999798E-2</v>
      </c>
      <c r="I460" s="2">
        <v>5.0868511095108954E-2</v>
      </c>
      <c r="K460" s="31">
        <v>1978.00000000152</v>
      </c>
      <c r="L460" s="2">
        <v>0.54397468546994265</v>
      </c>
      <c r="M460" s="2">
        <v>6.1514999999999952E-2</v>
      </c>
      <c r="N460" s="2">
        <v>3.3463718370724899E-2</v>
      </c>
      <c r="P460" s="31">
        <v>1978.00000000152</v>
      </c>
      <c r="Q460" s="2">
        <v>0.77765453658614359</v>
      </c>
      <c r="R460" s="2">
        <v>4.7900000000000303E-2</v>
      </c>
      <c r="S460" s="2">
        <v>3.5757212576889789E-2</v>
      </c>
      <c r="U460" s="2">
        <f t="shared" si="68"/>
        <v>0.71625316125505911</v>
      </c>
      <c r="V460" s="2">
        <f t="shared" si="69"/>
        <v>5.6971666666666691E-2</v>
      </c>
      <c r="W460" s="2">
        <f t="shared" si="70"/>
        <v>4.0029814014241216E-2</v>
      </c>
      <c r="Y460" s="31">
        <v>1978.00000000152</v>
      </c>
      <c r="Z460" s="2">
        <v>0.5418546818259572</v>
      </c>
      <c r="AA460" s="2">
        <v>-0.78876452892998272</v>
      </c>
      <c r="AB460" s="2">
        <v>-0.55948610075310456</v>
      </c>
      <c r="AD460" s="31">
        <v>1978.00000000152</v>
      </c>
      <c r="AE460" s="2">
        <v>-1.5786618128242926</v>
      </c>
      <c r="AF460" s="2">
        <v>-0.68622224125583742</v>
      </c>
      <c r="AG460" s="2">
        <v>-1.012302680235116</v>
      </c>
      <c r="AH460" s="31"/>
      <c r="AI460" s="31">
        <v>1978.00000000152</v>
      </c>
      <c r="AJ460" s="2">
        <v>0.51477541457415521</v>
      </c>
      <c r="AK460" s="2">
        <v>-1.186702766808877</v>
      </c>
      <c r="AL460" s="2">
        <v>-0.73888971776040524</v>
      </c>
      <c r="AM460" s="31"/>
      <c r="AN460" s="2">
        <f t="shared" si="71"/>
        <v>-0.1740105721413934</v>
      </c>
      <c r="AO460" s="2">
        <f t="shared" si="64"/>
        <v>-0.88722984566489904</v>
      </c>
      <c r="AP460" s="2">
        <f t="shared" si="65"/>
        <v>-0.77022616624954188</v>
      </c>
      <c r="AQ460" s="31"/>
      <c r="AR460" s="31">
        <v>1978.00000000152</v>
      </c>
      <c r="AS460" s="2">
        <v>0.74788302481112812</v>
      </c>
      <c r="AT460" s="2">
        <v>-0.29853293598826797</v>
      </c>
      <c r="AU460" s="2">
        <v>0.42350316616222483</v>
      </c>
      <c r="AV460" s="31"/>
      <c r="AW460" s="31">
        <v>1978.00000000152</v>
      </c>
      <c r="AX460" s="2">
        <v>-0.96093044290159535</v>
      </c>
      <c r="AY460" s="2">
        <v>-0.21981065223360952</v>
      </c>
      <c r="AZ460" s="2">
        <v>-0.989903700291342</v>
      </c>
      <c r="BA460" s="31"/>
      <c r="BB460" s="31">
        <v>1978.00000000152</v>
      </c>
      <c r="BC460" s="2">
        <v>0.9043576830916954</v>
      </c>
      <c r="BD460" s="2">
        <v>-0.94501805984887022</v>
      </c>
      <c r="BE460" s="2">
        <v>-9.9304635742522018E-2</v>
      </c>
      <c r="BG460" s="2">
        <f t="shared" si="72"/>
        <v>0.23043675500040939</v>
      </c>
      <c r="BH460" s="2">
        <f t="shared" si="66"/>
        <v>-0.48778721602358255</v>
      </c>
      <c r="BI460" s="2">
        <f t="shared" si="67"/>
        <v>-0.22190172329054639</v>
      </c>
    </row>
    <row r="461" spans="6:61" x14ac:dyDescent="0.3">
      <c r="F461" s="31">
        <v>1977.9166666681899</v>
      </c>
      <c r="G461" s="2">
        <v>0.93863969457865803</v>
      </c>
      <c r="H461" s="2">
        <v>9.2249999999999749E-2</v>
      </c>
      <c r="I461" s="2">
        <v>8.3695836913236843E-2</v>
      </c>
      <c r="K461" s="31">
        <v>1977.9166666681899</v>
      </c>
      <c r="L461" s="2">
        <v>0.56108974596139904</v>
      </c>
      <c r="M461" s="2">
        <v>9.2264999999999903E-2</v>
      </c>
      <c r="N461" s="2">
        <v>3.4516642606132505E-2</v>
      </c>
      <c r="P461" s="31">
        <v>1977.9166666681899</v>
      </c>
      <c r="Q461" s="2">
        <v>0.87286399829457495</v>
      </c>
      <c r="R461" s="2">
        <v>9.5850000000000463E-2</v>
      </c>
      <c r="S461" s="2">
        <v>5.5143690325039914E-2</v>
      </c>
      <c r="U461" s="2">
        <f t="shared" si="68"/>
        <v>0.79086447961154394</v>
      </c>
      <c r="V461" s="2">
        <f t="shared" si="69"/>
        <v>9.3455000000000024E-2</v>
      </c>
      <c r="W461" s="2">
        <f t="shared" si="70"/>
        <v>5.7785389948136423E-2</v>
      </c>
      <c r="Y461" s="31">
        <v>1977.9166666681899</v>
      </c>
      <c r="Z461" s="2">
        <v>1.1883948698284756</v>
      </c>
      <c r="AA461" s="2">
        <v>-0.1883013680744752</v>
      </c>
      <c r="AB461" s="2">
        <v>0.19600982305168982</v>
      </c>
      <c r="AD461" s="31">
        <v>1977.9166666681899</v>
      </c>
      <c r="AE461" s="2">
        <v>-1.4768142522702463</v>
      </c>
      <c r="AF461" s="2">
        <v>6.6874490811640125E-2</v>
      </c>
      <c r="AG461" s="2">
        <v>-0.97226543578698887</v>
      </c>
      <c r="AH461" s="31"/>
      <c r="AI461" s="31">
        <v>1977.9166666681899</v>
      </c>
      <c r="AJ461" s="2">
        <v>0.66881380074199803</v>
      </c>
      <c r="AK461" s="2">
        <v>-4.4052846898962821E-2</v>
      </c>
      <c r="AL461" s="2">
        <v>0.82788401512863807</v>
      </c>
      <c r="AM461" s="31"/>
      <c r="AN461" s="2">
        <f t="shared" si="71"/>
        <v>0.12679813943340912</v>
      </c>
      <c r="AO461" s="2">
        <f t="shared" si="64"/>
        <v>-5.5159908053932637E-2</v>
      </c>
      <c r="AP461" s="2">
        <f t="shared" si="65"/>
        <v>1.7209467464446338E-2</v>
      </c>
      <c r="AQ461" s="31"/>
      <c r="AR461" s="31">
        <v>1977.9166666681899</v>
      </c>
      <c r="AS461" s="2">
        <v>1.5937071948508246</v>
      </c>
      <c r="AT461" s="2">
        <v>0.68444756444045063</v>
      </c>
      <c r="AU461" s="2">
        <v>1.5893069744465751</v>
      </c>
      <c r="AV461" s="31"/>
      <c r="AW461" s="31">
        <v>1977.9166666681899</v>
      </c>
      <c r="AX461" s="2">
        <v>-1.140475892453346</v>
      </c>
      <c r="AY461" s="2">
        <v>1.05652496446128</v>
      </c>
      <c r="AZ461" s="2">
        <v>-1.2019239808613142</v>
      </c>
      <c r="BA461" s="31"/>
      <c r="BB461" s="31">
        <v>1977.9166666681899</v>
      </c>
      <c r="BC461" s="2">
        <v>1.3174571756110518</v>
      </c>
      <c r="BD461" s="2">
        <v>0.88737234882057547</v>
      </c>
      <c r="BE461" s="2">
        <v>1.3464367502665808</v>
      </c>
      <c r="BG461" s="2">
        <f t="shared" si="72"/>
        <v>0.59022949266951008</v>
      </c>
      <c r="BH461" s="2">
        <f t="shared" si="66"/>
        <v>0.87611495924076854</v>
      </c>
      <c r="BI461" s="2">
        <f t="shared" si="67"/>
        <v>0.57793991461728056</v>
      </c>
    </row>
    <row r="462" spans="6:61" x14ac:dyDescent="0.3">
      <c r="F462" s="31">
        <v>1977.8333333348601</v>
      </c>
      <c r="G462" s="2">
        <v>0.86164270877273452</v>
      </c>
      <c r="H462" s="2">
        <v>6.1499999999999798E-2</v>
      </c>
      <c r="I462" s="2">
        <v>5.2991026589522996E-2</v>
      </c>
      <c r="K462" s="31">
        <v>1977.8333333348601</v>
      </c>
      <c r="L462" s="2">
        <v>0.60587570416382563</v>
      </c>
      <c r="M462" s="2">
        <v>6.1514999999999952E-2</v>
      </c>
      <c r="N462" s="2">
        <v>3.7271341536494806E-2</v>
      </c>
      <c r="P462" s="31">
        <v>1977.8333333348601</v>
      </c>
      <c r="Q462" s="2">
        <v>0.97288653577191808</v>
      </c>
      <c r="R462" s="2">
        <v>4.7900000000000303E-2</v>
      </c>
      <c r="S462" s="2">
        <v>3.9508958060115701E-2</v>
      </c>
      <c r="U462" s="2">
        <f t="shared" si="68"/>
        <v>0.81346831623615934</v>
      </c>
      <c r="V462" s="2">
        <f t="shared" si="69"/>
        <v>5.6971666666666691E-2</v>
      </c>
      <c r="W462" s="2">
        <f t="shared" si="70"/>
        <v>4.325710872871117E-2</v>
      </c>
      <c r="Y462" s="31">
        <v>1977.8333333348601</v>
      </c>
      <c r="Z462" s="2">
        <v>0.74196047950367705</v>
      </c>
      <c r="AA462" s="2">
        <v>-0.78876452892998272</v>
      </c>
      <c r="AB462" s="2">
        <v>-0.51063802177382889</v>
      </c>
      <c r="AD462" s="31">
        <v>1977.8333333348601</v>
      </c>
      <c r="AE462" s="2">
        <v>-1.2103039123114951</v>
      </c>
      <c r="AF462" s="2">
        <v>-0.68622224125583742</v>
      </c>
      <c r="AG462" s="2">
        <v>-0.86751853116928423</v>
      </c>
      <c r="AH462" s="31"/>
      <c r="AI462" s="31">
        <v>1977.8333333348601</v>
      </c>
      <c r="AJ462" s="2">
        <v>1.0254768785340527</v>
      </c>
      <c r="AK462" s="2">
        <v>-1.186702766808877</v>
      </c>
      <c r="AL462" s="2">
        <v>-0.43568165944437798</v>
      </c>
      <c r="AM462" s="31"/>
      <c r="AN462" s="2">
        <f t="shared" si="71"/>
        <v>0.18571114857541152</v>
      </c>
      <c r="AO462" s="2">
        <f t="shared" si="64"/>
        <v>-0.88722984566489904</v>
      </c>
      <c r="AP462" s="2">
        <f t="shared" si="65"/>
        <v>-0.604612737462497</v>
      </c>
      <c r="AQ462" s="31"/>
      <c r="AR462" s="31">
        <v>1977.8333333348601</v>
      </c>
      <c r="AS462" s="2">
        <v>0.63562347762686811</v>
      </c>
      <c r="AT462" s="2">
        <v>-0.2854929317171821</v>
      </c>
      <c r="AU462" s="2">
        <v>0.29269738528264294</v>
      </c>
      <c r="AV462" s="31"/>
      <c r="AW462" s="31">
        <v>1977.8333333348601</v>
      </c>
      <c r="AX462" s="2">
        <v>-0.64877881044296448</v>
      </c>
      <c r="AY462" s="2">
        <v>-0.19138401234735175</v>
      </c>
      <c r="AZ462" s="2">
        <v>-0.66525979662868873</v>
      </c>
      <c r="BA462" s="31"/>
      <c r="BB462" s="31">
        <v>1977.8333333348601</v>
      </c>
      <c r="BC462" s="2">
        <v>0.76058313525100463</v>
      </c>
      <c r="BD462" s="2">
        <v>-0.86039420085980967</v>
      </c>
      <c r="BE462" s="2">
        <v>-9.0553742649075453E-2</v>
      </c>
      <c r="BG462" s="2">
        <f t="shared" si="72"/>
        <v>0.24914260081163608</v>
      </c>
      <c r="BH462" s="2">
        <f t="shared" si="66"/>
        <v>-0.44575704830811452</v>
      </c>
      <c r="BI462" s="2">
        <f t="shared" si="67"/>
        <v>-0.15437205133170709</v>
      </c>
    </row>
    <row r="463" spans="6:61" x14ac:dyDescent="0.3">
      <c r="F463" s="31">
        <v>1977.75000000153</v>
      </c>
      <c r="G463" s="2">
        <v>0.9998803114258058</v>
      </c>
      <c r="H463" s="2">
        <v>9.2249999999999749E-2</v>
      </c>
      <c r="I463" s="2">
        <v>8.8528018527079436E-2</v>
      </c>
      <c r="K463" s="31">
        <v>1977.75000000153</v>
      </c>
      <c r="L463" s="2">
        <v>0.6788337194646521</v>
      </c>
      <c r="M463" s="2">
        <v>0.1230299999999999</v>
      </c>
      <c r="N463" s="2">
        <v>6.3384404483439363E-2</v>
      </c>
      <c r="P463" s="31">
        <v>1977.75000000153</v>
      </c>
      <c r="Q463" s="2">
        <v>1.0314479847632969</v>
      </c>
      <c r="R463" s="2">
        <v>9.5850000000000463E-2</v>
      </c>
      <c r="S463" s="2">
        <v>6.1512509040358057E-2</v>
      </c>
      <c r="U463" s="2">
        <f t="shared" si="68"/>
        <v>0.90338733855125153</v>
      </c>
      <c r="V463" s="2">
        <f t="shared" si="69"/>
        <v>0.10371000000000004</v>
      </c>
      <c r="W463" s="2">
        <f t="shared" si="70"/>
        <v>7.1141644016958952E-2</v>
      </c>
      <c r="Y463" s="31">
        <v>1977.75000000153</v>
      </c>
      <c r="Z463" s="2">
        <v>1.5434726324071726</v>
      </c>
      <c r="AA463" s="2">
        <v>-0.1883013680744752</v>
      </c>
      <c r="AB463" s="2">
        <v>0.30721880585365074</v>
      </c>
      <c r="AD463" s="31">
        <v>1977.75000000153</v>
      </c>
      <c r="AE463" s="2">
        <v>-0.77614851537537444</v>
      </c>
      <c r="AF463" s="2">
        <v>0.82033858713866403</v>
      </c>
      <c r="AG463" s="2">
        <v>0.12542573712502678</v>
      </c>
      <c r="AH463" s="31"/>
      <c r="AI463" s="31">
        <v>1977.75000000153</v>
      </c>
      <c r="AJ463" s="2">
        <v>1.2747399419921739</v>
      </c>
      <c r="AK463" s="2">
        <v>-4.4052846898962821E-2</v>
      </c>
      <c r="AL463" s="2">
        <v>1.3425983434518822</v>
      </c>
      <c r="AM463" s="31"/>
      <c r="AN463" s="2">
        <f t="shared" si="71"/>
        <v>0.68068801967465742</v>
      </c>
      <c r="AO463" s="2">
        <f t="shared" si="64"/>
        <v>0.195994790721742</v>
      </c>
      <c r="AP463" s="2">
        <f t="shared" si="65"/>
        <v>0.5917476288101865</v>
      </c>
      <c r="AQ463" s="31"/>
      <c r="AR463" s="31">
        <v>1977.75000000153</v>
      </c>
      <c r="AS463" s="2">
        <v>1.7937470763849954</v>
      </c>
      <c r="AT463" s="2">
        <v>0.89414149018552613</v>
      </c>
      <c r="AU463" s="2">
        <v>1.6194229393936841</v>
      </c>
      <c r="AV463" s="31"/>
      <c r="AW463" s="31">
        <v>1977.75000000153</v>
      </c>
      <c r="AX463" s="2">
        <v>-0.81569433004250425</v>
      </c>
      <c r="AY463" s="2">
        <v>2.581892958774429</v>
      </c>
      <c r="AZ463" s="2">
        <v>0.72041443193824117</v>
      </c>
      <c r="BA463" s="31"/>
      <c r="BB463" s="31">
        <v>1977.75000000153</v>
      </c>
      <c r="BC463" s="2">
        <v>1.2197579867768491</v>
      </c>
      <c r="BD463" s="2">
        <v>0.36965282471677957</v>
      </c>
      <c r="BE463" s="2">
        <v>1.0465781936996987</v>
      </c>
      <c r="BG463" s="2">
        <f t="shared" si="72"/>
        <v>0.7326035777064468</v>
      </c>
      <c r="BH463" s="2">
        <f t="shared" si="66"/>
        <v>1.281895757892245</v>
      </c>
      <c r="BI463" s="2">
        <f t="shared" si="67"/>
        <v>1.1288051883438746</v>
      </c>
    </row>
    <row r="464" spans="6:61" x14ac:dyDescent="0.3">
      <c r="F464" s="31">
        <v>1977.6666666681999</v>
      </c>
      <c r="G464" s="2">
        <v>0.89655728881731234</v>
      </c>
      <c r="H464" s="2">
        <v>6.1499999999999798E-2</v>
      </c>
      <c r="I464" s="2">
        <v>5.5138273262264524E-2</v>
      </c>
      <c r="K464" s="31">
        <v>1977.6666666681999</v>
      </c>
      <c r="L464" s="2">
        <v>0.75507897928125178</v>
      </c>
      <c r="M464" s="2">
        <v>6.1514999999999952E-2</v>
      </c>
      <c r="N464" s="2">
        <v>4.644827377502779E-2</v>
      </c>
      <c r="P464" s="31">
        <v>1977.6666666681999</v>
      </c>
      <c r="Q464" s="2">
        <v>1.0305396690424806</v>
      </c>
      <c r="R464" s="2">
        <v>4.7900000000000303E-2</v>
      </c>
      <c r="S464" s="2">
        <v>4.5239928277121817E-2</v>
      </c>
      <c r="U464" s="2">
        <f t="shared" si="68"/>
        <v>0.89405864571368154</v>
      </c>
      <c r="V464" s="2">
        <f t="shared" si="69"/>
        <v>5.6971666666666691E-2</v>
      </c>
      <c r="W464" s="2">
        <f t="shared" si="70"/>
        <v>4.8942158438138046E-2</v>
      </c>
      <c r="Y464" s="31">
        <v>1977.6666666681999</v>
      </c>
      <c r="Z464" s="2">
        <v>0.94439787484452598</v>
      </c>
      <c r="AA464" s="2">
        <v>-0.78876452892998272</v>
      </c>
      <c r="AB464" s="2">
        <v>-0.46122077354449542</v>
      </c>
      <c r="AD464" s="31">
        <v>1977.6666666681999</v>
      </c>
      <c r="AE464" s="2">
        <v>-0.32243152617708803</v>
      </c>
      <c r="AF464" s="2">
        <v>-0.68622224125583742</v>
      </c>
      <c r="AG464" s="2">
        <v>-0.51856742247359566</v>
      </c>
      <c r="AH464" s="31"/>
      <c r="AI464" s="31">
        <v>1977.6666666681999</v>
      </c>
      <c r="AJ464" s="2">
        <v>1.8055977297009076</v>
      </c>
      <c r="AK464" s="2">
        <v>-1.186702766808877</v>
      </c>
      <c r="AL464" s="2">
        <v>2.7483115334341255E-2</v>
      </c>
      <c r="AM464" s="31"/>
      <c r="AN464" s="2">
        <f t="shared" si="71"/>
        <v>0.80918802612278184</v>
      </c>
      <c r="AO464" s="2">
        <f t="shared" si="64"/>
        <v>-0.88722984566489904</v>
      </c>
      <c r="AP464" s="2">
        <f t="shared" si="65"/>
        <v>-0.31743502689458331</v>
      </c>
      <c r="AQ464" s="31"/>
      <c r="AR464" s="31">
        <v>1977.6666666681999</v>
      </c>
      <c r="AS464" s="2">
        <v>0.37185561837049469</v>
      </c>
      <c r="AT464" s="2">
        <v>-0.32631334910520099</v>
      </c>
      <c r="AU464" s="2">
        <v>-3.7178018097255958E-3</v>
      </c>
      <c r="AV464" s="31"/>
      <c r="AW464" s="31">
        <v>1977.6666666681999</v>
      </c>
      <c r="AX464" s="2">
        <v>-0.28293685225616966</v>
      </c>
      <c r="AY464" s="2">
        <v>-0.23837245449551037</v>
      </c>
      <c r="AZ464" s="2">
        <v>-0.29904931357405051</v>
      </c>
      <c r="BA464" s="31"/>
      <c r="BB464" s="31">
        <v>1977.6666666681999</v>
      </c>
      <c r="BC464" s="2">
        <v>1.3302483788434865</v>
      </c>
      <c r="BD464" s="2">
        <v>-1.0289872901111137</v>
      </c>
      <c r="BE464" s="2">
        <v>9.942026972279136E-2</v>
      </c>
      <c r="BG464" s="2">
        <f t="shared" si="72"/>
        <v>0.47305571498593713</v>
      </c>
      <c r="BH464" s="2">
        <f t="shared" si="66"/>
        <v>-0.5312243645706084</v>
      </c>
      <c r="BI464" s="2">
        <f t="shared" si="67"/>
        <v>-6.7782281886994908E-2</v>
      </c>
    </row>
    <row r="465" spans="6:61" x14ac:dyDescent="0.3">
      <c r="F465" s="31">
        <v>1977.5833333348701</v>
      </c>
      <c r="G465" s="2">
        <v>1.06033241785086</v>
      </c>
      <c r="H465" s="2">
        <v>9.2249999999999749E-2</v>
      </c>
      <c r="I465" s="2">
        <v>9.3049816149495979E-2</v>
      </c>
      <c r="K465" s="31">
        <v>1977.5833333348701</v>
      </c>
      <c r="L465" s="2">
        <v>0.7765319641222338</v>
      </c>
      <c r="M465" s="2">
        <v>9.2264999999999903E-2</v>
      </c>
      <c r="N465" s="2">
        <v>4.7767823207546155E-2</v>
      </c>
      <c r="P465" s="31">
        <v>1977.5833333348701</v>
      </c>
      <c r="Q465" s="2">
        <v>0.97946490582890677</v>
      </c>
      <c r="R465" s="2">
        <v>9.5850000000000463E-2</v>
      </c>
      <c r="S465" s="2">
        <v>6.9367816772609656E-2</v>
      </c>
      <c r="U465" s="2">
        <f t="shared" si="68"/>
        <v>0.93877642926733351</v>
      </c>
      <c r="V465" s="2">
        <f t="shared" si="69"/>
        <v>9.3455000000000024E-2</v>
      </c>
      <c r="W465" s="2">
        <f t="shared" si="70"/>
        <v>7.0061818709883927E-2</v>
      </c>
      <c r="Y465" s="31">
        <v>1977.5833333348701</v>
      </c>
      <c r="Z465" s="2">
        <v>1.8939785514796912</v>
      </c>
      <c r="AA465" s="2">
        <v>-0.1883013680744752</v>
      </c>
      <c r="AB465" s="2">
        <v>0.41128453727912728</v>
      </c>
      <c r="AD465" s="31">
        <v>1977.5833333348701</v>
      </c>
      <c r="AE465" s="2">
        <v>-0.19477003332126994</v>
      </c>
      <c r="AF465" s="2">
        <v>6.6874490811640125E-2</v>
      </c>
      <c r="AG465" s="2">
        <v>-0.46839180544957176</v>
      </c>
      <c r="AH465" s="31"/>
      <c r="AI465" s="31">
        <v>1977.5833333348701</v>
      </c>
      <c r="AJ465" s="2">
        <v>1.9643998338834869</v>
      </c>
      <c r="AK465" s="2">
        <v>-4.4052846898962821E-2</v>
      </c>
      <c r="AL465" s="2">
        <v>1.9774475398112568</v>
      </c>
      <c r="AM465" s="31"/>
      <c r="AN465" s="2">
        <f t="shared" si="71"/>
        <v>1.2212027840139694</v>
      </c>
      <c r="AO465" s="2">
        <f t="shared" si="64"/>
        <v>-5.5159908053932637E-2</v>
      </c>
      <c r="AP465" s="2">
        <f t="shared" si="65"/>
        <v>0.64011342388027082</v>
      </c>
      <c r="AQ465" s="31"/>
      <c r="AR465" s="31">
        <v>1977.5833333348701</v>
      </c>
      <c r="AS465" s="2">
        <v>1.4342357932063297</v>
      </c>
      <c r="AT465" s="2">
        <v>0.98806436351113014</v>
      </c>
      <c r="AU465" s="2">
        <v>1.4071560808216974</v>
      </c>
      <c r="AV465" s="31"/>
      <c r="AW465" s="31">
        <v>1977.5833333348701</v>
      </c>
      <c r="AX465" s="2">
        <v>-0.45909891146990506</v>
      </c>
      <c r="AY465" s="2">
        <v>1.4455061964040326</v>
      </c>
      <c r="AZ465" s="2">
        <v>-0.60507180534338112</v>
      </c>
      <c r="BA465" s="31"/>
      <c r="BB465" s="31">
        <v>1977.5833333348701</v>
      </c>
      <c r="BC465" s="2">
        <v>1.2575088308200977</v>
      </c>
      <c r="BD465" s="2">
        <v>0.77441334649330551</v>
      </c>
      <c r="BE465" s="2">
        <v>1.1136763271596408</v>
      </c>
      <c r="BG465" s="2">
        <f t="shared" si="72"/>
        <v>0.74421523751884067</v>
      </c>
      <c r="BH465" s="2">
        <f t="shared" si="66"/>
        <v>1.0693279688028228</v>
      </c>
      <c r="BI465" s="2">
        <f t="shared" si="67"/>
        <v>0.6385868675459857</v>
      </c>
    </row>
    <row r="466" spans="6:61" x14ac:dyDescent="0.3">
      <c r="F466" s="31">
        <v>1977.50000000153</v>
      </c>
      <c r="G466" s="2">
        <v>0.91342054534160666</v>
      </c>
      <c r="H466" s="2">
        <v>6.1499999999999798E-2</v>
      </c>
      <c r="I466" s="2">
        <v>5.6175363538508626E-2</v>
      </c>
      <c r="K466" s="31">
        <v>1977.50000000153</v>
      </c>
      <c r="L466" s="2">
        <v>0.79836847552188406</v>
      </c>
      <c r="M466" s="2">
        <v>6.1514999999999952E-2</v>
      </c>
      <c r="N466" s="2">
        <v>4.9110962860500137E-2</v>
      </c>
      <c r="P466" s="31">
        <v>1977.50000000153</v>
      </c>
      <c r="Q466" s="2">
        <v>0.92652813023340463</v>
      </c>
      <c r="R466" s="2">
        <v>4.7900000000000303E-2</v>
      </c>
      <c r="S466" s="2">
        <v>4.815456937651974E-2</v>
      </c>
      <c r="U466" s="2">
        <f t="shared" si="68"/>
        <v>0.87943905036563186</v>
      </c>
      <c r="V466" s="2">
        <f t="shared" si="69"/>
        <v>5.6971666666666691E-2</v>
      </c>
      <c r="W466" s="2">
        <f t="shared" si="70"/>
        <v>5.1146965258509501E-2</v>
      </c>
      <c r="Y466" s="31">
        <v>1977.50000000153</v>
      </c>
      <c r="Z466" s="2">
        <v>1.0421723210324552</v>
      </c>
      <c r="AA466" s="2">
        <v>-0.78876452892998272</v>
      </c>
      <c r="AB466" s="2">
        <v>-0.43735293000887204</v>
      </c>
      <c r="AD466" s="31">
        <v>1977.50000000153</v>
      </c>
      <c r="AE466" s="2">
        <v>-6.4826267234366949E-2</v>
      </c>
      <c r="AF466" s="2">
        <v>-0.68622224125583742</v>
      </c>
      <c r="AG466" s="2">
        <v>-0.41731917476549041</v>
      </c>
      <c r="AH466" s="31"/>
      <c r="AI466" s="31">
        <v>1977.50000000153</v>
      </c>
      <c r="AJ466" s="2">
        <v>2.2023494504760377</v>
      </c>
      <c r="AK466" s="2">
        <v>-1.186702766808877</v>
      </c>
      <c r="AL466" s="2">
        <v>0.26303818493801162</v>
      </c>
      <c r="AM466" s="31"/>
      <c r="AN466" s="2">
        <f t="shared" si="71"/>
        <v>1.0598985014247087</v>
      </c>
      <c r="AO466" s="2">
        <f t="shared" si="64"/>
        <v>-0.88722984566489904</v>
      </c>
      <c r="AP466" s="2">
        <f t="shared" si="65"/>
        <v>-0.19721130661211694</v>
      </c>
      <c r="AQ466" s="31"/>
      <c r="AR466" s="31">
        <v>1977.50000000153</v>
      </c>
      <c r="AS466" s="2">
        <v>0.18853135311557731</v>
      </c>
      <c r="AT466" s="2">
        <v>-2.3130098149133811E-2</v>
      </c>
      <c r="AU466" s="2">
        <v>0.15430189617132706</v>
      </c>
      <c r="AV466" s="31"/>
      <c r="AW466" s="31">
        <v>1977.50000000153</v>
      </c>
      <c r="AX466" s="2">
        <v>-0.23620193070994142</v>
      </c>
      <c r="AY466" s="2">
        <v>-0.10780241638246968</v>
      </c>
      <c r="AZ466" s="2">
        <v>-0.23605632493863504</v>
      </c>
      <c r="BA466" s="31"/>
      <c r="BB466" s="31">
        <v>1977.50000000153</v>
      </c>
      <c r="BC466" s="2">
        <v>0.60568670069497998</v>
      </c>
      <c r="BD466" s="2">
        <v>-0.38248368897839508</v>
      </c>
      <c r="BE466" s="2">
        <v>0.27559898301898583</v>
      </c>
      <c r="BG466" s="2">
        <f t="shared" si="72"/>
        <v>0.18600537436687195</v>
      </c>
      <c r="BH466" s="2">
        <f t="shared" si="66"/>
        <v>-0.17113873450333286</v>
      </c>
      <c r="BI466" s="2">
        <f t="shared" si="67"/>
        <v>6.4614851417225949E-2</v>
      </c>
    </row>
    <row r="467" spans="6:61" x14ac:dyDescent="0.3">
      <c r="F467" s="31">
        <v>1977.4166666681999</v>
      </c>
      <c r="G467" s="2">
        <v>1.0563547404715341</v>
      </c>
      <c r="H467" s="2">
        <v>9.2249999999999804E-2</v>
      </c>
      <c r="I467" s="2">
        <v>0.10167713669220581</v>
      </c>
      <c r="K467" s="31">
        <v>1977.4166666681999</v>
      </c>
      <c r="L467" s="2">
        <v>0.7674773931097455</v>
      </c>
      <c r="M467" s="2">
        <v>0.1230299999999999</v>
      </c>
      <c r="N467" s="2">
        <v>6.9480960412329928E-2</v>
      </c>
      <c r="P467" s="31">
        <v>1977.4166666681999</v>
      </c>
      <c r="Q467" s="2">
        <v>0.88599025683214538</v>
      </c>
      <c r="R467" s="2">
        <v>0.14380000000000059</v>
      </c>
      <c r="S467" s="2">
        <v>7.4603498140385416E-2</v>
      </c>
      <c r="U467" s="2">
        <f t="shared" si="68"/>
        <v>0.90327413013780833</v>
      </c>
      <c r="V467" s="2">
        <f t="shared" si="69"/>
        <v>0.11969333333333343</v>
      </c>
      <c r="W467" s="2">
        <f t="shared" si="70"/>
        <v>8.1920531748307046E-2</v>
      </c>
      <c r="Y467" s="31">
        <v>1977.4166666681999</v>
      </c>
      <c r="Z467" s="2">
        <v>1.8709156749636671</v>
      </c>
      <c r="AA467" s="2">
        <v>-0.18830136807447412</v>
      </c>
      <c r="AB467" s="2">
        <v>0.60983575462426132</v>
      </c>
      <c r="AD467" s="31">
        <v>1977.4166666681999</v>
      </c>
      <c r="AE467" s="2">
        <v>-0.24865158226149472</v>
      </c>
      <c r="AF467" s="2">
        <v>0.82033858713866403</v>
      </c>
      <c r="AG467" s="2">
        <v>0.35724612059466876</v>
      </c>
      <c r="AH467" s="31"/>
      <c r="AI467" s="31">
        <v>1977.4166666681999</v>
      </c>
      <c r="AJ467" s="2">
        <v>2.3697863524110629</v>
      </c>
      <c r="AK467" s="2">
        <v>1.0985970730109507</v>
      </c>
      <c r="AL467" s="2">
        <v>2.4005841274562401</v>
      </c>
      <c r="AM467" s="31"/>
      <c r="AN467" s="2">
        <f t="shared" si="71"/>
        <v>1.3306834817044118</v>
      </c>
      <c r="AO467" s="2">
        <f t="shared" si="64"/>
        <v>0.57687809735838025</v>
      </c>
      <c r="AP467" s="2">
        <f t="shared" si="65"/>
        <v>1.1225553342250567</v>
      </c>
      <c r="AQ467" s="31"/>
      <c r="AR467" s="31">
        <v>1977.4166666681999</v>
      </c>
      <c r="AS467" s="2">
        <v>1.2337796866446127</v>
      </c>
      <c r="AT467" s="2">
        <v>-1.6914044055113877</v>
      </c>
      <c r="AU467" s="2">
        <v>-0.83831355905987159</v>
      </c>
      <c r="AV467" s="31"/>
      <c r="AW467" s="31">
        <v>1977.4166666681999</v>
      </c>
      <c r="AX467" s="2">
        <v>-0.67031304153155857</v>
      </c>
      <c r="AY467" s="2">
        <v>-0.38552664826294392</v>
      </c>
      <c r="AZ467" s="2">
        <v>-0.50653789830709894</v>
      </c>
      <c r="BA467" s="31"/>
      <c r="BB467" s="31">
        <v>1977.4166666681999</v>
      </c>
      <c r="BC467" s="2">
        <v>1.7302730960809003</v>
      </c>
      <c r="BD467" s="2">
        <v>-0.3489924073651578</v>
      </c>
      <c r="BE467" s="2">
        <v>1.6413569968697608</v>
      </c>
      <c r="BG467" s="2">
        <f t="shared" si="72"/>
        <v>0.76457991373131817</v>
      </c>
      <c r="BH467" s="2">
        <f t="shared" si="66"/>
        <v>-0.80864115371316314</v>
      </c>
      <c r="BI467" s="2">
        <f t="shared" si="67"/>
        <v>9.8835179834263417E-2</v>
      </c>
    </row>
    <row r="468" spans="6:61" x14ac:dyDescent="0.3">
      <c r="F468" s="31">
        <v>1977.3333333348701</v>
      </c>
      <c r="G468" s="2">
        <v>0.94278818880304949</v>
      </c>
      <c r="H468" s="2">
        <v>9.2249999999999804E-2</v>
      </c>
      <c r="I468" s="2">
        <v>8.9440657288769321E-2</v>
      </c>
      <c r="K468" s="31">
        <v>1977.3333333348701</v>
      </c>
      <c r="L468" s="2">
        <v>0.60734221390967913</v>
      </c>
      <c r="M468" s="2">
        <v>0.1230299999999999</v>
      </c>
      <c r="N468" s="2">
        <v>5.5637732699105082E-2</v>
      </c>
      <c r="P468" s="31">
        <v>1977.3333333348701</v>
      </c>
      <c r="Q468" s="2">
        <v>0.83104230899489595</v>
      </c>
      <c r="R468" s="2">
        <v>9.5850000000000463E-2</v>
      </c>
      <c r="S468" s="2">
        <v>6.9898415686383428E-2</v>
      </c>
      <c r="U468" s="2">
        <f t="shared" si="68"/>
        <v>0.79372423723587493</v>
      </c>
      <c r="V468" s="2">
        <f t="shared" si="69"/>
        <v>0.10371000000000004</v>
      </c>
      <c r="W468" s="2">
        <f t="shared" si="70"/>
        <v>7.1658935224752612E-2</v>
      </c>
      <c r="Y468" s="31">
        <v>1977.3333333348701</v>
      </c>
      <c r="Z468" s="2">
        <v>1.2124481554272175</v>
      </c>
      <c r="AA468" s="2">
        <v>-0.18830136807447412</v>
      </c>
      <c r="AB468" s="2">
        <v>0.32822249248298352</v>
      </c>
      <c r="AD468" s="31">
        <v>1977.3333333348701</v>
      </c>
      <c r="AE468" s="2">
        <v>-1.201577069644566</v>
      </c>
      <c r="AF468" s="2">
        <v>0.82033858713866403</v>
      </c>
      <c r="AG468" s="2">
        <v>-0.16913998893477339</v>
      </c>
      <c r="AH468" s="31"/>
      <c r="AI468" s="31">
        <v>1977.3333333348701</v>
      </c>
      <c r="AJ468" s="2">
        <v>1.9524399918846644</v>
      </c>
      <c r="AK468" s="2">
        <v>-4.4052846898962821E-2</v>
      </c>
      <c r="AL468" s="2">
        <v>2.0203294109587646</v>
      </c>
      <c r="AM468" s="31"/>
      <c r="AN468" s="2">
        <f t="shared" si="71"/>
        <v>0.65443702588910535</v>
      </c>
      <c r="AO468" s="2">
        <f t="shared" si="64"/>
        <v>0.19599479072174239</v>
      </c>
      <c r="AP468" s="2">
        <f t="shared" si="65"/>
        <v>0.72647063816899171</v>
      </c>
      <c r="AQ468" s="31"/>
      <c r="AR468" s="31">
        <v>1977.3333333348701</v>
      </c>
      <c r="AS468" s="2">
        <v>1.2262575141153904</v>
      </c>
      <c r="AT468" s="2">
        <v>-1.2318355951367137</v>
      </c>
      <c r="AU468" s="2">
        <v>-0.60867863164424763</v>
      </c>
      <c r="AV468" s="31"/>
      <c r="AW468" s="31">
        <v>1977.3333333348701</v>
      </c>
      <c r="AX468" s="2">
        <v>-1.2913258468015374</v>
      </c>
      <c r="AY468" s="2">
        <v>6.3072530914539418E-2</v>
      </c>
      <c r="AZ468" s="2">
        <v>-0.48368228666041796</v>
      </c>
      <c r="BA468" s="31"/>
      <c r="BB468" s="31">
        <v>1977.3333333348701</v>
      </c>
      <c r="BC468" s="2">
        <v>1.9542000206389063</v>
      </c>
      <c r="BD468" s="2">
        <v>-0.7363458413185221</v>
      </c>
      <c r="BE468" s="2">
        <v>1.8332915444389135</v>
      </c>
      <c r="BG468" s="2">
        <f t="shared" si="72"/>
        <v>0.62971056265091974</v>
      </c>
      <c r="BH468" s="2">
        <f t="shared" si="66"/>
        <v>-0.63503630184689885</v>
      </c>
      <c r="BI468" s="2">
        <f t="shared" si="67"/>
        <v>0.24697687537808263</v>
      </c>
    </row>
    <row r="469" spans="6:61" x14ac:dyDescent="0.3">
      <c r="F469" s="31">
        <v>1977.25000000154</v>
      </c>
      <c r="G469" s="2">
        <v>0.84154576224641076</v>
      </c>
      <c r="H469" s="2">
        <v>9.2249999999999804E-2</v>
      </c>
      <c r="I469" s="2">
        <v>7.8760836100919565E-2</v>
      </c>
      <c r="K469" s="31">
        <v>1977.25000000154</v>
      </c>
      <c r="L469" s="2">
        <v>0.50234948003266378</v>
      </c>
      <c r="M469" s="2">
        <v>0.1230299999999999</v>
      </c>
      <c r="N469" s="2">
        <v>4.6570820094124478E-2</v>
      </c>
      <c r="P469" s="31">
        <v>1977.25000000154</v>
      </c>
      <c r="Q469" s="2">
        <v>0.79969842358448151</v>
      </c>
      <c r="R469" s="2">
        <v>0.14380000000000059</v>
      </c>
      <c r="S469" s="2">
        <v>6.176996200324477E-2</v>
      </c>
      <c r="U469" s="2">
        <f t="shared" si="68"/>
        <v>0.71453122195451868</v>
      </c>
      <c r="V469" s="2">
        <f t="shared" si="69"/>
        <v>0.11969333333333343</v>
      </c>
      <c r="W469" s="2">
        <f t="shared" si="70"/>
        <v>6.2367206066096269E-2</v>
      </c>
      <c r="Y469" s="31">
        <v>1977.25000000154</v>
      </c>
      <c r="Z469" s="2">
        <v>0.6254368522998287</v>
      </c>
      <c r="AA469" s="2">
        <v>-0.18830136807447412</v>
      </c>
      <c r="AB469" s="2">
        <v>8.2434534636933468E-2</v>
      </c>
      <c r="AD469" s="31">
        <v>1977.25000000154</v>
      </c>
      <c r="AE469" s="2">
        <v>-1.8263632821509215</v>
      </c>
      <c r="AF469" s="2">
        <v>0.82033858713866403</v>
      </c>
      <c r="AG469" s="2">
        <v>-0.5139076219210964</v>
      </c>
      <c r="AH469" s="31"/>
      <c r="AI469" s="31">
        <v>1977.25000000154</v>
      </c>
      <c r="AJ469" s="2">
        <v>1.2451766986404331</v>
      </c>
      <c r="AK469" s="2">
        <v>1.0985970730109507</v>
      </c>
      <c r="AL469" s="2">
        <v>1.3634051421362823</v>
      </c>
      <c r="AM469" s="31"/>
      <c r="AN469" s="2">
        <f t="shared" si="71"/>
        <v>1.4750089596446784E-2</v>
      </c>
      <c r="AO469" s="2">
        <f t="shared" si="64"/>
        <v>0.57687809735838025</v>
      </c>
      <c r="AP469" s="2">
        <f t="shared" si="65"/>
        <v>0.31064401828403981</v>
      </c>
      <c r="AQ469" s="31"/>
      <c r="AR469" s="31">
        <v>1977.25000000154</v>
      </c>
      <c r="AS469" s="2">
        <v>0.946014908662003</v>
      </c>
      <c r="AT469" s="2">
        <v>-1.4277403812081222</v>
      </c>
      <c r="AU469" s="2">
        <v>-0.81444114164992276</v>
      </c>
      <c r="AV469" s="31"/>
      <c r="AW469" s="31">
        <v>1977.25000000154</v>
      </c>
      <c r="AX469" s="2">
        <v>-1.8001591643365256</v>
      </c>
      <c r="AY469" s="2">
        <v>-0.13053036562694012</v>
      </c>
      <c r="AZ469" s="2">
        <v>-0.81618706712957323</v>
      </c>
      <c r="BA469" s="31"/>
      <c r="BB469" s="31">
        <v>1977.25000000154</v>
      </c>
      <c r="BC469" s="2">
        <v>1.7100476487984255</v>
      </c>
      <c r="BD469" s="2">
        <v>3.3388824798885192E-2</v>
      </c>
      <c r="BE469" s="2">
        <v>1.6518723063764351</v>
      </c>
      <c r="BG469" s="2">
        <f t="shared" si="72"/>
        <v>0.285301131041301</v>
      </c>
      <c r="BH469" s="2">
        <f t="shared" si="66"/>
        <v>-0.508293974012059</v>
      </c>
      <c r="BI469" s="2">
        <f t="shared" si="67"/>
        <v>7.0813658656463758E-3</v>
      </c>
    </row>
    <row r="470" spans="6:61" x14ac:dyDescent="0.3">
      <c r="F470" s="31">
        <v>1977.1666666682099</v>
      </c>
      <c r="G470" s="2"/>
      <c r="H470" s="2"/>
      <c r="I470" s="2"/>
      <c r="K470" s="31">
        <v>1977.1666666682099</v>
      </c>
      <c r="L470" s="2">
        <v>0.47420930377612341</v>
      </c>
      <c r="M470" s="2">
        <v>9.2264999999999903E-2</v>
      </c>
      <c r="N470" s="2">
        <v>2.9171282548862004E-2</v>
      </c>
      <c r="P470" s="31">
        <v>1977.1666666682099</v>
      </c>
      <c r="Q470" s="2"/>
      <c r="R470" s="2">
        <v>7.1900000000000297E-2</v>
      </c>
      <c r="S470" s="2">
        <v>5.699802927788282E-2</v>
      </c>
      <c r="U470" s="2">
        <f t="shared" si="68"/>
        <v>0.47420930377612341</v>
      </c>
      <c r="V470" s="2">
        <f t="shared" si="69"/>
        <v>8.20825000000001E-2</v>
      </c>
      <c r="W470" s="2">
        <f t="shared" si="70"/>
        <v>4.3084655913372412E-2</v>
      </c>
      <c r="Y470" s="31">
        <v>1977.1666666682099</v>
      </c>
      <c r="Z470" s="2"/>
      <c r="AA470" s="2"/>
      <c r="AB470" s="2"/>
      <c r="AD470" s="31">
        <v>1977.1666666682099</v>
      </c>
      <c r="AE470" s="2">
        <v>-1.9938186239956204</v>
      </c>
      <c r="AF470" s="2">
        <v>6.6874490811640125E-2</v>
      </c>
      <c r="AG470" s="2">
        <v>-1.1755217386427643</v>
      </c>
      <c r="AH470" s="31"/>
      <c r="AI470" s="31">
        <v>1977.1666666682099</v>
      </c>
      <c r="AJ470" s="2">
        <v>0.8616651360010803</v>
      </c>
      <c r="AK470" s="2">
        <v>-0.61478205611361436</v>
      </c>
      <c r="AL470" s="2">
        <v>0.97774772946243282</v>
      </c>
      <c r="AM470" s="31"/>
      <c r="AN470" s="2">
        <f t="shared" si="71"/>
        <v>-0.56607674399727004</v>
      </c>
      <c r="AO470" s="2">
        <f t="shared" si="64"/>
        <v>-0.27395378265098713</v>
      </c>
      <c r="AP470" s="2">
        <f t="shared" si="65"/>
        <v>-9.888700459016575E-2</v>
      </c>
      <c r="AQ470" s="31"/>
      <c r="AR470" s="31">
        <v>1977.1666666682099</v>
      </c>
      <c r="AS470" s="2"/>
      <c r="AT470" s="2"/>
      <c r="AU470" s="2"/>
      <c r="AV470" s="31"/>
      <c r="AW470" s="31">
        <v>1977.1666666682099</v>
      </c>
      <c r="AX470" s="2">
        <v>-1.7748003867141209</v>
      </c>
      <c r="AY470" s="2">
        <v>-0.48231704140909132</v>
      </c>
      <c r="AZ470" s="2">
        <v>-1.0951205998600382</v>
      </c>
      <c r="BA470" s="31"/>
      <c r="BB470" s="31">
        <v>1977.1666666682099</v>
      </c>
      <c r="BC470" s="2">
        <v>1.5844587866736031</v>
      </c>
      <c r="BD470" s="2">
        <v>-1.0055477933738932</v>
      </c>
      <c r="BE470" s="2">
        <v>1.6169834665164571</v>
      </c>
      <c r="BG470" s="2">
        <f t="shared" si="72"/>
        <v>-9.5170800020258906E-2</v>
      </c>
      <c r="BH470" s="2">
        <f t="shared" si="66"/>
        <v>-0.7439324173914923</v>
      </c>
      <c r="BI470" s="2">
        <f t="shared" si="67"/>
        <v>0.26093143332820945</v>
      </c>
    </row>
    <row r="471" spans="6:61" x14ac:dyDescent="0.3">
      <c r="F471" s="31">
        <v>1977.0833333348801</v>
      </c>
      <c r="G471" s="2">
        <v>0.74392900849500965</v>
      </c>
      <c r="H471" s="2">
        <v>0.12299999999999969</v>
      </c>
      <c r="I471" s="2">
        <v>9.1503268044885969E-2</v>
      </c>
      <c r="K471" s="31">
        <v>1977.0833333348801</v>
      </c>
      <c r="L471" s="2">
        <v>0.45508208556238083</v>
      </c>
      <c r="M471" s="2">
        <v>6.1514999999999952E-2</v>
      </c>
      <c r="N471" s="2">
        <v>2.7994809227636506E-2</v>
      </c>
      <c r="P471" s="31">
        <v>1977.0833333348801</v>
      </c>
      <c r="Q471" s="2">
        <v>0.79033834306481188</v>
      </c>
      <c r="R471" s="2">
        <v>9.5850000000000463E-2</v>
      </c>
      <c r="S471" s="2">
        <v>5.5862373068919828E-2</v>
      </c>
      <c r="U471" s="2">
        <f t="shared" si="68"/>
        <v>0.66311647904073412</v>
      </c>
      <c r="V471" s="2">
        <f t="shared" si="69"/>
        <v>9.3455000000000024E-2</v>
      </c>
      <c r="W471" s="2">
        <f t="shared" si="70"/>
        <v>5.8453483447147438E-2</v>
      </c>
      <c r="Y471" s="31">
        <v>1977.0833333348801</v>
      </c>
      <c r="Z471" s="2">
        <v>5.9447476347658533E-2</v>
      </c>
      <c r="AA471" s="2">
        <v>0.41216179278103221</v>
      </c>
      <c r="AB471" s="2">
        <v>0.37569190949475645</v>
      </c>
      <c r="AD471" s="31">
        <v>1977.0833333348801</v>
      </c>
      <c r="AE471" s="2">
        <v>-2.1076400455574698</v>
      </c>
      <c r="AF471" s="2">
        <v>-0.68622224125583742</v>
      </c>
      <c r="AG471" s="2">
        <v>-1.22025691365787</v>
      </c>
      <c r="AH471" s="31"/>
      <c r="AI471" s="31">
        <v>1977.0833333348801</v>
      </c>
      <c r="AJ471" s="2">
        <v>0.78559472459525603</v>
      </c>
      <c r="AK471" s="2">
        <v>-4.4052846898962821E-2</v>
      </c>
      <c r="AL471" s="2">
        <v>0.88596641978304314</v>
      </c>
      <c r="AM471" s="31"/>
      <c r="AN471" s="2">
        <f t="shared" si="71"/>
        <v>-0.42086594820485179</v>
      </c>
      <c r="AO471" s="2">
        <f t="shared" si="64"/>
        <v>-0.10603776512458934</v>
      </c>
      <c r="AP471" s="2">
        <f t="shared" si="65"/>
        <v>1.380047187330985E-2</v>
      </c>
      <c r="AQ471" s="31"/>
      <c r="AR471" s="31">
        <v>1977.0833333348801</v>
      </c>
      <c r="AS471" s="2">
        <v>0.84901502835891984</v>
      </c>
      <c r="AT471" s="2">
        <v>1.9496224470835801</v>
      </c>
      <c r="AU471" s="2">
        <v>2.3629834279530937</v>
      </c>
      <c r="AV471" s="31"/>
      <c r="AW471" s="31">
        <v>1977.0833333348801</v>
      </c>
      <c r="AX471" s="2">
        <v>-1.9271640893688531</v>
      </c>
      <c r="AY471" s="2">
        <v>-0.87038484719517628</v>
      </c>
      <c r="AZ471" s="2">
        <v>-1.8838656544492798</v>
      </c>
      <c r="BA471" s="31"/>
      <c r="BB471" s="31">
        <v>1977.0833333348801</v>
      </c>
      <c r="BC471" s="2">
        <v>1.6228196276463789</v>
      </c>
      <c r="BD471" s="2">
        <v>-1.4615836317459097E-2</v>
      </c>
      <c r="BE471" s="2">
        <v>1.5099555909849667</v>
      </c>
      <c r="BG471" s="2">
        <f t="shared" si="72"/>
        <v>0.18155685554548187</v>
      </c>
      <c r="BH471" s="2">
        <f t="shared" si="66"/>
        <v>0.35487392119031491</v>
      </c>
      <c r="BI471" s="2">
        <f t="shared" si="67"/>
        <v>0.66302445482959349</v>
      </c>
    </row>
    <row r="472" spans="6:61" x14ac:dyDescent="0.3">
      <c r="F472" s="31">
        <v>1977.00000000155</v>
      </c>
      <c r="G472" s="2">
        <v>0.80747885122716245</v>
      </c>
      <c r="H472" s="2">
        <v>6.1499999999999846E-2</v>
      </c>
      <c r="I472" s="2">
        <v>4.965994935047037E-2</v>
      </c>
      <c r="K472" s="31">
        <v>1977.00000000155</v>
      </c>
      <c r="L472" s="2"/>
      <c r="M472" s="2"/>
      <c r="N472" s="2"/>
      <c r="P472" s="31">
        <v>1977.00000000155</v>
      </c>
      <c r="Q472" s="2">
        <v>0.8289089866966306</v>
      </c>
      <c r="R472" s="2">
        <v>7.1900000000000297E-2</v>
      </c>
      <c r="S472" s="2">
        <v>5.622600808590153E-2</v>
      </c>
      <c r="U472" s="2">
        <f t="shared" si="68"/>
        <v>0.81819391896189653</v>
      </c>
      <c r="V472" s="2">
        <f t="shared" si="69"/>
        <v>6.6700000000000065E-2</v>
      </c>
      <c r="W472" s="2">
        <f t="shared" si="70"/>
        <v>5.294297871818595E-2</v>
      </c>
      <c r="Y472" s="31">
        <v>1977.00000000155</v>
      </c>
      <c r="Z472" s="2">
        <v>0.42791430655418405</v>
      </c>
      <c r="AA472" s="2">
        <v>-0.78876452892998183</v>
      </c>
      <c r="AB472" s="2">
        <v>-0.58730022965289597</v>
      </c>
      <c r="AD472" s="31">
        <v>1977.00000000155</v>
      </c>
      <c r="AE472" s="2"/>
      <c r="AF472" s="2"/>
      <c r="AG472" s="2"/>
      <c r="AH472" s="31"/>
      <c r="AI472" s="31">
        <v>1977.00000000155</v>
      </c>
      <c r="AJ472" s="2">
        <v>0.82635145815166611</v>
      </c>
      <c r="AK472" s="2">
        <v>-0.61478205611361436</v>
      </c>
      <c r="AL472" s="2">
        <v>0.9153546253336855</v>
      </c>
      <c r="AM472" s="31"/>
      <c r="AN472" s="2">
        <f t="shared" si="71"/>
        <v>0.62713288235292508</v>
      </c>
      <c r="AO472" s="2">
        <f t="shared" si="64"/>
        <v>-0.7017732925217981</v>
      </c>
      <c r="AP472" s="2">
        <f t="shared" si="65"/>
        <v>0.16402719784039477</v>
      </c>
      <c r="AQ472" s="31"/>
      <c r="AR472" s="31">
        <v>1977.00000000155</v>
      </c>
      <c r="AS472" s="2">
        <v>0.66074389316626747</v>
      </c>
      <c r="AT472" s="2">
        <v>-0.29853293598826575</v>
      </c>
      <c r="AU472" s="2">
        <v>0.34645642482179134</v>
      </c>
      <c r="AV472" s="31"/>
      <c r="AW472" s="31">
        <v>1977.00000000155</v>
      </c>
      <c r="AX472" s="2"/>
      <c r="AY472" s="2"/>
      <c r="AZ472" s="2"/>
      <c r="BA472" s="31"/>
      <c r="BB472" s="31">
        <v>1977.00000000155</v>
      </c>
      <c r="BC472" s="2">
        <v>1.1661453879103272</v>
      </c>
      <c r="BD472" s="2">
        <v>-9.3919208556921333E-2</v>
      </c>
      <c r="BE472" s="2">
        <v>1.4954407355674135</v>
      </c>
      <c r="BG472" s="2">
        <f t="shared" si="72"/>
        <v>0.91344464053829733</v>
      </c>
      <c r="BH472" s="2">
        <f t="shared" si="66"/>
        <v>-0.19622607227259353</v>
      </c>
      <c r="BI472" s="2">
        <f t="shared" si="67"/>
        <v>0.92094858019460246</v>
      </c>
    </row>
    <row r="473" spans="6:61" x14ac:dyDescent="0.3">
      <c r="F473" s="31">
        <v>1976.9166666682199</v>
      </c>
      <c r="G473" s="2">
        <v>0.89042963563636168</v>
      </c>
      <c r="H473" s="2">
        <v>9.2249999999999749E-2</v>
      </c>
      <c r="I473" s="2">
        <v>8.1809975660016479E-2</v>
      </c>
      <c r="K473" s="31">
        <v>1976.9166666682199</v>
      </c>
      <c r="L473" s="2">
        <v>0.47698499596834448</v>
      </c>
      <c r="M473" s="2">
        <v>6.1514999999999952E-2</v>
      </c>
      <c r="N473" s="2">
        <v>2.9341729962124696E-2</v>
      </c>
      <c r="P473" s="31">
        <v>1976.9166666682199</v>
      </c>
      <c r="Q473" s="2">
        <v>0.91043122506746899</v>
      </c>
      <c r="R473" s="2">
        <v>4.7900000000000303E-2</v>
      </c>
      <c r="S473" s="2">
        <v>4.0175073154861088E-2</v>
      </c>
      <c r="U473" s="2">
        <f t="shared" si="68"/>
        <v>0.75928195222405837</v>
      </c>
      <c r="V473" s="2">
        <f t="shared" si="69"/>
        <v>6.7221666666666666E-2</v>
      </c>
      <c r="W473" s="2">
        <f t="shared" si="70"/>
        <v>5.0442259592334088E-2</v>
      </c>
      <c r="Y473" s="31">
        <v>1976.9166666682199</v>
      </c>
      <c r="Z473" s="2">
        <v>0.90886927481783431</v>
      </c>
      <c r="AA473" s="2">
        <v>-0.1883013680744752</v>
      </c>
      <c r="AB473" s="2">
        <v>0.15260816135183228</v>
      </c>
      <c r="AD473" s="31">
        <v>1976.9166666682199</v>
      </c>
      <c r="AE473" s="2">
        <v>-1.9773011551401789</v>
      </c>
      <c r="AF473" s="2">
        <v>-0.68622224125583742</v>
      </c>
      <c r="AG473" s="2">
        <v>-1.1690405080652313</v>
      </c>
      <c r="AH473" s="31"/>
      <c r="AI473" s="31">
        <v>1976.9166666682199</v>
      </c>
      <c r="AJ473" s="2">
        <v>1.1161509276062058</v>
      </c>
      <c r="AK473" s="2">
        <v>-1.186702766808877</v>
      </c>
      <c r="AL473" s="2">
        <v>-0.38184765993781183</v>
      </c>
      <c r="AM473" s="31"/>
      <c r="AN473" s="2">
        <f t="shared" si="71"/>
        <v>1.5906349094620409E-2</v>
      </c>
      <c r="AO473" s="2">
        <f t="shared" si="64"/>
        <v>-0.68707545871306319</v>
      </c>
      <c r="AP473" s="2">
        <f t="shared" si="65"/>
        <v>-0.46609333555040361</v>
      </c>
      <c r="AQ473" s="31"/>
      <c r="AR473" s="31">
        <v>1976.9166666682199</v>
      </c>
      <c r="AS473" s="2">
        <v>1.2934213681197406</v>
      </c>
      <c r="AT473" s="2">
        <v>0.68444756444045063</v>
      </c>
      <c r="AU473" s="2">
        <v>1.4928202160990969</v>
      </c>
      <c r="AV473" s="31"/>
      <c r="AW473" s="31">
        <v>1976.9166666682199</v>
      </c>
      <c r="AX473" s="2">
        <v>-1.5974905443316723</v>
      </c>
      <c r="AY473" s="2">
        <v>-0.51751295497595129</v>
      </c>
      <c r="AZ473" s="2">
        <v>-1.6341245816649113</v>
      </c>
      <c r="BA473" s="31"/>
      <c r="BB473" s="31">
        <v>1976.9166666682199</v>
      </c>
      <c r="BC473" s="2">
        <v>1.8673134945813614</v>
      </c>
      <c r="BD473" s="2">
        <v>-1.7765123716427775</v>
      </c>
      <c r="BE473" s="2">
        <v>-9.0171488257932503E-2</v>
      </c>
      <c r="BG473" s="2">
        <f t="shared" si="72"/>
        <v>0.52108143945647656</v>
      </c>
      <c r="BH473" s="2">
        <f t="shared" si="66"/>
        <v>-0.53652592072609273</v>
      </c>
      <c r="BI473" s="2">
        <f t="shared" si="67"/>
        <v>-7.7158617941248966E-2</v>
      </c>
    </row>
    <row r="474" spans="6:61" x14ac:dyDescent="0.3">
      <c r="F474" s="31">
        <v>1976.8333333348901</v>
      </c>
      <c r="G474" s="2">
        <v>0.95422900633658481</v>
      </c>
      <c r="H474" s="2">
        <v>6.1499999999999846E-2</v>
      </c>
      <c r="I474" s="2">
        <v>5.8685083889699827E-2</v>
      </c>
      <c r="K474" s="31">
        <v>1976.8333333348901</v>
      </c>
      <c r="L474" s="2"/>
      <c r="M474" s="2"/>
      <c r="N474" s="2"/>
      <c r="P474" s="31">
        <v>1976.8333333348901</v>
      </c>
      <c r="Q474" s="2">
        <v>1.0110787957555825</v>
      </c>
      <c r="R474" s="2">
        <v>7.1900000000000297E-2</v>
      </c>
      <c r="S474" s="2">
        <v>5.9362582249657986E-2</v>
      </c>
      <c r="U474" s="2">
        <f t="shared" si="68"/>
        <v>0.98265390104608363</v>
      </c>
      <c r="V474" s="2">
        <f t="shared" si="69"/>
        <v>6.6700000000000065E-2</v>
      </c>
      <c r="W474" s="2">
        <f t="shared" si="70"/>
        <v>5.9023833069678906E-2</v>
      </c>
      <c r="Y474" s="31">
        <v>1976.8333333348901</v>
      </c>
      <c r="Z474" s="2">
        <v>1.2787828871954858</v>
      </c>
      <c r="AA474" s="2">
        <v>-0.78876452892998183</v>
      </c>
      <c r="AB474" s="2">
        <v>-0.37959362589376699</v>
      </c>
      <c r="AD474" s="31">
        <v>1976.8333333348901</v>
      </c>
      <c r="AE474" s="2"/>
      <c r="AF474" s="2"/>
      <c r="AG474" s="2"/>
      <c r="AH474" s="31"/>
      <c r="AI474" s="31">
        <v>1976.8333333348901</v>
      </c>
      <c r="AJ474" s="2">
        <v>1.0727705311625451</v>
      </c>
      <c r="AK474" s="2">
        <v>-0.61478205611361436</v>
      </c>
      <c r="AL474" s="2">
        <v>1.1688458512734239</v>
      </c>
      <c r="AM474" s="31"/>
      <c r="AN474" s="2">
        <f t="shared" si="71"/>
        <v>1.1757767091790154</v>
      </c>
      <c r="AO474" s="2">
        <f t="shared" si="64"/>
        <v>-0.7017732925217981</v>
      </c>
      <c r="AP474" s="2">
        <f t="shared" si="65"/>
        <v>0.39462611268982845</v>
      </c>
      <c r="AQ474" s="31"/>
      <c r="AR474" s="31">
        <v>1976.8333333348901</v>
      </c>
      <c r="AS474" s="2">
        <v>1.0027659573339003</v>
      </c>
      <c r="AT474" s="2">
        <v>-0.28549293171718004</v>
      </c>
      <c r="AU474" s="2">
        <v>0.59970702992907465</v>
      </c>
      <c r="AV474" s="31"/>
      <c r="AW474" s="31">
        <v>1976.8333333348901</v>
      </c>
      <c r="AX474" s="2"/>
      <c r="AY474" s="2"/>
      <c r="AZ474" s="2"/>
      <c r="BA474" s="31"/>
      <c r="BB474" s="31">
        <v>1976.8333333348901</v>
      </c>
      <c r="BC474" s="2">
        <v>0.79201361792479663</v>
      </c>
      <c r="BD474" s="2">
        <v>-4.0971152421897278E-2</v>
      </c>
      <c r="BE474" s="2">
        <v>1.0154441767764781</v>
      </c>
      <c r="BG474" s="2">
        <f t="shared" si="72"/>
        <v>0.8973897876293484</v>
      </c>
      <c r="BH474" s="2">
        <f t="shared" si="66"/>
        <v>-0.16323204206953867</v>
      </c>
      <c r="BI474" s="2">
        <f t="shared" si="67"/>
        <v>0.80757560335277634</v>
      </c>
    </row>
    <row r="475" spans="6:61" x14ac:dyDescent="0.3">
      <c r="F475" s="31">
        <v>1976.75000000156</v>
      </c>
      <c r="G475" s="2">
        <v>0.99419498255922867</v>
      </c>
      <c r="H475" s="2">
        <v>9.2249999999999749E-2</v>
      </c>
      <c r="I475" s="2">
        <v>8.9945871123866983E-2</v>
      </c>
      <c r="K475" s="31">
        <v>1976.75000000156</v>
      </c>
      <c r="L475" s="2">
        <v>0.52073534395962673</v>
      </c>
      <c r="M475" s="2">
        <v>6.1514999999999952E-2</v>
      </c>
      <c r="N475" s="2">
        <v>3.2032802892646164E-2</v>
      </c>
      <c r="P475" s="31">
        <v>1976.75000000156</v>
      </c>
      <c r="Q475" s="2">
        <v>1.0324285297660272</v>
      </c>
      <c r="R475" s="2">
        <v>9.5850000000000463E-2</v>
      </c>
      <c r="S475" s="2">
        <v>6.4858681993247999E-2</v>
      </c>
      <c r="U475" s="2">
        <f t="shared" si="68"/>
        <v>0.84911961876162756</v>
      </c>
      <c r="V475" s="2">
        <f t="shared" si="69"/>
        <v>8.3205000000000057E-2</v>
      </c>
      <c r="W475" s="2">
        <f t="shared" si="70"/>
        <v>6.2279118669920384E-2</v>
      </c>
      <c r="Y475" s="31">
        <v>1976.75000000156</v>
      </c>
      <c r="Z475" s="2">
        <v>1.5105086624571815</v>
      </c>
      <c r="AA475" s="2">
        <v>-0.1883013680744752</v>
      </c>
      <c r="AB475" s="2">
        <v>0.33984960445612195</v>
      </c>
      <c r="AD475" s="31">
        <v>1976.75000000156</v>
      </c>
      <c r="AE475" s="2">
        <v>-1.7169534795636288</v>
      </c>
      <c r="AF475" s="2">
        <v>-0.68622224125583742</v>
      </c>
      <c r="AG475" s="2">
        <v>-1.0667129700298696</v>
      </c>
      <c r="AH475" s="31"/>
      <c r="AI475" s="31">
        <v>1976.75000000156</v>
      </c>
      <c r="AJ475" s="2">
        <v>1.5134717365783164</v>
      </c>
      <c r="AK475" s="2">
        <v>-4.4052846898962821E-2</v>
      </c>
      <c r="AL475" s="2">
        <v>1.6130288959431407</v>
      </c>
      <c r="AM475" s="31"/>
      <c r="AN475" s="2">
        <f t="shared" si="71"/>
        <v>0.43567563982395635</v>
      </c>
      <c r="AO475" s="2">
        <f t="shared" si="64"/>
        <v>-0.30619215207642514</v>
      </c>
      <c r="AP475" s="2">
        <f t="shared" si="65"/>
        <v>0.295388510123131</v>
      </c>
      <c r="AQ475" s="31"/>
      <c r="AR475" s="31">
        <v>1976.75000000156</v>
      </c>
      <c r="AS475" s="2">
        <v>1.7537380000460467</v>
      </c>
      <c r="AT475" s="2">
        <v>0.89414149018552613</v>
      </c>
      <c r="AU475" s="2">
        <v>1.690532386629086</v>
      </c>
      <c r="AV475" s="31"/>
      <c r="AW475" s="31">
        <v>1976.75000000156</v>
      </c>
      <c r="AX475" s="2">
        <v>-1.8836526469876915</v>
      </c>
      <c r="AY475" s="2">
        <v>-0.6564669997761764</v>
      </c>
      <c r="AZ475" s="2">
        <v>-1.7380042180554038</v>
      </c>
      <c r="BA475" s="31"/>
      <c r="BB475" s="31">
        <v>1976.75000000156</v>
      </c>
      <c r="BC475" s="2">
        <v>1.4576040435251019</v>
      </c>
      <c r="BD475" s="2">
        <v>0.36965282471677957</v>
      </c>
      <c r="BE475" s="2">
        <v>1.3010671008167598</v>
      </c>
      <c r="BG475" s="2">
        <f t="shared" si="72"/>
        <v>0.44256313219448568</v>
      </c>
      <c r="BH475" s="2">
        <f t="shared" si="66"/>
        <v>0.20244243837537645</v>
      </c>
      <c r="BI475" s="2">
        <f t="shared" si="67"/>
        <v>0.41786508979681397</v>
      </c>
    </row>
    <row r="476" spans="6:61" x14ac:dyDescent="0.3">
      <c r="F476" s="31">
        <v>1976.6666666682299</v>
      </c>
      <c r="G476" s="2">
        <v>1.0243019628249055</v>
      </c>
      <c r="H476" s="2">
        <v>6.1499999999999846E-2</v>
      </c>
      <c r="I476" s="2">
        <v>6.2994570713731532E-2</v>
      </c>
      <c r="K476" s="31">
        <v>1976.6666666682299</v>
      </c>
      <c r="L476" s="2"/>
      <c r="M476" s="2"/>
      <c r="N476" s="2"/>
      <c r="P476" s="31">
        <v>1976.6666666682299</v>
      </c>
      <c r="Q476" s="2">
        <v>1.0394618854848245</v>
      </c>
      <c r="R476" s="2">
        <v>4.7900000000000303E-2</v>
      </c>
      <c r="S476" s="2">
        <v>4.5843466863016026E-2</v>
      </c>
      <c r="U476" s="2">
        <f t="shared" si="68"/>
        <v>1.0318819241548649</v>
      </c>
      <c r="V476" s="2">
        <f t="shared" si="69"/>
        <v>5.4700000000000075E-2</v>
      </c>
      <c r="W476" s="2">
        <f t="shared" si="70"/>
        <v>5.4419018788373782E-2</v>
      </c>
      <c r="Y476" s="31">
        <v>1976.6666666682299</v>
      </c>
      <c r="Z476" s="2">
        <v>1.6850712279750926</v>
      </c>
      <c r="AA476" s="2">
        <v>-0.78876452892998183</v>
      </c>
      <c r="AB476" s="2">
        <v>-0.28041406593556573</v>
      </c>
      <c r="AD476" s="31">
        <v>1976.6666666682299</v>
      </c>
      <c r="AE476" s="2"/>
      <c r="AF476" s="2"/>
      <c r="AG476" s="2"/>
      <c r="AH476" s="31"/>
      <c r="AI476" s="31">
        <v>1976.6666666682299</v>
      </c>
      <c r="AJ476" s="2">
        <v>1.8877536330665667</v>
      </c>
      <c r="AK476" s="2">
        <v>-1.186702766808877</v>
      </c>
      <c r="AL476" s="2">
        <v>7.6259815024117286E-2</v>
      </c>
      <c r="AM476" s="31"/>
      <c r="AN476" s="2">
        <f t="shared" si="71"/>
        <v>1.7864124305208295</v>
      </c>
      <c r="AO476" s="2">
        <f t="shared" si="64"/>
        <v>-0.98773364786942941</v>
      </c>
      <c r="AP476" s="2">
        <f t="shared" si="65"/>
        <v>-0.10207712545572423</v>
      </c>
      <c r="AQ476" s="31"/>
      <c r="AR476" s="31">
        <v>1976.6666666682299</v>
      </c>
      <c r="AS476" s="2">
        <v>0.77549238757275429</v>
      </c>
      <c r="AT476" s="2">
        <v>-0.32631334910519932</v>
      </c>
      <c r="AU476" s="2">
        <v>0.30138601435634288</v>
      </c>
      <c r="AV476" s="31"/>
      <c r="AW476" s="31">
        <v>1976.6666666682299</v>
      </c>
      <c r="AX476" s="2"/>
      <c r="AY476" s="2"/>
      <c r="AZ476" s="2"/>
      <c r="BA476" s="31"/>
      <c r="BB476" s="31">
        <v>1976.6666666682299</v>
      </c>
      <c r="BC476" s="2">
        <v>1.4028960434689139</v>
      </c>
      <c r="BD476" s="2">
        <v>-1.0289872901111137</v>
      </c>
      <c r="BE476" s="2">
        <v>0.14808058583887448</v>
      </c>
      <c r="BG476" s="2">
        <f t="shared" si="72"/>
        <v>1.0891942155208341</v>
      </c>
      <c r="BH476" s="2">
        <f t="shared" si="66"/>
        <v>-0.67765031960815647</v>
      </c>
      <c r="BI476" s="2">
        <f t="shared" si="67"/>
        <v>0.22473330009760867</v>
      </c>
    </row>
    <row r="477" spans="6:61" x14ac:dyDescent="0.3">
      <c r="F477" s="31">
        <v>1976.5833333349001</v>
      </c>
      <c r="G477" s="2">
        <v>1.0483626984627805</v>
      </c>
      <c r="H477" s="2">
        <v>9.2249999999999749E-2</v>
      </c>
      <c r="I477" s="2">
        <v>9.3954654225514397E-2</v>
      </c>
      <c r="K477" s="31">
        <v>1976.5833333349001</v>
      </c>
      <c r="L477" s="2">
        <v>0.56902850005292005</v>
      </c>
      <c r="M477" s="2">
        <v>6.1514999999999952E-2</v>
      </c>
      <c r="N477" s="2">
        <v>3.5003285125569883E-2</v>
      </c>
      <c r="P477" s="31">
        <v>1976.5833333349001</v>
      </c>
      <c r="Q477" s="2">
        <v>0.94753499395232466</v>
      </c>
      <c r="R477" s="2">
        <v>7.1900000000000297E-2</v>
      </c>
      <c r="S477" s="2">
        <v>7.181921086914711E-2</v>
      </c>
      <c r="U477" s="2">
        <f t="shared" si="68"/>
        <v>0.85497539748934182</v>
      </c>
      <c r="V477" s="2">
        <f t="shared" si="69"/>
        <v>7.5221666666666673E-2</v>
      </c>
      <c r="W477" s="2">
        <f t="shared" si="70"/>
        <v>6.6925716740077135E-2</v>
      </c>
      <c r="Y477" s="31">
        <v>1976.5833333349001</v>
      </c>
      <c r="Z477" s="2">
        <v>1.8245772064602208</v>
      </c>
      <c r="AA477" s="2">
        <v>-0.1883013680744752</v>
      </c>
      <c r="AB477" s="2">
        <v>0.43210869706365013</v>
      </c>
      <c r="AD477" s="31">
        <v>1976.5833333349001</v>
      </c>
      <c r="AE477" s="2">
        <v>-1.4295726583265098</v>
      </c>
      <c r="AF477" s="2">
        <v>-0.68622224125583742</v>
      </c>
      <c r="AG477" s="2">
        <v>-0.9537609462383897</v>
      </c>
      <c r="AH477" s="31"/>
      <c r="AI477" s="31">
        <v>1976.5833333349001</v>
      </c>
      <c r="AJ477" s="2">
        <v>2.1742559440091682</v>
      </c>
      <c r="AK477" s="2">
        <v>-0.61478205611361436</v>
      </c>
      <c r="AL477" s="2">
        <v>2.1755639758812717</v>
      </c>
      <c r="AM477" s="31"/>
      <c r="AN477" s="2">
        <f t="shared" si="71"/>
        <v>0.85642016404762644</v>
      </c>
      <c r="AO477" s="2">
        <f t="shared" si="64"/>
        <v>-0.49643522181464234</v>
      </c>
      <c r="AP477" s="2">
        <f t="shared" si="65"/>
        <v>0.55130390890217729</v>
      </c>
      <c r="AQ477" s="31"/>
      <c r="AR477" s="31">
        <v>1976.5833333349001</v>
      </c>
      <c r="AS477" s="2">
        <v>1.3636345780670502</v>
      </c>
      <c r="AT477" s="2">
        <v>0.98806436351113014</v>
      </c>
      <c r="AU477" s="2">
        <v>1.446967769287173</v>
      </c>
      <c r="AV477" s="31"/>
      <c r="AW477" s="31">
        <v>1976.5833333349001</v>
      </c>
      <c r="AX477" s="2">
        <v>-1.8394947979591973</v>
      </c>
      <c r="AY477" s="2">
        <v>-0.53553372549108424</v>
      </c>
      <c r="AZ477" s="2">
        <v>-1.8395777357110754</v>
      </c>
      <c r="BA477" s="31"/>
      <c r="BB477" s="31">
        <v>1976.5833333349001</v>
      </c>
      <c r="BC477" s="2">
        <v>1.4494460202741359</v>
      </c>
      <c r="BD477" s="2">
        <v>-0.51613739712758211</v>
      </c>
      <c r="BE477" s="2">
        <v>1.2898649680367367</v>
      </c>
      <c r="BG477" s="2">
        <f t="shared" si="72"/>
        <v>0.32452860012732959</v>
      </c>
      <c r="BH477" s="2">
        <f t="shared" si="66"/>
        <v>-2.1202253035845404E-2</v>
      </c>
      <c r="BI477" s="2">
        <f t="shared" si="67"/>
        <v>0.29908500053761139</v>
      </c>
    </row>
    <row r="478" spans="6:61" x14ac:dyDescent="0.3">
      <c r="F478" s="31">
        <v>1976.50000000157</v>
      </c>
      <c r="G478" s="2">
        <v>1.0729905279224452</v>
      </c>
      <c r="H478" s="2">
        <v>6.1499999999999846E-2</v>
      </c>
      <c r="I478" s="2">
        <v>6.5988917467230235E-2</v>
      </c>
      <c r="K478" s="31">
        <v>1976.50000000157</v>
      </c>
      <c r="L478" s="2"/>
      <c r="M478" s="2"/>
      <c r="N478" s="2"/>
      <c r="P478" s="31">
        <v>1976.50000000157</v>
      </c>
      <c r="Q478" s="2">
        <v>0.91624748388143695</v>
      </c>
      <c r="R478" s="2">
        <v>4.7900000000000303E-2</v>
      </c>
      <c r="S478" s="2">
        <v>5.0183738127149262E-2</v>
      </c>
      <c r="U478" s="2">
        <f t="shared" si="68"/>
        <v>0.99461900590194108</v>
      </c>
      <c r="V478" s="2">
        <f t="shared" si="69"/>
        <v>5.4700000000000075E-2</v>
      </c>
      <c r="W478" s="2">
        <f t="shared" si="70"/>
        <v>5.8086327797189752E-2</v>
      </c>
      <c r="Y478" s="31">
        <v>1976.50000000157</v>
      </c>
      <c r="Z478" s="2">
        <v>1.9673712381325967</v>
      </c>
      <c r="AA478" s="2">
        <v>-0.78876452892998183</v>
      </c>
      <c r="AB478" s="2">
        <v>-0.21150145394701475</v>
      </c>
      <c r="AD478" s="31">
        <v>1976.50000000157</v>
      </c>
      <c r="AE478" s="2"/>
      <c r="AF478" s="2"/>
      <c r="AG478" s="2"/>
      <c r="AH478" s="31"/>
      <c r="AI478" s="31">
        <v>1976.50000000157</v>
      </c>
      <c r="AJ478" s="2">
        <v>2.4785674018806518</v>
      </c>
      <c r="AK478" s="2">
        <v>-1.186702766808877</v>
      </c>
      <c r="AL478" s="2">
        <v>0.42703127018986864</v>
      </c>
      <c r="AM478" s="31"/>
      <c r="AN478" s="2">
        <f t="shared" si="71"/>
        <v>2.2229693200066243</v>
      </c>
      <c r="AO478" s="2">
        <f t="shared" si="64"/>
        <v>-0.98773364786942941</v>
      </c>
      <c r="AP478" s="2">
        <f t="shared" si="65"/>
        <v>0.10776490812142694</v>
      </c>
      <c r="AQ478" s="31"/>
      <c r="AR478" s="31">
        <v>1976.50000000157</v>
      </c>
      <c r="AS478" s="2">
        <v>0.57113339819935915</v>
      </c>
      <c r="AT478" s="2">
        <v>-2.3130098149132094E-2</v>
      </c>
      <c r="AU478" s="2">
        <v>0.5230077814759132</v>
      </c>
      <c r="AV478" s="31"/>
      <c r="AW478" s="31">
        <v>1976.50000000157</v>
      </c>
      <c r="AX478" s="2"/>
      <c r="AY478" s="2"/>
      <c r="AZ478" s="2"/>
      <c r="BA478" s="31"/>
      <c r="BB478" s="31">
        <v>1976.50000000157</v>
      </c>
      <c r="BC478" s="2">
        <v>0.73074396717146028</v>
      </c>
      <c r="BD478" s="2">
        <v>-0.38248368897839508</v>
      </c>
      <c r="BE478" s="2">
        <v>0.37960367960568042</v>
      </c>
      <c r="BG478" s="2">
        <f t="shared" si="72"/>
        <v>0.65093868268540978</v>
      </c>
      <c r="BH478" s="2">
        <f t="shared" si="66"/>
        <v>-0.20280689356376358</v>
      </c>
      <c r="BI478" s="2">
        <f t="shared" si="67"/>
        <v>0.45130573054079681</v>
      </c>
    </row>
    <row r="479" spans="6:61" x14ac:dyDescent="0.3">
      <c r="F479" s="31">
        <v>1976.4166666682399</v>
      </c>
      <c r="G479" s="2">
        <v>1.0641841491915704</v>
      </c>
      <c r="H479" s="2">
        <v>0.15374999999999966</v>
      </c>
      <c r="I479" s="2">
        <v>0.16748931982105281</v>
      </c>
      <c r="K479" s="31">
        <v>1976.4166666682399</v>
      </c>
      <c r="L479" s="2">
        <v>0.646743293764802</v>
      </c>
      <c r="M479" s="2">
        <v>0.12304499999999996</v>
      </c>
      <c r="N479" s="2">
        <v>7.7700563492787159E-2</v>
      </c>
      <c r="P479" s="31">
        <v>1976.4166666682399</v>
      </c>
      <c r="Q479" s="2">
        <v>0.81806053727134309</v>
      </c>
      <c r="R479" s="2">
        <v>9.5850000000000463E-2</v>
      </c>
      <c r="S479" s="2">
        <v>7.3269956769419525E-2</v>
      </c>
      <c r="U479" s="2">
        <f t="shared" si="68"/>
        <v>0.84299599340923859</v>
      </c>
      <c r="V479" s="2">
        <f t="shared" si="69"/>
        <v>0.12421500000000003</v>
      </c>
      <c r="W479" s="2">
        <f t="shared" si="70"/>
        <v>0.10615328002775316</v>
      </c>
      <c r="Y479" s="31">
        <v>1976.4166666682399</v>
      </c>
      <c r="Z479" s="2">
        <v>1.9163111832676323</v>
      </c>
      <c r="AA479" s="2">
        <v>1.0126249536365401</v>
      </c>
      <c r="AB479" s="2">
        <v>2.1244530696625077</v>
      </c>
      <c r="AD479" s="31">
        <v>1976.4166666682399</v>
      </c>
      <c r="AE479" s="2">
        <v>-0.9671108304838788</v>
      </c>
      <c r="AF479" s="2">
        <v>0.82070595139821056</v>
      </c>
      <c r="AG479" s="2">
        <v>0.66979496953577866</v>
      </c>
      <c r="AH479" s="31"/>
      <c r="AI479" s="31">
        <v>1976.4166666682399</v>
      </c>
      <c r="AJ479" s="2">
        <v>2.3432156769792085</v>
      </c>
      <c r="AK479" s="2">
        <v>-4.4052846898962821E-2</v>
      </c>
      <c r="AL479" s="2">
        <v>2.292810161556242</v>
      </c>
      <c r="AM479" s="31"/>
      <c r="AN479" s="2">
        <f t="shared" si="71"/>
        <v>1.0974720099209874</v>
      </c>
      <c r="AO479" s="2">
        <f t="shared" si="64"/>
        <v>0.59642601937859596</v>
      </c>
      <c r="AP479" s="2">
        <f t="shared" si="65"/>
        <v>1.6956860669181761</v>
      </c>
      <c r="AQ479" s="31"/>
      <c r="AR479" s="31">
        <v>1976.4166666682399</v>
      </c>
      <c r="AS479" s="2">
        <v>1.2780684095523147</v>
      </c>
      <c r="AT479" s="2">
        <v>-0.35878275268423288</v>
      </c>
      <c r="AU479" s="2">
        <v>0.46006885417692039</v>
      </c>
      <c r="AV479" s="31"/>
      <c r="AW479" s="31">
        <v>1976.4166666682399</v>
      </c>
      <c r="AX479" s="2">
        <v>-1.3911831644240396</v>
      </c>
      <c r="AY479" s="2">
        <v>-0.38521748160200386</v>
      </c>
      <c r="AZ479" s="2">
        <v>-0.27867820093662538</v>
      </c>
      <c r="BA479" s="31"/>
      <c r="BB479" s="31">
        <v>1976.4166666682399</v>
      </c>
      <c r="BC479" s="2">
        <v>1.70250881024931</v>
      </c>
      <c r="BD479" s="2">
        <v>-1.4743235720587309</v>
      </c>
      <c r="BE479" s="2">
        <v>1.5245768254702525</v>
      </c>
      <c r="BG479" s="2">
        <f t="shared" si="72"/>
        <v>0.52979801845919505</v>
      </c>
      <c r="BH479" s="2">
        <f t="shared" si="66"/>
        <v>-0.73944126878165584</v>
      </c>
      <c r="BI479" s="2">
        <f t="shared" si="67"/>
        <v>0.56865582623684918</v>
      </c>
    </row>
    <row r="480" spans="6:61" x14ac:dyDescent="0.3">
      <c r="F480" s="31">
        <v>1976.3333333349101</v>
      </c>
      <c r="G480" s="2">
        <v>0.90202664309180125</v>
      </c>
      <c r="H480" s="2">
        <v>0.12299999999999969</v>
      </c>
      <c r="I480" s="2">
        <v>0.11094927710029129</v>
      </c>
      <c r="K480" s="31">
        <v>1976.3333333349101</v>
      </c>
      <c r="L480" s="2">
        <v>0.7293344169279784</v>
      </c>
      <c r="M480" s="2">
        <v>9.2279999999999945E-2</v>
      </c>
      <c r="N480" s="2">
        <v>6.9703266936998701E-2</v>
      </c>
      <c r="P480" s="31">
        <v>1976.3333333349101</v>
      </c>
      <c r="Q480" s="2">
        <v>0.79700544217530001</v>
      </c>
      <c r="R480" s="2">
        <v>9.5850000000000463E-2</v>
      </c>
      <c r="S480" s="2">
        <v>6.6384411072881053E-2</v>
      </c>
      <c r="U480" s="2">
        <f t="shared" si="68"/>
        <v>0.80945550073169326</v>
      </c>
      <c r="V480" s="2">
        <f t="shared" si="69"/>
        <v>0.10371000000000004</v>
      </c>
      <c r="W480" s="2">
        <f t="shared" si="70"/>
        <v>8.2345651703390352E-2</v>
      </c>
      <c r="Y480" s="31">
        <v>1976.3333333349101</v>
      </c>
      <c r="Z480" s="2">
        <v>0.97610960765386334</v>
      </c>
      <c r="AA480" s="2">
        <v>0.41216179278103221</v>
      </c>
      <c r="AB480" s="2">
        <v>0.82322701049640346</v>
      </c>
      <c r="AD480" s="31">
        <v>1976.3333333349101</v>
      </c>
      <c r="AE480" s="2">
        <v>-0.47563115258339328</v>
      </c>
      <c r="AF480" s="2">
        <v>6.7241855071186282E-2</v>
      </c>
      <c r="AG480" s="2">
        <v>0.36569928405246654</v>
      </c>
      <c r="AH480" s="31"/>
      <c r="AI480" s="31">
        <v>1976.3333333349101</v>
      </c>
      <c r="AJ480" s="2">
        <v>1.7125891819464216</v>
      </c>
      <c r="AK480" s="2">
        <v>-4.4052846898962821E-2</v>
      </c>
      <c r="AL480" s="2">
        <v>1.736335062051739</v>
      </c>
      <c r="AM480" s="31"/>
      <c r="AN480" s="2">
        <f t="shared" si="71"/>
        <v>0.7376892123389639</v>
      </c>
      <c r="AO480" s="2">
        <f t="shared" si="64"/>
        <v>0.14511693365108522</v>
      </c>
      <c r="AP480" s="2">
        <f t="shared" si="65"/>
        <v>0.97508711886686961</v>
      </c>
      <c r="AQ480" s="31"/>
      <c r="AR480" s="31">
        <v>1976.3333333349101</v>
      </c>
      <c r="AS480" s="2">
        <v>0.95965541955737932</v>
      </c>
      <c r="AT480" s="2">
        <v>-0.62524988541030202</v>
      </c>
      <c r="AU480" s="2">
        <v>-9.7241660026600479E-2</v>
      </c>
      <c r="AV480" s="31"/>
      <c r="AW480" s="31">
        <v>1976.3333333349101</v>
      </c>
      <c r="AX480" s="2">
        <v>-0.60131307895254893</v>
      </c>
      <c r="AY480" s="2">
        <v>-0.6032299022146953</v>
      </c>
      <c r="AZ480" s="2">
        <v>-9.942906021983644E-2</v>
      </c>
      <c r="BA480" s="31"/>
      <c r="BB480" s="31">
        <v>1976.3333333349101</v>
      </c>
      <c r="BC480" s="2">
        <v>1.6812077015894591</v>
      </c>
      <c r="BD480" s="2">
        <v>-0.7363458413185221</v>
      </c>
      <c r="BE480" s="2">
        <v>1.5160142959142624</v>
      </c>
      <c r="BG480" s="2">
        <f t="shared" si="72"/>
        <v>0.6798500140647632</v>
      </c>
      <c r="BH480" s="2">
        <f t="shared" si="66"/>
        <v>-0.6549418763145064</v>
      </c>
      <c r="BI480" s="2">
        <f t="shared" si="67"/>
        <v>0.43978119188927517</v>
      </c>
    </row>
    <row r="481" spans="6:61" x14ac:dyDescent="0.3">
      <c r="F481" s="31">
        <v>1976.25000000158</v>
      </c>
      <c r="G481" s="2">
        <v>0.73036731423474199</v>
      </c>
      <c r="H481" s="2">
        <v>0.12299999999999969</v>
      </c>
      <c r="I481" s="2">
        <v>8.9835179650873037E-2</v>
      </c>
      <c r="K481" s="31">
        <v>1976.25000000158</v>
      </c>
      <c r="L481" s="2">
        <v>0.78405948967247774</v>
      </c>
      <c r="M481" s="2">
        <v>0.12304499999999996</v>
      </c>
      <c r="N481" s="2">
        <v>0.10634206639738568</v>
      </c>
      <c r="P481" s="31">
        <v>1976.25000000158</v>
      </c>
      <c r="Q481" s="2">
        <v>0.72906135952363194</v>
      </c>
      <c r="R481" s="2">
        <v>9.5850000000000463E-2</v>
      </c>
      <c r="S481" s="2">
        <v>5.7432502218349807E-2</v>
      </c>
      <c r="U481" s="2">
        <f t="shared" si="68"/>
        <v>0.74782938781028385</v>
      </c>
      <c r="V481" s="2">
        <f t="shared" si="69"/>
        <v>0.11396500000000004</v>
      </c>
      <c r="W481" s="2">
        <f t="shared" si="70"/>
        <v>8.4536582755536174E-2</v>
      </c>
      <c r="Y481" s="31">
        <v>1976.25000000158</v>
      </c>
      <c r="Z481" s="2">
        <v>-1.9184260277908628E-2</v>
      </c>
      <c r="AA481" s="2">
        <v>0.41216179278103221</v>
      </c>
      <c r="AB481" s="2">
        <v>0.33730212443566004</v>
      </c>
      <c r="AD481" s="31">
        <v>1976.25000000158</v>
      </c>
      <c r="AE481" s="2">
        <v>-0.14997556036668661</v>
      </c>
      <c r="AF481" s="2">
        <v>0.82070595139821056</v>
      </c>
      <c r="AG481" s="2">
        <v>1.7588826879025592</v>
      </c>
      <c r="AH481" s="31"/>
      <c r="AI481" s="31">
        <v>1976.25000000158</v>
      </c>
      <c r="AJ481" s="2">
        <v>0.89569114949703532</v>
      </c>
      <c r="AK481" s="2">
        <v>-4.4052846898962821E-2</v>
      </c>
      <c r="AL481" s="2">
        <v>1.0128609047188146</v>
      </c>
      <c r="AM481" s="31"/>
      <c r="AN481" s="2">
        <f t="shared" si="71"/>
        <v>0.24217710961748004</v>
      </c>
      <c r="AO481" s="2">
        <f t="shared" si="64"/>
        <v>0.39627163242675995</v>
      </c>
      <c r="AP481" s="2">
        <f t="shared" si="65"/>
        <v>1.0363485723523447</v>
      </c>
      <c r="AQ481" s="31"/>
      <c r="AR481" s="31">
        <v>1976.25000000158</v>
      </c>
      <c r="AS481" s="2">
        <v>0.16108404786941966</v>
      </c>
      <c r="AT481" s="2">
        <v>-0.74536446371894627</v>
      </c>
      <c r="AU481" s="2">
        <v>-0.53510905399275688</v>
      </c>
      <c r="AV481" s="31"/>
      <c r="AW481" s="31">
        <v>1976.25000000158</v>
      </c>
      <c r="AX481" s="2">
        <v>-9.6546598612574336E-2</v>
      </c>
      <c r="AY481" s="2">
        <v>-0.13019391200415875</v>
      </c>
      <c r="AZ481" s="2">
        <v>0.74524544054215169</v>
      </c>
      <c r="BA481" s="31"/>
      <c r="BB481" s="31">
        <v>1976.25000000158</v>
      </c>
      <c r="BC481" s="2">
        <v>1.3136860006550999</v>
      </c>
      <c r="BD481" s="2">
        <v>-1.0548255298976554</v>
      </c>
      <c r="BE481" s="2">
        <v>1.2310779471541329</v>
      </c>
      <c r="BG481" s="2">
        <f t="shared" si="72"/>
        <v>0.45940781663731506</v>
      </c>
      <c r="BH481" s="2">
        <f t="shared" si="66"/>
        <v>-0.64346130187358686</v>
      </c>
      <c r="BI481" s="2">
        <f t="shared" si="67"/>
        <v>0.48040477790117597</v>
      </c>
    </row>
    <row r="482" spans="6:61" x14ac:dyDescent="0.3">
      <c r="F482" s="31">
        <v>1976.1666666682499</v>
      </c>
      <c r="G482" s="2">
        <v>0.64341987414046842</v>
      </c>
      <c r="H482" s="2">
        <v>0.12299999999999969</v>
      </c>
      <c r="I482" s="2">
        <v>7.9140644519277423E-2</v>
      </c>
      <c r="K482" s="31">
        <v>1976.1666666682499</v>
      </c>
      <c r="L482" s="2">
        <v>0.76028474025305504</v>
      </c>
      <c r="M482" s="2">
        <v>9.2279999999999945E-2</v>
      </c>
      <c r="N482" s="2">
        <v>7.5171074050415787E-2</v>
      </c>
      <c r="P482" s="31">
        <v>1976.1666666682499</v>
      </c>
      <c r="Q482" s="2">
        <v>0.73840060837067234</v>
      </c>
      <c r="R482" s="2">
        <v>9.5850000000000463E-2</v>
      </c>
      <c r="S482" s="2">
        <v>5.1395043428320165E-2</v>
      </c>
      <c r="U482" s="2">
        <f t="shared" si="68"/>
        <v>0.71403507425473178</v>
      </c>
      <c r="V482" s="2">
        <f t="shared" si="69"/>
        <v>0.10371000000000004</v>
      </c>
      <c r="W482" s="2">
        <f t="shared" si="70"/>
        <v>6.8568920666004451E-2</v>
      </c>
      <c r="Y482" s="31">
        <v>1976.1666666682499</v>
      </c>
      <c r="Z482" s="2">
        <v>-0.52331214272032456</v>
      </c>
      <c r="AA482" s="2">
        <v>0.41216179278103221</v>
      </c>
      <c r="AB482" s="2">
        <v>9.1175536370850269E-2</v>
      </c>
      <c r="AD482" s="31">
        <v>1976.1666666682499</v>
      </c>
      <c r="AE482" s="2">
        <v>-0.29145330929784952</v>
      </c>
      <c r="AF482" s="2">
        <v>6.7241855071186282E-2</v>
      </c>
      <c r="AG482" s="2">
        <v>0.57361161300588115</v>
      </c>
      <c r="AH482" s="31"/>
      <c r="AI482" s="31">
        <v>1976.1666666682499</v>
      </c>
      <c r="AJ482" s="2">
        <v>0.36482452788238712</v>
      </c>
      <c r="AK482" s="2">
        <v>-4.4052846898962821E-2</v>
      </c>
      <c r="AL482" s="2">
        <v>0.52492637795718422</v>
      </c>
      <c r="AM482" s="31"/>
      <c r="AN482" s="2">
        <f t="shared" si="71"/>
        <v>-0.14998030804526233</v>
      </c>
      <c r="AO482" s="2">
        <f t="shared" si="64"/>
        <v>0.14511693365108522</v>
      </c>
      <c r="AP482" s="2">
        <f t="shared" si="65"/>
        <v>0.3965711757779718</v>
      </c>
      <c r="AQ482" s="31"/>
      <c r="AR482" s="31">
        <v>1976.1666666682499</v>
      </c>
      <c r="AS482" s="2">
        <v>-0.1758051225675526</v>
      </c>
      <c r="AT482" s="2">
        <v>-0.46657286796563235</v>
      </c>
      <c r="AU482" s="2">
        <v>-0.49016964519189327</v>
      </c>
      <c r="AV482" s="31"/>
      <c r="AW482" s="31">
        <v>1976.1666666682499</v>
      </c>
      <c r="AX482" s="2">
        <v>-0.10617046087027257</v>
      </c>
      <c r="AY482" s="2">
        <v>-0.48198869008051998</v>
      </c>
      <c r="AZ482" s="2">
        <v>0.28762266444242257</v>
      </c>
      <c r="BA482" s="31"/>
      <c r="BB482" s="31">
        <v>1976.1666666682499</v>
      </c>
      <c r="BC482" s="2">
        <v>1.037420160144368</v>
      </c>
      <c r="BD482" s="2">
        <v>-0.34847073798484229</v>
      </c>
      <c r="BE482" s="2">
        <v>1.0985441024925324</v>
      </c>
      <c r="BG482" s="2">
        <f t="shared" si="72"/>
        <v>0.25181485890218092</v>
      </c>
      <c r="BH482" s="2">
        <f t="shared" si="66"/>
        <v>-0.43234409867699819</v>
      </c>
      <c r="BI482" s="2">
        <f t="shared" si="67"/>
        <v>0.29866570724768721</v>
      </c>
    </row>
    <row r="483" spans="6:61" x14ac:dyDescent="0.3">
      <c r="F483" s="31">
        <v>1976.0833333349201</v>
      </c>
      <c r="G483" s="2">
        <v>0.6267520239853438</v>
      </c>
      <c r="H483" s="2">
        <v>9.2249999999999749E-2</v>
      </c>
      <c r="I483" s="2">
        <v>5.9949462019853558E-2</v>
      </c>
      <c r="K483" s="31">
        <v>1976.0833333349201</v>
      </c>
      <c r="L483" s="2">
        <v>0.71410828374714763</v>
      </c>
      <c r="M483" s="2">
        <v>6.1514999999999952E-2</v>
      </c>
      <c r="N483" s="2">
        <v>4.3930502206435448E-2</v>
      </c>
      <c r="P483" s="31">
        <v>1976.0833333349201</v>
      </c>
      <c r="Q483" s="2">
        <v>0.70664420492517244</v>
      </c>
      <c r="R483" s="2">
        <v>7.1900000000000297E-2</v>
      </c>
      <c r="S483" s="2">
        <v>4.9971427132191604E-2</v>
      </c>
      <c r="U483" s="2">
        <f t="shared" si="68"/>
        <v>0.68250150421922129</v>
      </c>
      <c r="V483" s="2">
        <f t="shared" si="69"/>
        <v>7.5221666666666673E-2</v>
      </c>
      <c r="W483" s="2">
        <f t="shared" si="70"/>
        <v>5.1283797119493539E-2</v>
      </c>
      <c r="Y483" s="31">
        <v>1976.0833333349201</v>
      </c>
      <c r="Z483" s="2">
        <v>-0.61995360789123388</v>
      </c>
      <c r="AA483" s="2">
        <v>-0.1883013680744752</v>
      </c>
      <c r="AB483" s="2">
        <v>-0.35049492535473087</v>
      </c>
      <c r="AD483" s="31">
        <v>1976.0833333349201</v>
      </c>
      <c r="AE483" s="2">
        <v>-0.56623816632504775</v>
      </c>
      <c r="AF483" s="2">
        <v>-0.68622224125583742</v>
      </c>
      <c r="AG483" s="2">
        <v>-0.61430520907440744</v>
      </c>
      <c r="AH483" s="31"/>
      <c r="AI483" s="31">
        <v>1976.0833333349201</v>
      </c>
      <c r="AJ483" s="2">
        <v>0.23831920968878917</v>
      </c>
      <c r="AK483" s="2">
        <v>-0.61478205611361436</v>
      </c>
      <c r="AL483" s="2">
        <v>0.40987274895539949</v>
      </c>
      <c r="AM483" s="31"/>
      <c r="AN483" s="2">
        <f t="shared" si="71"/>
        <v>-0.31595752150916417</v>
      </c>
      <c r="AO483" s="2">
        <f t="shared" si="64"/>
        <v>-0.49643522181464234</v>
      </c>
      <c r="AP483" s="2">
        <f t="shared" si="65"/>
        <v>-0.18497579515791296</v>
      </c>
      <c r="AQ483" s="31"/>
      <c r="AR483" s="31">
        <v>1976.0833333349201</v>
      </c>
      <c r="AS483" s="2">
        <v>-9.6586376230032439E-2</v>
      </c>
      <c r="AT483" s="2">
        <v>0.50956041230593607</v>
      </c>
      <c r="AU483" s="2">
        <v>0.48437829865048676</v>
      </c>
      <c r="AV483" s="31"/>
      <c r="AW483" s="31">
        <v>1976.0833333349201</v>
      </c>
      <c r="AX483" s="2">
        <v>-0.27991153770806931</v>
      </c>
      <c r="AY483" s="2">
        <v>-0.87038484719517628</v>
      </c>
      <c r="AZ483" s="2">
        <v>-0.70123074198845947</v>
      </c>
      <c r="BA483" s="31"/>
      <c r="BB483" s="31">
        <v>1976.0833333349201</v>
      </c>
      <c r="BC483" s="2">
        <v>1.017059259508597</v>
      </c>
      <c r="BD483" s="2">
        <v>-0.95760573293009554</v>
      </c>
      <c r="BE483" s="2">
        <v>0.93593273125533594</v>
      </c>
      <c r="BG483" s="2">
        <f t="shared" si="72"/>
        <v>0.21352044852349841</v>
      </c>
      <c r="BH483" s="2">
        <f t="shared" si="66"/>
        <v>-0.43947672260644527</v>
      </c>
      <c r="BI483" s="2">
        <f t="shared" si="67"/>
        <v>0.23969342930578774</v>
      </c>
    </row>
    <row r="484" spans="6:61" x14ac:dyDescent="0.3">
      <c r="F484" s="31">
        <v>1976.00000000159</v>
      </c>
      <c r="G484" s="2">
        <v>0.65612276035949824</v>
      </c>
      <c r="H484" s="2">
        <v>6.1499999999999846E-2</v>
      </c>
      <c r="I484" s="2">
        <v>4.0351549762109043E-2</v>
      </c>
      <c r="K484" s="31">
        <v>1976.00000000159</v>
      </c>
      <c r="L484" s="2">
        <v>0.68873511904243134</v>
      </c>
      <c r="M484" s="2">
        <v>6.1514999999999952E-2</v>
      </c>
      <c r="N484" s="2">
        <v>4.2369185388409572E-2</v>
      </c>
      <c r="P484" s="31">
        <v>1976.00000000159</v>
      </c>
      <c r="Q484" s="2">
        <v>0.7443805139502534</v>
      </c>
      <c r="R484" s="2">
        <v>4.7900000000000303E-2</v>
      </c>
      <c r="S484" s="2">
        <v>3.5517863455854781E-2</v>
      </c>
      <c r="U484" s="2">
        <f t="shared" si="68"/>
        <v>0.69641279778406107</v>
      </c>
      <c r="V484" s="2">
        <f t="shared" si="69"/>
        <v>5.6971666666666698E-2</v>
      </c>
      <c r="W484" s="2">
        <f t="shared" si="70"/>
        <v>3.9412866202124468E-2</v>
      </c>
      <c r="Y484" s="31">
        <v>1976.00000000159</v>
      </c>
      <c r="Z484" s="2">
        <v>-0.44965984055291186</v>
      </c>
      <c r="AA484" s="2">
        <v>-0.78876452892998183</v>
      </c>
      <c r="AB484" s="2">
        <v>-0.80152596296772327</v>
      </c>
      <c r="AD484" s="31">
        <v>1976.00000000159</v>
      </c>
      <c r="AE484" s="2">
        <v>-0.71722769569313738</v>
      </c>
      <c r="AF484" s="2">
        <v>-0.68622224125583742</v>
      </c>
      <c r="AG484" s="2">
        <v>-0.67367398510041954</v>
      </c>
      <c r="AH484" s="31"/>
      <c r="AI484" s="31">
        <v>1976.00000000159</v>
      </c>
      <c r="AJ484" s="2">
        <v>0.48219432743575191</v>
      </c>
      <c r="AK484" s="2">
        <v>-1.186702766808877</v>
      </c>
      <c r="AL484" s="2">
        <v>-0.75823340260607119</v>
      </c>
      <c r="AM484" s="31"/>
      <c r="AN484" s="2">
        <f t="shared" si="71"/>
        <v>-0.22823106960343242</v>
      </c>
      <c r="AO484" s="2">
        <f t="shared" si="64"/>
        <v>-0.88722984566489871</v>
      </c>
      <c r="AP484" s="2">
        <f t="shared" si="65"/>
        <v>-0.74447778355807126</v>
      </c>
      <c r="AQ484" s="31"/>
      <c r="AR484" s="31">
        <v>1976.00000000159</v>
      </c>
      <c r="AS484" s="2">
        <v>-1.0405810795045493E-2</v>
      </c>
      <c r="AT484" s="2">
        <v>-0.29853293598826575</v>
      </c>
      <c r="AU484" s="2">
        <v>-0.24696121276224742</v>
      </c>
      <c r="AV484" s="31"/>
      <c r="AW484" s="31">
        <v>1976.00000000159</v>
      </c>
      <c r="AX484" s="2">
        <v>-0.3060336330569231</v>
      </c>
      <c r="AY484" s="2">
        <v>-0.21981065223360952</v>
      </c>
      <c r="AZ484" s="2">
        <v>-0.36058963090118407</v>
      </c>
      <c r="BA484" s="31"/>
      <c r="BB484" s="31">
        <v>1976.00000000159</v>
      </c>
      <c r="BC484" s="2">
        <v>0.87698289546513453</v>
      </c>
      <c r="BD484" s="2">
        <v>-0.94501805984887022</v>
      </c>
      <c r="BE484" s="2">
        <v>-0.11795257732411779</v>
      </c>
      <c r="BG484" s="2">
        <f t="shared" si="72"/>
        <v>0.18684781720438862</v>
      </c>
      <c r="BH484" s="2">
        <f t="shared" si="66"/>
        <v>-0.48778721602358183</v>
      </c>
      <c r="BI484" s="2">
        <f t="shared" si="67"/>
        <v>-0.24183447366251642</v>
      </c>
    </row>
    <row r="485" spans="6:61" x14ac:dyDescent="0.3">
      <c r="F485" s="31">
        <v>1975.9166666682599</v>
      </c>
      <c r="G485" s="2">
        <v>0.70019484596097636</v>
      </c>
      <c r="H485" s="2">
        <v>9.2249999999999749E-2</v>
      </c>
      <c r="I485" s="2">
        <v>6.6653954572868032E-2</v>
      </c>
      <c r="K485" s="31">
        <v>1975.9166666682599</v>
      </c>
      <c r="L485" s="2">
        <v>0.66596232645883546</v>
      </c>
      <c r="M485" s="2">
        <v>6.1514999999999952E-2</v>
      </c>
      <c r="N485" s="2">
        <v>4.0967851623010233E-2</v>
      </c>
      <c r="P485" s="31">
        <v>1975.9166666682599</v>
      </c>
      <c r="Q485" s="2">
        <v>0.80820057224555042</v>
      </c>
      <c r="R485" s="2">
        <v>7.1900000000000297E-2</v>
      </c>
      <c r="S485" s="2">
        <v>5.2945700841351306E-2</v>
      </c>
      <c r="U485" s="2">
        <f t="shared" si="68"/>
        <v>0.72478591488845401</v>
      </c>
      <c r="V485" s="2">
        <f t="shared" si="69"/>
        <v>7.5221666666666673E-2</v>
      </c>
      <c r="W485" s="2">
        <f t="shared" si="70"/>
        <v>5.3522502345743184E-2</v>
      </c>
      <c r="Y485" s="31">
        <v>1975.9166666682599</v>
      </c>
      <c r="Z485" s="2">
        <v>-0.19412653025643831</v>
      </c>
      <c r="AA485" s="2">
        <v>-0.1883013680744752</v>
      </c>
      <c r="AB485" s="2">
        <v>-0.19619613101964911</v>
      </c>
      <c r="AD485" s="31">
        <v>1975.9166666682599</v>
      </c>
      <c r="AE485" s="2">
        <v>-0.85274304329008632</v>
      </c>
      <c r="AF485" s="2">
        <v>-0.68622224125583742</v>
      </c>
      <c r="AG485" s="2">
        <v>-0.72695943587835554</v>
      </c>
      <c r="AH485" s="31"/>
      <c r="AI485" s="31">
        <v>1975.9166666682599</v>
      </c>
      <c r="AJ485" s="2">
        <v>0.50097438309414499</v>
      </c>
      <c r="AK485" s="2">
        <v>-0.61478205611361436</v>
      </c>
      <c r="AL485" s="2">
        <v>0.6502471987379832</v>
      </c>
      <c r="AM485" s="31"/>
      <c r="AN485" s="2">
        <f t="shared" si="71"/>
        <v>-0.18196506348412655</v>
      </c>
      <c r="AO485" s="2">
        <f t="shared" si="64"/>
        <v>-0.49643522181464234</v>
      </c>
      <c r="AP485" s="2">
        <f t="shared" si="65"/>
        <v>-9.0969456053340489E-2</v>
      </c>
      <c r="AQ485" s="31"/>
      <c r="AR485" s="31">
        <v>1975.9166666682599</v>
      </c>
      <c r="AS485" s="2">
        <v>0.10850659423280472</v>
      </c>
      <c r="AT485" s="2">
        <v>0.68444756444045063</v>
      </c>
      <c r="AU485" s="2">
        <v>0.71738918073114122</v>
      </c>
      <c r="AV485" s="31"/>
      <c r="AW485" s="31">
        <v>1975.9166666682599</v>
      </c>
      <c r="AX485" s="2">
        <v>-0.57061145707275696</v>
      </c>
      <c r="AY485" s="2">
        <v>-0.51751295497595129</v>
      </c>
      <c r="AZ485" s="2">
        <v>-0.66312910550574677</v>
      </c>
      <c r="BA485" s="31"/>
      <c r="BB485" s="31">
        <v>1975.9166666682599</v>
      </c>
      <c r="BC485" s="2">
        <v>1.1111528945134908</v>
      </c>
      <c r="BD485" s="2">
        <v>-0.44318112469553572</v>
      </c>
      <c r="BE485" s="2">
        <v>1.1354854135761008</v>
      </c>
      <c r="BG485" s="2">
        <f t="shared" si="72"/>
        <v>0.21634934389117952</v>
      </c>
      <c r="BH485" s="2">
        <f t="shared" si="66"/>
        <v>-9.208217174367879E-2</v>
      </c>
      <c r="BI485" s="2">
        <f t="shared" si="67"/>
        <v>0.39658182960049837</v>
      </c>
    </row>
    <row r="486" spans="6:61" x14ac:dyDescent="0.3">
      <c r="F486" s="31">
        <v>1975.8333333349301</v>
      </c>
      <c r="G486" s="2">
        <v>0.73946017748528425</v>
      </c>
      <c r="H486" s="2">
        <v>6.1499999999999846E-2</v>
      </c>
      <c r="I486" s="2">
        <v>4.5476800915344867E-2</v>
      </c>
      <c r="K486" s="31">
        <v>1975.8333333349301</v>
      </c>
      <c r="L486" s="2">
        <v>0.59555657814141805</v>
      </c>
      <c r="M486" s="2">
        <v>6.1499999999999902E-2</v>
      </c>
      <c r="N486" s="2">
        <v>3.6626729555697152E-2</v>
      </c>
      <c r="P486" s="31">
        <v>1975.8333333349301</v>
      </c>
      <c r="Q486" s="2">
        <v>0.8655899528451263</v>
      </c>
      <c r="R486" s="2"/>
      <c r="S486" s="2"/>
      <c r="U486" s="2">
        <f t="shared" si="68"/>
        <v>0.7335355694906095</v>
      </c>
      <c r="V486" s="2">
        <f t="shared" si="69"/>
        <v>6.1499999999999874E-2</v>
      </c>
      <c r="W486" s="2">
        <f t="shared" si="70"/>
        <v>4.1051765235521009E-2</v>
      </c>
      <c r="Y486" s="31">
        <v>1975.8333333349301</v>
      </c>
      <c r="Z486" s="2">
        <v>3.3536853660168495E-2</v>
      </c>
      <c r="AA486" s="2">
        <v>-0.78876452892998183</v>
      </c>
      <c r="AB486" s="2">
        <v>-0.68357220772740956</v>
      </c>
      <c r="AD486" s="31">
        <v>1975.8333333349301</v>
      </c>
      <c r="AE486" s="2">
        <v>-1.271710520424661</v>
      </c>
      <c r="AF486" s="2">
        <v>-0.68658960551538373</v>
      </c>
      <c r="AG486" s="2">
        <v>-0.89202977953977725</v>
      </c>
      <c r="AH486" s="31"/>
      <c r="AI486" s="31">
        <v>1975.8333333349301</v>
      </c>
      <c r="AJ486" s="2"/>
      <c r="AK486" s="2"/>
      <c r="AL486" s="2"/>
      <c r="AM486" s="31"/>
      <c r="AN486" s="2">
        <f t="shared" si="71"/>
        <v>-0.61908683338224624</v>
      </c>
      <c r="AO486" s="2">
        <f t="shared" si="64"/>
        <v>-0.73767706722268278</v>
      </c>
      <c r="AP486" s="2">
        <f t="shared" si="65"/>
        <v>-0.78780099363359346</v>
      </c>
      <c r="AQ486" s="31"/>
      <c r="AR486" s="31">
        <v>1975.8333333349301</v>
      </c>
      <c r="AS486" s="2">
        <v>0.15111984486392233</v>
      </c>
      <c r="AT486" s="2">
        <v>-0.28549293171718004</v>
      </c>
      <c r="AU486" s="2">
        <v>-0.11245128681640303</v>
      </c>
      <c r="AV486" s="31"/>
      <c r="AW486" s="31">
        <v>1975.8333333349301</v>
      </c>
      <c r="AX486" s="2">
        <v>-0.68900374631024341</v>
      </c>
      <c r="AY486" s="2">
        <v>-0.19208961378086201</v>
      </c>
      <c r="AZ486" s="2">
        <v>-0.70436520071501618</v>
      </c>
      <c r="BA486" s="31"/>
      <c r="BB486" s="31">
        <v>1975.8333333349301</v>
      </c>
      <c r="BC486" s="2"/>
      <c r="BD486" s="2"/>
      <c r="BE486" s="2"/>
      <c r="BG486" s="2">
        <f t="shared" si="72"/>
        <v>-0.26894195072316052</v>
      </c>
      <c r="BH486" s="2">
        <f t="shared" si="66"/>
        <v>-0.23879127274902101</v>
      </c>
      <c r="BI486" s="2">
        <f t="shared" si="67"/>
        <v>-0.40840824376570961</v>
      </c>
    </row>
    <row r="487" spans="6:61" x14ac:dyDescent="0.3">
      <c r="F487" s="31">
        <v>1975.7500000016</v>
      </c>
      <c r="G487" s="2">
        <v>0.77903166593635409</v>
      </c>
      <c r="H487" s="2">
        <v>9.2249999999999749E-2</v>
      </c>
      <c r="I487" s="2">
        <v>7.1118018047461956E-2</v>
      </c>
      <c r="K487" s="31">
        <v>1975.7500000016</v>
      </c>
      <c r="L487" s="2">
        <v>0.65240843566243267</v>
      </c>
      <c r="M487" s="2">
        <v>6.1514999999999952E-2</v>
      </c>
      <c r="N487" s="2">
        <v>4.013363296686373E-2</v>
      </c>
      <c r="P487" s="31">
        <v>1975.7500000016</v>
      </c>
      <c r="Q487" s="2">
        <v>0.88549267200535131</v>
      </c>
      <c r="R487" s="2">
        <v>7.1900000000000297E-2</v>
      </c>
      <c r="S487" s="2">
        <v>5.7330562456319456E-2</v>
      </c>
      <c r="U487" s="2">
        <f t="shared" si="68"/>
        <v>0.77231092453471273</v>
      </c>
      <c r="V487" s="2">
        <f t="shared" si="69"/>
        <v>7.5221666666666673E-2</v>
      </c>
      <c r="W487" s="2">
        <f t="shared" si="70"/>
        <v>5.6194071156881714E-2</v>
      </c>
      <c r="Y487" s="31">
        <v>1975.7500000016</v>
      </c>
      <c r="Z487" s="2">
        <v>0.26297535876511885</v>
      </c>
      <c r="AA487" s="2">
        <v>-0.1883013680744752</v>
      </c>
      <c r="AB487" s="2">
        <v>-9.3459107073605621E-2</v>
      </c>
      <c r="AD487" s="31">
        <v>1975.7500000016</v>
      </c>
      <c r="AE487" s="2">
        <v>-0.93339894949144953</v>
      </c>
      <c r="AF487" s="2">
        <v>-0.68622224125583742</v>
      </c>
      <c r="AG487" s="2">
        <v>-0.75868044213517893</v>
      </c>
      <c r="AH487" s="31"/>
      <c r="AI487" s="31">
        <v>1975.7500000016</v>
      </c>
      <c r="AJ487" s="2">
        <v>0.85851225732170355</v>
      </c>
      <c r="AK487" s="2">
        <v>-0.61478205611361436</v>
      </c>
      <c r="AL487" s="2">
        <v>1.0046223508380636</v>
      </c>
      <c r="AM487" s="31"/>
      <c r="AN487" s="2">
        <f t="shared" si="71"/>
        <v>6.2696222198457621E-2</v>
      </c>
      <c r="AO487" s="2">
        <f t="shared" si="64"/>
        <v>-0.49643522181464234</v>
      </c>
      <c r="AP487" s="2">
        <f t="shared" si="65"/>
        <v>5.0827600543093023E-2</v>
      </c>
      <c r="AQ487" s="31"/>
      <c r="AR487" s="31">
        <v>1975.7500000016</v>
      </c>
      <c r="AS487" s="2">
        <v>0.23958011012811614</v>
      </c>
      <c r="AT487" s="2">
        <v>0.89414149018552613</v>
      </c>
      <c r="AU487" s="2">
        <v>0.7462605857903033</v>
      </c>
      <c r="AV487" s="31"/>
      <c r="AW487" s="31">
        <v>1975.7500000016</v>
      </c>
      <c r="AX487" s="2">
        <v>-0.99419775567270707</v>
      </c>
      <c r="AY487" s="2">
        <v>-0.6564669997761764</v>
      </c>
      <c r="AZ487" s="2">
        <v>-1.1027820691258821</v>
      </c>
      <c r="BA487" s="31"/>
      <c r="BB487" s="31">
        <v>1975.7500000016</v>
      </c>
      <c r="BC487" s="2">
        <v>0.80507458157752765</v>
      </c>
      <c r="BD487" s="2">
        <v>-0.59144451954684485</v>
      </c>
      <c r="BE487" s="2">
        <v>0.72852559128572136</v>
      </c>
      <c r="BG487" s="2">
        <f t="shared" si="72"/>
        <v>1.6818978677645573E-2</v>
      </c>
      <c r="BH487" s="2">
        <f t="shared" si="66"/>
        <v>-0.1179233430458317</v>
      </c>
      <c r="BI487" s="2">
        <f t="shared" si="67"/>
        <v>0.1240013693167142</v>
      </c>
    </row>
    <row r="488" spans="6:61" x14ac:dyDescent="0.3">
      <c r="F488" s="31">
        <v>1975.66666666827</v>
      </c>
      <c r="G488" s="2">
        <v>0.82945127294121956</v>
      </c>
      <c r="H488" s="2">
        <v>6.1499999999999846E-2</v>
      </c>
      <c r="I488" s="2">
        <v>5.1011253285884878E-2</v>
      </c>
      <c r="K488" s="31">
        <v>1975.66666666827</v>
      </c>
      <c r="L488" s="2">
        <v>0.74806594590891828</v>
      </c>
      <c r="M488" s="2">
        <v>6.1514999999999952E-2</v>
      </c>
      <c r="N488" s="2">
        <v>4.6018158182754218E-2</v>
      </c>
      <c r="P488" s="31">
        <v>1975.66666666827</v>
      </c>
      <c r="Q488" s="2">
        <v>0.87180993238468696</v>
      </c>
      <c r="R488" s="2">
        <v>4.7900000000000303E-2</v>
      </c>
      <c r="S488" s="2">
        <v>4.0269472103907557E-2</v>
      </c>
      <c r="U488" s="2">
        <f t="shared" si="68"/>
        <v>0.8164423837449416</v>
      </c>
      <c r="V488" s="2">
        <f t="shared" si="69"/>
        <v>5.6971666666666698E-2</v>
      </c>
      <c r="W488" s="2">
        <f t="shared" si="70"/>
        <v>4.5766294524182217E-2</v>
      </c>
      <c r="Y488" s="31">
        <v>1975.66666666827</v>
      </c>
      <c r="Z488" s="2">
        <v>0.55531208179436509</v>
      </c>
      <c r="AA488" s="2">
        <v>-0.78876452892998183</v>
      </c>
      <c r="AB488" s="2">
        <v>-0.55620099785183119</v>
      </c>
      <c r="AD488" s="31">
        <v>1975.66666666827</v>
      </c>
      <c r="AE488" s="2">
        <v>-0.36416438136698548</v>
      </c>
      <c r="AF488" s="2">
        <v>-0.68622224125583742</v>
      </c>
      <c r="AG488" s="2">
        <v>-0.53492248633262218</v>
      </c>
      <c r="AH488" s="31"/>
      <c r="AI488" s="31">
        <v>1975.66666666827</v>
      </c>
      <c r="AJ488" s="2">
        <v>1.1290008615076004</v>
      </c>
      <c r="AK488" s="2">
        <v>-1.186702766808877</v>
      </c>
      <c r="AL488" s="2">
        <v>-0.37421853845944264</v>
      </c>
      <c r="AM488" s="31"/>
      <c r="AN488" s="2">
        <f t="shared" si="71"/>
        <v>0.44004952064499331</v>
      </c>
      <c r="AO488" s="2">
        <f t="shared" si="64"/>
        <v>-0.88722984566489871</v>
      </c>
      <c r="AP488" s="2">
        <f t="shared" si="65"/>
        <v>-0.48844734088129865</v>
      </c>
      <c r="AQ488" s="31"/>
      <c r="AR488" s="31">
        <v>1975.66666666827</v>
      </c>
      <c r="AS488" s="2">
        <v>0.15981972996506799</v>
      </c>
      <c r="AT488" s="2">
        <v>-0.32631334910519932</v>
      </c>
      <c r="AU488" s="2">
        <v>-0.16399298894026162</v>
      </c>
      <c r="AV488" s="31"/>
      <c r="AW488" s="31">
        <v>1975.66666666827</v>
      </c>
      <c r="AX488" s="2">
        <v>-0.30877254014507177</v>
      </c>
      <c r="AY488" s="2">
        <v>-0.23837245449551037</v>
      </c>
      <c r="AZ488" s="2">
        <v>-0.32483085206973877</v>
      </c>
      <c r="BA488" s="31"/>
      <c r="BB488" s="31">
        <v>1975.66666666827</v>
      </c>
      <c r="BC488" s="2">
        <v>0.73195683370215736</v>
      </c>
      <c r="BD488" s="2">
        <v>-1.0289872901111137</v>
      </c>
      <c r="BE488" s="2">
        <v>-0.30132290442140142</v>
      </c>
      <c r="BG488" s="2">
        <f t="shared" si="72"/>
        <v>0.19433467450738454</v>
      </c>
      <c r="BH488" s="2">
        <f t="shared" si="66"/>
        <v>-0.53122436457060773</v>
      </c>
      <c r="BI488" s="2">
        <f t="shared" si="67"/>
        <v>-0.26338224847713393</v>
      </c>
    </row>
    <row r="489" spans="6:61" x14ac:dyDescent="0.3">
      <c r="F489" s="31">
        <v>1975.5833333349401</v>
      </c>
      <c r="G489" s="2">
        <v>0.89764961637509466</v>
      </c>
      <c r="H489" s="2">
        <v>9.2249999999999749E-2</v>
      </c>
      <c r="I489" s="2">
        <v>7.8718230115043877E-2</v>
      </c>
      <c r="K489" s="31">
        <v>1975.5833333349401</v>
      </c>
      <c r="L489" s="2">
        <v>0.85970083774834039</v>
      </c>
      <c r="M489" s="2">
        <v>6.1514999999999952E-2</v>
      </c>
      <c r="N489" s="2">
        <v>5.288553231037444E-2</v>
      </c>
      <c r="P489" s="31">
        <v>1975.5833333349401</v>
      </c>
      <c r="Q489" s="2">
        <v>0.8518225016758203</v>
      </c>
      <c r="R489" s="2">
        <v>7.1900000000000297E-2</v>
      </c>
      <c r="S489" s="2">
        <v>6.2238919821736391E-2</v>
      </c>
      <c r="U489" s="2">
        <f t="shared" si="68"/>
        <v>0.86972431859975174</v>
      </c>
      <c r="V489" s="2">
        <f t="shared" si="69"/>
        <v>7.5221666666666673E-2</v>
      </c>
      <c r="W489" s="2">
        <f t="shared" si="70"/>
        <v>6.4614227415718248E-2</v>
      </c>
      <c r="Y489" s="31">
        <v>1975.5833333349401</v>
      </c>
      <c r="Z489" s="2">
        <v>0.9507312732521298</v>
      </c>
      <c r="AA489" s="2">
        <v>-0.1883013680744752</v>
      </c>
      <c r="AB489" s="2">
        <v>8.1453990292959175E-2</v>
      </c>
      <c r="AD489" s="31">
        <v>1975.5833333349401</v>
      </c>
      <c r="AE489" s="2">
        <v>0.30014769700606991</v>
      </c>
      <c r="AF489" s="2">
        <v>-0.68622224125583742</v>
      </c>
      <c r="AG489" s="2">
        <v>-0.27379188698058354</v>
      </c>
      <c r="AH489" s="31"/>
      <c r="AI489" s="31">
        <v>1975.5833333349401</v>
      </c>
      <c r="AJ489" s="2">
        <v>1.2912993260194563</v>
      </c>
      <c r="AK489" s="2">
        <v>-0.61478205611361436</v>
      </c>
      <c r="AL489" s="2">
        <v>1.4013053115941265</v>
      </c>
      <c r="AM489" s="31"/>
      <c r="AN489" s="2">
        <f t="shared" si="71"/>
        <v>0.84739276542588537</v>
      </c>
      <c r="AO489" s="2">
        <f t="shared" si="64"/>
        <v>-0.49643522181464234</v>
      </c>
      <c r="AP489" s="2">
        <f t="shared" si="65"/>
        <v>0.40298913830216737</v>
      </c>
      <c r="AQ489" s="31"/>
      <c r="AR489" s="31">
        <v>1975.5833333349401</v>
      </c>
      <c r="AS489" s="2">
        <v>0.47468084508535496</v>
      </c>
      <c r="AT489" s="2">
        <v>0.98806436351113014</v>
      </c>
      <c r="AU489" s="2">
        <v>0.77658509409837762</v>
      </c>
      <c r="AV489" s="31"/>
      <c r="AW489" s="31">
        <v>1975.5833333349401</v>
      </c>
      <c r="AX489" s="2">
        <v>9.4173640158803806E-2</v>
      </c>
      <c r="AY489" s="2">
        <v>-0.53553372549108424</v>
      </c>
      <c r="AZ489" s="2">
        <v>-0.11011913280921834</v>
      </c>
      <c r="BA489" s="31"/>
      <c r="BB489" s="31">
        <v>1975.5833333349401</v>
      </c>
      <c r="BC489" s="2">
        <v>0.64188215394070991</v>
      </c>
      <c r="BD489" s="2">
        <v>-0.51613739712758211</v>
      </c>
      <c r="BE489" s="2">
        <v>0.60130230027373444</v>
      </c>
      <c r="BG489" s="2">
        <f t="shared" si="72"/>
        <v>0.40357887972828954</v>
      </c>
      <c r="BH489" s="2">
        <f t="shared" si="66"/>
        <v>-2.1202253035845404E-2</v>
      </c>
      <c r="BI489" s="2">
        <f t="shared" si="67"/>
        <v>0.4225894205209646</v>
      </c>
    </row>
    <row r="490" spans="6:61" x14ac:dyDescent="0.3">
      <c r="F490" s="31">
        <v>1975.50000000161</v>
      </c>
      <c r="G490" s="2">
        <v>0.94872770621179714</v>
      </c>
      <c r="H490" s="2">
        <v>6.1499999999999846E-2</v>
      </c>
      <c r="I490" s="2">
        <v>5.8346753932025389E-2</v>
      </c>
      <c r="K490" s="31">
        <v>1975.50000000161</v>
      </c>
      <c r="L490" s="2">
        <v>0.90710861398473697</v>
      </c>
      <c r="M490" s="2">
        <v>6.1499999999999902E-2</v>
      </c>
      <c r="N490" s="2">
        <v>5.5787179760061235E-2</v>
      </c>
      <c r="P490" s="31">
        <v>1975.50000000161</v>
      </c>
      <c r="Q490" s="2">
        <v>0.83186564589956835</v>
      </c>
      <c r="R490" s="2"/>
      <c r="S490" s="2"/>
      <c r="U490" s="2">
        <f t="shared" si="68"/>
        <v>0.89590065536536745</v>
      </c>
      <c r="V490" s="2">
        <f t="shared" si="69"/>
        <v>6.1499999999999874E-2</v>
      </c>
      <c r="W490" s="2">
        <f t="shared" si="70"/>
        <v>5.7066966846043315E-2</v>
      </c>
      <c r="Y490" s="31">
        <v>1975.50000000161</v>
      </c>
      <c r="Z490" s="2">
        <v>1.24688592991207</v>
      </c>
      <c r="AA490" s="2">
        <v>-0.78876452892998183</v>
      </c>
      <c r="AB490" s="2">
        <v>-0.3873800324180211</v>
      </c>
      <c r="AD490" s="31">
        <v>1975.50000000161</v>
      </c>
      <c r="AE490" s="2">
        <v>0.5822598381451175</v>
      </c>
      <c r="AF490" s="2">
        <v>-0.68658960551538373</v>
      </c>
      <c r="AG490" s="2">
        <v>-0.16345729277265172</v>
      </c>
      <c r="AH490" s="31"/>
      <c r="AI490" s="31">
        <v>1975.50000000161</v>
      </c>
      <c r="AJ490" s="2"/>
      <c r="AK490" s="2"/>
      <c r="AL490" s="2"/>
      <c r="AM490" s="31"/>
      <c r="AN490" s="2">
        <f t="shared" si="71"/>
        <v>0.91457288402859382</v>
      </c>
      <c r="AO490" s="2">
        <f t="shared" si="64"/>
        <v>-0.73767706722268278</v>
      </c>
      <c r="AP490" s="2">
        <f t="shared" si="65"/>
        <v>-0.27541866259533643</v>
      </c>
      <c r="AQ490" s="31"/>
      <c r="AR490" s="31">
        <v>1975.50000000161</v>
      </c>
      <c r="AS490" s="2">
        <v>0.27318757564911972</v>
      </c>
      <c r="AT490" s="2">
        <v>-2.3130098149132094E-2</v>
      </c>
      <c r="AU490" s="2">
        <v>0.23588339286441803</v>
      </c>
      <c r="AV490" s="31"/>
      <c r="AW490" s="31">
        <v>1975.50000000161</v>
      </c>
      <c r="AX490" s="2">
        <v>2.0613940112351174E-2</v>
      </c>
      <c r="AY490" s="2">
        <v>-0.1083026392523672</v>
      </c>
      <c r="AZ490" s="2">
        <v>2.0303861058919442E-2</v>
      </c>
      <c r="BA490" s="31"/>
      <c r="BB490" s="31">
        <v>1975.50000000161</v>
      </c>
      <c r="BC490" s="2"/>
      <c r="BD490" s="2"/>
      <c r="BE490" s="2"/>
      <c r="BG490" s="2">
        <f t="shared" si="72"/>
        <v>0.14690075788073545</v>
      </c>
      <c r="BH490" s="2">
        <f t="shared" si="66"/>
        <v>-6.571636870074965E-2</v>
      </c>
      <c r="BI490" s="2">
        <f t="shared" si="67"/>
        <v>0.12809362696166873</v>
      </c>
    </row>
    <row r="491" spans="6:61" x14ac:dyDescent="0.3">
      <c r="F491" s="31">
        <v>1975.41666666828</v>
      </c>
      <c r="G491" s="2">
        <v>0.96117740032703725</v>
      </c>
      <c r="H491" s="2">
        <v>0.15374999999999966</v>
      </c>
      <c r="I491" s="2">
        <v>0.15222405362889652</v>
      </c>
      <c r="K491" s="31">
        <v>1975.41666666828</v>
      </c>
      <c r="L491" s="2">
        <v>1.0613169754176428</v>
      </c>
      <c r="M491" s="2">
        <v>0.15377999999999986</v>
      </c>
      <c r="N491" s="2">
        <v>0.10051633261095787</v>
      </c>
      <c r="P491" s="31">
        <v>1975.41666666828</v>
      </c>
      <c r="Q491" s="2">
        <v>0.77408667883984861</v>
      </c>
      <c r="R491" s="2">
        <v>0.16775000000000076</v>
      </c>
      <c r="S491" s="2">
        <v>6.3420260891922195E-2</v>
      </c>
      <c r="U491" s="2">
        <f t="shared" si="68"/>
        <v>0.93219368486150955</v>
      </c>
      <c r="V491" s="2">
        <f t="shared" si="69"/>
        <v>0.15842666666666677</v>
      </c>
      <c r="W491" s="2">
        <f t="shared" si="70"/>
        <v>0.10538688237725886</v>
      </c>
      <c r="Y491" s="31">
        <v>1975.41666666828</v>
      </c>
      <c r="Z491" s="2">
        <v>1.3190702049702745</v>
      </c>
      <c r="AA491" s="2">
        <v>1.0126249536365401</v>
      </c>
      <c r="AB491" s="2">
        <v>1.7731345843291533</v>
      </c>
      <c r="AD491" s="31">
        <v>1975.41666666828</v>
      </c>
      <c r="AE491" s="2">
        <v>1.4999162751070696</v>
      </c>
      <c r="AF491" s="2">
        <v>1.5734353192061419</v>
      </c>
      <c r="AG491" s="2">
        <v>1.537360265060207</v>
      </c>
      <c r="AH491" s="31"/>
      <c r="AI491" s="31">
        <v>1975.41666666828</v>
      </c>
      <c r="AJ491" s="2">
        <v>1.3816533111577258</v>
      </c>
      <c r="AK491" s="2">
        <v>1.6693262822256021</v>
      </c>
      <c r="AL491" s="2">
        <v>1.4967787742001311</v>
      </c>
      <c r="AM491" s="31"/>
      <c r="AN491" s="2">
        <f t="shared" si="71"/>
        <v>1.4002132637450233</v>
      </c>
      <c r="AO491" s="2">
        <f t="shared" si="64"/>
        <v>1.4184621850227614</v>
      </c>
      <c r="AP491" s="2">
        <f t="shared" si="65"/>
        <v>1.6024245411964972</v>
      </c>
      <c r="AQ491" s="31"/>
      <c r="AR491" s="31">
        <v>1975.41666666828</v>
      </c>
      <c r="AS491" s="2">
        <v>0.69538873076510421</v>
      </c>
      <c r="AT491" s="2">
        <v>-0.35878275268423288</v>
      </c>
      <c r="AU491" s="2">
        <v>0.15890648248549613</v>
      </c>
      <c r="AV491" s="31"/>
      <c r="AW491" s="31">
        <v>1975.41666666828</v>
      </c>
      <c r="AX491" s="2">
        <v>1.0841223413323009</v>
      </c>
      <c r="AY491" s="2">
        <v>0.24826500666177614</v>
      </c>
      <c r="AZ491" s="2">
        <v>0.35380906099716886</v>
      </c>
      <c r="BA491" s="31"/>
      <c r="BB491" s="31">
        <v>1975.41666666828</v>
      </c>
      <c r="BC491" s="2">
        <v>0.69775104870734939</v>
      </c>
      <c r="BD491" s="2">
        <v>0.21308645383215588</v>
      </c>
      <c r="BE491" s="2">
        <v>0.66202452836826198</v>
      </c>
      <c r="BG491" s="2">
        <f t="shared" si="72"/>
        <v>0.82575404026825161</v>
      </c>
      <c r="BH491" s="2">
        <f t="shared" si="66"/>
        <v>3.4189569269899724E-2</v>
      </c>
      <c r="BI491" s="2">
        <f t="shared" si="67"/>
        <v>0.39158002395030905</v>
      </c>
    </row>
    <row r="492" spans="6:61" x14ac:dyDescent="0.3">
      <c r="F492" s="31">
        <v>1975.3333333349501</v>
      </c>
      <c r="G492" s="2">
        <v>0.93805427681550302</v>
      </c>
      <c r="H492" s="2">
        <v>0.12299999999999969</v>
      </c>
      <c r="I492" s="2">
        <v>0.11538067604830661</v>
      </c>
      <c r="K492" s="31">
        <v>1975.3333333349501</v>
      </c>
      <c r="L492" s="2">
        <v>0.65036479196953834</v>
      </c>
      <c r="M492" s="2">
        <v>0.15377999999999986</v>
      </c>
      <c r="N492" s="2">
        <v>5.5635276271265716E-2</v>
      </c>
      <c r="P492" s="31">
        <v>1975.3333333349501</v>
      </c>
      <c r="Q492" s="2">
        <v>0.71859247803122728</v>
      </c>
      <c r="R492" s="2">
        <v>9.5850000000000463E-2</v>
      </c>
      <c r="S492" s="2">
        <v>6.0052820651269753E-2</v>
      </c>
      <c r="U492" s="2">
        <f t="shared" si="68"/>
        <v>0.76900384893875628</v>
      </c>
      <c r="V492" s="2">
        <f t="shared" si="69"/>
        <v>0.12421</v>
      </c>
      <c r="W492" s="2">
        <f t="shared" si="70"/>
        <v>7.7022924323614031E-2</v>
      </c>
      <c r="Y492" s="31">
        <v>1975.3333333349501</v>
      </c>
      <c r="Z492" s="2">
        <v>1.1850005730330377</v>
      </c>
      <c r="AA492" s="2">
        <v>0.41216179278103221</v>
      </c>
      <c r="AB492" s="2">
        <v>0.92521228521925802</v>
      </c>
      <c r="AD492" s="31">
        <v>1975.3333333349501</v>
      </c>
      <c r="AE492" s="2">
        <v>-0.94556017584918584</v>
      </c>
      <c r="AF492" s="2">
        <v>1.5734353192061419</v>
      </c>
      <c r="AG492" s="2">
        <v>-0.16923339413769933</v>
      </c>
      <c r="AH492" s="31"/>
      <c r="AI492" s="31">
        <v>1975.3333333349501</v>
      </c>
      <c r="AJ492" s="2">
        <v>1.1040594003609168</v>
      </c>
      <c r="AK492" s="2">
        <v>-4.4052846898962821E-2</v>
      </c>
      <c r="AL492" s="2">
        <v>1.2246294449269861</v>
      </c>
      <c r="AM492" s="31"/>
      <c r="AN492" s="2">
        <f t="shared" si="71"/>
        <v>0.44783326584825622</v>
      </c>
      <c r="AO492" s="2">
        <f t="shared" si="64"/>
        <v>0.6471814216960704</v>
      </c>
      <c r="AP492" s="2">
        <f t="shared" si="65"/>
        <v>0.66020277866951493</v>
      </c>
      <c r="AQ492" s="31"/>
      <c r="AR492" s="31">
        <v>1975.3333333349501</v>
      </c>
      <c r="AS492" s="2">
        <v>1.1952952228354281</v>
      </c>
      <c r="AT492" s="2">
        <v>-0.62524988541030202</v>
      </c>
      <c r="AU492" s="2">
        <v>8.1291763107689697E-3</v>
      </c>
      <c r="AV492" s="31"/>
      <c r="AW492" s="31">
        <v>1975.3333333349501</v>
      </c>
      <c r="AX492" s="2">
        <v>-1.0479813753304419</v>
      </c>
      <c r="AY492" s="2">
        <v>0.72937496404377411</v>
      </c>
      <c r="AZ492" s="2">
        <v>-0.48374939327057798</v>
      </c>
      <c r="BA492" s="31"/>
      <c r="BB492" s="31">
        <v>1975.3333333349501</v>
      </c>
      <c r="BC492" s="2">
        <v>0.98859400423127797</v>
      </c>
      <c r="BD492" s="2">
        <v>-0.7363458413185221</v>
      </c>
      <c r="BE492" s="2">
        <v>0.94433901124477337</v>
      </c>
      <c r="BG492" s="2">
        <f t="shared" si="72"/>
        <v>0.37863595057875471</v>
      </c>
      <c r="BH492" s="2">
        <f t="shared" si="66"/>
        <v>-0.21074025422834999</v>
      </c>
      <c r="BI492" s="2">
        <f t="shared" si="67"/>
        <v>0.15623959809498814</v>
      </c>
    </row>
    <row r="493" spans="6:61" x14ac:dyDescent="0.3">
      <c r="F493" s="31">
        <v>1975.25000000162</v>
      </c>
      <c r="G493" s="2">
        <v>0.89581011812104494</v>
      </c>
      <c r="H493" s="2">
        <v>0.12299999999999969</v>
      </c>
      <c r="I493" s="2">
        <v>0.11018464452888826</v>
      </c>
      <c r="K493" s="31">
        <v>1975.25000000162</v>
      </c>
      <c r="L493" s="2">
        <v>0.55191755324385761</v>
      </c>
      <c r="M493" s="2">
        <v>0.15377999999999986</v>
      </c>
      <c r="N493" s="2">
        <v>4.8631695180964288E-2</v>
      </c>
      <c r="P493" s="31">
        <v>1975.25000000162</v>
      </c>
      <c r="Q493" s="2">
        <v>0.69655803049674092</v>
      </c>
      <c r="R493" s="2">
        <v>0.1198000000000006</v>
      </c>
      <c r="S493" s="2">
        <v>5.4945258355728263E-2</v>
      </c>
      <c r="U493" s="2">
        <f t="shared" si="68"/>
        <v>0.71476190062054779</v>
      </c>
      <c r="V493" s="2">
        <f t="shared" si="69"/>
        <v>0.13219333333333338</v>
      </c>
      <c r="W493" s="2">
        <f t="shared" si="70"/>
        <v>7.1253866021860277E-2</v>
      </c>
      <c r="Y493" s="31">
        <v>1975.25000000162</v>
      </c>
      <c r="Z493" s="2">
        <v>0.94006572221848084</v>
      </c>
      <c r="AA493" s="2">
        <v>0.41216179278103221</v>
      </c>
      <c r="AB493" s="2">
        <v>0.80562957371145649</v>
      </c>
      <c r="AD493" s="31">
        <v>1975.25000000162</v>
      </c>
      <c r="AE493" s="2">
        <v>-1.5313957393575697</v>
      </c>
      <c r="AF493" s="2">
        <v>1.5734353192061419</v>
      </c>
      <c r="AG493" s="2">
        <v>-0.43554323742488515</v>
      </c>
      <c r="AH493" s="31"/>
      <c r="AI493" s="31">
        <v>1975.25000000162</v>
      </c>
      <c r="AJ493" s="2">
        <v>0.62523697717965532</v>
      </c>
      <c r="AK493" s="2">
        <v>0.52667636231568804</v>
      </c>
      <c r="AL493" s="2">
        <v>0.81184716710901239</v>
      </c>
      <c r="AM493" s="31"/>
      <c r="AN493" s="2">
        <f t="shared" si="71"/>
        <v>1.130232001352216E-2</v>
      </c>
      <c r="AO493" s="2">
        <f t="shared" si="64"/>
        <v>0.83742449143428743</v>
      </c>
      <c r="AP493" s="2">
        <f t="shared" si="65"/>
        <v>0.39397783446519458</v>
      </c>
      <c r="AQ493" s="31"/>
      <c r="AR493" s="31">
        <v>1975.25000000162</v>
      </c>
      <c r="AS493" s="2">
        <v>1.3291266387570413</v>
      </c>
      <c r="AT493" s="2">
        <v>-0.74536446371894627</v>
      </c>
      <c r="AU493" s="2">
        <v>-2.1827297702466428E-2</v>
      </c>
      <c r="AV493" s="31"/>
      <c r="AW493" s="31">
        <v>1975.25000000162</v>
      </c>
      <c r="AX493" s="2">
        <v>-1.5004012945707932</v>
      </c>
      <c r="AY493" s="2">
        <v>0.5591995610722349</v>
      </c>
      <c r="AZ493" s="2">
        <v>-0.76234985352161655</v>
      </c>
      <c r="BA493" s="31"/>
      <c r="BB493" s="31">
        <v>1975.25000000162</v>
      </c>
      <c r="BC493" s="2">
        <v>1.0069561179755404</v>
      </c>
      <c r="BD493" s="2">
        <v>-0.51128572186882904</v>
      </c>
      <c r="BE493" s="2">
        <v>0.98978045062258135</v>
      </c>
      <c r="BG493" s="2">
        <f t="shared" si="72"/>
        <v>0.27856048738726286</v>
      </c>
      <c r="BH493" s="2">
        <f t="shared" si="66"/>
        <v>-0.23248354150518014</v>
      </c>
      <c r="BI493" s="2">
        <f t="shared" si="67"/>
        <v>6.8534433132832792E-2</v>
      </c>
    </row>
    <row r="494" spans="6:61" x14ac:dyDescent="0.3">
      <c r="F494" s="31">
        <v>1975.16666666829</v>
      </c>
      <c r="G494" s="2">
        <v>0.83624822258713505</v>
      </c>
      <c r="H494" s="2">
        <v>0.12299999999999969</v>
      </c>
      <c r="I494" s="2">
        <v>0.10285853137821738</v>
      </c>
      <c r="K494" s="31">
        <v>1975.16666666829</v>
      </c>
      <c r="L494" s="2">
        <v>0.51500646462626254</v>
      </c>
      <c r="M494" s="2">
        <v>0.15377999999999986</v>
      </c>
      <c r="N494" s="2">
        <v>4.5797423981611185E-2</v>
      </c>
      <c r="P494" s="31">
        <v>1975.16666666829</v>
      </c>
      <c r="Q494" s="2">
        <v>0.65497526643799453</v>
      </c>
      <c r="R494" s="2">
        <v>9.5850000000000463E-2</v>
      </c>
      <c r="S494" s="2">
        <v>5.0189376501056975E-2</v>
      </c>
      <c r="U494" s="2">
        <f t="shared" si="68"/>
        <v>0.66874331788379726</v>
      </c>
      <c r="V494" s="2">
        <f t="shared" si="69"/>
        <v>0.12421</v>
      </c>
      <c r="W494" s="2">
        <f t="shared" si="70"/>
        <v>6.6281777286961843E-2</v>
      </c>
      <c r="Y494" s="31">
        <v>1975.16666666829</v>
      </c>
      <c r="Z494" s="2">
        <v>0.59472131372054771</v>
      </c>
      <c r="AA494" s="2">
        <v>0.41216179278103221</v>
      </c>
      <c r="AB494" s="2">
        <v>0.63702465434248046</v>
      </c>
      <c r="AD494" s="31">
        <v>1975.16666666829</v>
      </c>
      <c r="AE494" s="2">
        <v>-1.7510446465275373</v>
      </c>
      <c r="AF494" s="2">
        <v>1.5734353192061419</v>
      </c>
      <c r="AG494" s="2">
        <v>-0.54331586248641972</v>
      </c>
      <c r="AH494" s="31"/>
      <c r="AI494" s="31">
        <v>1975.16666666829</v>
      </c>
      <c r="AJ494" s="2">
        <v>0.14877770606143276</v>
      </c>
      <c r="AK494" s="2">
        <v>-4.4052846898962821E-2</v>
      </c>
      <c r="AL494" s="2">
        <v>0.42748695152866434</v>
      </c>
      <c r="AM494" s="31"/>
      <c r="AN494" s="2">
        <f t="shared" si="71"/>
        <v>-0.3358485422485189</v>
      </c>
      <c r="AO494" s="2">
        <f t="shared" si="64"/>
        <v>0.6471814216960704</v>
      </c>
      <c r="AP494" s="2">
        <f t="shared" si="65"/>
        <v>0.17373191446157502</v>
      </c>
      <c r="AQ494" s="31"/>
      <c r="AR494" s="31">
        <v>1975.16666666829</v>
      </c>
      <c r="AS494" s="2">
        <v>1.0727314291622627</v>
      </c>
      <c r="AT494" s="2">
        <v>-0.46657286796563235</v>
      </c>
      <c r="AU494" s="2">
        <v>0.12078619694789212</v>
      </c>
      <c r="AV494" s="31"/>
      <c r="AW494" s="31">
        <v>1975.16666666829</v>
      </c>
      <c r="AX494" s="2">
        <v>-1.5368374063115842</v>
      </c>
      <c r="AY494" s="2">
        <v>0.86425175705807289</v>
      </c>
      <c r="AZ494" s="2">
        <v>-0.59534257202490226</v>
      </c>
      <c r="BA494" s="31"/>
      <c r="BB494" s="31">
        <v>1975.16666666829</v>
      </c>
      <c r="BC494" s="2">
        <v>0.79954516614486948</v>
      </c>
      <c r="BD494" s="2">
        <v>-0.34847073798484229</v>
      </c>
      <c r="BE494" s="2">
        <v>0.98698479968904629</v>
      </c>
      <c r="BG494" s="2">
        <f t="shared" si="72"/>
        <v>0.11181306299851601</v>
      </c>
      <c r="BH494" s="2">
        <f t="shared" si="66"/>
        <v>1.6402717035866082E-2</v>
      </c>
      <c r="BI494" s="2">
        <f t="shared" si="67"/>
        <v>0.17080947487067874</v>
      </c>
    </row>
    <row r="495" spans="6:61" x14ac:dyDescent="0.3">
      <c r="F495" s="31">
        <v>1975.0833333349599</v>
      </c>
      <c r="G495" s="2">
        <v>0.81072383614381582</v>
      </c>
      <c r="H495" s="2">
        <v>9.2249999999999804E-2</v>
      </c>
      <c r="I495" s="2">
        <v>7.9474688592110376E-2</v>
      </c>
      <c r="K495" s="31">
        <v>1975.0833333349599</v>
      </c>
      <c r="L495" s="2">
        <v>0.51843091477657155</v>
      </c>
      <c r="M495" s="2">
        <v>6.1514999999999952E-2</v>
      </c>
      <c r="N495" s="2">
        <v>3.1890545284999773E-2</v>
      </c>
      <c r="P495" s="31">
        <v>1975.0833333349599</v>
      </c>
      <c r="Q495" s="2">
        <v>0.68375095507998385</v>
      </c>
      <c r="R495" s="2">
        <v>9.5850000000000463E-2</v>
      </c>
      <c r="S495" s="2">
        <v>4.9103577173112145E-2</v>
      </c>
      <c r="U495" s="2">
        <f t="shared" si="68"/>
        <v>0.67096856866679033</v>
      </c>
      <c r="V495" s="2">
        <f t="shared" si="69"/>
        <v>8.3205000000000071E-2</v>
      </c>
      <c r="W495" s="2">
        <f t="shared" si="70"/>
        <v>5.3489603683407431E-2</v>
      </c>
      <c r="Y495" s="31">
        <v>1975.0833333349599</v>
      </c>
      <c r="Z495" s="2">
        <v>0.4467289763456847</v>
      </c>
      <c r="AA495" s="2">
        <v>-0.18830136807447412</v>
      </c>
      <c r="AB495" s="2">
        <v>9.8863306516814617E-2</v>
      </c>
      <c r="AD495" s="31">
        <v>1975.0833333349599</v>
      </c>
      <c r="AE495" s="2">
        <v>-1.7306665769190768</v>
      </c>
      <c r="AF495" s="2">
        <v>-0.68622224125583742</v>
      </c>
      <c r="AG495" s="2">
        <v>-1.0721222885927948</v>
      </c>
      <c r="AH495" s="31"/>
      <c r="AI495" s="31">
        <v>1975.0833333349599</v>
      </c>
      <c r="AJ495" s="2">
        <v>4.7795015161789467E-2</v>
      </c>
      <c r="AK495" s="2">
        <v>-4.4052846898962821E-2</v>
      </c>
      <c r="AL495" s="2">
        <v>0.33973496850663937</v>
      </c>
      <c r="AM495" s="31"/>
      <c r="AN495" s="2">
        <f t="shared" si="71"/>
        <v>-0.41204752847053422</v>
      </c>
      <c r="AO495" s="2">
        <f t="shared" si="64"/>
        <v>-0.30619215207642481</v>
      </c>
      <c r="AP495" s="2">
        <f t="shared" si="65"/>
        <v>-0.21117467118978028</v>
      </c>
      <c r="AQ495" s="31"/>
      <c r="AR495" s="31">
        <v>1975.0833333349599</v>
      </c>
      <c r="AS495" s="2">
        <v>1.3880396764866243</v>
      </c>
      <c r="AT495" s="2">
        <v>0.50956041230593874</v>
      </c>
      <c r="AU495" s="2">
        <v>1.6468431613785495</v>
      </c>
      <c r="AV495" s="31"/>
      <c r="AW495" s="31">
        <v>1975.0833333349599</v>
      </c>
      <c r="AX495" s="2">
        <v>-1.5243032154530667</v>
      </c>
      <c r="AY495" s="2">
        <v>-0.87038484719517628</v>
      </c>
      <c r="AZ495" s="2">
        <v>-1.5947515583569547</v>
      </c>
      <c r="BA495" s="31"/>
      <c r="BB495" s="31">
        <v>1975.0833333349599</v>
      </c>
      <c r="BC495" s="2">
        <v>0.80617460804459995</v>
      </c>
      <c r="BD495" s="2">
        <v>-1.4615836317459097E-2</v>
      </c>
      <c r="BE495" s="2">
        <v>0.85136809245579692</v>
      </c>
      <c r="BG495" s="2">
        <f t="shared" si="72"/>
        <v>0.22330368969271919</v>
      </c>
      <c r="BH495" s="2">
        <f t="shared" si="66"/>
        <v>-0.12514675706889888</v>
      </c>
      <c r="BI495" s="2">
        <f t="shared" si="67"/>
        <v>0.30115323182579723</v>
      </c>
    </row>
    <row r="496" spans="6:61" x14ac:dyDescent="0.3">
      <c r="F496" s="31">
        <v>1975.00000000163</v>
      </c>
      <c r="G496" s="2">
        <v>0.99066218548144591</v>
      </c>
      <c r="H496" s="2">
        <v>6.1499999999999902E-2</v>
      </c>
      <c r="I496" s="2">
        <v>6.0925724407108826E-2</v>
      </c>
      <c r="K496" s="31">
        <v>1975.00000000163</v>
      </c>
      <c r="L496" s="2">
        <v>0.47684733810232988</v>
      </c>
      <c r="M496" s="2">
        <v>6.1530000000000001E-2</v>
      </c>
      <c r="N496" s="2">
        <v>2.9340416713436356E-2</v>
      </c>
      <c r="P496" s="31">
        <v>1975.00000000163</v>
      </c>
      <c r="Q496" s="2">
        <v>0.74033512570280324</v>
      </c>
      <c r="R496" s="2">
        <v>7.1900000000000297E-2</v>
      </c>
      <c r="S496" s="2">
        <v>5.0645028762431349E-2</v>
      </c>
      <c r="U496" s="2">
        <f t="shared" si="68"/>
        <v>0.73594821642885966</v>
      </c>
      <c r="V496" s="2">
        <f t="shared" si="69"/>
        <v>6.4976666666666738E-2</v>
      </c>
      <c r="W496" s="2">
        <f t="shared" si="70"/>
        <v>4.6970389960992176E-2</v>
      </c>
      <c r="Y496" s="31">
        <v>1975.00000000163</v>
      </c>
      <c r="Z496" s="2">
        <v>1.4900252358262154</v>
      </c>
      <c r="AA496" s="2">
        <v>-0.78876452892998072</v>
      </c>
      <c r="AB496" s="2">
        <v>-0.32802698939730368</v>
      </c>
      <c r="AD496" s="31">
        <v>1975.00000000163</v>
      </c>
      <c r="AE496" s="2">
        <v>-1.9781203236059675</v>
      </c>
      <c r="AF496" s="2">
        <v>-0.68585487699629111</v>
      </c>
      <c r="AG496" s="2">
        <v>-1.1690904440976524</v>
      </c>
      <c r="AH496" s="31"/>
      <c r="AI496" s="31">
        <v>1975.00000000163</v>
      </c>
      <c r="AJ496" s="2">
        <v>0.18524732168954922</v>
      </c>
      <c r="AK496" s="2">
        <v>-0.61478205611361436</v>
      </c>
      <c r="AL496" s="2">
        <v>0.46431179427355052</v>
      </c>
      <c r="AM496" s="31"/>
      <c r="AN496" s="2">
        <f t="shared" si="71"/>
        <v>-0.10094925536340098</v>
      </c>
      <c r="AO496" s="2">
        <f t="shared" si="64"/>
        <v>-0.69646715401329529</v>
      </c>
      <c r="AP496" s="2">
        <f t="shared" si="65"/>
        <v>-0.34426854640713517</v>
      </c>
      <c r="AQ496" s="31"/>
      <c r="AR496" s="31">
        <v>1975.00000000163</v>
      </c>
      <c r="AS496" s="2">
        <v>1.4730233320089516</v>
      </c>
      <c r="AT496" s="2">
        <v>-0.29853293598826319</v>
      </c>
      <c r="AU496" s="2">
        <v>1.0646582549218333</v>
      </c>
      <c r="AV496" s="31"/>
      <c r="AW496" s="31">
        <v>1975.00000000163</v>
      </c>
      <c r="AX496" s="2">
        <v>-1.2646148444986041</v>
      </c>
      <c r="AY496" s="2">
        <v>-0.21897704373559218</v>
      </c>
      <c r="AZ496" s="2">
        <v>-1.281281091293804</v>
      </c>
      <c r="BA496" s="31"/>
      <c r="BB496" s="31">
        <v>1975.00000000163</v>
      </c>
      <c r="BC496" s="2">
        <v>0.62748657927057838</v>
      </c>
      <c r="BD496" s="2">
        <v>-9.3919208556921333E-2</v>
      </c>
      <c r="BE496" s="2">
        <v>1.0606207707305944</v>
      </c>
      <c r="BG496" s="2">
        <f t="shared" si="72"/>
        <v>0.27863168892697532</v>
      </c>
      <c r="BH496" s="2">
        <f t="shared" si="66"/>
        <v>-0.20380972942692557</v>
      </c>
      <c r="BI496" s="2">
        <f t="shared" si="67"/>
        <v>0.2813326447862079</v>
      </c>
    </row>
    <row r="497" spans="6:61" x14ac:dyDescent="0.3">
      <c r="F497" s="31">
        <v>1974.9166666683</v>
      </c>
      <c r="G497" s="2">
        <v>0.88708859516234484</v>
      </c>
      <c r="H497" s="2">
        <v>9.2249999999999804E-2</v>
      </c>
      <c r="I497" s="2">
        <v>8.7526688260755395E-2</v>
      </c>
      <c r="K497" s="31">
        <v>1974.9166666683</v>
      </c>
      <c r="L497" s="2">
        <v>0.53998547817638332</v>
      </c>
      <c r="M497" s="2">
        <v>6.1514999999999952E-2</v>
      </c>
      <c r="N497" s="2">
        <v>3.3216373123520715E-2</v>
      </c>
      <c r="P497" s="31">
        <v>1974.9166666683</v>
      </c>
      <c r="Q497" s="2">
        <v>0.78392974359426382</v>
      </c>
      <c r="R497" s="2">
        <v>9.5800000000000607E-2</v>
      </c>
      <c r="S497" s="2">
        <v>3.3879175346260296E-2</v>
      </c>
      <c r="U497" s="2">
        <f t="shared" si="68"/>
        <v>0.73700127231099744</v>
      </c>
      <c r="V497" s="2">
        <f t="shared" si="69"/>
        <v>8.3188333333333461E-2</v>
      </c>
      <c r="W497" s="2">
        <f t="shared" si="70"/>
        <v>5.1540745576845466E-2</v>
      </c>
      <c r="Y497" s="31">
        <v>1974.9166666683</v>
      </c>
      <c r="Z497" s="2">
        <v>0.88949766758599069</v>
      </c>
      <c r="AA497" s="2">
        <v>-0.18830136807447412</v>
      </c>
      <c r="AB497" s="2">
        <v>0.28417395173481697</v>
      </c>
      <c r="AD497" s="31">
        <v>1974.9166666683</v>
      </c>
      <c r="AE497" s="2">
        <v>-1.6024006147757226</v>
      </c>
      <c r="AF497" s="2">
        <v>-0.68622224125583742</v>
      </c>
      <c r="AG497" s="2">
        <v>-1.0217079363707227</v>
      </c>
      <c r="AH497" s="31"/>
      <c r="AI497" s="31">
        <v>1974.9166666683</v>
      </c>
      <c r="AJ497" s="2">
        <v>0.25913004434797782</v>
      </c>
      <c r="AK497" s="2">
        <v>-4.5244348379574514E-2</v>
      </c>
      <c r="AL497" s="2">
        <v>-0.89066867629859281</v>
      </c>
      <c r="AM497" s="31"/>
      <c r="AN497" s="2">
        <f t="shared" si="71"/>
        <v>-0.1512576342805847</v>
      </c>
      <c r="AO497" s="2">
        <f t="shared" si="64"/>
        <v>-0.30658931923662869</v>
      </c>
      <c r="AP497" s="2">
        <f t="shared" si="65"/>
        <v>-0.54273422031149943</v>
      </c>
      <c r="AQ497" s="31"/>
      <c r="AR497" s="31">
        <v>1974.9166666683</v>
      </c>
      <c r="AS497" s="2">
        <v>1.2726110409205353</v>
      </c>
      <c r="AT497" s="2">
        <v>0.68444756444045307</v>
      </c>
      <c r="AU497" s="2">
        <v>1.7853057138034323</v>
      </c>
      <c r="AV497" s="31"/>
      <c r="AW497" s="31">
        <v>1974.9166666683</v>
      </c>
      <c r="AX497" s="2">
        <v>-1.2551538338979424</v>
      </c>
      <c r="AY497" s="2">
        <v>-0.51751295497595129</v>
      </c>
      <c r="AZ497" s="2">
        <v>-1.3105204520002287</v>
      </c>
      <c r="BA497" s="31"/>
      <c r="BB497" s="31">
        <v>1974.9166666683</v>
      </c>
      <c r="BC497" s="2">
        <v>0.81388349771883783</v>
      </c>
      <c r="BD497" s="2">
        <v>0.88459457538944342</v>
      </c>
      <c r="BE497" s="2">
        <v>-0.69441826388953032</v>
      </c>
      <c r="BG497" s="2">
        <f t="shared" si="72"/>
        <v>0.27711356824714356</v>
      </c>
      <c r="BH497" s="2">
        <f t="shared" si="66"/>
        <v>0.35050972828464838</v>
      </c>
      <c r="BI497" s="2">
        <f t="shared" si="67"/>
        <v>-7.3211000695442285E-2</v>
      </c>
    </row>
    <row r="498" spans="6:61" x14ac:dyDescent="0.3">
      <c r="F498" s="31">
        <v>1974.8333333349699</v>
      </c>
      <c r="G498" s="2">
        <v>1.1735709736243465</v>
      </c>
      <c r="H498" s="2">
        <v>6.1499999999999902E-2</v>
      </c>
      <c r="I498" s="2">
        <v>7.2174614877897197E-2</v>
      </c>
      <c r="K498" s="31">
        <v>1974.8333333349699</v>
      </c>
      <c r="L498" s="2">
        <v>0.54603604702373254</v>
      </c>
      <c r="M498" s="2">
        <v>6.1530000000000001E-2</v>
      </c>
      <c r="N498" s="2">
        <v>3.3597597973370266E-2</v>
      </c>
      <c r="P498" s="31">
        <v>1974.8333333349699</v>
      </c>
      <c r="Q498" s="2">
        <v>0.80306849516171519</v>
      </c>
      <c r="R498" s="2">
        <v>7.1900000000000297E-2</v>
      </c>
      <c r="S498" s="2">
        <v>5.4343920536544056E-2</v>
      </c>
      <c r="U498" s="2">
        <f t="shared" si="68"/>
        <v>0.84089183860326477</v>
      </c>
      <c r="V498" s="2">
        <f t="shared" si="69"/>
        <v>6.4976666666666738E-2</v>
      </c>
      <c r="W498" s="2">
        <f t="shared" si="70"/>
        <v>5.3372044462603845E-2</v>
      </c>
      <c r="Y498" s="31">
        <v>1974.8333333349699</v>
      </c>
      <c r="Z498" s="2">
        <v>2.5505443258259901</v>
      </c>
      <c r="AA498" s="2">
        <v>-0.78876452892998072</v>
      </c>
      <c r="AB498" s="2">
        <v>-6.9142335036753363E-2</v>
      </c>
      <c r="AD498" s="31">
        <v>1974.8333333349699</v>
      </c>
      <c r="AE498" s="2">
        <v>-1.5663951517874706</v>
      </c>
      <c r="AF498" s="2">
        <v>-0.68585487699629111</v>
      </c>
      <c r="AG498" s="2">
        <v>-1.007211933724133</v>
      </c>
      <c r="AH498" s="31"/>
      <c r="AI498" s="31">
        <v>1974.8333333349699</v>
      </c>
      <c r="AJ498" s="2">
        <v>0.56209884560830115</v>
      </c>
      <c r="AK498" s="2">
        <v>-0.61478205611361436</v>
      </c>
      <c r="AL498" s="2">
        <v>0.76324832868512704</v>
      </c>
      <c r="AM498" s="31"/>
      <c r="AN498" s="2">
        <f t="shared" si="71"/>
        <v>0.51541600654894026</v>
      </c>
      <c r="AO498" s="2">
        <f t="shared" si="64"/>
        <v>-0.69646715401329529</v>
      </c>
      <c r="AP498" s="2">
        <f t="shared" si="65"/>
        <v>-0.10436864669191977</v>
      </c>
      <c r="AQ498" s="31"/>
      <c r="AR498" s="31">
        <v>1974.8333333349699</v>
      </c>
      <c r="AS498" s="2">
        <v>1.8725464312567488</v>
      </c>
      <c r="AT498" s="2">
        <v>-0.28549293171717766</v>
      </c>
      <c r="AU498" s="2">
        <v>1.3270295517809167</v>
      </c>
      <c r="AV498" s="31"/>
      <c r="AW498" s="31">
        <v>1974.8333333349699</v>
      </c>
      <c r="AX498" s="2">
        <v>-0.88203949216672628</v>
      </c>
      <c r="AY498" s="2">
        <v>-0.19067841091384152</v>
      </c>
      <c r="AZ498" s="2">
        <v>-0.88812755401625398</v>
      </c>
      <c r="BA498" s="31"/>
      <c r="BB498" s="31">
        <v>1974.8333333349699</v>
      </c>
      <c r="BC498" s="2">
        <v>0.45263070557306573</v>
      </c>
      <c r="BD498" s="2">
        <v>-4.0971152421897278E-2</v>
      </c>
      <c r="BE498" s="2">
        <v>0.73586653593806473</v>
      </c>
      <c r="BG498" s="2">
        <f t="shared" si="72"/>
        <v>0.48104588155436279</v>
      </c>
      <c r="BH498" s="2">
        <f t="shared" si="66"/>
        <v>-0.17238083168430549</v>
      </c>
      <c r="BI498" s="2">
        <f t="shared" si="67"/>
        <v>0.39158951123424252</v>
      </c>
    </row>
    <row r="499" spans="6:61" x14ac:dyDescent="0.3">
      <c r="F499" s="31">
        <v>1974.75000000164</v>
      </c>
      <c r="G499" s="2">
        <v>1.0187794002274173</v>
      </c>
      <c r="H499" s="2">
        <v>9.2249999999999804E-2</v>
      </c>
      <c r="I499" s="2">
        <v>0.10187903781038367</v>
      </c>
      <c r="K499" s="31">
        <v>1974.75000000164</v>
      </c>
      <c r="L499" s="2">
        <v>0.62141943089408924</v>
      </c>
      <c r="M499" s="2">
        <v>6.1514999999999952E-2</v>
      </c>
      <c r="N499" s="2">
        <v>3.822652878014407E-2</v>
      </c>
      <c r="P499" s="31">
        <v>1974.75000000164</v>
      </c>
      <c r="Q499" s="2">
        <v>0.80729194951716332</v>
      </c>
      <c r="R499" s="2">
        <v>9.5850000000000463E-2</v>
      </c>
      <c r="S499" s="2">
        <v>5.6331291668183604E-2</v>
      </c>
      <c r="U499" s="2">
        <f t="shared" si="68"/>
        <v>0.81583026021288996</v>
      </c>
      <c r="V499" s="2">
        <f t="shared" si="69"/>
        <v>8.3205000000000071E-2</v>
      </c>
      <c r="W499" s="2">
        <f t="shared" si="70"/>
        <v>6.5478952752903774E-2</v>
      </c>
      <c r="Y499" s="31">
        <v>1974.75000000164</v>
      </c>
      <c r="Z499" s="2">
        <v>1.6530509892549099</v>
      </c>
      <c r="AA499" s="2">
        <v>-0.18830136807447412</v>
      </c>
      <c r="AB499" s="2">
        <v>0.61448235522280203</v>
      </c>
      <c r="AD499" s="31">
        <v>1974.75000000164</v>
      </c>
      <c r="AE499" s="2">
        <v>-1.1178069766339187</v>
      </c>
      <c r="AF499" s="2">
        <v>-0.68622224125583742</v>
      </c>
      <c r="AG499" s="2">
        <v>-0.83119771730472936</v>
      </c>
      <c r="AH499" s="31"/>
      <c r="AI499" s="31">
        <v>1974.75000000164</v>
      </c>
      <c r="AJ499" s="2">
        <v>0.74356345696128801</v>
      </c>
      <c r="AK499" s="2">
        <v>-4.4052846898962821E-2</v>
      </c>
      <c r="AL499" s="2">
        <v>0.92386341962664353</v>
      </c>
      <c r="AM499" s="31"/>
      <c r="AN499" s="2">
        <f t="shared" si="71"/>
        <v>0.42626915652742642</v>
      </c>
      <c r="AO499" s="2">
        <f t="shared" si="64"/>
        <v>-0.30619215207642481</v>
      </c>
      <c r="AP499" s="2">
        <f t="shared" si="65"/>
        <v>0.23571601918157206</v>
      </c>
      <c r="AQ499" s="31"/>
      <c r="AR499" s="31">
        <v>1974.75000000164</v>
      </c>
      <c r="AS499" s="2">
        <v>1.9267446750015682</v>
      </c>
      <c r="AT499" s="2">
        <v>0.89414149018552891</v>
      </c>
      <c r="AU499" s="2">
        <v>2.2890155355605843</v>
      </c>
      <c r="AV499" s="31"/>
      <c r="AW499" s="31">
        <v>1974.75000000164</v>
      </c>
      <c r="AX499" s="2">
        <v>-1.2035292258442931</v>
      </c>
      <c r="AY499" s="2">
        <v>-0.6564669997761764</v>
      </c>
      <c r="AZ499" s="2">
        <v>-1.2523265983434708</v>
      </c>
      <c r="BA499" s="31"/>
      <c r="BB499" s="31">
        <v>1974.75000000164</v>
      </c>
      <c r="BC499" s="2">
        <v>0.69055226191305696</v>
      </c>
      <c r="BD499" s="2">
        <v>0.36965282471677957</v>
      </c>
      <c r="BE499" s="2">
        <v>0.65252732868334551</v>
      </c>
      <c r="BG499" s="2">
        <f t="shared" si="72"/>
        <v>0.47125590369011067</v>
      </c>
      <c r="BH499" s="2">
        <f t="shared" si="66"/>
        <v>0.20244243837537734</v>
      </c>
      <c r="BI499" s="2">
        <f t="shared" si="67"/>
        <v>0.56307208863348635</v>
      </c>
    </row>
    <row r="500" spans="6:61" x14ac:dyDescent="0.3">
      <c r="F500" s="31">
        <v>1974.66666666831</v>
      </c>
      <c r="G500" s="2">
        <v>1.3820426898488798</v>
      </c>
      <c r="H500" s="2">
        <v>6.1499999999999902E-2</v>
      </c>
      <c r="I500" s="2">
        <v>8.4995625425705976E-2</v>
      </c>
      <c r="K500" s="31">
        <v>1974.66666666831</v>
      </c>
      <c r="L500" s="2">
        <v>0.69389308591086662</v>
      </c>
      <c r="M500" s="2">
        <v>6.1530000000000001E-2</v>
      </c>
      <c r="N500" s="2">
        <v>4.2695241576095624E-2</v>
      </c>
      <c r="P500" s="31">
        <v>1974.66666666831</v>
      </c>
      <c r="Q500" s="2">
        <v>0.81299297913394253</v>
      </c>
      <c r="R500" s="2">
        <v>4.7900000000000303E-2</v>
      </c>
      <c r="S500" s="2">
        <v>3.7841649418858266E-2</v>
      </c>
      <c r="U500" s="2">
        <f t="shared" si="68"/>
        <v>0.96297625163122957</v>
      </c>
      <c r="V500" s="2">
        <f t="shared" si="69"/>
        <v>5.6976666666666731E-2</v>
      </c>
      <c r="W500" s="2">
        <f t="shared" si="70"/>
        <v>5.5177505473553289E-2</v>
      </c>
      <c r="Y500" s="31">
        <v>1974.66666666831</v>
      </c>
      <c r="Z500" s="2">
        <v>3.7592792205561683</v>
      </c>
      <c r="AA500" s="2">
        <v>-0.78876452892998072</v>
      </c>
      <c r="AB500" s="2">
        <v>0.22592346659424289</v>
      </c>
      <c r="AD500" s="31">
        <v>1974.66666666831</v>
      </c>
      <c r="AE500" s="2">
        <v>-0.68653388989379693</v>
      </c>
      <c r="AF500" s="2">
        <v>-0.68585487699629111</v>
      </c>
      <c r="AG500" s="2">
        <v>-0.66127576037425262</v>
      </c>
      <c r="AH500" s="31"/>
      <c r="AI500" s="31">
        <v>1974.66666666831</v>
      </c>
      <c r="AJ500" s="2">
        <v>0.79851666287704415</v>
      </c>
      <c r="AK500" s="2">
        <v>-1.186702766808877</v>
      </c>
      <c r="AL500" s="2">
        <v>-0.5704299833883878</v>
      </c>
      <c r="AM500" s="31"/>
      <c r="AN500" s="2">
        <f t="shared" si="71"/>
        <v>1.2904206645131386</v>
      </c>
      <c r="AO500" s="2">
        <f t="shared" si="64"/>
        <v>-0.88710739091171631</v>
      </c>
      <c r="AP500" s="2">
        <f t="shared" si="65"/>
        <v>-0.33526075905613251</v>
      </c>
      <c r="AQ500" s="31"/>
      <c r="AR500" s="31">
        <v>1974.66666666831</v>
      </c>
      <c r="AS500" s="2">
        <v>1.9058511472611739</v>
      </c>
      <c r="AT500" s="2">
        <v>-0.32631334910519749</v>
      </c>
      <c r="AU500" s="2">
        <v>1.1558095890452593</v>
      </c>
      <c r="AV500" s="31"/>
      <c r="AW500" s="31">
        <v>1974.66666666831</v>
      </c>
      <c r="AX500" s="2">
        <v>-0.50834283001140323</v>
      </c>
      <c r="AY500" s="2">
        <v>-0.23771353876763443</v>
      </c>
      <c r="AZ500" s="2">
        <v>-0.52400964017105545</v>
      </c>
      <c r="BA500" s="31"/>
      <c r="BB500" s="31">
        <v>1974.66666666831</v>
      </c>
      <c r="BC500" s="2">
        <v>0.43972092316439509</v>
      </c>
      <c r="BD500" s="2">
        <v>-1.0289872901111137</v>
      </c>
      <c r="BE500" s="2">
        <v>-0.4970661793161803</v>
      </c>
      <c r="BG500" s="2">
        <f t="shared" si="72"/>
        <v>0.61240974680472193</v>
      </c>
      <c r="BH500" s="2">
        <f t="shared" si="66"/>
        <v>-0.53100472599464854</v>
      </c>
      <c r="BI500" s="2">
        <f t="shared" si="67"/>
        <v>4.4911256519341171E-2</v>
      </c>
    </row>
    <row r="501" spans="6:61" x14ac:dyDescent="0.3">
      <c r="F501" s="31">
        <v>1974.5833333349799</v>
      </c>
      <c r="G501" s="2">
        <v>1.157894641246803</v>
      </c>
      <c r="H501" s="2">
        <v>9.2249999999999804E-2</v>
      </c>
      <c r="I501" s="2">
        <v>0.11696839480035698</v>
      </c>
      <c r="K501" s="31">
        <v>1974.5833333349799</v>
      </c>
      <c r="L501" s="2">
        <v>0.72156082502553043</v>
      </c>
      <c r="M501" s="2">
        <v>6.1514999999999952E-2</v>
      </c>
      <c r="N501" s="2">
        <v>4.4387726559217675E-2</v>
      </c>
      <c r="P501" s="31">
        <v>1974.5833333349799</v>
      </c>
      <c r="Q501" s="2">
        <v>0.81358047032878411</v>
      </c>
      <c r="R501" s="2">
        <v>9.5850000000000463E-2</v>
      </c>
      <c r="S501" s="2">
        <v>5.7600252477471067E-2</v>
      </c>
      <c r="U501" s="2">
        <f t="shared" si="68"/>
        <v>0.89767864553370591</v>
      </c>
      <c r="V501" s="2">
        <f t="shared" si="69"/>
        <v>8.3205000000000071E-2</v>
      </c>
      <c r="W501" s="2">
        <f t="shared" si="70"/>
        <v>7.2985457945681911E-2</v>
      </c>
      <c r="Y501" s="31">
        <v>1974.5833333349799</v>
      </c>
      <c r="Z501" s="2">
        <v>2.4596517562760907</v>
      </c>
      <c r="AA501" s="2">
        <v>-0.18830136807447412</v>
      </c>
      <c r="AB501" s="2">
        <v>0.96175242412573247</v>
      </c>
      <c r="AD501" s="31">
        <v>1974.5833333349799</v>
      </c>
      <c r="AE501" s="2">
        <v>-0.52188990652716294</v>
      </c>
      <c r="AF501" s="2">
        <v>-0.68622224125583742</v>
      </c>
      <c r="AG501" s="2">
        <v>-0.59691933973605749</v>
      </c>
      <c r="AH501" s="31"/>
      <c r="AI501" s="31">
        <v>1974.5833333349799</v>
      </c>
      <c r="AJ501" s="2">
        <v>0.87114271373724739</v>
      </c>
      <c r="AK501" s="2">
        <v>-4.4052846898962821E-2</v>
      </c>
      <c r="AL501" s="2">
        <v>1.0264181224398934</v>
      </c>
      <c r="AM501" s="31"/>
      <c r="AN501" s="2">
        <f t="shared" si="71"/>
        <v>0.93630152116205834</v>
      </c>
      <c r="AO501" s="2">
        <f t="shared" si="64"/>
        <v>-0.30619215207642481</v>
      </c>
      <c r="AP501" s="2">
        <f t="shared" si="65"/>
        <v>0.46375040227652281</v>
      </c>
      <c r="AQ501" s="31"/>
      <c r="AR501" s="31">
        <v>1974.5833333349799</v>
      </c>
      <c r="AS501" s="2">
        <v>2.0096888426991302</v>
      </c>
      <c r="AT501" s="2">
        <v>0.98806436351113314</v>
      </c>
      <c r="AU501" s="2">
        <v>2.4595421673745634</v>
      </c>
      <c r="AV501" s="31"/>
      <c r="AW501" s="31">
        <v>1974.5833333349799</v>
      </c>
      <c r="AX501" s="2">
        <v>-0.82478887537032797</v>
      </c>
      <c r="AY501" s="2">
        <v>-0.53553372549108424</v>
      </c>
      <c r="AZ501" s="2">
        <v>-0.93197351778916582</v>
      </c>
      <c r="BA501" s="31"/>
      <c r="BB501" s="31">
        <v>1974.5833333349799</v>
      </c>
      <c r="BC501" s="2">
        <v>0.25760132817070758</v>
      </c>
      <c r="BD501" s="2">
        <v>0.77441334649330551</v>
      </c>
      <c r="BE501" s="2">
        <v>0.26790813243206923</v>
      </c>
      <c r="BG501" s="2">
        <f t="shared" si="72"/>
        <v>0.48083376516650328</v>
      </c>
      <c r="BH501" s="2">
        <f t="shared" si="66"/>
        <v>0.4089813281711181</v>
      </c>
      <c r="BI501" s="2">
        <f t="shared" si="67"/>
        <v>0.59849226067248895</v>
      </c>
    </row>
    <row r="502" spans="6:61" x14ac:dyDescent="0.3">
      <c r="F502" s="31">
        <v>1974.5000000016501</v>
      </c>
      <c r="G502" s="2">
        <v>1.5686903743192029</v>
      </c>
      <c r="H502" s="2">
        <v>6.1499999999999902E-2</v>
      </c>
      <c r="I502" s="2">
        <v>9.6474458020630829E-2</v>
      </c>
      <c r="K502" s="31">
        <v>1974.5000000016501</v>
      </c>
      <c r="L502" s="2"/>
      <c r="M502" s="2"/>
      <c r="N502" s="2"/>
      <c r="P502" s="31">
        <v>1974.5000000016501</v>
      </c>
      <c r="Q502" s="2"/>
      <c r="R502" s="2">
        <v>4.7900000000000303E-2</v>
      </c>
      <c r="S502" s="2">
        <v>3.8931126555950067E-2</v>
      </c>
      <c r="U502" s="2">
        <f t="shared" si="68"/>
        <v>1.5686903743192029</v>
      </c>
      <c r="V502" s="2">
        <f t="shared" si="69"/>
        <v>5.4700000000000103E-2</v>
      </c>
      <c r="W502" s="2">
        <f t="shared" si="70"/>
        <v>6.7702792288290445E-2</v>
      </c>
      <c r="Y502" s="31">
        <v>1974.5000000016501</v>
      </c>
      <c r="Z502" s="2">
        <v>4.8414767163396153</v>
      </c>
      <c r="AA502" s="2">
        <v>-0.78876452892998072</v>
      </c>
      <c r="AB502" s="2">
        <v>0.49010006396771438</v>
      </c>
      <c r="AD502" s="31">
        <v>1974.5000000016501</v>
      </c>
      <c r="AE502" s="2"/>
      <c r="AF502" s="2"/>
      <c r="AG502" s="2"/>
      <c r="AH502" s="31"/>
      <c r="AI502" s="31">
        <v>1974.5000000016501</v>
      </c>
      <c r="AJ502" s="2">
        <v>0.94682031816263901</v>
      </c>
      <c r="AK502" s="2">
        <v>-1.186702766808877</v>
      </c>
      <c r="AL502" s="2">
        <v>-0.48238076768485594</v>
      </c>
      <c r="AM502" s="31"/>
      <c r="AN502" s="2">
        <f t="shared" si="71"/>
        <v>2.8941485172511272</v>
      </c>
      <c r="AO502" s="2">
        <f t="shared" si="64"/>
        <v>-0.98773364786942885</v>
      </c>
      <c r="AP502" s="2">
        <f t="shared" si="65"/>
        <v>3.8596481414292227E-3</v>
      </c>
      <c r="AQ502" s="31"/>
      <c r="AR502" s="31">
        <v>1974.5000000016501</v>
      </c>
      <c r="AS502" s="2">
        <v>1.7596763303453591</v>
      </c>
      <c r="AT502" s="2">
        <v>-2.313009814913013E-2</v>
      </c>
      <c r="AU502" s="2">
        <v>1.6683826681246146</v>
      </c>
      <c r="AV502" s="31"/>
      <c r="AW502" s="31">
        <v>1974.5000000016501</v>
      </c>
      <c r="AX502" s="2"/>
      <c r="AY502" s="2"/>
      <c r="AZ502" s="2"/>
      <c r="BA502" s="31"/>
      <c r="BB502" s="31">
        <v>1974.5000000016501</v>
      </c>
      <c r="BC502" s="2">
        <v>3.7247754311287538E-2</v>
      </c>
      <c r="BD502" s="2">
        <v>-0.38248368897839508</v>
      </c>
      <c r="BE502" s="2">
        <v>-0.19714699818167644</v>
      </c>
      <c r="BG502" s="2">
        <f t="shared" si="72"/>
        <v>0.89846204232832327</v>
      </c>
      <c r="BH502" s="2">
        <f t="shared" si="66"/>
        <v>-0.20280689356376261</v>
      </c>
      <c r="BI502" s="2">
        <f t="shared" si="67"/>
        <v>0.73561783497146904</v>
      </c>
    </row>
    <row r="503" spans="6:61" x14ac:dyDescent="0.3">
      <c r="F503" s="31">
        <v>1974.41666666832</v>
      </c>
      <c r="G503" s="2">
        <v>1.1920448470568865</v>
      </c>
      <c r="H503" s="2">
        <v>0.18449999999999961</v>
      </c>
      <c r="I503" s="2">
        <v>0.24078880560037336</v>
      </c>
      <c r="K503" s="31">
        <v>1974.41666666832</v>
      </c>
      <c r="L503" s="2">
        <v>0.75159188385854547</v>
      </c>
      <c r="M503" s="2">
        <v>0.1230299999999999</v>
      </c>
      <c r="N503" s="2">
        <v>7.1233794981539589E-2</v>
      </c>
      <c r="P503" s="31">
        <v>1974.41666666832</v>
      </c>
      <c r="Q503" s="2">
        <v>0.79729105872312334</v>
      </c>
      <c r="R503" s="2">
        <v>9.5850000000000463E-2</v>
      </c>
      <c r="S503" s="2">
        <v>5.7850378342930275E-2</v>
      </c>
      <c r="U503" s="2">
        <f t="shared" si="68"/>
        <v>0.91364259654618518</v>
      </c>
      <c r="V503" s="2">
        <f t="shared" si="69"/>
        <v>0.13446</v>
      </c>
      <c r="W503" s="2">
        <f t="shared" si="70"/>
        <v>0.12329099297494774</v>
      </c>
      <c r="Y503" s="31">
        <v>1974.41666666832</v>
      </c>
      <c r="Z503" s="2">
        <v>2.6576572515654679</v>
      </c>
      <c r="AA503" s="2">
        <v>1.6130881144920477</v>
      </c>
      <c r="AB503" s="2">
        <v>3.8113849577508043</v>
      </c>
      <c r="AD503" s="31">
        <v>1974.41666666832</v>
      </c>
      <c r="AE503" s="2">
        <v>-0.34318238255875883</v>
      </c>
      <c r="AF503" s="2">
        <v>0.82033858713866403</v>
      </c>
      <c r="AG503" s="2">
        <v>0.42389732280335141</v>
      </c>
      <c r="AH503" s="31"/>
      <c r="AI503" s="31">
        <v>1974.41666666832</v>
      </c>
      <c r="AJ503" s="2">
        <v>0.90859064521609223</v>
      </c>
      <c r="AK503" s="2">
        <v>-4.4052846898962821E-2</v>
      </c>
      <c r="AL503" s="2">
        <v>1.0466327607568007</v>
      </c>
      <c r="AM503" s="31"/>
      <c r="AN503" s="2">
        <f t="shared" si="71"/>
        <v>1.0743551714076005</v>
      </c>
      <c r="AO503" s="2">
        <f t="shared" si="64"/>
        <v>0.79645795157724963</v>
      </c>
      <c r="AP503" s="2">
        <f t="shared" si="65"/>
        <v>1.760638347103652</v>
      </c>
      <c r="AQ503" s="31"/>
      <c r="AR503" s="31">
        <v>1974.41666666832</v>
      </c>
      <c r="AS503" s="2">
        <v>2.0013397600504281</v>
      </c>
      <c r="AT503" s="2">
        <v>0.30752807372934488</v>
      </c>
      <c r="AU503" s="2">
        <v>1.9061652866390519</v>
      </c>
      <c r="AV503" s="31"/>
      <c r="AW503" s="31">
        <v>1974.41666666832</v>
      </c>
      <c r="AX503" s="2">
        <v>-0.76516105106865717</v>
      </c>
      <c r="AY503" s="2">
        <v>-0.38552664826294392</v>
      </c>
      <c r="AZ503" s="2">
        <v>-0.45794670107152635</v>
      </c>
      <c r="BA503" s="31"/>
      <c r="BB503" s="31">
        <v>1974.41666666832</v>
      </c>
      <c r="BC503" s="2">
        <v>0.20343741685621308</v>
      </c>
      <c r="BD503" s="2">
        <v>-1.4743235720587309</v>
      </c>
      <c r="BE503" s="2">
        <v>0.17426175406806904</v>
      </c>
      <c r="BG503" s="2">
        <f t="shared" si="72"/>
        <v>0.4798720419459947</v>
      </c>
      <c r="BH503" s="2">
        <f t="shared" si="66"/>
        <v>-0.51744071553077664</v>
      </c>
      <c r="BI503" s="2">
        <f t="shared" si="67"/>
        <v>0.54082677987853156</v>
      </c>
    </row>
    <row r="504" spans="6:61" x14ac:dyDescent="0.3">
      <c r="F504" s="31">
        <v>1974.3333333349899</v>
      </c>
      <c r="G504" s="2">
        <v>1.0396842421112846</v>
      </c>
      <c r="H504" s="2">
        <v>0.15374999999999966</v>
      </c>
      <c r="I504" s="2">
        <v>0.1677999480794824</v>
      </c>
      <c r="K504" s="31">
        <v>1974.3333333349899</v>
      </c>
      <c r="L504" s="2">
        <v>0.75361187035274591</v>
      </c>
      <c r="M504" s="2">
        <v>9.2264999999999903E-2</v>
      </c>
      <c r="N504" s="2">
        <v>4.6359779465055186E-2</v>
      </c>
      <c r="P504" s="31">
        <v>1974.3333333349899</v>
      </c>
      <c r="Q504" s="2">
        <v>0.8220559351966914</v>
      </c>
      <c r="R504" s="2">
        <v>4.7900000000000303E-2</v>
      </c>
      <c r="S504" s="2">
        <v>3.8970504528749006E-2</v>
      </c>
      <c r="U504" s="2">
        <f t="shared" si="68"/>
        <v>0.87178401588690735</v>
      </c>
      <c r="V504" s="2">
        <f t="shared" si="69"/>
        <v>9.7971666666666624E-2</v>
      </c>
      <c r="W504" s="2">
        <f t="shared" si="70"/>
        <v>8.4376744024428851E-2</v>
      </c>
      <c r="Y504" s="31">
        <v>1974.3333333349899</v>
      </c>
      <c r="Z504" s="2">
        <v>1.7742588552976695</v>
      </c>
      <c r="AA504" s="2">
        <v>1.0126249536365401</v>
      </c>
      <c r="AB504" s="2">
        <v>2.1316019426582038</v>
      </c>
      <c r="AD504" s="31">
        <v>1974.3333333349899</v>
      </c>
      <c r="AE504" s="2">
        <v>-0.33116193443418851</v>
      </c>
      <c r="AF504" s="2">
        <v>6.6874490811640125E-2</v>
      </c>
      <c r="AG504" s="2">
        <v>-0.52193240183440404</v>
      </c>
      <c r="AH504" s="31"/>
      <c r="AI504" s="31">
        <v>1974.3333333349899</v>
      </c>
      <c r="AJ504" s="2">
        <v>0.9521805933854931</v>
      </c>
      <c r="AK504" s="2">
        <v>-1.186702766808877</v>
      </c>
      <c r="AL504" s="2">
        <v>-0.47919832401265855</v>
      </c>
      <c r="AM504" s="31"/>
      <c r="AN504" s="2">
        <f t="shared" si="71"/>
        <v>0.79842583808299139</v>
      </c>
      <c r="AO504" s="2">
        <f t="shared" si="64"/>
        <v>-3.5734440786898913E-2</v>
      </c>
      <c r="AP504" s="2">
        <f t="shared" si="65"/>
        <v>0.37682373893704707</v>
      </c>
      <c r="AQ504" s="31"/>
      <c r="AR504" s="31">
        <v>1974.3333333349899</v>
      </c>
      <c r="AS504" s="2">
        <v>1.8600090148405362</v>
      </c>
      <c r="AT504" s="2">
        <v>-1.8664175683888572E-2</v>
      </c>
      <c r="AU504" s="2">
        <v>1.2545668360468325</v>
      </c>
      <c r="AV504" s="31"/>
      <c r="AW504" s="31">
        <v>1974.3333333349899</v>
      </c>
      <c r="AX504" s="2">
        <v>-0.46399485352927416</v>
      </c>
      <c r="AY504" s="2">
        <v>-0.6035549277918324</v>
      </c>
      <c r="AZ504" s="2">
        <v>-0.73714464398374624</v>
      </c>
      <c r="BA504" s="31"/>
      <c r="BB504" s="31">
        <v>1974.3333333349899</v>
      </c>
      <c r="BC504" s="2">
        <v>0.81572926493204478</v>
      </c>
      <c r="BD504" s="2">
        <v>-1.8540826972173752</v>
      </c>
      <c r="BE504" s="2">
        <v>-0.95916994437195546</v>
      </c>
      <c r="BG504" s="2">
        <f t="shared" si="72"/>
        <v>0.73724780874776885</v>
      </c>
      <c r="BH504" s="2">
        <f t="shared" si="66"/>
        <v>-0.82543393356436534</v>
      </c>
      <c r="BI504" s="2">
        <f t="shared" si="67"/>
        <v>-0.14724925076962303</v>
      </c>
    </row>
    <row r="505" spans="6:61" x14ac:dyDescent="0.3">
      <c r="F505" s="31">
        <v>1974.2500000016601</v>
      </c>
      <c r="G505" s="2">
        <v>0.9896597820555979</v>
      </c>
      <c r="H505" s="2">
        <v>0.15374999999999966</v>
      </c>
      <c r="I505" s="2">
        <v>0.16048126913864799</v>
      </c>
      <c r="K505" s="31">
        <v>1974.2500000016601</v>
      </c>
      <c r="L505" s="2">
        <v>0.7477037799643298</v>
      </c>
      <c r="M505" s="2">
        <v>9.2264999999999903E-2</v>
      </c>
      <c r="N505" s="2">
        <v>4.5996755740777731E-2</v>
      </c>
      <c r="P505" s="31">
        <v>1974.2500000016601</v>
      </c>
      <c r="Q505" s="2">
        <v>0.82036561028625354</v>
      </c>
      <c r="R505" s="2">
        <v>9.5850000000000463E-2</v>
      </c>
      <c r="S505" s="2">
        <v>5.6873618611352268E-2</v>
      </c>
      <c r="U505" s="2">
        <f t="shared" si="68"/>
        <v>0.85257639076872704</v>
      </c>
      <c r="V505" s="2">
        <f t="shared" si="69"/>
        <v>0.11395500000000001</v>
      </c>
      <c r="W505" s="2">
        <f t="shared" si="70"/>
        <v>8.7783881163592661E-2</v>
      </c>
      <c r="Y505" s="31">
        <v>1974.2500000016601</v>
      </c>
      <c r="Z505" s="2">
        <v>1.4842132243871453</v>
      </c>
      <c r="AA505" s="2">
        <v>1.0126249536365401</v>
      </c>
      <c r="AB505" s="2">
        <v>1.963168115971565</v>
      </c>
      <c r="AD505" s="31">
        <v>1974.2500000016601</v>
      </c>
      <c r="AE505" s="2">
        <v>-0.36631954278113898</v>
      </c>
      <c r="AF505" s="2">
        <v>6.6874490811640125E-2</v>
      </c>
      <c r="AG505" s="2">
        <v>-0.53573631013150902</v>
      </c>
      <c r="AH505" s="31"/>
      <c r="AI505" s="31">
        <v>1974.2500000016601</v>
      </c>
      <c r="AJ505" s="2">
        <v>0.8524364845327751</v>
      </c>
      <c r="AK505" s="2">
        <v>-4.4052846898962821E-2</v>
      </c>
      <c r="AL505" s="2">
        <v>0.96769312506530947</v>
      </c>
      <c r="AM505" s="31"/>
      <c r="AN505" s="2">
        <f t="shared" si="71"/>
        <v>0.65677672204626047</v>
      </c>
      <c r="AO505" s="2">
        <f t="shared" si="64"/>
        <v>0.34514886584973919</v>
      </c>
      <c r="AP505" s="2">
        <f t="shared" si="65"/>
        <v>0.79837497696845505</v>
      </c>
      <c r="AQ505" s="31"/>
      <c r="AR505" s="31">
        <v>1974.2500000016601</v>
      </c>
      <c r="AS505" s="2">
        <v>1.9917145666755147</v>
      </c>
      <c r="AT505" s="2">
        <v>-6.2988546229768488E-2</v>
      </c>
      <c r="AU505" s="2">
        <v>1.2468222697395692</v>
      </c>
      <c r="AV505" s="31"/>
      <c r="AW505" s="31">
        <v>1974.2500000016601</v>
      </c>
      <c r="AX505" s="2">
        <v>-0.31640404696452556</v>
      </c>
      <c r="AY505" s="2">
        <v>-0.8205967459488962</v>
      </c>
      <c r="AZ505" s="2">
        <v>-0.83118362146379754</v>
      </c>
      <c r="BA505" s="31"/>
      <c r="BB505" s="31">
        <v>1974.2500000016601</v>
      </c>
      <c r="BC505" s="2">
        <v>1.2646296367020169</v>
      </c>
      <c r="BD505" s="2">
        <v>-1.0548255298976554</v>
      </c>
      <c r="BE505" s="2">
        <v>1.1768584083112907</v>
      </c>
      <c r="BG505" s="2">
        <f t="shared" si="72"/>
        <v>0.9799800521376687</v>
      </c>
      <c r="BH505" s="2">
        <f t="shared" si="66"/>
        <v>-0.64613694069210681</v>
      </c>
      <c r="BI505" s="2">
        <f t="shared" si="67"/>
        <v>0.53083235219568747</v>
      </c>
    </row>
    <row r="506" spans="6:61" x14ac:dyDescent="0.3">
      <c r="F506" s="31">
        <v>1974.16666666833</v>
      </c>
      <c r="G506" s="2">
        <v>0.96367836625226477</v>
      </c>
      <c r="H506" s="2">
        <v>0.12299999999999976</v>
      </c>
      <c r="I506" s="2">
        <v>0.13530873779780439</v>
      </c>
      <c r="K506" s="31">
        <v>1974.16666666833</v>
      </c>
      <c r="L506" s="2">
        <v>0.66818322607814151</v>
      </c>
      <c r="M506" s="2">
        <v>9.2264999999999903E-2</v>
      </c>
      <c r="N506" s="2">
        <v>4.1104627301968455E-2</v>
      </c>
      <c r="P506" s="31">
        <v>1974.16666666833</v>
      </c>
      <c r="Q506" s="2"/>
      <c r="R506" s="2">
        <v>4.7900000000000303E-2</v>
      </c>
      <c r="S506" s="2">
        <v>3.9295512732711792E-2</v>
      </c>
      <c r="U506" s="2">
        <f t="shared" si="68"/>
        <v>0.81593079616520314</v>
      </c>
      <c r="V506" s="2">
        <f t="shared" si="69"/>
        <v>8.7721666666666656E-2</v>
      </c>
      <c r="W506" s="2">
        <f t="shared" si="70"/>
        <v>7.1902959277494877E-2</v>
      </c>
      <c r="Y506" s="31">
        <v>1974.16666666833</v>
      </c>
      <c r="Z506" s="2">
        <v>1.3335709959605389</v>
      </c>
      <c r="AA506" s="2">
        <v>0.4121617927810336</v>
      </c>
      <c r="AB506" s="2">
        <v>1.3838414621582407</v>
      </c>
      <c r="AD506" s="31">
        <v>1974.16666666833</v>
      </c>
      <c r="AE506" s="2">
        <v>-0.83952701004412467</v>
      </c>
      <c r="AF506" s="2">
        <v>6.6874490811640125E-2</v>
      </c>
      <c r="AG506" s="2">
        <v>-0.72175856661458648</v>
      </c>
      <c r="AH506" s="31"/>
      <c r="AI506" s="31">
        <v>1974.16666666833</v>
      </c>
      <c r="AJ506" s="2">
        <v>0.99642191154123705</v>
      </c>
      <c r="AK506" s="2">
        <v>-1.186702766808877</v>
      </c>
      <c r="AL506" s="2">
        <v>-0.45293185500485089</v>
      </c>
      <c r="AM506" s="31"/>
      <c r="AN506" s="2">
        <f t="shared" si="71"/>
        <v>0.49682196581921706</v>
      </c>
      <c r="AO506" s="2">
        <f t="shared" si="64"/>
        <v>-0.23588882773873443</v>
      </c>
      <c r="AP506" s="2">
        <f t="shared" si="65"/>
        <v>6.9717013512934425E-2</v>
      </c>
      <c r="AQ506" s="31"/>
      <c r="AR506" s="31">
        <v>1974.16666666833</v>
      </c>
      <c r="AS506" s="2">
        <v>1.8978237635609105</v>
      </c>
      <c r="AT506" s="2">
        <v>-0.46657286796563091</v>
      </c>
      <c r="AU506" s="2">
        <v>0.95668036022643055</v>
      </c>
      <c r="AV506" s="31"/>
      <c r="AW506" s="31">
        <v>1974.16666666833</v>
      </c>
      <c r="AX506" s="2">
        <v>-0.6433831089061508</v>
      </c>
      <c r="AY506" s="2">
        <v>-0.48231704140909132</v>
      </c>
      <c r="AZ506" s="2">
        <v>-0.73640697226892837</v>
      </c>
      <c r="BA506" s="31"/>
      <c r="BB506" s="31">
        <v>1974.16666666833</v>
      </c>
      <c r="BC506" s="2">
        <v>1.732830639139787</v>
      </c>
      <c r="BD506" s="2">
        <v>-1.6639966171457974</v>
      </c>
      <c r="BE506" s="2">
        <v>-2.1014855399319861E-2</v>
      </c>
      <c r="BG506" s="2">
        <f t="shared" si="72"/>
        <v>0.99575709793151557</v>
      </c>
      <c r="BH506" s="2">
        <f t="shared" si="66"/>
        <v>-0.87096217550683974</v>
      </c>
      <c r="BI506" s="2">
        <f t="shared" si="67"/>
        <v>6.6419510852727418E-2</v>
      </c>
    </row>
    <row r="507" spans="6:61" x14ac:dyDescent="0.3">
      <c r="F507" s="31">
        <v>1974.0833333349999</v>
      </c>
      <c r="G507" s="2">
        <v>0.95447059069031859</v>
      </c>
      <c r="H507" s="2">
        <v>6.1499999999999846E-2</v>
      </c>
      <c r="I507" s="2">
        <v>5.8699941327454472E-2</v>
      </c>
      <c r="K507" s="31">
        <v>1974.0833333349999</v>
      </c>
      <c r="L507" s="2">
        <v>0.6025676449645414</v>
      </c>
      <c r="M507" s="2">
        <v>6.1514999999999952E-2</v>
      </c>
      <c r="N507" s="2">
        <v>3.7067842671349979E-2</v>
      </c>
      <c r="P507" s="31">
        <v>1974.0833333349999</v>
      </c>
      <c r="Q507" s="2">
        <v>0.7847209752799913</v>
      </c>
      <c r="R507" s="2">
        <v>7.1900000000000297E-2</v>
      </c>
      <c r="S507" s="2">
        <v>5.5575337391281385E-2</v>
      </c>
      <c r="U507" s="2">
        <f t="shared" si="68"/>
        <v>0.78058640364495047</v>
      </c>
      <c r="V507" s="2">
        <f t="shared" si="69"/>
        <v>6.4971666666666705E-2</v>
      </c>
      <c r="W507" s="2">
        <f t="shared" si="70"/>
        <v>5.0447707130028607E-2</v>
      </c>
      <c r="Y507" s="31">
        <v>1974.0833333349999</v>
      </c>
      <c r="Z507" s="2">
        <v>1.2801836116854419</v>
      </c>
      <c r="AA507" s="2">
        <v>-0.78876452892998183</v>
      </c>
      <c r="AB507" s="2">
        <v>-0.37925169326958658</v>
      </c>
      <c r="AD507" s="31">
        <v>1974.0833333349999</v>
      </c>
      <c r="AE507" s="2">
        <v>-1.2299893676906131</v>
      </c>
      <c r="AF507" s="2">
        <v>-0.68622224125583742</v>
      </c>
      <c r="AG507" s="2">
        <v>-0.87525653693905925</v>
      </c>
      <c r="AH507" s="31"/>
      <c r="AI507" s="31">
        <v>1974.0833333349999</v>
      </c>
      <c r="AJ507" s="2">
        <v>0.75558758261956127</v>
      </c>
      <c r="AK507" s="2">
        <v>-0.61478205611361436</v>
      </c>
      <c r="AL507" s="2">
        <v>0.86276880926460675</v>
      </c>
      <c r="AM507" s="31"/>
      <c r="AN507" s="2">
        <f t="shared" si="71"/>
        <v>0.26859394220479671</v>
      </c>
      <c r="AO507" s="2">
        <f t="shared" si="64"/>
        <v>-0.69658960876647791</v>
      </c>
      <c r="AP507" s="2">
        <f t="shared" si="65"/>
        <v>-0.13057980698134636</v>
      </c>
      <c r="AQ507" s="31"/>
      <c r="AR507" s="31">
        <v>1974.0833333349999</v>
      </c>
      <c r="AS507" s="2">
        <v>2.5480553021922323</v>
      </c>
      <c r="AT507" s="2">
        <v>-0.93050162247170598</v>
      </c>
      <c r="AU507" s="2">
        <v>0.40998613245511706</v>
      </c>
      <c r="AV507" s="31"/>
      <c r="AW507" s="31">
        <v>1974.0833333349999</v>
      </c>
      <c r="AX507" s="2">
        <v>-0.98924365598847919</v>
      </c>
      <c r="AY507" s="2">
        <v>-0.87038484719517628</v>
      </c>
      <c r="AZ507" s="2">
        <v>-1.2105290052846889</v>
      </c>
      <c r="BA507" s="31"/>
      <c r="BB507" s="31">
        <v>1974.0833333349999</v>
      </c>
      <c r="BC507" s="2">
        <v>1.5896057584436498</v>
      </c>
      <c r="BD507" s="2">
        <v>-0.95760573293009554</v>
      </c>
      <c r="BE507" s="2">
        <v>1.4819863917609182</v>
      </c>
      <c r="BG507" s="2">
        <f t="shared" si="72"/>
        <v>1.049472468215801</v>
      </c>
      <c r="BH507" s="2">
        <f t="shared" si="66"/>
        <v>-0.91949740086565923</v>
      </c>
      <c r="BI507" s="2">
        <f t="shared" si="67"/>
        <v>0.22714783964378213</v>
      </c>
    </row>
    <row r="508" spans="6:61" x14ac:dyDescent="0.3">
      <c r="F508" s="31">
        <v>1974.0000000016701</v>
      </c>
      <c r="G508" s="2">
        <v>0.98736075438972293</v>
      </c>
      <c r="H508" s="2">
        <v>6.1499999999999846E-2</v>
      </c>
      <c r="I508" s="2">
        <v>6.072268639496782E-2</v>
      </c>
      <c r="K508" s="31">
        <v>1974.0000000016701</v>
      </c>
      <c r="L508" s="2">
        <v>0.56858637751592656</v>
      </c>
      <c r="M508" s="2">
        <v>6.1514999999999952E-2</v>
      </c>
      <c r="N508" s="2">
        <v>3.4976747450131129E-2</v>
      </c>
      <c r="P508" s="31">
        <v>1974.0000000016701</v>
      </c>
      <c r="Q508" s="2">
        <v>0.83106107144607599</v>
      </c>
      <c r="R508" s="2">
        <v>7.1900000000000297E-2</v>
      </c>
      <c r="S508" s="2">
        <v>5.5818060006939181E-2</v>
      </c>
      <c r="U508" s="2">
        <f t="shared" si="68"/>
        <v>0.79566940111724183</v>
      </c>
      <c r="V508" s="2">
        <f t="shared" si="69"/>
        <v>6.4971666666666705E-2</v>
      </c>
      <c r="W508" s="2">
        <f t="shared" si="70"/>
        <v>5.0505831284012703E-2</v>
      </c>
      <c r="Y508" s="31">
        <v>1974.0000000016701</v>
      </c>
      <c r="Z508" s="2">
        <v>1.4708832868108646</v>
      </c>
      <c r="AA508" s="2">
        <v>-0.78876452892998183</v>
      </c>
      <c r="AB508" s="2">
        <v>-0.33269975474528862</v>
      </c>
      <c r="AD508" s="31">
        <v>1974.0000000016701</v>
      </c>
      <c r="AE508" s="2">
        <v>-1.4322036219670551</v>
      </c>
      <c r="AF508" s="2">
        <v>-0.68622224125583742</v>
      </c>
      <c r="AG508" s="2">
        <v>-0.95477003631619106</v>
      </c>
      <c r="AH508" s="31"/>
      <c r="AI508" s="31">
        <v>1974.0000000016701</v>
      </c>
      <c r="AJ508" s="2">
        <v>0.77242702610856218</v>
      </c>
      <c r="AK508" s="2">
        <v>-0.61478205611361436</v>
      </c>
      <c r="AL508" s="2">
        <v>0.88238513274178121</v>
      </c>
      <c r="AM508" s="31"/>
      <c r="AN508" s="2">
        <f t="shared" si="71"/>
        <v>0.27036889698412386</v>
      </c>
      <c r="AO508" s="2">
        <f t="shared" si="64"/>
        <v>-0.69658960876647791</v>
      </c>
      <c r="AP508" s="2">
        <f t="shared" si="65"/>
        <v>-0.13502821943989948</v>
      </c>
      <c r="AQ508" s="31"/>
      <c r="AR508" s="31">
        <v>1974.0000000016701</v>
      </c>
      <c r="AS508" s="2">
        <v>1.4583839839182569</v>
      </c>
      <c r="AT508" s="2">
        <v>-0.29853293598826575</v>
      </c>
      <c r="AU508" s="2">
        <v>1.0517144253880084</v>
      </c>
      <c r="AV508" s="31"/>
      <c r="AW508" s="31">
        <v>1974.0000000016701</v>
      </c>
      <c r="AX508" s="2">
        <v>-0.84958704465373625</v>
      </c>
      <c r="AY508" s="2">
        <v>-0.21981065223360952</v>
      </c>
      <c r="AZ508" s="2">
        <v>-0.8829839300899659</v>
      </c>
      <c r="BA508" s="31"/>
      <c r="BB508" s="31">
        <v>1974.0000000016701</v>
      </c>
      <c r="BC508" s="2">
        <v>1.1208378182521335</v>
      </c>
      <c r="BD508" s="2">
        <v>-9.3919208556921333E-2</v>
      </c>
      <c r="BE508" s="2">
        <v>1.4636570719720858</v>
      </c>
      <c r="BG508" s="2">
        <f t="shared" si="72"/>
        <v>0.57654491917221806</v>
      </c>
      <c r="BH508" s="2">
        <f t="shared" si="66"/>
        <v>-0.20408759892626552</v>
      </c>
      <c r="BI508" s="2">
        <f t="shared" si="67"/>
        <v>0.54412918909004271</v>
      </c>
    </row>
    <row r="509" spans="6:61" x14ac:dyDescent="0.3">
      <c r="F509" s="31">
        <v>1973.91666666834</v>
      </c>
      <c r="G509" s="2">
        <v>1.0466950587368755</v>
      </c>
      <c r="H509" s="2">
        <v>6.1499999999999846E-2</v>
      </c>
      <c r="I509" s="2">
        <v>6.437174611231769E-2</v>
      </c>
      <c r="K509" s="31">
        <v>1973.91666666834</v>
      </c>
      <c r="L509" s="2">
        <v>0.54177842079015237</v>
      </c>
      <c r="M509" s="2">
        <v>6.1514999999999952E-2</v>
      </c>
      <c r="N509" s="2">
        <v>3.3326968560502754E-2</v>
      </c>
      <c r="P509" s="31">
        <v>1973.91666666834</v>
      </c>
      <c r="Q509" s="2">
        <v>0.91959315248583817</v>
      </c>
      <c r="R509" s="2">
        <v>7.1900000000000297E-2</v>
      </c>
      <c r="S509" s="2">
        <v>5.8248973239383696E-2</v>
      </c>
      <c r="U509" s="2">
        <f t="shared" si="68"/>
        <v>0.83602221067095528</v>
      </c>
      <c r="V509" s="2">
        <f t="shared" si="69"/>
        <v>6.4971666666666705E-2</v>
      </c>
      <c r="W509" s="2">
        <f t="shared" si="70"/>
        <v>5.1982562637401385E-2</v>
      </c>
      <c r="Y509" s="31">
        <v>1973.91666666834</v>
      </c>
      <c r="Z509" s="2">
        <v>1.8149081042671511</v>
      </c>
      <c r="AA509" s="2">
        <v>-0.78876452892998183</v>
      </c>
      <c r="AB509" s="2">
        <v>-0.24871942209645262</v>
      </c>
      <c r="AD509" s="31">
        <v>1973.91666666834</v>
      </c>
      <c r="AE509" s="2">
        <v>-1.591731249539361</v>
      </c>
      <c r="AF509" s="2">
        <v>-0.68622224125583742</v>
      </c>
      <c r="AG509" s="2">
        <v>-1.0175025658450998</v>
      </c>
      <c r="AH509" s="31"/>
      <c r="AI509" s="31">
        <v>1973.91666666834</v>
      </c>
      <c r="AJ509" s="2">
        <v>0.96492400479962637</v>
      </c>
      <c r="AK509" s="2">
        <v>-0.61478205611361436</v>
      </c>
      <c r="AL509" s="2">
        <v>1.0788463491115208</v>
      </c>
      <c r="AM509" s="31"/>
      <c r="AN509" s="2">
        <f t="shared" si="71"/>
        <v>0.39603361984247215</v>
      </c>
      <c r="AO509" s="2">
        <f t="shared" si="64"/>
        <v>-0.69658960876647791</v>
      </c>
      <c r="AP509" s="2">
        <f t="shared" si="65"/>
        <v>-6.2458546276677213E-2</v>
      </c>
      <c r="AQ509" s="31"/>
      <c r="AR509" s="31">
        <v>1973.91666666834</v>
      </c>
      <c r="AS509" s="2">
        <v>2.266751266375727</v>
      </c>
      <c r="AT509" s="2">
        <v>-0.68444756444045252</v>
      </c>
      <c r="AU509" s="2">
        <v>0.60062401794110831</v>
      </c>
      <c r="AV509" s="31"/>
      <c r="AW509" s="31">
        <v>1973.91666666834</v>
      </c>
      <c r="AX509" s="2">
        <v>-1.2454112088436247</v>
      </c>
      <c r="AY509" s="2">
        <v>-0.51751295497595129</v>
      </c>
      <c r="AZ509" s="2">
        <v>-1.3012836942812125</v>
      </c>
      <c r="BA509" s="31"/>
      <c r="BB509" s="31">
        <v>1973.91666666834</v>
      </c>
      <c r="BC509" s="2">
        <v>1.6814289030507448</v>
      </c>
      <c r="BD509" s="2">
        <v>-0.44318112469553572</v>
      </c>
      <c r="BE509" s="2">
        <v>1.6444652833620259</v>
      </c>
      <c r="BG509" s="2">
        <f t="shared" si="72"/>
        <v>0.90092298686094896</v>
      </c>
      <c r="BH509" s="2">
        <f t="shared" si="66"/>
        <v>-0.54838054803731318</v>
      </c>
      <c r="BI509" s="2">
        <f t="shared" si="67"/>
        <v>0.31460186900730724</v>
      </c>
    </row>
    <row r="510" spans="6:61" x14ac:dyDescent="0.3">
      <c r="F510" s="31">
        <v>1973.8333333350099</v>
      </c>
      <c r="G510" s="2">
        <v>1.3522247713126654</v>
      </c>
      <c r="H510" s="2">
        <v>6.1499999999999902E-2</v>
      </c>
      <c r="I510" s="2">
        <v>8.3161823435728782E-2</v>
      </c>
      <c r="K510" s="31">
        <v>1973.8333333350099</v>
      </c>
      <c r="L510" s="2">
        <v>0.54076070909144325</v>
      </c>
      <c r="M510" s="2">
        <v>6.1514999999999952E-2</v>
      </c>
      <c r="N510" s="2">
        <v>3.3264049824796901E-2</v>
      </c>
      <c r="P510" s="31">
        <v>1973.8333333350099</v>
      </c>
      <c r="Q510" s="2">
        <v>0.9887358601620827</v>
      </c>
      <c r="R510" s="2">
        <v>9.5900000000000304E-2</v>
      </c>
      <c r="S510" s="2">
        <v>8.2615317894585233E-2</v>
      </c>
      <c r="U510" s="2">
        <f t="shared" si="68"/>
        <v>0.96057378018873052</v>
      </c>
      <c r="V510" s="2">
        <f t="shared" si="69"/>
        <v>7.2971666666666712E-2</v>
      </c>
      <c r="W510" s="2">
        <f t="shared" si="70"/>
        <v>6.6347063718370305E-2</v>
      </c>
      <c r="Y510" s="31">
        <v>1973.8333333350099</v>
      </c>
      <c r="Z510" s="2">
        <v>3.5863926569701259</v>
      </c>
      <c r="AA510" s="2">
        <v>-0.78876452892998072</v>
      </c>
      <c r="AB510" s="2">
        <v>0.18371990922351644</v>
      </c>
      <c r="AD510" s="31">
        <v>1973.8333333350099</v>
      </c>
      <c r="AE510" s="2">
        <v>-1.5977874042291196</v>
      </c>
      <c r="AF510" s="2">
        <v>-0.68622224125583742</v>
      </c>
      <c r="AG510" s="2">
        <v>-1.0198950388427861</v>
      </c>
      <c r="AH510" s="31"/>
      <c r="AI510" s="31">
        <v>1973.8333333350099</v>
      </c>
      <c r="AJ510" s="2">
        <v>1.2644593438888674</v>
      </c>
      <c r="AK510" s="2">
        <v>-4.286134541835146E-2</v>
      </c>
      <c r="AL510" s="2">
        <v>3.048082291206982</v>
      </c>
      <c r="AM510" s="31"/>
      <c r="AN510" s="2">
        <f t="shared" si="71"/>
        <v>1.0843548655432913</v>
      </c>
      <c r="AO510" s="2">
        <f t="shared" si="64"/>
        <v>-0.50594937186805655</v>
      </c>
      <c r="AP510" s="2">
        <f t="shared" si="65"/>
        <v>0.73730238719590424</v>
      </c>
      <c r="AQ510" s="31"/>
      <c r="AR510" s="31">
        <v>1973.8333333350099</v>
      </c>
      <c r="AS510" s="2">
        <v>2.5809816967141894</v>
      </c>
      <c r="AT510" s="2">
        <v>-0.28549293171717766</v>
      </c>
      <c r="AU510" s="2">
        <v>1.9194329676881212</v>
      </c>
      <c r="AV510" s="31"/>
      <c r="AW510" s="31">
        <v>1973.8333333350099</v>
      </c>
      <c r="AX510" s="2">
        <v>-0.90260326176734706</v>
      </c>
      <c r="AY510" s="2">
        <v>-0.19138401234735175</v>
      </c>
      <c r="AZ510" s="2">
        <v>-0.90836226190373004</v>
      </c>
      <c r="BA510" s="31"/>
      <c r="BB510" s="31">
        <v>1973.8333333350099</v>
      </c>
      <c r="BC510" s="2">
        <v>0.91940644068860056</v>
      </c>
      <c r="BD510" s="2">
        <v>0.77845189601601561</v>
      </c>
      <c r="BE510" s="2">
        <v>2.3107984656819966</v>
      </c>
      <c r="BG510" s="2">
        <f t="shared" si="72"/>
        <v>0.86592829187848108</v>
      </c>
      <c r="BH510" s="2">
        <f t="shared" si="66"/>
        <v>0.10052498398382871</v>
      </c>
      <c r="BI510" s="2">
        <f t="shared" si="67"/>
        <v>1.1072897238221293</v>
      </c>
    </row>
    <row r="511" spans="6:61" x14ac:dyDescent="0.3">
      <c r="F511" s="31">
        <v>1973.7500000016801</v>
      </c>
      <c r="G511" s="2">
        <v>1.1701082529106062</v>
      </c>
      <c r="H511" s="2">
        <v>6.1499999999999846E-2</v>
      </c>
      <c r="I511" s="2">
        <v>7.1961657554002106E-2</v>
      </c>
      <c r="K511" s="31">
        <v>1973.7500000016801</v>
      </c>
      <c r="L511" s="2">
        <v>0.54088681937034799</v>
      </c>
      <c r="M511" s="2">
        <v>6.1514999999999952E-2</v>
      </c>
      <c r="N511" s="2">
        <v>3.3271501482663571E-2</v>
      </c>
      <c r="P511" s="31">
        <v>1973.7500000016801</v>
      </c>
      <c r="Q511" s="2">
        <v>0.99155780005222094</v>
      </c>
      <c r="R511" s="2">
        <v>7.1900000000000297E-2</v>
      </c>
      <c r="S511" s="2">
        <v>6.4829994556444573E-2</v>
      </c>
      <c r="U511" s="2">
        <f t="shared" si="68"/>
        <v>0.90085095744439181</v>
      </c>
      <c r="V511" s="2">
        <f t="shared" si="69"/>
        <v>6.4971666666666705E-2</v>
      </c>
      <c r="W511" s="2">
        <f t="shared" si="70"/>
        <v>5.6687717864370081E-2</v>
      </c>
      <c r="Y511" s="31">
        <v>1973.7500000016801</v>
      </c>
      <c r="Z511" s="2">
        <v>2.5304672072930621</v>
      </c>
      <c r="AA511" s="2">
        <v>-0.78876452892998183</v>
      </c>
      <c r="AB511" s="2">
        <v>-7.4043385796674632E-2</v>
      </c>
      <c r="AD511" s="31">
        <v>1973.7500000016801</v>
      </c>
      <c r="AE511" s="2">
        <v>-1.597036952644467</v>
      </c>
      <c r="AF511" s="2">
        <v>-0.68622224125583742</v>
      </c>
      <c r="AG511" s="2">
        <v>-1.0196116909650197</v>
      </c>
      <c r="AH511" s="31"/>
      <c r="AI511" s="31">
        <v>1973.7500000016801</v>
      </c>
      <c r="AJ511" s="2">
        <v>1.4742682114608108</v>
      </c>
      <c r="AK511" s="2">
        <v>-0.61478205611361436</v>
      </c>
      <c r="AL511" s="2">
        <v>1.6107104385610713</v>
      </c>
      <c r="AM511" s="31"/>
      <c r="AN511" s="2">
        <f t="shared" si="71"/>
        <v>0.80256615536980203</v>
      </c>
      <c r="AO511" s="2">
        <f t="shared" si="64"/>
        <v>-0.69658960876647791</v>
      </c>
      <c r="AP511" s="2">
        <f t="shared" si="65"/>
        <v>0.17235178726645897</v>
      </c>
      <c r="AQ511" s="31"/>
      <c r="AR511" s="31">
        <v>1973.7500000016801</v>
      </c>
      <c r="AS511" s="2">
        <v>2.9916835310245684</v>
      </c>
      <c r="AT511" s="2">
        <v>-0.6766476141944503</v>
      </c>
      <c r="AU511" s="2">
        <v>0.78857157009991308</v>
      </c>
      <c r="AV511" s="31"/>
      <c r="AW511" s="31">
        <v>1973.7500000016801</v>
      </c>
      <c r="AX511" s="2">
        <v>-1.7475289474566225</v>
      </c>
      <c r="AY511" s="2">
        <v>-0.6564669997761764</v>
      </c>
      <c r="AZ511" s="2">
        <v>-1.6408723472448901</v>
      </c>
      <c r="BA511" s="31"/>
      <c r="BB511" s="31">
        <v>1973.7500000016801</v>
      </c>
      <c r="BC511" s="2">
        <v>1.4185459705273502</v>
      </c>
      <c r="BD511" s="2">
        <v>-0.59144451954684485</v>
      </c>
      <c r="BE511" s="2">
        <v>1.2988853144766996</v>
      </c>
      <c r="BG511" s="2">
        <f t="shared" si="72"/>
        <v>0.88756685136509861</v>
      </c>
      <c r="BH511" s="2">
        <f t="shared" si="66"/>
        <v>-0.64151971117249051</v>
      </c>
      <c r="BI511" s="2">
        <f t="shared" si="67"/>
        <v>0.14886151244390755</v>
      </c>
    </row>
    <row r="512" spans="6:61" x14ac:dyDescent="0.3">
      <c r="F512" s="31">
        <v>1973.66666666835</v>
      </c>
      <c r="G512" s="2">
        <v>1.2467364334965967</v>
      </c>
      <c r="H512" s="2">
        <v>6.1499999999999846E-2</v>
      </c>
      <c r="I512" s="2">
        <v>7.6674290660040528E-2</v>
      </c>
      <c r="K512" s="31">
        <v>1973.66666666835</v>
      </c>
      <c r="L512" s="2">
        <v>0.55895368134785262</v>
      </c>
      <c r="M512" s="2">
        <v>6.1514999999999952E-2</v>
      </c>
      <c r="N512" s="2">
        <v>3.4382321136471397E-2</v>
      </c>
      <c r="P512" s="31">
        <v>1973.66666666835</v>
      </c>
      <c r="Q512" s="2">
        <v>0.93628505598759726</v>
      </c>
      <c r="R512" s="2">
        <v>7.1900000000000297E-2</v>
      </c>
      <c r="S512" s="2">
        <v>6.8573029683572817E-2</v>
      </c>
      <c r="U512" s="2">
        <f t="shared" si="68"/>
        <v>0.91399172361068215</v>
      </c>
      <c r="V512" s="2">
        <f t="shared" si="69"/>
        <v>6.4971666666666705E-2</v>
      </c>
      <c r="W512" s="2">
        <f t="shared" si="70"/>
        <v>5.987654716002825E-2</v>
      </c>
      <c r="Y512" s="31">
        <v>1973.66666666835</v>
      </c>
      <c r="Z512" s="2">
        <v>2.9747632368523576</v>
      </c>
      <c r="AA512" s="2">
        <v>-0.78876452892998183</v>
      </c>
      <c r="AB512" s="2">
        <v>3.4414279068413052E-2</v>
      </c>
      <c r="AD512" s="31">
        <v>1973.66666666835</v>
      </c>
      <c r="AE512" s="2">
        <v>-1.4895254530389566</v>
      </c>
      <c r="AF512" s="2">
        <v>-0.68622224125583742</v>
      </c>
      <c r="AG512" s="2">
        <v>-0.97737298420748042</v>
      </c>
      <c r="AH512" s="31"/>
      <c r="AI512" s="31">
        <v>1973.66666666835</v>
      </c>
      <c r="AJ512" s="2">
        <v>1.8125672733357727</v>
      </c>
      <c r="AK512" s="2">
        <v>-0.61478205611361436</v>
      </c>
      <c r="AL512" s="2">
        <v>1.9132145444977533</v>
      </c>
      <c r="AM512" s="31"/>
      <c r="AN512" s="2">
        <f t="shared" si="71"/>
        <v>1.099268352383058</v>
      </c>
      <c r="AO512" s="2">
        <f t="shared" si="64"/>
        <v>-0.69658960876647791</v>
      </c>
      <c r="AP512" s="2">
        <f t="shared" si="65"/>
        <v>0.32341861311956199</v>
      </c>
      <c r="AQ512" s="31"/>
      <c r="AR512" s="31">
        <v>1973.66666666835</v>
      </c>
      <c r="AS512" s="2">
        <v>1.4783219325117434</v>
      </c>
      <c r="AT512" s="2">
        <v>-0.32631334910519932</v>
      </c>
      <c r="AU512" s="2">
        <v>0.832645782139524</v>
      </c>
      <c r="AV512" s="31"/>
      <c r="AW512" s="31">
        <v>1973.66666666835</v>
      </c>
      <c r="AX512" s="2">
        <v>-1.0054533034846409</v>
      </c>
      <c r="AY512" s="2">
        <v>-0.23837245449551037</v>
      </c>
      <c r="AZ512" s="2">
        <v>-1.0222940134319269</v>
      </c>
      <c r="BA512" s="31"/>
      <c r="BB512" s="31">
        <v>1973.66666666835</v>
      </c>
      <c r="BC512" s="2">
        <v>1.3364113086858427</v>
      </c>
      <c r="BD512" s="2">
        <v>7.7097786990586777E-4</v>
      </c>
      <c r="BE512" s="2">
        <v>1.9806522521391523</v>
      </c>
      <c r="BG512" s="2">
        <f t="shared" si="72"/>
        <v>0.60309331257098175</v>
      </c>
      <c r="BH512" s="2">
        <f t="shared" si="66"/>
        <v>-0.1879716085769346</v>
      </c>
      <c r="BI512" s="2">
        <f t="shared" si="67"/>
        <v>0.59700134028224972</v>
      </c>
    </row>
    <row r="513" spans="6:61" x14ac:dyDescent="0.3">
      <c r="F513" s="31">
        <v>1973.5833333350199</v>
      </c>
      <c r="G513" s="2">
        <v>1.2972099427601116</v>
      </c>
      <c r="H513" s="2">
        <v>6.1499999999999846E-2</v>
      </c>
      <c r="I513" s="2">
        <v>7.977841147974668E-2</v>
      </c>
      <c r="K513" s="31">
        <v>1973.5833333350199</v>
      </c>
      <c r="L513" s="2">
        <v>0.58174946105238623</v>
      </c>
      <c r="M513" s="2">
        <v>6.1514999999999952E-2</v>
      </c>
      <c r="N513" s="2">
        <v>3.5783983351738484E-2</v>
      </c>
      <c r="P513" s="31">
        <v>1973.5833333350199</v>
      </c>
      <c r="Q513" s="2">
        <v>0.79052723354407195</v>
      </c>
      <c r="R513" s="2">
        <v>7.1900000000000297E-2</v>
      </c>
      <c r="S513" s="2">
        <v>7.1661128308406014E-2</v>
      </c>
      <c r="U513" s="2">
        <f t="shared" si="68"/>
        <v>0.88982887911885655</v>
      </c>
      <c r="V513" s="2">
        <f t="shared" si="69"/>
        <v>6.4971666666666705E-2</v>
      </c>
      <c r="W513" s="2">
        <f t="shared" si="70"/>
        <v>6.2407841046630393E-2</v>
      </c>
      <c r="Y513" s="31">
        <v>1973.5833333350199</v>
      </c>
      <c r="Z513" s="2">
        <v>3.2674124892842213</v>
      </c>
      <c r="AA513" s="2">
        <v>-0.78876452892998183</v>
      </c>
      <c r="AB513" s="2">
        <v>0.10585325765833392</v>
      </c>
      <c r="AD513" s="31">
        <v>1973.5833333350199</v>
      </c>
      <c r="AE513" s="2">
        <v>-1.3538733146785256</v>
      </c>
      <c r="AF513" s="2">
        <v>-0.68622224125583742</v>
      </c>
      <c r="AG513" s="2">
        <v>-0.92407504418558772</v>
      </c>
      <c r="AH513" s="31"/>
      <c r="AI513" s="31">
        <v>1973.5833333350199</v>
      </c>
      <c r="AJ513" s="2">
        <v>2.0942506725410026</v>
      </c>
      <c r="AK513" s="2">
        <v>-0.61478205611361436</v>
      </c>
      <c r="AL513" s="2">
        <v>2.1627880808984599</v>
      </c>
      <c r="AM513" s="31"/>
      <c r="AN513" s="2">
        <f t="shared" si="71"/>
        <v>1.3359299490488994</v>
      </c>
      <c r="AO513" s="2">
        <f t="shared" si="64"/>
        <v>-0.69658960876647791</v>
      </c>
      <c r="AP513" s="2">
        <f t="shared" si="65"/>
        <v>0.44818876479040198</v>
      </c>
      <c r="AQ513" s="31"/>
      <c r="AR513" s="31">
        <v>1973.5833333350199</v>
      </c>
      <c r="AS513" s="2">
        <v>2.8314148377237185</v>
      </c>
      <c r="AT513" s="2">
        <v>-0.65870957567408583</v>
      </c>
      <c r="AU513" s="2">
        <v>0.82323168350161946</v>
      </c>
      <c r="AV513" s="31"/>
      <c r="AW513" s="31">
        <v>1973.5833333350199</v>
      </c>
      <c r="AX513" s="2">
        <v>-1.7548698866854839</v>
      </c>
      <c r="AY513" s="2">
        <v>-0.53553372549108424</v>
      </c>
      <c r="AZ513" s="2">
        <v>-1.7640735079949512</v>
      </c>
      <c r="BA513" s="31"/>
      <c r="BB513" s="31">
        <v>1973.5833333350199</v>
      </c>
      <c r="BC513" s="2">
        <v>1.3762721349013893</v>
      </c>
      <c r="BD513" s="2">
        <v>-0.51613739712758211</v>
      </c>
      <c r="BE513" s="2">
        <v>1.2785031263962245</v>
      </c>
      <c r="BG513" s="2">
        <f t="shared" si="72"/>
        <v>0.81760569531320793</v>
      </c>
      <c r="BH513" s="2">
        <f t="shared" si="66"/>
        <v>-0.57012689943091743</v>
      </c>
      <c r="BI513" s="2">
        <f t="shared" si="67"/>
        <v>0.11255376730096427</v>
      </c>
    </row>
    <row r="514" spans="6:61" x14ac:dyDescent="0.3">
      <c r="F514" s="31">
        <v>1973.5000000016901</v>
      </c>
      <c r="G514" s="2"/>
      <c r="H514" s="2"/>
      <c r="I514" s="2"/>
      <c r="K514" s="31">
        <v>1973.5000000016901</v>
      </c>
      <c r="L514" s="2">
        <v>0.64244480395913339</v>
      </c>
      <c r="M514" s="2">
        <v>6.1514999999999952E-2</v>
      </c>
      <c r="N514" s="2">
        <v>3.9517512283294177E-2</v>
      </c>
      <c r="P514" s="31">
        <v>1973.5000000016901</v>
      </c>
      <c r="Q514" s="2">
        <v>0.83275422947587563</v>
      </c>
      <c r="R514" s="2"/>
      <c r="S514" s="2"/>
      <c r="U514" s="2">
        <f t="shared" si="68"/>
        <v>0.73759951671750446</v>
      </c>
      <c r="V514" s="2">
        <f t="shared" si="69"/>
        <v>6.1514999999999952E-2</v>
      </c>
      <c r="W514" s="2">
        <f t="shared" si="70"/>
        <v>3.9517512283294177E-2</v>
      </c>
      <c r="Y514" s="31">
        <v>1973.5000000016901</v>
      </c>
      <c r="Z514" s="2"/>
      <c r="AA514" s="2"/>
      <c r="AB514" s="2"/>
      <c r="AD514" s="31">
        <v>1973.5000000016901</v>
      </c>
      <c r="AE514" s="2">
        <v>-0.99269009741035696</v>
      </c>
      <c r="AF514" s="2">
        <v>-0.68622224125583742</v>
      </c>
      <c r="AG514" s="2">
        <v>-0.78210831432967931</v>
      </c>
      <c r="AH514" s="31"/>
      <c r="AI514" s="31">
        <v>1973.5000000016901</v>
      </c>
      <c r="AJ514" s="2"/>
      <c r="AK514" s="2"/>
      <c r="AL514" s="2"/>
      <c r="AM514" s="31"/>
      <c r="AN514" s="2">
        <f t="shared" si="71"/>
        <v>-0.99269009741035696</v>
      </c>
      <c r="AO514" s="2">
        <f t="shared" si="64"/>
        <v>-0.68622224125583742</v>
      </c>
      <c r="AP514" s="2">
        <f t="shared" si="65"/>
        <v>-0.78210831432967931</v>
      </c>
      <c r="AQ514" s="31"/>
      <c r="AR514" s="31">
        <v>1973.5000000016901</v>
      </c>
      <c r="AS514" s="2"/>
      <c r="AT514" s="2"/>
      <c r="AU514" s="2"/>
      <c r="AV514" s="31"/>
      <c r="AW514" s="31">
        <v>1973.5000000016901</v>
      </c>
      <c r="AX514" s="2">
        <v>-0.60445301131599016</v>
      </c>
      <c r="AY514" s="2">
        <v>-0.10780241638246968</v>
      </c>
      <c r="AZ514" s="2">
        <v>-0.60443542515818427</v>
      </c>
      <c r="BA514" s="31"/>
      <c r="BB514" s="31">
        <v>1973.5000000016901</v>
      </c>
      <c r="BC514" s="2"/>
      <c r="BD514" s="2"/>
      <c r="BE514" s="2"/>
      <c r="BG514" s="2">
        <f t="shared" si="72"/>
        <v>-0.60445301131599016</v>
      </c>
      <c r="BH514" s="2">
        <f t="shared" si="66"/>
        <v>-0.10780241638246968</v>
      </c>
      <c r="BI514" s="2">
        <f t="shared" si="67"/>
        <v>-0.60443542515818427</v>
      </c>
    </row>
    <row r="515" spans="6:61" x14ac:dyDescent="0.3">
      <c r="F515" s="31">
        <v>1973.41666666836</v>
      </c>
      <c r="G515" s="2">
        <v>1.3582372736601023</v>
      </c>
      <c r="H515" s="2">
        <v>0.18449999999999955</v>
      </c>
      <c r="I515" s="2">
        <v>0.25059477699028831</v>
      </c>
      <c r="K515" s="31">
        <v>1973.41666666836</v>
      </c>
      <c r="L515" s="2">
        <v>0.70066748801507528</v>
      </c>
      <c r="M515" s="2">
        <v>0.15377999999999986</v>
      </c>
      <c r="N515" s="2">
        <v>6.0616468289594619E-2</v>
      </c>
      <c r="P515" s="31">
        <v>1973.41666666836</v>
      </c>
      <c r="Q515" s="2">
        <v>0.77640239781392184</v>
      </c>
      <c r="R515" s="2">
        <v>0.16775000000000076</v>
      </c>
      <c r="S515" s="2">
        <v>7.0772585022645745E-2</v>
      </c>
      <c r="U515" s="2">
        <f t="shared" si="68"/>
        <v>0.94510238649636646</v>
      </c>
      <c r="V515" s="2">
        <f t="shared" si="69"/>
        <v>0.16867666666666672</v>
      </c>
      <c r="W515" s="2">
        <f t="shared" si="70"/>
        <v>0.12732794343417622</v>
      </c>
      <c r="Y515" s="31">
        <v>1973.41666666836</v>
      </c>
      <c r="Z515" s="2">
        <v>3.6212536036904313</v>
      </c>
      <c r="AA515" s="2">
        <v>1.6130881144920466</v>
      </c>
      <c r="AB515" s="2">
        <v>4.0370619274519468</v>
      </c>
      <c r="AD515" s="31">
        <v>1973.41666666836</v>
      </c>
      <c r="AE515" s="2">
        <v>-0.6462210713168326</v>
      </c>
      <c r="AF515" s="2">
        <v>1.5734353192061419</v>
      </c>
      <c r="AG515" s="2">
        <v>2.0175488072795383E-2</v>
      </c>
      <c r="AH515" s="31"/>
      <c r="AI515" s="31">
        <v>1973.41666666836</v>
      </c>
      <c r="AJ515" s="2">
        <v>1.9795106900050017</v>
      </c>
      <c r="AK515" s="2">
        <v>1.6693262822256021</v>
      </c>
      <c r="AL515" s="2">
        <v>2.0909779099767745</v>
      </c>
      <c r="AM515" s="31"/>
      <c r="AN515" s="2">
        <f t="shared" si="71"/>
        <v>1.6515144074595334</v>
      </c>
      <c r="AO515" s="2">
        <f t="shared" si="64"/>
        <v>1.6186165719745969</v>
      </c>
      <c r="AP515" s="2">
        <f t="shared" si="65"/>
        <v>2.0494051085005056</v>
      </c>
      <c r="AQ515" s="31"/>
      <c r="AR515" s="31">
        <v>1973.41666666836</v>
      </c>
      <c r="AS515" s="2">
        <v>2.9414427224046866</v>
      </c>
      <c r="AT515" s="2">
        <v>0.30752807372934365</v>
      </c>
      <c r="AU515" s="2">
        <v>2.0996234001990022</v>
      </c>
      <c r="AV515" s="31"/>
      <c r="AW515" s="31">
        <v>1973.41666666836</v>
      </c>
      <c r="AX515" s="2">
        <v>-1.0692166218567052</v>
      </c>
      <c r="AY515" s="2">
        <v>0.24826500666177614</v>
      </c>
      <c r="AZ515" s="2">
        <v>-0.75227488495451944</v>
      </c>
      <c r="BA515" s="31"/>
      <c r="BB515" s="31">
        <v>1973.41666666836</v>
      </c>
      <c r="BC515" s="2">
        <v>1.3224654333835224</v>
      </c>
      <c r="BD515" s="2">
        <v>0.21308645383215588</v>
      </c>
      <c r="BE515" s="2">
        <v>1.3058783231318571</v>
      </c>
      <c r="BG515" s="2">
        <f t="shared" si="72"/>
        <v>1.0648971779771681</v>
      </c>
      <c r="BH515" s="2">
        <f t="shared" si="66"/>
        <v>0.25629317807442525</v>
      </c>
      <c r="BI515" s="2">
        <f t="shared" si="67"/>
        <v>0.88440894612544663</v>
      </c>
    </row>
    <row r="516" spans="6:61" x14ac:dyDescent="0.3">
      <c r="F516" s="31">
        <v>1973.3333333350299</v>
      </c>
      <c r="G516" s="2">
        <v>1.2618959412813591</v>
      </c>
      <c r="H516" s="2">
        <v>0.15374999999999961</v>
      </c>
      <c r="I516" s="2">
        <v>0.18486477933686551</v>
      </c>
      <c r="K516" s="31">
        <v>1973.3333333350299</v>
      </c>
      <c r="L516" s="2">
        <v>0.68018236461565462</v>
      </c>
      <c r="M516" s="2">
        <v>0.1230299999999999</v>
      </c>
      <c r="N516" s="2">
        <v>6.2278513618447669E-2</v>
      </c>
      <c r="P516" s="31">
        <v>1973.3333333350299</v>
      </c>
      <c r="Q516" s="2">
        <v>0.60064445698202906</v>
      </c>
      <c r="R516" s="2">
        <v>9.5850000000000463E-2</v>
      </c>
      <c r="S516" s="2">
        <v>6.3697552224824788E-2</v>
      </c>
      <c r="U516" s="2">
        <f t="shared" si="68"/>
        <v>0.84757425429301436</v>
      </c>
      <c r="V516" s="2">
        <f t="shared" si="69"/>
        <v>0.12420999999999999</v>
      </c>
      <c r="W516" s="2">
        <f t="shared" si="70"/>
        <v>0.103613615060046</v>
      </c>
      <c r="Y516" s="31">
        <v>1973.3333333350299</v>
      </c>
      <c r="Z516" s="2">
        <v>3.0626592180349586</v>
      </c>
      <c r="AA516" s="2">
        <v>1.012624953636539</v>
      </c>
      <c r="AB516" s="2">
        <v>2.5243360485916866</v>
      </c>
      <c r="AD516" s="31">
        <v>1973.3333333350299</v>
      </c>
      <c r="AE516" s="2">
        <v>-0.76812305623363097</v>
      </c>
      <c r="AF516" s="2">
        <v>0.82033858713866403</v>
      </c>
      <c r="AG516" s="2">
        <v>8.3374446627868679E-2</v>
      </c>
      <c r="AH516" s="31"/>
      <c r="AI516" s="31">
        <v>1973.3333333350299</v>
      </c>
      <c r="AJ516" s="2">
        <v>1.2044831520358799</v>
      </c>
      <c r="AK516" s="2">
        <v>-4.4052846898962821E-2</v>
      </c>
      <c r="AL516" s="2">
        <v>1.5191888675855079</v>
      </c>
      <c r="AM516" s="31"/>
      <c r="AN516" s="2">
        <f t="shared" si="71"/>
        <v>1.1663397712790691</v>
      </c>
      <c r="AO516" s="2">
        <f t="shared" si="64"/>
        <v>0.59630356462541345</v>
      </c>
      <c r="AP516" s="2">
        <f t="shared" si="65"/>
        <v>1.375633120935021</v>
      </c>
      <c r="AQ516" s="31"/>
      <c r="AR516" s="31">
        <v>1973.3333333350299</v>
      </c>
      <c r="AS516" s="2">
        <v>3.3133912014166587</v>
      </c>
      <c r="AT516" s="2">
        <v>-1.8664175683889669E-2</v>
      </c>
      <c r="AU516" s="2">
        <v>1.6603383683869457</v>
      </c>
      <c r="AV516" s="31"/>
      <c r="AW516" s="31">
        <v>1973.3333333350299</v>
      </c>
      <c r="AX516" s="2">
        <v>-0.87932710626212507</v>
      </c>
      <c r="AY516" s="2">
        <v>6.3072530914539418E-2</v>
      </c>
      <c r="AZ516" s="2">
        <v>-0.30226425793969902</v>
      </c>
      <c r="BA516" s="31"/>
      <c r="BB516" s="31">
        <v>1973.3333333350299</v>
      </c>
      <c r="BC516" s="2">
        <v>1.1028938594806845</v>
      </c>
      <c r="BD516" s="2">
        <v>-0.7363458413185221</v>
      </c>
      <c r="BE516" s="2">
        <v>1.2734195141061229</v>
      </c>
      <c r="BG516" s="2">
        <f t="shared" si="72"/>
        <v>1.1789859848784061</v>
      </c>
      <c r="BH516" s="2">
        <f t="shared" si="66"/>
        <v>-0.23064582869595743</v>
      </c>
      <c r="BI516" s="2">
        <f t="shared" si="67"/>
        <v>0.87716454151778989</v>
      </c>
    </row>
    <row r="517" spans="6:61" x14ac:dyDescent="0.3">
      <c r="F517" s="31">
        <v>1973.2500000017001</v>
      </c>
      <c r="G517" s="2">
        <v>1.1322385463583</v>
      </c>
      <c r="H517" s="2">
        <v>0.18449999999999955</v>
      </c>
      <c r="I517" s="2">
        <v>0.20889801180310591</v>
      </c>
      <c r="K517" s="31">
        <v>1973.2500000017001</v>
      </c>
      <c r="L517" s="2">
        <v>0.60905665584577595</v>
      </c>
      <c r="M517" s="2">
        <v>0.1230299999999999</v>
      </c>
      <c r="N517" s="2">
        <v>5.6250975065620205E-2</v>
      </c>
      <c r="P517" s="31">
        <v>1973.2500000017001</v>
      </c>
      <c r="Q517" s="2">
        <v>0.7094077696073755</v>
      </c>
      <c r="R517" s="2">
        <v>9.5850000000000463E-2</v>
      </c>
      <c r="S517" s="2">
        <v>5.8315592445684253E-2</v>
      </c>
      <c r="U517" s="2">
        <f t="shared" si="68"/>
        <v>0.81690099060381716</v>
      </c>
      <c r="V517" s="2">
        <f t="shared" si="69"/>
        <v>0.13445999999999997</v>
      </c>
      <c r="W517" s="2">
        <f t="shared" si="70"/>
        <v>0.10782152643813679</v>
      </c>
      <c r="Y517" s="31">
        <v>1973.2500000017001</v>
      </c>
      <c r="Z517" s="2">
        <v>2.3108957633008065</v>
      </c>
      <c r="AA517" s="2">
        <v>1.6130881144920466</v>
      </c>
      <c r="AB517" s="2">
        <v>3.0774426057536171</v>
      </c>
      <c r="AD517" s="31">
        <v>1973.2500000017001</v>
      </c>
      <c r="AE517" s="2">
        <v>-1.191374842840274</v>
      </c>
      <c r="AF517" s="2">
        <v>0.82033858713866403</v>
      </c>
      <c r="AG517" s="2">
        <v>-0.14582156420062403</v>
      </c>
      <c r="AH517" s="31"/>
      <c r="AI517" s="31">
        <v>1973.2500000017001</v>
      </c>
      <c r="AJ517" s="2">
        <v>0.63156297103185577</v>
      </c>
      <c r="AK517" s="2">
        <v>-4.4052846898962821E-2</v>
      </c>
      <c r="AL517" s="2">
        <v>1.08423037110322</v>
      </c>
      <c r="AM517" s="31"/>
      <c r="AN517" s="2">
        <f t="shared" si="71"/>
        <v>0.58369463049746273</v>
      </c>
      <c r="AO517" s="2">
        <f t="shared" ref="AO517:AO580" si="73">AVERAGE(AK517,AF517,AA517)</f>
        <v>0.79645795157724919</v>
      </c>
      <c r="AP517" s="2">
        <f t="shared" ref="AP517:AP580" si="74">AVERAGE(AL517,AG517,AB517)</f>
        <v>1.338617137552071</v>
      </c>
      <c r="AQ517" s="31"/>
      <c r="AR517" s="31">
        <v>1973.2500000017001</v>
      </c>
      <c r="AS517" s="2">
        <v>2.998334772267131</v>
      </c>
      <c r="AT517" s="2">
        <v>0.61938737125940746</v>
      </c>
      <c r="AU517" s="2">
        <v>2.468054909400601</v>
      </c>
      <c r="AV517" s="31"/>
      <c r="AW517" s="31">
        <v>1973.2500000017001</v>
      </c>
      <c r="AX517" s="2">
        <v>-1.1548583963568535</v>
      </c>
      <c r="AY517" s="2">
        <v>-0.13053036562694012</v>
      </c>
      <c r="AZ517" s="2">
        <v>-0.56330780516630385</v>
      </c>
      <c r="BA517" s="31"/>
      <c r="BB517" s="31">
        <v>1973.2500000017001</v>
      </c>
      <c r="BC517" s="2">
        <v>1.0141306101842982</v>
      </c>
      <c r="BD517" s="2">
        <v>-1.0548255298976554</v>
      </c>
      <c r="BE517" s="2">
        <v>1.3167500697270627</v>
      </c>
      <c r="BG517" s="2">
        <f t="shared" si="72"/>
        <v>0.95253566203152518</v>
      </c>
      <c r="BH517" s="2">
        <f t="shared" ref="BH517:BH580" si="75">AVERAGE(BD517,AY517,AT517)</f>
        <v>-0.18865617475506269</v>
      </c>
      <c r="BI517" s="2">
        <f t="shared" ref="BI517:BI580" si="76">AVERAGE(BE517,AZ517,AU517)</f>
        <v>1.0738323913204533</v>
      </c>
    </row>
    <row r="518" spans="6:61" x14ac:dyDescent="0.3">
      <c r="F518" s="31">
        <v>1973.16666666837</v>
      </c>
      <c r="G518" s="2">
        <v>0.98816710558076659</v>
      </c>
      <c r="H518" s="2">
        <v>0.15374999999999961</v>
      </c>
      <c r="I518" s="2">
        <v>0.14677804089977398</v>
      </c>
      <c r="K518" s="31">
        <v>1973.16666666837</v>
      </c>
      <c r="L518" s="2">
        <v>0.55238133055706473</v>
      </c>
      <c r="M518" s="2">
        <v>9.2264999999999903E-2</v>
      </c>
      <c r="N518" s="2">
        <v>3.398003232178598E-2</v>
      </c>
      <c r="P518" s="31">
        <v>1973.16666666837</v>
      </c>
      <c r="Q518" s="2">
        <v>0.55485297778381826</v>
      </c>
      <c r="R518" s="2">
        <v>9.5850000000000463E-2</v>
      </c>
      <c r="S518" s="2">
        <v>5.4175142089128381E-2</v>
      </c>
      <c r="U518" s="2">
        <f t="shared" ref="U518:U581" si="77">AVERAGE(Q518,L518,G518)</f>
        <v>0.69846713797388327</v>
      </c>
      <c r="V518" s="2">
        <f t="shared" ref="V518:V581" si="78">AVERAGE(R518,M518,H518)</f>
        <v>0.11395499999999999</v>
      </c>
      <c r="W518" s="2">
        <f t="shared" ref="W518:W581" si="79">AVERAGE(S518,N518,I518)</f>
        <v>7.8311071770229446E-2</v>
      </c>
      <c r="Y518" s="31">
        <v>1973.16666666837</v>
      </c>
      <c r="Z518" s="2">
        <v>1.4755585724547549</v>
      </c>
      <c r="AA518" s="2">
        <v>1.012624953636539</v>
      </c>
      <c r="AB518" s="2">
        <v>1.6477987455027987</v>
      </c>
      <c r="AD518" s="31">
        <v>1973.16666666837</v>
      </c>
      <c r="AE518" s="2">
        <v>-1.5286359134128098</v>
      </c>
      <c r="AF518" s="2">
        <v>6.6874490811640125E-2</v>
      </c>
      <c r="AG518" s="2">
        <v>-0.99266994012385013</v>
      </c>
      <c r="AH518" s="31"/>
      <c r="AI518" s="31">
        <v>1973.16666666837</v>
      </c>
      <c r="AJ518" s="2">
        <v>0.24844570664191581</v>
      </c>
      <c r="AK518" s="2">
        <v>-4.4052846898962821E-2</v>
      </c>
      <c r="AL518" s="2">
        <v>0.74960801498173102</v>
      </c>
      <c r="AM518" s="31"/>
      <c r="AN518" s="2">
        <f t="shared" ref="AN518:AN581" si="80">AVERAGE(AJ518,AE518,Z518)</f>
        <v>6.512278856128699E-2</v>
      </c>
      <c r="AO518" s="2">
        <f t="shared" si="73"/>
        <v>0.34514886584973881</v>
      </c>
      <c r="AP518" s="2">
        <f t="shared" si="74"/>
        <v>0.4682456067868932</v>
      </c>
      <c r="AQ518" s="31"/>
      <c r="AR518" s="31">
        <v>1973.16666666837</v>
      </c>
      <c r="AS518" s="2">
        <v>2.0563849212107908</v>
      </c>
      <c r="AT518" s="2">
        <v>0.16876039905139967</v>
      </c>
      <c r="AU518" s="2">
        <v>1.252121424478706</v>
      </c>
      <c r="AV518" s="31"/>
      <c r="AW518" s="31">
        <v>1973.16666666837</v>
      </c>
      <c r="AX518" s="2">
        <v>-1.3188360968158381</v>
      </c>
      <c r="AY518" s="2">
        <v>-0.48231704140909132</v>
      </c>
      <c r="AZ518" s="2">
        <v>-0.95057067601957856</v>
      </c>
      <c r="BA518" s="31"/>
      <c r="BB518" s="31">
        <v>1973.16666666837</v>
      </c>
      <c r="BC518" s="2">
        <v>0.90928306851342411</v>
      </c>
      <c r="BD518" s="2">
        <v>-0.34847073798484229</v>
      </c>
      <c r="BE518" s="2">
        <v>1.3557841920325906</v>
      </c>
      <c r="BG518" s="2">
        <f t="shared" ref="BG518:BG581" si="81">AVERAGE(BC518,AX518,AS518)</f>
        <v>0.54894396430279224</v>
      </c>
      <c r="BH518" s="2">
        <f t="shared" si="75"/>
        <v>-0.22067579344751129</v>
      </c>
      <c r="BI518" s="2">
        <f t="shared" si="76"/>
        <v>0.55244498016390597</v>
      </c>
    </row>
    <row r="519" spans="6:61" x14ac:dyDescent="0.3">
      <c r="F519" s="31">
        <v>1973.0833333350399</v>
      </c>
      <c r="G519" s="2">
        <v>0.93927853654628413</v>
      </c>
      <c r="H519" s="2">
        <v>6.1499999999999846E-2</v>
      </c>
      <c r="I519" s="2">
        <v>5.7765629997596338E-2</v>
      </c>
      <c r="K519" s="31">
        <v>1973.0833333350399</v>
      </c>
      <c r="L519" s="2">
        <v>0.54553356046373436</v>
      </c>
      <c r="M519" s="2">
        <v>6.1514999999999952E-2</v>
      </c>
      <c r="N519" s="2">
        <v>3.3559000454790842E-2</v>
      </c>
      <c r="P519" s="31">
        <v>1973.0833333350399</v>
      </c>
      <c r="Q519" s="2">
        <v>0.68243898276417969</v>
      </c>
      <c r="R519" s="2">
        <v>7.1900000000000297E-2</v>
      </c>
      <c r="S519" s="2">
        <v>5.2040336028585633E-2</v>
      </c>
      <c r="U519" s="2">
        <f t="shared" si="77"/>
        <v>0.72241702659139939</v>
      </c>
      <c r="V519" s="2">
        <f t="shared" si="78"/>
        <v>6.4971666666666705E-2</v>
      </c>
      <c r="W519" s="2">
        <f t="shared" si="79"/>
        <v>4.7788322160324269E-2</v>
      </c>
      <c r="Y519" s="31">
        <v>1973.0833333350399</v>
      </c>
      <c r="Z519" s="2">
        <v>1.1920989242319806</v>
      </c>
      <c r="AA519" s="2">
        <v>-0.78876452892998183</v>
      </c>
      <c r="AB519" s="2">
        <v>-0.40075415756360661</v>
      </c>
      <c r="AD519" s="31">
        <v>1973.0833333350399</v>
      </c>
      <c r="AE519" s="2">
        <v>-1.5693853270411635</v>
      </c>
      <c r="AF519" s="2">
        <v>-0.68622224125583742</v>
      </c>
      <c r="AG519" s="2">
        <v>-1.0086795970511695</v>
      </c>
      <c r="AH519" s="31"/>
      <c r="AI519" s="31">
        <v>1973.0833333350399</v>
      </c>
      <c r="AJ519" s="2">
        <v>8.6374635735088828E-2</v>
      </c>
      <c r="AK519" s="2">
        <v>-0.61478205611361436</v>
      </c>
      <c r="AL519" s="2">
        <v>0.57707754792513155</v>
      </c>
      <c r="AM519" s="31"/>
      <c r="AN519" s="2">
        <f t="shared" si="80"/>
        <v>-9.6970589024698059E-2</v>
      </c>
      <c r="AO519" s="2">
        <f t="shared" si="73"/>
        <v>-0.69658960876647791</v>
      </c>
      <c r="AP519" s="2">
        <f t="shared" si="74"/>
        <v>-0.27745206889654822</v>
      </c>
      <c r="AQ519" s="31"/>
      <c r="AR519" s="31">
        <v>1973.0833333350399</v>
      </c>
      <c r="AS519" s="2">
        <v>2.42545761120962</v>
      </c>
      <c r="AT519" s="2">
        <v>-0.93050162247170598</v>
      </c>
      <c r="AU519" s="2">
        <v>0.35436044802121436</v>
      </c>
      <c r="AV519" s="31"/>
      <c r="AW519" s="31">
        <v>1973.0833333350399</v>
      </c>
      <c r="AX519" s="2">
        <v>-1.3519465095375851</v>
      </c>
      <c r="AY519" s="2">
        <v>-0.87038484719517628</v>
      </c>
      <c r="AZ519" s="2">
        <v>-1.4709305650499298</v>
      </c>
      <c r="BA519" s="31"/>
      <c r="BB519" s="31">
        <v>1973.0833333350399</v>
      </c>
      <c r="BC519" s="2">
        <v>0.84887705776974776</v>
      </c>
      <c r="BD519" s="2">
        <v>-0.95760573293009554</v>
      </c>
      <c r="BE519" s="2">
        <v>1.1375304057177429</v>
      </c>
      <c r="BG519" s="2">
        <f t="shared" si="81"/>
        <v>0.64079605314726085</v>
      </c>
      <c r="BH519" s="2">
        <f t="shared" si="75"/>
        <v>-0.91949740086565923</v>
      </c>
      <c r="BI519" s="2">
        <f t="shared" si="76"/>
        <v>6.9867628963424799E-3</v>
      </c>
    </row>
    <row r="520" spans="6:61" x14ac:dyDescent="0.3">
      <c r="F520" s="31">
        <v>1973.0000000017101</v>
      </c>
      <c r="G520" s="2">
        <v>1.1096081275779506</v>
      </c>
      <c r="H520" s="2">
        <v>6.1499999999999902E-2</v>
      </c>
      <c r="I520" s="2">
        <v>6.8240899846043854E-2</v>
      </c>
      <c r="K520" s="31">
        <v>1973.0000000017101</v>
      </c>
      <c r="L520" s="2">
        <v>0.5498465769520785</v>
      </c>
      <c r="M520" s="2">
        <v>6.1514999999999952E-2</v>
      </c>
      <c r="N520" s="2">
        <v>3.3824374806554688E-2</v>
      </c>
      <c r="P520" s="31">
        <v>1973.0000000017101</v>
      </c>
      <c r="Q520" s="2">
        <v>0.69643896554094353</v>
      </c>
      <c r="R520" s="2">
        <v>4.7900000000000303E-2</v>
      </c>
      <c r="S520" s="2">
        <v>2.6755596485215638E-2</v>
      </c>
      <c r="U520" s="2">
        <f t="shared" si="77"/>
        <v>0.78529789002365746</v>
      </c>
      <c r="V520" s="2">
        <f t="shared" si="78"/>
        <v>5.6971666666666719E-2</v>
      </c>
      <c r="W520" s="2">
        <f t="shared" si="79"/>
        <v>4.2940290379271391E-2</v>
      </c>
      <c r="Y520" s="31">
        <v>1973.0000000017101</v>
      </c>
      <c r="Z520" s="2">
        <v>2.1796828709355713</v>
      </c>
      <c r="AA520" s="2">
        <v>-0.78876452892998072</v>
      </c>
      <c r="AB520" s="2">
        <v>-0.15967379314089489</v>
      </c>
      <c r="AD520" s="31">
        <v>1973.0000000017101</v>
      </c>
      <c r="AE520" s="2">
        <v>-1.5437196153607107</v>
      </c>
      <c r="AF520" s="2">
        <v>-0.68622224125583742</v>
      </c>
      <c r="AG520" s="2">
        <v>-0.99858878763246572</v>
      </c>
      <c r="AH520" s="31"/>
      <c r="AI520" s="31">
        <v>1973.0000000017101</v>
      </c>
      <c r="AJ520" s="2">
        <v>-0.71055784339252048</v>
      </c>
      <c r="AK520" s="2">
        <v>-1.186702766808877</v>
      </c>
      <c r="AL520" s="2">
        <v>-1.4663811078522522</v>
      </c>
      <c r="AM520" s="31"/>
      <c r="AN520" s="2">
        <f t="shared" si="80"/>
        <v>-2.4864862605886568E-2</v>
      </c>
      <c r="AO520" s="2">
        <f t="shared" si="73"/>
        <v>-0.88722984566489826</v>
      </c>
      <c r="AP520" s="2">
        <f t="shared" si="74"/>
        <v>-0.87488122954187098</v>
      </c>
      <c r="AQ520" s="31"/>
      <c r="AR520" s="31">
        <v>1973.0000000017101</v>
      </c>
      <c r="AS520" s="2">
        <v>2.0004585569003446</v>
      </c>
      <c r="AT520" s="2">
        <v>-0.29853293598826319</v>
      </c>
      <c r="AU520" s="2">
        <v>1.5310063189771497</v>
      </c>
      <c r="AV520" s="31"/>
      <c r="AW520" s="31">
        <v>1973.0000000017101</v>
      </c>
      <c r="AX520" s="2">
        <v>-0.93436598115950442</v>
      </c>
      <c r="AY520" s="2">
        <v>-0.21981065223360952</v>
      </c>
      <c r="AZ520" s="2">
        <v>-0.96441753894426374</v>
      </c>
      <c r="BA520" s="31"/>
      <c r="BB520" s="31">
        <v>1973.0000000017101</v>
      </c>
      <c r="BC520" s="2">
        <v>-0.12517327043693349</v>
      </c>
      <c r="BD520" s="2">
        <v>-0.94501805984887022</v>
      </c>
      <c r="BE520" s="2">
        <v>-0.80063000636270454</v>
      </c>
      <c r="BG520" s="2">
        <f t="shared" si="81"/>
        <v>0.31363976843463554</v>
      </c>
      <c r="BH520" s="2">
        <f t="shared" si="75"/>
        <v>-0.48778721602358094</v>
      </c>
      <c r="BI520" s="2">
        <f t="shared" si="76"/>
        <v>-7.8013742109939541E-2</v>
      </c>
    </row>
    <row r="521" spans="6:61" x14ac:dyDescent="0.3">
      <c r="F521" s="31">
        <v>1972.91666666838</v>
      </c>
      <c r="G521" s="2">
        <v>0.98239394548904013</v>
      </c>
      <c r="H521" s="2">
        <v>6.1499999999999846E-2</v>
      </c>
      <c r="I521" s="2">
        <v>6.041722764757583E-2</v>
      </c>
      <c r="K521" s="31">
        <v>1972.91666666838</v>
      </c>
      <c r="L521" s="2">
        <v>0.55409530278470931</v>
      </c>
      <c r="M521" s="2">
        <v>6.1514999999999952E-2</v>
      </c>
      <c r="N521" s="2">
        <v>3.4085794469931714E-2</v>
      </c>
      <c r="P521" s="31">
        <v>1972.91666666838</v>
      </c>
      <c r="Q521" s="2">
        <v>0.74040315271514445</v>
      </c>
      <c r="R521" s="2">
        <v>7.1900000000000297E-2</v>
      </c>
      <c r="S521" s="2">
        <v>5.3021199410593203E-2</v>
      </c>
      <c r="U521" s="2">
        <f t="shared" si="77"/>
        <v>0.75896413366296456</v>
      </c>
      <c r="V521" s="2">
        <f t="shared" si="78"/>
        <v>6.4971666666666705E-2</v>
      </c>
      <c r="W521" s="2">
        <f t="shared" si="79"/>
        <v>4.9174740509366911E-2</v>
      </c>
      <c r="Y521" s="31">
        <v>1972.91666666838</v>
      </c>
      <c r="Z521" s="2">
        <v>1.4420853503692341</v>
      </c>
      <c r="AA521" s="2">
        <v>-0.78876452892998183</v>
      </c>
      <c r="AB521" s="2">
        <v>-0.33972965537818539</v>
      </c>
      <c r="AD521" s="31">
        <v>1972.91666666838</v>
      </c>
      <c r="AE521" s="2">
        <v>-1.5184364817292275</v>
      </c>
      <c r="AF521" s="2">
        <v>-0.68622224125583742</v>
      </c>
      <c r="AG521" s="2">
        <v>-0.98864835448997923</v>
      </c>
      <c r="AH521" s="31"/>
      <c r="AI521" s="31">
        <v>1972.91666666838</v>
      </c>
      <c r="AJ521" s="2">
        <v>0.18837990319393674</v>
      </c>
      <c r="AK521" s="2">
        <v>-0.61478205611361436</v>
      </c>
      <c r="AL521" s="2">
        <v>0.65634883188122894</v>
      </c>
      <c r="AM521" s="31"/>
      <c r="AN521" s="2">
        <f t="shared" si="80"/>
        <v>3.7342923944647811E-2</v>
      </c>
      <c r="AO521" s="2">
        <f t="shared" si="73"/>
        <v>-0.69658960876647791</v>
      </c>
      <c r="AP521" s="2">
        <f t="shared" si="74"/>
        <v>-0.2240097259956452</v>
      </c>
      <c r="AQ521" s="31"/>
      <c r="AR521" s="31">
        <v>1972.91666666838</v>
      </c>
      <c r="AS521" s="2">
        <v>1.8662391455657046</v>
      </c>
      <c r="AT521" s="2">
        <v>-0.68444756444045252</v>
      </c>
      <c r="AU521" s="2">
        <v>0.39829806907470816</v>
      </c>
      <c r="AV521" s="31"/>
      <c r="AW521" s="31">
        <v>1972.91666666838</v>
      </c>
      <c r="AX521" s="2">
        <v>-1.1784828185037959</v>
      </c>
      <c r="AY521" s="2">
        <v>-0.51751295497595129</v>
      </c>
      <c r="AZ521" s="2">
        <v>-1.2379077425460092</v>
      </c>
      <c r="BA521" s="31"/>
      <c r="BB521" s="31">
        <v>1972.91666666838</v>
      </c>
      <c r="BC521" s="2">
        <v>0.72691908129694771</v>
      </c>
      <c r="BD521" s="2">
        <v>-0.44318112469553572</v>
      </c>
      <c r="BE521" s="2">
        <v>1.1427313645772263</v>
      </c>
      <c r="BG521" s="2">
        <f t="shared" si="81"/>
        <v>0.47155846945295216</v>
      </c>
      <c r="BH521" s="2">
        <f t="shared" si="75"/>
        <v>-0.54838054803731318</v>
      </c>
      <c r="BI521" s="2">
        <f t="shared" si="76"/>
        <v>0.1010405637019751</v>
      </c>
    </row>
    <row r="522" spans="6:61" x14ac:dyDescent="0.3">
      <c r="F522" s="31">
        <v>1972.8333333350499</v>
      </c>
      <c r="G522" s="2">
        <v>1.1555720638967033</v>
      </c>
      <c r="H522" s="2">
        <v>6.1499999999999902E-2</v>
      </c>
      <c r="I522" s="2">
        <v>7.1067681929647145E-2</v>
      </c>
      <c r="K522" s="31">
        <v>1972.8333333350499</v>
      </c>
      <c r="L522" s="2">
        <v>0.55836431225075489</v>
      </c>
      <c r="M522" s="2">
        <v>6.1514999999999952E-2</v>
      </c>
      <c r="N522" s="2">
        <v>3.4348463282867128E-2</v>
      </c>
      <c r="P522" s="31">
        <v>1972.8333333350499</v>
      </c>
      <c r="Q522" s="2">
        <v>0.64367388435506301</v>
      </c>
      <c r="R522" s="2"/>
      <c r="S522" s="2"/>
      <c r="U522" s="2">
        <f t="shared" si="77"/>
        <v>0.7858700868341737</v>
      </c>
      <c r="V522" s="2">
        <f t="shared" si="78"/>
        <v>6.1507499999999923E-2</v>
      </c>
      <c r="W522" s="2">
        <f t="shared" si="79"/>
        <v>5.2708072606257136E-2</v>
      </c>
      <c r="Y522" s="31">
        <v>1972.8333333350499</v>
      </c>
      <c r="Z522" s="2">
        <v>2.4461852758363567</v>
      </c>
      <c r="AA522" s="2">
        <v>-0.78876452892998072</v>
      </c>
      <c r="AB522" s="2">
        <v>-9.4617554521927702E-2</v>
      </c>
      <c r="AD522" s="31">
        <v>1972.8333333350499</v>
      </c>
      <c r="AE522" s="2">
        <v>-1.4930326451306999</v>
      </c>
      <c r="AF522" s="2">
        <v>-0.68622224125583742</v>
      </c>
      <c r="AG522" s="2">
        <v>-0.97866042267233666</v>
      </c>
      <c r="AH522" s="31"/>
      <c r="AI522" s="31">
        <v>1972.8333333350499</v>
      </c>
      <c r="AJ522" s="2"/>
      <c r="AK522" s="2"/>
      <c r="AL522" s="2"/>
      <c r="AM522" s="31"/>
      <c r="AN522" s="2">
        <f t="shared" si="80"/>
        <v>0.47657631535282841</v>
      </c>
      <c r="AO522" s="2">
        <f t="shared" si="73"/>
        <v>-0.73749338509290907</v>
      </c>
      <c r="AP522" s="2">
        <f t="shared" si="74"/>
        <v>-0.53663898859713222</v>
      </c>
      <c r="AQ522" s="31"/>
      <c r="AR522" s="31">
        <v>1972.8333333350499</v>
      </c>
      <c r="AS522" s="2">
        <v>1.8011734038941118</v>
      </c>
      <c r="AT522" s="2">
        <v>-0.28549293171717766</v>
      </c>
      <c r="AU522" s="2">
        <v>1.2673464342472871</v>
      </c>
      <c r="AV522" s="31"/>
      <c r="AW522" s="31">
        <v>1972.8333333350499</v>
      </c>
      <c r="AX522" s="2">
        <v>-0.83398274036091025</v>
      </c>
      <c r="AY522" s="2">
        <v>-0.19138401234735175</v>
      </c>
      <c r="AZ522" s="2">
        <v>-0.8425762887326862</v>
      </c>
      <c r="BA522" s="31"/>
      <c r="BB522" s="31">
        <v>1972.8333333350499</v>
      </c>
      <c r="BC522" s="2"/>
      <c r="BD522" s="2"/>
      <c r="BE522" s="2"/>
      <c r="BG522" s="2">
        <f t="shared" si="81"/>
        <v>0.4835953317666008</v>
      </c>
      <c r="BH522" s="2">
        <f t="shared" si="75"/>
        <v>-0.2384384720322647</v>
      </c>
      <c r="BI522" s="2">
        <f t="shared" si="76"/>
        <v>0.21238507275730045</v>
      </c>
    </row>
    <row r="523" spans="6:61" x14ac:dyDescent="0.3">
      <c r="F523" s="31">
        <v>1972.7500000017201</v>
      </c>
      <c r="G523" s="2">
        <v>1.0410965640624685</v>
      </c>
      <c r="H523" s="2">
        <v>6.1499999999999846E-2</v>
      </c>
      <c r="I523" s="2">
        <v>6.4027438689841662E-2</v>
      </c>
      <c r="K523" s="31">
        <v>1972.7500000017201</v>
      </c>
      <c r="L523" s="2">
        <v>0.63207320759237662</v>
      </c>
      <c r="M523" s="2">
        <v>6.1514999999999952E-2</v>
      </c>
      <c r="N523" s="2">
        <v>3.8882841735952633E-2</v>
      </c>
      <c r="P523" s="31">
        <v>1972.7500000017201</v>
      </c>
      <c r="Q523" s="2">
        <v>0.78188037834190049</v>
      </c>
      <c r="R523" s="2">
        <v>4.7900000000000303E-2</v>
      </c>
      <c r="S523" s="2">
        <v>2.8557636140619586E-2</v>
      </c>
      <c r="U523" s="2">
        <f t="shared" si="77"/>
        <v>0.81835004999891525</v>
      </c>
      <c r="V523" s="2">
        <f t="shared" si="78"/>
        <v>5.6971666666666698E-2</v>
      </c>
      <c r="W523" s="2">
        <f t="shared" si="79"/>
        <v>4.3822638855471295E-2</v>
      </c>
      <c r="Y523" s="31">
        <v>1972.7500000017201</v>
      </c>
      <c r="Z523" s="2">
        <v>1.7824476055795098</v>
      </c>
      <c r="AA523" s="2">
        <v>-0.78876452892998183</v>
      </c>
      <c r="AB523" s="2">
        <v>-0.25664339542457337</v>
      </c>
      <c r="AD523" s="31">
        <v>1972.7500000017201</v>
      </c>
      <c r="AE523" s="2">
        <v>-1.054408943775679</v>
      </c>
      <c r="AF523" s="2">
        <v>-0.68622224125583742</v>
      </c>
      <c r="AG523" s="2">
        <v>-0.80624154157760497</v>
      </c>
      <c r="AH523" s="31"/>
      <c r="AI523" s="31">
        <v>1972.7500000017201</v>
      </c>
      <c r="AJ523" s="2">
        <v>-0.4652575440403191</v>
      </c>
      <c r="AK523" s="2">
        <v>-1.186702766808877</v>
      </c>
      <c r="AL523" s="2">
        <v>-1.32074411105531</v>
      </c>
      <c r="AM523" s="31"/>
      <c r="AN523" s="2">
        <f t="shared" si="80"/>
        <v>8.7593705921170592E-2</v>
      </c>
      <c r="AO523" s="2">
        <f t="shared" si="73"/>
        <v>-0.88722984566489871</v>
      </c>
      <c r="AP523" s="2">
        <f t="shared" si="74"/>
        <v>-0.79454301601916288</v>
      </c>
      <c r="AQ523" s="31"/>
      <c r="AR523" s="31">
        <v>1972.7500000017201</v>
      </c>
      <c r="AS523" s="2">
        <v>2.0837961196056782</v>
      </c>
      <c r="AT523" s="2">
        <v>-0.6766476141944503</v>
      </c>
      <c r="AU523" s="2">
        <v>0.39064732962988113</v>
      </c>
      <c r="AV523" s="31"/>
      <c r="AW523" s="31">
        <v>1972.7500000017201</v>
      </c>
      <c r="AX523" s="2">
        <v>-1.1315627088230529</v>
      </c>
      <c r="AY523" s="2">
        <v>-0.6564669997761764</v>
      </c>
      <c r="AZ523" s="2">
        <v>-1.2008621777421944</v>
      </c>
      <c r="BA523" s="31"/>
      <c r="BB523" s="31">
        <v>1972.7500000017201</v>
      </c>
      <c r="BC523" s="2">
        <v>-0.51378379605161995</v>
      </c>
      <c r="BD523" s="2">
        <v>-1.5545483300824114</v>
      </c>
      <c r="BE523" s="2">
        <v>-1.4597625443643369</v>
      </c>
      <c r="BG523" s="2">
        <f t="shared" si="81"/>
        <v>0.14614987157700185</v>
      </c>
      <c r="BH523" s="2">
        <f t="shared" si="75"/>
        <v>-0.96255431468434605</v>
      </c>
      <c r="BI523" s="2">
        <f t="shared" si="76"/>
        <v>-0.75665913082555003</v>
      </c>
    </row>
    <row r="524" spans="6:61" x14ac:dyDescent="0.3">
      <c r="F524" s="31">
        <v>1972.66666666839</v>
      </c>
      <c r="G524" s="2">
        <v>1.1997956069843292</v>
      </c>
      <c r="H524" s="2">
        <v>6.1499999999999902E-2</v>
      </c>
      <c r="I524" s="2">
        <v>7.3787429829536122E-2</v>
      </c>
      <c r="K524" s="31">
        <v>1972.66666666839</v>
      </c>
      <c r="L524" s="2">
        <v>0.72195993474680953</v>
      </c>
      <c r="M524" s="2">
        <v>6.1514999999999952E-2</v>
      </c>
      <c r="N524" s="2">
        <v>4.4412396223209652E-2</v>
      </c>
      <c r="P524" s="31">
        <v>1972.66666666839</v>
      </c>
      <c r="Q524" s="2">
        <v>0.74801084090257208</v>
      </c>
      <c r="R524" s="2">
        <v>7.1900000000000297E-2</v>
      </c>
      <c r="S524" s="2">
        <v>5.6695375119943964E-2</v>
      </c>
      <c r="U524" s="2">
        <f t="shared" si="77"/>
        <v>0.88992212754457023</v>
      </c>
      <c r="V524" s="2">
        <f t="shared" si="78"/>
        <v>6.4971666666666719E-2</v>
      </c>
      <c r="W524" s="2">
        <f t="shared" si="79"/>
        <v>5.8298400390896586E-2</v>
      </c>
      <c r="Y524" s="31">
        <v>1972.66666666839</v>
      </c>
      <c r="Z524" s="2">
        <v>2.7025967481774971</v>
      </c>
      <c r="AA524" s="2">
        <v>-0.78876452892998072</v>
      </c>
      <c r="AB524" s="2">
        <v>-3.2024626193659964E-2</v>
      </c>
      <c r="AD524" s="31">
        <v>1972.66666666839</v>
      </c>
      <c r="AE524" s="2">
        <v>-0.5195149016870706</v>
      </c>
      <c r="AF524" s="2">
        <v>-0.68622224125583742</v>
      </c>
      <c r="AG524" s="2">
        <v>-0.59598128043940013</v>
      </c>
      <c r="AH524" s="31"/>
      <c r="AI524" s="31">
        <v>1972.66666666839</v>
      </c>
      <c r="AJ524" s="2">
        <v>0.51804315574113446</v>
      </c>
      <c r="AK524" s="2">
        <v>-0.61478205611361436</v>
      </c>
      <c r="AL524" s="2">
        <v>0.9532878667184902</v>
      </c>
      <c r="AM524" s="31"/>
      <c r="AN524" s="2">
        <f t="shared" si="80"/>
        <v>0.90037500074385368</v>
      </c>
      <c r="AO524" s="2">
        <f t="shared" si="73"/>
        <v>-0.69658960876647757</v>
      </c>
      <c r="AP524" s="2">
        <f t="shared" si="74"/>
        <v>0.1084273200284767</v>
      </c>
      <c r="AQ524" s="31"/>
      <c r="AR524" s="31">
        <v>1972.66666666839</v>
      </c>
      <c r="AS524" s="2">
        <v>1.3300022964542024</v>
      </c>
      <c r="AT524" s="2">
        <v>-0.32631334910519749</v>
      </c>
      <c r="AU524" s="2">
        <v>0.72053288652063807</v>
      </c>
      <c r="AV524" s="31"/>
      <c r="AW524" s="31">
        <v>1972.66666666839</v>
      </c>
      <c r="AX524" s="2">
        <v>-0.40494586780514191</v>
      </c>
      <c r="AY524" s="2">
        <v>-0.23837245449551037</v>
      </c>
      <c r="AZ524" s="2">
        <v>-0.4210817541960174</v>
      </c>
      <c r="BA524" s="31"/>
      <c r="BB524" s="31">
        <v>1972.66666666839</v>
      </c>
      <c r="BC524" s="2">
        <v>0.19170776223500072</v>
      </c>
      <c r="BD524" s="2">
        <v>7.7097786990586777E-4</v>
      </c>
      <c r="BE524" s="2">
        <v>1.0230160060199573</v>
      </c>
      <c r="BG524" s="2">
        <f t="shared" si="81"/>
        <v>0.37225473029468709</v>
      </c>
      <c r="BH524" s="2">
        <f t="shared" si="75"/>
        <v>-0.18797160857693399</v>
      </c>
      <c r="BI524" s="2">
        <f t="shared" si="76"/>
        <v>0.44082237944819269</v>
      </c>
    </row>
    <row r="525" spans="6:61" x14ac:dyDescent="0.3">
      <c r="F525" s="31">
        <v>1972.5833333350599</v>
      </c>
      <c r="G525" s="2">
        <v>1.1046337542458784</v>
      </c>
      <c r="H525" s="2">
        <v>6.1499999999999846E-2</v>
      </c>
      <c r="I525" s="2">
        <v>6.7934975886121352E-2</v>
      </c>
      <c r="K525" s="31">
        <v>1972.5833333350599</v>
      </c>
      <c r="L525" s="2">
        <v>0.82476533635591753</v>
      </c>
      <c r="M525" s="2">
        <v>6.1514999999999952E-2</v>
      </c>
      <c r="N525" s="2">
        <v>5.0736674815098665E-2</v>
      </c>
      <c r="P525" s="31">
        <v>1972.5833333350599</v>
      </c>
      <c r="Q525" s="2">
        <v>0.66331332296698897</v>
      </c>
      <c r="R525" s="2">
        <v>4.7900000000000303E-2</v>
      </c>
      <c r="S525" s="2">
        <v>3.0831979060607712E-2</v>
      </c>
      <c r="U525" s="2">
        <f t="shared" si="77"/>
        <v>0.86423747118959504</v>
      </c>
      <c r="V525" s="2">
        <f t="shared" si="78"/>
        <v>5.6971666666666698E-2</v>
      </c>
      <c r="W525" s="2">
        <f t="shared" si="79"/>
        <v>4.9834543253942577E-2</v>
      </c>
      <c r="Y525" s="31">
        <v>1972.5833333350599</v>
      </c>
      <c r="Z525" s="2">
        <v>2.1508410753443896</v>
      </c>
      <c r="AA525" s="2">
        <v>-0.78876452892998183</v>
      </c>
      <c r="AB525" s="2">
        <v>-0.1667144002861787</v>
      </c>
      <c r="AD525" s="31">
        <v>1972.5833333350599</v>
      </c>
      <c r="AE525" s="2">
        <v>9.2255028713900442E-2</v>
      </c>
      <c r="AF525" s="2">
        <v>-0.68622224125583742</v>
      </c>
      <c r="AG525" s="2">
        <v>-0.35550178587871384</v>
      </c>
      <c r="AH525" s="31"/>
      <c r="AI525" s="31">
        <v>1972.5833333350599</v>
      </c>
      <c r="AJ525" s="2">
        <v>-0.15566557838649489</v>
      </c>
      <c r="AK525" s="2">
        <v>-1.186702766808877</v>
      </c>
      <c r="AL525" s="2">
        <v>-1.1369365729913323</v>
      </c>
      <c r="AM525" s="31"/>
      <c r="AN525" s="2">
        <f t="shared" si="80"/>
        <v>0.69581017522393174</v>
      </c>
      <c r="AO525" s="2">
        <f t="shared" si="73"/>
        <v>-0.88722984566489871</v>
      </c>
      <c r="AP525" s="2">
        <f t="shared" si="74"/>
        <v>-0.55305091971874154</v>
      </c>
      <c r="AQ525" s="31"/>
      <c r="AR525" s="31">
        <v>1972.5833333350599</v>
      </c>
      <c r="AS525" s="2">
        <v>1.695539177218587</v>
      </c>
      <c r="AT525" s="2">
        <v>-0.65870957567408583</v>
      </c>
      <c r="AU525" s="2">
        <v>0.30213605245886033</v>
      </c>
      <c r="AV525" s="31"/>
      <c r="AW525" s="31">
        <v>1972.5833333350599</v>
      </c>
      <c r="AX525" s="2">
        <v>-0.13823126272239625</v>
      </c>
      <c r="AY525" s="2">
        <v>-0.53553372549108424</v>
      </c>
      <c r="AZ525" s="2">
        <v>-0.31794312960380494</v>
      </c>
      <c r="BA525" s="31"/>
      <c r="BB525" s="31">
        <v>1972.5833333350599</v>
      </c>
      <c r="BC525" s="2">
        <v>-0.68153119258506689</v>
      </c>
      <c r="BD525" s="2">
        <v>-1.8093824011735564</v>
      </c>
      <c r="BE525" s="2">
        <v>-1.656003538321027</v>
      </c>
      <c r="BG525" s="2">
        <f t="shared" si="81"/>
        <v>0.29192557397037461</v>
      </c>
      <c r="BH525" s="2">
        <f t="shared" si="75"/>
        <v>-1.0012085674462421</v>
      </c>
      <c r="BI525" s="2">
        <f t="shared" si="76"/>
        <v>-0.55727020515532388</v>
      </c>
    </row>
    <row r="526" spans="6:61" x14ac:dyDescent="0.3">
      <c r="F526" s="31">
        <v>1972.5000000017301</v>
      </c>
      <c r="G526" s="2"/>
      <c r="H526" s="2"/>
      <c r="I526" s="2"/>
      <c r="K526" s="31">
        <v>1972.5000000017301</v>
      </c>
      <c r="L526" s="2">
        <v>1.0403793588572361</v>
      </c>
      <c r="M526" s="2">
        <v>6.1530000000000001E-2</v>
      </c>
      <c r="N526" s="2">
        <v>6.401454195048574E-2</v>
      </c>
      <c r="P526" s="31">
        <v>1972.5000000017301</v>
      </c>
      <c r="Q526" s="2">
        <v>0.56207680925939796</v>
      </c>
      <c r="R526" s="2"/>
      <c r="S526" s="2"/>
      <c r="U526" s="2">
        <f t="shared" si="77"/>
        <v>0.80122808405831702</v>
      </c>
      <c r="V526" s="2">
        <f t="shared" si="78"/>
        <v>6.1530000000000001E-2</v>
      </c>
      <c r="W526" s="2">
        <f t="shared" si="79"/>
        <v>6.401454195048574E-2</v>
      </c>
      <c r="Y526" s="31">
        <v>1972.5000000017301</v>
      </c>
      <c r="Z526" s="2"/>
      <c r="AA526" s="2"/>
      <c r="AB526" s="2"/>
      <c r="AD526" s="31">
        <v>1972.5000000017301</v>
      </c>
      <c r="AE526" s="2">
        <v>1.375321613489723</v>
      </c>
      <c r="AF526" s="2">
        <v>-0.68585487699629111</v>
      </c>
      <c r="AG526" s="2">
        <v>0.14938659485406641</v>
      </c>
      <c r="AH526" s="31"/>
      <c r="AI526" s="31">
        <v>1972.5000000017301</v>
      </c>
      <c r="AJ526" s="2"/>
      <c r="AK526" s="2"/>
      <c r="AL526" s="2"/>
      <c r="AM526" s="31"/>
      <c r="AN526" s="2">
        <f t="shared" si="80"/>
        <v>1.375321613489723</v>
      </c>
      <c r="AO526" s="2">
        <f t="shared" si="73"/>
        <v>-0.68585487699629111</v>
      </c>
      <c r="AP526" s="2">
        <f t="shared" si="74"/>
        <v>0.14938659485406641</v>
      </c>
      <c r="AQ526" s="31"/>
      <c r="AR526" s="31">
        <v>1972.5000000017301</v>
      </c>
      <c r="AS526" s="2"/>
      <c r="AT526" s="2"/>
      <c r="AU526" s="2"/>
      <c r="AV526" s="31"/>
      <c r="AW526" s="31">
        <v>1972.5000000017301</v>
      </c>
      <c r="AX526" s="2">
        <v>0.33536471092600545</v>
      </c>
      <c r="AY526" s="2">
        <v>-0.10730219351257217</v>
      </c>
      <c r="AZ526" s="2">
        <v>0.33622650604445492</v>
      </c>
      <c r="BA526" s="31"/>
      <c r="BB526" s="31">
        <v>1972.5000000017301</v>
      </c>
      <c r="BC526" s="2"/>
      <c r="BD526" s="2"/>
      <c r="BE526" s="2"/>
      <c r="BG526" s="2">
        <f t="shared" si="81"/>
        <v>0.33536471092600545</v>
      </c>
      <c r="BH526" s="2">
        <f t="shared" si="75"/>
        <v>-0.10730219351257217</v>
      </c>
      <c r="BI526" s="2">
        <f t="shared" si="76"/>
        <v>0.33622650604445492</v>
      </c>
    </row>
    <row r="527" spans="6:61" x14ac:dyDescent="0.3">
      <c r="F527" s="31">
        <v>1972.4166666684</v>
      </c>
      <c r="G527" s="2">
        <v>1.111745450648276</v>
      </c>
      <c r="H527" s="2">
        <v>0.15374999999999961</v>
      </c>
      <c r="I527" s="2">
        <v>0.1682049373107079</v>
      </c>
      <c r="K527" s="31">
        <v>1972.4166666684</v>
      </c>
      <c r="L527" s="2">
        <v>0.89493730385950965</v>
      </c>
      <c r="M527" s="2">
        <v>0.1230299999999999</v>
      </c>
      <c r="N527" s="2">
        <v>8.4161207430452772E-2</v>
      </c>
      <c r="P527" s="31">
        <v>1972.4166666684</v>
      </c>
      <c r="Q527" s="2">
        <v>0.47165350847815046</v>
      </c>
      <c r="R527" s="2">
        <v>0.16775000000000076</v>
      </c>
      <c r="S527" s="2">
        <v>5.8978898662245684E-2</v>
      </c>
      <c r="U527" s="2">
        <f t="shared" si="77"/>
        <v>0.82611208766197874</v>
      </c>
      <c r="V527" s="2">
        <f t="shared" si="78"/>
        <v>0.14817666666666676</v>
      </c>
      <c r="W527" s="2">
        <f t="shared" si="79"/>
        <v>0.10378168113446878</v>
      </c>
      <c r="Y527" s="31">
        <v>1972.4166666684</v>
      </c>
      <c r="Z527" s="2">
        <v>2.1920752329461175</v>
      </c>
      <c r="AA527" s="2">
        <v>1.012624953636539</v>
      </c>
      <c r="AB527" s="2">
        <v>2.1409224616389717</v>
      </c>
      <c r="AD527" s="31">
        <v>1972.4166666684</v>
      </c>
      <c r="AE527" s="2">
        <v>0.50983133310886775</v>
      </c>
      <c r="AF527" s="2">
        <v>0.82033858713866403</v>
      </c>
      <c r="AG527" s="2">
        <v>0.91545973051878982</v>
      </c>
      <c r="AH527" s="31"/>
      <c r="AI527" s="31">
        <v>1972.4166666684</v>
      </c>
      <c r="AJ527" s="2">
        <v>0.66536329798547222</v>
      </c>
      <c r="AK527" s="2">
        <v>1.6693262822256021</v>
      </c>
      <c r="AL527" s="2">
        <v>1.1378373630731577</v>
      </c>
      <c r="AM527" s="31"/>
      <c r="AN527" s="2">
        <f t="shared" si="80"/>
        <v>1.1224232880134857</v>
      </c>
      <c r="AO527" s="2">
        <f t="shared" si="73"/>
        <v>1.1674299410002684</v>
      </c>
      <c r="AP527" s="2">
        <f t="shared" si="74"/>
        <v>1.3980731850769732</v>
      </c>
      <c r="AQ527" s="31"/>
      <c r="AR527" s="31">
        <v>1972.4166666684</v>
      </c>
      <c r="AS527" s="2">
        <v>1.5471090710718911</v>
      </c>
      <c r="AT527" s="2">
        <v>-0.3587827526842341</v>
      </c>
      <c r="AU527" s="2">
        <v>0.4741869873097137</v>
      </c>
      <c r="AV527" s="31"/>
      <c r="AW527" s="31">
        <v>1972.4166666684</v>
      </c>
      <c r="AX527" s="2">
        <v>9.0715052640374036E-2</v>
      </c>
      <c r="AY527" s="2">
        <v>-0.38552664826294392</v>
      </c>
      <c r="AZ527" s="2">
        <v>-9.9579483146351983E-2</v>
      </c>
      <c r="BA527" s="31"/>
      <c r="BB527" s="31">
        <v>1972.4166666684</v>
      </c>
      <c r="BC527" s="2">
        <v>-5.0716212316289068E-2</v>
      </c>
      <c r="BD527" s="2">
        <v>0.21308645383215588</v>
      </c>
      <c r="BE527" s="2">
        <v>0.2730879316331683</v>
      </c>
      <c r="BG527" s="2">
        <f t="shared" si="81"/>
        <v>0.52903597046532536</v>
      </c>
      <c r="BH527" s="2">
        <f t="shared" si="75"/>
        <v>-0.1770743157050074</v>
      </c>
      <c r="BI527" s="2">
        <f t="shared" si="76"/>
        <v>0.21589847859884334</v>
      </c>
    </row>
    <row r="528" spans="6:61" x14ac:dyDescent="0.3">
      <c r="F528" s="31">
        <v>1972.3333333350699</v>
      </c>
      <c r="G528" s="2">
        <v>0.94436109890954001</v>
      </c>
      <c r="H528" s="2">
        <v>0.12299999999999969</v>
      </c>
      <c r="I528" s="2">
        <v>0.11615641516587313</v>
      </c>
      <c r="K528" s="31">
        <v>1972.3333333350699</v>
      </c>
      <c r="L528" s="2">
        <v>0.8224838270871011</v>
      </c>
      <c r="M528" s="2">
        <v>0.1230299999999999</v>
      </c>
      <c r="N528" s="2">
        <v>7.589422258745962E-2</v>
      </c>
      <c r="P528" s="31">
        <v>1972.3333333350699</v>
      </c>
      <c r="Q528" s="2">
        <v>0.42050470631481612</v>
      </c>
      <c r="R528" s="2">
        <v>0.14380000000000059</v>
      </c>
      <c r="S528" s="2">
        <v>4.6787024978019738E-2</v>
      </c>
      <c r="U528" s="2">
        <f t="shared" si="77"/>
        <v>0.7291165441038191</v>
      </c>
      <c r="V528" s="2">
        <f t="shared" si="78"/>
        <v>0.12994333333333341</v>
      </c>
      <c r="W528" s="2">
        <f t="shared" si="79"/>
        <v>7.9612554243784162E-2</v>
      </c>
      <c r="Y528" s="31">
        <v>1972.3333333350699</v>
      </c>
      <c r="Z528" s="2">
        <v>1.2215680080691995</v>
      </c>
      <c r="AA528" s="2">
        <v>0.41216179278103221</v>
      </c>
      <c r="AB528" s="2">
        <v>0.94306533071264986</v>
      </c>
      <c r="AD528" s="31">
        <v>1972.3333333350699</v>
      </c>
      <c r="AE528" s="2">
        <v>7.8678322191221575E-2</v>
      </c>
      <c r="AF528" s="2">
        <v>0.82033858713866403</v>
      </c>
      <c r="AG528" s="2">
        <v>0.60110919903943016</v>
      </c>
      <c r="AH528" s="31"/>
      <c r="AI528" s="31">
        <v>1972.3333333350699</v>
      </c>
      <c r="AJ528" s="2">
        <v>-0.35765754355130402</v>
      </c>
      <c r="AK528" s="2">
        <v>1.0985970730109507</v>
      </c>
      <c r="AL528" s="2">
        <v>0.15251616696423079</v>
      </c>
      <c r="AM528" s="31"/>
      <c r="AN528" s="2">
        <f t="shared" si="80"/>
        <v>0.31419626223637237</v>
      </c>
      <c r="AO528" s="2">
        <f t="shared" si="73"/>
        <v>0.77703248431021565</v>
      </c>
      <c r="AP528" s="2">
        <f t="shared" si="74"/>
        <v>0.56556356557210352</v>
      </c>
      <c r="AQ528" s="31"/>
      <c r="AR528" s="31">
        <v>1972.3333333350699</v>
      </c>
      <c r="AS528" s="2">
        <v>1.2365451791591162</v>
      </c>
      <c r="AT528" s="2">
        <v>-0.62524988541030202</v>
      </c>
      <c r="AU528" s="2">
        <v>2.6574881731673657E-2</v>
      </c>
      <c r="AV528" s="31"/>
      <c r="AW528" s="31">
        <v>1972.3333333350699</v>
      </c>
      <c r="AX528" s="2">
        <v>-7.4441026992346546E-2</v>
      </c>
      <c r="AY528" s="2">
        <v>6.3072530914539418E-2</v>
      </c>
      <c r="AZ528" s="2">
        <v>6.9700291229270558E-2</v>
      </c>
      <c r="BA528" s="31"/>
      <c r="BB528" s="31">
        <v>1972.3333333350699</v>
      </c>
      <c r="BC528" s="2">
        <v>-0.67509643073207692</v>
      </c>
      <c r="BD528" s="2">
        <v>0.38139101458033026</v>
      </c>
      <c r="BE528" s="2">
        <v>-0.25342126901393119</v>
      </c>
      <c r="BG528" s="2">
        <f t="shared" si="81"/>
        <v>0.16233590714489757</v>
      </c>
      <c r="BH528" s="2">
        <f t="shared" si="75"/>
        <v>-6.0262113305144117E-2</v>
      </c>
      <c r="BI528" s="2">
        <f t="shared" si="76"/>
        <v>-5.2382032017662318E-2</v>
      </c>
    </row>
    <row r="529" spans="6:61" x14ac:dyDescent="0.3">
      <c r="F529" s="31">
        <v>1972.2500000017401</v>
      </c>
      <c r="G529" s="2">
        <v>0.77231030968048175</v>
      </c>
      <c r="H529" s="2">
        <v>0.12299999999999969</v>
      </c>
      <c r="I529" s="2">
        <v>9.4994168090699035E-2</v>
      </c>
      <c r="K529" s="31">
        <v>1972.2500000017401</v>
      </c>
      <c r="L529" s="2">
        <v>0.74555203421894811</v>
      </c>
      <c r="M529" s="2">
        <v>0.1230299999999999</v>
      </c>
      <c r="N529" s="2">
        <v>6.7559386486903628E-2</v>
      </c>
      <c r="P529" s="31">
        <v>1972.2500000017401</v>
      </c>
      <c r="Q529" s="2">
        <v>0.40138155223031347</v>
      </c>
      <c r="R529" s="2">
        <v>0.16775000000000076</v>
      </c>
      <c r="S529" s="2">
        <v>3.3500145483837077E-2</v>
      </c>
      <c r="U529" s="2">
        <f t="shared" si="77"/>
        <v>0.63974796537658107</v>
      </c>
      <c r="V529" s="2">
        <f t="shared" si="78"/>
        <v>0.13792666666666678</v>
      </c>
      <c r="W529" s="2">
        <f t="shared" si="79"/>
        <v>6.5351233353813251E-2</v>
      </c>
      <c r="Y529" s="31">
        <v>1972.2500000017401</v>
      </c>
      <c r="Z529" s="2">
        <v>0.22400442307408441</v>
      </c>
      <c r="AA529" s="2">
        <v>0.41216179278103221</v>
      </c>
      <c r="AB529" s="2">
        <v>0.45603231765451396</v>
      </c>
      <c r="AD529" s="31">
        <v>1972.2500000017401</v>
      </c>
      <c r="AE529" s="2">
        <v>-0.37912405814987338</v>
      </c>
      <c r="AF529" s="2">
        <v>0.82033858713866403</v>
      </c>
      <c r="AG529" s="2">
        <v>0.28417863635383217</v>
      </c>
      <c r="AH529" s="31"/>
      <c r="AI529" s="31">
        <v>1972.2500000017401</v>
      </c>
      <c r="AJ529" s="2">
        <v>-1.4235036659724876</v>
      </c>
      <c r="AK529" s="2">
        <v>1.6693262822256021</v>
      </c>
      <c r="AL529" s="2">
        <v>-0.92130106038300519</v>
      </c>
      <c r="AM529" s="31"/>
      <c r="AN529" s="2">
        <f t="shared" si="80"/>
        <v>-0.52620776701609218</v>
      </c>
      <c r="AO529" s="2">
        <f t="shared" si="73"/>
        <v>0.9672755540484328</v>
      </c>
      <c r="AP529" s="2">
        <f t="shared" si="74"/>
        <v>-6.0363368791553039E-2</v>
      </c>
      <c r="AQ529" s="31"/>
      <c r="AR529" s="31">
        <v>1972.2500000017401</v>
      </c>
      <c r="AS529" s="2">
        <v>0.45720575228454641</v>
      </c>
      <c r="AT529" s="2">
        <v>-0.74536446371894627</v>
      </c>
      <c r="AU529" s="2">
        <v>-0.40498206230286699</v>
      </c>
      <c r="AV529" s="31"/>
      <c r="AW529" s="31">
        <v>1972.2500000017401</v>
      </c>
      <c r="AX529" s="2">
        <v>-0.32941651001034422</v>
      </c>
      <c r="AY529" s="2">
        <v>-0.13053036562694012</v>
      </c>
      <c r="AZ529" s="2">
        <v>-0.26789283065280195</v>
      </c>
      <c r="BA529" s="31"/>
      <c r="BB529" s="31">
        <v>1972.2500000017401</v>
      </c>
      <c r="BC529" s="2">
        <v>-1.3165797762219353</v>
      </c>
      <c r="BD529" s="2">
        <v>0.57692863282771223</v>
      </c>
      <c r="BE529" s="2">
        <v>-1.0906959057930032</v>
      </c>
      <c r="BG529" s="2">
        <f t="shared" si="81"/>
        <v>-0.39626351131591103</v>
      </c>
      <c r="BH529" s="2">
        <f t="shared" si="75"/>
        <v>-9.9655398839391382E-2</v>
      </c>
      <c r="BI529" s="2">
        <f t="shared" si="76"/>
        <v>-0.5878569329162241</v>
      </c>
    </row>
    <row r="530" spans="6:61" x14ac:dyDescent="0.3">
      <c r="F530" s="31">
        <v>1972.16666666841</v>
      </c>
      <c r="G530" s="2">
        <v>0.66894605183946276</v>
      </c>
      <c r="H530" s="2">
        <v>9.2249999999999749E-2</v>
      </c>
      <c r="I530" s="2">
        <v>6.1601579096478017E-2</v>
      </c>
      <c r="K530" s="31">
        <v>1972.16666666841</v>
      </c>
      <c r="L530" s="2">
        <v>0.67265963791696737</v>
      </c>
      <c r="M530" s="2">
        <v>9.2264999999999903E-2</v>
      </c>
      <c r="N530" s="2">
        <v>4.1377946688453307E-2</v>
      </c>
      <c r="P530" s="31">
        <v>1972.16666666841</v>
      </c>
      <c r="Q530" s="2">
        <v>0.35136483763196757</v>
      </c>
      <c r="R530" s="2">
        <v>9.5850000000000463E-2</v>
      </c>
      <c r="S530" s="2">
        <v>2.9749243537916317E-2</v>
      </c>
      <c r="U530" s="2">
        <f t="shared" si="77"/>
        <v>0.56432350912946594</v>
      </c>
      <c r="V530" s="2">
        <f t="shared" si="78"/>
        <v>9.3455000000000024E-2</v>
      </c>
      <c r="W530" s="2">
        <f t="shared" si="79"/>
        <v>4.4242923107615878E-2</v>
      </c>
      <c r="Y530" s="31">
        <v>1972.16666666841</v>
      </c>
      <c r="Z530" s="2">
        <v>-0.37530941950857621</v>
      </c>
      <c r="AA530" s="2">
        <v>-0.1883013680744752</v>
      </c>
      <c r="AB530" s="2">
        <v>-0.31247270801198257</v>
      </c>
      <c r="AD530" s="31">
        <v>1972.16666666841</v>
      </c>
      <c r="AE530" s="2">
        <v>-0.81288897239025537</v>
      </c>
      <c r="AF530" s="2">
        <v>6.6874490811640125E-2</v>
      </c>
      <c r="AG530" s="2">
        <v>-0.71136564875675989</v>
      </c>
      <c r="AH530" s="31"/>
      <c r="AI530" s="31">
        <v>1972.16666666841</v>
      </c>
      <c r="AJ530" s="2">
        <v>-1.749559168651631</v>
      </c>
      <c r="AK530" s="2">
        <v>-4.4052846898962821E-2</v>
      </c>
      <c r="AL530" s="2">
        <v>-1.2244409458153558</v>
      </c>
      <c r="AM530" s="31"/>
      <c r="AN530" s="2">
        <f t="shared" si="80"/>
        <v>-0.97925252018348752</v>
      </c>
      <c r="AO530" s="2">
        <f t="shared" si="73"/>
        <v>-5.5159908053932637E-2</v>
      </c>
      <c r="AP530" s="2">
        <f t="shared" si="74"/>
        <v>-0.74942643419469945</v>
      </c>
      <c r="AQ530" s="31"/>
      <c r="AR530" s="31">
        <v>1972.16666666841</v>
      </c>
      <c r="AS530" s="2">
        <v>-1.0526696755801337E-2</v>
      </c>
      <c r="AT530" s="2">
        <v>-1.1019061349826649</v>
      </c>
      <c r="AU530" s="2">
        <v>-0.94196345589101915</v>
      </c>
      <c r="AV530" s="31"/>
      <c r="AW530" s="31">
        <v>1972.16666666841</v>
      </c>
      <c r="AX530" s="2">
        <v>-0.61727295122657366</v>
      </c>
      <c r="AY530" s="2">
        <v>-0.48231704140909132</v>
      </c>
      <c r="AZ530" s="2">
        <v>-0.72819105371085313</v>
      </c>
      <c r="BA530" s="31"/>
      <c r="BB530" s="31">
        <v>1972.16666666841</v>
      </c>
      <c r="BC530" s="2">
        <v>-1.2905891337969555</v>
      </c>
      <c r="BD530" s="2">
        <v>-0.34847073798484229</v>
      </c>
      <c r="BE530" s="2">
        <v>-0.90432276711522397</v>
      </c>
      <c r="BG530" s="2">
        <f t="shared" si="81"/>
        <v>-0.63946292725977683</v>
      </c>
      <c r="BH530" s="2">
        <f t="shared" si="75"/>
        <v>-0.64423130479219948</v>
      </c>
      <c r="BI530" s="2">
        <f t="shared" si="76"/>
        <v>-0.85815909223903208</v>
      </c>
    </row>
    <row r="531" spans="6:61" x14ac:dyDescent="0.3">
      <c r="F531" s="31">
        <v>1972.0833333350799</v>
      </c>
      <c r="G531" s="2">
        <v>0.64053111108840866</v>
      </c>
      <c r="H531" s="2">
        <v>9.2249999999999804E-2</v>
      </c>
      <c r="I531" s="2">
        <v>5.9074804581211247E-2</v>
      </c>
      <c r="K531" s="31">
        <v>1972.0833333350799</v>
      </c>
      <c r="L531" s="2">
        <v>0.62534358513657384</v>
      </c>
      <c r="M531" s="2">
        <v>6.1514999999999952E-2</v>
      </c>
      <c r="N531" s="2">
        <v>3.8467291916591415E-2</v>
      </c>
      <c r="P531" s="31">
        <v>1972.0833333350799</v>
      </c>
      <c r="Q531" s="2">
        <v>0.3959565650805289</v>
      </c>
      <c r="R531" s="2">
        <v>9.5850000000000463E-2</v>
      </c>
      <c r="S531" s="2">
        <v>2.9258762081047929E-2</v>
      </c>
      <c r="U531" s="2">
        <f t="shared" si="77"/>
        <v>0.5539437537685038</v>
      </c>
      <c r="V531" s="2">
        <f t="shared" si="78"/>
        <v>8.3205000000000071E-2</v>
      </c>
      <c r="W531" s="2">
        <f t="shared" si="79"/>
        <v>4.2266952859616867E-2</v>
      </c>
      <c r="Y531" s="31">
        <v>1972.0833333350799</v>
      </c>
      <c r="Z531" s="2">
        <v>-0.54006141099934191</v>
      </c>
      <c r="AA531" s="2">
        <v>-0.18830136807447412</v>
      </c>
      <c r="AB531" s="2">
        <v>-0.37062450073594883</v>
      </c>
      <c r="AD531" s="31">
        <v>1972.0833333350799</v>
      </c>
      <c r="AE531" s="2">
        <v>-1.0944552895607484</v>
      </c>
      <c r="AF531" s="2">
        <v>-0.68622224125583742</v>
      </c>
      <c r="AG531" s="2">
        <v>-0.8220427446828783</v>
      </c>
      <c r="AH531" s="31"/>
      <c r="AI531" s="31">
        <v>1972.0833333350799</v>
      </c>
      <c r="AJ531" s="2">
        <v>-1.7914685663065932</v>
      </c>
      <c r="AK531" s="2">
        <v>-4.4052846898962821E-2</v>
      </c>
      <c r="AL531" s="2">
        <v>-1.2640806097643096</v>
      </c>
      <c r="AM531" s="31"/>
      <c r="AN531" s="2">
        <f t="shared" si="80"/>
        <v>-1.141995088955561</v>
      </c>
      <c r="AO531" s="2">
        <f t="shared" si="73"/>
        <v>-0.30619215207642481</v>
      </c>
      <c r="AP531" s="2">
        <f t="shared" si="74"/>
        <v>-0.81891595172771225</v>
      </c>
      <c r="AQ531" s="31"/>
      <c r="AR531" s="31">
        <v>1972.0833333350799</v>
      </c>
      <c r="AS531" s="2">
        <v>1.4608874041464779E-2</v>
      </c>
      <c r="AT531" s="2">
        <v>0.50956041230593874</v>
      </c>
      <c r="AU531" s="2">
        <v>0.43230420181054979</v>
      </c>
      <c r="AV531" s="31"/>
      <c r="AW531" s="31">
        <v>1972.0833333350799</v>
      </c>
      <c r="AX531" s="2">
        <v>-0.84440222362459183</v>
      </c>
      <c r="AY531" s="2">
        <v>-0.87038484719517628</v>
      </c>
      <c r="AZ531" s="2">
        <v>-1.1066717373364829</v>
      </c>
      <c r="BA531" s="31"/>
      <c r="BB531" s="31">
        <v>1972.0833333350799</v>
      </c>
      <c r="BC531" s="2">
        <v>-1.2296427341639573</v>
      </c>
      <c r="BD531" s="2">
        <v>-1.4615836317459097E-2</v>
      </c>
      <c r="BE531" s="2">
        <v>-1.0823413036754297</v>
      </c>
      <c r="BG531" s="2">
        <f t="shared" si="81"/>
        <v>-0.68647869458236144</v>
      </c>
      <c r="BH531" s="2">
        <f t="shared" si="75"/>
        <v>-0.12514675706889888</v>
      </c>
      <c r="BI531" s="2">
        <f t="shared" si="76"/>
        <v>-0.58556961306712096</v>
      </c>
    </row>
    <row r="532" spans="6:61" x14ac:dyDescent="0.3">
      <c r="F532" s="31">
        <v>1972.0000000017501</v>
      </c>
      <c r="G532" s="2">
        <v>0.65994797272667083</v>
      </c>
      <c r="H532" s="2">
        <v>6.1499999999999846E-2</v>
      </c>
      <c r="I532" s="2">
        <v>4.0586800322690152E-2</v>
      </c>
      <c r="K532" s="31">
        <v>1972.0000000017501</v>
      </c>
      <c r="L532" s="2">
        <v>0.7129944196142266</v>
      </c>
      <c r="M532" s="2">
        <v>6.1499999999999902E-2</v>
      </c>
      <c r="N532" s="2">
        <v>4.3849156806274867E-2</v>
      </c>
      <c r="P532" s="31">
        <v>1972.0000000017501</v>
      </c>
      <c r="Q532" s="2">
        <v>0.44941910348177877</v>
      </c>
      <c r="R532" s="2">
        <v>9.5850000000000463E-2</v>
      </c>
      <c r="S532" s="2">
        <v>3.0051459329611015E-2</v>
      </c>
      <c r="U532" s="2">
        <f t="shared" si="77"/>
        <v>0.60745383194089209</v>
      </c>
      <c r="V532" s="2">
        <f t="shared" si="78"/>
        <v>7.295000000000007E-2</v>
      </c>
      <c r="W532" s="2">
        <f t="shared" si="79"/>
        <v>3.816247215285868E-2</v>
      </c>
      <c r="Y532" s="31">
        <v>1972.0000000017501</v>
      </c>
      <c r="Z532" s="2">
        <v>-0.42748096779410061</v>
      </c>
      <c r="AA532" s="2">
        <v>-0.78876452892998183</v>
      </c>
      <c r="AB532" s="2">
        <v>-0.79611185032947496</v>
      </c>
      <c r="AD532" s="31">
        <v>1972.0000000017501</v>
      </c>
      <c r="AE532" s="2">
        <v>-0.57286650075502443</v>
      </c>
      <c r="AF532" s="2">
        <v>-0.68658960551538373</v>
      </c>
      <c r="AG532" s="2">
        <v>-0.61739835249483521</v>
      </c>
      <c r="AH532" s="31"/>
      <c r="AI532" s="31">
        <v>1972.0000000017501</v>
      </c>
      <c r="AJ532" s="2">
        <v>-1.6881915681150266</v>
      </c>
      <c r="AK532" s="2">
        <v>-4.4052846898962821E-2</v>
      </c>
      <c r="AL532" s="2">
        <v>-1.2000165108951599</v>
      </c>
      <c r="AM532" s="31"/>
      <c r="AN532" s="2">
        <f t="shared" si="80"/>
        <v>-0.89617967888805061</v>
      </c>
      <c r="AO532" s="2">
        <f t="shared" si="73"/>
        <v>-0.50646899378144283</v>
      </c>
      <c r="AP532" s="2">
        <f t="shared" si="74"/>
        <v>-0.87117557123982337</v>
      </c>
      <c r="AQ532" s="31"/>
      <c r="AR532" s="31">
        <v>1972.0000000017501</v>
      </c>
      <c r="AS532" s="2">
        <v>6.5561108104861135E-3</v>
      </c>
      <c r="AT532" s="2">
        <v>-0.29853293598826575</v>
      </c>
      <c r="AU532" s="2">
        <v>-0.23196380847430598</v>
      </c>
      <c r="AV532" s="31"/>
      <c r="AW532" s="31">
        <v>1972.0000000017501</v>
      </c>
      <c r="AX532" s="2">
        <v>-0.19628445531923575</v>
      </c>
      <c r="AY532" s="2">
        <v>-0.22064426073162682</v>
      </c>
      <c r="AZ532" s="2">
        <v>-0.25600591466166495</v>
      </c>
      <c r="BA532" s="31"/>
      <c r="BB532" s="31">
        <v>1972.0000000017501</v>
      </c>
      <c r="BC532" s="2">
        <v>-0.94658587331160382</v>
      </c>
      <c r="BD532" s="2">
        <v>0.75540652012817533</v>
      </c>
      <c r="BE532" s="2">
        <v>-0.54384586812370295</v>
      </c>
      <c r="BG532" s="2">
        <f t="shared" si="81"/>
        <v>-0.37877140594011777</v>
      </c>
      <c r="BH532" s="2">
        <f t="shared" si="75"/>
        <v>7.8743107802760934E-2</v>
      </c>
      <c r="BI532" s="2">
        <f t="shared" si="76"/>
        <v>-0.34393853041989136</v>
      </c>
    </row>
    <row r="533" spans="6:61" x14ac:dyDescent="0.3">
      <c r="F533" s="31">
        <v>1971.91666666842</v>
      </c>
      <c r="G533" s="2">
        <v>0.70848960577069608</v>
      </c>
      <c r="H533" s="2">
        <v>9.2249999999999804E-2</v>
      </c>
      <c r="I533" s="2">
        <v>6.718443232335336E-2</v>
      </c>
      <c r="K533" s="31">
        <v>1971.91666666842</v>
      </c>
      <c r="L533" s="2">
        <v>0.66976478285497087</v>
      </c>
      <c r="M533" s="2">
        <v>6.1514999999999952E-2</v>
      </c>
      <c r="N533" s="2">
        <v>4.1199129520133507E-2</v>
      </c>
      <c r="P533" s="31">
        <v>1971.91666666842</v>
      </c>
      <c r="Q533" s="2">
        <v>0.53646454095930252</v>
      </c>
      <c r="R533" s="2">
        <v>4.7900000000000303E-2</v>
      </c>
      <c r="S533" s="2">
        <v>2.0721034958125526E-2</v>
      </c>
      <c r="U533" s="2">
        <f t="shared" si="77"/>
        <v>0.63823964319498983</v>
      </c>
      <c r="V533" s="2">
        <f t="shared" si="78"/>
        <v>6.7221666666666693E-2</v>
      </c>
      <c r="W533" s="2">
        <f t="shared" si="79"/>
        <v>4.3034865600537466E-2</v>
      </c>
      <c r="Y533" s="31">
        <v>1971.91666666842</v>
      </c>
      <c r="Z533" s="2">
        <v>-0.14603288087804947</v>
      </c>
      <c r="AA533" s="2">
        <v>-0.18830136807447412</v>
      </c>
      <c r="AB533" s="2">
        <v>-0.18398758925839828</v>
      </c>
      <c r="AD533" s="31">
        <v>1971.91666666842</v>
      </c>
      <c r="AE533" s="2">
        <v>-0.83011555048906216</v>
      </c>
      <c r="AF533" s="2">
        <v>-0.68622224125583742</v>
      </c>
      <c r="AG533" s="2">
        <v>-0.71816513768368184</v>
      </c>
      <c r="AH533" s="31"/>
      <c r="AI533" s="31">
        <v>1971.91666666842</v>
      </c>
      <c r="AJ533" s="2">
        <v>-1.5320046659501863</v>
      </c>
      <c r="AK533" s="2">
        <v>-1.186702766808877</v>
      </c>
      <c r="AL533" s="2">
        <v>-1.9540814840100493</v>
      </c>
      <c r="AM533" s="31"/>
      <c r="AN533" s="2">
        <f t="shared" si="80"/>
        <v>-0.83605103243909928</v>
      </c>
      <c r="AO533" s="2">
        <f t="shared" si="73"/>
        <v>-0.68707545871306286</v>
      </c>
      <c r="AP533" s="2">
        <f t="shared" si="74"/>
        <v>-0.95207807031737646</v>
      </c>
      <c r="AQ533" s="31"/>
      <c r="AR533" s="31">
        <v>1971.91666666842</v>
      </c>
      <c r="AS533" s="2">
        <v>0.16017213585719361</v>
      </c>
      <c r="AT533" s="2">
        <v>0.68444756444045307</v>
      </c>
      <c r="AU533" s="2">
        <v>0.74453013738019902</v>
      </c>
      <c r="AV533" s="31"/>
      <c r="AW533" s="31">
        <v>1971.91666666842</v>
      </c>
      <c r="AX533" s="2">
        <v>-0.54994938642507241</v>
      </c>
      <c r="AY533" s="2">
        <v>-0.51751295497595129</v>
      </c>
      <c r="AZ533" s="2">
        <v>-0.6438131376883931</v>
      </c>
      <c r="BA533" s="31"/>
      <c r="BB533" s="31">
        <v>1971.91666666842</v>
      </c>
      <c r="BC533" s="2">
        <v>-1.3877373368591595</v>
      </c>
      <c r="BD533" s="2">
        <v>-1.7765123716427775</v>
      </c>
      <c r="BE533" s="2">
        <v>-1.9572665731452554</v>
      </c>
      <c r="BG533" s="2">
        <f t="shared" si="81"/>
        <v>-0.59250486247567935</v>
      </c>
      <c r="BH533" s="2">
        <f t="shared" si="75"/>
        <v>-0.53652592072609195</v>
      </c>
      <c r="BI533" s="2">
        <f t="shared" si="76"/>
        <v>-0.61884985781781643</v>
      </c>
    </row>
    <row r="534" spans="6:61" x14ac:dyDescent="0.3">
      <c r="F534" s="31">
        <v>1971.8333333350899</v>
      </c>
      <c r="G534" s="2">
        <v>0.75690989428266475</v>
      </c>
      <c r="H534" s="2">
        <v>6.1499999999999846E-2</v>
      </c>
      <c r="I534" s="2">
        <v>4.6549958498383774E-2</v>
      </c>
      <c r="K534" s="31">
        <v>1971.8333333350899</v>
      </c>
      <c r="L534" s="2">
        <v>0.82402963474214119</v>
      </c>
      <c r="M534" s="2">
        <v>6.1499999999999902E-2</v>
      </c>
      <c r="N534" s="2">
        <v>5.0677822536641604E-2</v>
      </c>
      <c r="P534" s="31">
        <v>1971.8333333350899</v>
      </c>
      <c r="Q534" s="2">
        <v>0.60458853573268834</v>
      </c>
      <c r="R534" s="2">
        <v>9.5850000000000463E-2</v>
      </c>
      <c r="S534" s="2">
        <v>3.3176574250248211E-2</v>
      </c>
      <c r="U534" s="2">
        <f t="shared" si="77"/>
        <v>0.72850935491916469</v>
      </c>
      <c r="V534" s="2">
        <f t="shared" si="78"/>
        <v>7.295000000000007E-2</v>
      </c>
      <c r="W534" s="2">
        <f t="shared" si="79"/>
        <v>4.3468118428424525E-2</v>
      </c>
      <c r="Y534" s="31">
        <v>1971.8333333350899</v>
      </c>
      <c r="Z534" s="2">
        <v>0.13471164119554824</v>
      </c>
      <c r="AA534" s="2">
        <v>-0.78876452892998183</v>
      </c>
      <c r="AB534" s="2">
        <v>-0.65887430257126134</v>
      </c>
      <c r="AD534" s="31">
        <v>1971.8333333350899</v>
      </c>
      <c r="AE534" s="2">
        <v>8.7877047420980126E-2</v>
      </c>
      <c r="AF534" s="2">
        <v>-0.68658960551538373</v>
      </c>
      <c r="AG534" s="2">
        <v>-0.35773963261039482</v>
      </c>
      <c r="AH534" s="31"/>
      <c r="AI534" s="31">
        <v>1971.8333333350899</v>
      </c>
      <c r="AJ534" s="2">
        <v>-1.2794704117482316</v>
      </c>
      <c r="AK534" s="2">
        <v>-4.4052846898962821E-2</v>
      </c>
      <c r="AL534" s="2">
        <v>-0.94745139651376076</v>
      </c>
      <c r="AM534" s="31"/>
      <c r="AN534" s="2">
        <f t="shared" si="80"/>
        <v>-0.35229390771056779</v>
      </c>
      <c r="AO534" s="2">
        <f t="shared" si="73"/>
        <v>-0.50646899378144283</v>
      </c>
      <c r="AP534" s="2">
        <f t="shared" si="74"/>
        <v>-0.65468844389847225</v>
      </c>
      <c r="AQ534" s="31"/>
      <c r="AR534" s="31">
        <v>1971.8333333350899</v>
      </c>
      <c r="AS534" s="2">
        <v>0.22031509798177806</v>
      </c>
      <c r="AT534" s="2">
        <v>-0.28549293171718004</v>
      </c>
      <c r="AU534" s="2">
        <v>-5.4589254376341934E-2</v>
      </c>
      <c r="AV534" s="31"/>
      <c r="AW534" s="31">
        <v>1971.8333333350899</v>
      </c>
      <c r="AX534" s="2">
        <v>0.20160598451471784</v>
      </c>
      <c r="AY534" s="2">
        <v>-0.19208961378086201</v>
      </c>
      <c r="AZ534" s="2">
        <v>0.14804475324591324</v>
      </c>
      <c r="BA534" s="31"/>
      <c r="BB534" s="31">
        <v>1971.8333333350899</v>
      </c>
      <c r="BC534" s="2">
        <v>-0.77124200078375982</v>
      </c>
      <c r="BD534" s="2">
        <v>0.77674476466510867</v>
      </c>
      <c r="BE534" s="2">
        <v>-0.4433156994512289</v>
      </c>
      <c r="BG534" s="2">
        <f t="shared" si="81"/>
        <v>-0.11644030609575462</v>
      </c>
      <c r="BH534" s="2">
        <f t="shared" si="75"/>
        <v>9.9720739722355553E-2</v>
      </c>
      <c r="BI534" s="2">
        <f t="shared" si="76"/>
        <v>-0.11662006686055254</v>
      </c>
    </row>
    <row r="535" spans="6:61" x14ac:dyDescent="0.3">
      <c r="F535" s="31">
        <v>1971.7500000017601</v>
      </c>
      <c r="G535" s="2">
        <v>0.80617760704292996</v>
      </c>
      <c r="H535" s="2">
        <v>9.2249999999999804E-2</v>
      </c>
      <c r="I535" s="2">
        <v>7.7471492217758092E-2</v>
      </c>
      <c r="K535" s="31">
        <v>1971.7500000017601</v>
      </c>
      <c r="L535" s="2">
        <v>0.88587299493514871</v>
      </c>
      <c r="M535" s="2">
        <v>6.1499999999999902E-2</v>
      </c>
      <c r="N535" s="2">
        <v>5.448118918851156E-2</v>
      </c>
      <c r="P535" s="31">
        <v>1971.7500000017601</v>
      </c>
      <c r="Q535" s="2">
        <v>0.62836709564852922</v>
      </c>
      <c r="R535" s="2">
        <v>9.5850000000000463E-2</v>
      </c>
      <c r="S535" s="2">
        <v>3.6215414199680912E-2</v>
      </c>
      <c r="U535" s="2">
        <f t="shared" si="77"/>
        <v>0.77347256587553603</v>
      </c>
      <c r="V535" s="2">
        <f t="shared" si="78"/>
        <v>8.3200000000000066E-2</v>
      </c>
      <c r="W535" s="2">
        <f t="shared" si="79"/>
        <v>5.6056031868650186E-2</v>
      </c>
      <c r="Y535" s="31">
        <v>1971.7500000017601</v>
      </c>
      <c r="Z535" s="2">
        <v>0.42036959362846282</v>
      </c>
      <c r="AA535" s="2">
        <v>-0.18830136807447412</v>
      </c>
      <c r="AB535" s="2">
        <v>5.2761266290072759E-2</v>
      </c>
      <c r="AD535" s="31">
        <v>1971.7500000017601</v>
      </c>
      <c r="AE535" s="2">
        <v>0.45589183622451429</v>
      </c>
      <c r="AF535" s="2">
        <v>-0.68658960551538373</v>
      </c>
      <c r="AG535" s="2">
        <v>-0.2131173366786997</v>
      </c>
      <c r="AH535" s="31"/>
      <c r="AI535" s="31">
        <v>1971.7500000017601</v>
      </c>
      <c r="AJ535" s="2">
        <v>-0.92569424176128212</v>
      </c>
      <c r="AK535" s="2">
        <v>-4.4052846898962821E-2</v>
      </c>
      <c r="AL535" s="2">
        <v>-0.70185884106983332</v>
      </c>
      <c r="AM535" s="31"/>
      <c r="AN535" s="2">
        <f t="shared" si="80"/>
        <v>-1.6477603969435001E-2</v>
      </c>
      <c r="AO535" s="2">
        <f t="shared" si="73"/>
        <v>-0.30631460682960693</v>
      </c>
      <c r="AP535" s="2">
        <f t="shared" si="74"/>
        <v>-0.28740497048615343</v>
      </c>
      <c r="AQ535" s="31"/>
      <c r="AR535" s="31">
        <v>1971.7500000017601</v>
      </c>
      <c r="AS535" s="2">
        <v>0.43061286399578697</v>
      </c>
      <c r="AT535" s="2">
        <v>0.89414149018552891</v>
      </c>
      <c r="AU535" s="2">
        <v>1.0649058647831933</v>
      </c>
      <c r="AV535" s="31"/>
      <c r="AW535" s="31">
        <v>1971.7500000017601</v>
      </c>
      <c r="AX535" s="2">
        <v>0.58286093952757612</v>
      </c>
      <c r="AY535" s="2">
        <v>-0.65725665107063169</v>
      </c>
      <c r="AZ535" s="2">
        <v>2.2273685840382331E-2</v>
      </c>
      <c r="BA535" s="31"/>
      <c r="BB535" s="31">
        <v>1971.7500000017601</v>
      </c>
      <c r="BC535" s="2">
        <v>-0.97251219092238461</v>
      </c>
      <c r="BD535" s="2">
        <v>0.36965282471677957</v>
      </c>
      <c r="BE535" s="2">
        <v>-0.87736002165181093</v>
      </c>
      <c r="BG535" s="2">
        <f t="shared" si="81"/>
        <v>1.3653870866992823E-2</v>
      </c>
      <c r="BH535" s="2">
        <f t="shared" si="75"/>
        <v>0.20217922127722562</v>
      </c>
      <c r="BI535" s="2">
        <f t="shared" si="76"/>
        <v>6.9939842990588239E-2</v>
      </c>
    </row>
    <row r="536" spans="6:61" x14ac:dyDescent="0.3">
      <c r="F536" s="31">
        <v>1971.66666666843</v>
      </c>
      <c r="G536" s="2">
        <v>0.86115511377685738</v>
      </c>
      <c r="H536" s="2">
        <v>6.1499999999999846E-2</v>
      </c>
      <c r="I536" s="2">
        <v>5.2961039497276603E-2</v>
      </c>
      <c r="K536" s="31">
        <v>1971.66666666843</v>
      </c>
      <c r="L536" s="2">
        <v>0.74911767775537763</v>
      </c>
      <c r="M536" s="2">
        <v>6.1514999999999952E-2</v>
      </c>
      <c r="N536" s="2">
        <v>4.6079304043196198E-2</v>
      </c>
      <c r="P536" s="31">
        <v>1971.66666666843</v>
      </c>
      <c r="Q536" s="2">
        <v>0.62552191547519587</v>
      </c>
      <c r="R536" s="2">
        <v>4.7900000000000303E-2</v>
      </c>
      <c r="S536" s="2">
        <v>3.1444784430532544E-2</v>
      </c>
      <c r="U536" s="2">
        <f t="shared" si="77"/>
        <v>0.74526490233581022</v>
      </c>
      <c r="V536" s="2">
        <f t="shared" si="78"/>
        <v>5.6971666666666698E-2</v>
      </c>
      <c r="W536" s="2">
        <f t="shared" si="79"/>
        <v>4.3495042657001777E-2</v>
      </c>
      <c r="Y536" s="31">
        <v>1971.66666666843</v>
      </c>
      <c r="Z536" s="2">
        <v>0.73913336656631468</v>
      </c>
      <c r="AA536" s="2">
        <v>-0.78876452892998183</v>
      </c>
      <c r="AB536" s="2">
        <v>-0.5113281518832512</v>
      </c>
      <c r="AD536" s="31">
        <v>1971.66666666843</v>
      </c>
      <c r="AE536" s="2">
        <v>-0.35790578105573573</v>
      </c>
      <c r="AF536" s="2">
        <v>-0.68622224125583742</v>
      </c>
      <c r="AG536" s="2">
        <v>-0.53259742658075993</v>
      </c>
      <c r="AH536" s="31"/>
      <c r="AI536" s="31">
        <v>1971.66666666843</v>
      </c>
      <c r="AJ536" s="2">
        <v>-7.2248246122793361E-2</v>
      </c>
      <c r="AK536" s="2">
        <v>-1.186702766808877</v>
      </c>
      <c r="AL536" s="2">
        <v>-1.0874109516048895</v>
      </c>
      <c r="AM536" s="31"/>
      <c r="AN536" s="2">
        <f t="shared" si="80"/>
        <v>0.10299311312926186</v>
      </c>
      <c r="AO536" s="2">
        <f t="shared" si="73"/>
        <v>-0.88722984566489871</v>
      </c>
      <c r="AP536" s="2">
        <f t="shared" si="74"/>
        <v>-0.71044551002296685</v>
      </c>
      <c r="AQ536" s="31"/>
      <c r="AR536" s="31">
        <v>1971.66666666843</v>
      </c>
      <c r="AS536" s="2">
        <v>0.2599948330416853</v>
      </c>
      <c r="AT536" s="2">
        <v>-0.32631334910519932</v>
      </c>
      <c r="AU536" s="2">
        <v>-8.8271923453807466E-2</v>
      </c>
      <c r="AV536" s="31"/>
      <c r="AW536" s="31">
        <v>1971.66666666843</v>
      </c>
      <c r="AX536" s="2">
        <v>-0.30489800907052461</v>
      </c>
      <c r="AY536" s="2">
        <v>-0.23837245449551037</v>
      </c>
      <c r="AZ536" s="2">
        <v>-0.32116571092360191</v>
      </c>
      <c r="BA536" s="31"/>
      <c r="BB536" s="31">
        <v>1971.66666666843</v>
      </c>
      <c r="BC536" s="2">
        <v>-0.3302668012120018</v>
      </c>
      <c r="BD536" s="2">
        <v>-1.0289872901111137</v>
      </c>
      <c r="BE536" s="2">
        <v>-1.0128136058417738</v>
      </c>
      <c r="BG536" s="2">
        <f t="shared" si="81"/>
        <v>-0.12505665908028038</v>
      </c>
      <c r="BH536" s="2">
        <f t="shared" si="75"/>
        <v>-0.53122436457060773</v>
      </c>
      <c r="BI536" s="2">
        <f t="shared" si="76"/>
        <v>-0.4740837467397277</v>
      </c>
    </row>
    <row r="537" spans="6:61" x14ac:dyDescent="0.3">
      <c r="F537" s="31">
        <v>1971.5833333351</v>
      </c>
      <c r="G537" s="2">
        <v>0.94497956702653141</v>
      </c>
      <c r="H537" s="2">
        <v>9.2249999999999804E-2</v>
      </c>
      <c r="I537" s="2">
        <v>8.9817244295456594E-2</v>
      </c>
      <c r="K537" s="31">
        <v>1971.5833333351</v>
      </c>
      <c r="L537" s="2">
        <v>0.96691103845075177</v>
      </c>
      <c r="M537" s="2">
        <v>6.1499999999999902E-2</v>
      </c>
      <c r="N537" s="2">
        <v>5.9465028864721138E-2</v>
      </c>
      <c r="P537" s="31">
        <v>1971.5833333351</v>
      </c>
      <c r="Q537" s="2">
        <v>0.60908039163197114</v>
      </c>
      <c r="R537" s="2">
        <v>9.5850000000000463E-2</v>
      </c>
      <c r="S537" s="2">
        <v>4.0421098325330626E-2</v>
      </c>
      <c r="U537" s="2">
        <f t="shared" si="77"/>
        <v>0.84032366570308481</v>
      </c>
      <c r="V537" s="2">
        <f t="shared" si="78"/>
        <v>8.3200000000000066E-2</v>
      </c>
      <c r="W537" s="2">
        <f t="shared" si="79"/>
        <v>6.3234457161836122E-2</v>
      </c>
      <c r="Y537" s="31">
        <v>1971.5833333351</v>
      </c>
      <c r="Z537" s="2">
        <v>1.2251539333343824</v>
      </c>
      <c r="AA537" s="2">
        <v>-0.18830136807447412</v>
      </c>
      <c r="AB537" s="2">
        <v>0.33688935587862973</v>
      </c>
      <c r="AD537" s="31">
        <v>1971.5833333351</v>
      </c>
      <c r="AE537" s="2">
        <v>0.93812951503709452</v>
      </c>
      <c r="AF537" s="2">
        <v>-0.68658960551538373</v>
      </c>
      <c r="AG537" s="2">
        <v>-2.3607777779209846E-2</v>
      </c>
      <c r="AH537" s="31"/>
      <c r="AI537" s="31">
        <v>1971.5833333351</v>
      </c>
      <c r="AJ537" s="2">
        <v>-0.44535132082991818</v>
      </c>
      <c r="AK537" s="2">
        <v>-4.4052846898962821E-2</v>
      </c>
      <c r="AL537" s="2">
        <v>-0.36196443103316961</v>
      </c>
      <c r="AM537" s="31"/>
      <c r="AN537" s="2">
        <f t="shared" si="80"/>
        <v>0.57264404251385292</v>
      </c>
      <c r="AO537" s="2">
        <f t="shared" si="73"/>
        <v>-0.30631460682960693</v>
      </c>
      <c r="AP537" s="2">
        <f t="shared" si="74"/>
        <v>-1.6227617644583248E-2</v>
      </c>
      <c r="AQ537" s="31"/>
      <c r="AR537" s="31">
        <v>1971.5833333351</v>
      </c>
      <c r="AS537" s="2">
        <v>0.7538479600472473</v>
      </c>
      <c r="AT537" s="2">
        <v>0.98806436351113314</v>
      </c>
      <c r="AU537" s="2">
        <v>1.2649271594200076</v>
      </c>
      <c r="AV537" s="31"/>
      <c r="AW537" s="31">
        <v>1971.5833333351</v>
      </c>
      <c r="AX537" s="2">
        <v>0.8073786977373375</v>
      </c>
      <c r="AY537" s="2">
        <v>-0.53650008642859726</v>
      </c>
      <c r="AZ537" s="2">
        <v>0.52620843838928866</v>
      </c>
      <c r="BA537" s="31"/>
      <c r="BB537" s="31">
        <v>1971.5833333351</v>
      </c>
      <c r="BC537" s="2">
        <v>-0.94648162550883475</v>
      </c>
      <c r="BD537" s="2">
        <v>0.77441334649330551</v>
      </c>
      <c r="BE537" s="2">
        <v>-0.96680636156096045</v>
      </c>
      <c r="BG537" s="2">
        <f t="shared" si="81"/>
        <v>0.20491501075858334</v>
      </c>
      <c r="BH537" s="2">
        <f t="shared" si="75"/>
        <v>0.40865920785861382</v>
      </c>
      <c r="BI537" s="2">
        <f t="shared" si="76"/>
        <v>0.27477641208277859</v>
      </c>
    </row>
    <row r="538" spans="6:61" x14ac:dyDescent="0.3">
      <c r="F538" s="31">
        <v>1971.5000000017701</v>
      </c>
      <c r="G538" s="2">
        <v>1.143121427294739</v>
      </c>
      <c r="H538" s="2">
        <v>6.1499999999999902E-2</v>
      </c>
      <c r="I538" s="2">
        <v>7.0301967778626337E-2</v>
      </c>
      <c r="K538" s="31">
        <v>1971.5000000017701</v>
      </c>
      <c r="L538" s="2">
        <v>1.0082751662362686</v>
      </c>
      <c r="M538" s="2">
        <v>6.1499999999999902E-2</v>
      </c>
      <c r="N538" s="2">
        <v>6.2008922723530417E-2</v>
      </c>
      <c r="P538" s="31">
        <v>1971.5000000017701</v>
      </c>
      <c r="Q538" s="2">
        <v>0.58850515625508415</v>
      </c>
      <c r="R538" s="2">
        <v>4.7900000000000303E-2</v>
      </c>
      <c r="S538" s="2">
        <v>3.5557625449383304E-2</v>
      </c>
      <c r="U538" s="2">
        <f t="shared" si="77"/>
        <v>0.91330058326203056</v>
      </c>
      <c r="V538" s="2">
        <f t="shared" si="78"/>
        <v>5.69666666666667E-2</v>
      </c>
      <c r="W538" s="2">
        <f t="shared" si="79"/>
        <v>5.5956171983846691E-2</v>
      </c>
      <c r="Y538" s="31">
        <v>1971.5000000017701</v>
      </c>
      <c r="Z538" s="2">
        <v>2.3739955361683145</v>
      </c>
      <c r="AA538" s="2">
        <v>-0.78876452892998072</v>
      </c>
      <c r="AB538" s="2">
        <v>-0.11223988303875174</v>
      </c>
      <c r="AD538" s="31">
        <v>1971.5000000017701</v>
      </c>
      <c r="AE538" s="2">
        <v>1.1842773747834112</v>
      </c>
      <c r="AF538" s="2">
        <v>-0.68658960551538373</v>
      </c>
      <c r="AG538" s="2">
        <v>7.3123303955088481E-2</v>
      </c>
      <c r="AH538" s="31"/>
      <c r="AI538" s="31">
        <v>1971.5000000017701</v>
      </c>
      <c r="AJ538" s="2">
        <v>0.48760687697989596</v>
      </c>
      <c r="AK538" s="2">
        <v>-1.186702766808877</v>
      </c>
      <c r="AL538" s="2">
        <v>-0.75501992319856315</v>
      </c>
      <c r="AM538" s="31"/>
      <c r="AN538" s="2">
        <f t="shared" si="80"/>
        <v>1.3486265959772072</v>
      </c>
      <c r="AO538" s="2">
        <f t="shared" si="73"/>
        <v>-0.88735230041808055</v>
      </c>
      <c r="AP538" s="2">
        <f t="shared" si="74"/>
        <v>-0.26471216742740883</v>
      </c>
      <c r="AQ538" s="31"/>
      <c r="AR538" s="31">
        <v>1971.5000000017701</v>
      </c>
      <c r="AS538" s="2">
        <v>0.73928673812851053</v>
      </c>
      <c r="AT538" s="2">
        <v>-2.313009814913013E-2</v>
      </c>
      <c r="AU538" s="2">
        <v>0.68505376858485445</v>
      </c>
      <c r="AV538" s="31"/>
      <c r="AW538" s="31">
        <v>1971.5000000017701</v>
      </c>
      <c r="AX538" s="2">
        <v>0.25954297387886205</v>
      </c>
      <c r="AY538" s="2">
        <v>-0.1083026392523672</v>
      </c>
      <c r="AZ538" s="2">
        <v>0.25921269331222635</v>
      </c>
      <c r="BA538" s="31"/>
      <c r="BB538" s="31">
        <v>1971.5000000017701</v>
      </c>
      <c r="BC538" s="2">
        <v>-0.17066044785856063</v>
      </c>
      <c r="BD538" s="2">
        <v>-0.38248368897839508</v>
      </c>
      <c r="BE538" s="2">
        <v>-0.37005521930153412</v>
      </c>
      <c r="BG538" s="2">
        <f t="shared" si="81"/>
        <v>0.27605642138293734</v>
      </c>
      <c r="BH538" s="2">
        <f t="shared" si="75"/>
        <v>-0.17130547545996413</v>
      </c>
      <c r="BI538" s="2">
        <f t="shared" si="76"/>
        <v>0.19140374753184888</v>
      </c>
    </row>
    <row r="539" spans="6:61" x14ac:dyDescent="0.3">
      <c r="F539" s="31">
        <v>1971.41666666844</v>
      </c>
      <c r="G539" s="2">
        <v>1.057667458924159</v>
      </c>
      <c r="H539" s="2">
        <v>0.15374999999999966</v>
      </c>
      <c r="I539" s="2">
        <v>0.16601075148809485</v>
      </c>
      <c r="K539" s="31">
        <v>1971.41666666844</v>
      </c>
      <c r="L539" s="2">
        <v>0.79980426966368556</v>
      </c>
      <c r="M539" s="2">
        <v>0.1230299999999999</v>
      </c>
      <c r="N539" s="2">
        <v>6.6678548627206041E-2</v>
      </c>
      <c r="P539" s="31">
        <v>1971.41666666844</v>
      </c>
      <c r="Q539" s="2">
        <v>0.56882534693507303</v>
      </c>
      <c r="R539" s="2">
        <v>0.14380000000000059</v>
      </c>
      <c r="S539" s="2">
        <v>4.2327056594761006E-2</v>
      </c>
      <c r="U539" s="2">
        <f t="shared" si="77"/>
        <v>0.80876569184097258</v>
      </c>
      <c r="V539" s="2">
        <f t="shared" si="78"/>
        <v>0.14019333333333339</v>
      </c>
      <c r="W539" s="2">
        <f t="shared" si="79"/>
        <v>9.1672118903353972E-2</v>
      </c>
      <c r="Y539" s="31">
        <v>1971.41666666844</v>
      </c>
      <c r="Z539" s="2">
        <v>1.8785269165717851</v>
      </c>
      <c r="AA539" s="2">
        <v>1.0126249536365401</v>
      </c>
      <c r="AB539" s="2">
        <v>2.0904249445936141</v>
      </c>
      <c r="AD539" s="31">
        <v>1971.41666666844</v>
      </c>
      <c r="AE539" s="2">
        <v>-5.6282205653441129E-2</v>
      </c>
      <c r="AF539" s="2">
        <v>0.82033858713866403</v>
      </c>
      <c r="AG539" s="2">
        <v>0.25068494371959887</v>
      </c>
      <c r="AH539" s="31"/>
      <c r="AI539" s="31">
        <v>1971.41666666844</v>
      </c>
      <c r="AJ539" s="2">
        <v>-0.26474656630674626</v>
      </c>
      <c r="AK539" s="2">
        <v>1.0985970730109507</v>
      </c>
      <c r="AL539" s="2">
        <v>-0.20792895376287879</v>
      </c>
      <c r="AM539" s="31"/>
      <c r="AN539" s="2">
        <f t="shared" si="80"/>
        <v>0.51916604820386592</v>
      </c>
      <c r="AO539" s="2">
        <f t="shared" si="73"/>
        <v>0.97718687126205162</v>
      </c>
      <c r="AP539" s="2">
        <f t="shared" si="74"/>
        <v>0.71106031151677807</v>
      </c>
      <c r="AQ539" s="31"/>
      <c r="AR539" s="31">
        <v>1971.41666666844</v>
      </c>
      <c r="AS539" s="2">
        <v>1.2412053589888536</v>
      </c>
      <c r="AT539" s="2">
        <v>-0.35878275268423288</v>
      </c>
      <c r="AU539" s="2">
        <v>0.43089876698314095</v>
      </c>
      <c r="AV539" s="31"/>
      <c r="AW539" s="31">
        <v>1971.41666666844</v>
      </c>
      <c r="AX539" s="2">
        <v>-0.4772981468116369</v>
      </c>
      <c r="AY539" s="2">
        <v>-0.38552664826294392</v>
      </c>
      <c r="AZ539" s="2">
        <v>-0.5842249465763758</v>
      </c>
      <c r="BA539" s="31"/>
      <c r="BB539" s="31">
        <v>1971.41666666844</v>
      </c>
      <c r="BC539" s="2">
        <v>-1.0226085600746724</v>
      </c>
      <c r="BD539" s="2">
        <v>-0.3489924073651578</v>
      </c>
      <c r="BE539" s="2">
        <v>-1.1851382719902808</v>
      </c>
      <c r="BG539" s="2">
        <f t="shared" si="81"/>
        <v>-8.6233782632485198E-2</v>
      </c>
      <c r="BH539" s="2">
        <f t="shared" si="75"/>
        <v>-0.36443393610411157</v>
      </c>
      <c r="BI539" s="2">
        <f t="shared" si="76"/>
        <v>-0.44615481719450517</v>
      </c>
    </row>
    <row r="540" spans="6:61" x14ac:dyDescent="0.3">
      <c r="F540" s="31">
        <v>1971.33333333511</v>
      </c>
      <c r="G540" s="2">
        <v>0.977003834970955</v>
      </c>
      <c r="H540" s="2">
        <v>0.12299999999999969</v>
      </c>
      <c r="I540" s="2">
        <v>0.12017147170142718</v>
      </c>
      <c r="K540" s="31">
        <v>1971.33333333511</v>
      </c>
      <c r="L540" s="2">
        <v>0.76673586786729531</v>
      </c>
      <c r="M540" s="2">
        <v>9.2264999999999903E-2</v>
      </c>
      <c r="N540" s="2">
        <v>4.7163189222510733E-2</v>
      </c>
      <c r="P540" s="31">
        <v>1971.33333333511</v>
      </c>
      <c r="Q540" s="2">
        <v>0.55280113640062956</v>
      </c>
      <c r="R540" s="2">
        <v>0.14380000000000059</v>
      </c>
      <c r="S540" s="2">
        <v>4.0283679079283499E-2</v>
      </c>
      <c r="U540" s="2">
        <f t="shared" si="77"/>
        <v>0.76551361307962662</v>
      </c>
      <c r="V540" s="2">
        <f t="shared" si="78"/>
        <v>0.1196883333333334</v>
      </c>
      <c r="W540" s="2">
        <f t="shared" si="79"/>
        <v>6.9206113334407141E-2</v>
      </c>
      <c r="Y540" s="31">
        <v>1971.33333333511</v>
      </c>
      <c r="Z540" s="2">
        <v>1.4108330788973358</v>
      </c>
      <c r="AA540" s="2">
        <v>0.41216179278103221</v>
      </c>
      <c r="AB540" s="2">
        <v>1.0354688016277802</v>
      </c>
      <c r="AD540" s="31">
        <v>1971.33333333511</v>
      </c>
      <c r="AE540" s="2">
        <v>-0.25306421855164979</v>
      </c>
      <c r="AF540" s="2">
        <v>6.6874490811640125E-2</v>
      </c>
      <c r="AG540" s="2">
        <v>-0.49138289810984959</v>
      </c>
      <c r="AH540" s="31"/>
      <c r="AI540" s="31">
        <v>1971.33333333511</v>
      </c>
      <c r="AJ540" s="2">
        <v>-0.44830500769022735</v>
      </c>
      <c r="AK540" s="2">
        <v>1.0985970730109507</v>
      </c>
      <c r="AL540" s="2">
        <v>-0.37307036104774383</v>
      </c>
      <c r="AM540" s="31"/>
      <c r="AN540" s="2">
        <f t="shared" si="80"/>
        <v>0.23648795088515287</v>
      </c>
      <c r="AO540" s="2">
        <f t="shared" si="73"/>
        <v>0.52587778553454101</v>
      </c>
      <c r="AP540" s="2">
        <f t="shared" si="74"/>
        <v>5.7005180823395597E-2</v>
      </c>
      <c r="AQ540" s="31"/>
      <c r="AR540" s="31">
        <v>1971.33333333511</v>
      </c>
      <c r="AS540" s="2">
        <v>1.4500459592258559</v>
      </c>
      <c r="AT540" s="2">
        <v>-0.62524988541030202</v>
      </c>
      <c r="AU540" s="2">
        <v>0.12204583121200206</v>
      </c>
      <c r="AV540" s="31"/>
      <c r="AW540" s="31">
        <v>1971.33333333511</v>
      </c>
      <c r="AX540" s="2">
        <v>-0.38976284831744035</v>
      </c>
      <c r="AY540" s="2">
        <v>-0.6035549277918324</v>
      </c>
      <c r="AZ540" s="2">
        <v>-0.71519647008328791</v>
      </c>
      <c r="BA540" s="31"/>
      <c r="BB540" s="31">
        <v>1971.33333333511</v>
      </c>
      <c r="BC540" s="2">
        <v>-0.77826915488342729</v>
      </c>
      <c r="BD540" s="2">
        <v>0.38139101458033026</v>
      </c>
      <c r="BE540" s="2">
        <v>-0.84060424681274881</v>
      </c>
      <c r="BG540" s="2">
        <f t="shared" si="81"/>
        <v>9.4004652008329373E-2</v>
      </c>
      <c r="BH540" s="2">
        <f t="shared" si="75"/>
        <v>-0.28247126620726809</v>
      </c>
      <c r="BI540" s="2">
        <f t="shared" si="76"/>
        <v>-0.4779182952280116</v>
      </c>
    </row>
    <row r="541" spans="6:61" x14ac:dyDescent="0.3">
      <c r="F541" s="31">
        <v>1971.2500000017801</v>
      </c>
      <c r="G541" s="2">
        <v>0.86752245680856299</v>
      </c>
      <c r="H541" s="2">
        <v>0.12299999999999969</v>
      </c>
      <c r="I541" s="2">
        <v>0.10670526218745299</v>
      </c>
      <c r="K541" s="31">
        <v>1971.2500000017801</v>
      </c>
      <c r="L541" s="2">
        <v>0.74855564782813233</v>
      </c>
      <c r="M541" s="2">
        <v>0.1230299999999999</v>
      </c>
      <c r="N541" s="2">
        <v>6.5858294705496784E-2</v>
      </c>
      <c r="P541" s="31">
        <v>1971.2500000017801</v>
      </c>
      <c r="Q541" s="2">
        <v>0.53922162479477564</v>
      </c>
      <c r="R541" s="2">
        <v>0.14380000000000059</v>
      </c>
      <c r="S541" s="2">
        <v>3.7319847021734534E-2</v>
      </c>
      <c r="U541" s="2">
        <f t="shared" si="77"/>
        <v>0.71843324314382373</v>
      </c>
      <c r="V541" s="2">
        <f t="shared" si="78"/>
        <v>0.12994333333333341</v>
      </c>
      <c r="W541" s="2">
        <f t="shared" si="79"/>
        <v>6.9961134638228104E-2</v>
      </c>
      <c r="Y541" s="31">
        <v>1971.2500000017801</v>
      </c>
      <c r="Z541" s="2">
        <v>0.77605170661034351</v>
      </c>
      <c r="AA541" s="2">
        <v>0.41216179278103221</v>
      </c>
      <c r="AB541" s="2">
        <v>0.72555423675357567</v>
      </c>
      <c r="AD541" s="31">
        <v>1971.2500000017801</v>
      </c>
      <c r="AE541" s="2">
        <v>-0.36125028439984463</v>
      </c>
      <c r="AF541" s="2">
        <v>0.82033858713866403</v>
      </c>
      <c r="AG541" s="2">
        <v>0.21949494384245166</v>
      </c>
      <c r="AH541" s="31"/>
      <c r="AI541" s="31">
        <v>1971.2500000017801</v>
      </c>
      <c r="AJ541" s="2">
        <v>-0.6959439040647708</v>
      </c>
      <c r="AK541" s="2">
        <v>1.0985970730109507</v>
      </c>
      <c r="AL541" s="2">
        <v>-0.61260093884469857</v>
      </c>
      <c r="AM541" s="31"/>
      <c r="AN541" s="2">
        <f t="shared" si="80"/>
        <v>-9.3714160618090639E-2</v>
      </c>
      <c r="AO541" s="2">
        <f t="shared" si="73"/>
        <v>0.77703248431021565</v>
      </c>
      <c r="AP541" s="2">
        <f t="shared" si="74"/>
        <v>0.11081608058377625</v>
      </c>
      <c r="AQ541" s="31"/>
      <c r="AR541" s="31">
        <v>1971.2500000017801</v>
      </c>
      <c r="AS541" s="2">
        <v>1.1294129465719775</v>
      </c>
      <c r="AT541" s="2">
        <v>-0.74536446371894627</v>
      </c>
      <c r="AU541" s="2">
        <v>-0.10958899019526215</v>
      </c>
      <c r="AV541" s="31"/>
      <c r="AW541" s="31">
        <v>1971.2500000017801</v>
      </c>
      <c r="AX541" s="2">
        <v>-0.31125246289775438</v>
      </c>
      <c r="AY541" s="2">
        <v>-0.13053036562694012</v>
      </c>
      <c r="AZ541" s="2">
        <v>-0.31233125498388248</v>
      </c>
      <c r="BA541" s="31"/>
      <c r="BB541" s="31">
        <v>1971.2500000017801</v>
      </c>
      <c r="BC541" s="2">
        <v>-0.49143325139614308</v>
      </c>
      <c r="BD541" s="2">
        <v>3.3388824798885192E-2</v>
      </c>
      <c r="BE541" s="2">
        <v>-0.72013134940048185</v>
      </c>
      <c r="BG541" s="2">
        <f t="shared" si="81"/>
        <v>0.10890907742602669</v>
      </c>
      <c r="BH541" s="2">
        <f t="shared" si="75"/>
        <v>-0.28083533484900042</v>
      </c>
      <c r="BI541" s="2">
        <f t="shared" si="76"/>
        <v>-0.38068386485987554</v>
      </c>
    </row>
    <row r="542" spans="6:61" x14ac:dyDescent="0.3">
      <c r="F542" s="31">
        <v>1971.16666666845</v>
      </c>
      <c r="G542" s="2">
        <v>0.741802570613737</v>
      </c>
      <c r="H542" s="2">
        <v>0.12299999999999969</v>
      </c>
      <c r="I542" s="2">
        <v>9.124171618548943E-2</v>
      </c>
      <c r="K542" s="31">
        <v>1971.16666666845</v>
      </c>
      <c r="L542" s="2">
        <v>0.74560534369183928</v>
      </c>
      <c r="M542" s="2">
        <v>9.2264999999999903E-2</v>
      </c>
      <c r="N542" s="2">
        <v>4.5865168648881002E-2</v>
      </c>
      <c r="P542" s="31">
        <v>1971.16666666845</v>
      </c>
      <c r="Q542" s="2"/>
      <c r="R542" s="2">
        <v>7.1900000000000297E-2</v>
      </c>
      <c r="S542" s="2">
        <v>3.5591272872977191E-2</v>
      </c>
      <c r="U542" s="2">
        <f t="shared" si="77"/>
        <v>0.74370395715278814</v>
      </c>
      <c r="V542" s="2">
        <f t="shared" si="78"/>
        <v>9.5721666666666635E-2</v>
      </c>
      <c r="W542" s="2">
        <f t="shared" si="79"/>
        <v>5.7566052569115872E-2</v>
      </c>
      <c r="Y542" s="31">
        <v>1971.16666666845</v>
      </c>
      <c r="Z542" s="2">
        <v>4.7118227492614677E-2</v>
      </c>
      <c r="AA542" s="2">
        <v>0.41216179278103221</v>
      </c>
      <c r="AB542" s="2">
        <v>0.36967249247820094</v>
      </c>
      <c r="AD542" s="31">
        <v>1971.16666666845</v>
      </c>
      <c r="AE542" s="2">
        <v>-0.37880682644794056</v>
      </c>
      <c r="AF542" s="2">
        <v>6.6874490811640125E-2</v>
      </c>
      <c r="AG542" s="2">
        <v>-0.54073988435586717</v>
      </c>
      <c r="AH542" s="31"/>
      <c r="AI542" s="31">
        <v>1971.16666666845</v>
      </c>
      <c r="AJ542" s="2">
        <v>-0.83672826482465312</v>
      </c>
      <c r="AK542" s="2">
        <v>-0.61478205611361436</v>
      </c>
      <c r="AL542" s="2">
        <v>-0.75230061027585737</v>
      </c>
      <c r="AM542" s="31"/>
      <c r="AN542" s="2">
        <f t="shared" si="80"/>
        <v>-0.38947228792665967</v>
      </c>
      <c r="AO542" s="2">
        <f t="shared" si="73"/>
        <v>-4.5248590840314018E-2</v>
      </c>
      <c r="AP542" s="2">
        <f t="shared" si="74"/>
        <v>-0.30778933405117453</v>
      </c>
      <c r="AQ542" s="31"/>
      <c r="AR542" s="31">
        <v>1971.16666666845</v>
      </c>
      <c r="AS542" s="2">
        <v>0.4612090591858628</v>
      </c>
      <c r="AT542" s="2">
        <v>-0.46657286796563235</v>
      </c>
      <c r="AU542" s="2">
        <v>-0.1784546735084975</v>
      </c>
      <c r="AV542" s="31"/>
      <c r="AW542" s="31">
        <v>1971.16666666845</v>
      </c>
      <c r="AX542" s="2">
        <v>-0.19179291310534607</v>
      </c>
      <c r="AY542" s="2">
        <v>-0.48231704140909132</v>
      </c>
      <c r="AZ542" s="2">
        <v>-0.59330618274351632</v>
      </c>
      <c r="BA542" s="31"/>
      <c r="BB542" s="31">
        <v>1971.16666666845</v>
      </c>
      <c r="BC542" s="2">
        <v>-0.28553086013093332</v>
      </c>
      <c r="BD542" s="2">
        <v>-1.0055477933738932</v>
      </c>
      <c r="BE542" s="2">
        <v>-0.36376491913949127</v>
      </c>
      <c r="BG542" s="2">
        <f t="shared" si="81"/>
        <v>-5.3715713501388635E-3</v>
      </c>
      <c r="BH542" s="2">
        <f t="shared" si="75"/>
        <v>-0.65147923424953902</v>
      </c>
      <c r="BI542" s="2">
        <f t="shared" si="76"/>
        <v>-0.37850859179716839</v>
      </c>
    </row>
    <row r="543" spans="6:61" x14ac:dyDescent="0.3">
      <c r="F543" s="31">
        <v>1971.08333333512</v>
      </c>
      <c r="G543" s="2">
        <v>0.68017595270850006</v>
      </c>
      <c r="H543" s="2">
        <v>9.2249999999999749E-2</v>
      </c>
      <c r="I543" s="2">
        <v>6.0311910124932949E-2</v>
      </c>
      <c r="K543" s="31">
        <v>1971.08333333512</v>
      </c>
      <c r="L543" s="2">
        <v>0.71652224971869161</v>
      </c>
      <c r="M543" s="2">
        <v>9.2279999999999945E-2</v>
      </c>
      <c r="N543" s="2">
        <v>6.4937354152822827E-2</v>
      </c>
      <c r="P543" s="31">
        <v>1971.08333333512</v>
      </c>
      <c r="Q543" s="2">
        <v>0.53798608306805751</v>
      </c>
      <c r="R543" s="2">
        <v>9.5850000000000463E-2</v>
      </c>
      <c r="S543" s="2">
        <v>3.5037125885418866E-2</v>
      </c>
      <c r="U543" s="2">
        <f t="shared" si="77"/>
        <v>0.64489476183174976</v>
      </c>
      <c r="V543" s="2">
        <f t="shared" si="78"/>
        <v>9.3460000000000057E-2</v>
      </c>
      <c r="W543" s="2">
        <f t="shared" si="79"/>
        <v>5.3428796721058214E-2</v>
      </c>
      <c r="Y543" s="31">
        <v>1971.08333333512</v>
      </c>
      <c r="Z543" s="2">
        <v>-0.31019759863141533</v>
      </c>
      <c r="AA543" s="2">
        <v>-0.1883013680744752</v>
      </c>
      <c r="AB543" s="2">
        <v>-0.34215345802061625</v>
      </c>
      <c r="AD543" s="31">
        <v>1971.08333333512</v>
      </c>
      <c r="AE543" s="2">
        <v>-0.55187324219375644</v>
      </c>
      <c r="AF543" s="2">
        <v>6.7241855071186282E-2</v>
      </c>
      <c r="AG543" s="2">
        <v>0.18447635391007464</v>
      </c>
      <c r="AH543" s="31"/>
      <c r="AI543" s="31">
        <v>1971.08333333512</v>
      </c>
      <c r="AJ543" s="2">
        <v>-0.88058164841131925</v>
      </c>
      <c r="AK543" s="2">
        <v>-4.4052846898962821E-2</v>
      </c>
      <c r="AL543" s="2">
        <v>-0.79708558646106575</v>
      </c>
      <c r="AM543" s="31"/>
      <c r="AN543" s="2">
        <f t="shared" si="80"/>
        <v>-0.5808841630788304</v>
      </c>
      <c r="AO543" s="2">
        <f t="shared" si="73"/>
        <v>-5.5037453300750577E-2</v>
      </c>
      <c r="AP543" s="2">
        <f t="shared" si="74"/>
        <v>-0.31825423019053578</v>
      </c>
      <c r="AQ543" s="31"/>
      <c r="AR543" s="31">
        <v>1971.08333333512</v>
      </c>
      <c r="AS543" s="2">
        <v>0.33453704148438623</v>
      </c>
      <c r="AT543" s="2">
        <v>0.50956041230593607</v>
      </c>
      <c r="AU543" s="2">
        <v>0.50595721273672989</v>
      </c>
      <c r="AV543" s="31"/>
      <c r="AW543" s="31">
        <v>1971.08333333512</v>
      </c>
      <c r="AX543" s="2">
        <v>-0.2645601499561181</v>
      </c>
      <c r="AY543" s="2">
        <v>0.56120938963997447</v>
      </c>
      <c r="AZ543" s="2">
        <v>0.85774987753936949</v>
      </c>
      <c r="BA543" s="31"/>
      <c r="BB543" s="31">
        <v>1971.08333333512</v>
      </c>
      <c r="BC543" s="2">
        <v>-0.22141346081443844</v>
      </c>
      <c r="BD543" s="2">
        <v>-1.4615836317459097E-2</v>
      </c>
      <c r="BE543" s="2">
        <v>-0.51928862059727277</v>
      </c>
      <c r="BG543" s="2">
        <f t="shared" si="81"/>
        <v>-5.0478856428723441E-2</v>
      </c>
      <c r="BH543" s="2">
        <f t="shared" si="75"/>
        <v>0.35205132187615051</v>
      </c>
      <c r="BI543" s="2">
        <f t="shared" si="76"/>
        <v>0.28147282322627554</v>
      </c>
    </row>
    <row r="544" spans="6:61" x14ac:dyDescent="0.3">
      <c r="F544" s="31">
        <v>1971.0000000017901</v>
      </c>
      <c r="G544" s="2">
        <v>0.70015779491387764</v>
      </c>
      <c r="H544" s="2">
        <v>6.1499999999999846E-2</v>
      </c>
      <c r="I544" s="2">
        <v>4.3059704387203371E-2</v>
      </c>
      <c r="K544" s="31">
        <v>1971.0000000017901</v>
      </c>
      <c r="L544" s="2">
        <v>0.71449369912292571</v>
      </c>
      <c r="M544" s="2">
        <v>6.1514999999999952E-2</v>
      </c>
      <c r="N544" s="2">
        <v>4.3951216407884269E-2</v>
      </c>
      <c r="P544" s="31">
        <v>1971.0000000017901</v>
      </c>
      <c r="Q544" s="2">
        <v>0.57917023439166149</v>
      </c>
      <c r="R544" s="2">
        <v>9.5850000000000463E-2</v>
      </c>
      <c r="S544" s="2">
        <v>3.6141431719748304E-2</v>
      </c>
      <c r="U544" s="2">
        <f t="shared" si="77"/>
        <v>0.66460724280948824</v>
      </c>
      <c r="V544" s="2">
        <f t="shared" si="78"/>
        <v>7.2955000000000089E-2</v>
      </c>
      <c r="W544" s="2">
        <f t="shared" si="79"/>
        <v>4.1050784171611981E-2</v>
      </c>
      <c r="Y544" s="31">
        <v>1971.0000000017901</v>
      </c>
      <c r="Z544" s="2">
        <v>-0.19434135505054267</v>
      </c>
      <c r="AA544" s="2">
        <v>-0.78876452892998183</v>
      </c>
      <c r="AB544" s="2">
        <v>-0.739199845036971</v>
      </c>
      <c r="AD544" s="31">
        <v>1971.0000000017901</v>
      </c>
      <c r="AE544" s="2">
        <v>-0.56394465320292864</v>
      </c>
      <c r="AF544" s="2">
        <v>-0.68622224125583742</v>
      </c>
      <c r="AG544" s="2">
        <v>-0.61351755549111509</v>
      </c>
      <c r="AH544" s="31"/>
      <c r="AI544" s="31">
        <v>1971.0000000017901</v>
      </c>
      <c r="AJ544" s="2">
        <v>-0.78820290857284259</v>
      </c>
      <c r="AK544" s="2">
        <v>-4.4052846898962821E-2</v>
      </c>
      <c r="AL544" s="2">
        <v>-0.70783794711262449</v>
      </c>
      <c r="AM544" s="31"/>
      <c r="AN544" s="2">
        <f t="shared" si="80"/>
        <v>-0.51549630560877124</v>
      </c>
      <c r="AO544" s="2">
        <f t="shared" si="73"/>
        <v>-0.50634653902826077</v>
      </c>
      <c r="AP544" s="2">
        <f t="shared" si="74"/>
        <v>-0.6868517825469036</v>
      </c>
      <c r="AQ544" s="31"/>
      <c r="AR544" s="31">
        <v>1971.0000000017901</v>
      </c>
      <c r="AS544" s="2">
        <v>0.18485623803084603</v>
      </c>
      <c r="AT544" s="2">
        <v>-0.29853293598826575</v>
      </c>
      <c r="AU544" s="2">
        <v>-7.4314271192920556E-2</v>
      </c>
      <c r="AV544" s="31"/>
      <c r="AW544" s="31">
        <v>1971.0000000017901</v>
      </c>
      <c r="AX544" s="2">
        <v>-0.18950170852108625</v>
      </c>
      <c r="AY544" s="2">
        <v>-0.21981065223360952</v>
      </c>
      <c r="AZ544" s="2">
        <v>-0.24879376699084574</v>
      </c>
      <c r="BA544" s="31"/>
      <c r="BB544" s="31">
        <v>1971.0000000017901</v>
      </c>
      <c r="BC544" s="2">
        <v>-0.19041103124376826</v>
      </c>
      <c r="BD544" s="2">
        <v>0.75540652012817533</v>
      </c>
      <c r="BE544" s="2">
        <v>-6.936971849873394E-2</v>
      </c>
      <c r="BG544" s="2">
        <f t="shared" si="81"/>
        <v>-6.5018833911336157E-2</v>
      </c>
      <c r="BH544" s="2">
        <f t="shared" si="75"/>
        <v>7.9020977302100018E-2</v>
      </c>
      <c r="BI544" s="2">
        <f t="shared" si="76"/>
        <v>-0.13082591889416675</v>
      </c>
    </row>
    <row r="545" spans="6:61" x14ac:dyDescent="0.3">
      <c r="F545" s="31">
        <v>1970.91666666846</v>
      </c>
      <c r="G545" s="2">
        <v>0.730785360219806</v>
      </c>
      <c r="H545" s="2">
        <v>6.1499999999999846E-2</v>
      </c>
      <c r="I545" s="2">
        <v>4.4943299653517968E-2</v>
      </c>
      <c r="K545" s="31">
        <v>1970.91666666846</v>
      </c>
      <c r="L545" s="2">
        <v>0.72075033504038011</v>
      </c>
      <c r="M545" s="2">
        <v>6.1514999999999952E-2</v>
      </c>
      <c r="N545" s="2">
        <v>4.4335799458037423E-2</v>
      </c>
      <c r="P545" s="31">
        <v>1970.91666666846</v>
      </c>
      <c r="Q545" s="2">
        <v>0.64649091586669261</v>
      </c>
      <c r="R545" s="2">
        <v>7.1900000000000297E-2</v>
      </c>
      <c r="S545" s="2">
        <v>3.8710870880276839E-2</v>
      </c>
      <c r="U545" s="2">
        <f t="shared" si="77"/>
        <v>0.69934220370895961</v>
      </c>
      <c r="V545" s="2">
        <f t="shared" si="78"/>
        <v>6.4971666666666705E-2</v>
      </c>
      <c r="W545" s="2">
        <f t="shared" si="79"/>
        <v>4.2663323330610736E-2</v>
      </c>
      <c r="Y545" s="31">
        <v>1970.91666666846</v>
      </c>
      <c r="Z545" s="2">
        <v>-1.6760397804380184E-2</v>
      </c>
      <c r="AA545" s="2">
        <v>-0.78876452892998183</v>
      </c>
      <c r="AB545" s="2">
        <v>-0.69585033330145074</v>
      </c>
      <c r="AD545" s="31">
        <v>1970.91666666846</v>
      </c>
      <c r="AE545" s="2">
        <v>-0.5267129352206491</v>
      </c>
      <c r="AF545" s="2">
        <v>-0.68622224125583742</v>
      </c>
      <c r="AG545" s="2">
        <v>-0.59889385791459626</v>
      </c>
      <c r="AH545" s="31"/>
      <c r="AI545" s="31">
        <v>1970.91666666846</v>
      </c>
      <c r="AJ545" s="2">
        <v>-0.59176680379502433</v>
      </c>
      <c r="AK545" s="2">
        <v>-0.61478205611361436</v>
      </c>
      <c r="AL545" s="2">
        <v>-0.5001813610493453</v>
      </c>
      <c r="AM545" s="31"/>
      <c r="AN545" s="2">
        <f t="shared" si="80"/>
        <v>-0.37841337894001786</v>
      </c>
      <c r="AO545" s="2">
        <f t="shared" si="73"/>
        <v>-0.69658960876647791</v>
      </c>
      <c r="AP545" s="2">
        <f t="shared" si="74"/>
        <v>-0.59830851742179747</v>
      </c>
      <c r="AQ545" s="31"/>
      <c r="AR545" s="31">
        <v>1970.91666666846</v>
      </c>
      <c r="AS545" s="2">
        <v>0.29904562417542446</v>
      </c>
      <c r="AT545" s="2">
        <v>-0.68444756444045252</v>
      </c>
      <c r="AU545" s="2">
        <v>-0.39339811138363168</v>
      </c>
      <c r="AV545" s="31"/>
      <c r="AW545" s="31">
        <v>1970.91666666846</v>
      </c>
      <c r="AX545" s="2">
        <v>-0.27290029722662335</v>
      </c>
      <c r="AY545" s="2">
        <v>-0.51751295497595129</v>
      </c>
      <c r="AZ545" s="2">
        <v>-0.38184337608199631</v>
      </c>
      <c r="BA545" s="31"/>
      <c r="BB545" s="31">
        <v>1970.91666666846</v>
      </c>
      <c r="BC545" s="2">
        <v>-0.23201897861502388</v>
      </c>
      <c r="BD545" s="2">
        <v>-0.44318112469553572</v>
      </c>
      <c r="BE545" s="2">
        <v>-0.23069783258349413</v>
      </c>
      <c r="BG545" s="2">
        <f t="shared" si="81"/>
        <v>-6.8624550555407574E-2</v>
      </c>
      <c r="BH545" s="2">
        <f t="shared" si="75"/>
        <v>-0.54838054803731318</v>
      </c>
      <c r="BI545" s="2">
        <f t="shared" si="76"/>
        <v>-0.33531310668304065</v>
      </c>
    </row>
    <row r="546" spans="6:61" x14ac:dyDescent="0.3">
      <c r="F546" s="31">
        <v>1970.83333333513</v>
      </c>
      <c r="G546" s="2">
        <v>0.77209824531104543</v>
      </c>
      <c r="H546" s="2">
        <v>6.1499999999999846E-2</v>
      </c>
      <c r="I546" s="2">
        <v>4.748404208662918E-2</v>
      </c>
      <c r="K546" s="31">
        <v>1970.83333333513</v>
      </c>
      <c r="L546" s="2">
        <v>0.72104032269359242</v>
      </c>
      <c r="M546" s="2">
        <v>6.1514999999999952E-2</v>
      </c>
      <c r="N546" s="2">
        <v>4.4353241673456702E-2</v>
      </c>
      <c r="P546" s="31">
        <v>1970.83333333513</v>
      </c>
      <c r="Q546" s="2">
        <v>0.70313939027254313</v>
      </c>
      <c r="R546" s="2">
        <v>9.5800000000000607E-2</v>
      </c>
      <c r="S546" s="2">
        <v>3.3810400362483305E-2</v>
      </c>
      <c r="U546" s="2">
        <f t="shared" si="77"/>
        <v>0.73209265275906032</v>
      </c>
      <c r="V546" s="2">
        <f t="shared" si="78"/>
        <v>7.293833333333348E-2</v>
      </c>
      <c r="W546" s="2">
        <f t="shared" si="79"/>
        <v>4.1882561374189727E-2</v>
      </c>
      <c r="Y546" s="31">
        <v>1970.83333333513</v>
      </c>
      <c r="Z546" s="2">
        <v>0.22277485770229766</v>
      </c>
      <c r="AA546" s="2">
        <v>-0.78876452892998183</v>
      </c>
      <c r="AB546" s="2">
        <v>-0.63737707957715861</v>
      </c>
      <c r="AD546" s="31">
        <v>1970.83333333513</v>
      </c>
      <c r="AE546" s="2">
        <v>-0.52498728925607829</v>
      </c>
      <c r="AF546" s="2">
        <v>-0.68622224125583742</v>
      </c>
      <c r="AG546" s="2">
        <v>-0.59823062097980551</v>
      </c>
      <c r="AH546" s="31"/>
      <c r="AI546" s="31">
        <v>1970.83333333513</v>
      </c>
      <c r="AJ546" s="2">
        <v>0.24976813932116701</v>
      </c>
      <c r="AK546" s="2">
        <v>-4.5244348379574514E-2</v>
      </c>
      <c r="AL546" s="2">
        <v>-0.89622692362239775</v>
      </c>
      <c r="AM546" s="31"/>
      <c r="AN546" s="2">
        <f t="shared" si="80"/>
        <v>-1.7481430744204534E-2</v>
      </c>
      <c r="AO546" s="2">
        <f t="shared" si="73"/>
        <v>-0.50674370618846465</v>
      </c>
      <c r="AP546" s="2">
        <f t="shared" si="74"/>
        <v>-0.71061154139312066</v>
      </c>
      <c r="AQ546" s="31"/>
      <c r="AR546" s="31">
        <v>1970.83333333513</v>
      </c>
      <c r="AS546" s="2">
        <v>0.28054311234183993</v>
      </c>
      <c r="AT546" s="2">
        <v>-0.28549293171718004</v>
      </c>
      <c r="AU546" s="2">
        <v>-4.2257516261360014E-3</v>
      </c>
      <c r="AV546" s="31"/>
      <c r="AW546" s="31">
        <v>1970.83333333513</v>
      </c>
      <c r="AX546" s="2">
        <v>-0.19985616093948558</v>
      </c>
      <c r="AY546" s="2">
        <v>-0.19138401234735175</v>
      </c>
      <c r="AZ546" s="2">
        <v>-0.23563612408660933</v>
      </c>
      <c r="BA546" s="31"/>
      <c r="BB546" s="31">
        <v>1970.83333333513</v>
      </c>
      <c r="BC546" s="2">
        <v>0.24506152225020988</v>
      </c>
      <c r="BD546" s="2">
        <v>0.77503763331420128</v>
      </c>
      <c r="BE546" s="2">
        <v>-0.40800676266885283</v>
      </c>
      <c r="BG546" s="2">
        <f t="shared" si="81"/>
        <v>0.10858282455085473</v>
      </c>
      <c r="BH546" s="2">
        <f t="shared" si="75"/>
        <v>9.9386896416556472E-2</v>
      </c>
      <c r="BI546" s="2">
        <f t="shared" si="76"/>
        <v>-0.21595621279386609</v>
      </c>
    </row>
    <row r="547" spans="6:61" x14ac:dyDescent="0.3">
      <c r="F547" s="31">
        <v>1970.7500000017999</v>
      </c>
      <c r="G547" s="2">
        <v>0.84252040965652109</v>
      </c>
      <c r="H547" s="2">
        <v>6.1499999999999846E-2</v>
      </c>
      <c r="I547" s="2">
        <v>5.1815005193875927E-2</v>
      </c>
      <c r="K547" s="31">
        <v>1970.7500000017999</v>
      </c>
      <c r="L547" s="2">
        <v>0.71560925330544545</v>
      </c>
      <c r="M547" s="2">
        <v>9.2279999999999945E-2</v>
      </c>
      <c r="N547" s="2">
        <v>6.1834869445634225E-2</v>
      </c>
      <c r="P547" s="31">
        <v>1970.7500000017999</v>
      </c>
      <c r="Q547" s="2">
        <v>0.71230126531193827</v>
      </c>
      <c r="R547" s="2">
        <v>9.5850000000000463E-2</v>
      </c>
      <c r="S547" s="2">
        <v>4.2763156561111466E-2</v>
      </c>
      <c r="U547" s="2">
        <f t="shared" si="77"/>
        <v>0.75681030942463501</v>
      </c>
      <c r="V547" s="2">
        <f t="shared" si="78"/>
        <v>8.3210000000000076E-2</v>
      </c>
      <c r="W547" s="2">
        <f t="shared" si="79"/>
        <v>5.2137677066873868E-2</v>
      </c>
      <c r="Y547" s="31">
        <v>1970.7500000017999</v>
      </c>
      <c r="Z547" s="2">
        <v>0.63108793224484094</v>
      </c>
      <c r="AA547" s="2">
        <v>-0.78876452892998183</v>
      </c>
      <c r="AB547" s="2">
        <v>-0.53770325930310547</v>
      </c>
      <c r="AD547" s="31">
        <v>1970.7500000017999</v>
      </c>
      <c r="AE547" s="2">
        <v>-0.55730626169901221</v>
      </c>
      <c r="AF547" s="2">
        <v>6.7241855071186282E-2</v>
      </c>
      <c r="AG547" s="2">
        <v>6.6504961058431719E-2</v>
      </c>
      <c r="AH547" s="31"/>
      <c r="AI547" s="31">
        <v>1970.7500000017999</v>
      </c>
      <c r="AJ547" s="2">
        <v>-0.25555812046466236</v>
      </c>
      <c r="AK547" s="2">
        <v>-4.4052846898962821E-2</v>
      </c>
      <c r="AL547" s="2">
        <v>-0.17268428574901562</v>
      </c>
      <c r="AM547" s="31"/>
      <c r="AN547" s="2">
        <f t="shared" si="80"/>
        <v>-6.0592149972944521E-2</v>
      </c>
      <c r="AO547" s="2">
        <f t="shared" si="73"/>
        <v>-0.25519184025258612</v>
      </c>
      <c r="AP547" s="2">
        <f t="shared" si="74"/>
        <v>-0.21462752799789644</v>
      </c>
      <c r="AQ547" s="31"/>
      <c r="AR547" s="31">
        <v>1970.7500000017999</v>
      </c>
      <c r="AS547" s="2">
        <v>0.68636622466530151</v>
      </c>
      <c r="AT547" s="2">
        <v>-0.6766476141944503</v>
      </c>
      <c r="AU547" s="2">
        <v>-0.22184186513184667</v>
      </c>
      <c r="AV547" s="31"/>
      <c r="AW547" s="31">
        <v>1970.7500000017999</v>
      </c>
      <c r="AX547" s="2">
        <v>-0.56727471725447765</v>
      </c>
      <c r="AY547" s="2">
        <v>0.96310780514635363</v>
      </c>
      <c r="AZ547" s="2">
        <v>0.59890849149284331</v>
      </c>
      <c r="BA547" s="31"/>
      <c r="BB547" s="31">
        <v>1970.7500000017999</v>
      </c>
      <c r="BC547" s="2">
        <v>-0.30486239500273488</v>
      </c>
      <c r="BD547" s="2">
        <v>0.36965282471677957</v>
      </c>
      <c r="BE547" s="2">
        <v>-0.37937984516230477</v>
      </c>
      <c r="BG547" s="2">
        <f t="shared" si="81"/>
        <v>-6.1923629197303688E-2</v>
      </c>
      <c r="BH547" s="2">
        <f t="shared" si="75"/>
        <v>0.21870433855622762</v>
      </c>
      <c r="BI547" s="2">
        <f t="shared" si="76"/>
        <v>-7.7107293376937891E-4</v>
      </c>
    </row>
    <row r="548" spans="6:61" x14ac:dyDescent="0.3">
      <c r="F548" s="31">
        <v>1970.66666666847</v>
      </c>
      <c r="G548" s="2">
        <v>0.93480228045772251</v>
      </c>
      <c r="H548" s="2">
        <v>6.1499999999999846E-2</v>
      </c>
      <c r="I548" s="2">
        <v>5.7490340248149793E-2</v>
      </c>
      <c r="K548" s="31">
        <v>1970.66666666847</v>
      </c>
      <c r="L548" s="2">
        <v>0.73617949946104178</v>
      </c>
      <c r="M548" s="2">
        <v>6.1514999999999952E-2</v>
      </c>
      <c r="N548" s="2">
        <v>4.5283183740172248E-2</v>
      </c>
      <c r="P548" s="31">
        <v>1970.66666666847</v>
      </c>
      <c r="Q548" s="2">
        <v>0.79272885526689529</v>
      </c>
      <c r="R548" s="2">
        <v>7.1900000000000297E-2</v>
      </c>
      <c r="S548" s="2">
        <v>4.6061914655653374E-2</v>
      </c>
      <c r="U548" s="2">
        <f t="shared" si="77"/>
        <v>0.82123687839521986</v>
      </c>
      <c r="V548" s="2">
        <f t="shared" si="78"/>
        <v>6.4971666666666705E-2</v>
      </c>
      <c r="W548" s="2">
        <f t="shared" si="79"/>
        <v>4.9611812881325136E-2</v>
      </c>
      <c r="Y548" s="31">
        <v>1970.66666666847</v>
      </c>
      <c r="Z548" s="2">
        <v>1.1661452503716601</v>
      </c>
      <c r="AA548" s="2">
        <v>-0.78876452892998183</v>
      </c>
      <c r="AB548" s="2">
        <v>-0.40708974166583817</v>
      </c>
      <c r="AD548" s="31">
        <v>1970.66666666847</v>
      </c>
      <c r="AE548" s="2">
        <v>-0.43489773197225212</v>
      </c>
      <c r="AF548" s="2">
        <v>-0.68622224125583742</v>
      </c>
      <c r="AG548" s="2">
        <v>-0.56286975018241758</v>
      </c>
      <c r="AH548" s="31"/>
      <c r="AI548" s="31">
        <v>1970.66666666847</v>
      </c>
      <c r="AJ548" s="2">
        <v>5.3576766573868936E-3</v>
      </c>
      <c r="AK548" s="2">
        <v>-0.61478205611361436</v>
      </c>
      <c r="AL548" s="2">
        <v>9.3914299142277863E-2</v>
      </c>
      <c r="AM548" s="31"/>
      <c r="AN548" s="2">
        <f t="shared" si="80"/>
        <v>0.24553506501893163</v>
      </c>
      <c r="AO548" s="2">
        <f t="shared" si="73"/>
        <v>-0.69658960876647791</v>
      </c>
      <c r="AP548" s="2">
        <f t="shared" si="74"/>
        <v>-0.29201506423532592</v>
      </c>
      <c r="AQ548" s="31"/>
      <c r="AR548" s="31">
        <v>1970.66666666847</v>
      </c>
      <c r="AS548" s="2">
        <v>0.49269889409864759</v>
      </c>
      <c r="AT548" s="2">
        <v>-0.32631334910519932</v>
      </c>
      <c r="AU548" s="2">
        <v>8.7626068213654915E-2</v>
      </c>
      <c r="AV548" s="31"/>
      <c r="AW548" s="31">
        <v>1970.66666666847</v>
      </c>
      <c r="AX548" s="2">
        <v>-0.35256165453129129</v>
      </c>
      <c r="AY548" s="2">
        <v>-0.23837245449551037</v>
      </c>
      <c r="AZ548" s="2">
        <v>-0.36888592057960534</v>
      </c>
      <c r="BA548" s="31"/>
      <c r="BB548" s="31">
        <v>1970.66666666847</v>
      </c>
      <c r="BC548" s="2">
        <v>-0.26164252930803084</v>
      </c>
      <c r="BD548" s="2">
        <v>7.7097786990586777E-4</v>
      </c>
      <c r="BE548" s="2">
        <v>0.16569294550075894</v>
      </c>
      <c r="BG548" s="2">
        <f t="shared" si="81"/>
        <v>-4.0501763246891531E-2</v>
      </c>
      <c r="BH548" s="2">
        <f t="shared" si="75"/>
        <v>-0.1879716085769346</v>
      </c>
      <c r="BI548" s="2">
        <f t="shared" si="76"/>
        <v>-3.8522302288397162E-2</v>
      </c>
    </row>
    <row r="549" spans="6:61" x14ac:dyDescent="0.3">
      <c r="F549" s="31">
        <v>1970.58333333514</v>
      </c>
      <c r="G549" s="2">
        <v>1.0342644826879657</v>
      </c>
      <c r="H549" s="2">
        <v>6.1499999999999846E-2</v>
      </c>
      <c r="I549" s="2">
        <v>6.360726568530975E-2</v>
      </c>
      <c r="K549" s="31">
        <v>1970.58333333514</v>
      </c>
      <c r="L549" s="2">
        <v>0.79092011740042811</v>
      </c>
      <c r="M549" s="2">
        <v>6.1514999999999952E-2</v>
      </c>
      <c r="N549" s="2">
        <v>4.8649959578550082E-2</v>
      </c>
      <c r="P549" s="31">
        <v>1970.58333333514</v>
      </c>
      <c r="Q549" s="2">
        <v>0.67856581869201071</v>
      </c>
      <c r="R549" s="2">
        <v>9.5850000000000463E-2</v>
      </c>
      <c r="S549" s="2">
        <v>4.8438377949223815E-2</v>
      </c>
      <c r="U549" s="2">
        <f t="shared" si="77"/>
        <v>0.83458347292680146</v>
      </c>
      <c r="V549" s="2">
        <f t="shared" si="78"/>
        <v>7.2955000000000089E-2</v>
      </c>
      <c r="W549" s="2">
        <f t="shared" si="79"/>
        <v>5.3565201071027885E-2</v>
      </c>
      <c r="Y549" s="31">
        <v>1970.58333333514</v>
      </c>
      <c r="Z549" s="2">
        <v>1.7428346772141898</v>
      </c>
      <c r="AA549" s="2">
        <v>-0.78876452892998183</v>
      </c>
      <c r="AB549" s="2">
        <v>-0.26631335739392076</v>
      </c>
      <c r="AD549" s="31">
        <v>1970.58333333514</v>
      </c>
      <c r="AE549" s="2">
        <v>-0.10914963408322437</v>
      </c>
      <c r="AF549" s="2">
        <v>-0.68622224125583742</v>
      </c>
      <c r="AG549" s="2">
        <v>-0.43484873716907413</v>
      </c>
      <c r="AH549" s="31"/>
      <c r="AI549" s="31">
        <v>1970.58333333514</v>
      </c>
      <c r="AJ549" s="2">
        <v>0.21043023443114847</v>
      </c>
      <c r="AK549" s="2">
        <v>-4.4052846898962821E-2</v>
      </c>
      <c r="AL549" s="2">
        <v>0.28597498772695068</v>
      </c>
      <c r="AM549" s="31"/>
      <c r="AN549" s="2">
        <f t="shared" si="80"/>
        <v>0.6147050925207046</v>
      </c>
      <c r="AO549" s="2">
        <f t="shared" si="73"/>
        <v>-0.50634653902826077</v>
      </c>
      <c r="AP549" s="2">
        <f t="shared" si="74"/>
        <v>-0.13839570227868139</v>
      </c>
      <c r="AQ549" s="31"/>
      <c r="AR549" s="31">
        <v>1970.58333333514</v>
      </c>
      <c r="AS549" s="2">
        <v>1.2804788136980918</v>
      </c>
      <c r="AT549" s="2">
        <v>-0.65870957567408583</v>
      </c>
      <c r="AU549" s="2">
        <v>0.11172248029607239</v>
      </c>
      <c r="AV549" s="31"/>
      <c r="AW549" s="31">
        <v>1970.58333333514</v>
      </c>
      <c r="AX549" s="2">
        <v>-0.36338317154971539</v>
      </c>
      <c r="AY549" s="2">
        <v>-0.53553372549108424</v>
      </c>
      <c r="AZ549" s="2">
        <v>-0.51975711754162868</v>
      </c>
      <c r="BA549" s="31"/>
      <c r="BB549" s="31">
        <v>1970.58333333514</v>
      </c>
      <c r="BC549" s="2">
        <v>-0.34669509302605184</v>
      </c>
      <c r="BD549" s="2">
        <v>0.77441334649330551</v>
      </c>
      <c r="BE549" s="2">
        <v>-0.39058175432192871</v>
      </c>
      <c r="BG549" s="2">
        <f t="shared" si="81"/>
        <v>0.19013351637410816</v>
      </c>
      <c r="BH549" s="2">
        <f t="shared" si="75"/>
        <v>-0.13994331822395487</v>
      </c>
      <c r="BI549" s="2">
        <f t="shared" si="76"/>
        <v>-0.26620546385582838</v>
      </c>
    </row>
    <row r="550" spans="6:61" x14ac:dyDescent="0.3">
      <c r="F550" s="31">
        <v>1970.5000000018099</v>
      </c>
      <c r="G550" s="2">
        <v>1.0673204067957669</v>
      </c>
      <c r="H550" s="2">
        <v>6.1499999999999798E-2</v>
      </c>
      <c r="I550" s="2">
        <v>6.5640205017939449E-2</v>
      </c>
      <c r="K550" s="31">
        <v>1970.5000000018099</v>
      </c>
      <c r="L550" s="2">
        <v>0.85227854932825364</v>
      </c>
      <c r="M550" s="2">
        <v>6.1514999999999952E-2</v>
      </c>
      <c r="N550" s="2">
        <v>5.2423788454402848E-2</v>
      </c>
      <c r="P550" s="31">
        <v>1970.5000000018099</v>
      </c>
      <c r="Q550" s="2"/>
      <c r="R550" s="2">
        <v>4.7900000000000303E-2</v>
      </c>
      <c r="S550" s="2">
        <v>3.8224831073084123E-2</v>
      </c>
      <c r="U550" s="2">
        <f t="shared" si="77"/>
        <v>0.95979947806201027</v>
      </c>
      <c r="V550" s="2">
        <f t="shared" si="78"/>
        <v>5.6971666666666691E-2</v>
      </c>
      <c r="W550" s="2">
        <f t="shared" si="79"/>
        <v>5.2096274848475475E-2</v>
      </c>
      <c r="Y550" s="31">
        <v>1970.5000000018099</v>
      </c>
      <c r="Z550" s="2">
        <v>1.9344954438172606</v>
      </c>
      <c r="AA550" s="2">
        <v>-0.78876452892998272</v>
      </c>
      <c r="AB550" s="2">
        <v>-0.21952680561527924</v>
      </c>
      <c r="AD550" s="31">
        <v>1970.5000000018099</v>
      </c>
      <c r="AE550" s="2">
        <v>0.25597946460678989</v>
      </c>
      <c r="AF550" s="2">
        <v>-0.68622224125583742</v>
      </c>
      <c r="AG550" s="2">
        <v>-0.2913496095709453</v>
      </c>
      <c r="AH550" s="31"/>
      <c r="AI550" s="31">
        <v>1970.5000000018099</v>
      </c>
      <c r="AJ550" s="2">
        <v>0.85067676612782672</v>
      </c>
      <c r="AK550" s="2">
        <v>-1.186702766808877</v>
      </c>
      <c r="AL550" s="2">
        <v>-0.53946206035640054</v>
      </c>
      <c r="AM550" s="31"/>
      <c r="AN550" s="2">
        <f t="shared" si="80"/>
        <v>1.0137172248506257</v>
      </c>
      <c r="AO550" s="2">
        <f t="shared" si="73"/>
        <v>-0.88722984566489904</v>
      </c>
      <c r="AP550" s="2">
        <f t="shared" si="74"/>
        <v>-0.350112825180875</v>
      </c>
      <c r="AQ550" s="31"/>
      <c r="AR550" s="31">
        <v>1970.5000000018099</v>
      </c>
      <c r="AS550" s="2">
        <v>0.55753810976319695</v>
      </c>
      <c r="AT550" s="2">
        <v>-2.3130098149133811E-2</v>
      </c>
      <c r="AU550" s="2">
        <v>0.5099062758168682</v>
      </c>
      <c r="AV550" s="31"/>
      <c r="AW550" s="31">
        <v>1970.5000000018099</v>
      </c>
      <c r="AX550" s="2">
        <v>-0.1088803846241187</v>
      </c>
      <c r="AY550" s="2">
        <v>-0.10780241638246968</v>
      </c>
      <c r="AZ550" s="2">
        <v>-0.10884706882740983</v>
      </c>
      <c r="BA550" s="31"/>
      <c r="BB550" s="31">
        <v>1970.5000000018099</v>
      </c>
      <c r="BC550" s="2">
        <v>-6.2810958075104444E-3</v>
      </c>
      <c r="BD550" s="2">
        <v>-0.38248368897839508</v>
      </c>
      <c r="BE550" s="2">
        <v>-0.23334805212223025</v>
      </c>
      <c r="BG550" s="2">
        <f t="shared" si="81"/>
        <v>0.14745887644385594</v>
      </c>
      <c r="BH550" s="2">
        <f t="shared" si="75"/>
        <v>-0.17113873450333286</v>
      </c>
      <c r="BI550" s="2">
        <f t="shared" si="76"/>
        <v>5.5903718289076032E-2</v>
      </c>
    </row>
    <row r="551" spans="6:61" x14ac:dyDescent="0.3">
      <c r="F551" s="31">
        <v>1970.41666666848</v>
      </c>
      <c r="G551" s="2">
        <v>1.065221807066548</v>
      </c>
      <c r="H551" s="2">
        <v>0.21524999999999939</v>
      </c>
      <c r="I551" s="2">
        <v>0.22420849983339525</v>
      </c>
      <c r="K551" s="31">
        <v>1970.41666666848</v>
      </c>
      <c r="L551" s="2">
        <v>0.90329644293258948</v>
      </c>
      <c r="M551" s="2">
        <v>0.15377999999999986</v>
      </c>
      <c r="N551" s="2">
        <v>7.4247599122469643E-2</v>
      </c>
      <c r="P551" s="31">
        <v>1970.41666666848</v>
      </c>
      <c r="Q551" s="2">
        <v>0.63651023674504303</v>
      </c>
      <c r="R551" s="2">
        <v>9.5850000000000463E-2</v>
      </c>
      <c r="S551" s="2">
        <v>4.9033895690406518E-2</v>
      </c>
      <c r="U551" s="2">
        <f t="shared" si="77"/>
        <v>0.86834282891472681</v>
      </c>
      <c r="V551" s="2">
        <f t="shared" si="78"/>
        <v>0.1549599999999999</v>
      </c>
      <c r="W551" s="2">
        <f t="shared" si="79"/>
        <v>0.11582999821542379</v>
      </c>
      <c r="Y551" s="31">
        <v>1970.41666666848</v>
      </c>
      <c r="Z551" s="2">
        <v>1.9223276026888934</v>
      </c>
      <c r="AA551" s="2">
        <v>2.2135512753475517</v>
      </c>
      <c r="AB551" s="2">
        <v>3.4298018372801202</v>
      </c>
      <c r="AD551" s="31">
        <v>1970.41666666848</v>
      </c>
      <c r="AE551" s="2">
        <v>0.55957453578993221</v>
      </c>
      <c r="AF551" s="2">
        <v>1.5734353192061419</v>
      </c>
      <c r="AG551" s="2">
        <v>0.53849665393422164</v>
      </c>
      <c r="AH551" s="31"/>
      <c r="AI551" s="31">
        <v>1970.41666666848</v>
      </c>
      <c r="AJ551" s="2">
        <v>0.28046564352904424</v>
      </c>
      <c r="AK551" s="2">
        <v>-4.4052846898962821E-2</v>
      </c>
      <c r="AL551" s="2">
        <v>0.33410345987519874</v>
      </c>
      <c r="AM551" s="31"/>
      <c r="AN551" s="2">
        <f t="shared" si="80"/>
        <v>0.9207892606692899</v>
      </c>
      <c r="AO551" s="2">
        <f t="shared" si="73"/>
        <v>1.247644582551577</v>
      </c>
      <c r="AP551" s="2">
        <f t="shared" si="74"/>
        <v>1.4341339836965137</v>
      </c>
      <c r="AQ551" s="31"/>
      <c r="AR551" s="31">
        <v>1970.41666666848</v>
      </c>
      <c r="AS551" s="2">
        <v>1.283938142981899</v>
      </c>
      <c r="AT551" s="2">
        <v>0.97383890014291907</v>
      </c>
      <c r="AU551" s="2">
        <v>1.579059021651819</v>
      </c>
      <c r="AV551" s="31"/>
      <c r="AW551" s="31">
        <v>1970.41666666848</v>
      </c>
      <c r="AX551" s="2">
        <v>0.14062517449973563</v>
      </c>
      <c r="AY551" s="2">
        <v>0.24826500666177614</v>
      </c>
      <c r="AZ551" s="2">
        <v>-0.37439954036750828</v>
      </c>
      <c r="BA551" s="31"/>
      <c r="BB551" s="31">
        <v>1970.41666666848</v>
      </c>
      <c r="BC551" s="2">
        <v>-0.45290427568127017</v>
      </c>
      <c r="BD551" s="2">
        <v>-1.4743235720587309</v>
      </c>
      <c r="BE551" s="2">
        <v>-0.59781054733850603</v>
      </c>
      <c r="BG551" s="2">
        <f t="shared" si="81"/>
        <v>0.32388634726678817</v>
      </c>
      <c r="BH551" s="2">
        <f t="shared" si="75"/>
        <v>-8.4073221751345198E-2</v>
      </c>
      <c r="BI551" s="2">
        <f t="shared" si="76"/>
        <v>0.20228297798193492</v>
      </c>
    </row>
    <row r="552" spans="6:61" x14ac:dyDescent="0.3">
      <c r="F552" s="31">
        <v>1970.33333333515</v>
      </c>
      <c r="G552" s="2">
        <v>0.90463064799352111</v>
      </c>
      <c r="H552" s="2">
        <v>0.21524999999999939</v>
      </c>
      <c r="I552" s="2">
        <v>0.18324201871693735</v>
      </c>
      <c r="K552" s="31">
        <v>1970.33333333515</v>
      </c>
      <c r="L552" s="2">
        <v>0.86440119620539724</v>
      </c>
      <c r="M552" s="2">
        <v>0.12301499999999986</v>
      </c>
      <c r="N552" s="2">
        <v>5.3170772443493816E-2</v>
      </c>
      <c r="P552" s="31">
        <v>1970.33333333515</v>
      </c>
      <c r="Q552" s="2">
        <v>0.75705777668808893</v>
      </c>
      <c r="R552" s="2">
        <v>7.1900000000000297E-2</v>
      </c>
      <c r="S552" s="2">
        <v>4.6308936099723821E-2</v>
      </c>
      <c r="U552" s="2">
        <f t="shared" si="77"/>
        <v>0.8420298736290025</v>
      </c>
      <c r="V552" s="2">
        <f t="shared" si="78"/>
        <v>0.13672166666666652</v>
      </c>
      <c r="W552" s="2">
        <f t="shared" si="79"/>
        <v>9.4240575753385E-2</v>
      </c>
      <c r="Y552" s="31">
        <v>1970.33333333515</v>
      </c>
      <c r="Z552" s="2">
        <v>0.99120782648066652</v>
      </c>
      <c r="AA552" s="2">
        <v>2.2135512753475517</v>
      </c>
      <c r="AB552" s="2">
        <v>2.4869894477610561</v>
      </c>
      <c r="AD552" s="31">
        <v>1970.33333333515</v>
      </c>
      <c r="AE552" s="2">
        <v>0.32811838649441805</v>
      </c>
      <c r="AF552" s="2">
        <v>0.81997122287911783</v>
      </c>
      <c r="AG552" s="2">
        <v>-0.2629456849917996</v>
      </c>
      <c r="AH552" s="31"/>
      <c r="AI552" s="31">
        <v>1970.33333333515</v>
      </c>
      <c r="AJ552" s="2">
        <v>7.1841175747719296E-2</v>
      </c>
      <c r="AK552" s="2">
        <v>-0.61478205611361436</v>
      </c>
      <c r="AL552" s="2">
        <v>0.11387804475186014</v>
      </c>
      <c r="AM552" s="31"/>
      <c r="AN552" s="2">
        <f t="shared" si="80"/>
        <v>0.46372246290760133</v>
      </c>
      <c r="AO552" s="2">
        <f t="shared" si="73"/>
        <v>0.80624681403768506</v>
      </c>
      <c r="AP552" s="2">
        <f t="shared" si="74"/>
        <v>0.77930726917370563</v>
      </c>
      <c r="AQ552" s="31"/>
      <c r="AR552" s="31">
        <v>1970.33333333515</v>
      </c>
      <c r="AS552" s="2">
        <v>0.97668699058649922</v>
      </c>
      <c r="AT552" s="2">
        <v>1.1945072437689339</v>
      </c>
      <c r="AU552" s="2">
        <v>1.6217519883965457</v>
      </c>
      <c r="AV552" s="31"/>
      <c r="AW552" s="31">
        <v>1970.33333333515</v>
      </c>
      <c r="AX552" s="2">
        <v>0.16265215741325512</v>
      </c>
      <c r="AY552" s="2">
        <v>6.2747505337402268E-2</v>
      </c>
      <c r="AZ552" s="2">
        <v>-0.55107662957598924</v>
      </c>
      <c r="BA552" s="31"/>
      <c r="BB552" s="31">
        <v>1970.33333333515</v>
      </c>
      <c r="BC552" s="2">
        <v>-0.18625150483669339</v>
      </c>
      <c r="BD552" s="2">
        <v>-1.2946315076121118</v>
      </c>
      <c r="BE552" s="2">
        <v>-0.29658761070657358</v>
      </c>
      <c r="BG552" s="2">
        <f t="shared" si="81"/>
        <v>0.31769588105435365</v>
      </c>
      <c r="BH552" s="2">
        <f t="shared" si="75"/>
        <v>-1.24589195019252E-2</v>
      </c>
      <c r="BI552" s="2">
        <f t="shared" si="76"/>
        <v>0.2580292493713276</v>
      </c>
    </row>
    <row r="553" spans="6:61" x14ac:dyDescent="0.3">
      <c r="F553" s="31">
        <v>1970.2500000018199</v>
      </c>
      <c r="G553" s="2">
        <v>0.78359311407561361</v>
      </c>
      <c r="H553" s="2">
        <v>0.21524999999999939</v>
      </c>
      <c r="I553" s="2">
        <v>0.15227151417126594</v>
      </c>
      <c r="K553" s="31">
        <v>1970.2500000018199</v>
      </c>
      <c r="L553" s="2">
        <v>0.9076293085518703</v>
      </c>
      <c r="M553" s="2">
        <v>0.12301499999999986</v>
      </c>
      <c r="N553" s="2">
        <v>5.583026346275477E-2</v>
      </c>
      <c r="P553" s="31">
        <v>1970.2500000018199</v>
      </c>
      <c r="Q553" s="2">
        <v>0.59636159205506356</v>
      </c>
      <c r="R553" s="2">
        <v>9.5850000000000463E-2</v>
      </c>
      <c r="S553" s="2">
        <v>4.2431755344217566E-2</v>
      </c>
      <c r="U553" s="2">
        <f t="shared" si="77"/>
        <v>0.76252800489418249</v>
      </c>
      <c r="V553" s="2">
        <f t="shared" si="78"/>
        <v>0.14470499999999989</v>
      </c>
      <c r="W553" s="2">
        <f t="shared" si="79"/>
        <v>8.3511177659412753E-2</v>
      </c>
      <c r="Y553" s="31">
        <v>1970.2500000018199</v>
      </c>
      <c r="Z553" s="2">
        <v>0.28942298262641353</v>
      </c>
      <c r="AA553" s="2">
        <v>2.2135512753475517</v>
      </c>
      <c r="AB553" s="2">
        <v>1.7742268525967642</v>
      </c>
      <c r="AD553" s="31">
        <v>1970.2500000018199</v>
      </c>
      <c r="AE553" s="2">
        <v>0.58535836481890557</v>
      </c>
      <c r="AF553" s="2">
        <v>0.81997122287911783</v>
      </c>
      <c r="AG553" s="2">
        <v>-0.16181904314512394</v>
      </c>
      <c r="AH553" s="31"/>
      <c r="AI553" s="31">
        <v>1970.2500000018199</v>
      </c>
      <c r="AJ553" s="2">
        <v>-0.22232054660286688</v>
      </c>
      <c r="AK553" s="2">
        <v>-4.4052846898962821E-2</v>
      </c>
      <c r="AL553" s="2">
        <v>-0.19946742441000181</v>
      </c>
      <c r="AM553" s="31"/>
      <c r="AN553" s="2">
        <f t="shared" si="80"/>
        <v>0.21748693361415072</v>
      </c>
      <c r="AO553" s="2">
        <f t="shared" si="73"/>
        <v>0.9964898837759022</v>
      </c>
      <c r="AP553" s="2">
        <f t="shared" si="74"/>
        <v>0.47098012834721281</v>
      </c>
      <c r="AQ553" s="31"/>
      <c r="AR553" s="31">
        <v>1970.2500000018199</v>
      </c>
      <c r="AS553" s="2">
        <v>0.53686346944476149</v>
      </c>
      <c r="AT553" s="2">
        <v>1.3017632887485822</v>
      </c>
      <c r="AU553" s="2">
        <v>1.0397447139595475</v>
      </c>
      <c r="AV553" s="31"/>
      <c r="AW553" s="31">
        <v>1970.2500000018199</v>
      </c>
      <c r="AX553" s="2">
        <v>0.65072928432933552</v>
      </c>
      <c r="AY553" s="2">
        <v>-0.13086681924972116</v>
      </c>
      <c r="AZ553" s="2">
        <v>-0.57429825314417915</v>
      </c>
      <c r="BA553" s="31"/>
      <c r="BB553" s="31">
        <v>1970.2500000018199</v>
      </c>
      <c r="BC553" s="2">
        <v>4.5716668029422779E-2</v>
      </c>
      <c r="BD553" s="2">
        <v>-1.0548255298976554</v>
      </c>
      <c r="BE553" s="2">
        <v>-0.22420463338725388</v>
      </c>
      <c r="BG553" s="2">
        <f t="shared" si="81"/>
        <v>0.41110314060117331</v>
      </c>
      <c r="BH553" s="2">
        <f t="shared" si="75"/>
        <v>3.8690313200401873E-2</v>
      </c>
      <c r="BI553" s="2">
        <f t="shared" si="76"/>
        <v>8.0413942476038169E-2</v>
      </c>
    </row>
    <row r="554" spans="6:61" x14ac:dyDescent="0.3">
      <c r="F554" s="31">
        <v>1970.1666666684901</v>
      </c>
      <c r="G554" s="2">
        <v>0.76090749113360756</v>
      </c>
      <c r="H554" s="2">
        <v>0.1844999999999995</v>
      </c>
      <c r="I554" s="2">
        <v>0.13122046879442775</v>
      </c>
      <c r="K554" s="31">
        <v>1970.1666666684901</v>
      </c>
      <c r="L554" s="2">
        <v>0.92726673954067307</v>
      </c>
      <c r="M554" s="2">
        <v>0.12301499999999986</v>
      </c>
      <c r="N554" s="2">
        <v>5.7039020986062602E-2</v>
      </c>
      <c r="P554" s="31">
        <v>1970.1666666684901</v>
      </c>
      <c r="Q554" s="2"/>
      <c r="R554" s="2">
        <v>7.1900000000000297E-2</v>
      </c>
      <c r="S554" s="2">
        <v>3.9246000701329428E-2</v>
      </c>
      <c r="U554" s="2">
        <f t="shared" si="77"/>
        <v>0.84408711533714031</v>
      </c>
      <c r="V554" s="2">
        <f t="shared" si="78"/>
        <v>0.12647166666666657</v>
      </c>
      <c r="W554" s="2">
        <f t="shared" si="79"/>
        <v>7.5835163493939928E-2</v>
      </c>
      <c r="Y554" s="31">
        <v>1970.1666666684901</v>
      </c>
      <c r="Z554" s="2">
        <v>0.15789001232572941</v>
      </c>
      <c r="AA554" s="2">
        <v>1.6130881144920455</v>
      </c>
      <c r="AB554" s="2">
        <v>1.2897530620070803</v>
      </c>
      <c r="AD554" s="31">
        <v>1970.1666666684901</v>
      </c>
      <c r="AE554" s="2">
        <v>0.70221593846034158</v>
      </c>
      <c r="AF554" s="2">
        <v>0.81997122287911783</v>
      </c>
      <c r="AG554" s="2">
        <v>-0.11585626746596617</v>
      </c>
      <c r="AH554" s="31"/>
      <c r="AI554" s="31">
        <v>1970.1666666684901</v>
      </c>
      <c r="AJ554" s="2">
        <v>-0.46415710390286602</v>
      </c>
      <c r="AK554" s="2">
        <v>-0.61478205611361436</v>
      </c>
      <c r="AL554" s="2">
        <v>-0.45693331165105716</v>
      </c>
      <c r="AM554" s="31"/>
      <c r="AN554" s="2">
        <f t="shared" si="80"/>
        <v>0.13198294896106832</v>
      </c>
      <c r="AO554" s="2">
        <f t="shared" si="73"/>
        <v>0.60609242708584965</v>
      </c>
      <c r="AP554" s="2">
        <f t="shared" si="74"/>
        <v>0.238987827630019</v>
      </c>
      <c r="AQ554" s="31"/>
      <c r="AR554" s="31">
        <v>1970.1666666684901</v>
      </c>
      <c r="AS554" s="2">
        <v>0.58491074402163168</v>
      </c>
      <c r="AT554" s="2">
        <v>0.80409366606843113</v>
      </c>
      <c r="AU554" s="2">
        <v>0.85136946778870559</v>
      </c>
      <c r="AV554" s="31"/>
      <c r="AW554" s="31">
        <v>1970.1666666684901</v>
      </c>
      <c r="AX554" s="2">
        <v>0.86780746788847174</v>
      </c>
      <c r="AY554" s="2">
        <v>0.19080318216020514</v>
      </c>
      <c r="AZ554" s="2">
        <v>-0.25742272433639996</v>
      </c>
      <c r="BA554" s="31"/>
      <c r="BB554" s="31">
        <v>1970.1666666684901</v>
      </c>
      <c r="BC554" s="2">
        <v>0.12468282374405207</v>
      </c>
      <c r="BD554" s="2">
        <v>-1.0055477933738932</v>
      </c>
      <c r="BE554" s="2">
        <v>-2.5596160216180816E-2</v>
      </c>
      <c r="BG554" s="2">
        <f t="shared" si="81"/>
        <v>0.52580034521805186</v>
      </c>
      <c r="BH554" s="2">
        <f t="shared" si="75"/>
        <v>-3.5503150484189616E-3</v>
      </c>
      <c r="BI554" s="2">
        <f t="shared" si="76"/>
        <v>0.18945019441204161</v>
      </c>
    </row>
    <row r="555" spans="6:61" x14ac:dyDescent="0.3">
      <c r="F555" s="31">
        <v>1970.08333333516</v>
      </c>
      <c r="G555" s="2">
        <v>0.74181545283593386</v>
      </c>
      <c r="H555" s="2">
        <v>9.2249999999999804E-2</v>
      </c>
      <c r="I555" s="2">
        <v>7.343086391532036E-2</v>
      </c>
      <c r="K555" s="31">
        <v>1970.08333333516</v>
      </c>
      <c r="L555" s="2">
        <v>0.93803430595477422</v>
      </c>
      <c r="M555" s="2">
        <v>6.1514999999999952E-2</v>
      </c>
      <c r="N555" s="2">
        <v>5.7702384478357488E-2</v>
      </c>
      <c r="P555" s="31">
        <v>1970.08333333516</v>
      </c>
      <c r="Q555" s="2">
        <v>0.59094068235555497</v>
      </c>
      <c r="R555" s="2">
        <v>9.5850000000000463E-2</v>
      </c>
      <c r="S555" s="2">
        <v>3.836953649762876E-2</v>
      </c>
      <c r="U555" s="2">
        <f t="shared" si="77"/>
        <v>0.75693014704875428</v>
      </c>
      <c r="V555" s="2">
        <f t="shared" si="78"/>
        <v>8.3205000000000071E-2</v>
      </c>
      <c r="W555" s="2">
        <f t="shared" si="79"/>
        <v>5.6500928297102203E-2</v>
      </c>
      <c r="Y555" s="31">
        <v>1970.08333333516</v>
      </c>
      <c r="Z555" s="2">
        <v>4.7192919598445696E-2</v>
      </c>
      <c r="AA555" s="2">
        <v>-0.18830136807447412</v>
      </c>
      <c r="AB555" s="2">
        <v>-4.0230719381091601E-2</v>
      </c>
      <c r="AD555" s="31">
        <v>1970.08333333516</v>
      </c>
      <c r="AE555" s="2">
        <v>0.76629110623011465</v>
      </c>
      <c r="AF555" s="2">
        <v>-0.68622224125583742</v>
      </c>
      <c r="AG555" s="2">
        <v>-9.0631996425522193E-2</v>
      </c>
      <c r="AH555" s="31"/>
      <c r="AI555" s="31">
        <v>1970.08333333516</v>
      </c>
      <c r="AJ555" s="2">
        <v>-0.52020242005675299</v>
      </c>
      <c r="AK555" s="2">
        <v>-4.4052846898962821E-2</v>
      </c>
      <c r="AL555" s="2">
        <v>-0.5277672769548758</v>
      </c>
      <c r="AM555" s="31"/>
      <c r="AN555" s="2">
        <f t="shared" si="80"/>
        <v>9.7760535257269118E-2</v>
      </c>
      <c r="AO555" s="2">
        <f t="shared" si="73"/>
        <v>-0.30619215207642481</v>
      </c>
      <c r="AP555" s="2">
        <f t="shared" si="74"/>
        <v>-0.21954333092049652</v>
      </c>
      <c r="AQ555" s="31"/>
      <c r="AR555" s="31">
        <v>1970.08333333516</v>
      </c>
      <c r="AS555" s="2">
        <v>0.83195893830623446</v>
      </c>
      <c r="AT555" s="2">
        <v>0.50956041230593874</v>
      </c>
      <c r="AU555" s="2">
        <v>1.2870146186849669</v>
      </c>
      <c r="AV555" s="31"/>
      <c r="AW555" s="31">
        <v>1970.08333333516</v>
      </c>
      <c r="AX555" s="2">
        <v>1.1441247723243531</v>
      </c>
      <c r="AY555" s="2">
        <v>-0.87038484719517628</v>
      </c>
      <c r="AZ555" s="2">
        <v>0.32082137753617185</v>
      </c>
      <c r="BA555" s="31"/>
      <c r="BB555" s="31">
        <v>1970.08333333516</v>
      </c>
      <c r="BC555" s="2">
        <v>0.17747786191280154</v>
      </c>
      <c r="BD555" s="2">
        <v>-1.4615836317459097E-2</v>
      </c>
      <c r="BE555" s="2">
        <v>-0.19457338980761638</v>
      </c>
      <c r="BG555" s="2">
        <f t="shared" si="81"/>
        <v>0.71785385751446296</v>
      </c>
      <c r="BH555" s="2">
        <f t="shared" si="75"/>
        <v>-0.12514675706889888</v>
      </c>
      <c r="BI555" s="2">
        <f t="shared" si="76"/>
        <v>0.4710875354711741</v>
      </c>
    </row>
    <row r="556" spans="6:61" x14ac:dyDescent="0.3">
      <c r="F556" s="31">
        <v>1970.0000000018299</v>
      </c>
      <c r="G556" s="2">
        <v>0.90606087411265701</v>
      </c>
      <c r="H556" s="2">
        <v>6.1499999999999902E-2</v>
      </c>
      <c r="I556" s="2">
        <v>5.5722743757928316E-2</v>
      </c>
      <c r="K556" s="31">
        <v>1970.0000000018299</v>
      </c>
      <c r="L556" s="2">
        <v>0.91632769835170513</v>
      </c>
      <c r="M556" s="2">
        <v>6.1514999999999952E-2</v>
      </c>
      <c r="N556" s="2">
        <v>5.636667562792802E-2</v>
      </c>
      <c r="P556" s="31">
        <v>1970.0000000018299</v>
      </c>
      <c r="Q556" s="2">
        <v>0.61266530155690946</v>
      </c>
      <c r="R556" s="2">
        <v>4.7900000000000303E-2</v>
      </c>
      <c r="S556" s="2">
        <v>3.6831850216378019E-2</v>
      </c>
      <c r="U556" s="2">
        <f t="shared" si="77"/>
        <v>0.81168462467375724</v>
      </c>
      <c r="V556" s="2">
        <f t="shared" si="78"/>
        <v>5.6971666666666719E-2</v>
      </c>
      <c r="W556" s="2">
        <f t="shared" si="79"/>
        <v>4.9640423200744792E-2</v>
      </c>
      <c r="Y556" s="31">
        <v>1970.0000000018299</v>
      </c>
      <c r="Z556" s="2">
        <v>0.99950038649246276</v>
      </c>
      <c r="AA556" s="2">
        <v>-0.78876452892998072</v>
      </c>
      <c r="AB556" s="2">
        <v>-0.44776962983865265</v>
      </c>
      <c r="AD556" s="31">
        <v>1970.0000000018299</v>
      </c>
      <c r="AE556" s="2">
        <v>0.63712036602851929</v>
      </c>
      <c r="AF556" s="2">
        <v>-0.68622224125583742</v>
      </c>
      <c r="AG556" s="2">
        <v>-0.14142207225226888</v>
      </c>
      <c r="AH556" s="31"/>
      <c r="AI556" s="31">
        <v>1970.0000000018299</v>
      </c>
      <c r="AJ556" s="2">
        <v>0.66105906258994485</v>
      </c>
      <c r="AK556" s="2">
        <v>-1.186702766808877</v>
      </c>
      <c r="AL556" s="2">
        <v>-0.65203979856429428</v>
      </c>
      <c r="AM556" s="31"/>
      <c r="AN556" s="2">
        <f t="shared" si="80"/>
        <v>0.7658932717036423</v>
      </c>
      <c r="AO556" s="2">
        <f t="shared" si="73"/>
        <v>-0.88722984566489826</v>
      </c>
      <c r="AP556" s="2">
        <f t="shared" si="74"/>
        <v>-0.41374383355173866</v>
      </c>
      <c r="AQ556" s="31"/>
      <c r="AR556" s="31">
        <v>1970.0000000018299</v>
      </c>
      <c r="AS556" s="2">
        <v>1.0978805494859387</v>
      </c>
      <c r="AT556" s="2">
        <v>-0.29853293598826319</v>
      </c>
      <c r="AU556" s="2">
        <v>0.73296423427701218</v>
      </c>
      <c r="AV556" s="31"/>
      <c r="AW556" s="31">
        <v>1970.0000000018299</v>
      </c>
      <c r="AX556" s="2">
        <v>0.72359615220706919</v>
      </c>
      <c r="AY556" s="2">
        <v>-0.21981065223360952</v>
      </c>
      <c r="AZ556" s="2">
        <v>0.62855754424276145</v>
      </c>
      <c r="BA556" s="31"/>
      <c r="BB556" s="31">
        <v>1970.0000000018299</v>
      </c>
      <c r="BC556" s="2">
        <v>1.0272659145039844</v>
      </c>
      <c r="BD556" s="2">
        <v>-0.94501805984887022</v>
      </c>
      <c r="BE556" s="2">
        <v>-1.5578487779649897E-2</v>
      </c>
      <c r="BG556" s="2">
        <f t="shared" si="81"/>
        <v>0.94958087206566422</v>
      </c>
      <c r="BH556" s="2">
        <f t="shared" si="75"/>
        <v>-0.48778721602358094</v>
      </c>
      <c r="BI556" s="2">
        <f t="shared" si="76"/>
        <v>0.44864776358004121</v>
      </c>
    </row>
    <row r="557" spans="6:61" x14ac:dyDescent="0.3">
      <c r="F557" s="31">
        <v>1969.9166666685001</v>
      </c>
      <c r="G557" s="2">
        <v>0.75301019930082291</v>
      </c>
      <c r="H557" s="2">
        <v>6.1499999999999846E-2</v>
      </c>
      <c r="I557" s="2">
        <v>4.6310127257000504E-2</v>
      </c>
      <c r="K557" s="31">
        <v>1969.9166666685001</v>
      </c>
      <c r="L557" s="2">
        <v>1.0123611904756205</v>
      </c>
      <c r="M557" s="2">
        <v>6.1499999999999902E-2</v>
      </c>
      <c r="N557" s="2">
        <v>6.2260213214250557E-2</v>
      </c>
      <c r="P557" s="31">
        <v>1969.9166666685001</v>
      </c>
      <c r="Q557" s="2">
        <v>0.64815508514887521</v>
      </c>
      <c r="R557" s="2">
        <v>7.1900000000000297E-2</v>
      </c>
      <c r="S557" s="2">
        <v>3.9725914485743384E-2</v>
      </c>
      <c r="U557" s="2">
        <f t="shared" si="77"/>
        <v>0.80450882497510623</v>
      </c>
      <c r="V557" s="2">
        <f t="shared" si="78"/>
        <v>6.4966666666666673E-2</v>
      </c>
      <c r="W557" s="2">
        <f t="shared" si="79"/>
        <v>4.9432084985664815E-2</v>
      </c>
      <c r="Y557" s="31">
        <v>1969.9166666685001</v>
      </c>
      <c r="Z557" s="2">
        <v>0.11210091256183978</v>
      </c>
      <c r="AA557" s="2">
        <v>-0.78876452892998183</v>
      </c>
      <c r="AB557" s="2">
        <v>-0.6643938360925099</v>
      </c>
      <c r="AD557" s="31">
        <v>1969.9166666685001</v>
      </c>
      <c r="AE557" s="2">
        <v>1.2085923108217871</v>
      </c>
      <c r="AF557" s="2">
        <v>-0.68658960551538373</v>
      </c>
      <c r="AG557" s="2">
        <v>8.2678577227488059E-2</v>
      </c>
      <c r="AH557" s="31"/>
      <c r="AI557" s="31">
        <v>1969.9166666685001</v>
      </c>
      <c r="AJ557" s="2">
        <v>-0.37260830315677018</v>
      </c>
      <c r="AK557" s="2">
        <v>-0.61478205611361436</v>
      </c>
      <c r="AL557" s="2">
        <v>-0.41814770442320942</v>
      </c>
      <c r="AM557" s="31"/>
      <c r="AN557" s="2">
        <f t="shared" si="80"/>
        <v>0.31602830674228555</v>
      </c>
      <c r="AO557" s="2">
        <f t="shared" si="73"/>
        <v>-0.69671206351965997</v>
      </c>
      <c r="AP557" s="2">
        <f t="shared" si="74"/>
        <v>-0.33328765442941038</v>
      </c>
      <c r="AQ557" s="31"/>
      <c r="AR557" s="31">
        <v>1969.9166666685001</v>
      </c>
      <c r="AS557" s="2">
        <v>0.43747740218665826</v>
      </c>
      <c r="AT557" s="2">
        <v>-0.68444756444045252</v>
      </c>
      <c r="AU557" s="2">
        <v>-0.323466792494356</v>
      </c>
      <c r="AV557" s="31"/>
      <c r="AW557" s="31">
        <v>1969.9166666685001</v>
      </c>
      <c r="AX557" s="2">
        <v>1.3116764786591957</v>
      </c>
      <c r="AY557" s="2">
        <v>-0.51828077835128905</v>
      </c>
      <c r="AZ557" s="2">
        <v>1.1151755935924004</v>
      </c>
      <c r="BA557" s="31"/>
      <c r="BB557" s="31">
        <v>1969.9166666685001</v>
      </c>
      <c r="BC557" s="2">
        <v>3.736551731701851E-2</v>
      </c>
      <c r="BD557" s="2">
        <v>-0.44318112469553572</v>
      </c>
      <c r="BE557" s="2">
        <v>-0.13327934766292324</v>
      </c>
      <c r="BG557" s="2">
        <f t="shared" si="81"/>
        <v>0.59550646605429081</v>
      </c>
      <c r="BH557" s="2">
        <f t="shared" si="75"/>
        <v>-0.5486364891624258</v>
      </c>
      <c r="BI557" s="2">
        <f t="shared" si="76"/>
        <v>0.21947648447837373</v>
      </c>
    </row>
    <row r="558" spans="6:61" x14ac:dyDescent="0.3">
      <c r="F558" s="31">
        <v>1969.83333333517</v>
      </c>
      <c r="G558" s="2">
        <v>0.91025910864435045</v>
      </c>
      <c r="H558" s="2">
        <v>6.1499999999999902E-2</v>
      </c>
      <c r="I558" s="2">
        <v>5.5980935181627466E-2</v>
      </c>
      <c r="K558" s="31">
        <v>1969.83333333517</v>
      </c>
      <c r="L558" s="2">
        <v>0.90151353544495727</v>
      </c>
      <c r="M558" s="2">
        <v>6.1514999999999952E-2</v>
      </c>
      <c r="N558" s="2">
        <v>5.5454723706535217E-2</v>
      </c>
      <c r="P558" s="31">
        <v>1969.83333333517</v>
      </c>
      <c r="Q558" s="2">
        <v>0.70886620155759228</v>
      </c>
      <c r="R558" s="2">
        <v>4.7900000000000303E-2</v>
      </c>
      <c r="S558" s="2">
        <v>3.7978541360895873E-2</v>
      </c>
      <c r="U558" s="2">
        <f t="shared" si="77"/>
        <v>0.84021294854896666</v>
      </c>
      <c r="V558" s="2">
        <f t="shared" si="78"/>
        <v>5.6971666666666719E-2</v>
      </c>
      <c r="W558" s="2">
        <f t="shared" si="79"/>
        <v>4.9804733416352852E-2</v>
      </c>
      <c r="Y558" s="31">
        <v>1969.83333333517</v>
      </c>
      <c r="Z558" s="2">
        <v>1.0238420701827986</v>
      </c>
      <c r="AA558" s="2">
        <v>-0.78876452892998072</v>
      </c>
      <c r="AB558" s="2">
        <v>-0.44182755069255458</v>
      </c>
      <c r="AD558" s="31">
        <v>1969.83333333517</v>
      </c>
      <c r="AE558" s="2">
        <v>0.54896488714746738</v>
      </c>
      <c r="AF558" s="2">
        <v>-0.68622224125583742</v>
      </c>
      <c r="AG558" s="2">
        <v>-0.17609887118415832</v>
      </c>
      <c r="AH558" s="31"/>
      <c r="AI558" s="31">
        <v>1969.83333333517</v>
      </c>
      <c r="AJ558" s="2">
        <v>0.81715090006490609</v>
      </c>
      <c r="AK558" s="2">
        <v>-1.186702766808877</v>
      </c>
      <c r="AL558" s="2">
        <v>-0.55936666895783527</v>
      </c>
      <c r="AM558" s="31"/>
      <c r="AN558" s="2">
        <f t="shared" si="80"/>
        <v>0.79665261913172403</v>
      </c>
      <c r="AO558" s="2">
        <f t="shared" si="73"/>
        <v>-0.88722984566489826</v>
      </c>
      <c r="AP558" s="2">
        <f t="shared" si="74"/>
        <v>-0.39243103027818277</v>
      </c>
      <c r="AQ558" s="31"/>
      <c r="AR558" s="31">
        <v>1969.83333333517</v>
      </c>
      <c r="AS558" s="2">
        <v>0.82840735680709354</v>
      </c>
      <c r="AT558" s="2">
        <v>-0.28549293171717766</v>
      </c>
      <c r="AU558" s="2">
        <v>0.45390594466240181</v>
      </c>
      <c r="AV558" s="31"/>
      <c r="AW558" s="31">
        <v>1969.83333333517</v>
      </c>
      <c r="AX558" s="2">
        <v>0.50364560780736933</v>
      </c>
      <c r="AY558" s="2">
        <v>-0.19138401234735175</v>
      </c>
      <c r="AZ558" s="2">
        <v>0.43783559811663242</v>
      </c>
      <c r="BA558" s="31"/>
      <c r="BB558" s="31">
        <v>1969.83333333517</v>
      </c>
      <c r="BC558" s="2">
        <v>0.62213356130478492</v>
      </c>
      <c r="BD558" s="2">
        <v>-0.86039420085980967</v>
      </c>
      <c r="BE558" s="2">
        <v>-0.17580959664488313</v>
      </c>
      <c r="BG558" s="2">
        <f t="shared" si="81"/>
        <v>0.65139550863974927</v>
      </c>
      <c r="BH558" s="2">
        <f t="shared" si="75"/>
        <v>-0.44575704830811302</v>
      </c>
      <c r="BI558" s="2">
        <f t="shared" si="76"/>
        <v>0.23864398204471704</v>
      </c>
    </row>
    <row r="559" spans="6:61" x14ac:dyDescent="0.3">
      <c r="F559" s="31">
        <v>1969.7500000018399</v>
      </c>
      <c r="G559" s="2">
        <v>0.7842507447013306</v>
      </c>
      <c r="H559" s="2">
        <v>6.1499999999999846E-2</v>
      </c>
      <c r="I559" s="2">
        <v>4.8231420799131723E-2</v>
      </c>
      <c r="K559" s="31">
        <v>1969.7500000018399</v>
      </c>
      <c r="L559" s="2">
        <v>0.88148393322286278</v>
      </c>
      <c r="M559" s="2">
        <v>6.1514999999999952E-2</v>
      </c>
      <c r="N559" s="2">
        <v>5.4222082674897629E-2</v>
      </c>
      <c r="P559" s="31">
        <v>1969.7500000018399</v>
      </c>
      <c r="Q559" s="2">
        <v>0.71976342155080453</v>
      </c>
      <c r="R559" s="2">
        <v>9.5850000000000463E-2</v>
      </c>
      <c r="S559" s="2">
        <v>4.2785930315553014E-2</v>
      </c>
      <c r="U559" s="2">
        <f t="shared" si="77"/>
        <v>0.79516603315833256</v>
      </c>
      <c r="V559" s="2">
        <f t="shared" si="78"/>
        <v>7.2955000000000089E-2</v>
      </c>
      <c r="W559" s="2">
        <f t="shared" si="79"/>
        <v>4.8413144596527458E-2</v>
      </c>
      <c r="Y559" s="31">
        <v>1969.7500000018399</v>
      </c>
      <c r="Z559" s="2">
        <v>0.29323597510109162</v>
      </c>
      <c r="AA559" s="2">
        <v>-0.78876452892998183</v>
      </c>
      <c r="AB559" s="2">
        <v>-0.62017672722551076</v>
      </c>
      <c r="AD559" s="31">
        <v>1969.7500000018399</v>
      </c>
      <c r="AE559" s="2">
        <v>0.42977359791968145</v>
      </c>
      <c r="AF559" s="2">
        <v>-0.68622224125583742</v>
      </c>
      <c r="AG559" s="2">
        <v>-0.22296981273994929</v>
      </c>
      <c r="AH559" s="31"/>
      <c r="AI559" s="31">
        <v>1969.7500000018399</v>
      </c>
      <c r="AJ559" s="2">
        <v>-0.1423287398276033</v>
      </c>
      <c r="AK559" s="2">
        <v>-4.4052846898962821E-2</v>
      </c>
      <c r="AL559" s="2">
        <v>-0.17084375954710218</v>
      </c>
      <c r="AM559" s="31"/>
      <c r="AN559" s="2">
        <f t="shared" si="80"/>
        <v>0.19356027773105658</v>
      </c>
      <c r="AO559" s="2">
        <f t="shared" si="73"/>
        <v>-0.50634653902826077</v>
      </c>
      <c r="AP559" s="2">
        <f t="shared" si="74"/>
        <v>-0.33799676650418742</v>
      </c>
      <c r="AQ559" s="31"/>
      <c r="AR559" s="31">
        <v>1969.7500000018399</v>
      </c>
      <c r="AS559" s="2">
        <v>0.27630806828625964</v>
      </c>
      <c r="AT559" s="2">
        <v>-0.6766476141944503</v>
      </c>
      <c r="AU559" s="2">
        <v>-0.40156908501989258</v>
      </c>
      <c r="AV559" s="31"/>
      <c r="AW559" s="31">
        <v>1969.7500000018399</v>
      </c>
      <c r="AX559" s="2">
        <v>0.55321272243332487</v>
      </c>
      <c r="AY559" s="2">
        <v>-0.6564669997761764</v>
      </c>
      <c r="AZ559" s="2">
        <v>1.9559906324162534E-3</v>
      </c>
      <c r="BA559" s="31"/>
      <c r="BB559" s="31">
        <v>1969.7500000018399</v>
      </c>
      <c r="BC559" s="2">
        <v>-0.19205311570561229</v>
      </c>
      <c r="BD559" s="2">
        <v>0.36965282471677957</v>
      </c>
      <c r="BE559" s="2">
        <v>-0.37764781637587391</v>
      </c>
      <c r="BG559" s="2">
        <f t="shared" si="81"/>
        <v>0.21248922500465742</v>
      </c>
      <c r="BH559" s="2">
        <f t="shared" si="75"/>
        <v>-0.32115392975128237</v>
      </c>
      <c r="BI559" s="2">
        <f t="shared" si="76"/>
        <v>-0.2590869702544501</v>
      </c>
    </row>
    <row r="560" spans="6:61" x14ac:dyDescent="0.3">
      <c r="F560" s="31">
        <v>1969.6666666685101</v>
      </c>
      <c r="G560" s="2">
        <v>0.97885644137602157</v>
      </c>
      <c r="H560" s="2">
        <v>6.1499999999999902E-2</v>
      </c>
      <c r="I560" s="2">
        <v>6.0199671144625232E-2</v>
      </c>
      <c r="K560" s="31">
        <v>1969.6666666685101</v>
      </c>
      <c r="L560" s="2">
        <v>1.0459543421873114</v>
      </c>
      <c r="M560" s="2">
        <v>6.1499999999999902E-2</v>
      </c>
      <c r="N560" s="2">
        <v>6.4326192044519545E-2</v>
      </c>
      <c r="P560" s="31">
        <v>1969.6666666685101</v>
      </c>
      <c r="Q560" s="2">
        <v>0.81146755699020134</v>
      </c>
      <c r="R560" s="2">
        <v>4.7900000000000303E-2</v>
      </c>
      <c r="S560" s="2">
        <v>3.8897400862846251E-2</v>
      </c>
      <c r="U560" s="2">
        <f t="shared" si="77"/>
        <v>0.94542611351784478</v>
      </c>
      <c r="V560" s="2">
        <f t="shared" si="78"/>
        <v>5.69666666666667E-2</v>
      </c>
      <c r="W560" s="2">
        <f t="shared" si="79"/>
        <v>5.4474421350663681E-2</v>
      </c>
      <c r="Y560" s="31">
        <v>1969.6666666685101</v>
      </c>
      <c r="Z560" s="2">
        <v>1.4215746319893283</v>
      </c>
      <c r="AA560" s="2">
        <v>-0.78876452892998072</v>
      </c>
      <c r="AB560" s="2">
        <v>-0.34473655274433146</v>
      </c>
      <c r="AD560" s="31">
        <v>1969.6666666685101</v>
      </c>
      <c r="AE560" s="2">
        <v>1.4084969827839819</v>
      </c>
      <c r="AF560" s="2">
        <v>-0.68658960551538373</v>
      </c>
      <c r="AG560" s="2">
        <v>0.16123703060007522</v>
      </c>
      <c r="AH560" s="31"/>
      <c r="AI560" s="31">
        <v>1969.6666666685101</v>
      </c>
      <c r="AJ560" s="2">
        <v>0.94222945214622333</v>
      </c>
      <c r="AK560" s="2">
        <v>-1.186702766808877</v>
      </c>
      <c r="AL560" s="2">
        <v>-0.48510640618221412</v>
      </c>
      <c r="AM560" s="31"/>
      <c r="AN560" s="2">
        <f t="shared" si="80"/>
        <v>1.2574336889731779</v>
      </c>
      <c r="AO560" s="2">
        <f t="shared" si="73"/>
        <v>-0.88735230041808055</v>
      </c>
      <c r="AP560" s="2">
        <f t="shared" si="74"/>
        <v>-0.22286864277549012</v>
      </c>
      <c r="AQ560" s="31"/>
      <c r="AR560" s="31">
        <v>1969.6666666685101</v>
      </c>
      <c r="AS560" s="2">
        <v>0.63189748943047119</v>
      </c>
      <c r="AT560" s="2">
        <v>-0.32631334910519749</v>
      </c>
      <c r="AU560" s="2">
        <v>0.19284448705253626</v>
      </c>
      <c r="AV560" s="31"/>
      <c r="AW560" s="31">
        <v>1969.6666666685101</v>
      </c>
      <c r="AX560" s="2">
        <v>0.78863441963577885</v>
      </c>
      <c r="AY560" s="2">
        <v>-0.23903137022338633</v>
      </c>
      <c r="AZ560" s="2">
        <v>0.77257014493305709</v>
      </c>
      <c r="BA560" s="31"/>
      <c r="BB560" s="31">
        <v>1969.6666666685101</v>
      </c>
      <c r="BC560" s="2">
        <v>0.56680124350052463</v>
      </c>
      <c r="BD560" s="2">
        <v>-1.0289872901111137</v>
      </c>
      <c r="BE560" s="2">
        <v>-0.41194618830789775</v>
      </c>
      <c r="BG560" s="2">
        <f t="shared" si="81"/>
        <v>0.66244438418892493</v>
      </c>
      <c r="BH560" s="2">
        <f t="shared" si="75"/>
        <v>-0.53144400314656581</v>
      </c>
      <c r="BI560" s="2">
        <f t="shared" si="76"/>
        <v>0.18448948122589851</v>
      </c>
    </row>
    <row r="561" spans="6:61" x14ac:dyDescent="0.3">
      <c r="F561" s="31">
        <v>1969.58333333518</v>
      </c>
      <c r="G561" s="2">
        <v>0.8565467167195282</v>
      </c>
      <c r="H561" s="2">
        <v>6.1499999999999846E-2</v>
      </c>
      <c r="I561" s="2">
        <v>5.2677623078250864E-2</v>
      </c>
      <c r="K561" s="31">
        <v>1969.58333333518</v>
      </c>
      <c r="L561" s="2">
        <v>0.85917595437568894</v>
      </c>
      <c r="M561" s="2">
        <v>6.1514999999999952E-2</v>
      </c>
      <c r="N561" s="2">
        <v>5.2849382213749602E-2</v>
      </c>
      <c r="P561" s="31">
        <v>1969.58333333518</v>
      </c>
      <c r="Q561" s="2">
        <v>0.65825698080393269</v>
      </c>
      <c r="R561" s="2">
        <v>7.1900000000000297E-2</v>
      </c>
      <c r="S561" s="2">
        <v>4.7240528545616986E-2</v>
      </c>
      <c r="U561" s="2">
        <f t="shared" si="77"/>
        <v>0.79132655063305002</v>
      </c>
      <c r="V561" s="2">
        <f t="shared" si="78"/>
        <v>6.4971666666666705E-2</v>
      </c>
      <c r="W561" s="2">
        <f t="shared" si="79"/>
        <v>5.0922511279205822E-2</v>
      </c>
      <c r="Y561" s="31">
        <v>1969.58333333518</v>
      </c>
      <c r="Z561" s="2">
        <v>0.71241352930087876</v>
      </c>
      <c r="AA561" s="2">
        <v>-0.78876452892998183</v>
      </c>
      <c r="AB561" s="2">
        <v>-0.51785076510187222</v>
      </c>
      <c r="AD561" s="31">
        <v>1969.58333333518</v>
      </c>
      <c r="AE561" s="2">
        <v>0.2970242437698622</v>
      </c>
      <c r="AF561" s="2">
        <v>-0.68622224125583742</v>
      </c>
      <c r="AG561" s="2">
        <v>-0.27516648755175549</v>
      </c>
      <c r="AH561" s="31"/>
      <c r="AI561" s="31">
        <v>1969.58333333518</v>
      </c>
      <c r="AJ561" s="2">
        <v>0.22426493785445392</v>
      </c>
      <c r="AK561" s="2">
        <v>-0.61478205611361436</v>
      </c>
      <c r="AL561" s="2">
        <v>0.18916735686646247</v>
      </c>
      <c r="AM561" s="31"/>
      <c r="AN561" s="2">
        <f t="shared" si="80"/>
        <v>0.41123423697506495</v>
      </c>
      <c r="AO561" s="2">
        <f t="shared" si="73"/>
        <v>-0.69658960876647791</v>
      </c>
      <c r="AP561" s="2">
        <f t="shared" si="74"/>
        <v>-0.20128329859572172</v>
      </c>
      <c r="AQ561" s="31"/>
      <c r="AR561" s="31">
        <v>1969.58333333518</v>
      </c>
      <c r="AS561" s="2">
        <v>0.23224285908537753</v>
      </c>
      <c r="AT561" s="2">
        <v>-0.65870957567408583</v>
      </c>
      <c r="AU561" s="2">
        <v>-0.36916745796328643</v>
      </c>
      <c r="AV561" s="31"/>
      <c r="AW561" s="31">
        <v>1969.58333333518</v>
      </c>
      <c r="AX561" s="2">
        <v>9.0681906409951052E-2</v>
      </c>
      <c r="AY561" s="2">
        <v>-0.53553372549108424</v>
      </c>
      <c r="AZ561" s="2">
        <v>-0.11361534304261044</v>
      </c>
      <c r="BA561" s="31"/>
      <c r="BB561" s="31">
        <v>1969.58333333518</v>
      </c>
      <c r="BC561" s="2">
        <v>-0.33404168927045419</v>
      </c>
      <c r="BD561" s="2">
        <v>-0.51613739712758211</v>
      </c>
      <c r="BE561" s="2">
        <v>-0.47667458561944531</v>
      </c>
      <c r="BG561" s="2">
        <f t="shared" si="81"/>
        <v>-3.705641258375201E-3</v>
      </c>
      <c r="BH561" s="2">
        <f t="shared" si="75"/>
        <v>-0.57012689943091743</v>
      </c>
      <c r="BI561" s="2">
        <f t="shared" si="76"/>
        <v>-0.31981912887511404</v>
      </c>
    </row>
    <row r="562" spans="6:61" x14ac:dyDescent="0.3">
      <c r="F562" s="31">
        <v>1969.5000000018499</v>
      </c>
      <c r="G562" s="2">
        <v>1.0886529592348606</v>
      </c>
      <c r="H562" s="2">
        <v>6.1499999999999902E-2</v>
      </c>
      <c r="I562" s="2">
        <v>6.6952156992943823E-2</v>
      </c>
      <c r="K562" s="31">
        <v>1969.5000000018499</v>
      </c>
      <c r="L562" s="2">
        <v>1.0495856998913109</v>
      </c>
      <c r="M562" s="2">
        <v>6.1499999999999902E-2</v>
      </c>
      <c r="N562" s="2">
        <v>6.4549520543315517E-2</v>
      </c>
      <c r="P562" s="31">
        <v>1969.5000000018499</v>
      </c>
      <c r="Q562" s="2">
        <v>0.72275688509080283</v>
      </c>
      <c r="R562" s="2">
        <v>4.7900000000000303E-2</v>
      </c>
      <c r="S562" s="2">
        <v>4.1394446632698423E-2</v>
      </c>
      <c r="U562" s="2">
        <f t="shared" si="77"/>
        <v>0.95366518140565815</v>
      </c>
      <c r="V562" s="2">
        <f t="shared" si="78"/>
        <v>5.69666666666667E-2</v>
      </c>
      <c r="W562" s="2">
        <f t="shared" si="79"/>
        <v>5.763204138965259E-2</v>
      </c>
      <c r="Y562" s="31">
        <v>1969.5000000018499</v>
      </c>
      <c r="Z562" s="2">
        <v>2.0581832082477214</v>
      </c>
      <c r="AA562" s="2">
        <v>-0.78876452892998072</v>
      </c>
      <c r="AB562" s="2">
        <v>-0.18933322923824433</v>
      </c>
      <c r="AD562" s="31">
        <v>1969.5000000018499</v>
      </c>
      <c r="AE562" s="2">
        <v>1.4301063088997799</v>
      </c>
      <c r="AF562" s="2">
        <v>-0.68658960551538373</v>
      </c>
      <c r="AG562" s="2">
        <v>0.16972905443032374</v>
      </c>
      <c r="AH562" s="31"/>
      <c r="AI562" s="31">
        <v>1969.5000000018499</v>
      </c>
      <c r="AJ562" s="2">
        <v>1.2821365529716948</v>
      </c>
      <c r="AK562" s="2">
        <v>-1.186702766808877</v>
      </c>
      <c r="AL562" s="2">
        <v>-0.28330049936144586</v>
      </c>
      <c r="AM562" s="31"/>
      <c r="AN562" s="2">
        <f t="shared" si="80"/>
        <v>1.5901420233730654</v>
      </c>
      <c r="AO562" s="2">
        <f t="shared" si="73"/>
        <v>-0.88735230041808055</v>
      </c>
      <c r="AP562" s="2">
        <f t="shared" si="74"/>
        <v>-0.10096822472312215</v>
      </c>
      <c r="AQ562" s="31"/>
      <c r="AR562" s="31">
        <v>1969.5000000018499</v>
      </c>
      <c r="AS562" s="2">
        <v>0.60868731751547234</v>
      </c>
      <c r="AT562" s="2">
        <v>-2.313009814913013E-2</v>
      </c>
      <c r="AU562" s="2">
        <v>0.55919773719105581</v>
      </c>
      <c r="AV562" s="31"/>
      <c r="AW562" s="31">
        <v>1969.5000000018499</v>
      </c>
      <c r="AX562" s="2">
        <v>0.35710768939904292</v>
      </c>
      <c r="AY562" s="2">
        <v>-0.1083026392523672</v>
      </c>
      <c r="AZ562" s="2">
        <v>0.35676915970982159</v>
      </c>
      <c r="BA562" s="31"/>
      <c r="BB562" s="31">
        <v>1969.5000000018499</v>
      </c>
      <c r="BC562" s="2">
        <v>0.18906168065881912</v>
      </c>
      <c r="BD562" s="2">
        <v>-0.38248368897839508</v>
      </c>
      <c r="BE562" s="2">
        <v>-7.0889949772743308E-2</v>
      </c>
      <c r="BG562" s="2">
        <f t="shared" si="81"/>
        <v>0.38495222919111144</v>
      </c>
      <c r="BH562" s="2">
        <f t="shared" si="75"/>
        <v>-0.17130547545996413</v>
      </c>
      <c r="BI562" s="2">
        <f t="shared" si="76"/>
        <v>0.28169231570937803</v>
      </c>
    </row>
    <row r="563" spans="6:61" x14ac:dyDescent="0.3">
      <c r="F563" s="31">
        <v>1969.4166666685201</v>
      </c>
      <c r="G563" s="2">
        <v>0.89686826559306954</v>
      </c>
      <c r="H563" s="2">
        <v>0.15374999999999966</v>
      </c>
      <c r="I563" s="2">
        <v>0.14380466856505139</v>
      </c>
      <c r="K563" s="31">
        <v>1969.4166666685201</v>
      </c>
      <c r="L563" s="2">
        <v>0.81899953665025182</v>
      </c>
      <c r="M563" s="2">
        <v>9.2264999999999903E-2</v>
      </c>
      <c r="N563" s="2">
        <v>5.0377883034766979E-2</v>
      </c>
      <c r="P563" s="31">
        <v>1969.4166666685201</v>
      </c>
      <c r="Q563" s="2">
        <v>0.64091716957485989</v>
      </c>
      <c r="R563" s="2">
        <v>0.1198000000000006</v>
      </c>
      <c r="S563" s="2">
        <v>4.8343837541049886E-2</v>
      </c>
      <c r="U563" s="2">
        <f t="shared" si="77"/>
        <v>0.78559499060606042</v>
      </c>
      <c r="V563" s="2">
        <f t="shared" si="78"/>
        <v>0.12193833333333338</v>
      </c>
      <c r="W563" s="2">
        <f t="shared" si="79"/>
        <v>8.0842129713622757E-2</v>
      </c>
      <c r="Y563" s="31">
        <v>1969.4166666685201</v>
      </c>
      <c r="Z563" s="2">
        <v>0.94620094188458226</v>
      </c>
      <c r="AA563" s="2">
        <v>1.0126249536365401</v>
      </c>
      <c r="AB563" s="2">
        <v>1.5793688438019307</v>
      </c>
      <c r="AD563" s="31">
        <v>1969.4166666685201</v>
      </c>
      <c r="AE563" s="2">
        <v>5.7944157597877806E-2</v>
      </c>
      <c r="AF563" s="2">
        <v>6.6874490811640125E-2</v>
      </c>
      <c r="AG563" s="2">
        <v>-0.36914477530953216</v>
      </c>
      <c r="AH563" s="31"/>
      <c r="AI563" s="31">
        <v>1969.4166666685201</v>
      </c>
      <c r="AJ563" s="2">
        <v>0.29947720055675742</v>
      </c>
      <c r="AK563" s="2">
        <v>0.52667636231568804</v>
      </c>
      <c r="AL563" s="2">
        <v>0.27833443382397804</v>
      </c>
      <c r="AM563" s="31"/>
      <c r="AN563" s="2">
        <f t="shared" si="80"/>
        <v>0.43454076667973918</v>
      </c>
      <c r="AO563" s="2">
        <f t="shared" si="73"/>
        <v>0.53539193558795606</v>
      </c>
      <c r="AP563" s="2">
        <f t="shared" si="74"/>
        <v>0.49618616743879218</v>
      </c>
      <c r="AQ563" s="31"/>
      <c r="AR563" s="31">
        <v>1969.4166666685201</v>
      </c>
      <c r="AS563" s="2">
        <v>0.33161037271643268</v>
      </c>
      <c r="AT563" s="2">
        <v>-0.35878275268423288</v>
      </c>
      <c r="AU563" s="2">
        <v>-7.1962203493756462E-3</v>
      </c>
      <c r="AV563" s="31"/>
      <c r="AW563" s="31">
        <v>1969.4166666685201</v>
      </c>
      <c r="AX563" s="2">
        <v>-0.3626884835380812</v>
      </c>
      <c r="AY563" s="2">
        <v>-1.0196274698486036</v>
      </c>
      <c r="AZ563" s="2">
        <v>-1.0361037894442777</v>
      </c>
      <c r="BA563" s="31"/>
      <c r="BB563" s="31">
        <v>1969.4166666685201</v>
      </c>
      <c r="BC563" s="2">
        <v>-0.43303867968711623</v>
      </c>
      <c r="BD563" s="2">
        <v>-0.9122447108614179</v>
      </c>
      <c r="BE563" s="2">
        <v>-0.65823995036417038</v>
      </c>
      <c r="BG563" s="2">
        <f t="shared" si="81"/>
        <v>-0.15470559683625493</v>
      </c>
      <c r="BH563" s="2">
        <f t="shared" si="75"/>
        <v>-0.76355164446475143</v>
      </c>
      <c r="BI563" s="2">
        <f t="shared" si="76"/>
        <v>-0.56717998671927461</v>
      </c>
    </row>
    <row r="564" spans="6:61" x14ac:dyDescent="0.3">
      <c r="F564" s="31">
        <v>1969.33333333519</v>
      </c>
      <c r="G564" s="2">
        <v>0.81876717749236594</v>
      </c>
      <c r="H564" s="2">
        <v>0.12299999999999969</v>
      </c>
      <c r="I564" s="2">
        <v>0.10070836283156079</v>
      </c>
      <c r="K564" s="31">
        <v>1969.33333333519</v>
      </c>
      <c r="L564" s="2">
        <v>0.71095728057989327</v>
      </c>
      <c r="M564" s="2">
        <v>9.2264999999999903E-2</v>
      </c>
      <c r="N564" s="2">
        <v>4.3732686894480191E-2</v>
      </c>
      <c r="P564" s="31">
        <v>1969.33333333519</v>
      </c>
      <c r="Q564" s="2">
        <v>0.50950346078372477</v>
      </c>
      <c r="R564" s="2">
        <v>0.1198000000000006</v>
      </c>
      <c r="S564" s="2">
        <v>4.3889076499394893E-2</v>
      </c>
      <c r="U564" s="2">
        <f t="shared" si="77"/>
        <v>0.67974263961866133</v>
      </c>
      <c r="V564" s="2">
        <f t="shared" si="78"/>
        <v>0.11168833333333339</v>
      </c>
      <c r="W564" s="2">
        <f t="shared" si="79"/>
        <v>6.277670874181196E-2</v>
      </c>
      <c r="Y564" s="31">
        <v>1969.33333333519</v>
      </c>
      <c r="Z564" s="2">
        <v>0.49336488232991565</v>
      </c>
      <c r="AA564" s="2">
        <v>0.41216179278103221</v>
      </c>
      <c r="AB564" s="2">
        <v>0.58754016140838705</v>
      </c>
      <c r="AD564" s="31">
        <v>1969.33333333519</v>
      </c>
      <c r="AE564" s="2">
        <v>-0.58498901947237558</v>
      </c>
      <c r="AF564" s="2">
        <v>6.6874490811640125E-2</v>
      </c>
      <c r="AG564" s="2">
        <v>-0.62182709881158238</v>
      </c>
      <c r="AH564" s="31"/>
      <c r="AI564" s="31">
        <v>1969.33333333519</v>
      </c>
      <c r="AJ564" s="2">
        <v>-0.12485140244263557</v>
      </c>
      <c r="AK564" s="2">
        <v>0.52667636231568804</v>
      </c>
      <c r="AL564" s="2">
        <v>-8.1689840674698116E-2</v>
      </c>
      <c r="AM564" s="31"/>
      <c r="AN564" s="2">
        <f t="shared" si="80"/>
        <v>-7.2158513195031845E-2</v>
      </c>
      <c r="AO564" s="2">
        <f t="shared" si="73"/>
        <v>0.3352375486361201</v>
      </c>
      <c r="AP564" s="2">
        <f t="shared" si="74"/>
        <v>-3.865892602596447E-2</v>
      </c>
      <c r="AQ564" s="31"/>
      <c r="AR564" s="31">
        <v>1969.33333333519</v>
      </c>
      <c r="AS564" s="2">
        <v>0.41509442381317763</v>
      </c>
      <c r="AT564" s="2">
        <v>-0.62524988541030202</v>
      </c>
      <c r="AU564" s="2">
        <v>-0.34075250479915786</v>
      </c>
      <c r="AV564" s="31"/>
      <c r="AW564" s="31">
        <v>1969.33333333519</v>
      </c>
      <c r="AX564" s="2">
        <v>-0.70525790823625623</v>
      </c>
      <c r="AY564" s="2">
        <v>-0.6035549277918324</v>
      </c>
      <c r="AZ564" s="2">
        <v>-0.80891360628038889</v>
      </c>
      <c r="BA564" s="31"/>
      <c r="BB564" s="31">
        <v>1969.33333333519</v>
      </c>
      <c r="BC564" s="2">
        <v>-0.41012218125352667</v>
      </c>
      <c r="BD564" s="2">
        <v>-0.1780601750249331</v>
      </c>
      <c r="BE564" s="2">
        <v>-0.51507519972629845</v>
      </c>
      <c r="BG564" s="2">
        <f t="shared" si="81"/>
        <v>-0.2334285552255351</v>
      </c>
      <c r="BH564" s="2">
        <f t="shared" si="75"/>
        <v>-0.46895499607568913</v>
      </c>
      <c r="BI564" s="2">
        <f t="shared" si="76"/>
        <v>-0.5549137702686151</v>
      </c>
    </row>
    <row r="565" spans="6:61" x14ac:dyDescent="0.3">
      <c r="F565" s="31">
        <v>1969.2500000018599</v>
      </c>
      <c r="G565" s="2">
        <v>0.7524692494910965</v>
      </c>
      <c r="H565" s="2">
        <v>0.15374999999999966</v>
      </c>
      <c r="I565" s="2">
        <v>0.12185110697887871</v>
      </c>
      <c r="K565" s="31">
        <v>1969.2500000018599</v>
      </c>
      <c r="L565" s="2">
        <v>0.62647647389115024</v>
      </c>
      <c r="M565" s="2">
        <v>9.2264999999999903E-2</v>
      </c>
      <c r="N565" s="2">
        <v>3.8536555439077913E-2</v>
      </c>
      <c r="P565" s="31">
        <v>1969.2500000018599</v>
      </c>
      <c r="Q565" s="2">
        <v>0.48624543419343752</v>
      </c>
      <c r="R565" s="2">
        <v>0.1198000000000006</v>
      </c>
      <c r="S565" s="2">
        <v>3.6881396556938437E-2</v>
      </c>
      <c r="U565" s="2">
        <f t="shared" si="77"/>
        <v>0.62173038585856144</v>
      </c>
      <c r="V565" s="2">
        <f t="shared" si="78"/>
        <v>0.12193833333333338</v>
      </c>
      <c r="W565" s="2">
        <f t="shared" si="79"/>
        <v>6.5756352991631684E-2</v>
      </c>
      <c r="Y565" s="31">
        <v>1969.2500000018599</v>
      </c>
      <c r="Z565" s="2">
        <v>0.10896444434852244</v>
      </c>
      <c r="AA565" s="2">
        <v>1.0126249536365401</v>
      </c>
      <c r="AB565" s="2">
        <v>1.0741243294226339</v>
      </c>
      <c r="AD565" s="31">
        <v>1969.2500000018599</v>
      </c>
      <c r="AE565" s="2">
        <v>-1.0877137442363649</v>
      </c>
      <c r="AF565" s="2">
        <v>6.6874490811640125E-2</v>
      </c>
      <c r="AG565" s="2">
        <v>-0.81940901237064145</v>
      </c>
      <c r="AH565" s="31"/>
      <c r="AI565" s="31">
        <v>1969.2500000018599</v>
      </c>
      <c r="AJ565" s="2">
        <v>-0.84549351374184933</v>
      </c>
      <c r="AK565" s="2">
        <v>0.52667636231568804</v>
      </c>
      <c r="AL565" s="2">
        <v>-0.64803556912358296</v>
      </c>
      <c r="AM565" s="31"/>
      <c r="AN565" s="2">
        <f t="shared" si="80"/>
        <v>-0.60808093787656392</v>
      </c>
      <c r="AO565" s="2">
        <f t="shared" si="73"/>
        <v>0.53539193558795606</v>
      </c>
      <c r="AP565" s="2">
        <f t="shared" si="74"/>
        <v>-0.13110675069053013</v>
      </c>
      <c r="AQ565" s="31"/>
      <c r="AR565" s="31">
        <v>1969.2500000018599</v>
      </c>
      <c r="AS565" s="2">
        <v>0.31712590109021183</v>
      </c>
      <c r="AT565" s="2">
        <v>-6.2988546229768488E-2</v>
      </c>
      <c r="AU565" s="2">
        <v>0.27244001457930384</v>
      </c>
      <c r="AV565" s="31"/>
      <c r="AW565" s="31">
        <v>1969.2500000018599</v>
      </c>
      <c r="AX565" s="2">
        <v>-1.0495138225070704</v>
      </c>
      <c r="AY565" s="2">
        <v>-0.8205967459488962</v>
      </c>
      <c r="AZ565" s="2">
        <v>-1.0260699587122304</v>
      </c>
      <c r="BA565" s="31"/>
      <c r="BB565" s="31">
        <v>1969.2500000018599</v>
      </c>
      <c r="BC565" s="2">
        <v>-0.66104178003512393</v>
      </c>
      <c r="BD565" s="2">
        <v>-0.51128572186882904</v>
      </c>
      <c r="BE565" s="2">
        <v>-0.7626671863959279</v>
      </c>
      <c r="BG565" s="2">
        <f t="shared" si="81"/>
        <v>-0.46447656715066077</v>
      </c>
      <c r="BH565" s="2">
        <f t="shared" si="75"/>
        <v>-0.46495700468249795</v>
      </c>
      <c r="BI565" s="2">
        <f t="shared" si="76"/>
        <v>-0.5054323768429515</v>
      </c>
    </row>
    <row r="566" spans="6:61" x14ac:dyDescent="0.3">
      <c r="F566" s="31">
        <v>1969.1666666685301</v>
      </c>
      <c r="G566" s="2">
        <v>0.70844802315025635</v>
      </c>
      <c r="H566" s="2">
        <v>0.12299999999999969</v>
      </c>
      <c r="I566" s="2">
        <v>8.7139106847481343E-2</v>
      </c>
      <c r="K566" s="31">
        <v>1969.1666666685301</v>
      </c>
      <c r="L566" s="2">
        <v>0.59038916592353008</v>
      </c>
      <c r="M566" s="2">
        <v>9.2264999999999903E-2</v>
      </c>
      <c r="N566" s="2">
        <v>3.6316663304305247E-2</v>
      </c>
      <c r="P566" s="31">
        <v>1969.1666666685301</v>
      </c>
      <c r="Q566" s="2">
        <v>0.44707325998069686</v>
      </c>
      <c r="R566" s="2">
        <v>0.14370000000000091</v>
      </c>
      <c r="S566" s="2">
        <v>2.2665707249602374E-2</v>
      </c>
      <c r="U566" s="2">
        <f t="shared" si="77"/>
        <v>0.58197014968482774</v>
      </c>
      <c r="V566" s="2">
        <f t="shared" si="78"/>
        <v>0.11965500000000018</v>
      </c>
      <c r="W566" s="2">
        <f t="shared" si="79"/>
        <v>4.8707159133796328E-2</v>
      </c>
      <c r="Y566" s="31">
        <v>1969.1666666685301</v>
      </c>
      <c r="Z566" s="2">
        <v>-0.14627398007965867</v>
      </c>
      <c r="AA566" s="2">
        <v>0.41216179278103221</v>
      </c>
      <c r="AB566" s="2">
        <v>0.27525406043775164</v>
      </c>
      <c r="AD566" s="31">
        <v>1969.1666666685301</v>
      </c>
      <c r="AE566" s="2">
        <v>-1.3024605332003554</v>
      </c>
      <c r="AF566" s="2">
        <v>6.6874490811640125E-2</v>
      </c>
      <c r="AG566" s="2">
        <v>-0.90381998996957735</v>
      </c>
      <c r="AH566" s="31"/>
      <c r="AI566" s="31">
        <v>1969.1666666685301</v>
      </c>
      <c r="AJ566" s="2">
        <v>-1.2672886849168656</v>
      </c>
      <c r="AK566" s="2">
        <v>1.0962140700497278</v>
      </c>
      <c r="AL566" s="2">
        <v>-1.7969172221495469</v>
      </c>
      <c r="AM566" s="31"/>
      <c r="AN566" s="2">
        <f t="shared" si="80"/>
        <v>-0.90534106606562659</v>
      </c>
      <c r="AO566" s="2">
        <f t="shared" si="73"/>
        <v>0.52508345121413336</v>
      </c>
      <c r="AP566" s="2">
        <f t="shared" si="74"/>
        <v>-0.80849438389379091</v>
      </c>
      <c r="AQ566" s="31"/>
      <c r="AR566" s="31">
        <v>1969.1666666685301</v>
      </c>
      <c r="AS566" s="2">
        <v>0.24524303546564832</v>
      </c>
      <c r="AT566" s="2">
        <v>-0.46657286796563235</v>
      </c>
      <c r="AU566" s="2">
        <v>-0.28413496273411631</v>
      </c>
      <c r="AV566" s="31"/>
      <c r="AW566" s="31">
        <v>1969.1666666685301</v>
      </c>
      <c r="AX566" s="2">
        <v>-1.097142783016964</v>
      </c>
      <c r="AY566" s="2">
        <v>-0.48231704140909132</v>
      </c>
      <c r="AZ566" s="2">
        <v>-0.88033208043529598</v>
      </c>
      <c r="BA566" s="31"/>
      <c r="BB566" s="31">
        <v>1969.1666666685301</v>
      </c>
      <c r="BC566" s="2">
        <v>-0.75959271617959712</v>
      </c>
      <c r="BD566" s="2">
        <v>0.96431160441040453</v>
      </c>
      <c r="BE566" s="2">
        <v>-1.559756164049561</v>
      </c>
      <c r="BG566" s="2">
        <f t="shared" si="81"/>
        <v>-0.53716415457697086</v>
      </c>
      <c r="BH566" s="2">
        <f t="shared" si="75"/>
        <v>5.1405650118936204E-3</v>
      </c>
      <c r="BI566" s="2">
        <f t="shared" si="76"/>
        <v>-0.90807440240632442</v>
      </c>
    </row>
    <row r="567" spans="6:61" x14ac:dyDescent="0.3">
      <c r="F567" s="31">
        <v>1969.0833333352</v>
      </c>
      <c r="G567" s="2">
        <v>0.68763086088642678</v>
      </c>
      <c r="H567" s="2">
        <v>9.2249999999999749E-2</v>
      </c>
      <c r="I567" s="2">
        <v>5.7864047272107248E-2</v>
      </c>
      <c r="K567" s="31">
        <v>1969.0833333352</v>
      </c>
      <c r="L567" s="2">
        <v>0.57722196404822013</v>
      </c>
      <c r="M567" s="2">
        <v>6.1514999999999952E-2</v>
      </c>
      <c r="N567" s="2">
        <v>3.5506830309508214E-2</v>
      </c>
      <c r="P567" s="31">
        <v>1969.0833333352</v>
      </c>
      <c r="Q567" s="2">
        <v>0.44203871783322668</v>
      </c>
      <c r="R567" s="2">
        <v>9.5850000000000463E-2</v>
      </c>
      <c r="S567" s="2">
        <v>3.1402905319958554E-2</v>
      </c>
      <c r="U567" s="2">
        <f t="shared" si="77"/>
        <v>0.56896384758929119</v>
      </c>
      <c r="V567" s="2">
        <f t="shared" si="78"/>
        <v>8.3205000000000057E-2</v>
      </c>
      <c r="W567" s="2">
        <f t="shared" si="79"/>
        <v>4.1591260967191339E-2</v>
      </c>
      <c r="Y567" s="31">
        <v>1969.0833333352</v>
      </c>
      <c r="Z567" s="2">
        <v>-0.26697347300487645</v>
      </c>
      <c r="AA567" s="2">
        <v>-0.1883013680744752</v>
      </c>
      <c r="AB567" s="2">
        <v>-0.39848915888120062</v>
      </c>
      <c r="AD567" s="31">
        <v>1969.0833333352</v>
      </c>
      <c r="AE567" s="2">
        <v>-1.3808153477213099</v>
      </c>
      <c r="AF567" s="2">
        <v>-0.68622224125583742</v>
      </c>
      <c r="AG567" s="2">
        <v>-0.93461373607638631</v>
      </c>
      <c r="AH567" s="31"/>
      <c r="AI567" s="31">
        <v>1969.0833333352</v>
      </c>
      <c r="AJ567" s="2">
        <v>-1.4915114461126624</v>
      </c>
      <c r="AK567" s="2">
        <v>-4.4052846898962821E-2</v>
      </c>
      <c r="AL567" s="2">
        <v>-1.0907955318910296</v>
      </c>
      <c r="AM567" s="31"/>
      <c r="AN567" s="2">
        <f t="shared" si="80"/>
        <v>-1.0464334222796161</v>
      </c>
      <c r="AO567" s="2">
        <f t="shared" si="73"/>
        <v>-0.30619215207642514</v>
      </c>
      <c r="AP567" s="2">
        <f t="shared" si="74"/>
        <v>-0.80796614228287222</v>
      </c>
      <c r="AQ567" s="31"/>
      <c r="AR567" s="31">
        <v>1969.0833333352</v>
      </c>
      <c r="AS567" s="2">
        <v>0.3946970778057482</v>
      </c>
      <c r="AT567" s="2">
        <v>0.50956041230593607</v>
      </c>
      <c r="AU567" s="2">
        <v>0.36021987418874241</v>
      </c>
      <c r="AV567" s="31"/>
      <c r="AW567" s="31">
        <v>1969.0833333352</v>
      </c>
      <c r="AX567" s="2">
        <v>-1.1504271110041333</v>
      </c>
      <c r="AY567" s="2">
        <v>-0.87038484719517628</v>
      </c>
      <c r="AZ567" s="2">
        <v>-1.3263763500065708</v>
      </c>
      <c r="BA567" s="31"/>
      <c r="BB567" s="31">
        <v>1969.0833333352</v>
      </c>
      <c r="BC567" s="2">
        <v>-0.89763055637581224</v>
      </c>
      <c r="BD567" s="2">
        <v>-1.4615836317459097E-2</v>
      </c>
      <c r="BE567" s="2">
        <v>-0.87341267881811224</v>
      </c>
      <c r="BG567" s="2">
        <f t="shared" si="81"/>
        <v>-0.55112019652473243</v>
      </c>
      <c r="BH567" s="2">
        <f t="shared" si="75"/>
        <v>-0.12514675706889977</v>
      </c>
      <c r="BI567" s="2">
        <f t="shared" si="76"/>
        <v>-0.61318971821198021</v>
      </c>
    </row>
    <row r="568" spans="6:61" x14ac:dyDescent="0.3">
      <c r="F568" s="31">
        <v>1969.0000000018699</v>
      </c>
      <c r="G568" s="2">
        <v>0.71106754616625523</v>
      </c>
      <c r="H568" s="2">
        <v>6.1499999999999846E-2</v>
      </c>
      <c r="I568" s="2">
        <v>4.3730654089224594E-2</v>
      </c>
      <c r="K568" s="31">
        <v>1969.0000000018699</v>
      </c>
      <c r="L568" s="2">
        <v>0.59903055456343068</v>
      </c>
      <c r="M568" s="2">
        <v>6.1514999999999952E-2</v>
      </c>
      <c r="N568" s="2">
        <v>3.6848064178957633E-2</v>
      </c>
      <c r="P568" s="31">
        <v>1969.0000000018699</v>
      </c>
      <c r="Q568" s="2">
        <v>0.48791136548271263</v>
      </c>
      <c r="R568" s="2">
        <v>4.7900000000000303E-2</v>
      </c>
      <c r="S568" s="2">
        <v>2.2242367866379016E-2</v>
      </c>
      <c r="U568" s="2">
        <f t="shared" si="77"/>
        <v>0.59933648873746614</v>
      </c>
      <c r="V568" s="2">
        <f t="shared" si="78"/>
        <v>5.6971666666666698E-2</v>
      </c>
      <c r="W568" s="2">
        <f t="shared" si="79"/>
        <v>3.4273695378187079E-2</v>
      </c>
      <c r="Y568" s="31">
        <v>1969.0000000018699</v>
      </c>
      <c r="Z568" s="2">
        <v>-0.1310857860438959</v>
      </c>
      <c r="AA568" s="2">
        <v>-0.78876452892998183</v>
      </c>
      <c r="AB568" s="2">
        <v>-0.72375844820302138</v>
      </c>
      <c r="AD568" s="31">
        <v>1969.0000000018699</v>
      </c>
      <c r="AE568" s="2">
        <v>-1.2510377320240076</v>
      </c>
      <c r="AF568" s="2">
        <v>-0.68622224125583742</v>
      </c>
      <c r="AG568" s="2">
        <v>-0.88361357244878591</v>
      </c>
      <c r="AH568" s="31"/>
      <c r="AI568" s="31">
        <v>1969.0000000018699</v>
      </c>
      <c r="AJ568" s="2">
        <v>-1.3249152066867143</v>
      </c>
      <c r="AK568" s="2">
        <v>-1.186702766808877</v>
      </c>
      <c r="AL568" s="2">
        <v>-1.8311306070845743</v>
      </c>
      <c r="AM568" s="31"/>
      <c r="AN568" s="2">
        <f t="shared" si="80"/>
        <v>-0.90234624158487253</v>
      </c>
      <c r="AO568" s="2">
        <f t="shared" si="73"/>
        <v>-0.88722984566489871</v>
      </c>
      <c r="AP568" s="2">
        <f t="shared" si="74"/>
        <v>-1.1461675425787938</v>
      </c>
      <c r="AQ568" s="31"/>
      <c r="AR568" s="31">
        <v>1969.0000000018699</v>
      </c>
      <c r="AS568" s="2">
        <v>0.23323272741657364</v>
      </c>
      <c r="AT568" s="2">
        <v>-0.29853293598826575</v>
      </c>
      <c r="AU568" s="2">
        <v>-3.154071132028935E-2</v>
      </c>
      <c r="AV568" s="31"/>
      <c r="AW568" s="31">
        <v>1969.0000000018699</v>
      </c>
      <c r="AX568" s="2">
        <v>-0.7118574597476991</v>
      </c>
      <c r="AY568" s="2">
        <v>-0.21981065223360952</v>
      </c>
      <c r="AZ568" s="2">
        <v>-0.75074539129159745</v>
      </c>
      <c r="BA568" s="31"/>
      <c r="BB568" s="31">
        <v>1969.0000000018699</v>
      </c>
      <c r="BC568" s="2">
        <v>-0.64135931037938909</v>
      </c>
      <c r="BD568" s="2">
        <v>-0.94501805984887022</v>
      </c>
      <c r="BE568" s="2">
        <v>-1.1522603915695153</v>
      </c>
      <c r="BG568" s="2">
        <f t="shared" si="81"/>
        <v>-0.37332801423683809</v>
      </c>
      <c r="BH568" s="2">
        <f t="shared" si="75"/>
        <v>-0.48778721602358183</v>
      </c>
      <c r="BI568" s="2">
        <f t="shared" si="76"/>
        <v>-0.64484883139380067</v>
      </c>
    </row>
    <row r="569" spans="6:61" x14ac:dyDescent="0.3">
      <c r="F569" s="31">
        <v>1968.9166666685401</v>
      </c>
      <c r="G569" s="2">
        <v>0.74991933749293738</v>
      </c>
      <c r="H569" s="2">
        <v>9.2249999999999749E-2</v>
      </c>
      <c r="I569" s="2">
        <v>6.4718675067002435E-2</v>
      </c>
      <c r="K569" s="31">
        <v>1968.9166666685401</v>
      </c>
      <c r="L569" s="2"/>
      <c r="M569" s="2"/>
      <c r="N569" s="2"/>
      <c r="P569" s="31">
        <v>1968.9166666685401</v>
      </c>
      <c r="Q569" s="2">
        <v>0.57260510439389156</v>
      </c>
      <c r="R569" s="2">
        <v>9.5850000000000463E-2</v>
      </c>
      <c r="S569" s="2">
        <v>3.3338280290808028E-2</v>
      </c>
      <c r="U569" s="2">
        <f t="shared" si="77"/>
        <v>0.66126222094341447</v>
      </c>
      <c r="V569" s="2">
        <f t="shared" si="78"/>
        <v>9.4050000000000106E-2</v>
      </c>
      <c r="W569" s="2">
        <f t="shared" si="79"/>
        <v>4.9028477678905232E-2</v>
      </c>
      <c r="Y569" s="31">
        <v>1968.9166666685401</v>
      </c>
      <c r="Z569" s="2">
        <v>9.4179860298058457E-2</v>
      </c>
      <c r="AA569" s="2">
        <v>-0.1883013680744752</v>
      </c>
      <c r="AB569" s="2">
        <v>-0.24073511619939891</v>
      </c>
      <c r="AD569" s="31">
        <v>1968.9166666685401</v>
      </c>
      <c r="AE569" s="2"/>
      <c r="AF569" s="2"/>
      <c r="AG569" s="2"/>
      <c r="AH569" s="31"/>
      <c r="AI569" s="31">
        <v>1968.9166666685401</v>
      </c>
      <c r="AJ569" s="2">
        <v>-1.2485239868907259</v>
      </c>
      <c r="AK569" s="2">
        <v>-4.4052846898962821E-2</v>
      </c>
      <c r="AL569" s="2">
        <v>-0.9343826596297341</v>
      </c>
      <c r="AM569" s="31"/>
      <c r="AN569" s="2">
        <f t="shared" si="80"/>
        <v>-0.57717206329633375</v>
      </c>
      <c r="AO569" s="2">
        <f t="shared" si="73"/>
        <v>-0.11617710748671901</v>
      </c>
      <c r="AP569" s="2">
        <f t="shared" si="74"/>
        <v>-0.58755888791456656</v>
      </c>
      <c r="AQ569" s="31"/>
      <c r="AR569" s="31">
        <v>1968.9166666685401</v>
      </c>
      <c r="AS569" s="2">
        <v>0.41822536197647403</v>
      </c>
      <c r="AT569" s="2">
        <v>0.68444756444045063</v>
      </c>
      <c r="AU569" s="2">
        <v>0.61837402481846937</v>
      </c>
      <c r="AV569" s="31"/>
      <c r="AW569" s="31">
        <v>1968.9166666685401</v>
      </c>
      <c r="AX569" s="2"/>
      <c r="AY569" s="2"/>
      <c r="AZ569" s="2"/>
      <c r="BA569" s="31"/>
      <c r="BB569" s="31">
        <v>1968.9166666685401</v>
      </c>
      <c r="BC569" s="2">
        <v>-1.0392895257429691</v>
      </c>
      <c r="BD569" s="2">
        <v>0.88737234882057547</v>
      </c>
      <c r="BE569" s="2">
        <v>-0.74633049359021264</v>
      </c>
      <c r="BG569" s="2">
        <f t="shared" si="81"/>
        <v>-0.31053208188324755</v>
      </c>
      <c r="BH569" s="2">
        <f t="shared" si="75"/>
        <v>0.785909956630513</v>
      </c>
      <c r="BI569" s="2">
        <f t="shared" si="76"/>
        <v>-6.3978234385871635E-2</v>
      </c>
    </row>
    <row r="570" spans="6:61" x14ac:dyDescent="0.3">
      <c r="F570" s="31">
        <v>1968.83333333521</v>
      </c>
      <c r="G570" s="2">
        <v>0.66523522090221632</v>
      </c>
      <c r="H570" s="2">
        <v>6.1499999999999798E-2</v>
      </c>
      <c r="I570" s="2">
        <v>4.0911966085486168E-2</v>
      </c>
      <c r="K570" s="31">
        <v>1968.83333333521</v>
      </c>
      <c r="L570" s="2">
        <v>0.63065130052248031</v>
      </c>
      <c r="M570" s="2">
        <v>6.1514999999999952E-2</v>
      </c>
      <c r="N570" s="2">
        <v>3.8792744492543912E-2</v>
      </c>
      <c r="P570" s="31">
        <v>1968.83333333521</v>
      </c>
      <c r="Q570" s="2">
        <v>0.63022555539308522</v>
      </c>
      <c r="R570" s="2">
        <v>4.7900000000000303E-2</v>
      </c>
      <c r="S570" s="2">
        <v>2.7985945354406849E-2</v>
      </c>
      <c r="U570" s="2">
        <f t="shared" si="77"/>
        <v>0.64203735893926062</v>
      </c>
      <c r="V570" s="2">
        <f t="shared" si="78"/>
        <v>5.6971666666666691E-2</v>
      </c>
      <c r="W570" s="2">
        <f t="shared" si="79"/>
        <v>3.589688531081231E-2</v>
      </c>
      <c r="Y570" s="31">
        <v>1968.83333333521</v>
      </c>
      <c r="Z570" s="2">
        <v>-0.39682510002162519</v>
      </c>
      <c r="AA570" s="2">
        <v>-0.78876452892998272</v>
      </c>
      <c r="AB570" s="2">
        <v>-0.7886284077330753</v>
      </c>
      <c r="AD570" s="31">
        <v>1968.83333333521</v>
      </c>
      <c r="AE570" s="2">
        <v>-1.0628703667706945</v>
      </c>
      <c r="AF570" s="2">
        <v>-0.68622224125583742</v>
      </c>
      <c r="AG570" s="2">
        <v>-0.80966747217845292</v>
      </c>
      <c r="AH570" s="31"/>
      <c r="AI570" s="31">
        <v>1968.83333333521</v>
      </c>
      <c r="AJ570" s="2">
        <v>-0.54307820718407462</v>
      </c>
      <c r="AK570" s="2">
        <v>-1.186702766808877</v>
      </c>
      <c r="AL570" s="2">
        <v>-1.3669469395839875</v>
      </c>
      <c r="AM570" s="31"/>
      <c r="AN570" s="2">
        <f t="shared" si="80"/>
        <v>-0.66759122465879805</v>
      </c>
      <c r="AO570" s="2">
        <f t="shared" si="73"/>
        <v>-0.88722984566489904</v>
      </c>
      <c r="AP570" s="2">
        <f t="shared" si="74"/>
        <v>-0.98841427316517194</v>
      </c>
      <c r="AQ570" s="31"/>
      <c r="AR570" s="31">
        <v>1968.83333333521</v>
      </c>
      <c r="AS570" s="2">
        <v>-0.14321241955415928</v>
      </c>
      <c r="AT570" s="2">
        <v>-0.2854929317171821</v>
      </c>
      <c r="AU570" s="2">
        <v>-0.35857601740895462</v>
      </c>
      <c r="AV570" s="31"/>
      <c r="AW570" s="31">
        <v>1968.83333333521</v>
      </c>
      <c r="AX570" s="2">
        <v>-0.55220117659719103</v>
      </c>
      <c r="AY570" s="2">
        <v>-0.19138401234735175</v>
      </c>
      <c r="AZ570" s="2">
        <v>-0.57296384317648463</v>
      </c>
      <c r="BA570" s="31"/>
      <c r="BB570" s="31">
        <v>1968.83333333521</v>
      </c>
      <c r="BC570" s="2">
        <v>-0.28184942608705948</v>
      </c>
      <c r="BD570" s="2">
        <v>-0.86039420085980967</v>
      </c>
      <c r="BE570" s="2">
        <v>-0.73247322074321708</v>
      </c>
      <c r="BG570" s="2">
        <f t="shared" si="81"/>
        <v>-0.32575434074613657</v>
      </c>
      <c r="BH570" s="2">
        <f t="shared" si="75"/>
        <v>-0.44575704830811452</v>
      </c>
      <c r="BI570" s="2">
        <f t="shared" si="76"/>
        <v>-0.55467102710955218</v>
      </c>
    </row>
    <row r="571" spans="6:61" x14ac:dyDescent="0.3">
      <c r="F571" s="31">
        <v>1968.7500000018799</v>
      </c>
      <c r="G571" s="2">
        <v>0.83167875984069028</v>
      </c>
      <c r="H571" s="2">
        <v>9.2249999999999749E-2</v>
      </c>
      <c r="I571" s="2">
        <v>7.368467347270935E-2</v>
      </c>
      <c r="K571" s="31">
        <v>1968.7500000018799</v>
      </c>
      <c r="L571" s="2">
        <v>0.66506499638138417</v>
      </c>
      <c r="M571" s="2">
        <v>6.1514999999999952E-2</v>
      </c>
      <c r="N571" s="2">
        <v>4.0909190127376878E-2</v>
      </c>
      <c r="P571" s="31">
        <v>1968.7500000018799</v>
      </c>
      <c r="Q571" s="2">
        <v>0.64766790288125287</v>
      </c>
      <c r="R571" s="2">
        <v>7.1900000000000297E-2</v>
      </c>
      <c r="S571" s="2">
        <v>3.7406045366127016E-2</v>
      </c>
      <c r="U571" s="2">
        <f t="shared" si="77"/>
        <v>0.71480388636777581</v>
      </c>
      <c r="V571" s="2">
        <f t="shared" si="78"/>
        <v>7.5221666666666673E-2</v>
      </c>
      <c r="W571" s="2">
        <f t="shared" si="79"/>
        <v>5.0666636322071079E-2</v>
      </c>
      <c r="Y571" s="31">
        <v>1968.7500000018799</v>
      </c>
      <c r="Z571" s="2">
        <v>0.56822722055613706</v>
      </c>
      <c r="AA571" s="2">
        <v>-0.1883013680744752</v>
      </c>
      <c r="AB571" s="2">
        <v>-3.4389485553747927E-2</v>
      </c>
      <c r="AD571" s="31">
        <v>1968.7500000018799</v>
      </c>
      <c r="AE571" s="2">
        <v>-0.85808283624295423</v>
      </c>
      <c r="AF571" s="2">
        <v>-0.68622224125583742</v>
      </c>
      <c r="AG571" s="2">
        <v>-0.72919002812933187</v>
      </c>
      <c r="AH571" s="31"/>
      <c r="AI571" s="31">
        <v>1968.7500000018799</v>
      </c>
      <c r="AJ571" s="2">
        <v>-0.76883936484975313</v>
      </c>
      <c r="AK571" s="2">
        <v>-0.61478205611361436</v>
      </c>
      <c r="AL571" s="2">
        <v>-0.60563457272254151</v>
      </c>
      <c r="AM571" s="31"/>
      <c r="AN571" s="2">
        <f t="shared" si="80"/>
        <v>-0.35289832684552341</v>
      </c>
      <c r="AO571" s="2">
        <f t="shared" si="73"/>
        <v>-0.49643522181464234</v>
      </c>
      <c r="AP571" s="2">
        <f t="shared" si="74"/>
        <v>-0.4564046954685404</v>
      </c>
      <c r="AQ571" s="31"/>
      <c r="AR571" s="31">
        <v>1968.7500000018799</v>
      </c>
      <c r="AS571" s="2">
        <v>0.61007083256024108</v>
      </c>
      <c r="AT571" s="2">
        <v>0.89414149018552613</v>
      </c>
      <c r="AU571" s="2">
        <v>0.8749858488723834</v>
      </c>
      <c r="AV571" s="31"/>
      <c r="AW571" s="31">
        <v>1968.7500000018799</v>
      </c>
      <c r="AX571" s="2">
        <v>-0.90870238457513142</v>
      </c>
      <c r="AY571" s="2">
        <v>-0.6564669997761764</v>
      </c>
      <c r="AZ571" s="2">
        <v>-1.0419671795892165</v>
      </c>
      <c r="BA571" s="31"/>
      <c r="BB571" s="31">
        <v>1968.7500000018799</v>
      </c>
      <c r="BC571" s="2">
        <v>-0.81623927377779371</v>
      </c>
      <c r="BD571" s="2">
        <v>-0.59144451954684485</v>
      </c>
      <c r="BE571" s="2">
        <v>-0.78680809005882779</v>
      </c>
      <c r="BG571" s="2">
        <f t="shared" si="81"/>
        <v>-0.37162360859756133</v>
      </c>
      <c r="BH571" s="2">
        <f t="shared" si="75"/>
        <v>-0.1179233430458317</v>
      </c>
      <c r="BI571" s="2">
        <f t="shared" si="76"/>
        <v>-0.31792980692522027</v>
      </c>
    </row>
    <row r="572" spans="6:61" x14ac:dyDescent="0.3">
      <c r="F572" s="31">
        <v>1968.6666666685501</v>
      </c>
      <c r="G572" s="2">
        <v>0.89168158302080691</v>
      </c>
      <c r="H572" s="2">
        <v>6.1499999999999846E-2</v>
      </c>
      <c r="I572" s="2">
        <v>5.483841735577949E-2</v>
      </c>
      <c r="K572" s="31">
        <v>1968.6666666685501</v>
      </c>
      <c r="L572" s="2"/>
      <c r="M572" s="2"/>
      <c r="N572" s="2"/>
      <c r="P572" s="31">
        <v>1968.6666666685501</v>
      </c>
      <c r="Q572" s="2"/>
      <c r="R572" s="2">
        <v>9.5800000000000607E-2</v>
      </c>
      <c r="S572" s="2">
        <v>3.3844868907053294E-2</v>
      </c>
      <c r="U572" s="2">
        <f t="shared" si="77"/>
        <v>0.89168158302080691</v>
      </c>
      <c r="V572" s="2">
        <f t="shared" si="78"/>
        <v>7.865000000000022E-2</v>
      </c>
      <c r="W572" s="2">
        <f t="shared" si="79"/>
        <v>4.4341643131416392E-2</v>
      </c>
      <c r="Y572" s="31">
        <v>1968.6666666685501</v>
      </c>
      <c r="Z572" s="2">
        <v>0.91612816114232376</v>
      </c>
      <c r="AA572" s="2">
        <v>-0.78876452892998183</v>
      </c>
      <c r="AB572" s="2">
        <v>-0.46812172905739119</v>
      </c>
      <c r="AD572" s="31">
        <v>1968.6666666685501</v>
      </c>
      <c r="AE572" s="2"/>
      <c r="AF572" s="2"/>
      <c r="AG572" s="2"/>
      <c r="AH572" s="31"/>
      <c r="AI572" s="31">
        <v>1968.6666666685501</v>
      </c>
      <c r="AJ572" s="2">
        <v>0.25446012502519855</v>
      </c>
      <c r="AK572" s="2">
        <v>-4.5244348379574514E-2</v>
      </c>
      <c r="AL572" s="2">
        <v>-0.89344124945586034</v>
      </c>
      <c r="AM572" s="31"/>
      <c r="AN572" s="2">
        <f t="shared" si="80"/>
        <v>0.58529414308376115</v>
      </c>
      <c r="AO572" s="2">
        <f t="shared" si="73"/>
        <v>-0.41700443865477815</v>
      </c>
      <c r="AP572" s="2">
        <f t="shared" si="74"/>
        <v>-0.68078148925662574</v>
      </c>
      <c r="AQ572" s="31"/>
      <c r="AR572" s="31">
        <v>1968.6666666685501</v>
      </c>
      <c r="AS572" s="2">
        <v>0.35644977737891487</v>
      </c>
      <c r="AT572" s="2">
        <v>-0.32631334910519932</v>
      </c>
      <c r="AU572" s="2">
        <v>-1.5362877869242203E-2</v>
      </c>
      <c r="AV572" s="31"/>
      <c r="AW572" s="31">
        <v>1968.6666666685501</v>
      </c>
      <c r="AX572" s="2"/>
      <c r="AY572" s="2"/>
      <c r="AZ572" s="2"/>
      <c r="BA572" s="31"/>
      <c r="BB572" s="31">
        <v>1968.6666666685501</v>
      </c>
      <c r="BC572" s="2">
        <v>-4.1369726197913792E-2</v>
      </c>
      <c r="BD572" s="2">
        <v>1.0262385864010182</v>
      </c>
      <c r="BE572" s="2">
        <v>-0.81930672481979561</v>
      </c>
      <c r="BG572" s="2">
        <f t="shared" si="81"/>
        <v>0.15754002559050054</v>
      </c>
      <c r="BH572" s="2">
        <f t="shared" si="75"/>
        <v>0.34996261864790945</v>
      </c>
      <c r="BI572" s="2">
        <f t="shared" si="76"/>
        <v>-0.41733480134451889</v>
      </c>
    </row>
    <row r="573" spans="6:61" x14ac:dyDescent="0.3">
      <c r="F573" s="31">
        <v>1968.58333333522</v>
      </c>
      <c r="G573" s="2">
        <v>0.95322114333853025</v>
      </c>
      <c r="H573" s="2">
        <v>9.2249999999999749E-2</v>
      </c>
      <c r="I573" s="2">
        <v>8.5749732741970064E-2</v>
      </c>
      <c r="K573" s="31">
        <v>1968.58333333522</v>
      </c>
      <c r="L573" s="2">
        <v>0.73357156101925614</v>
      </c>
      <c r="M573" s="2">
        <v>6.1514999999999952E-2</v>
      </c>
      <c r="N573" s="2">
        <v>4.5123273729890473E-2</v>
      </c>
      <c r="P573" s="31">
        <v>1968.58333333522</v>
      </c>
      <c r="Q573" s="2">
        <v>0.64111051446085288</v>
      </c>
      <c r="R573" s="2">
        <v>7.1900000000000297E-2</v>
      </c>
      <c r="S573" s="2">
        <v>4.1691966699425861E-2</v>
      </c>
      <c r="U573" s="2">
        <f t="shared" si="77"/>
        <v>0.77596773960621312</v>
      </c>
      <c r="V573" s="2">
        <f t="shared" si="78"/>
        <v>7.5221666666666673E-2</v>
      </c>
      <c r="W573" s="2">
        <f t="shared" si="79"/>
        <v>5.752165772376213E-2</v>
      </c>
      <c r="Y573" s="31">
        <v>1968.58333333522</v>
      </c>
      <c r="Z573" s="2">
        <v>1.2729392207407817</v>
      </c>
      <c r="AA573" s="2">
        <v>-0.1883013680744752</v>
      </c>
      <c r="AB573" s="2">
        <v>0.24327867264134279</v>
      </c>
      <c r="AD573" s="31">
        <v>1968.58333333522</v>
      </c>
      <c r="AE573" s="2">
        <v>-0.4504169390766371</v>
      </c>
      <c r="AF573" s="2">
        <v>-0.68622224125583742</v>
      </c>
      <c r="AG573" s="2">
        <v>-0.56895029800918062</v>
      </c>
      <c r="AH573" s="31"/>
      <c r="AI573" s="31">
        <v>1968.58333333522</v>
      </c>
      <c r="AJ573" s="2">
        <v>-0.27974502960247277</v>
      </c>
      <c r="AK573" s="2">
        <v>-0.61478205611361436</v>
      </c>
      <c r="AL573" s="2">
        <v>-0.25925556290565122</v>
      </c>
      <c r="AM573" s="31"/>
      <c r="AN573" s="2">
        <f t="shared" si="80"/>
        <v>0.18092575068722394</v>
      </c>
      <c r="AO573" s="2">
        <f t="shared" si="73"/>
        <v>-0.49643522181464234</v>
      </c>
      <c r="AP573" s="2">
        <f t="shared" si="74"/>
        <v>-0.19497572942449634</v>
      </c>
      <c r="AQ573" s="31"/>
      <c r="AR573" s="31">
        <v>1968.58333333522</v>
      </c>
      <c r="AS573" s="2">
        <v>0.80245940058525145</v>
      </c>
      <c r="AT573" s="2">
        <v>0.98806436351113014</v>
      </c>
      <c r="AU573" s="2">
        <v>1.0859619864360279</v>
      </c>
      <c r="AV573" s="31"/>
      <c r="AW573" s="31">
        <v>1968.58333333522</v>
      </c>
      <c r="AX573" s="2">
        <v>-0.74488866438440593</v>
      </c>
      <c r="AY573" s="2">
        <v>-0.53553372549108424</v>
      </c>
      <c r="AZ573" s="2">
        <v>-0.86083601650011321</v>
      </c>
      <c r="BA573" s="31"/>
      <c r="BB573" s="31">
        <v>1968.58333333522</v>
      </c>
      <c r="BC573" s="2">
        <v>-0.79501590895158758</v>
      </c>
      <c r="BD573" s="2">
        <v>-0.51613739712758211</v>
      </c>
      <c r="BE573" s="2">
        <v>-0.87546544992141773</v>
      </c>
      <c r="BG573" s="2">
        <f t="shared" si="81"/>
        <v>-0.24581505758358069</v>
      </c>
      <c r="BH573" s="2">
        <f t="shared" si="75"/>
        <v>-2.1202253035845404E-2</v>
      </c>
      <c r="BI573" s="2">
        <f t="shared" si="76"/>
        <v>-0.21677982666183429</v>
      </c>
    </row>
    <row r="574" spans="6:61" x14ac:dyDescent="0.3">
      <c r="F574" s="31">
        <v>1968.5000000018899</v>
      </c>
      <c r="G574" s="2">
        <v>0.96231389705311832</v>
      </c>
      <c r="H574" s="2">
        <v>6.1499999999999798E-2</v>
      </c>
      <c r="I574" s="2">
        <v>5.9182304668766582E-2</v>
      </c>
      <c r="K574" s="31">
        <v>1968.5000000018899</v>
      </c>
      <c r="L574" s="2"/>
      <c r="M574" s="2"/>
      <c r="N574" s="2"/>
      <c r="P574" s="31">
        <v>1968.5000000018899</v>
      </c>
      <c r="Q574" s="2"/>
      <c r="R574" s="2">
        <v>4.7900000000000303E-2</v>
      </c>
      <c r="S574" s="2">
        <v>3.7416330962324607E-2</v>
      </c>
      <c r="U574" s="2">
        <f t="shared" si="77"/>
        <v>0.96231389705311832</v>
      </c>
      <c r="V574" s="2">
        <f t="shared" si="78"/>
        <v>5.4700000000000054E-2</v>
      </c>
      <c r="W574" s="2">
        <f t="shared" si="79"/>
        <v>4.8299317815545598E-2</v>
      </c>
      <c r="Y574" s="31">
        <v>1968.5000000018899</v>
      </c>
      <c r="Z574" s="2">
        <v>1.3256596995810506</v>
      </c>
      <c r="AA574" s="2">
        <v>-0.78876452892998272</v>
      </c>
      <c r="AB574" s="2">
        <v>-0.36815046802287704</v>
      </c>
      <c r="AD574" s="31">
        <v>1968.5000000018899</v>
      </c>
      <c r="AE574" s="2"/>
      <c r="AF574" s="2"/>
      <c r="AG574" s="2"/>
      <c r="AH574" s="31"/>
      <c r="AI574" s="31">
        <v>1968.5000000018899</v>
      </c>
      <c r="AJ574" s="2">
        <v>0.74062074233231223</v>
      </c>
      <c r="AK574" s="2">
        <v>-1.186702766808877</v>
      </c>
      <c r="AL574" s="2">
        <v>-0.60480331280215571</v>
      </c>
      <c r="AM574" s="31"/>
      <c r="AN574" s="2">
        <f t="shared" si="80"/>
        <v>1.0331402209566813</v>
      </c>
      <c r="AO574" s="2">
        <f t="shared" si="73"/>
        <v>-0.98773364786942985</v>
      </c>
      <c r="AP574" s="2">
        <f t="shared" si="74"/>
        <v>-0.48647689041251641</v>
      </c>
      <c r="AQ574" s="31"/>
      <c r="AR574" s="31">
        <v>1968.5000000018899</v>
      </c>
      <c r="AS574" s="2">
        <v>0.30576327890304883</v>
      </c>
      <c r="AT574" s="2">
        <v>-2.3130098149133811E-2</v>
      </c>
      <c r="AU574" s="2">
        <v>0.26727594202088789</v>
      </c>
      <c r="AV574" s="31"/>
      <c r="AW574" s="31">
        <v>1968.5000000018899</v>
      </c>
      <c r="AX574" s="2"/>
      <c r="AY574" s="2"/>
      <c r="AZ574" s="2"/>
      <c r="BA574" s="31"/>
      <c r="BB574" s="31">
        <v>1968.5000000018899</v>
      </c>
      <c r="BC574" s="2">
        <v>-5.6108796813722439E-2</v>
      </c>
      <c r="BD574" s="2">
        <v>-0.38248368897839508</v>
      </c>
      <c r="BE574" s="2">
        <v>-0.2747875867512577</v>
      </c>
      <c r="BG574" s="2">
        <f t="shared" si="81"/>
        <v>0.1248272410446632</v>
      </c>
      <c r="BH574" s="2">
        <f t="shared" si="75"/>
        <v>-0.20280689356376444</v>
      </c>
      <c r="BI574" s="2">
        <f t="shared" si="76"/>
        <v>-3.7558223651849021E-3</v>
      </c>
    </row>
    <row r="575" spans="6:61" x14ac:dyDescent="0.3">
      <c r="F575" s="31">
        <v>1968.4166666685601</v>
      </c>
      <c r="G575" s="2">
        <v>0.98079884633478498</v>
      </c>
      <c r="H575" s="2">
        <v>0.15374999999999961</v>
      </c>
      <c r="I575" s="2">
        <v>0.14973288689519984</v>
      </c>
      <c r="K575" s="31">
        <v>1968.4166666685601</v>
      </c>
      <c r="L575" s="2">
        <v>0.81406976783139773</v>
      </c>
      <c r="M575" s="2">
        <v>0.18454499999999985</v>
      </c>
      <c r="N575" s="2">
        <v>9.6007471827684973E-2</v>
      </c>
      <c r="P575" s="31">
        <v>1968.4166666685601</v>
      </c>
      <c r="Q575" s="2">
        <v>0.76926543096880839</v>
      </c>
      <c r="R575" s="2">
        <v>7.1900000000000297E-2</v>
      </c>
      <c r="S575" s="2">
        <v>4.3172245125521411E-2</v>
      </c>
      <c r="U575" s="2">
        <f t="shared" si="77"/>
        <v>0.85471134837833029</v>
      </c>
      <c r="V575" s="2">
        <f t="shared" si="78"/>
        <v>0.13673166666666658</v>
      </c>
      <c r="W575" s="2">
        <f t="shared" si="79"/>
        <v>9.6304201282802079E-2</v>
      </c>
      <c r="Y575" s="31">
        <v>1968.4166666685601</v>
      </c>
      <c r="Z575" s="2">
        <v>1.4328368439376653</v>
      </c>
      <c r="AA575" s="2">
        <v>1.012624953636539</v>
      </c>
      <c r="AB575" s="2">
        <v>1.7158022776023401</v>
      </c>
      <c r="AD575" s="31">
        <v>1968.4166666685601</v>
      </c>
      <c r="AE575" s="2">
        <v>2.8608302866524306E-2</v>
      </c>
      <c r="AF575" s="2">
        <v>2.3268994155331653</v>
      </c>
      <c r="AG575" s="2">
        <v>1.3659116885227054</v>
      </c>
      <c r="AH575" s="31"/>
      <c r="AI575" s="31">
        <v>1968.4166666685601</v>
      </c>
      <c r="AJ575" s="2">
        <v>-0.12962327926743547</v>
      </c>
      <c r="AK575" s="2">
        <v>-0.61478205611361436</v>
      </c>
      <c r="AL575" s="2">
        <v>-0.13962262155867819</v>
      </c>
      <c r="AM575" s="31"/>
      <c r="AN575" s="2">
        <f t="shared" si="80"/>
        <v>0.44394062251225136</v>
      </c>
      <c r="AO575" s="2">
        <f t="shared" si="73"/>
        <v>0.90824743768536331</v>
      </c>
      <c r="AP575" s="2">
        <f t="shared" si="74"/>
        <v>0.98069711485545563</v>
      </c>
      <c r="AQ575" s="31"/>
      <c r="AR575" s="31">
        <v>1968.4166666685601</v>
      </c>
      <c r="AS575" s="2">
        <v>0.80638163155232245</v>
      </c>
      <c r="AT575" s="2">
        <v>-0.3587827526842341</v>
      </c>
      <c r="AU575" s="2">
        <v>0.10975924375707054</v>
      </c>
      <c r="AV575" s="31"/>
      <c r="AW575" s="31">
        <v>1968.4166666685601</v>
      </c>
      <c r="AX575" s="2">
        <v>-0.39212277818690033</v>
      </c>
      <c r="AY575" s="2">
        <v>0.8823658282474357</v>
      </c>
      <c r="AZ575" s="2">
        <v>0.22881669293442686</v>
      </c>
      <c r="BA575" s="31"/>
      <c r="BB575" s="31">
        <v>1968.4166666685601</v>
      </c>
      <c r="BC575" s="2">
        <v>-0.88141525192994075</v>
      </c>
      <c r="BD575" s="2">
        <v>-2.0364024332560446</v>
      </c>
      <c r="BE575" s="2">
        <v>-1.111123874210024</v>
      </c>
      <c r="BG575" s="2">
        <f t="shared" si="81"/>
        <v>-0.15571879952150622</v>
      </c>
      <c r="BH575" s="2">
        <f t="shared" si="75"/>
        <v>-0.50427311923094775</v>
      </c>
      <c r="BI575" s="2">
        <f t="shared" si="76"/>
        <v>-0.25751597917284219</v>
      </c>
    </row>
    <row r="576" spans="6:61" x14ac:dyDescent="0.3">
      <c r="F576" s="31">
        <v>1968.33333333523</v>
      </c>
      <c r="G576" s="2">
        <v>0.80861697529254006</v>
      </c>
      <c r="H576" s="2">
        <v>9.2249999999999749E-2</v>
      </c>
      <c r="I576" s="2">
        <v>7.1890751329849872E-2</v>
      </c>
      <c r="K576" s="31">
        <v>1968.33333333523</v>
      </c>
      <c r="L576" s="2">
        <v>0.80018354730424379</v>
      </c>
      <c r="M576" s="2">
        <v>0.18454499999999985</v>
      </c>
      <c r="N576" s="2">
        <v>0.10027161747983523</v>
      </c>
      <c r="P576" s="31">
        <v>1968.33333333523</v>
      </c>
      <c r="Q576" s="2">
        <v>0.48083418154560797</v>
      </c>
      <c r="R576" s="2">
        <v>7.1900000000000297E-2</v>
      </c>
      <c r="S576" s="2">
        <v>4.2692577661131131E-2</v>
      </c>
      <c r="U576" s="2">
        <f t="shared" si="77"/>
        <v>0.69654490138079728</v>
      </c>
      <c r="V576" s="2">
        <f t="shared" si="78"/>
        <v>0.11623166666666662</v>
      </c>
      <c r="W576" s="2">
        <f t="shared" si="79"/>
        <v>7.1618315490272075E-2</v>
      </c>
      <c r="Y576" s="31">
        <v>1968.33333333523</v>
      </c>
      <c r="Z576" s="2">
        <v>0.4345132366021931</v>
      </c>
      <c r="AA576" s="2">
        <v>-0.1883013680744752</v>
      </c>
      <c r="AB576" s="2">
        <v>-7.5675238589564015E-2</v>
      </c>
      <c r="AD576" s="31">
        <v>1968.33333333523</v>
      </c>
      <c r="AE576" s="2">
        <v>-5.4025216700183683E-2</v>
      </c>
      <c r="AF576" s="2">
        <v>2.3268994155331653</v>
      </c>
      <c r="AG576" s="2">
        <v>1.5280550185900093</v>
      </c>
      <c r="AH576" s="31"/>
      <c r="AI576" s="31">
        <v>1968.33333333523</v>
      </c>
      <c r="AJ576" s="2">
        <v>-0.17237958336671083</v>
      </c>
      <c r="AK576" s="2">
        <v>-0.61478205611361436</v>
      </c>
      <c r="AL576" s="2">
        <v>-0.17838832172821475</v>
      </c>
      <c r="AM576" s="31"/>
      <c r="AN576" s="2">
        <f t="shared" si="80"/>
        <v>6.936947884509953E-2</v>
      </c>
      <c r="AO576" s="2">
        <f t="shared" si="73"/>
        <v>0.50793866378169195</v>
      </c>
      <c r="AP576" s="2">
        <f t="shared" si="74"/>
        <v>0.42466381942407683</v>
      </c>
      <c r="AQ576" s="31"/>
      <c r="AR576" s="31">
        <v>1968.33333333523</v>
      </c>
      <c r="AS576" s="2">
        <v>0.3487067263045876</v>
      </c>
      <c r="AT576" s="2">
        <v>-1.2318355951367148</v>
      </c>
      <c r="AU576" s="2">
        <v>-1.0259843832199986</v>
      </c>
      <c r="AV576" s="31"/>
      <c r="AW576" s="31">
        <v>1968.33333333523</v>
      </c>
      <c r="AX576" s="2">
        <v>-0.20057595525877056</v>
      </c>
      <c r="AY576" s="2">
        <v>1.3960024227501457</v>
      </c>
      <c r="AZ576" s="2">
        <v>0.73566096369173717</v>
      </c>
      <c r="BA576" s="31"/>
      <c r="BB576" s="31">
        <v>1968.33333333523</v>
      </c>
      <c r="BC576" s="2">
        <v>-0.46421759303890187</v>
      </c>
      <c r="BD576" s="2">
        <v>-1.2946315076121118</v>
      </c>
      <c r="BE576" s="2">
        <v>-0.62310632120194798</v>
      </c>
      <c r="BG576" s="2">
        <f t="shared" si="81"/>
        <v>-0.10536227399769495</v>
      </c>
      <c r="BH576" s="2">
        <f t="shared" si="75"/>
        <v>-0.3768215599995603</v>
      </c>
      <c r="BI576" s="2">
        <f t="shared" si="76"/>
        <v>-0.30447658024340313</v>
      </c>
    </row>
    <row r="577" spans="6:61" x14ac:dyDescent="0.3">
      <c r="F577" s="31">
        <v>1968.2500000018999</v>
      </c>
      <c r="G577" s="2">
        <v>0.71702312330312978</v>
      </c>
      <c r="H577" s="2">
        <v>9.2249999999999749E-2</v>
      </c>
      <c r="I577" s="2">
        <v>6.3347840806246711E-2</v>
      </c>
      <c r="K577" s="31">
        <v>1968.2500000018999</v>
      </c>
      <c r="L577" s="2">
        <v>0.66360006224205892</v>
      </c>
      <c r="M577" s="2">
        <v>0.18454499999999985</v>
      </c>
      <c r="N577" s="2">
        <v>8.8156091992235855E-2</v>
      </c>
      <c r="P577" s="31">
        <v>1968.2500000018999</v>
      </c>
      <c r="Q577" s="2">
        <v>0.75790529744211144</v>
      </c>
      <c r="R577" s="2">
        <v>7.1900000000000297E-2</v>
      </c>
      <c r="S577" s="2">
        <v>4.1479906076815051E-2</v>
      </c>
      <c r="U577" s="2">
        <f t="shared" si="77"/>
        <v>0.71284282766243334</v>
      </c>
      <c r="V577" s="2">
        <f t="shared" si="78"/>
        <v>0.11623166666666662</v>
      </c>
      <c r="W577" s="2">
        <f t="shared" si="79"/>
        <v>6.4327946291765872E-2</v>
      </c>
      <c r="Y577" s="31">
        <v>1968.2500000018999</v>
      </c>
      <c r="Z577" s="2">
        <v>-9.6554896031726636E-2</v>
      </c>
      <c r="AA577" s="2">
        <v>-0.1883013680744752</v>
      </c>
      <c r="AB577" s="2">
        <v>-0.2722838235766229</v>
      </c>
      <c r="AD577" s="31">
        <v>1968.2500000018999</v>
      </c>
      <c r="AE577" s="2">
        <v>-0.86680030285880971</v>
      </c>
      <c r="AF577" s="2">
        <v>2.3268994155331653</v>
      </c>
      <c r="AG577" s="2">
        <v>1.0673644586688087</v>
      </c>
      <c r="AH577" s="31"/>
      <c r="AI577" s="31">
        <v>1968.2500000018999</v>
      </c>
      <c r="AJ577" s="2">
        <v>-0.27710062167953226</v>
      </c>
      <c r="AK577" s="2">
        <v>-0.61478205611361436</v>
      </c>
      <c r="AL577" s="2">
        <v>-0.27639384958170393</v>
      </c>
      <c r="AM577" s="31"/>
      <c r="AN577" s="2">
        <f t="shared" si="80"/>
        <v>-0.41348527352335623</v>
      </c>
      <c r="AO577" s="2">
        <f t="shared" si="73"/>
        <v>0.50793866378169195</v>
      </c>
      <c r="AP577" s="2">
        <f t="shared" si="74"/>
        <v>0.17289559517016059</v>
      </c>
      <c r="AQ577" s="31"/>
      <c r="AR577" s="31">
        <v>1968.2500000018999</v>
      </c>
      <c r="AS577" s="2">
        <v>6.6872737477394528E-2</v>
      </c>
      <c r="AT577" s="2">
        <v>-1.4277403812081235</v>
      </c>
      <c r="AU577" s="2">
        <v>-1.2032085781386643</v>
      </c>
      <c r="AV577" s="31"/>
      <c r="AW577" s="31">
        <v>1968.2500000018999</v>
      </c>
      <c r="AX577" s="2">
        <v>-0.82501270634072088</v>
      </c>
      <c r="AY577" s="2">
        <v>1.2492659413941907</v>
      </c>
      <c r="AZ577" s="2">
        <v>0.2701646387162483</v>
      </c>
      <c r="BA577" s="31"/>
      <c r="BB577" s="31">
        <v>1968.2500000018999</v>
      </c>
      <c r="BC577" s="2">
        <v>-1.6410996178785258E-2</v>
      </c>
      <c r="BD577" s="2">
        <v>-1.5983653379264826</v>
      </c>
      <c r="BE577" s="2">
        <v>-0.31654734603849249</v>
      </c>
      <c r="BG577" s="2">
        <f t="shared" si="81"/>
        <v>-0.25818365501403723</v>
      </c>
      <c r="BH577" s="2">
        <f t="shared" si="75"/>
        <v>-0.59227992591347178</v>
      </c>
      <c r="BI577" s="2">
        <f t="shared" si="76"/>
        <v>-0.41653042848696953</v>
      </c>
    </row>
    <row r="578" spans="6:61" x14ac:dyDescent="0.3">
      <c r="F578" s="31">
        <v>1968.1666666685701</v>
      </c>
      <c r="G578" s="2">
        <v>0.67036519015271234</v>
      </c>
      <c r="H578" s="2">
        <v>9.2249999999999749E-2</v>
      </c>
      <c r="I578" s="2">
        <v>5.91253937795201E-2</v>
      </c>
      <c r="K578" s="31">
        <v>1968.1666666685701</v>
      </c>
      <c r="L578" s="2">
        <v>0.60196821095546871</v>
      </c>
      <c r="M578" s="2">
        <v>0.1230299999999999</v>
      </c>
      <c r="N578" s="2">
        <v>5.8216877523008539E-2</v>
      </c>
      <c r="P578" s="31">
        <v>1968.1666666685701</v>
      </c>
      <c r="Q578" s="2"/>
      <c r="R578" s="2">
        <v>4.7900000000000303E-2</v>
      </c>
      <c r="S578" s="2">
        <v>3.6303663747477365E-2</v>
      </c>
      <c r="U578" s="2">
        <f t="shared" si="77"/>
        <v>0.63616670055409053</v>
      </c>
      <c r="V578" s="2">
        <f t="shared" si="78"/>
        <v>8.7726666666666661E-2</v>
      </c>
      <c r="W578" s="2">
        <f t="shared" si="79"/>
        <v>5.1215311683335339E-2</v>
      </c>
      <c r="Y578" s="31">
        <v>1968.1666666685701</v>
      </c>
      <c r="Z578" s="2">
        <v>-0.36708114744012083</v>
      </c>
      <c r="AA578" s="2">
        <v>-0.1883013680744752</v>
      </c>
      <c r="AB578" s="2">
        <v>-0.36946022883263757</v>
      </c>
      <c r="AD578" s="31">
        <v>1968.1666666685701</v>
      </c>
      <c r="AE578" s="2">
        <v>-1.2335564536245287</v>
      </c>
      <c r="AF578" s="2">
        <v>0.82033858713866403</v>
      </c>
      <c r="AG578" s="2">
        <v>-7.1068495935307743E-2</v>
      </c>
      <c r="AH578" s="31"/>
      <c r="AI578" s="31">
        <v>1968.1666666685701</v>
      </c>
      <c r="AJ578" s="2">
        <v>0.58916036793770687</v>
      </c>
      <c r="AK578" s="2">
        <v>-1.186702766808877</v>
      </c>
      <c r="AL578" s="2">
        <v>-0.69472670106879519</v>
      </c>
      <c r="AM578" s="31"/>
      <c r="AN578" s="2">
        <f t="shared" si="80"/>
        <v>-0.33715907770898085</v>
      </c>
      <c r="AO578" s="2">
        <f t="shared" si="73"/>
        <v>-0.18488851591489605</v>
      </c>
      <c r="AP578" s="2">
        <f t="shared" si="74"/>
        <v>-0.37841847527891348</v>
      </c>
      <c r="AQ578" s="31"/>
      <c r="AR578" s="31">
        <v>1968.1666666685701</v>
      </c>
      <c r="AS578" s="2">
        <v>-1.3379749193833798E-3</v>
      </c>
      <c r="AT578" s="2">
        <v>-1.1019061349826649</v>
      </c>
      <c r="AU578" s="2">
        <v>-1.0057482228314163</v>
      </c>
      <c r="AV578" s="31"/>
      <c r="AW578" s="31">
        <v>1968.1666666685701</v>
      </c>
      <c r="AX578" s="2">
        <v>-1.0296041600197241</v>
      </c>
      <c r="AY578" s="2">
        <v>0.19113153348877646</v>
      </c>
      <c r="AZ578" s="2">
        <v>-0.22201662488219692</v>
      </c>
      <c r="BA578" s="31"/>
      <c r="BB578" s="31">
        <v>1968.1666666685701</v>
      </c>
      <c r="BC578" s="2">
        <v>1.2844216487904547</v>
      </c>
      <c r="BD578" s="2">
        <v>-1.6639966171457974</v>
      </c>
      <c r="BE578" s="2">
        <v>-0.29784801664702004</v>
      </c>
      <c r="BG578" s="2">
        <f t="shared" si="81"/>
        <v>8.449317128378242E-2</v>
      </c>
      <c r="BH578" s="2">
        <f t="shared" si="75"/>
        <v>-0.85825707287989539</v>
      </c>
      <c r="BI578" s="2">
        <f t="shared" si="76"/>
        <v>-0.50853762145354442</v>
      </c>
    </row>
    <row r="579" spans="6:61" x14ac:dyDescent="0.3">
      <c r="F579" s="31">
        <v>1968.08333333524</v>
      </c>
      <c r="G579" s="2">
        <v>0.66347587616847914</v>
      </c>
      <c r="H579" s="2">
        <v>9.2249999999999749E-2</v>
      </c>
      <c r="I579" s="2">
        <v>5.834194360469766E-2</v>
      </c>
      <c r="K579" s="31">
        <v>1968.08333333524</v>
      </c>
      <c r="L579" s="2">
        <v>0.6139727275837592</v>
      </c>
      <c r="M579" s="2">
        <v>9.2264999999999903E-2</v>
      </c>
      <c r="N579" s="2">
        <v>3.7770017662695381E-2</v>
      </c>
      <c r="P579" s="31">
        <v>1968.08333333524</v>
      </c>
      <c r="Q579" s="2">
        <v>0.61098432166282501</v>
      </c>
      <c r="R579" s="2">
        <v>7.1900000000000297E-2</v>
      </c>
      <c r="S579" s="2">
        <v>4.0461377855275329E-2</v>
      </c>
      <c r="U579" s="2">
        <f t="shared" si="77"/>
        <v>0.62947764180502108</v>
      </c>
      <c r="V579" s="2">
        <f t="shared" si="78"/>
        <v>8.5471666666666654E-2</v>
      </c>
      <c r="W579" s="2">
        <f t="shared" si="79"/>
        <v>4.5524446374222788E-2</v>
      </c>
      <c r="Y579" s="31">
        <v>1968.08333333524</v>
      </c>
      <c r="Z579" s="2">
        <v>-0.40702591483737449</v>
      </c>
      <c r="AA579" s="2">
        <v>-0.1883013680744752</v>
      </c>
      <c r="AB579" s="2">
        <v>-0.38749073844105814</v>
      </c>
      <c r="AD579" s="31">
        <v>1968.08333333524</v>
      </c>
      <c r="AE579" s="2">
        <v>-1.1621204961044138</v>
      </c>
      <c r="AF579" s="2">
        <v>6.6874490811640125E-2</v>
      </c>
      <c r="AG579" s="2">
        <v>-0.84855646600473</v>
      </c>
      <c r="AH579" s="31"/>
      <c r="AI579" s="31">
        <v>1968.08333333524</v>
      </c>
      <c r="AJ579" s="2">
        <v>-0.36881215347627699</v>
      </c>
      <c r="AK579" s="2">
        <v>-0.61478205611361436</v>
      </c>
      <c r="AL579" s="2">
        <v>-0.3587091254376753</v>
      </c>
      <c r="AM579" s="31"/>
      <c r="AN579" s="2">
        <f t="shared" si="80"/>
        <v>-0.64598618813935504</v>
      </c>
      <c r="AO579" s="2">
        <f t="shared" si="73"/>
        <v>-0.24540297779214981</v>
      </c>
      <c r="AP579" s="2">
        <f t="shared" si="74"/>
        <v>-0.53158544329448787</v>
      </c>
      <c r="AQ579" s="31"/>
      <c r="AR579" s="31">
        <v>1968.08333333524</v>
      </c>
      <c r="AS579" s="2">
        <v>0.19976982675303123</v>
      </c>
      <c r="AT579" s="2">
        <v>0.50956041230593607</v>
      </c>
      <c r="AU579" s="2">
        <v>0.38867217883202454</v>
      </c>
      <c r="AV579" s="31"/>
      <c r="AW579" s="31">
        <v>1968.08333333524</v>
      </c>
      <c r="AX579" s="2">
        <v>-0.91671411427390892</v>
      </c>
      <c r="AY579" s="2">
        <v>0.56051139147476758</v>
      </c>
      <c r="AZ579" s="2">
        <v>-1.1584185221995325</v>
      </c>
      <c r="BA579" s="31"/>
      <c r="BB579" s="31">
        <v>1968.08333333524</v>
      </c>
      <c r="BC579" s="2">
        <v>0.34504651996237518</v>
      </c>
      <c r="BD579" s="2">
        <v>-0.95760573293009554</v>
      </c>
      <c r="BE579" s="2">
        <v>9.2588590559490782E-3</v>
      </c>
      <c r="BG579" s="2">
        <f t="shared" si="81"/>
        <v>-0.12396592251950082</v>
      </c>
      <c r="BH579" s="2">
        <f t="shared" si="75"/>
        <v>3.748869028353604E-2</v>
      </c>
      <c r="BI579" s="2">
        <f t="shared" si="76"/>
        <v>-0.25349582810385296</v>
      </c>
    </row>
    <row r="580" spans="6:61" x14ac:dyDescent="0.3">
      <c r="F580" s="31">
        <v>1968.0000000019099</v>
      </c>
      <c r="G580" s="2">
        <v>0.68270628034188519</v>
      </c>
      <c r="H580" s="2">
        <v>6.1499999999999846E-2</v>
      </c>
      <c r="I580" s="2">
        <v>4.198643624102584E-2</v>
      </c>
      <c r="K580" s="31">
        <v>1968.0000000019099</v>
      </c>
      <c r="L580" s="2">
        <v>0.66049766689747158</v>
      </c>
      <c r="M580" s="2">
        <v>9.2264999999999903E-2</v>
      </c>
      <c r="N580" s="2">
        <v>4.0632104083127299E-2</v>
      </c>
      <c r="P580" s="31">
        <v>1968.0000000019099</v>
      </c>
      <c r="Q580" s="2">
        <v>0.61497219459817454</v>
      </c>
      <c r="R580" s="2"/>
      <c r="S580" s="2"/>
      <c r="U580" s="2">
        <f t="shared" si="77"/>
        <v>0.65272538061251051</v>
      </c>
      <c r="V580" s="2">
        <f t="shared" si="78"/>
        <v>7.6882499999999881E-2</v>
      </c>
      <c r="W580" s="2">
        <f t="shared" si="79"/>
        <v>4.130927016207657E-2</v>
      </c>
      <c r="Y580" s="31">
        <v>1968.0000000019099</v>
      </c>
      <c r="Z580" s="2">
        <v>-0.29552656622010015</v>
      </c>
      <c r="AA580" s="2">
        <v>-0.78876452892998183</v>
      </c>
      <c r="AB580" s="2">
        <v>-0.76390029471962184</v>
      </c>
      <c r="AD580" s="31">
        <v>1968.0000000019099</v>
      </c>
      <c r="AE580" s="2">
        <v>-0.88526190268068472</v>
      </c>
      <c r="AF580" s="2">
        <v>6.6874490811640125E-2</v>
      </c>
      <c r="AG580" s="2">
        <v>-0.73972617243461547</v>
      </c>
      <c r="AH580" s="31"/>
      <c r="AI580" s="31">
        <v>1968.0000000019099</v>
      </c>
      <c r="AJ580" s="2"/>
      <c r="AK580" s="2"/>
      <c r="AL580" s="2"/>
      <c r="AM580" s="31"/>
      <c r="AN580" s="2">
        <f t="shared" si="80"/>
        <v>-0.59039423445039241</v>
      </c>
      <c r="AO580" s="2">
        <f t="shared" si="73"/>
        <v>-0.36094501905917087</v>
      </c>
      <c r="AP580" s="2">
        <f t="shared" si="74"/>
        <v>-0.7518132335771186</v>
      </c>
      <c r="AQ580" s="31"/>
      <c r="AR580" s="31">
        <v>1968.0000000019099</v>
      </c>
      <c r="AS580" s="2">
        <v>0.10747197968005405</v>
      </c>
      <c r="AT580" s="2">
        <v>-0.29853293598826575</v>
      </c>
      <c r="AU580" s="2">
        <v>-0.14273594150832133</v>
      </c>
      <c r="AV580" s="31"/>
      <c r="AW580" s="31">
        <v>1968.0000000019099</v>
      </c>
      <c r="AX580" s="2">
        <v>-0.4337799852299814</v>
      </c>
      <c r="AY580" s="2">
        <v>1.4890867686962104</v>
      </c>
      <c r="AZ580" s="2">
        <v>-0.4833422841778639</v>
      </c>
      <c r="BA580" s="31"/>
      <c r="BB580" s="31">
        <v>1968.0000000019099</v>
      </c>
      <c r="BC580" s="2"/>
      <c r="BD580" s="2"/>
      <c r="BE580" s="2"/>
      <c r="BG580" s="2">
        <f t="shared" si="81"/>
        <v>-0.16315400277496367</v>
      </c>
      <c r="BH580" s="2">
        <f t="shared" si="75"/>
        <v>0.59527691635397229</v>
      </c>
      <c r="BI580" s="2">
        <f t="shared" si="76"/>
        <v>-0.3130391128430926</v>
      </c>
    </row>
    <row r="581" spans="6:61" x14ac:dyDescent="0.3">
      <c r="F581" s="31">
        <v>1967.9166666685801</v>
      </c>
      <c r="G581" s="2">
        <v>0.71292879732685022</v>
      </c>
      <c r="H581" s="2">
        <v>9.2249999999999749E-2</v>
      </c>
      <c r="I581" s="2">
        <v>6.204569115777072E-2</v>
      </c>
      <c r="K581" s="31">
        <v>1967.9166666685801</v>
      </c>
      <c r="L581" s="2">
        <v>0.71014178347505874</v>
      </c>
      <c r="M581" s="2">
        <v>9.2264999999999903E-2</v>
      </c>
      <c r="N581" s="2">
        <v>4.3686080128237215E-2</v>
      </c>
      <c r="P581" s="31">
        <v>1967.9166666685801</v>
      </c>
      <c r="Q581" s="2">
        <v>0.62790645173455739</v>
      </c>
      <c r="R581" s="2">
        <v>7.1900000000000297E-2</v>
      </c>
      <c r="S581" s="2">
        <v>4.0673437250522776E-2</v>
      </c>
      <c r="U581" s="2">
        <f t="shared" si="77"/>
        <v>0.68365901084548886</v>
      </c>
      <c r="V581" s="2">
        <f t="shared" si="78"/>
        <v>8.5471666666666654E-2</v>
      </c>
      <c r="W581" s="2">
        <f t="shared" si="79"/>
        <v>4.880173617884357E-2</v>
      </c>
      <c r="Y581" s="31">
        <v>1967.9166666685801</v>
      </c>
      <c r="Z581" s="2">
        <v>-0.12029411000068092</v>
      </c>
      <c r="AA581" s="2">
        <v>-0.1883013680744752</v>
      </c>
      <c r="AB581" s="2">
        <v>-0.30225180686767128</v>
      </c>
      <c r="AD581" s="31">
        <v>1967.9166666685801</v>
      </c>
      <c r="AE581" s="2">
        <v>-0.58984184431677178</v>
      </c>
      <c r="AF581" s="2">
        <v>6.6874490811640125E-2</v>
      </c>
      <c r="AG581" s="2">
        <v>-0.62359931226270915</v>
      </c>
      <c r="AH581" s="31"/>
      <c r="AI581" s="31">
        <v>1967.9166666685801</v>
      </c>
      <c r="AJ581" s="2">
        <v>-0.3428099256072325</v>
      </c>
      <c r="AK581" s="2">
        <v>-0.61478205611361436</v>
      </c>
      <c r="AL581" s="2">
        <v>-0.34157093795450871</v>
      </c>
      <c r="AM581" s="31"/>
      <c r="AN581" s="2">
        <f t="shared" si="80"/>
        <v>-0.35098195997489506</v>
      </c>
      <c r="AO581" s="2">
        <f t="shared" ref="AO581:AO644" si="82">AVERAGE(AK581,AF581,AA581)</f>
        <v>-0.24540297779214981</v>
      </c>
      <c r="AP581" s="2">
        <f t="shared" ref="AP581:AP644" si="83">AVERAGE(AL581,AG581,AB581)</f>
        <v>-0.42247401902829634</v>
      </c>
      <c r="AQ581" s="31"/>
      <c r="AR581" s="31">
        <v>1967.9166666685801</v>
      </c>
      <c r="AS581" s="2">
        <v>0.18782251288852886</v>
      </c>
      <c r="AT581" s="2">
        <v>0.68444756444045063</v>
      </c>
      <c r="AU581" s="2">
        <v>0.48161552677078628</v>
      </c>
      <c r="AV581" s="31"/>
      <c r="AW581" s="31">
        <v>1967.9166666685801</v>
      </c>
      <c r="AX581" s="2">
        <v>-0.33054583449959535</v>
      </c>
      <c r="AY581" s="2">
        <v>1.05652496446128</v>
      </c>
      <c r="AZ581" s="2">
        <v>-0.43610691713297767</v>
      </c>
      <c r="BA581" s="31"/>
      <c r="BB581" s="31">
        <v>1967.9166666685801</v>
      </c>
      <c r="BC581" s="2">
        <v>7.3992985073903408E-2</v>
      </c>
      <c r="BD581" s="2">
        <v>-0.44318112469553572</v>
      </c>
      <c r="BE581" s="2">
        <v>-4.2341153800668371E-2</v>
      </c>
      <c r="BG581" s="2">
        <f t="shared" si="81"/>
        <v>-2.2910112179054365E-2</v>
      </c>
      <c r="BH581" s="2">
        <f t="shared" ref="BH581:BH644" si="84">AVERAGE(BD581,AY581,AT581)</f>
        <v>0.43259713473539829</v>
      </c>
      <c r="BI581" s="2">
        <f t="shared" ref="BI581:BI644" si="85">AVERAGE(BE581,AZ581,AU581)</f>
        <v>1.0558186123800772E-3</v>
      </c>
    </row>
    <row r="582" spans="6:61" x14ac:dyDescent="0.3">
      <c r="F582" s="31">
        <v>1967.83333333525</v>
      </c>
      <c r="G582" s="2">
        <v>0.62454157072021421</v>
      </c>
      <c r="H582" s="2">
        <v>6.1499999999999798E-2</v>
      </c>
      <c r="I582" s="2">
        <v>3.840930659929305E-2</v>
      </c>
      <c r="K582" s="31">
        <v>1967.83333333525</v>
      </c>
      <c r="L582" s="2">
        <v>0.62403728957023796</v>
      </c>
      <c r="M582" s="2">
        <v>0.1229999999999998</v>
      </c>
      <c r="N582" s="2">
        <v>3.837829330856958E-2</v>
      </c>
      <c r="P582" s="31">
        <v>1967.83333333525</v>
      </c>
      <c r="Q582" s="2"/>
      <c r="R582" s="2"/>
      <c r="S582" s="2"/>
      <c r="U582" s="2">
        <f t="shared" ref="U582:U645" si="86">AVERAGE(Q582,L582,G582)</f>
        <v>0.62428943014522609</v>
      </c>
      <c r="V582" s="2">
        <f t="shared" ref="V582:V645" si="87">AVERAGE(R582,M582,H582)</f>
        <v>9.2249999999999804E-2</v>
      </c>
      <c r="W582" s="2">
        <f t="shared" ref="W582:W645" si="88">AVERAGE(S582,N582,I582)</f>
        <v>3.8393799953931315E-2</v>
      </c>
      <c r="Y582" s="31">
        <v>1967.83333333525</v>
      </c>
      <c r="Z582" s="2">
        <v>-0.63276998434325427</v>
      </c>
      <c r="AA582" s="2">
        <v>-0.78876452892998272</v>
      </c>
      <c r="AB582" s="2">
        <v>-0.84622521141320306</v>
      </c>
      <c r="AD582" s="31">
        <v>1967.83333333525</v>
      </c>
      <c r="AE582" s="2">
        <v>-1.102228736628627</v>
      </c>
      <c r="AF582" s="2">
        <v>0.81960385861957141</v>
      </c>
      <c r="AG582" s="2">
        <v>-0.8254268998814086</v>
      </c>
      <c r="AH582" s="31"/>
      <c r="AI582" s="31">
        <v>1967.83333333525</v>
      </c>
      <c r="AJ582" s="2"/>
      <c r="AK582" s="2"/>
      <c r="AL582" s="2"/>
      <c r="AM582" s="31"/>
      <c r="AN582" s="2">
        <f t="shared" ref="AN582:AN645" si="89">AVERAGE(AJ582,AE582,Z582)</f>
        <v>-0.86749936048594067</v>
      </c>
      <c r="AO582" s="2">
        <f t="shared" si="82"/>
        <v>1.5419664844794345E-2</v>
      </c>
      <c r="AP582" s="2">
        <f t="shared" si="83"/>
        <v>-0.83582605564730583</v>
      </c>
      <c r="AQ582" s="31"/>
      <c r="AR582" s="31">
        <v>1967.83333333525</v>
      </c>
      <c r="AS582" s="2">
        <v>-0.30457936076754405</v>
      </c>
      <c r="AT582" s="2">
        <v>-0.2854929317171821</v>
      </c>
      <c r="AU582" s="2">
        <v>-0.49351329657952242</v>
      </c>
      <c r="AV582" s="31"/>
      <c r="AW582" s="31">
        <v>1967.83333333525</v>
      </c>
      <c r="AX582" s="2">
        <v>-0.5779832211038396</v>
      </c>
      <c r="AY582" s="2">
        <v>2.7008762636015353</v>
      </c>
      <c r="AZ582" s="2">
        <v>-0.59810653599972063</v>
      </c>
      <c r="BA582" s="31"/>
      <c r="BB582" s="31">
        <v>1967.83333333525</v>
      </c>
      <c r="BC582" s="2"/>
      <c r="BD582" s="2"/>
      <c r="BE582" s="2"/>
      <c r="BG582" s="2">
        <f t="shared" ref="BG582:BG645" si="90">AVERAGE(BC582,AX582,AS582)</f>
        <v>-0.44128129093569179</v>
      </c>
      <c r="BH582" s="2">
        <f t="shared" si="84"/>
        <v>1.2076916659421766</v>
      </c>
      <c r="BI582" s="2">
        <f t="shared" si="85"/>
        <v>-0.5458099162896215</v>
      </c>
    </row>
    <row r="583" spans="6:61" x14ac:dyDescent="0.3">
      <c r="F583" s="31">
        <v>1967.7500000019199</v>
      </c>
      <c r="G583" s="2">
        <v>0.76607346317961644</v>
      </c>
      <c r="H583" s="2">
        <v>6.1499999999999846E-2</v>
      </c>
      <c r="I583" s="2">
        <v>4.7113517985546298E-2</v>
      </c>
      <c r="K583" s="31">
        <v>1967.7500000019199</v>
      </c>
      <c r="L583" s="2">
        <v>0.76987223440917296</v>
      </c>
      <c r="M583" s="2">
        <v>9.2264999999999903E-2</v>
      </c>
      <c r="N583" s="2">
        <v>4.7360430511088132E-2</v>
      </c>
      <c r="P583" s="31">
        <v>1967.7500000019199</v>
      </c>
      <c r="Q583" s="2">
        <v>0.63301160355309227</v>
      </c>
      <c r="R583" s="2"/>
      <c r="S583" s="2"/>
      <c r="U583" s="2">
        <f t="shared" si="86"/>
        <v>0.722985767047294</v>
      </c>
      <c r="V583" s="2">
        <f t="shared" si="87"/>
        <v>7.6882499999999881E-2</v>
      </c>
      <c r="W583" s="2">
        <f t="shared" si="88"/>
        <v>4.7236974248317215E-2</v>
      </c>
      <c r="Y583" s="31">
        <v>1967.7500000019199</v>
      </c>
      <c r="Z583" s="2">
        <v>0.18784271185877402</v>
      </c>
      <c r="AA583" s="2">
        <v>-0.78876452892998183</v>
      </c>
      <c r="AB583" s="2">
        <v>-0.64590440981387776</v>
      </c>
      <c r="AD583" s="31">
        <v>1967.7500000019199</v>
      </c>
      <c r="AE583" s="2">
        <v>-0.23440046440056014</v>
      </c>
      <c r="AF583" s="2">
        <v>6.6874490811640125E-2</v>
      </c>
      <c r="AG583" s="2">
        <v>-0.48388283550279992</v>
      </c>
      <c r="AH583" s="31"/>
      <c r="AI583" s="31">
        <v>1967.7500000019199</v>
      </c>
      <c r="AJ583" s="2"/>
      <c r="AK583" s="2"/>
      <c r="AL583" s="2"/>
      <c r="AM583" s="31"/>
      <c r="AN583" s="2">
        <f t="shared" si="89"/>
        <v>-2.3278876270893062E-2</v>
      </c>
      <c r="AO583" s="2">
        <f t="shared" si="82"/>
        <v>-0.36094501905917087</v>
      </c>
      <c r="AP583" s="2">
        <f t="shared" si="83"/>
        <v>-0.56489362265833887</v>
      </c>
      <c r="AQ583" s="31"/>
      <c r="AR583" s="31">
        <v>1967.7500000019199</v>
      </c>
      <c r="AS583" s="2">
        <v>0.14839000741343875</v>
      </c>
      <c r="AT583" s="2">
        <v>-0.6766476141944503</v>
      </c>
      <c r="AU583" s="2">
        <v>-0.45763517490615419</v>
      </c>
      <c r="AV583" s="31"/>
      <c r="AW583" s="31">
        <v>1967.7500000019199</v>
      </c>
      <c r="AX583" s="2">
        <v>-0.20072697894376171</v>
      </c>
      <c r="AY583" s="2">
        <v>0.96231815385189867</v>
      </c>
      <c r="AZ583" s="2">
        <v>-0.53609670184094882</v>
      </c>
      <c r="BA583" s="31"/>
      <c r="BB583" s="31">
        <v>1967.7500000019199</v>
      </c>
      <c r="BC583" s="2"/>
      <c r="BD583" s="2"/>
      <c r="BE583" s="2"/>
      <c r="BG583" s="2">
        <f t="shared" si="90"/>
        <v>-2.6168485765161481E-2</v>
      </c>
      <c r="BH583" s="2">
        <f t="shared" si="84"/>
        <v>0.14283526982872419</v>
      </c>
      <c r="BI583" s="2">
        <f t="shared" si="85"/>
        <v>-0.49686593837355153</v>
      </c>
    </row>
    <row r="584" spans="6:61" x14ac:dyDescent="0.3">
      <c r="F584" s="31">
        <v>1967.6666666685901</v>
      </c>
      <c r="G584" s="2">
        <v>0.81054418754171964</v>
      </c>
      <c r="H584" s="2">
        <v>9.2249999999999749E-2</v>
      </c>
      <c r="I584" s="2">
        <v>7.1475073541625606E-2</v>
      </c>
      <c r="K584" s="31">
        <v>1967.6666666685901</v>
      </c>
      <c r="L584" s="2">
        <v>0.81124699590537341</v>
      </c>
      <c r="M584" s="2">
        <v>9.2264999999999903E-2</v>
      </c>
      <c r="N584" s="2">
        <v>4.9905596917272574E-2</v>
      </c>
      <c r="P584" s="31">
        <v>1967.6666666685901</v>
      </c>
      <c r="Q584" s="2">
        <v>0.60173837956899856</v>
      </c>
      <c r="R584" s="2">
        <v>7.1900000000000297E-2</v>
      </c>
      <c r="S584" s="2">
        <v>4.1626745081327278E-2</v>
      </c>
      <c r="U584" s="2">
        <f t="shared" si="86"/>
        <v>0.74117652100536391</v>
      </c>
      <c r="V584" s="2">
        <f t="shared" si="87"/>
        <v>8.5471666666666654E-2</v>
      </c>
      <c r="W584" s="2">
        <f t="shared" si="88"/>
        <v>5.4335805180075157E-2</v>
      </c>
      <c r="Y584" s="31">
        <v>1967.6666666685901</v>
      </c>
      <c r="Z584" s="2">
        <v>0.44568736006278675</v>
      </c>
      <c r="AA584" s="2">
        <v>-0.1883013680744752</v>
      </c>
      <c r="AB584" s="2">
        <v>-8.52417465762184E-2</v>
      </c>
      <c r="AD584" s="31">
        <v>1967.6666666685901</v>
      </c>
      <c r="AE584" s="2">
        <v>1.1810673970644218E-2</v>
      </c>
      <c r="AF584" s="2">
        <v>6.6874490811640125E-2</v>
      </c>
      <c r="AG584" s="2">
        <v>-0.38710336539579832</v>
      </c>
      <c r="AH584" s="31"/>
      <c r="AI584" s="31">
        <v>1967.6666666685901</v>
      </c>
      <c r="AJ584" s="2">
        <v>-0.25847436456269179</v>
      </c>
      <c r="AK584" s="2">
        <v>-0.61478205611361436</v>
      </c>
      <c r="AL584" s="2">
        <v>-0.26452663480333682</v>
      </c>
      <c r="AM584" s="31"/>
      <c r="AN584" s="2">
        <f t="shared" si="89"/>
        <v>6.6341223156913057E-2</v>
      </c>
      <c r="AO584" s="2">
        <f t="shared" si="82"/>
        <v>-0.24540297779214981</v>
      </c>
      <c r="AP584" s="2">
        <f t="shared" si="83"/>
        <v>-0.24562391559178451</v>
      </c>
      <c r="AQ584" s="31"/>
      <c r="AR584" s="31">
        <v>1967.6666666685901</v>
      </c>
      <c r="AS584" s="2">
        <v>0.10007872764952926</v>
      </c>
      <c r="AT584" s="2">
        <v>0.70701225639459664</v>
      </c>
      <c r="AU584" s="2">
        <v>0.63073120422239937</v>
      </c>
      <c r="AV584" s="31"/>
      <c r="AW584" s="31">
        <v>1967.6666666685901</v>
      </c>
      <c r="AX584" s="2">
        <v>-7.60164984240842E-2</v>
      </c>
      <c r="AY584" s="2">
        <v>1.1124047876457037</v>
      </c>
      <c r="AZ584" s="2">
        <v>-9.1814069641940693E-2</v>
      </c>
      <c r="BA584" s="31"/>
      <c r="BB584" s="31">
        <v>1967.6666666685901</v>
      </c>
      <c r="BC584" s="2">
        <v>-0.49494020924091164</v>
      </c>
      <c r="BD584" s="2">
        <v>7.7097786990586777E-4</v>
      </c>
      <c r="BE584" s="2">
        <v>-0.19189273097324056</v>
      </c>
      <c r="BG584" s="2">
        <f t="shared" si="90"/>
        <v>-0.15695932667182219</v>
      </c>
      <c r="BH584" s="2">
        <f t="shared" si="84"/>
        <v>0.60672934063673545</v>
      </c>
      <c r="BI584" s="2">
        <f t="shared" si="85"/>
        <v>0.11567480120240603</v>
      </c>
    </row>
    <row r="585" spans="6:61" x14ac:dyDescent="0.3">
      <c r="F585" s="31">
        <v>1967.58333333526</v>
      </c>
      <c r="G585" s="2">
        <v>0.86940747209112601</v>
      </c>
      <c r="H585" s="2">
        <v>6.1499999999999846E-2</v>
      </c>
      <c r="I585" s="2">
        <v>5.3468559533604118E-2</v>
      </c>
      <c r="K585" s="31">
        <v>1967.58333333526</v>
      </c>
      <c r="L585" s="2">
        <v>0.85687360473001339</v>
      </c>
      <c r="M585" s="2">
        <v>9.2264999999999903E-2</v>
      </c>
      <c r="N585" s="2">
        <v>5.2712230356472552E-2</v>
      </c>
      <c r="P585" s="31">
        <v>1967.58333333526</v>
      </c>
      <c r="Q585" s="2">
        <v>0.55627072316074966</v>
      </c>
      <c r="R585" s="2"/>
      <c r="S585" s="2"/>
      <c r="U585" s="2">
        <f t="shared" si="86"/>
        <v>0.76085059999396298</v>
      </c>
      <c r="V585" s="2">
        <f t="shared" si="87"/>
        <v>7.6882499999999881E-2</v>
      </c>
      <c r="W585" s="2">
        <f t="shared" si="88"/>
        <v>5.3090394945038338E-2</v>
      </c>
      <c r="Y585" s="31">
        <v>1967.58333333526</v>
      </c>
      <c r="Z585" s="2">
        <v>0.78698116884338598</v>
      </c>
      <c r="AA585" s="2">
        <v>-0.78876452892998183</v>
      </c>
      <c r="AB585" s="2">
        <v>-0.49964796444370774</v>
      </c>
      <c r="AD585" s="31">
        <v>1967.58333333526</v>
      </c>
      <c r="AE585" s="2">
        <v>0.28332352123536803</v>
      </c>
      <c r="AF585" s="2">
        <v>6.6874490811640125E-2</v>
      </c>
      <c r="AG585" s="2">
        <v>-0.28038166092478567</v>
      </c>
      <c r="AH585" s="31"/>
      <c r="AI585" s="31">
        <v>1967.58333333526</v>
      </c>
      <c r="AJ585" s="2"/>
      <c r="AK585" s="2"/>
      <c r="AL585" s="2"/>
      <c r="AM585" s="31"/>
      <c r="AN585" s="2">
        <f t="shared" si="89"/>
        <v>0.53515234503937703</v>
      </c>
      <c r="AO585" s="2">
        <f t="shared" si="82"/>
        <v>-0.36094501905917087</v>
      </c>
      <c r="AP585" s="2">
        <f t="shared" si="83"/>
        <v>-0.3900148126842467</v>
      </c>
      <c r="AQ585" s="31"/>
      <c r="AR585" s="31">
        <v>1967.58333333526</v>
      </c>
      <c r="AS585" s="2">
        <v>0.30809968808907801</v>
      </c>
      <c r="AT585" s="2">
        <v>-0.65870957567408583</v>
      </c>
      <c r="AU585" s="2">
        <v>-0.33436729140191579</v>
      </c>
      <c r="AV585" s="31"/>
      <c r="AW585" s="31">
        <v>1967.58333333526</v>
      </c>
      <c r="AX585" s="2">
        <v>7.5365757378872772E-2</v>
      </c>
      <c r="AY585" s="2">
        <v>1.4455061964040326</v>
      </c>
      <c r="AZ585" s="2">
        <v>-0.12687980902501345</v>
      </c>
      <c r="BA585" s="31"/>
      <c r="BB585" s="31">
        <v>1967.58333333526</v>
      </c>
      <c r="BC585" s="2"/>
      <c r="BD585" s="2"/>
      <c r="BE585" s="2"/>
      <c r="BG585" s="2">
        <f t="shared" si="90"/>
        <v>0.1917327227339754</v>
      </c>
      <c r="BH585" s="2">
        <f t="shared" si="84"/>
        <v>0.39339831036497336</v>
      </c>
      <c r="BI585" s="2">
        <f t="shared" si="85"/>
        <v>-0.23062355021346462</v>
      </c>
    </row>
    <row r="586" spans="6:61" x14ac:dyDescent="0.3">
      <c r="F586" s="31">
        <v>1967.5000000019299</v>
      </c>
      <c r="G586" s="2">
        <v>0.8903630436414266</v>
      </c>
      <c r="H586" s="2">
        <v>6.1499999999999798E-2</v>
      </c>
      <c r="I586" s="2">
        <v>5.4757327183947553E-2</v>
      </c>
      <c r="K586" s="31">
        <v>1967.5000000019299</v>
      </c>
      <c r="L586" s="2">
        <v>0.82982612402210854</v>
      </c>
      <c r="M586" s="2">
        <v>0.1229999999999998</v>
      </c>
      <c r="N586" s="2">
        <v>5.1034306627359589E-2</v>
      </c>
      <c r="P586" s="31">
        <v>1967.5000000019299</v>
      </c>
      <c r="Q586" s="2">
        <v>0.51724964758175862</v>
      </c>
      <c r="R586" s="2"/>
      <c r="S586" s="2"/>
      <c r="U586" s="2">
        <f t="shared" si="86"/>
        <v>0.74581293841509799</v>
      </c>
      <c r="V586" s="2">
        <f t="shared" si="87"/>
        <v>9.2249999999999804E-2</v>
      </c>
      <c r="W586" s="2">
        <f t="shared" si="88"/>
        <v>5.2895816905653571E-2</v>
      </c>
      <c r="Y586" s="31">
        <v>1967.5000000019299</v>
      </c>
      <c r="Z586" s="2">
        <v>0.90848316935736484</v>
      </c>
      <c r="AA586" s="2">
        <v>-0.78876452892998272</v>
      </c>
      <c r="AB586" s="2">
        <v>-0.46998795765667079</v>
      </c>
      <c r="AD586" s="31">
        <v>1967.5000000019299</v>
      </c>
      <c r="AE586" s="2">
        <v>0.12237054472629516</v>
      </c>
      <c r="AF586" s="2">
        <v>0.81960385861957141</v>
      </c>
      <c r="AG586" s="2">
        <v>-0.34418439263966777</v>
      </c>
      <c r="AH586" s="31"/>
      <c r="AI586" s="31">
        <v>1967.5000000019299</v>
      </c>
      <c r="AJ586" s="2"/>
      <c r="AK586" s="2"/>
      <c r="AL586" s="2"/>
      <c r="AM586" s="31"/>
      <c r="AN586" s="2">
        <f t="shared" si="89"/>
        <v>0.51542685704183</v>
      </c>
      <c r="AO586" s="2">
        <f t="shared" si="82"/>
        <v>1.5419664844794345E-2</v>
      </c>
      <c r="AP586" s="2">
        <f t="shared" si="83"/>
        <v>-0.40708617514816925</v>
      </c>
      <c r="AQ586" s="31"/>
      <c r="AR586" s="31">
        <v>1967.5000000019299</v>
      </c>
      <c r="AS586" s="2">
        <v>0.13324622265225539</v>
      </c>
      <c r="AT586" s="2">
        <v>-2.3130098149133811E-2</v>
      </c>
      <c r="AU586" s="2">
        <v>0.10102472937731552</v>
      </c>
      <c r="AV586" s="31"/>
      <c r="AW586" s="31">
        <v>1967.5000000019299</v>
      </c>
      <c r="AX586" s="2">
        <v>-0.16190716239523517</v>
      </c>
      <c r="AY586" s="2">
        <v>1.9426111273206557</v>
      </c>
      <c r="AZ586" s="2">
        <v>-0.16220180924101876</v>
      </c>
      <c r="BA586" s="31"/>
      <c r="BB586" s="31">
        <v>1967.5000000019299</v>
      </c>
      <c r="BC586" s="2"/>
      <c r="BD586" s="2"/>
      <c r="BE586" s="2"/>
      <c r="BG586" s="2">
        <f t="shared" si="90"/>
        <v>-1.4330469871489893E-2</v>
      </c>
      <c r="BH586" s="2">
        <f t="shared" si="84"/>
        <v>0.95974051458576093</v>
      </c>
      <c r="BI586" s="2">
        <f t="shared" si="85"/>
        <v>-3.0588539931851622E-2</v>
      </c>
    </row>
    <row r="587" spans="6:61" x14ac:dyDescent="0.3">
      <c r="F587" s="31">
        <v>1967.4166666686001</v>
      </c>
      <c r="G587" s="2">
        <v>0.95752844487331323</v>
      </c>
      <c r="H587" s="2">
        <v>0.15374999999999961</v>
      </c>
      <c r="I587" s="2">
        <v>0.14640493258863624</v>
      </c>
      <c r="K587" s="31">
        <v>1967.4166666686001</v>
      </c>
      <c r="L587" s="2">
        <v>0.96013933798816342</v>
      </c>
      <c r="M587" s="2">
        <v>0.1230299999999999</v>
      </c>
      <c r="N587" s="2">
        <v>9.0740060732379557E-2</v>
      </c>
      <c r="P587" s="31">
        <v>1967.4166666686001</v>
      </c>
      <c r="Q587" s="2">
        <v>0.49171564372719623</v>
      </c>
      <c r="R587" s="2">
        <v>0.21565000000000106</v>
      </c>
      <c r="S587" s="2">
        <v>4.127186685363167E-2</v>
      </c>
      <c r="U587" s="2">
        <f t="shared" si="86"/>
        <v>0.80312780886289092</v>
      </c>
      <c r="V587" s="2">
        <f t="shared" si="87"/>
        <v>0.16414333333333353</v>
      </c>
      <c r="W587" s="2">
        <f t="shared" si="88"/>
        <v>9.2805620058215813E-2</v>
      </c>
      <c r="Y587" s="31">
        <v>1967.4166666686001</v>
      </c>
      <c r="Z587" s="2">
        <v>1.2979132832251599</v>
      </c>
      <c r="AA587" s="2">
        <v>1.012624953636539</v>
      </c>
      <c r="AB587" s="2">
        <v>1.6392119416381175</v>
      </c>
      <c r="AD587" s="31">
        <v>1967.4166666686001</v>
      </c>
      <c r="AE587" s="2">
        <v>0.89783277327205024</v>
      </c>
      <c r="AF587" s="2">
        <v>0.82033858713866403</v>
      </c>
      <c r="AG587" s="2">
        <v>1.1656193801688379</v>
      </c>
      <c r="AH587" s="31"/>
      <c r="AI587" s="31">
        <v>1967.4166666686001</v>
      </c>
      <c r="AJ587" s="2">
        <v>-0.31169588877658289</v>
      </c>
      <c r="AK587" s="2">
        <v>2.8107847006549047</v>
      </c>
      <c r="AL587" s="2">
        <v>-0.29320713534350079</v>
      </c>
      <c r="AM587" s="31"/>
      <c r="AN587" s="2">
        <f t="shared" si="89"/>
        <v>0.62801672257354235</v>
      </c>
      <c r="AO587" s="2">
        <f t="shared" si="82"/>
        <v>1.5479160804767025</v>
      </c>
      <c r="AP587" s="2">
        <f t="shared" si="83"/>
        <v>0.83720806215448496</v>
      </c>
      <c r="AQ587" s="31"/>
      <c r="AR587" s="31">
        <v>1967.4166666686001</v>
      </c>
      <c r="AS587" s="2">
        <v>0.67474763476778332</v>
      </c>
      <c r="AT587" s="2">
        <v>-0.3587827526842341</v>
      </c>
      <c r="AU587" s="2">
        <v>4.410335546601872E-2</v>
      </c>
      <c r="AV587" s="31"/>
      <c r="AW587" s="31">
        <v>1967.4166666686001</v>
      </c>
      <c r="AX587" s="2">
        <v>0.48001847735781605</v>
      </c>
      <c r="AY587" s="2">
        <v>-0.38552664826294392</v>
      </c>
      <c r="AZ587" s="2">
        <v>8.2796175112123227E-2</v>
      </c>
      <c r="BA587" s="31"/>
      <c r="BB587" s="31">
        <v>1967.4166666686001</v>
      </c>
      <c r="BC587" s="2">
        <v>-1.0716669444576803</v>
      </c>
      <c r="BD587" s="2">
        <v>1.3372441762267826</v>
      </c>
      <c r="BE587" s="2">
        <v>-1.2775427833995023</v>
      </c>
      <c r="BG587" s="2">
        <f t="shared" si="90"/>
        <v>2.769972255597301E-2</v>
      </c>
      <c r="BH587" s="2">
        <f t="shared" si="84"/>
        <v>0.19764492509320153</v>
      </c>
      <c r="BI587" s="2">
        <f t="shared" si="85"/>
        <v>-0.38354775094045346</v>
      </c>
    </row>
    <row r="588" spans="6:61" x14ac:dyDescent="0.3">
      <c r="F588" s="31">
        <v>1967.33333333527</v>
      </c>
      <c r="G588" s="2">
        <v>0.83013762421925397</v>
      </c>
      <c r="H588" s="2">
        <v>9.2249999999999749E-2</v>
      </c>
      <c r="I588" s="2">
        <v>7.3664074987548941E-2</v>
      </c>
      <c r="K588" s="31">
        <v>1967.33333333527</v>
      </c>
      <c r="L588" s="2">
        <v>0.91803528191520745</v>
      </c>
      <c r="M588" s="2">
        <v>9.2264999999999903E-2</v>
      </c>
      <c r="N588" s="2">
        <v>5.6474346473418625E-2</v>
      </c>
      <c r="P588" s="31">
        <v>1967.33333333527</v>
      </c>
      <c r="Q588" s="2">
        <v>0.43818283722146262</v>
      </c>
      <c r="R588" s="2">
        <v>0.21565000000000106</v>
      </c>
      <c r="S588" s="2">
        <v>3.598007472722603E-2</v>
      </c>
      <c r="U588" s="2">
        <f t="shared" si="86"/>
        <v>0.72878524778530807</v>
      </c>
      <c r="V588" s="2">
        <f t="shared" si="87"/>
        <v>0.13338833333333355</v>
      </c>
      <c r="W588" s="2">
        <f t="shared" si="88"/>
        <v>5.5372832062731192E-2</v>
      </c>
      <c r="Y588" s="31">
        <v>1967.33333333527</v>
      </c>
      <c r="Z588" s="2">
        <v>0.55929159879948875</v>
      </c>
      <c r="AA588" s="2">
        <v>-0.1883013680744752</v>
      </c>
      <c r="AB588" s="2">
        <v>-3.4863544015331434E-2</v>
      </c>
      <c r="AD588" s="31">
        <v>1967.33333333527</v>
      </c>
      <c r="AE588" s="2">
        <v>0.64728178032627837</v>
      </c>
      <c r="AF588" s="2">
        <v>6.6874490811640125E-2</v>
      </c>
      <c r="AG588" s="2">
        <v>-0.13732790876369166</v>
      </c>
      <c r="AH588" s="31"/>
      <c r="AI588" s="31">
        <v>1967.33333333527</v>
      </c>
      <c r="AJ588" s="2">
        <v>-0.83835657941628516</v>
      </c>
      <c r="AK588" s="2">
        <v>2.8107847006549047</v>
      </c>
      <c r="AL588" s="2">
        <v>-0.72087847467962907</v>
      </c>
      <c r="AM588" s="31"/>
      <c r="AN588" s="2">
        <f t="shared" si="89"/>
        <v>0.12273893323649399</v>
      </c>
      <c r="AO588" s="2">
        <f t="shared" si="82"/>
        <v>0.89645260779735647</v>
      </c>
      <c r="AP588" s="2">
        <f t="shared" si="83"/>
        <v>-0.2976899758195507</v>
      </c>
      <c r="AQ588" s="31"/>
      <c r="AR588" s="31">
        <v>1967.33333333527</v>
      </c>
      <c r="AS588" s="2">
        <v>0.48946316671911982</v>
      </c>
      <c r="AT588" s="2">
        <v>-1.2318355951367148</v>
      </c>
      <c r="AU588" s="2">
        <v>-0.98381788024867822</v>
      </c>
      <c r="AV588" s="31"/>
      <c r="AW588" s="31">
        <v>1967.33333333527</v>
      </c>
      <c r="AX588" s="2">
        <v>0.46601747926193632</v>
      </c>
      <c r="AY588" s="2">
        <v>-0.6035549277918324</v>
      </c>
      <c r="AZ588" s="2">
        <v>-0.46082701954951483</v>
      </c>
      <c r="BA588" s="31"/>
      <c r="BB588" s="31">
        <v>1967.33333333527</v>
      </c>
      <c r="BC588" s="2">
        <v>-1.2222163032870341</v>
      </c>
      <c r="BD588" s="2">
        <v>2.0562480134610985</v>
      </c>
      <c r="BE588" s="2">
        <v>-1.2291739550917002</v>
      </c>
      <c r="BG588" s="2">
        <f t="shared" si="90"/>
        <v>-8.8911885768659341E-2</v>
      </c>
      <c r="BH588" s="2">
        <f t="shared" si="84"/>
        <v>7.3619163510850447E-2</v>
      </c>
      <c r="BI588" s="2">
        <f t="shared" si="85"/>
        <v>-0.89127295162996445</v>
      </c>
    </row>
    <row r="589" spans="6:61" x14ac:dyDescent="0.3">
      <c r="F589" s="31">
        <v>1967.25000000194</v>
      </c>
      <c r="G589" s="2">
        <v>0.72812337673479255</v>
      </c>
      <c r="H589" s="2">
        <v>0.12299999999999969</v>
      </c>
      <c r="I589" s="2">
        <v>8.955917533837926E-2</v>
      </c>
      <c r="K589" s="31">
        <v>1967.25000000194</v>
      </c>
      <c r="L589" s="2">
        <v>0.86277726127985821</v>
      </c>
      <c r="M589" s="2">
        <v>9.2264999999999903E-2</v>
      </c>
      <c r="N589" s="2">
        <v>5.3075225847529495E-2</v>
      </c>
      <c r="P589" s="31">
        <v>1967.25000000194</v>
      </c>
      <c r="Q589" s="2">
        <v>0.35726560893964343</v>
      </c>
      <c r="R589" s="2">
        <v>0.21565000000000106</v>
      </c>
      <c r="S589" s="2">
        <v>3.0969480713634645E-2</v>
      </c>
      <c r="U589" s="2">
        <f t="shared" si="86"/>
        <v>0.64938874898476473</v>
      </c>
      <c r="V589" s="2">
        <f t="shared" si="87"/>
        <v>0.14363833333333353</v>
      </c>
      <c r="W589" s="2">
        <f t="shared" si="88"/>
        <v>5.7867960633181136E-2</v>
      </c>
      <c r="Y589" s="31">
        <v>1967.25000000194</v>
      </c>
      <c r="Z589" s="2">
        <v>-3.2194780874674832E-2</v>
      </c>
      <c r="AA589" s="2">
        <v>0.41216179278103221</v>
      </c>
      <c r="AB589" s="2">
        <v>0.33095009520864194</v>
      </c>
      <c r="AD589" s="31">
        <v>1967.25000000194</v>
      </c>
      <c r="AE589" s="2">
        <v>0.31845474488782077</v>
      </c>
      <c r="AF589" s="2">
        <v>6.6874490811640125E-2</v>
      </c>
      <c r="AG589" s="2">
        <v>-0.26657882619053846</v>
      </c>
      <c r="AH589" s="31"/>
      <c r="AI589" s="31">
        <v>1967.25000000194</v>
      </c>
      <c r="AJ589" s="2">
        <v>-1.3473937405598642</v>
      </c>
      <c r="AK589" s="2">
        <v>2.8107847006549047</v>
      </c>
      <c r="AL589" s="2">
        <v>-1.1258239830206256</v>
      </c>
      <c r="AM589" s="31"/>
      <c r="AN589" s="2">
        <f t="shared" si="89"/>
        <v>-0.35371125884890603</v>
      </c>
      <c r="AO589" s="2">
        <f t="shared" si="82"/>
        <v>1.0966069947491923</v>
      </c>
      <c r="AP589" s="2">
        <f t="shared" si="83"/>
        <v>-0.35381757133417402</v>
      </c>
      <c r="AQ589" s="31"/>
      <c r="AR589" s="31">
        <v>1967.25000000194</v>
      </c>
      <c r="AS589" s="2">
        <v>0.14524162674464183</v>
      </c>
      <c r="AT589" s="2">
        <v>-0.74536446371894627</v>
      </c>
      <c r="AU589" s="2">
        <v>-0.54207080847179245</v>
      </c>
      <c r="AV589" s="31"/>
      <c r="AW589" s="31">
        <v>1967.25000000194</v>
      </c>
      <c r="AX589" s="2">
        <v>0.37949110067820907</v>
      </c>
      <c r="AY589" s="2">
        <v>-0.8205967459488962</v>
      </c>
      <c r="AZ589" s="2">
        <v>-0.64626940245642661</v>
      </c>
      <c r="BA589" s="31"/>
      <c r="BB589" s="31">
        <v>1967.25000000194</v>
      </c>
      <c r="BC589" s="2">
        <v>-1.2302613131250961</v>
      </c>
      <c r="BD589" s="2">
        <v>1.6640082488853658</v>
      </c>
      <c r="BE589" s="2">
        <v>-1.3362058386094926</v>
      </c>
      <c r="BG589" s="2">
        <f t="shared" si="90"/>
        <v>-0.23517619523408173</v>
      </c>
      <c r="BH589" s="2">
        <f t="shared" si="84"/>
        <v>3.2682346405841112E-2</v>
      </c>
      <c r="BI589" s="2">
        <f t="shared" si="85"/>
        <v>-0.84151534984590393</v>
      </c>
    </row>
    <row r="590" spans="6:61" x14ac:dyDescent="0.3">
      <c r="F590" s="31">
        <v>1967.1666666686101</v>
      </c>
      <c r="G590" s="2">
        <v>0.6649552435938445</v>
      </c>
      <c r="H590" s="2">
        <v>9.2249999999999749E-2</v>
      </c>
      <c r="I590" s="2">
        <v>5.8714692745393343E-2</v>
      </c>
      <c r="K590" s="31">
        <v>1967.1666666686101</v>
      </c>
      <c r="L590" s="2">
        <v>0.83114564244264277</v>
      </c>
      <c r="M590" s="2">
        <v>9.2264999999999903E-2</v>
      </c>
      <c r="N590" s="2">
        <v>5.1129170186132042E-2</v>
      </c>
      <c r="P590" s="31">
        <v>1967.1666666686101</v>
      </c>
      <c r="Q590" s="2">
        <v>0.31366672148753072</v>
      </c>
      <c r="R590" s="2">
        <v>0.14375000000000077</v>
      </c>
      <c r="S590" s="2">
        <v>2.40684751641057E-2</v>
      </c>
      <c r="U590" s="2">
        <f t="shared" si="86"/>
        <v>0.60325586917467267</v>
      </c>
      <c r="V590" s="2">
        <f t="shared" si="87"/>
        <v>0.10942166666666681</v>
      </c>
      <c r="W590" s="2">
        <f t="shared" si="88"/>
        <v>4.4637446031877026E-2</v>
      </c>
      <c r="Y590" s="31">
        <v>1967.1666666686101</v>
      </c>
      <c r="Z590" s="2">
        <v>-0.39844842978784228</v>
      </c>
      <c r="AA590" s="2">
        <v>-0.1883013680744752</v>
      </c>
      <c r="AB590" s="2">
        <v>-0.37891220061079056</v>
      </c>
      <c r="AD590" s="31">
        <v>1967.1666666686101</v>
      </c>
      <c r="AE590" s="2">
        <v>0.13022267778212782</v>
      </c>
      <c r="AF590" s="2">
        <v>6.6874490811640125E-2</v>
      </c>
      <c r="AG590" s="2">
        <v>-0.34057722380066613</v>
      </c>
      <c r="AH590" s="31"/>
      <c r="AI590" s="31">
        <v>1967.1666666686101</v>
      </c>
      <c r="AJ590" s="2">
        <v>-2.1439091736608389</v>
      </c>
      <c r="AK590" s="2">
        <v>1.0974055715303397</v>
      </c>
      <c r="AL590" s="2">
        <v>-1.683548514830185</v>
      </c>
      <c r="AM590" s="31"/>
      <c r="AN590" s="2">
        <f t="shared" si="89"/>
        <v>-0.80404497522218454</v>
      </c>
      <c r="AO590" s="2">
        <f t="shared" si="82"/>
        <v>0.32532623142250156</v>
      </c>
      <c r="AP590" s="2">
        <f t="shared" si="83"/>
        <v>-0.8010126464138807</v>
      </c>
      <c r="AQ590" s="31"/>
      <c r="AR590" s="31">
        <v>1967.1666666686101</v>
      </c>
      <c r="AS590" s="2">
        <v>-3.6366621257240848E-2</v>
      </c>
      <c r="AT590" s="2">
        <v>-1.1019061349826649</v>
      </c>
      <c r="AU590" s="2">
        <v>-1.0163275884243512</v>
      </c>
      <c r="AV590" s="31"/>
      <c r="AW590" s="31">
        <v>1967.1666666686101</v>
      </c>
      <c r="AX590" s="2">
        <v>0.30714926843607276</v>
      </c>
      <c r="AY590" s="2">
        <v>-0.48231704140909132</v>
      </c>
      <c r="AZ590" s="2">
        <v>-0.43507149446963989</v>
      </c>
      <c r="BA590" s="31"/>
      <c r="BB590" s="31">
        <v>1967.1666666686101</v>
      </c>
      <c r="BC590" s="2">
        <v>-1.7247820753298233</v>
      </c>
      <c r="BD590" s="2">
        <v>0.96568337279325867</v>
      </c>
      <c r="BE590" s="2">
        <v>-1.4299592798534251</v>
      </c>
      <c r="BG590" s="2">
        <f t="shared" si="90"/>
        <v>-0.48466647605033047</v>
      </c>
      <c r="BH590" s="2">
        <f t="shared" si="84"/>
        <v>-0.20617993453283248</v>
      </c>
      <c r="BI590" s="2">
        <f t="shared" si="85"/>
        <v>-0.9604527875824721</v>
      </c>
    </row>
    <row r="591" spans="6:61" x14ac:dyDescent="0.3">
      <c r="F591" s="31">
        <v>1967.08333333528</v>
      </c>
      <c r="G591" s="2">
        <v>0.65342490559586897</v>
      </c>
      <c r="H591" s="2">
        <v>9.2249999999999749E-2</v>
      </c>
      <c r="I591" s="2">
        <v>5.7571444121678604E-2</v>
      </c>
      <c r="K591" s="31">
        <v>1967.08333333528</v>
      </c>
      <c r="L591" s="2">
        <v>0.80393566265870375</v>
      </c>
      <c r="M591" s="2">
        <v>6.1514999999999952E-2</v>
      </c>
      <c r="N591" s="2">
        <v>4.9455074740640453E-2</v>
      </c>
      <c r="P591" s="31">
        <v>1967.08333333528</v>
      </c>
      <c r="Q591" s="2">
        <v>0.31311036600107722</v>
      </c>
      <c r="R591" s="2">
        <v>9.5850000000000463E-2</v>
      </c>
      <c r="S591" s="2">
        <v>2.1949325736798309E-2</v>
      </c>
      <c r="U591" s="2">
        <f t="shared" si="86"/>
        <v>0.59015697808521661</v>
      </c>
      <c r="V591" s="2">
        <f t="shared" si="87"/>
        <v>8.3205000000000057E-2</v>
      </c>
      <c r="W591" s="2">
        <f t="shared" si="88"/>
        <v>4.2991948199705789E-2</v>
      </c>
      <c r="Y591" s="31">
        <v>1967.08333333528</v>
      </c>
      <c r="Z591" s="2">
        <v>-0.46530220802975703</v>
      </c>
      <c r="AA591" s="2">
        <v>-0.1883013680744752</v>
      </c>
      <c r="AB591" s="2">
        <v>-0.40522319773243132</v>
      </c>
      <c r="AD591" s="31">
        <v>1967.08333333528</v>
      </c>
      <c r="AE591" s="2">
        <v>-3.1697291189205251E-2</v>
      </c>
      <c r="AF591" s="2">
        <v>-0.68622224125583742</v>
      </c>
      <c r="AG591" s="2">
        <v>-0.40423438575657467</v>
      </c>
      <c r="AH591" s="31"/>
      <c r="AI591" s="31">
        <v>1967.08333333528</v>
      </c>
      <c r="AJ591" s="2">
        <v>-2.3663470913005007</v>
      </c>
      <c r="AK591" s="2">
        <v>-4.4052846898962821E-2</v>
      </c>
      <c r="AL591" s="2">
        <v>-1.8548136462225493</v>
      </c>
      <c r="AM591" s="31"/>
      <c r="AN591" s="2">
        <f t="shared" si="89"/>
        <v>-0.9544488635064875</v>
      </c>
      <c r="AO591" s="2">
        <f t="shared" si="82"/>
        <v>-0.30619215207642514</v>
      </c>
      <c r="AP591" s="2">
        <f t="shared" si="83"/>
        <v>-0.8880904099038518</v>
      </c>
      <c r="AQ591" s="31"/>
      <c r="AR591" s="31">
        <v>1967.08333333528</v>
      </c>
      <c r="AS591" s="2">
        <v>0.1186599404497324</v>
      </c>
      <c r="AT591" s="2">
        <v>0.50956041230593607</v>
      </c>
      <c r="AU591" s="2">
        <v>0.34279928857668429</v>
      </c>
      <c r="AV591" s="31"/>
      <c r="AW591" s="31">
        <v>1967.08333333528</v>
      </c>
      <c r="AX591" s="2">
        <v>0.29133716284041</v>
      </c>
      <c r="AY591" s="2">
        <v>-0.87038484719517628</v>
      </c>
      <c r="AZ591" s="2">
        <v>-0.2912358729818017</v>
      </c>
      <c r="BA591" s="31"/>
      <c r="BB591" s="31">
        <v>1967.08333333528</v>
      </c>
      <c r="BC591" s="2">
        <v>-1.8659559209403302</v>
      </c>
      <c r="BD591" s="2">
        <v>-1.4615836317459097E-2</v>
      </c>
      <c r="BE591" s="2">
        <v>-1.7945840569450624</v>
      </c>
      <c r="BG591" s="2">
        <f t="shared" si="90"/>
        <v>-0.48531960588339595</v>
      </c>
      <c r="BH591" s="2">
        <f t="shared" si="84"/>
        <v>-0.12514675706889977</v>
      </c>
      <c r="BI591" s="2">
        <f t="shared" si="85"/>
        <v>-0.58100688045005999</v>
      </c>
    </row>
    <row r="592" spans="6:61" x14ac:dyDescent="0.3">
      <c r="F592" s="31">
        <v>1967.00000000195</v>
      </c>
      <c r="G592" s="2">
        <v>0.66822720329656216</v>
      </c>
      <c r="H592" s="2">
        <v>9.2249999999999749E-2</v>
      </c>
      <c r="I592" s="2">
        <v>5.8990117069182377E-2</v>
      </c>
      <c r="K592" s="31">
        <v>1967.00000000195</v>
      </c>
      <c r="L592" s="2">
        <v>0.83746962447312534</v>
      </c>
      <c r="M592" s="2">
        <v>6.1530000000000001E-2</v>
      </c>
      <c r="N592" s="2">
        <v>5.1529505993831402E-2</v>
      </c>
      <c r="P592" s="31">
        <v>1967.00000000195</v>
      </c>
      <c r="Q592" s="2">
        <v>0.351541670669624</v>
      </c>
      <c r="R592" s="2">
        <v>9.5850000000000463E-2</v>
      </c>
      <c r="S592" s="2">
        <v>2.2775651848925042E-2</v>
      </c>
      <c r="U592" s="2">
        <f t="shared" si="86"/>
        <v>0.61907949947977048</v>
      </c>
      <c r="V592" s="2">
        <f t="shared" si="87"/>
        <v>8.3210000000000076E-2</v>
      </c>
      <c r="W592" s="2">
        <f t="shared" si="88"/>
        <v>4.4431758303979607E-2</v>
      </c>
      <c r="Y592" s="31">
        <v>1967.00000000195</v>
      </c>
      <c r="Z592" s="2">
        <v>-0.37947735813145428</v>
      </c>
      <c r="AA592" s="2">
        <v>-0.1883013680744752</v>
      </c>
      <c r="AB592" s="2">
        <v>-0.37257351938247074</v>
      </c>
      <c r="AD592" s="31">
        <v>1967.00000000195</v>
      </c>
      <c r="AE592" s="2">
        <v>0.167855156096405</v>
      </c>
      <c r="AF592" s="2">
        <v>-0.68585487699629111</v>
      </c>
      <c r="AG592" s="2">
        <v>-0.32535453060470898</v>
      </c>
      <c r="AH592" s="31"/>
      <c r="AI592" s="31">
        <v>1967.00000000195</v>
      </c>
      <c r="AJ592" s="2">
        <v>-2.2557472561657974</v>
      </c>
      <c r="AK592" s="2">
        <v>-4.4052846898962821E-2</v>
      </c>
      <c r="AL592" s="2">
        <v>-1.7880317344127039</v>
      </c>
      <c r="AM592" s="31"/>
      <c r="AN592" s="2">
        <f t="shared" si="89"/>
        <v>-0.82245648606694888</v>
      </c>
      <c r="AO592" s="2">
        <f t="shared" si="82"/>
        <v>-0.30606969732324302</v>
      </c>
      <c r="AP592" s="2">
        <f t="shared" si="83"/>
        <v>-0.82865326146662788</v>
      </c>
      <c r="AQ592" s="31"/>
      <c r="AR592" s="31">
        <v>1967.00000000195</v>
      </c>
      <c r="AS592" s="2">
        <v>4.32682319689821E-2</v>
      </c>
      <c r="AT592" s="2">
        <v>1.102275455956677</v>
      </c>
      <c r="AU592" s="2">
        <v>0.94126179746863003</v>
      </c>
      <c r="AV592" s="31"/>
      <c r="AW592" s="31">
        <v>1967.00000000195</v>
      </c>
      <c r="AX592" s="2">
        <v>0.36684189457549932</v>
      </c>
      <c r="AY592" s="2">
        <v>-0.21897704373559218</v>
      </c>
      <c r="AZ592" s="2">
        <v>0.28673393176754763</v>
      </c>
      <c r="BA592" s="31"/>
      <c r="BB592" s="31">
        <v>1967.00000000195</v>
      </c>
      <c r="BC592" s="2">
        <v>-1.423448918446871</v>
      </c>
      <c r="BD592" s="2">
        <v>0.75540652012817533</v>
      </c>
      <c r="BE592" s="2">
        <v>-1.1107116759948945</v>
      </c>
      <c r="BG592" s="2">
        <f t="shared" si="90"/>
        <v>-0.33777959730079649</v>
      </c>
      <c r="BH592" s="2">
        <f t="shared" si="84"/>
        <v>0.54623497744975336</v>
      </c>
      <c r="BI592" s="2">
        <f t="shared" si="85"/>
        <v>3.9094684413761072E-2</v>
      </c>
    </row>
    <row r="593" spans="6:61" x14ac:dyDescent="0.3">
      <c r="F593" s="31">
        <v>1966.9166666686201</v>
      </c>
      <c r="G593" s="2">
        <v>0.69004606164657789</v>
      </c>
      <c r="H593" s="2">
        <v>9.2249999999999749E-2</v>
      </c>
      <c r="I593" s="2">
        <v>6.0865819275019897E-2</v>
      </c>
      <c r="K593" s="31">
        <v>1966.9166666686201</v>
      </c>
      <c r="L593" s="2">
        <v>0.77407331603089791</v>
      </c>
      <c r="M593" s="2">
        <v>6.1514999999999952E-2</v>
      </c>
      <c r="N593" s="2">
        <v>4.7617642952722236E-2</v>
      </c>
      <c r="P593" s="31">
        <v>1966.9166666686201</v>
      </c>
      <c r="Q593" s="2">
        <v>0.4487290677330637</v>
      </c>
      <c r="R593" s="2">
        <v>9.5850000000000463E-2</v>
      </c>
      <c r="S593" s="2">
        <v>2.4726658516164096E-2</v>
      </c>
      <c r="U593" s="2">
        <f t="shared" si="86"/>
        <v>0.63761614847017978</v>
      </c>
      <c r="V593" s="2">
        <f t="shared" si="87"/>
        <v>8.3205000000000057E-2</v>
      </c>
      <c r="W593" s="2">
        <f t="shared" si="88"/>
        <v>4.4403373581302079E-2</v>
      </c>
      <c r="Y593" s="31">
        <v>1966.9166666686201</v>
      </c>
      <c r="Z593" s="2">
        <v>-0.25296995497642005</v>
      </c>
      <c r="AA593" s="2">
        <v>-0.1883013680744752</v>
      </c>
      <c r="AB593" s="2">
        <v>-0.32940566042761898</v>
      </c>
      <c r="AD593" s="31">
        <v>1966.9166666686201</v>
      </c>
      <c r="AE593" s="2">
        <v>-0.20940084987540497</v>
      </c>
      <c r="AF593" s="2">
        <v>-0.68622224125583742</v>
      </c>
      <c r="AG593" s="2">
        <v>-0.47410238116952336</v>
      </c>
      <c r="AH593" s="31"/>
      <c r="AI593" s="31">
        <v>1966.9166666686201</v>
      </c>
      <c r="AJ593" s="2">
        <v>-2.0810908847283098</v>
      </c>
      <c r="AK593" s="2">
        <v>-4.4052846898962821E-2</v>
      </c>
      <c r="AL593" s="2">
        <v>-1.6303555418297977</v>
      </c>
      <c r="AM593" s="31"/>
      <c r="AN593" s="2">
        <f t="shared" si="89"/>
        <v>-0.84782056319337828</v>
      </c>
      <c r="AO593" s="2">
        <f t="shared" si="82"/>
        <v>-0.30619215207642514</v>
      </c>
      <c r="AP593" s="2">
        <f t="shared" si="83"/>
        <v>-0.81128786114231344</v>
      </c>
      <c r="AQ593" s="31"/>
      <c r="AR593" s="31">
        <v>1966.9166666686201</v>
      </c>
      <c r="AS593" s="2">
        <v>4.5292896613968306E-2</v>
      </c>
      <c r="AT593" s="2">
        <v>0.68444756444045063</v>
      </c>
      <c r="AU593" s="2">
        <v>0.42124946694662785</v>
      </c>
      <c r="AV593" s="31"/>
      <c r="AW593" s="31">
        <v>1966.9166666686201</v>
      </c>
      <c r="AX593" s="2">
        <v>1.685008662813562E-2</v>
      </c>
      <c r="AY593" s="2">
        <v>-0.51751295497595129</v>
      </c>
      <c r="AZ593" s="2">
        <v>-0.10774894633571265</v>
      </c>
      <c r="BA593" s="31"/>
      <c r="BB593" s="31">
        <v>1966.9166666686201</v>
      </c>
      <c r="BC593" s="2">
        <v>-2.0626612564789917</v>
      </c>
      <c r="BD593" s="2">
        <v>0.88737234882057547</v>
      </c>
      <c r="BE593" s="2">
        <v>-1.5728281351464208</v>
      </c>
      <c r="BG593" s="2">
        <f t="shared" si="90"/>
        <v>-0.66683942441229593</v>
      </c>
      <c r="BH593" s="2">
        <f t="shared" si="84"/>
        <v>0.35143565276169159</v>
      </c>
      <c r="BI593" s="2">
        <f t="shared" si="85"/>
        <v>-0.41977587151183521</v>
      </c>
    </row>
    <row r="594" spans="6:61" x14ac:dyDescent="0.3">
      <c r="F594" s="31">
        <v>1966.83333333529</v>
      </c>
      <c r="G594" s="2">
        <v>0.71687218240335326</v>
      </c>
      <c r="H594" s="2">
        <v>9.2249999999999749E-2</v>
      </c>
      <c r="I594" s="2">
        <v>6.3080394225704162E-2</v>
      </c>
      <c r="K594" s="31">
        <v>1966.83333333529</v>
      </c>
      <c r="L594" s="2"/>
      <c r="M594" s="2"/>
      <c r="N594" s="2"/>
      <c r="P594" s="31">
        <v>1966.83333333529</v>
      </c>
      <c r="Q594" s="2">
        <v>0.5795535654311651</v>
      </c>
      <c r="R594" s="2">
        <v>9.5800000000000607E-2</v>
      </c>
      <c r="S594" s="2">
        <v>1.7935564373851885E-2</v>
      </c>
      <c r="U594" s="2">
        <f t="shared" si="86"/>
        <v>0.64821287391725924</v>
      </c>
      <c r="V594" s="2">
        <f t="shared" si="87"/>
        <v>9.4025000000000178E-2</v>
      </c>
      <c r="W594" s="2">
        <f t="shared" si="88"/>
        <v>4.0507979299778021E-2</v>
      </c>
      <c r="Y594" s="31">
        <v>1966.83333333529</v>
      </c>
      <c r="Z594" s="2">
        <v>-9.7430062869252668E-2</v>
      </c>
      <c r="AA594" s="2">
        <v>-0.1883013680744752</v>
      </c>
      <c r="AB594" s="2">
        <v>-0.27843890311477548</v>
      </c>
      <c r="AD594" s="31">
        <v>1966.83333333529</v>
      </c>
      <c r="AE594" s="2"/>
      <c r="AF594" s="2"/>
      <c r="AG594" s="2"/>
      <c r="AH594" s="31"/>
      <c r="AI594" s="31">
        <v>1966.83333333529</v>
      </c>
      <c r="AJ594" s="2">
        <v>-1.9111732187120911</v>
      </c>
      <c r="AK594" s="2">
        <v>-4.5244348379574514E-2</v>
      </c>
      <c r="AL594" s="2">
        <v>-2.1791972684176359</v>
      </c>
      <c r="AM594" s="31"/>
      <c r="AN594" s="2">
        <f t="shared" si="89"/>
        <v>-1.004301640790672</v>
      </c>
      <c r="AO594" s="2">
        <f t="shared" si="82"/>
        <v>-0.11677285822702485</v>
      </c>
      <c r="AP594" s="2">
        <f t="shared" si="83"/>
        <v>-1.2288180857662057</v>
      </c>
      <c r="AQ594" s="31"/>
      <c r="AR594" s="31">
        <v>1966.83333333529</v>
      </c>
      <c r="AS594" s="2">
        <v>6.1549220006920334E-2</v>
      </c>
      <c r="AT594" s="2">
        <v>1.0321667531313441</v>
      </c>
      <c r="AU594" s="2">
        <v>0.83669141438997097</v>
      </c>
      <c r="AV594" s="31"/>
      <c r="AW594" s="31">
        <v>1966.83333333529</v>
      </c>
      <c r="AX594" s="2"/>
      <c r="AY594" s="2"/>
      <c r="AZ594" s="2"/>
      <c r="BA594" s="31"/>
      <c r="BB594" s="31">
        <v>1966.83333333529</v>
      </c>
      <c r="BC594" s="2">
        <v>-1.191059947289794</v>
      </c>
      <c r="BD594" s="2">
        <v>0.77503763331420128</v>
      </c>
      <c r="BE594" s="2">
        <v>-1.2923559075416828</v>
      </c>
      <c r="BG594" s="2">
        <f t="shared" si="90"/>
        <v>-0.56475536364143686</v>
      </c>
      <c r="BH594" s="2">
        <f t="shared" si="84"/>
        <v>0.90360219322277269</v>
      </c>
      <c r="BI594" s="2">
        <f t="shared" si="85"/>
        <v>-0.22783224657585593</v>
      </c>
    </row>
    <row r="595" spans="6:61" x14ac:dyDescent="0.3">
      <c r="F595" s="31">
        <v>1966.75000000196</v>
      </c>
      <c r="G595" s="2">
        <v>0.74971515302995273</v>
      </c>
      <c r="H595" s="2">
        <v>9.2249999999999749E-2</v>
      </c>
      <c r="I595" s="2">
        <v>6.5872113345652517E-2</v>
      </c>
      <c r="K595" s="31">
        <v>1966.75000000196</v>
      </c>
      <c r="L595" s="2">
        <v>0.76141794738143354</v>
      </c>
      <c r="M595" s="2">
        <v>6.1514999999999952E-2</v>
      </c>
      <c r="N595" s="2">
        <v>4.683892604409174E-2</v>
      </c>
      <c r="P595" s="31">
        <v>1966.75000000196</v>
      </c>
      <c r="Q595" s="2">
        <v>0.5622715511963936</v>
      </c>
      <c r="R595" s="2">
        <v>9.5850000000000463E-2</v>
      </c>
      <c r="S595" s="2">
        <v>2.8675083800012002E-2</v>
      </c>
      <c r="U595" s="2">
        <f t="shared" si="86"/>
        <v>0.69113488386925992</v>
      </c>
      <c r="V595" s="2">
        <f t="shared" si="87"/>
        <v>8.3205000000000057E-2</v>
      </c>
      <c r="W595" s="2">
        <f t="shared" si="88"/>
        <v>4.7128707729918749E-2</v>
      </c>
      <c r="Y595" s="31">
        <v>1966.75000000196</v>
      </c>
      <c r="Z595" s="2">
        <v>9.29959832242713E-2</v>
      </c>
      <c r="AA595" s="2">
        <v>-0.1883013680744752</v>
      </c>
      <c r="AB595" s="2">
        <v>-0.21418961192322233</v>
      </c>
      <c r="AD595" s="31">
        <v>1966.75000000196</v>
      </c>
      <c r="AE595" s="2">
        <v>-0.28470986940843634</v>
      </c>
      <c r="AF595" s="2">
        <v>-0.68622224125583742</v>
      </c>
      <c r="AG595" s="2">
        <v>-0.50371294399853794</v>
      </c>
      <c r="AH595" s="31"/>
      <c r="AI595" s="31">
        <v>1966.75000000196</v>
      </c>
      <c r="AJ595" s="2">
        <v>-1.7012264568982216</v>
      </c>
      <c r="AK595" s="2">
        <v>-4.4052846898962821E-2</v>
      </c>
      <c r="AL595" s="2">
        <v>-1.3112522420259864</v>
      </c>
      <c r="AM595" s="31"/>
      <c r="AN595" s="2">
        <f t="shared" si="89"/>
        <v>-0.63098011436079549</v>
      </c>
      <c r="AO595" s="2">
        <f t="shared" si="82"/>
        <v>-0.30619215207642514</v>
      </c>
      <c r="AP595" s="2">
        <f t="shared" si="83"/>
        <v>-0.67638493264924893</v>
      </c>
      <c r="AQ595" s="31"/>
      <c r="AR595" s="31">
        <v>1966.75000000196</v>
      </c>
      <c r="AS595" s="2">
        <v>3.3272501476069243E-2</v>
      </c>
      <c r="AT595" s="2">
        <v>0.89414149018552613</v>
      </c>
      <c r="AU595" s="2">
        <v>0.48316314925814696</v>
      </c>
      <c r="AV595" s="31"/>
      <c r="AW595" s="31">
        <v>1966.75000000196</v>
      </c>
      <c r="AX595" s="2">
        <v>-0.25783589050768307</v>
      </c>
      <c r="AY595" s="2">
        <v>-0.6564669997761764</v>
      </c>
      <c r="AZ595" s="2">
        <v>-0.57699018870177388</v>
      </c>
      <c r="BA595" s="31"/>
      <c r="BB595" s="31">
        <v>1966.75000000196</v>
      </c>
      <c r="BC595" s="2">
        <v>-1.7451670422434147</v>
      </c>
      <c r="BD595" s="2">
        <v>0.36965282471677957</v>
      </c>
      <c r="BE595" s="2">
        <v>-1.450830212741604</v>
      </c>
      <c r="BG595" s="2">
        <f t="shared" si="90"/>
        <v>-0.65657681042500948</v>
      </c>
      <c r="BH595" s="2">
        <f t="shared" si="84"/>
        <v>0.20244243837537645</v>
      </c>
      <c r="BI595" s="2">
        <f t="shared" si="85"/>
        <v>-0.51488575072841025</v>
      </c>
    </row>
    <row r="596" spans="6:61" x14ac:dyDescent="0.3">
      <c r="F596" s="31">
        <v>1966.6666666686299</v>
      </c>
      <c r="G596" s="2">
        <v>0.78262551054561835</v>
      </c>
      <c r="H596" s="2">
        <v>9.2249999999999749E-2</v>
      </c>
      <c r="I596" s="2">
        <v>6.8856569416830327E-2</v>
      </c>
      <c r="K596" s="31">
        <v>1966.6666666686299</v>
      </c>
      <c r="L596" s="2">
        <v>0.75496666333850948</v>
      </c>
      <c r="M596" s="2">
        <v>6.1530000000000001E-2</v>
      </c>
      <c r="N596" s="2">
        <v>4.6453098795218487E-2</v>
      </c>
      <c r="P596" s="31">
        <v>1966.6666666686299</v>
      </c>
      <c r="Q596" s="2">
        <v>0.52317395868037719</v>
      </c>
      <c r="R596" s="2">
        <v>9.5850000000000463E-2</v>
      </c>
      <c r="S596" s="2">
        <v>3.4292157974104696E-2</v>
      </c>
      <c r="U596" s="2">
        <f t="shared" si="86"/>
        <v>0.68692204418816838</v>
      </c>
      <c r="V596" s="2">
        <f t="shared" si="87"/>
        <v>8.3210000000000076E-2</v>
      </c>
      <c r="W596" s="2">
        <f t="shared" si="88"/>
        <v>4.9867275395384499E-2</v>
      </c>
      <c r="Y596" s="31">
        <v>1966.6666666686299</v>
      </c>
      <c r="Z596" s="2">
        <v>0.28381274363500197</v>
      </c>
      <c r="AA596" s="2">
        <v>-0.1883013680744752</v>
      </c>
      <c r="AB596" s="2">
        <v>-0.14550462646198831</v>
      </c>
      <c r="AD596" s="31">
        <v>1966.6666666686299</v>
      </c>
      <c r="AE596" s="2">
        <v>-0.32309989102367109</v>
      </c>
      <c r="AF596" s="2">
        <v>-0.68585487699629111</v>
      </c>
      <c r="AG596" s="2">
        <v>-0.51838395199552545</v>
      </c>
      <c r="AH596" s="31"/>
      <c r="AI596" s="31">
        <v>1966.6666666686299</v>
      </c>
      <c r="AJ596" s="2">
        <v>-1.1523118493360296</v>
      </c>
      <c r="AK596" s="2">
        <v>-4.4052846898962821E-2</v>
      </c>
      <c r="AL596" s="2">
        <v>-0.85729230221703279</v>
      </c>
      <c r="AM596" s="31"/>
      <c r="AN596" s="2">
        <f t="shared" si="89"/>
        <v>-0.39719966557489955</v>
      </c>
      <c r="AO596" s="2">
        <f t="shared" si="82"/>
        <v>-0.30606969732324302</v>
      </c>
      <c r="AP596" s="2">
        <f t="shared" si="83"/>
        <v>-0.50706029355818216</v>
      </c>
      <c r="AQ596" s="31"/>
      <c r="AR596" s="31">
        <v>1966.6666666686299</v>
      </c>
      <c r="AS596" s="2">
        <v>1.1863663728837421E-2</v>
      </c>
      <c r="AT596" s="2">
        <v>0.70701225639459664</v>
      </c>
      <c r="AU596" s="2">
        <v>0.52904009513990791</v>
      </c>
      <c r="AV596" s="31"/>
      <c r="AW596" s="31">
        <v>1966.6666666686299</v>
      </c>
      <c r="AX596" s="2">
        <v>-0.28335061895134689</v>
      </c>
      <c r="AY596" s="2">
        <v>-0.23771353876763443</v>
      </c>
      <c r="AZ596" s="2">
        <v>-0.29876009726563596</v>
      </c>
      <c r="BA596" s="31"/>
      <c r="BB596" s="31">
        <v>1966.6666666686299</v>
      </c>
      <c r="BC596" s="2">
        <v>-1.2853302258223827</v>
      </c>
      <c r="BD596" s="2">
        <v>1.0283839161259722</v>
      </c>
      <c r="BE596" s="2">
        <v>-0.78324403072420345</v>
      </c>
      <c r="BG596" s="2">
        <f t="shared" si="90"/>
        <v>-0.5189390603482974</v>
      </c>
      <c r="BH596" s="2">
        <f t="shared" si="84"/>
        <v>0.49922754458431146</v>
      </c>
      <c r="BI596" s="2">
        <f t="shared" si="85"/>
        <v>-0.18432134428331048</v>
      </c>
    </row>
    <row r="597" spans="6:61" x14ac:dyDescent="0.3">
      <c r="F597" s="31">
        <v>1966.5833333353</v>
      </c>
      <c r="G597" s="2">
        <v>0.82208850817441981</v>
      </c>
      <c r="H597" s="2">
        <v>9.2249999999999749E-2</v>
      </c>
      <c r="I597" s="2">
        <v>7.3004875890885862E-2</v>
      </c>
      <c r="K597" s="31">
        <v>1966.5833333353</v>
      </c>
      <c r="L597" s="2">
        <v>0.75772388915466993</v>
      </c>
      <c r="M597" s="2">
        <v>6.1514999999999952E-2</v>
      </c>
      <c r="N597" s="2">
        <v>4.6611600082161475E-2</v>
      </c>
      <c r="P597" s="31">
        <v>1966.5833333353</v>
      </c>
      <c r="Q597" s="2">
        <v>0.49893022620029381</v>
      </c>
      <c r="R597" s="2">
        <v>9.5850000000000463E-2</v>
      </c>
      <c r="S597" s="2">
        <v>3.9365219887825861E-2</v>
      </c>
      <c r="U597" s="2">
        <f t="shared" si="86"/>
        <v>0.69291420784312796</v>
      </c>
      <c r="V597" s="2">
        <f t="shared" si="87"/>
        <v>8.3205000000000057E-2</v>
      </c>
      <c r="W597" s="2">
        <f t="shared" si="88"/>
        <v>5.2993898620291059E-2</v>
      </c>
      <c r="Y597" s="31">
        <v>1966.5833333353</v>
      </c>
      <c r="Z597" s="2">
        <v>0.51262221068621217</v>
      </c>
      <c r="AA597" s="2">
        <v>-0.1883013680744752</v>
      </c>
      <c r="AB597" s="2">
        <v>-5.0034509608567229E-2</v>
      </c>
      <c r="AD597" s="31">
        <v>1966.5833333353</v>
      </c>
      <c r="AE597" s="2">
        <v>-0.30669231107893408</v>
      </c>
      <c r="AF597" s="2">
        <v>-0.68622224125583742</v>
      </c>
      <c r="AG597" s="2">
        <v>-0.51235697060666741</v>
      </c>
      <c r="AH597" s="31"/>
      <c r="AI597" s="31">
        <v>1966.5833333353</v>
      </c>
      <c r="AJ597" s="2">
        <v>-0.66152179436381287</v>
      </c>
      <c r="AK597" s="2">
        <v>-4.4052846898962821E-2</v>
      </c>
      <c r="AL597" s="2">
        <v>-0.44729827158418195</v>
      </c>
      <c r="AM597" s="31"/>
      <c r="AN597" s="2">
        <f t="shared" si="89"/>
        <v>-0.15186396491884491</v>
      </c>
      <c r="AO597" s="2">
        <f t="shared" si="82"/>
        <v>-0.30619215207642514</v>
      </c>
      <c r="AP597" s="2">
        <f t="shared" si="83"/>
        <v>-0.33656325059980552</v>
      </c>
      <c r="AQ597" s="31"/>
      <c r="AR597" s="31">
        <v>1966.5833333353</v>
      </c>
      <c r="AS597" s="2">
        <v>2.8997376385912207E-2</v>
      </c>
      <c r="AT597" s="2">
        <v>0.98806436351113014</v>
      </c>
      <c r="AU597" s="2">
        <v>0.5252050024625603</v>
      </c>
      <c r="AV597" s="31"/>
      <c r="AW597" s="31">
        <v>1966.5833333353</v>
      </c>
      <c r="AX597" s="2">
        <v>-0.58421773507342301</v>
      </c>
      <c r="AY597" s="2">
        <v>-0.53553372549108424</v>
      </c>
      <c r="AZ597" s="2">
        <v>-0.71689444208502062</v>
      </c>
      <c r="BA597" s="31"/>
      <c r="BB597" s="31">
        <v>1966.5833333353</v>
      </c>
      <c r="BC597" s="2">
        <v>-1.1441940157184673</v>
      </c>
      <c r="BD597" s="2">
        <v>0.77441334649330551</v>
      </c>
      <c r="BE597" s="2">
        <v>-1.0426953371843273</v>
      </c>
      <c r="BG597" s="2">
        <f t="shared" si="90"/>
        <v>-0.56647145813532607</v>
      </c>
      <c r="BH597" s="2">
        <f t="shared" si="84"/>
        <v>0.40898132817111715</v>
      </c>
      <c r="BI597" s="2">
        <f t="shared" si="85"/>
        <v>-0.41146159226892914</v>
      </c>
    </row>
    <row r="598" spans="6:61" x14ac:dyDescent="0.3">
      <c r="F598" s="31">
        <v>1966.50000000197</v>
      </c>
      <c r="G598" s="2">
        <v>0.86353195522732284</v>
      </c>
      <c r="H598" s="2">
        <v>6.1499999999999846E-2</v>
      </c>
      <c r="I598" s="2">
        <v>5.3107215246480224E-2</v>
      </c>
      <c r="K598" s="31">
        <v>1966.50000000197</v>
      </c>
      <c r="L598" s="2"/>
      <c r="M598" s="2"/>
      <c r="N598" s="2"/>
      <c r="P598" s="31">
        <v>1966.50000000197</v>
      </c>
      <c r="Q598" s="2">
        <v>0.45418708890469905</v>
      </c>
      <c r="R598" s="2">
        <v>9.5800000000000607E-2</v>
      </c>
      <c r="S598" s="2">
        <v>3.2363062493715893E-2</v>
      </c>
      <c r="U598" s="2">
        <f t="shared" si="86"/>
        <v>0.65885952206601095</v>
      </c>
      <c r="V598" s="2">
        <f t="shared" si="87"/>
        <v>7.865000000000022E-2</v>
      </c>
      <c r="W598" s="2">
        <f t="shared" si="88"/>
        <v>4.2735138870098055E-2</v>
      </c>
      <c r="Y598" s="31">
        <v>1966.50000000197</v>
      </c>
      <c r="Z598" s="2">
        <v>0.75291447439450743</v>
      </c>
      <c r="AA598" s="2">
        <v>-0.78876452892998183</v>
      </c>
      <c r="AB598" s="2">
        <v>-0.50796402824752507</v>
      </c>
      <c r="AD598" s="31">
        <v>1966.50000000197</v>
      </c>
      <c r="AE598" s="2"/>
      <c r="AF598" s="2"/>
      <c r="AG598" s="2"/>
      <c r="AH598" s="31"/>
      <c r="AI598" s="31">
        <v>1966.50000000197</v>
      </c>
      <c r="AJ598" s="2">
        <v>5.2751158364197491E-2</v>
      </c>
      <c r="AK598" s="2">
        <v>-4.5244348379574514E-2</v>
      </c>
      <c r="AL598" s="2">
        <v>-1.0131976794687902</v>
      </c>
      <c r="AM598" s="31"/>
      <c r="AN598" s="2">
        <f t="shared" si="89"/>
        <v>0.40283281637935248</v>
      </c>
      <c r="AO598" s="2">
        <f t="shared" si="82"/>
        <v>-0.41700443865477815</v>
      </c>
      <c r="AP598" s="2">
        <f t="shared" si="83"/>
        <v>-0.76058085385815766</v>
      </c>
      <c r="AQ598" s="31"/>
      <c r="AR598" s="31">
        <v>1966.50000000197</v>
      </c>
      <c r="AS598" s="2">
        <v>6.8913137362487512E-2</v>
      </c>
      <c r="AT598" s="2">
        <v>-2.3130098149132094E-2</v>
      </c>
      <c r="AU598" s="2">
        <v>3.9028230741391355E-2</v>
      </c>
      <c r="AV598" s="31"/>
      <c r="AW598" s="31">
        <v>1966.50000000197</v>
      </c>
      <c r="AX598" s="2"/>
      <c r="AY598" s="2"/>
      <c r="AZ598" s="2"/>
      <c r="BA598" s="31"/>
      <c r="BB598" s="31">
        <v>1966.50000000197</v>
      </c>
      <c r="BC598" s="2">
        <v>-0.36754072738132126</v>
      </c>
      <c r="BD598" s="2">
        <v>1.2373533970328761</v>
      </c>
      <c r="BE598" s="2">
        <v>-0.53379199616063344</v>
      </c>
      <c r="BG598" s="2">
        <f t="shared" si="90"/>
        <v>-0.14931379500941688</v>
      </c>
      <c r="BH598" s="2">
        <f t="shared" si="84"/>
        <v>0.60711164944187201</v>
      </c>
      <c r="BI598" s="2">
        <f t="shared" si="85"/>
        <v>-0.24738188270962105</v>
      </c>
    </row>
    <row r="599" spans="6:61" x14ac:dyDescent="0.3">
      <c r="F599" s="31">
        <v>1966.4166666686399</v>
      </c>
      <c r="G599" s="2">
        <v>0.8602709511685207</v>
      </c>
      <c r="H599" s="2">
        <v>0.15374999999999961</v>
      </c>
      <c r="I599" s="2">
        <v>0.13015729958691979</v>
      </c>
      <c r="K599" s="31">
        <v>1966.4166666686399</v>
      </c>
      <c r="L599" s="2">
        <v>0.77834933934295591</v>
      </c>
      <c r="M599" s="2">
        <v>9.2279999999999945E-2</v>
      </c>
      <c r="N599" s="2">
        <v>7.2839312257528877E-2</v>
      </c>
      <c r="P599" s="31">
        <v>1966.4166666686399</v>
      </c>
      <c r="Q599" s="2">
        <v>0.40194914226699663</v>
      </c>
      <c r="R599" s="2">
        <v>0.2396000000000012</v>
      </c>
      <c r="S599" s="2">
        <v>3.8943041155601384E-2</v>
      </c>
      <c r="U599" s="2">
        <f t="shared" si="86"/>
        <v>0.68018981092615771</v>
      </c>
      <c r="V599" s="2">
        <f t="shared" si="87"/>
        <v>0.16187666666666692</v>
      </c>
      <c r="W599" s="2">
        <f t="shared" si="88"/>
        <v>8.0646551000016678E-2</v>
      </c>
      <c r="Y599" s="31">
        <v>1966.4166666686399</v>
      </c>
      <c r="Z599" s="2">
        <v>0.73400692439628357</v>
      </c>
      <c r="AA599" s="2">
        <v>1.012624953636539</v>
      </c>
      <c r="AB599" s="2">
        <v>1.265285031713139</v>
      </c>
      <c r="AD599" s="31">
        <v>1966.4166666686399</v>
      </c>
      <c r="AE599" s="2">
        <v>-0.18395527558586397</v>
      </c>
      <c r="AF599" s="2">
        <v>6.7241855071186282E-2</v>
      </c>
      <c r="AG599" s="2">
        <v>0.48494681286432456</v>
      </c>
      <c r="AH599" s="31"/>
      <c r="AI599" s="31">
        <v>1966.4166666686399</v>
      </c>
      <c r="AJ599" s="2">
        <v>-0.8138997581823415</v>
      </c>
      <c r="AK599" s="2">
        <v>3.3815139098695552</v>
      </c>
      <c r="AL599" s="2">
        <v>-0.48141785518398389</v>
      </c>
      <c r="AM599" s="31"/>
      <c r="AN599" s="2">
        <f t="shared" si="89"/>
        <v>-8.794936979064065E-2</v>
      </c>
      <c r="AO599" s="2">
        <f t="shared" si="82"/>
        <v>1.4871269061924268</v>
      </c>
      <c r="AP599" s="2">
        <f t="shared" si="83"/>
        <v>0.42293799646449326</v>
      </c>
      <c r="AQ599" s="31"/>
      <c r="AR599" s="31">
        <v>1966.4166666686399</v>
      </c>
      <c r="AS599" s="2">
        <v>0.12458984592148385</v>
      </c>
      <c r="AT599" s="2">
        <v>-0.3587827526842341</v>
      </c>
      <c r="AU599" s="2">
        <v>-0.27643974070894517</v>
      </c>
      <c r="AV599" s="31"/>
      <c r="AW599" s="31">
        <v>1966.4166666686399</v>
      </c>
      <c r="AX599" s="2">
        <v>-0.6053996387751146</v>
      </c>
      <c r="AY599" s="2">
        <v>-1.019318303187664</v>
      </c>
      <c r="AZ599" s="2">
        <v>-0.41343935965259787</v>
      </c>
      <c r="BA599" s="31"/>
      <c r="BB599" s="31">
        <v>1966.4166666686399</v>
      </c>
      <c r="BC599" s="2">
        <v>-1.596430863676541</v>
      </c>
      <c r="BD599" s="2">
        <v>1.8993230374240955</v>
      </c>
      <c r="BE599" s="2">
        <v>-1.4814814613413598</v>
      </c>
      <c r="BG599" s="2">
        <f t="shared" si="90"/>
        <v>-0.69241355217672396</v>
      </c>
      <c r="BH599" s="2">
        <f t="shared" si="84"/>
        <v>0.17374066051739911</v>
      </c>
      <c r="BI599" s="2">
        <f t="shared" si="85"/>
        <v>-0.72378685390096764</v>
      </c>
    </row>
    <row r="600" spans="6:61" x14ac:dyDescent="0.3">
      <c r="F600" s="31">
        <v>1966.33333333531</v>
      </c>
      <c r="G600" s="2">
        <v>0.74482832452861603</v>
      </c>
      <c r="H600" s="2">
        <v>0.12299999999999964</v>
      </c>
      <c r="I600" s="2">
        <v>8.4689421338244239E-2</v>
      </c>
      <c r="K600" s="31">
        <v>1966.33333333531</v>
      </c>
      <c r="L600" s="2">
        <v>0.80690306989007188</v>
      </c>
      <c r="M600" s="2">
        <v>9.2279999999999945E-2</v>
      </c>
      <c r="N600" s="2">
        <v>7.704186550021605E-2</v>
      </c>
      <c r="P600" s="31">
        <v>1966.33333333531</v>
      </c>
      <c r="Q600" s="2">
        <v>0.37907822586137502</v>
      </c>
      <c r="R600" s="2">
        <v>0.2396000000000012</v>
      </c>
      <c r="S600" s="2">
        <v>3.5593194750324499E-2</v>
      </c>
      <c r="U600" s="2">
        <f t="shared" si="86"/>
        <v>0.64360320676002092</v>
      </c>
      <c r="V600" s="2">
        <f t="shared" si="87"/>
        <v>0.15162666666666694</v>
      </c>
      <c r="W600" s="2">
        <f t="shared" si="88"/>
        <v>6.5774827196261598E-2</v>
      </c>
      <c r="Y600" s="31">
        <v>1966.33333333531</v>
      </c>
      <c r="Z600" s="2">
        <v>6.4661779231986419E-2</v>
      </c>
      <c r="AA600" s="2">
        <v>0.41216179278103116</v>
      </c>
      <c r="AB600" s="2">
        <v>0.21887641252680617</v>
      </c>
      <c r="AD600" s="31">
        <v>1966.33333333531</v>
      </c>
      <c r="AE600" s="2">
        <v>-1.403897278383672E-2</v>
      </c>
      <c r="AF600" s="2">
        <v>6.7241855071186282E-2</v>
      </c>
      <c r="AG600" s="2">
        <v>0.64474810323789078</v>
      </c>
      <c r="AH600" s="31"/>
      <c r="AI600" s="31">
        <v>1966.33333333531</v>
      </c>
      <c r="AJ600" s="2">
        <v>-1.2453111809805324</v>
      </c>
      <c r="AK600" s="2">
        <v>3.3815139098695552</v>
      </c>
      <c r="AL600" s="2">
        <v>-0.75214528825270732</v>
      </c>
      <c r="AM600" s="31"/>
      <c r="AN600" s="2">
        <f t="shared" si="89"/>
        <v>-0.39822945817746097</v>
      </c>
      <c r="AO600" s="2">
        <f t="shared" si="82"/>
        <v>1.286972519240591</v>
      </c>
      <c r="AP600" s="2">
        <f t="shared" si="83"/>
        <v>3.7159742503996541E-2</v>
      </c>
      <c r="AQ600" s="31"/>
      <c r="AR600" s="31">
        <v>1966.33333333531</v>
      </c>
      <c r="AS600" s="2">
        <v>-6.8504829487781055E-2</v>
      </c>
      <c r="AT600" s="2">
        <v>-0.62524988541030313</v>
      </c>
      <c r="AU600" s="2">
        <v>-0.72165462672300829</v>
      </c>
      <c r="AV600" s="31"/>
      <c r="AW600" s="31">
        <v>1966.33333333531</v>
      </c>
      <c r="AX600" s="2">
        <v>-0.16256896576801164</v>
      </c>
      <c r="AY600" s="2">
        <v>-0.6032299022146953</v>
      </c>
      <c r="AZ600" s="2">
        <v>0.10105249474815835</v>
      </c>
      <c r="BA600" s="31"/>
      <c r="BB600" s="31">
        <v>1966.33333333531</v>
      </c>
      <c r="BC600" s="2">
        <v>-1.6854020663764844</v>
      </c>
      <c r="BD600" s="2">
        <v>2.6145336797546879</v>
      </c>
      <c r="BE600" s="2">
        <v>-1.2641051029077688</v>
      </c>
      <c r="BG600" s="2">
        <f t="shared" si="90"/>
        <v>-0.63882528721075904</v>
      </c>
      <c r="BH600" s="2">
        <f t="shared" si="84"/>
        <v>0.46201796404322987</v>
      </c>
      <c r="BI600" s="2">
        <f t="shared" si="85"/>
        <v>-0.62823574496087298</v>
      </c>
    </row>
    <row r="601" spans="6:61" x14ac:dyDescent="0.3">
      <c r="F601" s="31">
        <v>1966.25000000197</v>
      </c>
      <c r="G601" s="2">
        <v>0.67351088785239221</v>
      </c>
      <c r="H601" s="2">
        <v>0.15374999999999961</v>
      </c>
      <c r="I601" s="2">
        <v>0.10127106663673106</v>
      </c>
      <c r="K601" s="31">
        <v>1966.25000000197</v>
      </c>
      <c r="L601" s="2">
        <v>0.88426131987160739</v>
      </c>
      <c r="M601" s="2">
        <v>9.2279999999999945E-2</v>
      </c>
      <c r="N601" s="2">
        <v>8.7486916237286522E-2</v>
      </c>
      <c r="P601" s="31">
        <v>1966.25000000197</v>
      </c>
      <c r="Q601" s="2">
        <v>0.36265518785612683</v>
      </c>
      <c r="R601" s="2">
        <v>0.2396000000000012</v>
      </c>
      <c r="S601" s="2">
        <v>3.0304519729175784E-2</v>
      </c>
      <c r="U601" s="2">
        <f t="shared" si="86"/>
        <v>0.64014246519337548</v>
      </c>
      <c r="V601" s="2">
        <f t="shared" si="87"/>
        <v>0.16187666666666692</v>
      </c>
      <c r="W601" s="2">
        <f t="shared" si="88"/>
        <v>7.3020834201064463E-2</v>
      </c>
      <c r="Y601" s="31">
        <v>1966.25000000197</v>
      </c>
      <c r="Z601" s="2">
        <v>-0.34884215249761141</v>
      </c>
      <c r="AA601" s="2">
        <v>1.012624953636539</v>
      </c>
      <c r="AB601" s="2">
        <v>0.60049036129584887</v>
      </c>
      <c r="AD601" s="31">
        <v>1966.25000000197</v>
      </c>
      <c r="AE601" s="2">
        <v>0.44630115007359999</v>
      </c>
      <c r="AF601" s="2">
        <v>6.7241855071186282E-2</v>
      </c>
      <c r="AG601" s="2">
        <v>1.0419191774427621</v>
      </c>
      <c r="AH601" s="31"/>
      <c r="AI601" s="31">
        <v>1966.25000000197</v>
      </c>
      <c r="AJ601" s="2">
        <v>-1.8063523786065652</v>
      </c>
      <c r="AK601" s="2">
        <v>3.3815139098695552</v>
      </c>
      <c r="AL601" s="2">
        <v>-1.1795647097983712</v>
      </c>
      <c r="AM601" s="31"/>
      <c r="AN601" s="2">
        <f t="shared" si="89"/>
        <v>-0.56963112701019225</v>
      </c>
      <c r="AO601" s="2">
        <f t="shared" si="82"/>
        <v>1.4871269061924268</v>
      </c>
      <c r="AP601" s="2">
        <f t="shared" si="83"/>
        <v>0.15428160964674656</v>
      </c>
      <c r="AQ601" s="31"/>
      <c r="AR601" s="31">
        <v>1966.25000000197</v>
      </c>
      <c r="AS601" s="2">
        <v>-0.24032795688535055</v>
      </c>
      <c r="AT601" s="2">
        <v>-6.2988546229769724E-2</v>
      </c>
      <c r="AU601" s="2">
        <v>-0.24665762826607732</v>
      </c>
      <c r="AV601" s="31"/>
      <c r="AW601" s="31">
        <v>1966.25000000197</v>
      </c>
      <c r="AX601" s="2">
        <v>0.50941375492272756</v>
      </c>
      <c r="AY601" s="2">
        <v>-0.82026029232611508</v>
      </c>
      <c r="AZ601" s="2">
        <v>0.2526834443000856</v>
      </c>
      <c r="BA601" s="31"/>
      <c r="BB601" s="31">
        <v>1966.25000000197</v>
      </c>
      <c r="BC601" s="2">
        <v>-1.7507795510084181</v>
      </c>
      <c r="BD601" s="2">
        <v>2.2075480569141921</v>
      </c>
      <c r="BE601" s="2">
        <v>-1.4007163690212399</v>
      </c>
      <c r="BG601" s="2">
        <f t="shared" si="90"/>
        <v>-0.49389791765701369</v>
      </c>
      <c r="BH601" s="2">
        <f t="shared" si="84"/>
        <v>0.44143307278610244</v>
      </c>
      <c r="BI601" s="2">
        <f t="shared" si="85"/>
        <v>-0.46489685099574385</v>
      </c>
    </row>
    <row r="602" spans="6:61" x14ac:dyDescent="0.3">
      <c r="F602" s="31">
        <v>1966.1666666686399</v>
      </c>
      <c r="G602" s="2">
        <v>0.6308643106614984</v>
      </c>
      <c r="H602" s="2">
        <v>0.12299999999999964</v>
      </c>
      <c r="I602" s="2">
        <v>7.4670866417432299E-2</v>
      </c>
      <c r="K602" s="31">
        <v>1966.1666666686399</v>
      </c>
      <c r="L602" s="2">
        <v>0.94456090302614482</v>
      </c>
      <c r="M602" s="2">
        <v>9.2279999999999945E-2</v>
      </c>
      <c r="N602" s="2">
        <v>9.579720322995916E-2</v>
      </c>
      <c r="P602" s="31">
        <v>1966.1666666686399</v>
      </c>
      <c r="Q602" s="2">
        <v>0.28943723165010005</v>
      </c>
      <c r="R602" s="2">
        <v>0.19165000000000107</v>
      </c>
      <c r="S602" s="2">
        <v>2.6951073755959024E-2</v>
      </c>
      <c r="U602" s="2">
        <f t="shared" si="86"/>
        <v>0.62162081511258116</v>
      </c>
      <c r="V602" s="2">
        <f t="shared" si="87"/>
        <v>0.13564333333333356</v>
      </c>
      <c r="W602" s="2">
        <f t="shared" si="88"/>
        <v>6.5806381134450156E-2</v>
      </c>
      <c r="Y602" s="31">
        <v>1966.1666666686399</v>
      </c>
      <c r="Z602" s="2">
        <v>-0.59611025641592674</v>
      </c>
      <c r="AA602" s="2">
        <v>0.41216179278103116</v>
      </c>
      <c r="AB602" s="2">
        <v>-1.16930053728434E-2</v>
      </c>
      <c r="AD602" s="31">
        <v>1966.1666666686399</v>
      </c>
      <c r="AE602" s="2">
        <v>0.80512929735249472</v>
      </c>
      <c r="AF602" s="2">
        <v>6.7241855071186282E-2</v>
      </c>
      <c r="AG602" s="2">
        <v>1.3579162649548793</v>
      </c>
      <c r="AH602" s="31"/>
      <c r="AI602" s="31">
        <v>1966.1666666686399</v>
      </c>
      <c r="AJ602" s="2">
        <v>-2.0279212169319711</v>
      </c>
      <c r="AK602" s="2">
        <v>2.2388639899596421</v>
      </c>
      <c r="AL602" s="2">
        <v>-1.4505830522613237</v>
      </c>
      <c r="AM602" s="31"/>
      <c r="AN602" s="2">
        <f t="shared" si="89"/>
        <v>-0.60630072533180102</v>
      </c>
      <c r="AO602" s="2">
        <f t="shared" si="82"/>
        <v>0.90608921260395325</v>
      </c>
      <c r="AP602" s="2">
        <f t="shared" si="83"/>
        <v>-3.47865975597626E-2</v>
      </c>
      <c r="AQ602" s="31"/>
      <c r="AR602" s="31">
        <v>1966.1666666686399</v>
      </c>
      <c r="AS602" s="2">
        <v>-0.25710063776195774</v>
      </c>
      <c r="AT602" s="2">
        <v>-0.46657286796563346</v>
      </c>
      <c r="AU602" s="2">
        <v>-0.60530793978922282</v>
      </c>
      <c r="AV602" s="31"/>
      <c r="AW602" s="31">
        <v>1966.1666666686399</v>
      </c>
      <c r="AX602" s="2">
        <v>0.96868141599698443</v>
      </c>
      <c r="AY602" s="2">
        <v>-0.48198869008051998</v>
      </c>
      <c r="AZ602" s="2">
        <v>0.90763941366361556</v>
      </c>
      <c r="BA602" s="31"/>
      <c r="BB602" s="31">
        <v>1966.1666666686399</v>
      </c>
      <c r="BC602" s="2">
        <v>-1.5970753389920915</v>
      </c>
      <c r="BD602" s="2">
        <v>2.2798374835713595</v>
      </c>
      <c r="BE602" s="2">
        <v>-1.1632349616377458</v>
      </c>
      <c r="BG602" s="2">
        <f t="shared" si="90"/>
        <v>-0.29516485358568828</v>
      </c>
      <c r="BH602" s="2">
        <f t="shared" si="84"/>
        <v>0.44375864184173536</v>
      </c>
      <c r="BI602" s="2">
        <f t="shared" si="85"/>
        <v>-0.28696782925445102</v>
      </c>
    </row>
    <row r="603" spans="6:61" x14ac:dyDescent="0.3">
      <c r="F603" s="31">
        <v>1966.08333333531</v>
      </c>
      <c r="G603" s="2">
        <v>0.62357974947004768</v>
      </c>
      <c r="H603" s="2">
        <v>9.2249999999999804E-2</v>
      </c>
      <c r="I603" s="2">
        <v>5.9357544315148343E-2</v>
      </c>
      <c r="K603" s="31">
        <v>1966.08333333531</v>
      </c>
      <c r="L603" s="2">
        <v>0.89221423689543866</v>
      </c>
      <c r="M603" s="2">
        <v>9.2264999999999903E-2</v>
      </c>
      <c r="N603" s="2">
        <v>5.4888389393653633E-2</v>
      </c>
      <c r="P603" s="31">
        <v>1966.08333333531</v>
      </c>
      <c r="Q603" s="2">
        <v>0.33261604573583842</v>
      </c>
      <c r="R603" s="2">
        <v>7.1900000000000297E-2</v>
      </c>
      <c r="S603" s="2">
        <v>2.5215596257181585E-2</v>
      </c>
      <c r="U603" s="2">
        <f t="shared" si="86"/>
        <v>0.61613667736710831</v>
      </c>
      <c r="V603" s="2">
        <f t="shared" si="87"/>
        <v>8.5471666666666668E-2</v>
      </c>
      <c r="W603" s="2">
        <f t="shared" si="88"/>
        <v>4.648717665532786E-2</v>
      </c>
      <c r="Y603" s="31">
        <v>1966.08333333531</v>
      </c>
      <c r="Z603" s="2">
        <v>-0.63834669723565041</v>
      </c>
      <c r="AA603" s="2">
        <v>-0.18830136807447412</v>
      </c>
      <c r="AB603" s="2">
        <v>-0.36411746090972058</v>
      </c>
      <c r="AD603" s="31">
        <v>1966.08333333531</v>
      </c>
      <c r="AE603" s="2">
        <v>0.49362702418139504</v>
      </c>
      <c r="AF603" s="2">
        <v>6.6874490811640125E-2</v>
      </c>
      <c r="AG603" s="2">
        <v>-0.19763362607126983</v>
      </c>
      <c r="AH603" s="31"/>
      <c r="AI603" s="31">
        <v>1966.08333333531</v>
      </c>
      <c r="AJ603" s="2">
        <v>-2.1838638011868494</v>
      </c>
      <c r="AK603" s="2">
        <v>-0.61478205611361436</v>
      </c>
      <c r="AL603" s="2">
        <v>-1.5908406376993967</v>
      </c>
      <c r="AM603" s="31"/>
      <c r="AN603" s="2">
        <f t="shared" si="89"/>
        <v>-0.77619449141370156</v>
      </c>
      <c r="AO603" s="2">
        <f t="shared" si="82"/>
        <v>-0.24540297779214945</v>
      </c>
      <c r="AP603" s="2">
        <f t="shared" si="83"/>
        <v>-0.71753057489346228</v>
      </c>
      <c r="AQ603" s="31"/>
      <c r="AR603" s="31">
        <v>1966.08333333531</v>
      </c>
      <c r="AS603" s="2">
        <v>-0.12218617511509677</v>
      </c>
      <c r="AT603" s="2">
        <v>0.50956041230593874</v>
      </c>
      <c r="AU603" s="2">
        <v>0.44913755351495283</v>
      </c>
      <c r="AV603" s="31"/>
      <c r="AW603" s="31">
        <v>1966.08333333531</v>
      </c>
      <c r="AX603" s="2">
        <v>0.85273638688611664</v>
      </c>
      <c r="AY603" s="2">
        <v>0.56051139147476758</v>
      </c>
      <c r="AZ603" s="2">
        <v>0.11198647872810354</v>
      </c>
      <c r="BA603" s="31"/>
      <c r="BB603" s="31">
        <v>1966.08333333531</v>
      </c>
      <c r="BC603" s="2">
        <v>-1.6639714688912903</v>
      </c>
      <c r="BD603" s="2">
        <v>-0.95760573293009554</v>
      </c>
      <c r="BE603" s="2">
        <v>-1.4763136187338595</v>
      </c>
      <c r="BG603" s="2">
        <f t="shared" si="90"/>
        <v>-0.31114041904009015</v>
      </c>
      <c r="BH603" s="2">
        <f t="shared" si="84"/>
        <v>3.7488690283536928E-2</v>
      </c>
      <c r="BI603" s="2">
        <f t="shared" si="85"/>
        <v>-0.30506319549693434</v>
      </c>
    </row>
    <row r="604" spans="6:61" x14ac:dyDescent="0.3">
      <c r="F604" s="31">
        <v>1966.00000000198</v>
      </c>
      <c r="G604" s="2">
        <v>0.72745401960464762</v>
      </c>
      <c r="H604" s="2">
        <v>6.1499999999999902E-2</v>
      </c>
      <c r="I604" s="2">
        <v>4.473842220568576E-2</v>
      </c>
      <c r="K604" s="31">
        <v>1966.00000000198</v>
      </c>
      <c r="L604" s="2">
        <v>0.87209065161620314</v>
      </c>
      <c r="M604" s="2">
        <v>9.2264999999999903E-2</v>
      </c>
      <c r="N604" s="2">
        <v>5.3649926111322348E-2</v>
      </c>
      <c r="P604" s="31">
        <v>1966.00000000198</v>
      </c>
      <c r="Q604" s="2">
        <v>0.3352624325920851</v>
      </c>
      <c r="R604" s="2"/>
      <c r="S604" s="2"/>
      <c r="U604" s="2">
        <f t="shared" si="86"/>
        <v>0.64493570127097855</v>
      </c>
      <c r="V604" s="2">
        <f t="shared" si="87"/>
        <v>7.6882499999999909E-2</v>
      </c>
      <c r="W604" s="2">
        <f t="shared" si="88"/>
        <v>4.919417415850405E-2</v>
      </c>
      <c r="Y604" s="31">
        <v>1966.00000000198</v>
      </c>
      <c r="Z604" s="2">
        <v>-3.6075764515502248E-2</v>
      </c>
      <c r="AA604" s="2">
        <v>-0.78876452892998072</v>
      </c>
      <c r="AB604" s="2">
        <v>-0.70056543186215303</v>
      </c>
      <c r="AD604" s="31">
        <v>1966.00000000198</v>
      </c>
      <c r="AE604" s="2">
        <v>0.37387646464848784</v>
      </c>
      <c r="AF604" s="2">
        <v>6.6874490811640125E-2</v>
      </c>
      <c r="AG604" s="2">
        <v>-0.24472595760596239</v>
      </c>
      <c r="AH604" s="31"/>
      <c r="AI604" s="31">
        <v>1966.00000000198</v>
      </c>
      <c r="AJ604" s="2"/>
      <c r="AK604" s="2"/>
      <c r="AL604" s="2"/>
      <c r="AM604" s="31"/>
      <c r="AN604" s="2">
        <f t="shared" si="89"/>
        <v>0.16890035006649279</v>
      </c>
      <c r="AO604" s="2">
        <f t="shared" si="82"/>
        <v>-0.36094501905917031</v>
      </c>
      <c r="AP604" s="2">
        <f t="shared" si="83"/>
        <v>-0.47264569473405771</v>
      </c>
      <c r="AQ604" s="31"/>
      <c r="AR604" s="31">
        <v>1966.00000000198</v>
      </c>
      <c r="AS604" s="2">
        <v>0.305894334452677</v>
      </c>
      <c r="AT604" s="2">
        <v>-0.29853293598826319</v>
      </c>
      <c r="AU604" s="2">
        <v>3.2705281691295565E-2</v>
      </c>
      <c r="AV604" s="31"/>
      <c r="AW604" s="31">
        <v>1966.00000000198</v>
      </c>
      <c r="AX604" s="2">
        <v>0.52346756686732665</v>
      </c>
      <c r="AY604" s="2">
        <v>1.4890867686962104</v>
      </c>
      <c r="AZ604" s="2">
        <v>0.4365756200591423</v>
      </c>
      <c r="BA604" s="31"/>
      <c r="BB604" s="31">
        <v>1966.00000000198</v>
      </c>
      <c r="BC604" s="2"/>
      <c r="BD604" s="2"/>
      <c r="BE604" s="2"/>
      <c r="BG604" s="2">
        <f t="shared" si="90"/>
        <v>0.41468095066000182</v>
      </c>
      <c r="BH604" s="2">
        <f t="shared" si="84"/>
        <v>0.59527691635397362</v>
      </c>
      <c r="BI604" s="2">
        <f t="shared" si="85"/>
        <v>0.23464045087521893</v>
      </c>
    </row>
    <row r="605" spans="6:61" x14ac:dyDescent="0.3">
      <c r="F605" s="31">
        <v>1965.9166666686499</v>
      </c>
      <c r="G605" s="2">
        <v>0.68661235922407649</v>
      </c>
      <c r="H605" s="2">
        <v>9.2249999999999804E-2</v>
      </c>
      <c r="I605" s="2">
        <v>6.643125394974729E-2</v>
      </c>
      <c r="K605" s="31">
        <v>1965.9166666686499</v>
      </c>
      <c r="L605" s="2">
        <v>0.69774903372519725</v>
      </c>
      <c r="M605" s="2">
        <v>0.1229999999999998</v>
      </c>
      <c r="N605" s="2">
        <v>4.2911565574099558E-2</v>
      </c>
      <c r="P605" s="31">
        <v>1965.9166666686499</v>
      </c>
      <c r="Q605" s="2">
        <v>0.3443519625732433</v>
      </c>
      <c r="R605" s="2">
        <v>7.1900000000000297E-2</v>
      </c>
      <c r="S605" s="2">
        <v>2.5351075571827957E-2</v>
      </c>
      <c r="U605" s="2">
        <f t="shared" si="86"/>
        <v>0.57623778517417235</v>
      </c>
      <c r="V605" s="2">
        <f t="shared" si="87"/>
        <v>9.571666666666663E-2</v>
      </c>
      <c r="W605" s="2">
        <f t="shared" si="88"/>
        <v>4.4897965031891605E-2</v>
      </c>
      <c r="Y605" s="31">
        <v>1965.9166666686499</v>
      </c>
      <c r="Z605" s="2">
        <v>-0.2728788232457578</v>
      </c>
      <c r="AA605" s="2">
        <v>-0.18830136807447412</v>
      </c>
      <c r="AB605" s="2">
        <v>-0.20132141639710127</v>
      </c>
      <c r="AD605" s="31">
        <v>1965.9166666686499</v>
      </c>
      <c r="AE605" s="2">
        <v>-0.66358808267860636</v>
      </c>
      <c r="AF605" s="2">
        <v>0.81960385861957141</v>
      </c>
      <c r="AG605" s="2">
        <v>-0.65305008135877551</v>
      </c>
      <c r="AH605" s="31"/>
      <c r="AI605" s="31">
        <v>1965.9166666686499</v>
      </c>
      <c r="AJ605" s="2">
        <v>-2.166608498627983</v>
      </c>
      <c r="AK605" s="2">
        <v>-0.61478205611361436</v>
      </c>
      <c r="AL605" s="2">
        <v>-1.5798914887980187</v>
      </c>
      <c r="AM605" s="31"/>
      <c r="AN605" s="2">
        <f t="shared" si="89"/>
        <v>-1.0343584681841158</v>
      </c>
      <c r="AO605" s="2">
        <f t="shared" si="82"/>
        <v>5.5068114771609777E-3</v>
      </c>
      <c r="AP605" s="2">
        <f t="shared" si="83"/>
        <v>-0.81142099551796509</v>
      </c>
      <c r="AQ605" s="31"/>
      <c r="AR605" s="31">
        <v>1965.9166666686499</v>
      </c>
      <c r="AS605" s="2">
        <v>2.3905406257993086E-2</v>
      </c>
      <c r="AT605" s="2">
        <v>0.68444756444045307</v>
      </c>
      <c r="AU605" s="2">
        <v>0.70599509690329287</v>
      </c>
      <c r="AV605" s="31"/>
      <c r="AW605" s="31">
        <v>1965.9166666686499</v>
      </c>
      <c r="AX605" s="2">
        <v>-0.39788648069634247</v>
      </c>
      <c r="AY605" s="2">
        <v>2.6297950605231737</v>
      </c>
      <c r="AZ605" s="2">
        <v>-0.50079315990792339</v>
      </c>
      <c r="BA605" s="31"/>
      <c r="BB605" s="31">
        <v>1965.9166666686499</v>
      </c>
      <c r="BC605" s="2">
        <v>-2.167777504521315</v>
      </c>
      <c r="BD605" s="2">
        <v>-0.44318112469553572</v>
      </c>
      <c r="BE605" s="2">
        <v>-1.5128999082271666</v>
      </c>
      <c r="BG605" s="2">
        <f t="shared" si="90"/>
        <v>-0.8472528596532215</v>
      </c>
      <c r="BH605" s="2">
        <f t="shared" si="84"/>
        <v>0.95702050008936368</v>
      </c>
      <c r="BI605" s="2">
        <f t="shared" si="85"/>
        <v>-0.43589932374393237</v>
      </c>
    </row>
    <row r="606" spans="6:61" x14ac:dyDescent="0.3">
      <c r="F606" s="31">
        <v>1965.83333333532</v>
      </c>
      <c r="G606" s="2">
        <v>0.83433023879005597</v>
      </c>
      <c r="H606" s="2">
        <v>6.1499999999999902E-2</v>
      </c>
      <c r="I606" s="2">
        <v>5.1311309685588363E-2</v>
      </c>
      <c r="K606" s="31">
        <v>1965.83333333532</v>
      </c>
      <c r="L606" s="2">
        <v>0.9369296444267351</v>
      </c>
      <c r="M606" s="2">
        <v>9.2264999999999903E-2</v>
      </c>
      <c r="N606" s="2">
        <v>5.7636702364750582E-2</v>
      </c>
      <c r="P606" s="31">
        <v>1965.83333333532</v>
      </c>
      <c r="Q606" s="2">
        <v>0.30293454944956516</v>
      </c>
      <c r="R606" s="2"/>
      <c r="S606" s="2"/>
      <c r="U606" s="2">
        <f t="shared" si="86"/>
        <v>0.69139814422211876</v>
      </c>
      <c r="V606" s="2">
        <f t="shared" si="87"/>
        <v>7.6882499999999909E-2</v>
      </c>
      <c r="W606" s="2">
        <f t="shared" si="88"/>
        <v>5.4474006025169469E-2</v>
      </c>
      <c r="Y606" s="31">
        <v>1965.83333333532</v>
      </c>
      <c r="Z606" s="2">
        <v>0.58360069752837507</v>
      </c>
      <c r="AA606" s="2">
        <v>-0.78876452892998072</v>
      </c>
      <c r="AB606" s="2">
        <v>-0.54929542814007781</v>
      </c>
      <c r="AD606" s="31">
        <v>1965.83333333532</v>
      </c>
      <c r="AE606" s="2">
        <v>0.75971753426261557</v>
      </c>
      <c r="AF606" s="2">
        <v>6.6874490811640125E-2</v>
      </c>
      <c r="AG606" s="2">
        <v>-9.3129546344041594E-2</v>
      </c>
      <c r="AH606" s="31"/>
      <c r="AI606" s="31">
        <v>1965.83333333532</v>
      </c>
      <c r="AJ606" s="2"/>
      <c r="AK606" s="2"/>
      <c r="AL606" s="2"/>
      <c r="AM606" s="31"/>
      <c r="AN606" s="2">
        <f t="shared" si="89"/>
        <v>0.67165911589549532</v>
      </c>
      <c r="AO606" s="2">
        <f t="shared" si="82"/>
        <v>-0.36094501905917031</v>
      </c>
      <c r="AP606" s="2">
        <f t="shared" si="83"/>
        <v>-0.3212124872420597</v>
      </c>
      <c r="AQ606" s="31"/>
      <c r="AR606" s="31">
        <v>1965.83333333532</v>
      </c>
      <c r="AS606" s="2">
        <v>0.52731838043417412</v>
      </c>
      <c r="AT606" s="2">
        <v>-0.28549293171717766</v>
      </c>
      <c r="AU606" s="2">
        <v>0.20213115761795797</v>
      </c>
      <c r="AV606" s="31"/>
      <c r="AW606" s="31">
        <v>1965.83333333532</v>
      </c>
      <c r="AX606" s="2">
        <v>0.641700973093837</v>
      </c>
      <c r="AY606" s="2">
        <v>1.2550989263438468</v>
      </c>
      <c r="AZ606" s="2">
        <v>0.57020539526447489</v>
      </c>
      <c r="BA606" s="31"/>
      <c r="BB606" s="31">
        <v>1965.83333333532</v>
      </c>
      <c r="BC606" s="2"/>
      <c r="BD606" s="2"/>
      <c r="BE606" s="2"/>
      <c r="BG606" s="2">
        <f t="shared" si="90"/>
        <v>0.58450967676400556</v>
      </c>
      <c r="BH606" s="2">
        <f t="shared" si="84"/>
        <v>0.48480299731333454</v>
      </c>
      <c r="BI606" s="2">
        <f t="shared" si="85"/>
        <v>0.38616827644121643</v>
      </c>
    </row>
    <row r="607" spans="6:61" x14ac:dyDescent="0.3">
      <c r="F607" s="31">
        <v>1965.75000000199</v>
      </c>
      <c r="G607" s="2">
        <v>0.73662173996795355</v>
      </c>
      <c r="H607" s="2">
        <v>6.1499999999999846E-2</v>
      </c>
      <c r="I607" s="2">
        <v>4.5302237008029045E-2</v>
      </c>
      <c r="K607" s="31">
        <v>1965.75000000199</v>
      </c>
      <c r="L607" s="2">
        <v>1.0159792919887067</v>
      </c>
      <c r="M607" s="2">
        <v>9.2264999999999903E-2</v>
      </c>
      <c r="N607" s="2">
        <v>6.249834566494579E-2</v>
      </c>
      <c r="P607" s="31">
        <v>1965.75000000199</v>
      </c>
      <c r="Q607" s="2">
        <v>0.34559711598383658</v>
      </c>
      <c r="R607" s="2">
        <v>4.7900000000000303E-2</v>
      </c>
      <c r="S607" s="2">
        <v>1.4037425308473333E-2</v>
      </c>
      <c r="U607" s="2">
        <f t="shared" si="86"/>
        <v>0.69939938264683221</v>
      </c>
      <c r="V607" s="2">
        <f t="shared" si="87"/>
        <v>6.722166666666668E-2</v>
      </c>
      <c r="W607" s="2">
        <f t="shared" si="88"/>
        <v>4.0612669327149388E-2</v>
      </c>
      <c r="Y607" s="31">
        <v>1965.75000000199</v>
      </c>
      <c r="Z607" s="2">
        <v>1.7079376665957609E-2</v>
      </c>
      <c r="AA607" s="2">
        <v>-0.78876452892998183</v>
      </c>
      <c r="AB607" s="2">
        <v>-0.68758966322016601</v>
      </c>
      <c r="AD607" s="31">
        <v>1965.75000000199</v>
      </c>
      <c r="AE607" s="2">
        <v>1.2301227525709522</v>
      </c>
      <c r="AF607" s="2">
        <v>6.6874490811640125E-2</v>
      </c>
      <c r="AG607" s="2">
        <v>9.1733518522315219E-2</v>
      </c>
      <c r="AH607" s="31"/>
      <c r="AI607" s="31">
        <v>1965.75000000199</v>
      </c>
      <c r="AJ607" s="2">
        <v>-2.441802318236276</v>
      </c>
      <c r="AK607" s="2">
        <v>-1.186702766808877</v>
      </c>
      <c r="AL607" s="2">
        <v>-2.4942365434281029</v>
      </c>
      <c r="AM607" s="31"/>
      <c r="AN607" s="2">
        <f t="shared" si="89"/>
        <v>-0.39820006299978877</v>
      </c>
      <c r="AO607" s="2">
        <f t="shared" si="82"/>
        <v>-0.63619760164240624</v>
      </c>
      <c r="AP607" s="2">
        <f t="shared" si="83"/>
        <v>-1.0300308960419844</v>
      </c>
      <c r="AQ607" s="31"/>
      <c r="AR607" s="31">
        <v>1965.75000000199</v>
      </c>
      <c r="AS607" s="2">
        <v>-5.8869109858773201E-2</v>
      </c>
      <c r="AT607" s="2">
        <v>-0.6766476141944503</v>
      </c>
      <c r="AU607" s="2">
        <v>-0.54847620407313014</v>
      </c>
      <c r="AV607" s="31"/>
      <c r="AW607" s="31">
        <v>1965.75000000199</v>
      </c>
      <c r="AX607" s="2">
        <v>1.4617320954229873</v>
      </c>
      <c r="AY607" s="2">
        <v>0.96231815385189867</v>
      </c>
      <c r="AZ607" s="2">
        <v>0.65093461547439513</v>
      </c>
      <c r="BA607" s="31"/>
      <c r="BB607" s="31">
        <v>1965.75000000199</v>
      </c>
      <c r="BC607" s="2">
        <v>-2.4829952341168631</v>
      </c>
      <c r="BD607" s="2">
        <v>-1.5545483300824114</v>
      </c>
      <c r="BE607" s="2">
        <v>-2.5640786206122188</v>
      </c>
      <c r="BG607" s="2">
        <f t="shared" si="90"/>
        <v>-0.36004408285088302</v>
      </c>
      <c r="BH607" s="2">
        <f t="shared" si="84"/>
        <v>-0.42295926347498769</v>
      </c>
      <c r="BI607" s="2">
        <f t="shared" si="85"/>
        <v>-0.82054006973698457</v>
      </c>
    </row>
    <row r="608" spans="6:61" x14ac:dyDescent="0.3">
      <c r="F608" s="31">
        <v>1965.6666666686599</v>
      </c>
      <c r="G608" s="2">
        <v>0.83583832648089063</v>
      </c>
      <c r="H608" s="2">
        <v>0.1229999999999998</v>
      </c>
      <c r="I608" s="2">
        <v>0.10280811415714938</v>
      </c>
      <c r="K608" s="31">
        <v>1965.6666666686599</v>
      </c>
      <c r="L608" s="2">
        <v>1.0445028231412785</v>
      </c>
      <c r="M608" s="2">
        <v>0.1229999999999998</v>
      </c>
      <c r="N608" s="2">
        <v>6.423692362318853E-2</v>
      </c>
      <c r="P608" s="31">
        <v>1965.6666666686599</v>
      </c>
      <c r="Q608" s="2">
        <v>0.32845600436620814</v>
      </c>
      <c r="R608" s="2">
        <v>9.5900000000000304E-2</v>
      </c>
      <c r="S608" s="2">
        <v>3.7942550115022421E-2</v>
      </c>
      <c r="U608" s="2">
        <f t="shared" si="86"/>
        <v>0.73626571799612572</v>
      </c>
      <c r="V608" s="2">
        <f t="shared" si="87"/>
        <v>0.11396666666666662</v>
      </c>
      <c r="W608" s="2">
        <f t="shared" si="88"/>
        <v>6.8329195965120118E-2</v>
      </c>
      <c r="Y608" s="31">
        <v>1965.6666666686599</v>
      </c>
      <c r="Z608" s="2">
        <v>0.59234470486537805</v>
      </c>
      <c r="AA608" s="2">
        <v>0.41216179278103438</v>
      </c>
      <c r="AB608" s="2">
        <v>0.63586434036450179</v>
      </c>
      <c r="AD608" s="31">
        <v>1965.6666666686599</v>
      </c>
      <c r="AE608" s="2">
        <v>1.3998593461241533</v>
      </c>
      <c r="AF608" s="2">
        <v>0.81960385861957141</v>
      </c>
      <c r="AG608" s="2">
        <v>0.15784261580161188</v>
      </c>
      <c r="AH608" s="31"/>
      <c r="AI608" s="31">
        <v>1965.6666666686599</v>
      </c>
      <c r="AJ608" s="2">
        <v>-1.7728812986315952</v>
      </c>
      <c r="AK608" s="2">
        <v>-4.286134541835146E-2</v>
      </c>
      <c r="AL608" s="2">
        <v>-0.56227540459207692</v>
      </c>
      <c r="AM608" s="31"/>
      <c r="AN608" s="2">
        <f t="shared" si="89"/>
        <v>7.3107584119312063E-2</v>
      </c>
      <c r="AO608" s="2">
        <f t="shared" si="82"/>
        <v>0.39630143532741813</v>
      </c>
      <c r="AP608" s="2">
        <f t="shared" si="83"/>
        <v>7.7143850524678911E-2</v>
      </c>
      <c r="AQ608" s="31"/>
      <c r="AR608" s="31">
        <v>1965.6666666686599</v>
      </c>
      <c r="AS608" s="2">
        <v>0.18000099916867834</v>
      </c>
      <c r="AT608" s="2">
        <v>1.7403378618943977</v>
      </c>
      <c r="AU608" s="2">
        <v>1.8475678022432158</v>
      </c>
      <c r="AV608" s="31"/>
      <c r="AW608" s="31">
        <v>1965.6666666686599</v>
      </c>
      <c r="AX608" s="2">
        <v>0.78328709116219064</v>
      </c>
      <c r="AY608" s="2">
        <v>2.4625231140590418</v>
      </c>
      <c r="AZ608" s="2">
        <v>0.76721931068678073</v>
      </c>
      <c r="BA608" s="31"/>
      <c r="BB608" s="31">
        <v>1965.6666666686599</v>
      </c>
      <c r="BC608" s="2">
        <v>-1.8340786344249342</v>
      </c>
      <c r="BD608" s="2">
        <v>1.0305292458509261</v>
      </c>
      <c r="BE608" s="2">
        <v>-0.48893105774080303</v>
      </c>
      <c r="BG608" s="2">
        <f t="shared" si="90"/>
        <v>-0.2902635146980217</v>
      </c>
      <c r="BH608" s="2">
        <f t="shared" si="84"/>
        <v>1.744463407268122</v>
      </c>
      <c r="BI608" s="2">
        <f t="shared" si="85"/>
        <v>0.70861868506306447</v>
      </c>
    </row>
    <row r="609" spans="6:61" x14ac:dyDescent="0.3">
      <c r="F609" s="31">
        <v>1965.5833333353301</v>
      </c>
      <c r="G609" s="2">
        <v>0.76964264820067885</v>
      </c>
      <c r="H609" s="2">
        <v>6.1499999999999846E-2</v>
      </c>
      <c r="I609" s="2">
        <v>4.7333022864341642E-2</v>
      </c>
      <c r="K609" s="31">
        <v>1965.5833333353301</v>
      </c>
      <c r="L609" s="2">
        <v>1.0764522665015388</v>
      </c>
      <c r="M609" s="2">
        <v>9.2264999999999903E-2</v>
      </c>
      <c r="N609" s="2">
        <v>6.621770441106295E-2</v>
      </c>
      <c r="P609" s="31">
        <v>1965.5833333353301</v>
      </c>
      <c r="Q609" s="2">
        <v>0.31871658297675876</v>
      </c>
      <c r="R609" s="2">
        <v>4.7900000000000303E-2</v>
      </c>
      <c r="S609" s="2">
        <v>1.4510564918634263E-2</v>
      </c>
      <c r="U609" s="2">
        <f t="shared" si="86"/>
        <v>0.72160383255965888</v>
      </c>
      <c r="V609" s="2">
        <f t="shared" si="87"/>
        <v>6.722166666666668E-2</v>
      </c>
      <c r="W609" s="2">
        <f t="shared" si="88"/>
        <v>4.2687097398012942E-2</v>
      </c>
      <c r="Y609" s="31">
        <v>1965.5833333353301</v>
      </c>
      <c r="Z609" s="2">
        <v>0.20853711855737772</v>
      </c>
      <c r="AA609" s="2">
        <v>-0.78876452892998183</v>
      </c>
      <c r="AB609" s="2">
        <v>-0.64085267206027829</v>
      </c>
      <c r="AD609" s="31">
        <v>1965.5833333353301</v>
      </c>
      <c r="AE609" s="2">
        <v>1.5899827096335331</v>
      </c>
      <c r="AF609" s="2">
        <v>6.6874490811640125E-2</v>
      </c>
      <c r="AG609" s="2">
        <v>0.23316142976317081</v>
      </c>
      <c r="AH609" s="31"/>
      <c r="AI609" s="31">
        <v>1965.5833333353301</v>
      </c>
      <c r="AJ609" s="2">
        <v>-2.3773968054830936</v>
      </c>
      <c r="AK609" s="2">
        <v>-1.186702766808877</v>
      </c>
      <c r="AL609" s="2">
        <v>-2.4559984104975219</v>
      </c>
      <c r="AM609" s="31"/>
      <c r="AN609" s="2">
        <f t="shared" si="89"/>
        <v>-0.19295899243072764</v>
      </c>
      <c r="AO609" s="2">
        <f t="shared" si="82"/>
        <v>-0.63619760164240624</v>
      </c>
      <c r="AP609" s="2">
        <f t="shared" si="83"/>
        <v>-0.95456321759820983</v>
      </c>
      <c r="AQ609" s="31"/>
      <c r="AR609" s="31">
        <v>1965.5833333353301</v>
      </c>
      <c r="AS609" s="2">
        <v>-0.28034500024976261</v>
      </c>
      <c r="AT609" s="2">
        <v>-0.65870957567408583</v>
      </c>
      <c r="AU609" s="2">
        <v>-0.60432285684410858</v>
      </c>
      <c r="AV609" s="31"/>
      <c r="AW609" s="31">
        <v>1965.5833333353301</v>
      </c>
      <c r="AX609" s="2">
        <v>1.5360906798745713</v>
      </c>
      <c r="AY609" s="2">
        <v>1.4455061964040326</v>
      </c>
      <c r="AZ609" s="2">
        <v>1.1792847937004729</v>
      </c>
      <c r="BA609" s="31"/>
      <c r="BB609" s="31">
        <v>1965.5833333353301</v>
      </c>
      <c r="BC609" s="2">
        <v>-2.7135561224086771</v>
      </c>
      <c r="BD609" s="2">
        <v>-1.8093824011735564</v>
      </c>
      <c r="BE609" s="2">
        <v>-2.8290698269803292</v>
      </c>
      <c r="BG609" s="2">
        <f t="shared" si="90"/>
        <v>-0.48593681426128948</v>
      </c>
      <c r="BH609" s="2">
        <f t="shared" si="84"/>
        <v>-0.34086192681453653</v>
      </c>
      <c r="BI609" s="2">
        <f t="shared" si="85"/>
        <v>-0.75136929670798835</v>
      </c>
    </row>
    <row r="610" spans="6:61" x14ac:dyDescent="0.3">
      <c r="F610" s="31">
        <v>1965.500000002</v>
      </c>
      <c r="G610" s="2">
        <v>0.88561736887742493</v>
      </c>
      <c r="H610" s="2">
        <v>6.1499999999999902E-2</v>
      </c>
      <c r="I610" s="2">
        <v>5.4465468185961548E-2</v>
      </c>
      <c r="K610" s="31">
        <v>1965.500000002</v>
      </c>
      <c r="L610" s="2">
        <v>1.1619071964030954</v>
      </c>
      <c r="M610" s="2">
        <v>0.1229999999999998</v>
      </c>
      <c r="N610" s="2">
        <v>7.1457292578790244E-2</v>
      </c>
      <c r="P610" s="31">
        <v>1965.500000002</v>
      </c>
      <c r="Q610" s="2">
        <v>0.30169803610673718</v>
      </c>
      <c r="R610" s="2"/>
      <c r="S610" s="2"/>
      <c r="U610" s="2">
        <f t="shared" si="86"/>
        <v>0.78307420046241916</v>
      </c>
      <c r="V610" s="2">
        <f t="shared" si="87"/>
        <v>9.224999999999986E-2</v>
      </c>
      <c r="W610" s="2">
        <f t="shared" si="88"/>
        <v>6.2961380382375892E-2</v>
      </c>
      <c r="Y610" s="31">
        <v>1965.500000002</v>
      </c>
      <c r="Z610" s="2">
        <v>0.88096738548905806</v>
      </c>
      <c r="AA610" s="2">
        <v>-0.78876452892998072</v>
      </c>
      <c r="AB610" s="2">
        <v>-0.4767048704056957</v>
      </c>
      <c r="AD610" s="31">
        <v>1965.500000002</v>
      </c>
      <c r="AE610" s="2">
        <v>2.0985042046136519</v>
      </c>
      <c r="AF610" s="2">
        <v>0.81960385861957141</v>
      </c>
      <c r="AG610" s="2">
        <v>0.43239577657028316</v>
      </c>
      <c r="AH610" s="31"/>
      <c r="AI610" s="31">
        <v>1965.500000002</v>
      </c>
      <c r="AJ610" s="2"/>
      <c r="AK610" s="2"/>
      <c r="AL610" s="2"/>
      <c r="AM610" s="31"/>
      <c r="AN610" s="2">
        <f t="shared" si="89"/>
        <v>1.489735795051355</v>
      </c>
      <c r="AO610" s="2">
        <f t="shared" si="82"/>
        <v>1.5419664844795344E-2</v>
      </c>
      <c r="AP610" s="2">
        <f t="shared" si="83"/>
        <v>-2.2154546917706269E-2</v>
      </c>
      <c r="AQ610" s="31"/>
      <c r="AR610" s="31">
        <v>1965.500000002</v>
      </c>
      <c r="AS610" s="2">
        <v>0.12186748562012158</v>
      </c>
      <c r="AT610" s="2">
        <v>-2.313009814913013E-2</v>
      </c>
      <c r="AU610" s="2">
        <v>9.0059269665355934E-2</v>
      </c>
      <c r="AV610" s="31"/>
      <c r="AW610" s="31">
        <v>1965.500000002</v>
      </c>
      <c r="AX610" s="2">
        <v>0.62238179467886279</v>
      </c>
      <c r="AY610" s="2">
        <v>1.9426111273206557</v>
      </c>
      <c r="AZ610" s="2">
        <v>0.62202083599365021</v>
      </c>
      <c r="BA610" s="31"/>
      <c r="BB610" s="31">
        <v>1965.500000002</v>
      </c>
      <c r="BC610" s="2"/>
      <c r="BD610" s="2"/>
      <c r="BE610" s="2"/>
      <c r="BG610" s="2">
        <f t="shared" si="90"/>
        <v>0.3721246401494922</v>
      </c>
      <c r="BH610" s="2">
        <f t="shared" si="84"/>
        <v>0.95974051458576282</v>
      </c>
      <c r="BI610" s="2">
        <f t="shared" si="85"/>
        <v>0.35604005282950307</v>
      </c>
    </row>
    <row r="611" spans="6:61" x14ac:dyDescent="0.3">
      <c r="F611" s="31">
        <v>1965.4166666686699</v>
      </c>
      <c r="G611" s="2">
        <v>0.74712175954250215</v>
      </c>
      <c r="H611" s="2">
        <v>0.15374999999999961</v>
      </c>
      <c r="I611" s="2">
        <v>0.11288690291335393</v>
      </c>
      <c r="K611" s="31">
        <v>1965.4166666686699</v>
      </c>
      <c r="L611" s="2">
        <v>1.1157657607589484</v>
      </c>
      <c r="M611" s="2">
        <v>0.24604499999999974</v>
      </c>
      <c r="N611" s="2">
        <v>0.13528537221924078</v>
      </c>
      <c r="P611" s="31">
        <v>1965.4166666686699</v>
      </c>
      <c r="Q611" s="2">
        <v>0.27224777033942044</v>
      </c>
      <c r="R611" s="2">
        <v>0.21570000000000089</v>
      </c>
      <c r="S611" s="2">
        <v>2.5362608811396788E-2</v>
      </c>
      <c r="U611" s="2">
        <f t="shared" si="86"/>
        <v>0.71171176354695698</v>
      </c>
      <c r="V611" s="2">
        <f t="shared" si="87"/>
        <v>0.20516500000000007</v>
      </c>
      <c r="W611" s="2">
        <f t="shared" si="88"/>
        <v>9.1178294647997163E-2</v>
      </c>
      <c r="Y611" s="31">
        <v>1965.4166666686699</v>
      </c>
      <c r="Z611" s="2">
        <v>7.7959290185915603E-2</v>
      </c>
      <c r="AA611" s="2">
        <v>1.012624953636539</v>
      </c>
      <c r="AB611" s="2">
        <v>0.86781999415087463</v>
      </c>
      <c r="AD611" s="31">
        <v>1965.4166666686699</v>
      </c>
      <c r="AE611" s="2">
        <v>1.8239277482135259</v>
      </c>
      <c r="AF611" s="2">
        <v>3.8330928796681198</v>
      </c>
      <c r="AG611" s="2">
        <v>2.8594464049851274</v>
      </c>
      <c r="AH611" s="31"/>
      <c r="AI611" s="31">
        <v>1965.4166666686699</v>
      </c>
      <c r="AJ611" s="2">
        <v>-2.1364782100293773</v>
      </c>
      <c r="AK611" s="2">
        <v>2.8119762021355155</v>
      </c>
      <c r="AL611" s="2">
        <v>-1.5789593970046403</v>
      </c>
      <c r="AM611" s="31"/>
      <c r="AN611" s="2">
        <f t="shared" si="89"/>
        <v>-7.8197057209978618E-2</v>
      </c>
      <c r="AO611" s="2">
        <f t="shared" si="82"/>
        <v>2.5525646784800582</v>
      </c>
      <c r="AP611" s="2">
        <f t="shared" si="83"/>
        <v>0.7161023340437872</v>
      </c>
      <c r="AQ611" s="31"/>
      <c r="AR611" s="31">
        <v>1965.4166666686699</v>
      </c>
      <c r="AS611" s="2">
        <v>-0.51546272692873685</v>
      </c>
      <c r="AT611" s="2">
        <v>-0.3587827526842341</v>
      </c>
      <c r="AU611" s="2">
        <v>-0.61716053501355372</v>
      </c>
      <c r="AV611" s="31"/>
      <c r="AW611" s="31">
        <v>1965.4166666686699</v>
      </c>
      <c r="AX611" s="2">
        <v>1.4092210731180292</v>
      </c>
      <c r="AY611" s="2">
        <v>2.1499491380968752</v>
      </c>
      <c r="AZ611" s="2">
        <v>1.3176588680324559</v>
      </c>
      <c r="BA611" s="31"/>
      <c r="BB611" s="31">
        <v>1965.4166666686699</v>
      </c>
      <c r="BC611" s="2">
        <v>-2.9784223100724043</v>
      </c>
      <c r="BD611" s="2">
        <v>1.338417618525729</v>
      </c>
      <c r="BE611" s="2">
        <v>-2.67073981609862</v>
      </c>
      <c r="BG611" s="2">
        <f t="shared" si="90"/>
        <v>-0.69488798796103735</v>
      </c>
      <c r="BH611" s="2">
        <f t="shared" si="84"/>
        <v>1.0431946679794566</v>
      </c>
      <c r="BI611" s="2">
        <f t="shared" si="85"/>
        <v>-0.6567471610265726</v>
      </c>
    </row>
    <row r="612" spans="6:61" x14ac:dyDescent="0.3">
      <c r="F612" s="31">
        <v>1965.3333333353401</v>
      </c>
      <c r="G612" s="2">
        <v>0.66536642016602299</v>
      </c>
      <c r="H612" s="2">
        <v>9.2249999999999749E-2</v>
      </c>
      <c r="I612" s="2">
        <v>5.9896472230833886E-2</v>
      </c>
      <c r="K612" s="31">
        <v>1965.3333333353401</v>
      </c>
      <c r="L612" s="2">
        <v>0.96610264231078069</v>
      </c>
      <c r="M612" s="2">
        <v>0.21529499999999979</v>
      </c>
      <c r="N612" s="2">
        <v>0.12210962534069447</v>
      </c>
      <c r="P612" s="31">
        <v>1965.3333333353401</v>
      </c>
      <c r="Q612" s="2">
        <v>0.23564775894735152</v>
      </c>
      <c r="R612" s="2">
        <v>0.14380000000000059</v>
      </c>
      <c r="S612" s="2">
        <v>2.3526519393414377E-2</v>
      </c>
      <c r="U612" s="2">
        <f t="shared" si="86"/>
        <v>0.62237227380805171</v>
      </c>
      <c r="V612" s="2">
        <f t="shared" si="87"/>
        <v>0.15044833333333338</v>
      </c>
      <c r="W612" s="2">
        <f t="shared" si="88"/>
        <v>6.8510872321647584E-2</v>
      </c>
      <c r="Y612" s="31">
        <v>1965.3333333353401</v>
      </c>
      <c r="Z612" s="2">
        <v>-0.39606439669362448</v>
      </c>
      <c r="AA612" s="2">
        <v>-0.1883013680744752</v>
      </c>
      <c r="AB612" s="2">
        <v>-0.3517144450265261</v>
      </c>
      <c r="AD612" s="31">
        <v>1965.3333333353401</v>
      </c>
      <c r="AE612" s="2">
        <v>0.93331894630679635</v>
      </c>
      <c r="AF612" s="2">
        <v>3.0799961476006423</v>
      </c>
      <c r="AG612" s="2">
        <v>2.3584411276597415</v>
      </c>
      <c r="AH612" s="31"/>
      <c r="AI612" s="31">
        <v>1965.3333333353401</v>
      </c>
      <c r="AJ612" s="2">
        <v>-2.3299760455392322</v>
      </c>
      <c r="AK612" s="2">
        <v>1.0985970730109507</v>
      </c>
      <c r="AL612" s="2">
        <v>-1.7273482229018498</v>
      </c>
      <c r="AM612" s="31"/>
      <c r="AN612" s="2">
        <f t="shared" si="89"/>
        <v>-0.59757383197535352</v>
      </c>
      <c r="AO612" s="2">
        <f t="shared" si="82"/>
        <v>1.3300972841790393</v>
      </c>
      <c r="AP612" s="2">
        <f t="shared" si="83"/>
        <v>9.3126153243788534E-2</v>
      </c>
      <c r="AQ612" s="31"/>
      <c r="AR612" s="31">
        <v>1965.3333333353401</v>
      </c>
      <c r="AS612" s="2">
        <v>-0.58822776371374452</v>
      </c>
      <c r="AT612" s="2">
        <v>-1.2318355951367148</v>
      </c>
      <c r="AU612" s="2">
        <v>-1.3111871453168711</v>
      </c>
      <c r="AV612" s="31"/>
      <c r="AW612" s="31">
        <v>1965.3333333353401</v>
      </c>
      <c r="AX612" s="2">
        <v>0.73789626798066421</v>
      </c>
      <c r="AY612" s="2">
        <v>2.06230485587938</v>
      </c>
      <c r="AZ612" s="2">
        <v>1.3322486821278472</v>
      </c>
      <c r="BA612" s="31"/>
      <c r="BB612" s="31">
        <v>1965.3333333353401</v>
      </c>
      <c r="BC612" s="2">
        <v>-2.9199410568580091</v>
      </c>
      <c r="BD612" s="2">
        <v>0.38139101458033026</v>
      </c>
      <c r="BE612" s="2">
        <v>-2.3535975700974587</v>
      </c>
      <c r="BG612" s="2">
        <f t="shared" si="90"/>
        <v>-0.92342418419702987</v>
      </c>
      <c r="BH612" s="2">
        <f t="shared" si="84"/>
        <v>0.40395342510766508</v>
      </c>
      <c r="BI612" s="2">
        <f t="shared" si="85"/>
        <v>-0.77751201109549417</v>
      </c>
    </row>
    <row r="613" spans="6:61" x14ac:dyDescent="0.3">
      <c r="F613" s="31">
        <v>1965.25000000201</v>
      </c>
      <c r="G613" s="2">
        <v>0.59176165469129494</v>
      </c>
      <c r="H613" s="2">
        <v>0.15374999999999961</v>
      </c>
      <c r="I613" s="2">
        <v>8.9565212532264515E-2</v>
      </c>
      <c r="K613" s="31">
        <v>1965.25000000201</v>
      </c>
      <c r="L613" s="2">
        <v>0.95125382557098159</v>
      </c>
      <c r="M613" s="2">
        <v>0.21529499999999979</v>
      </c>
      <c r="N613" s="2">
        <v>0.12080917263819177</v>
      </c>
      <c r="P613" s="31">
        <v>1965.25000000201</v>
      </c>
      <c r="Q613" s="2">
        <v>0.20533316441588895</v>
      </c>
      <c r="R613" s="2">
        <v>0.14380000000000059</v>
      </c>
      <c r="S613" s="2">
        <v>1.911803943812352E-2</v>
      </c>
      <c r="U613" s="2">
        <f t="shared" si="86"/>
        <v>0.58278288155938851</v>
      </c>
      <c r="V613" s="2">
        <f t="shared" si="87"/>
        <v>0.17094833333333334</v>
      </c>
      <c r="W613" s="2">
        <f t="shared" si="88"/>
        <v>7.6497474869526599E-2</v>
      </c>
      <c r="Y613" s="31">
        <v>1965.25000000201</v>
      </c>
      <c r="Z613" s="2">
        <v>-0.82283043507511722</v>
      </c>
      <c r="AA613" s="2">
        <v>1.012624953636539</v>
      </c>
      <c r="AB613" s="2">
        <v>0.33108903663191835</v>
      </c>
      <c r="AD613" s="31">
        <v>1965.25000000201</v>
      </c>
      <c r="AE613" s="2">
        <v>0.84495725089721518</v>
      </c>
      <c r="AF613" s="2">
        <v>3.0799961476006423</v>
      </c>
      <c r="AG613" s="2">
        <v>2.3089916601743887</v>
      </c>
      <c r="AH613" s="31"/>
      <c r="AI613" s="31">
        <v>1965.25000000201</v>
      </c>
      <c r="AJ613" s="2">
        <v>-2.6968065664639744</v>
      </c>
      <c r="AK613" s="2">
        <v>1.0985970730109507</v>
      </c>
      <c r="AL613" s="2">
        <v>-2.0836321588311941</v>
      </c>
      <c r="AM613" s="31"/>
      <c r="AN613" s="2">
        <f t="shared" si="89"/>
        <v>-0.89155991688062552</v>
      </c>
      <c r="AO613" s="2">
        <f t="shared" si="82"/>
        <v>1.7304060580827108</v>
      </c>
      <c r="AP613" s="2">
        <f t="shared" si="83"/>
        <v>0.18548284599170431</v>
      </c>
      <c r="AQ613" s="31"/>
      <c r="AR613" s="31">
        <v>1965.25000000201</v>
      </c>
      <c r="AS613" s="2">
        <v>-0.81748564438553017</v>
      </c>
      <c r="AT613" s="2">
        <v>-6.2988546229769724E-2</v>
      </c>
      <c r="AU613" s="2">
        <v>-0.54191853019326941</v>
      </c>
      <c r="AV613" s="31"/>
      <c r="AW613" s="31">
        <v>1965.25000000201</v>
      </c>
      <c r="AX613" s="2">
        <v>0.91454410391071561</v>
      </c>
      <c r="AY613" s="2">
        <v>1.9389958680933654</v>
      </c>
      <c r="AZ613" s="2">
        <v>1.123176492234186</v>
      </c>
      <c r="BA613" s="31"/>
      <c r="BB613" s="31">
        <v>1965.25000000201</v>
      </c>
      <c r="BC613" s="2">
        <v>-2.7606693457663507</v>
      </c>
      <c r="BD613" s="2">
        <v>3.3388824798885192E-2</v>
      </c>
      <c r="BE613" s="2">
        <v>-2.4859616599214394</v>
      </c>
      <c r="BG613" s="2">
        <f t="shared" si="90"/>
        <v>-0.88787029541372176</v>
      </c>
      <c r="BH613" s="2">
        <f t="shared" si="84"/>
        <v>0.63646538222082694</v>
      </c>
      <c r="BI613" s="2">
        <f t="shared" si="85"/>
        <v>-0.63490123262684095</v>
      </c>
    </row>
    <row r="614" spans="6:61" x14ac:dyDescent="0.3">
      <c r="F614" s="31">
        <v>1965.1666666686799</v>
      </c>
      <c r="G614" s="2">
        <v>0.51044907733507761</v>
      </c>
      <c r="H614" s="2">
        <v>9.2249999999999749E-2</v>
      </c>
      <c r="I614" s="2">
        <v>4.5093311720393374E-2</v>
      </c>
      <c r="K614" s="31">
        <v>1965.1666666686799</v>
      </c>
      <c r="L614" s="2">
        <v>0.97592599963046001</v>
      </c>
      <c r="M614" s="2">
        <v>0.18452999999999981</v>
      </c>
      <c r="N614" s="2">
        <v>9.2146639752529153E-2</v>
      </c>
      <c r="P614" s="31">
        <v>1965.1666666686799</v>
      </c>
      <c r="Q614" s="2">
        <v>0.1878606028791262</v>
      </c>
      <c r="R614" s="2">
        <v>0.14380000000000059</v>
      </c>
      <c r="S614" s="2">
        <v>1.4323878681288838E-2</v>
      </c>
      <c r="U614" s="2">
        <f t="shared" si="86"/>
        <v>0.55807855994822131</v>
      </c>
      <c r="V614" s="2">
        <f t="shared" si="87"/>
        <v>0.14019333333333339</v>
      </c>
      <c r="W614" s="2">
        <f t="shared" si="88"/>
        <v>5.0521276718070461E-2</v>
      </c>
      <c r="Y614" s="31">
        <v>1965.1666666686799</v>
      </c>
      <c r="Z614" s="2">
        <v>-1.2942869540258659</v>
      </c>
      <c r="AA614" s="2">
        <v>-0.1883013680744752</v>
      </c>
      <c r="AB614" s="2">
        <v>-0.69239791973374798</v>
      </c>
      <c r="AD614" s="31">
        <v>1965.1666666686799</v>
      </c>
      <c r="AE614" s="2">
        <v>0.99177535550029605</v>
      </c>
      <c r="AF614" s="2">
        <v>2.3265320512736194</v>
      </c>
      <c r="AG614" s="2">
        <v>1.2191042807643075</v>
      </c>
      <c r="AH614" s="31"/>
      <c r="AI614" s="31">
        <v>1965.1666666686799</v>
      </c>
      <c r="AJ614" s="2">
        <v>-3.0707529535031539</v>
      </c>
      <c r="AK614" s="2">
        <v>1.0985970730109507</v>
      </c>
      <c r="AL614" s="2">
        <v>-2.4710859935419776</v>
      </c>
      <c r="AM614" s="31"/>
      <c r="AN614" s="2">
        <f t="shared" si="89"/>
        <v>-1.124421517342908</v>
      </c>
      <c r="AO614" s="2">
        <f t="shared" si="82"/>
        <v>1.078942585403365</v>
      </c>
      <c r="AP614" s="2">
        <f t="shared" si="83"/>
        <v>-0.64812654417047266</v>
      </c>
      <c r="AQ614" s="31"/>
      <c r="AR614" s="31">
        <v>1965.1666666686799</v>
      </c>
      <c r="AS614" s="2">
        <v>-1.0367724101139004</v>
      </c>
      <c r="AT614" s="2">
        <v>-1.1019061349826649</v>
      </c>
      <c r="AU614" s="2">
        <v>-1.3672046444087433</v>
      </c>
      <c r="AV614" s="31"/>
      <c r="AW614" s="31">
        <v>1965.1666666686799</v>
      </c>
      <c r="AX614" s="2">
        <v>1.1516287513763499</v>
      </c>
      <c r="AY614" s="2">
        <v>1.5373719806273691</v>
      </c>
      <c r="AZ614" s="2">
        <v>0.7979043062956962</v>
      </c>
      <c r="BA614" s="31"/>
      <c r="BB614" s="31">
        <v>1965.1666666686799</v>
      </c>
      <c r="BC614" s="2">
        <v>-2.7452690082557649</v>
      </c>
      <c r="BD614" s="2">
        <v>0.96705514117611213</v>
      </c>
      <c r="BE614" s="2">
        <v>-2.331618241497186</v>
      </c>
      <c r="BG614" s="2">
        <f t="shared" si="90"/>
        <v>-0.87680422233110511</v>
      </c>
      <c r="BH614" s="2">
        <f t="shared" si="84"/>
        <v>0.46750699560693881</v>
      </c>
      <c r="BI614" s="2">
        <f t="shared" si="85"/>
        <v>-0.96697285987007764</v>
      </c>
    </row>
    <row r="615" spans="6:61" x14ac:dyDescent="0.3">
      <c r="F615" s="31">
        <v>1965.0833333353501</v>
      </c>
      <c r="G615" s="2">
        <v>0.49963802833841275</v>
      </c>
      <c r="H615" s="2">
        <v>9.2249999999999749E-2</v>
      </c>
      <c r="I615" s="2">
        <v>4.3855311921963819E-2</v>
      </c>
      <c r="K615" s="31">
        <v>1965.0833333353501</v>
      </c>
      <c r="L615" s="2">
        <v>0.95794088375627173</v>
      </c>
      <c r="M615" s="2">
        <v>6.1514999999999952E-2</v>
      </c>
      <c r="N615" s="2">
        <v>5.892907860999716E-2</v>
      </c>
      <c r="P615" s="31">
        <v>1965.0833333353501</v>
      </c>
      <c r="Q615" s="2">
        <v>0.21745192964383497</v>
      </c>
      <c r="R615" s="2">
        <v>0.16775000000000076</v>
      </c>
      <c r="S615" s="2">
        <v>1.4334303794385501E-2</v>
      </c>
      <c r="U615" s="2">
        <f t="shared" si="86"/>
        <v>0.55834361391283982</v>
      </c>
      <c r="V615" s="2">
        <f t="shared" si="87"/>
        <v>0.10717166666666682</v>
      </c>
      <c r="W615" s="2">
        <f t="shared" si="88"/>
        <v>3.9039564775448822E-2</v>
      </c>
      <c r="Y615" s="31">
        <v>1965.0833333353501</v>
      </c>
      <c r="Z615" s="2">
        <v>-1.3569702398334811</v>
      </c>
      <c r="AA615" s="2">
        <v>-0.1883013680744752</v>
      </c>
      <c r="AB615" s="2">
        <v>-0.72088954304070019</v>
      </c>
      <c r="AD615" s="31">
        <v>1965.0833333353501</v>
      </c>
      <c r="AE615" s="2">
        <v>0.88475030706518754</v>
      </c>
      <c r="AF615" s="2">
        <v>-0.68622224125583742</v>
      </c>
      <c r="AG615" s="2">
        <v>-4.3987184614795879E-2</v>
      </c>
      <c r="AH615" s="31"/>
      <c r="AI615" s="31">
        <v>1965.0833333353501</v>
      </c>
      <c r="AJ615" s="2">
        <v>-3.0716847838468415</v>
      </c>
      <c r="AK615" s="2">
        <v>1.6693262822256021</v>
      </c>
      <c r="AL615" s="2">
        <v>-2.4702434581637389</v>
      </c>
      <c r="AM615" s="31"/>
      <c r="AN615" s="2">
        <f t="shared" si="89"/>
        <v>-1.1813015722050451</v>
      </c>
      <c r="AO615" s="2">
        <f t="shared" si="82"/>
        <v>0.26493422429842983</v>
      </c>
      <c r="AP615" s="2">
        <f t="shared" si="83"/>
        <v>-1.0783733952730783</v>
      </c>
      <c r="AQ615" s="31"/>
      <c r="AR615" s="31">
        <v>1965.0833333353501</v>
      </c>
      <c r="AS615" s="2">
        <v>-1.1223780308764859</v>
      </c>
      <c r="AT615" s="2">
        <v>0.50956041230593607</v>
      </c>
      <c r="AU615" s="2">
        <v>-0.47381206677408055</v>
      </c>
      <c r="AV615" s="31"/>
      <c r="AW615" s="31">
        <v>1965.0833333353501</v>
      </c>
      <c r="AX615" s="2">
        <v>1.2707187667085054</v>
      </c>
      <c r="AY615" s="2">
        <v>-0.87038484719517628</v>
      </c>
      <c r="AZ615" s="2">
        <v>0.41185797750819425</v>
      </c>
      <c r="BA615" s="31"/>
      <c r="BB615" s="31">
        <v>1965.0833333353501</v>
      </c>
      <c r="BC615" s="2">
        <v>-2.6466698550752197</v>
      </c>
      <c r="BD615" s="2">
        <v>2.8163225171876922</v>
      </c>
      <c r="BE615" s="2">
        <v>-2.5366035423106688</v>
      </c>
      <c r="BG615" s="2">
        <f t="shared" si="90"/>
        <v>-0.83277637308106678</v>
      </c>
      <c r="BH615" s="2">
        <f t="shared" si="84"/>
        <v>0.81849936076615071</v>
      </c>
      <c r="BI615" s="2">
        <f t="shared" si="85"/>
        <v>-0.86618587719218498</v>
      </c>
    </row>
    <row r="616" spans="6:61" x14ac:dyDescent="0.3">
      <c r="F616" s="31">
        <v>1965.00000000202</v>
      </c>
      <c r="G616" s="2">
        <v>0.53249665774542021</v>
      </c>
      <c r="H616" s="2">
        <v>9.2249999999999749E-2</v>
      </c>
      <c r="I616" s="2">
        <v>4.7093582551475041E-2</v>
      </c>
      <c r="K616" s="31">
        <v>1965.00000000202</v>
      </c>
      <c r="L616" s="2">
        <v>0.96219775101957405</v>
      </c>
      <c r="M616" s="2">
        <v>6.1514999999999952E-2</v>
      </c>
      <c r="N616" s="2">
        <v>5.9190905473202132E-2</v>
      </c>
      <c r="P616" s="31">
        <v>1965.00000000202</v>
      </c>
      <c r="Q616" s="2">
        <v>0.35900468982451378</v>
      </c>
      <c r="R616" s="2">
        <v>9.5850000000000463E-2</v>
      </c>
      <c r="S616" s="2">
        <v>1.854461761034025E-2</v>
      </c>
      <c r="U616" s="2">
        <f t="shared" si="86"/>
        <v>0.61789969952983603</v>
      </c>
      <c r="V616" s="2">
        <f t="shared" si="87"/>
        <v>8.3205000000000057E-2</v>
      </c>
      <c r="W616" s="2">
        <f t="shared" si="88"/>
        <v>4.1609701878339143E-2</v>
      </c>
      <c r="Y616" s="31">
        <v>1965.00000000202</v>
      </c>
      <c r="Z616" s="2">
        <v>-1.1664534029380642</v>
      </c>
      <c r="AA616" s="2">
        <v>-0.1883013680744752</v>
      </c>
      <c r="AB616" s="2">
        <v>-0.64636320865919206</v>
      </c>
      <c r="AD616" s="31">
        <v>1965.00000000202</v>
      </c>
      <c r="AE616" s="2">
        <v>0.91008188836962667</v>
      </c>
      <c r="AF616" s="2">
        <v>-0.68622224125583742</v>
      </c>
      <c r="AG616" s="2">
        <v>-3.4031267776044656E-2</v>
      </c>
      <c r="AH616" s="31"/>
      <c r="AI616" s="31">
        <v>1965.00000000202</v>
      </c>
      <c r="AJ616" s="2">
        <v>-2.6964828142247361</v>
      </c>
      <c r="AK616" s="2">
        <v>-4.4052846898962821E-2</v>
      </c>
      <c r="AL616" s="2">
        <v>-2.1299748864430619</v>
      </c>
      <c r="AM616" s="31"/>
      <c r="AN616" s="2">
        <f t="shared" si="89"/>
        <v>-0.98428477626439115</v>
      </c>
      <c r="AO616" s="2">
        <f t="shared" si="82"/>
        <v>-0.30619215207642514</v>
      </c>
      <c r="AP616" s="2">
        <f t="shared" si="83"/>
        <v>-0.93678978762609955</v>
      </c>
      <c r="AQ616" s="31"/>
      <c r="AR616" s="31">
        <v>1965.00000000202</v>
      </c>
      <c r="AS616" s="2">
        <v>-0.55859400524223346</v>
      </c>
      <c r="AT616" s="2">
        <v>1.102275455956677</v>
      </c>
      <c r="AU616" s="2">
        <v>0.18284856628743082</v>
      </c>
      <c r="AV616" s="31"/>
      <c r="AW616" s="31">
        <v>1965.00000000202</v>
      </c>
      <c r="AX616" s="2">
        <v>0.93111246324762609</v>
      </c>
      <c r="AY616" s="2">
        <v>-0.21981065223360952</v>
      </c>
      <c r="AZ616" s="2">
        <v>0.82813467740075664</v>
      </c>
      <c r="BA616" s="31"/>
      <c r="BB616" s="31">
        <v>1965.00000000202</v>
      </c>
      <c r="BC616" s="2">
        <v>-1.7937570745278937</v>
      </c>
      <c r="BD616" s="2">
        <v>0.75540652012817533</v>
      </c>
      <c r="BE616" s="2">
        <v>-1.4403560004431155</v>
      </c>
      <c r="BG616" s="2">
        <f t="shared" si="90"/>
        <v>-0.47374620550750035</v>
      </c>
      <c r="BH616" s="2">
        <f t="shared" si="84"/>
        <v>0.5459571079504143</v>
      </c>
      <c r="BI616" s="2">
        <f t="shared" si="85"/>
        <v>-0.14312425225164269</v>
      </c>
    </row>
    <row r="617" spans="6:61" x14ac:dyDescent="0.3">
      <c r="F617" s="31">
        <v>1964.9166666686899</v>
      </c>
      <c r="G617" s="2">
        <v>0.51437508563881418</v>
      </c>
      <c r="H617" s="2">
        <v>0.1229999999999996</v>
      </c>
      <c r="I617" s="2">
        <v>6.3268135533573938E-2</v>
      </c>
      <c r="K617" s="31">
        <v>1964.9166666686899</v>
      </c>
      <c r="L617" s="2">
        <v>0.9665459924715134</v>
      </c>
      <c r="M617" s="2">
        <v>6.1514999999999952E-2</v>
      </c>
      <c r="N617" s="2">
        <v>5.9458351924992894E-2</v>
      </c>
      <c r="P617" s="31">
        <v>1964.9166666686899</v>
      </c>
      <c r="Q617" s="2">
        <v>0.45147832432554036</v>
      </c>
      <c r="R617" s="2">
        <v>9.5850000000000463E-2</v>
      </c>
      <c r="S617" s="2">
        <v>2.346363271777039E-2</v>
      </c>
      <c r="U617" s="2">
        <f t="shared" si="86"/>
        <v>0.64413313414528928</v>
      </c>
      <c r="V617" s="2">
        <f t="shared" si="87"/>
        <v>9.345500000000001E-2</v>
      </c>
      <c r="W617" s="2">
        <f t="shared" si="88"/>
        <v>4.8730040058779074E-2</v>
      </c>
      <c r="Y617" s="31">
        <v>1964.9166666686899</v>
      </c>
      <c r="Z617" s="2">
        <v>-1.2715236587469241</v>
      </c>
      <c r="AA617" s="2">
        <v>0.41216179278103032</v>
      </c>
      <c r="AB617" s="2">
        <v>-0.27411817977559105</v>
      </c>
      <c r="AD617" s="31">
        <v>1964.9166666686899</v>
      </c>
      <c r="AE617" s="2">
        <v>0.93595721523750874</v>
      </c>
      <c r="AF617" s="2">
        <v>-0.68622224125583742</v>
      </c>
      <c r="AG617" s="2">
        <v>-2.3861667146626315E-2</v>
      </c>
      <c r="AH617" s="31"/>
      <c r="AI617" s="31">
        <v>1964.9166666686899</v>
      </c>
      <c r="AJ617" s="2">
        <v>-2.2378707822539474</v>
      </c>
      <c r="AK617" s="2">
        <v>-4.4052846898962821E-2</v>
      </c>
      <c r="AL617" s="2">
        <v>-1.7324305897364913</v>
      </c>
      <c r="AM617" s="31"/>
      <c r="AN617" s="2">
        <f t="shared" si="89"/>
        <v>-0.85781240858778762</v>
      </c>
      <c r="AO617" s="2">
        <f t="shared" si="82"/>
        <v>-0.10603776512458997</v>
      </c>
      <c r="AP617" s="2">
        <f t="shared" si="83"/>
        <v>-0.67680347888623615</v>
      </c>
      <c r="AQ617" s="31"/>
      <c r="AR617" s="31">
        <v>1964.9166666686899</v>
      </c>
      <c r="AS617" s="2">
        <v>-1.0489083016522924</v>
      </c>
      <c r="AT617" s="2">
        <v>2.0533426933213512</v>
      </c>
      <c r="AU617" s="2">
        <v>0.54415973296832276</v>
      </c>
      <c r="AV617" s="31"/>
      <c r="AW617" s="31">
        <v>1964.9166666686899</v>
      </c>
      <c r="AX617" s="2">
        <v>1.0627224449296779</v>
      </c>
      <c r="AY617" s="2">
        <v>-0.51751295497595129</v>
      </c>
      <c r="AZ617" s="2">
        <v>0.88116852605518925</v>
      </c>
      <c r="BA617" s="31"/>
      <c r="BB617" s="31">
        <v>1964.9166666686899</v>
      </c>
      <c r="BC617" s="2">
        <v>-2.2553714344744744</v>
      </c>
      <c r="BD617" s="2">
        <v>0.88737234882057547</v>
      </c>
      <c r="BE617" s="2">
        <v>-1.6940466316055511</v>
      </c>
      <c r="BG617" s="2">
        <f t="shared" si="90"/>
        <v>-0.74718576373236301</v>
      </c>
      <c r="BH617" s="2">
        <f t="shared" si="84"/>
        <v>0.80773402905532521</v>
      </c>
      <c r="BI617" s="2">
        <f t="shared" si="85"/>
        <v>-8.9572790860679707E-2</v>
      </c>
    </row>
    <row r="618" spans="6:61" x14ac:dyDescent="0.3">
      <c r="F618" s="31">
        <v>1964.8333333353601</v>
      </c>
      <c r="G618" s="2">
        <v>0.60679471275987584</v>
      </c>
      <c r="H618" s="2">
        <v>9.2249999999999749E-2</v>
      </c>
      <c r="I618" s="2">
        <v>5.491669305462589E-2</v>
      </c>
      <c r="K618" s="31">
        <v>1964.8333333353601</v>
      </c>
      <c r="L618" s="2">
        <v>0.88817926156940796</v>
      </c>
      <c r="M618" s="2">
        <v>6.1499999999999902E-2</v>
      </c>
      <c r="N618" s="2">
        <v>5.46230245865185E-2</v>
      </c>
      <c r="P618" s="31">
        <v>1964.8333333353601</v>
      </c>
      <c r="Q618" s="2">
        <v>0.51585380797294889</v>
      </c>
      <c r="R618" s="2">
        <v>9.5850000000000463E-2</v>
      </c>
      <c r="S618" s="2">
        <v>2.8298598420040122E-2</v>
      </c>
      <c r="U618" s="2">
        <f t="shared" si="86"/>
        <v>0.6702759274340776</v>
      </c>
      <c r="V618" s="2">
        <f t="shared" si="87"/>
        <v>8.3200000000000038E-2</v>
      </c>
      <c r="W618" s="2">
        <f t="shared" si="88"/>
        <v>4.5946105353728173E-2</v>
      </c>
      <c r="Y618" s="31">
        <v>1964.8333333353601</v>
      </c>
      <c r="Z618" s="2">
        <v>-0.73566761898150457</v>
      </c>
      <c r="AA618" s="2">
        <v>-0.1883013680744752</v>
      </c>
      <c r="AB618" s="2">
        <v>-0.46632027341220522</v>
      </c>
      <c r="AD618" s="31">
        <v>1964.8333333353601</v>
      </c>
      <c r="AE618" s="2">
        <v>0.46961586780498982</v>
      </c>
      <c r="AF618" s="2">
        <v>-0.68658960551538373</v>
      </c>
      <c r="AG618" s="2">
        <v>-0.20772407255727607</v>
      </c>
      <c r="AH618" s="31"/>
      <c r="AI618" s="31">
        <v>1964.8333333353601</v>
      </c>
      <c r="AJ618" s="2">
        <v>-1.7857317449868293</v>
      </c>
      <c r="AK618" s="2">
        <v>-4.4052846898962821E-2</v>
      </c>
      <c r="AL618" s="2">
        <v>-1.3416789864722787</v>
      </c>
      <c r="AM618" s="31"/>
      <c r="AN618" s="2">
        <f t="shared" si="89"/>
        <v>-0.68392783205444807</v>
      </c>
      <c r="AO618" s="2">
        <f t="shared" si="82"/>
        <v>-0.30631460682960726</v>
      </c>
      <c r="AP618" s="2">
        <f t="shared" si="83"/>
        <v>-0.67190777748058661</v>
      </c>
      <c r="AQ618" s="31"/>
      <c r="AR618" s="31">
        <v>1964.8333333353601</v>
      </c>
      <c r="AS618" s="2">
        <v>-0.37495289994134823</v>
      </c>
      <c r="AT618" s="2">
        <v>1.0321667531313441</v>
      </c>
      <c r="AU618" s="2">
        <v>0.39652461180887227</v>
      </c>
      <c r="AV618" s="31"/>
      <c r="AW618" s="31">
        <v>1964.8333333353601</v>
      </c>
      <c r="AX618" s="2">
        <v>0.4516673384930886</v>
      </c>
      <c r="AY618" s="2">
        <v>-0.19208961378086201</v>
      </c>
      <c r="AZ618" s="2">
        <v>0.38738054742667938</v>
      </c>
      <c r="BA618" s="31"/>
      <c r="BB618" s="31">
        <v>1964.8333333353601</v>
      </c>
      <c r="BC618" s="2">
        <v>-1.1076938749445702</v>
      </c>
      <c r="BD618" s="2">
        <v>0.77674476466510867</v>
      </c>
      <c r="BE618" s="2">
        <v>-0.71505606623323281</v>
      </c>
      <c r="BG618" s="2">
        <f t="shared" si="90"/>
        <v>-0.34365981213094327</v>
      </c>
      <c r="BH618" s="2">
        <f t="shared" si="84"/>
        <v>0.53894063467186359</v>
      </c>
      <c r="BI618" s="2">
        <f t="shared" si="85"/>
        <v>2.2949697667439612E-2</v>
      </c>
    </row>
    <row r="619" spans="6:61" x14ac:dyDescent="0.3">
      <c r="F619" s="31">
        <v>1964.75000000203</v>
      </c>
      <c r="G619" s="2">
        <v>0.65399641536212938</v>
      </c>
      <c r="H619" s="2">
        <v>9.2249999999999749E-2</v>
      </c>
      <c r="I619" s="2">
        <v>5.9193532832691534E-2</v>
      </c>
      <c r="K619" s="31">
        <v>1964.75000000203</v>
      </c>
      <c r="L619" s="2">
        <v>0.9462689326131617</v>
      </c>
      <c r="M619" s="2">
        <v>6.1514999999999952E-2</v>
      </c>
      <c r="N619" s="2">
        <v>5.8210082878360471E-2</v>
      </c>
      <c r="P619" s="31">
        <v>1964.75000000203</v>
      </c>
      <c r="Q619" s="2">
        <v>0.54889007549776458</v>
      </c>
      <c r="R619" s="2">
        <v>0.1198000000000006</v>
      </c>
      <c r="S619" s="2">
        <v>3.154265055490052E-2</v>
      </c>
      <c r="U619" s="2">
        <f t="shared" si="86"/>
        <v>0.71638514115768526</v>
      </c>
      <c r="V619" s="2">
        <f t="shared" si="87"/>
        <v>9.1188333333333427E-2</v>
      </c>
      <c r="W619" s="2">
        <f t="shared" si="88"/>
        <v>4.964875542198418E-2</v>
      </c>
      <c r="Y619" s="31">
        <v>1964.75000000203</v>
      </c>
      <c r="Z619" s="2">
        <v>-0.46198855086000445</v>
      </c>
      <c r="AA619" s="2">
        <v>-0.1883013680744752</v>
      </c>
      <c r="AB619" s="2">
        <v>-0.36789206037419708</v>
      </c>
      <c r="AD619" s="31">
        <v>1964.75000000203</v>
      </c>
      <c r="AE619" s="2">
        <v>0.81529336582766265</v>
      </c>
      <c r="AF619" s="2">
        <v>-0.68622224125583742</v>
      </c>
      <c r="AG619" s="2">
        <v>-7.1326861009987183E-2</v>
      </c>
      <c r="AH619" s="31"/>
      <c r="AI619" s="31">
        <v>1964.75000000203</v>
      </c>
      <c r="AJ619" s="2">
        <v>-1.4839695333937049</v>
      </c>
      <c r="AK619" s="2">
        <v>0.52667636231568804</v>
      </c>
      <c r="AL619" s="2">
        <v>-1.0795016204209911</v>
      </c>
      <c r="AM619" s="31"/>
      <c r="AN619" s="2">
        <f t="shared" si="89"/>
        <v>-0.37688823947534883</v>
      </c>
      <c r="AO619" s="2">
        <f t="shared" si="82"/>
        <v>-0.11594908233820818</v>
      </c>
      <c r="AP619" s="2">
        <f t="shared" si="83"/>
        <v>-0.50624018060172504</v>
      </c>
      <c r="AQ619" s="31"/>
      <c r="AR619" s="31">
        <v>1964.75000000203</v>
      </c>
      <c r="AS619" s="2">
        <v>-0.64032411400439282</v>
      </c>
      <c r="AT619" s="2">
        <v>0.89414149018552613</v>
      </c>
      <c r="AU619" s="2">
        <v>0.14821283801296251</v>
      </c>
      <c r="AV619" s="31"/>
      <c r="AW619" s="31">
        <v>1964.75000000203</v>
      </c>
      <c r="AX619" s="2">
        <v>0.99083694653523147</v>
      </c>
      <c r="AY619" s="2">
        <v>-0.6564669997761764</v>
      </c>
      <c r="AZ619" s="2">
        <v>0.31467284013622676</v>
      </c>
      <c r="BA619" s="31"/>
      <c r="BB619" s="31">
        <v>1964.75000000203</v>
      </c>
      <c r="BC619" s="2">
        <v>-1.5287161809478511</v>
      </c>
      <c r="BD619" s="2">
        <v>1.3307501689804029</v>
      </c>
      <c r="BE619" s="2">
        <v>-1.2327410882967569</v>
      </c>
      <c r="BG619" s="2">
        <f t="shared" si="90"/>
        <v>-0.39273444947233749</v>
      </c>
      <c r="BH619" s="2">
        <f t="shared" si="84"/>
        <v>0.52280821979658421</v>
      </c>
      <c r="BI619" s="2">
        <f t="shared" si="85"/>
        <v>-0.2566184700491892</v>
      </c>
    </row>
    <row r="620" spans="6:61" x14ac:dyDescent="0.3">
      <c r="F620" s="31">
        <v>1964.6666666686999</v>
      </c>
      <c r="G620" s="2">
        <v>0.64344025818742456</v>
      </c>
      <c r="H620" s="2">
        <v>0.1229999999999996</v>
      </c>
      <c r="I620" s="2">
        <v>7.9143151757052957E-2</v>
      </c>
      <c r="K620" s="31">
        <v>1964.6666666686999</v>
      </c>
      <c r="L620" s="2">
        <v>0.9249836531964416</v>
      </c>
      <c r="M620" s="2">
        <v>6.1514999999999952E-2</v>
      </c>
      <c r="N620" s="2">
        <v>5.6899639594784224E-2</v>
      </c>
      <c r="P620" s="31">
        <v>1964.6666666686999</v>
      </c>
      <c r="Q620" s="2">
        <v>0.51824850857689264</v>
      </c>
      <c r="R620" s="2">
        <v>9.5850000000000463E-2</v>
      </c>
      <c r="S620" s="2">
        <v>3.3387922488899206E-2</v>
      </c>
      <c r="U620" s="2">
        <f t="shared" si="86"/>
        <v>0.69555747332025286</v>
      </c>
      <c r="V620" s="2">
        <f t="shared" si="87"/>
        <v>9.345500000000001E-2</v>
      </c>
      <c r="W620" s="2">
        <f t="shared" si="88"/>
        <v>5.6476904613578793E-2</v>
      </c>
      <c r="Y620" s="31">
        <v>1964.6666666686999</v>
      </c>
      <c r="Z620" s="2">
        <v>-0.52319395446295358</v>
      </c>
      <c r="AA620" s="2">
        <v>0.41216179278103032</v>
      </c>
      <c r="AB620" s="2">
        <v>9.1233238540375738E-2</v>
      </c>
      <c r="AD620" s="31">
        <v>1964.6666666686999</v>
      </c>
      <c r="AE620" s="2">
        <v>0.68862984714560127</v>
      </c>
      <c r="AF620" s="2">
        <v>-0.68622224125583742</v>
      </c>
      <c r="AG620" s="2">
        <v>-0.12115621844674326</v>
      </c>
      <c r="AH620" s="31"/>
      <c r="AI620" s="31">
        <v>1964.6666666686999</v>
      </c>
      <c r="AJ620" s="2">
        <v>-1.3172178880799064</v>
      </c>
      <c r="AK620" s="2">
        <v>-4.4052846898962821E-2</v>
      </c>
      <c r="AL620" s="2">
        <v>-0.93037068318808502</v>
      </c>
      <c r="AM620" s="31"/>
      <c r="AN620" s="2">
        <f t="shared" si="89"/>
        <v>-0.38392733179908617</v>
      </c>
      <c r="AO620" s="2">
        <f t="shared" si="82"/>
        <v>-0.10603776512458997</v>
      </c>
      <c r="AP620" s="2">
        <f t="shared" si="83"/>
        <v>-0.32009788769815084</v>
      </c>
      <c r="AQ620" s="31"/>
      <c r="AR620" s="31">
        <v>1964.6666666686999</v>
      </c>
      <c r="AS620" s="2">
        <v>-0.42792207308491947</v>
      </c>
      <c r="AT620" s="2">
        <v>1.7403378618943908</v>
      </c>
      <c r="AU620" s="2">
        <v>0.92852541843585368</v>
      </c>
      <c r="AV620" s="31"/>
      <c r="AW620" s="31">
        <v>1964.6666666686999</v>
      </c>
      <c r="AX620" s="2">
        <v>0.34298404289535939</v>
      </c>
      <c r="AY620" s="2">
        <v>-0.23837245449551037</v>
      </c>
      <c r="AZ620" s="2">
        <v>0.32741551368379779</v>
      </c>
      <c r="BA620" s="31"/>
      <c r="BB620" s="31">
        <v>1964.6666666686999</v>
      </c>
      <c r="BC620" s="2">
        <v>-1.4311510141843853</v>
      </c>
      <c r="BD620" s="2">
        <v>1.0283839161259722</v>
      </c>
      <c r="BE620" s="2">
        <v>-0.85614804313011705</v>
      </c>
      <c r="BG620" s="2">
        <f t="shared" si="90"/>
        <v>-0.50536301479131518</v>
      </c>
      <c r="BH620" s="2">
        <f t="shared" si="84"/>
        <v>0.84344977450828418</v>
      </c>
      <c r="BI620" s="2">
        <f t="shared" si="85"/>
        <v>0.13326429632984482</v>
      </c>
    </row>
    <row r="621" spans="6:61" x14ac:dyDescent="0.3">
      <c r="F621" s="31">
        <v>1964.5833333353701</v>
      </c>
      <c r="G621" s="2">
        <v>0.6955926478679898</v>
      </c>
      <c r="H621" s="2">
        <v>9.2249999999999749E-2</v>
      </c>
      <c r="I621" s="2">
        <v>6.3023279841260049E-2</v>
      </c>
      <c r="K621" s="31">
        <v>1964.5833333353701</v>
      </c>
      <c r="L621" s="2">
        <v>0.90968627891004439</v>
      </c>
      <c r="M621" s="2">
        <v>6.1514999999999952E-2</v>
      </c>
      <c r="N621" s="2">
        <v>5.5957590388965764E-2</v>
      </c>
      <c r="P621" s="31">
        <v>1964.5833333353701</v>
      </c>
      <c r="Q621" s="2">
        <v>0.46114403348735583</v>
      </c>
      <c r="R621" s="2">
        <v>9.5850000000000463E-2</v>
      </c>
      <c r="S621" s="2">
        <v>3.5314546021941354E-2</v>
      </c>
      <c r="U621" s="2">
        <f t="shared" si="86"/>
        <v>0.68880765342179673</v>
      </c>
      <c r="V621" s="2">
        <f t="shared" si="87"/>
        <v>8.3205000000000057E-2</v>
      </c>
      <c r="W621" s="2">
        <f t="shared" si="88"/>
        <v>5.1431805417389058E-2</v>
      </c>
      <c r="Y621" s="31">
        <v>1964.5833333353701</v>
      </c>
      <c r="Z621" s="2">
        <v>-0.22081042545429869</v>
      </c>
      <c r="AA621" s="2">
        <v>-0.1883013680744752</v>
      </c>
      <c r="AB621" s="2">
        <v>-0.27975334721166012</v>
      </c>
      <c r="AD621" s="31">
        <v>1964.5833333353701</v>
      </c>
      <c r="AE621" s="2">
        <v>0.59759889491908214</v>
      </c>
      <c r="AF621" s="2">
        <v>-0.68622224125583742</v>
      </c>
      <c r="AG621" s="2">
        <v>-0.15697746091336462</v>
      </c>
      <c r="AH621" s="31"/>
      <c r="AI621" s="31">
        <v>1964.5833333353701</v>
      </c>
      <c r="AJ621" s="2">
        <v>-1.123059929547441</v>
      </c>
      <c r="AK621" s="2">
        <v>-4.4052846898962821E-2</v>
      </c>
      <c r="AL621" s="2">
        <v>-0.77466508344218177</v>
      </c>
      <c r="AM621" s="31"/>
      <c r="AN621" s="2">
        <f t="shared" si="89"/>
        <v>-0.24875715336088589</v>
      </c>
      <c r="AO621" s="2">
        <f t="shared" si="82"/>
        <v>-0.30619215207642514</v>
      </c>
      <c r="AP621" s="2">
        <f t="shared" si="83"/>
        <v>-0.40379863052240217</v>
      </c>
      <c r="AQ621" s="31"/>
      <c r="AR621" s="31">
        <v>1964.5833333353701</v>
      </c>
      <c r="AS621" s="2">
        <v>-0.71711547372957052</v>
      </c>
      <c r="AT621" s="2">
        <v>0.98806436351113014</v>
      </c>
      <c r="AU621" s="2">
        <v>8.602786917420234E-2</v>
      </c>
      <c r="AV621" s="31"/>
      <c r="AW621" s="31">
        <v>1964.5833333353701</v>
      </c>
      <c r="AX621" s="2">
        <v>0.42669675090995896</v>
      </c>
      <c r="AY621" s="2">
        <v>-0.53553372549108424</v>
      </c>
      <c r="AZ621" s="2">
        <v>0.18699102441691789</v>
      </c>
      <c r="BA621" s="31"/>
      <c r="BB621" s="31">
        <v>1964.5833333353701</v>
      </c>
      <c r="BC621" s="2">
        <v>-1.566322932717596</v>
      </c>
      <c r="BD621" s="2">
        <v>0.77441334649330551</v>
      </c>
      <c r="BE621" s="2">
        <v>-1.3338287473832935</v>
      </c>
      <c r="BG621" s="2">
        <f t="shared" si="90"/>
        <v>-0.6189138851790692</v>
      </c>
      <c r="BH621" s="2">
        <f t="shared" si="84"/>
        <v>0.40898132817111715</v>
      </c>
      <c r="BI621" s="2">
        <f t="shared" si="85"/>
        <v>-0.3536032845973911</v>
      </c>
    </row>
    <row r="622" spans="6:61" x14ac:dyDescent="0.3">
      <c r="F622" s="31">
        <v>1964.50000000204</v>
      </c>
      <c r="G622" s="2">
        <v>0.65968483203982453</v>
      </c>
      <c r="H622" s="2">
        <v>6.1499999999999798E-2</v>
      </c>
      <c r="I622" s="2">
        <v>4.0570617170449075E-2</v>
      </c>
      <c r="K622" s="31">
        <v>1964.50000000204</v>
      </c>
      <c r="L622" s="2"/>
      <c r="M622" s="2"/>
      <c r="N622" s="2"/>
      <c r="P622" s="31">
        <v>1964.50000000204</v>
      </c>
      <c r="Q622" s="2">
        <v>0.43600821013600743</v>
      </c>
      <c r="R622" s="2">
        <v>9.5850000000000463E-2</v>
      </c>
      <c r="S622" s="2">
        <v>3.7870611834180938E-2</v>
      </c>
      <c r="U622" s="2">
        <f t="shared" si="86"/>
        <v>0.54784652108791598</v>
      </c>
      <c r="V622" s="2">
        <f t="shared" si="87"/>
        <v>7.8675000000000134E-2</v>
      </c>
      <c r="W622" s="2">
        <f t="shared" si="88"/>
        <v>3.922061450231501E-2</v>
      </c>
      <c r="Y622" s="31">
        <v>1964.50000000204</v>
      </c>
      <c r="Z622" s="2">
        <v>-0.42900667754588201</v>
      </c>
      <c r="AA622" s="2">
        <v>-0.78876452892998272</v>
      </c>
      <c r="AB622" s="2">
        <v>-0.79648429326376036</v>
      </c>
      <c r="AD622" s="31">
        <v>1964.50000000204</v>
      </c>
      <c r="AE622" s="2"/>
      <c r="AF622" s="2"/>
      <c r="AG622" s="2"/>
      <c r="AH622" s="31"/>
      <c r="AI622" s="31">
        <v>1964.50000000204</v>
      </c>
      <c r="AJ622" s="2">
        <v>-0.85512812372548508</v>
      </c>
      <c r="AK622" s="2">
        <v>-4.4052846898962821E-2</v>
      </c>
      <c r="AL622" s="2">
        <v>-0.5680893028295938</v>
      </c>
      <c r="AM622" s="31"/>
      <c r="AN622" s="2">
        <f t="shared" si="89"/>
        <v>-0.64206740063568357</v>
      </c>
      <c r="AO622" s="2">
        <f t="shared" si="82"/>
        <v>-0.41640868791447277</v>
      </c>
      <c r="AP622" s="2">
        <f t="shared" si="83"/>
        <v>-0.68228679804667713</v>
      </c>
      <c r="AQ622" s="31"/>
      <c r="AR622" s="31">
        <v>1964.50000000204</v>
      </c>
      <c r="AS622" s="2">
        <v>-0.41985251238289206</v>
      </c>
      <c r="AT622" s="2">
        <v>-2.3130098149133811E-2</v>
      </c>
      <c r="AU622" s="2">
        <v>-0.43198538225792871</v>
      </c>
      <c r="AV622" s="31"/>
      <c r="AW622" s="31">
        <v>1964.50000000204</v>
      </c>
      <c r="AX622" s="2"/>
      <c r="AY622" s="2"/>
      <c r="AZ622" s="2"/>
      <c r="BA622" s="31"/>
      <c r="BB622" s="31">
        <v>1964.50000000204</v>
      </c>
      <c r="BC622" s="2">
        <v>-0.77858172139134518</v>
      </c>
      <c r="BD622" s="2">
        <v>1.239044249941025</v>
      </c>
      <c r="BE622" s="2">
        <v>-0.2515034985117266</v>
      </c>
      <c r="BG622" s="2">
        <f t="shared" si="90"/>
        <v>-0.59921711688711865</v>
      </c>
      <c r="BH622" s="2">
        <f t="shared" si="84"/>
        <v>0.60795707589594561</v>
      </c>
      <c r="BI622" s="2">
        <f t="shared" si="85"/>
        <v>-0.34174444038482765</v>
      </c>
    </row>
    <row r="623" spans="6:61" x14ac:dyDescent="0.3">
      <c r="F623" s="31">
        <v>1964.4166666687099</v>
      </c>
      <c r="G623" s="2">
        <v>0.70551591519947365</v>
      </c>
      <c r="H623" s="2">
        <v>0.15374999999999961</v>
      </c>
      <c r="I623" s="2">
        <v>0.10706573458002788</v>
      </c>
      <c r="K623" s="31">
        <v>1964.4166666687099</v>
      </c>
      <c r="L623" s="2">
        <v>0.86166418194386352</v>
      </c>
      <c r="M623" s="2">
        <v>0.18451499999999976</v>
      </c>
      <c r="N623" s="2">
        <v>5.3003093211292845E-2</v>
      </c>
      <c r="P623" s="31">
        <v>1964.4166666687099</v>
      </c>
      <c r="Q623" s="2">
        <v>0.38678395783013925</v>
      </c>
      <c r="R623" s="2">
        <v>0.16775000000000076</v>
      </c>
      <c r="S623" s="2">
        <v>3.7553818006440663E-2</v>
      </c>
      <c r="U623" s="2">
        <f t="shared" si="86"/>
        <v>0.65132135165782545</v>
      </c>
      <c r="V623" s="2">
        <f t="shared" si="87"/>
        <v>0.16867166666666669</v>
      </c>
      <c r="W623" s="2">
        <f t="shared" si="88"/>
        <v>6.5874215265920466E-2</v>
      </c>
      <c r="Y623" s="31">
        <v>1964.4166666687099</v>
      </c>
      <c r="Z623" s="2">
        <v>-0.16327456538404422</v>
      </c>
      <c r="AA623" s="2">
        <v>1.012624953636539</v>
      </c>
      <c r="AB623" s="2">
        <v>0.7338502345678144</v>
      </c>
      <c r="AD623" s="31">
        <v>1964.4166666687099</v>
      </c>
      <c r="AE623" s="2">
        <v>0.31183108059339615</v>
      </c>
      <c r="AF623" s="2">
        <v>2.3261646870140731</v>
      </c>
      <c r="AG623" s="2">
        <v>-0.26932165600922581</v>
      </c>
      <c r="AH623" s="31"/>
      <c r="AI623" s="31">
        <v>1964.4166666687099</v>
      </c>
      <c r="AJ623" s="2">
        <v>-0.85676052147425741</v>
      </c>
      <c r="AK623" s="2">
        <v>1.6693262822256021</v>
      </c>
      <c r="AL623" s="2">
        <v>-0.59369190349242962</v>
      </c>
      <c r="AM623" s="31"/>
      <c r="AN623" s="2">
        <f t="shared" si="89"/>
        <v>-0.23606800208830184</v>
      </c>
      <c r="AO623" s="2">
        <f t="shared" si="82"/>
        <v>1.6693719742920716</v>
      </c>
      <c r="AP623" s="2">
        <f t="shared" si="83"/>
        <v>-4.3054441644613695E-2</v>
      </c>
      <c r="AQ623" s="31"/>
      <c r="AR623" s="31">
        <v>1964.4166666687099</v>
      </c>
      <c r="AS623" s="2">
        <v>-0.75081507310703388</v>
      </c>
      <c r="AT623" s="2">
        <v>-0.3587827526842341</v>
      </c>
      <c r="AU623" s="2">
        <v>-0.7320040522645197</v>
      </c>
      <c r="AV623" s="31"/>
      <c r="AW623" s="31">
        <v>1964.4166666687099</v>
      </c>
      <c r="AX623" s="2">
        <v>-0.10794961305461112</v>
      </c>
      <c r="AY623" s="2">
        <v>0.88174749492555615</v>
      </c>
      <c r="AZ623" s="2">
        <v>-0.96332903493340716</v>
      </c>
      <c r="BA623" s="31"/>
      <c r="BB623" s="31">
        <v>1964.4166666687099</v>
      </c>
      <c r="BC623" s="2">
        <v>-1.6412170222387827</v>
      </c>
      <c r="BD623" s="2">
        <v>0.21308645383215588</v>
      </c>
      <c r="BE623" s="2">
        <v>-1.6031377676272658</v>
      </c>
      <c r="BG623" s="2">
        <f t="shared" si="90"/>
        <v>-0.83332723613347592</v>
      </c>
      <c r="BH623" s="2">
        <f t="shared" si="84"/>
        <v>0.24535039869115935</v>
      </c>
      <c r="BI623" s="2">
        <f t="shared" si="85"/>
        <v>-1.099490284941731</v>
      </c>
    </row>
    <row r="624" spans="6:61" x14ac:dyDescent="0.3">
      <c r="F624" s="31">
        <v>1964.3333333353801</v>
      </c>
      <c r="G624" s="2">
        <v>0.68711732098218392</v>
      </c>
      <c r="H624" s="2">
        <v>9.2249999999999749E-2</v>
      </c>
      <c r="I624" s="2">
        <v>6.2467004637329189E-2</v>
      </c>
      <c r="K624" s="31">
        <v>1964.3333333353801</v>
      </c>
      <c r="L624" s="2">
        <v>0.76860826654783931</v>
      </c>
      <c r="M624" s="2">
        <v>0.15376499999999982</v>
      </c>
      <c r="N624" s="2">
        <v>4.727974636983584E-2</v>
      </c>
      <c r="P624" s="31">
        <v>1964.3333333353801</v>
      </c>
      <c r="Q624" s="2">
        <v>0.34460397885745897</v>
      </c>
      <c r="R624" s="2">
        <v>0.1198000000000006</v>
      </c>
      <c r="S624" s="2">
        <v>3.1792786533591605E-2</v>
      </c>
      <c r="U624" s="2">
        <f t="shared" si="86"/>
        <v>0.60010985546249407</v>
      </c>
      <c r="V624" s="2">
        <f t="shared" si="87"/>
        <v>0.12193833333333337</v>
      </c>
      <c r="W624" s="2">
        <f t="shared" si="88"/>
        <v>4.7179845846918873E-2</v>
      </c>
      <c r="Y624" s="31">
        <v>1964.3333333353801</v>
      </c>
      <c r="Z624" s="2">
        <v>-0.26995101649776049</v>
      </c>
      <c r="AA624" s="2">
        <v>-0.1883013680744752</v>
      </c>
      <c r="AB624" s="2">
        <v>-0.29255559773343026</v>
      </c>
      <c r="AD624" s="31">
        <v>1964.3333333353801</v>
      </c>
      <c r="AE624" s="2">
        <v>-0.24192202959513301</v>
      </c>
      <c r="AF624" s="2">
        <v>1.5730679549465956</v>
      </c>
      <c r="AG624" s="2">
        <v>-0.48695083467859507</v>
      </c>
      <c r="AH624" s="31"/>
      <c r="AI624" s="31">
        <v>1964.3333333353801</v>
      </c>
      <c r="AJ624" s="2">
        <v>-1.4126445220883457</v>
      </c>
      <c r="AK624" s="2">
        <v>0.52667636231568804</v>
      </c>
      <c r="AL624" s="2">
        <v>-1.0592861647742797</v>
      </c>
      <c r="AM624" s="31"/>
      <c r="AN624" s="2">
        <f t="shared" si="89"/>
        <v>-0.6415058560604131</v>
      </c>
      <c r="AO624" s="2">
        <f t="shared" si="82"/>
        <v>0.63714764972926941</v>
      </c>
      <c r="AP624" s="2">
        <f t="shared" si="83"/>
        <v>-0.61293086572876831</v>
      </c>
      <c r="AQ624" s="31"/>
      <c r="AR624" s="31">
        <v>1964.3333333353801</v>
      </c>
      <c r="AS624" s="2">
        <v>-0.4459653540104771</v>
      </c>
      <c r="AT624" s="2">
        <v>-1.2318355951367148</v>
      </c>
      <c r="AU624" s="2">
        <v>-1.2500644270326078</v>
      </c>
      <c r="AV624" s="31"/>
      <c r="AW624" s="31">
        <v>1964.3333333353801</v>
      </c>
      <c r="AX624" s="2">
        <v>-0.37917217969999467</v>
      </c>
      <c r="AY624" s="2">
        <v>0.72904993846663702</v>
      </c>
      <c r="AZ624" s="2">
        <v>-0.71201227109255771</v>
      </c>
      <c r="BA624" s="31"/>
      <c r="BB624" s="31">
        <v>1964.3333333353801</v>
      </c>
      <c r="BC624" s="2">
        <v>-1.8758567780160915</v>
      </c>
      <c r="BD624" s="2">
        <v>-0.1780601750249331</v>
      </c>
      <c r="BE624" s="2">
        <v>-1.6072415511760298</v>
      </c>
      <c r="BG624" s="2">
        <f t="shared" si="90"/>
        <v>-0.90033143724218778</v>
      </c>
      <c r="BH624" s="2">
        <f t="shared" si="84"/>
        <v>-0.22694861056500362</v>
      </c>
      <c r="BI624" s="2">
        <f t="shared" si="85"/>
        <v>-1.1897727497670652</v>
      </c>
    </row>
    <row r="625" spans="6:61" x14ac:dyDescent="0.3">
      <c r="F625" s="31">
        <v>1964.25000000205</v>
      </c>
      <c r="G625" s="2">
        <v>0.65358509799303532</v>
      </c>
      <c r="H625" s="2">
        <v>9.2249999999999749E-2</v>
      </c>
      <c r="I625" s="2">
        <v>5.9477874327755739E-2</v>
      </c>
      <c r="K625" s="31">
        <v>1964.25000000205</v>
      </c>
      <c r="L625" s="2">
        <v>0.74154527196126807</v>
      </c>
      <c r="M625" s="2">
        <v>0.15376499999999982</v>
      </c>
      <c r="N625" s="2">
        <v>4.5615131645317095E-2</v>
      </c>
      <c r="P625" s="31">
        <v>1964.25000000205</v>
      </c>
      <c r="Q625" s="2">
        <v>0.31523279057945669</v>
      </c>
      <c r="R625" s="2">
        <v>0.16775000000000076</v>
      </c>
      <c r="S625" s="2">
        <v>2.5842643244450694E-2</v>
      </c>
      <c r="U625" s="2">
        <f t="shared" si="86"/>
        <v>0.57012105351125342</v>
      </c>
      <c r="V625" s="2">
        <f t="shared" si="87"/>
        <v>0.13792166666666675</v>
      </c>
      <c r="W625" s="2">
        <f t="shared" si="88"/>
        <v>4.3645216405841181E-2</v>
      </c>
      <c r="Y625" s="31">
        <v>1964.25000000205</v>
      </c>
      <c r="Z625" s="2">
        <v>-0.46437340030546648</v>
      </c>
      <c r="AA625" s="2">
        <v>-0.1883013680744752</v>
      </c>
      <c r="AB625" s="2">
        <v>-0.36134815723448593</v>
      </c>
      <c r="AD625" s="31">
        <v>1964.25000000205</v>
      </c>
      <c r="AE625" s="2">
        <v>-0.40296732542131791</v>
      </c>
      <c r="AF625" s="2">
        <v>1.5730679549465956</v>
      </c>
      <c r="AG625" s="2">
        <v>-0.55024749401677508</v>
      </c>
      <c r="AH625" s="31"/>
      <c r="AI625" s="31">
        <v>1964.25000000205</v>
      </c>
      <c r="AJ625" s="2">
        <v>-1.993417706858726</v>
      </c>
      <c r="AK625" s="2">
        <v>1.6693262822256021</v>
      </c>
      <c r="AL625" s="2">
        <v>-1.54016403921135</v>
      </c>
      <c r="AM625" s="31"/>
      <c r="AN625" s="2">
        <f t="shared" si="89"/>
        <v>-0.95358614419517007</v>
      </c>
      <c r="AO625" s="2">
        <f t="shared" si="82"/>
        <v>1.0180309563659073</v>
      </c>
      <c r="AP625" s="2">
        <f t="shared" si="83"/>
        <v>-0.8172532301542037</v>
      </c>
      <c r="AQ625" s="31"/>
      <c r="AR625" s="31">
        <v>1964.25000000205</v>
      </c>
      <c r="AS625" s="2">
        <v>-0.38100600794643025</v>
      </c>
      <c r="AT625" s="2">
        <v>-1.4277403812081235</v>
      </c>
      <c r="AU625" s="2">
        <v>-1.3008221125864625</v>
      </c>
      <c r="AV625" s="31"/>
      <c r="AW625" s="31">
        <v>1964.25000000205</v>
      </c>
      <c r="AX625" s="2">
        <v>-0.3536469963135454</v>
      </c>
      <c r="AY625" s="2">
        <v>0.55886310744945389</v>
      </c>
      <c r="AZ625" s="2">
        <v>-0.84115296801782014</v>
      </c>
      <c r="BA625" s="31"/>
      <c r="BB625" s="31">
        <v>1964.25000000205</v>
      </c>
      <c r="BC625" s="2">
        <v>-1.9629357388629149</v>
      </c>
      <c r="BD625" s="2">
        <v>0.57692863282771223</v>
      </c>
      <c r="BE625" s="2">
        <v>-1.8335808909834694</v>
      </c>
      <c r="BG625" s="2">
        <f t="shared" si="90"/>
        <v>-0.89919624770763029</v>
      </c>
      <c r="BH625" s="2">
        <f t="shared" si="84"/>
        <v>-9.7316213643652505E-2</v>
      </c>
      <c r="BI625" s="2">
        <f t="shared" si="85"/>
        <v>-1.3251853238625839</v>
      </c>
    </row>
    <row r="626" spans="6:61" x14ac:dyDescent="0.3">
      <c r="F626" s="31">
        <v>1964.1666666687199</v>
      </c>
      <c r="G626" s="2">
        <v>0.61004349155562443</v>
      </c>
      <c r="H626" s="2">
        <v>9.2249999999999749E-2</v>
      </c>
      <c r="I626" s="2">
        <v>5.5046711523266456E-2</v>
      </c>
      <c r="K626" s="31">
        <v>1964.1666666687199</v>
      </c>
      <c r="L626" s="2">
        <v>0.70603914517255772</v>
      </c>
      <c r="M626" s="2">
        <v>0.15376499999999982</v>
      </c>
      <c r="N626" s="2">
        <v>4.3431274158352177E-2</v>
      </c>
      <c r="P626" s="31">
        <v>1964.1666666687199</v>
      </c>
      <c r="Q626" s="2">
        <v>0.3012437809449352</v>
      </c>
      <c r="R626" s="2">
        <v>9.5850000000000463E-2</v>
      </c>
      <c r="S626" s="2">
        <v>2.2429124997659661E-2</v>
      </c>
      <c r="U626" s="2">
        <f t="shared" si="86"/>
        <v>0.53910880589103904</v>
      </c>
      <c r="V626" s="2">
        <f t="shared" si="87"/>
        <v>0.11395500000000001</v>
      </c>
      <c r="W626" s="2">
        <f t="shared" si="88"/>
        <v>4.0302370226426097E-2</v>
      </c>
      <c r="Y626" s="31">
        <v>1964.1666666687199</v>
      </c>
      <c r="Z626" s="2">
        <v>-0.71683095198994329</v>
      </c>
      <c r="AA626" s="2">
        <v>-0.1883013680744752</v>
      </c>
      <c r="AB626" s="2">
        <v>-0.46332799729378177</v>
      </c>
      <c r="AD626" s="31">
        <v>1964.1666666687199</v>
      </c>
      <c r="AE626" s="2">
        <v>-0.61425564660241982</v>
      </c>
      <c r="AF626" s="2">
        <v>1.5730679549465956</v>
      </c>
      <c r="AG626" s="2">
        <v>-0.63328826096392321</v>
      </c>
      <c r="AH626" s="31"/>
      <c r="AI626" s="31">
        <v>1964.1666666687199</v>
      </c>
      <c r="AJ626" s="2">
        <v>-2.3231196067718187</v>
      </c>
      <c r="AK626" s="2">
        <v>-4.4052846898962821E-2</v>
      </c>
      <c r="AL626" s="2">
        <v>-1.8160372945436645</v>
      </c>
      <c r="AM626" s="31"/>
      <c r="AN626" s="2">
        <f t="shared" si="89"/>
        <v>-1.2180687351213939</v>
      </c>
      <c r="AO626" s="2">
        <f t="shared" si="82"/>
        <v>0.44690457999105254</v>
      </c>
      <c r="AP626" s="2">
        <f t="shared" si="83"/>
        <v>-0.97088451760045646</v>
      </c>
      <c r="AQ626" s="31"/>
      <c r="AR626" s="31">
        <v>1964.1666666687199</v>
      </c>
      <c r="AS626" s="2">
        <v>-0.39191252564071594</v>
      </c>
      <c r="AT626" s="2">
        <v>-1.1019061349826649</v>
      </c>
      <c r="AU626" s="2">
        <v>-1.1108121675036533</v>
      </c>
      <c r="AV626" s="31"/>
      <c r="AW626" s="31">
        <v>1964.1666666687199</v>
      </c>
      <c r="AX626" s="2">
        <v>-0.42257589718190991</v>
      </c>
      <c r="AY626" s="2">
        <v>0.86392340572950155</v>
      </c>
      <c r="AZ626" s="2">
        <v>-0.66646849724417934</v>
      </c>
      <c r="BA626" s="31"/>
      <c r="BB626" s="31">
        <v>1964.1666666687199</v>
      </c>
      <c r="BC626" s="2">
        <v>-1.9220989362843923</v>
      </c>
      <c r="BD626" s="2">
        <v>-0.34847073798484229</v>
      </c>
      <c r="BE626" s="2">
        <v>-1.5816469122202175</v>
      </c>
      <c r="BG626" s="2">
        <f t="shared" si="90"/>
        <v>-0.912195786369006</v>
      </c>
      <c r="BH626" s="2">
        <f t="shared" si="84"/>
        <v>-0.19548448907933522</v>
      </c>
      <c r="BI626" s="2">
        <f t="shared" si="85"/>
        <v>-1.1196425256560167</v>
      </c>
    </row>
    <row r="627" spans="6:61" x14ac:dyDescent="0.3">
      <c r="F627" s="31">
        <v>1964.0833333353901</v>
      </c>
      <c r="G627" s="2">
        <v>0.60111325252379411</v>
      </c>
      <c r="H627" s="2">
        <v>0.12299999999999969</v>
      </c>
      <c r="I627" s="2">
        <v>7.3936930060426495E-2</v>
      </c>
      <c r="K627" s="31">
        <v>1964.0833333353901</v>
      </c>
      <c r="L627" s="2">
        <v>0.6884440347065981</v>
      </c>
      <c r="M627" s="2">
        <v>9.2279999999999945E-2</v>
      </c>
      <c r="N627" s="2">
        <v>6.2780287367849366E-2</v>
      </c>
      <c r="P627" s="31">
        <v>1964.0833333353901</v>
      </c>
      <c r="Q627" s="2">
        <v>0.31405594579339507</v>
      </c>
      <c r="R627" s="2">
        <v>0.1198000000000006</v>
      </c>
      <c r="S627" s="2">
        <v>2.1831340078399139E-2</v>
      </c>
      <c r="U627" s="2">
        <f t="shared" si="86"/>
        <v>0.53453774434126244</v>
      </c>
      <c r="V627" s="2">
        <f t="shared" si="87"/>
        <v>0.11169333333333342</v>
      </c>
      <c r="W627" s="2">
        <f t="shared" si="88"/>
        <v>5.2849519168891669E-2</v>
      </c>
      <c r="Y627" s="31">
        <v>1964.0833333353901</v>
      </c>
      <c r="Z627" s="2">
        <v>-0.76860915831712107</v>
      </c>
      <c r="AA627" s="2">
        <v>0.41216179278103221</v>
      </c>
      <c r="AB627" s="2">
        <v>-2.8583992141672059E-2</v>
      </c>
      <c r="AD627" s="31">
        <v>1964.0833333353901</v>
      </c>
      <c r="AE627" s="2">
        <v>-0.71895986774914089</v>
      </c>
      <c r="AF627" s="2">
        <v>6.7241855071186282E-2</v>
      </c>
      <c r="AG627" s="2">
        <v>0.10245429832742807</v>
      </c>
      <c r="AH627" s="31"/>
      <c r="AI627" s="31">
        <v>1964.0833333353901</v>
      </c>
      <c r="AJ627" s="2">
        <v>-2.3772853397112912</v>
      </c>
      <c r="AK627" s="2">
        <v>0.52667636231568804</v>
      </c>
      <c r="AL627" s="2">
        <v>-1.8643489951827326</v>
      </c>
      <c r="AM627" s="31"/>
      <c r="AN627" s="2">
        <f t="shared" si="89"/>
        <v>-1.2882847885925177</v>
      </c>
      <c r="AO627" s="2">
        <f t="shared" si="82"/>
        <v>0.33536000338930222</v>
      </c>
      <c r="AP627" s="2">
        <f t="shared" si="83"/>
        <v>-0.59682622966565879</v>
      </c>
      <c r="AQ627" s="31"/>
      <c r="AR627" s="31">
        <v>1964.0833333353901</v>
      </c>
      <c r="AS627" s="2">
        <v>-0.30348757280397787</v>
      </c>
      <c r="AT627" s="2">
        <v>1.9496224470835801</v>
      </c>
      <c r="AU627" s="2">
        <v>1.3171440571181172</v>
      </c>
      <c r="AV627" s="31"/>
      <c r="AW627" s="31">
        <v>1964.0833333353901</v>
      </c>
      <c r="AX627" s="2">
        <v>-0.4431208965094805</v>
      </c>
      <c r="AY627" s="2">
        <v>0.56120938963997447</v>
      </c>
      <c r="AZ627" s="2">
        <v>0.69766757099561616</v>
      </c>
      <c r="BA627" s="31"/>
      <c r="BB627" s="31">
        <v>1964.0833333353901</v>
      </c>
      <c r="BC627" s="2">
        <v>-1.8780630903707687</v>
      </c>
      <c r="BD627" s="2">
        <v>0.92837406029517622</v>
      </c>
      <c r="BE627" s="2">
        <v>-1.8060807615097947</v>
      </c>
      <c r="BG627" s="2">
        <f t="shared" si="90"/>
        <v>-0.87489051989474242</v>
      </c>
      <c r="BH627" s="2">
        <f t="shared" si="84"/>
        <v>1.1464019656729103</v>
      </c>
      <c r="BI627" s="2">
        <f t="shared" si="85"/>
        <v>6.9576955534646226E-2</v>
      </c>
    </row>
    <row r="628" spans="6:61" x14ac:dyDescent="0.3">
      <c r="F628" s="31">
        <v>1964.00000000206</v>
      </c>
      <c r="G628" s="2">
        <v>0.63810723221250965</v>
      </c>
      <c r="H628" s="2">
        <v>9.2249999999999749E-2</v>
      </c>
      <c r="I628" s="2">
        <v>5.7389036395030464E-2</v>
      </c>
      <c r="K628" s="31">
        <v>1964.00000000206</v>
      </c>
      <c r="L628" s="2">
        <v>0.75202208919846725</v>
      </c>
      <c r="M628" s="2">
        <v>9.2279999999999945E-2</v>
      </c>
      <c r="N628" s="2">
        <v>7.0349204402527149E-2</v>
      </c>
      <c r="P628" s="31">
        <v>1964.00000000206</v>
      </c>
      <c r="Q628" s="2">
        <v>0.42496213135666366</v>
      </c>
      <c r="R628" s="2">
        <v>9.5850000000000463E-2</v>
      </c>
      <c r="S628" s="2">
        <v>2.3232965528099166E-2</v>
      </c>
      <c r="U628" s="2">
        <f t="shared" si="86"/>
        <v>0.60503048425588013</v>
      </c>
      <c r="V628" s="2">
        <f t="shared" si="87"/>
        <v>9.3460000000000057E-2</v>
      </c>
      <c r="W628" s="2">
        <f t="shared" si="88"/>
        <v>5.0323735441885592E-2</v>
      </c>
      <c r="Y628" s="31">
        <v>1964.00000000206</v>
      </c>
      <c r="Z628" s="2">
        <v>-0.55411524540411528</v>
      </c>
      <c r="AA628" s="2">
        <v>-0.1883013680744752</v>
      </c>
      <c r="AB628" s="2">
        <v>-0.40942117275837964</v>
      </c>
      <c r="AD628" s="31">
        <v>1964.00000000206</v>
      </c>
      <c r="AE628" s="2">
        <v>-0.34062233525829916</v>
      </c>
      <c r="AF628" s="2">
        <v>6.7241855071186282E-2</v>
      </c>
      <c r="AG628" s="2">
        <v>0.39026093372857523</v>
      </c>
      <c r="AH628" s="31"/>
      <c r="AI628" s="31">
        <v>1964.00000000206</v>
      </c>
      <c r="AJ628" s="2">
        <v>-2.1995289193568945</v>
      </c>
      <c r="AK628" s="2">
        <v>-4.4052846898962821E-2</v>
      </c>
      <c r="AL628" s="2">
        <v>-1.7510726194291049</v>
      </c>
      <c r="AM628" s="31"/>
      <c r="AN628" s="2">
        <f t="shared" si="89"/>
        <v>-1.0314221666731029</v>
      </c>
      <c r="AO628" s="2">
        <f t="shared" si="82"/>
        <v>-5.5037453300750577E-2</v>
      </c>
      <c r="AP628" s="2">
        <f t="shared" si="83"/>
        <v>-0.59007761948630311</v>
      </c>
      <c r="AQ628" s="31"/>
      <c r="AR628" s="31">
        <v>1964.00000000206</v>
      </c>
      <c r="AS628" s="2">
        <v>-9.0291042457970566E-2</v>
      </c>
      <c r="AT628" s="2">
        <v>1.102275455956677</v>
      </c>
      <c r="AU628" s="2">
        <v>0.83919167228570934</v>
      </c>
      <c r="AV628" s="31"/>
      <c r="AW628" s="31">
        <v>1964.00000000206</v>
      </c>
      <c r="AX628" s="2">
        <v>-1.972311410445941E-2</v>
      </c>
      <c r="AY628" s="2">
        <v>1.4899203771942273</v>
      </c>
      <c r="AZ628" s="2">
        <v>1.6166474519403489</v>
      </c>
      <c r="BA628" s="31"/>
      <c r="BB628" s="31">
        <v>1964.00000000206</v>
      </c>
      <c r="BC628" s="2">
        <v>-1.3762139988653141</v>
      </c>
      <c r="BD628" s="2">
        <v>0.75540652012817533</v>
      </c>
      <c r="BE628" s="2">
        <v>-1.0750818866026186</v>
      </c>
      <c r="BG628" s="2">
        <f t="shared" si="90"/>
        <v>-0.49540938514258137</v>
      </c>
      <c r="BH628" s="2">
        <f t="shared" si="84"/>
        <v>1.1158674510930264</v>
      </c>
      <c r="BI628" s="2">
        <f t="shared" si="85"/>
        <v>0.46025241254114652</v>
      </c>
    </row>
    <row r="629" spans="6:61" x14ac:dyDescent="0.3">
      <c r="F629" s="31">
        <v>1963.9166666687299</v>
      </c>
      <c r="G629" s="2">
        <v>0.69468394914905329</v>
      </c>
      <c r="H629" s="2">
        <v>9.2249999999999749E-2</v>
      </c>
      <c r="I629" s="2">
        <v>6.2728497244824266E-2</v>
      </c>
      <c r="K629" s="31">
        <v>1963.9166666687299</v>
      </c>
      <c r="L629" s="2">
        <v>0.81103227620330109</v>
      </c>
      <c r="M629" s="2">
        <v>6.1514999999999952E-2</v>
      </c>
      <c r="N629" s="2">
        <v>4.989186940612729E-2</v>
      </c>
      <c r="P629" s="31">
        <v>1963.9166666687299</v>
      </c>
      <c r="Q629" s="2">
        <v>0.5118551901454399</v>
      </c>
      <c r="R629" s="2">
        <v>0.1198000000000006</v>
      </c>
      <c r="S629" s="2">
        <v>2.7211895145914676E-2</v>
      </c>
      <c r="U629" s="2">
        <f t="shared" si="86"/>
        <v>0.67252380516593158</v>
      </c>
      <c r="V629" s="2">
        <f t="shared" si="87"/>
        <v>9.1188333333333427E-2</v>
      </c>
      <c r="W629" s="2">
        <f t="shared" si="88"/>
        <v>4.6610753932288744E-2</v>
      </c>
      <c r="Y629" s="31">
        <v>1963.9166666687299</v>
      </c>
      <c r="Z629" s="2">
        <v>-0.22607912986306447</v>
      </c>
      <c r="AA629" s="2">
        <v>-0.1883013680744752</v>
      </c>
      <c r="AB629" s="2">
        <v>-0.28653754435429929</v>
      </c>
      <c r="AD629" s="31">
        <v>1963.9166666687299</v>
      </c>
      <c r="AE629" s="2">
        <v>1.0532929269135634E-2</v>
      </c>
      <c r="AF629" s="2">
        <v>-0.68622224125583742</v>
      </c>
      <c r="AG629" s="2">
        <v>-0.38762535140476828</v>
      </c>
      <c r="AH629" s="31"/>
      <c r="AI629" s="31">
        <v>1963.9166666687299</v>
      </c>
      <c r="AJ629" s="2">
        <v>-1.7688631069442557</v>
      </c>
      <c r="AK629" s="2">
        <v>0.52667636231568804</v>
      </c>
      <c r="AL629" s="2">
        <v>-1.4295040244942956</v>
      </c>
      <c r="AM629" s="31"/>
      <c r="AN629" s="2">
        <f t="shared" si="89"/>
        <v>-0.66146976917939482</v>
      </c>
      <c r="AO629" s="2">
        <f t="shared" si="82"/>
        <v>-0.11594908233820818</v>
      </c>
      <c r="AP629" s="2">
        <f t="shared" si="83"/>
        <v>-0.70122230675112107</v>
      </c>
      <c r="AQ629" s="31"/>
      <c r="AR629" s="31">
        <v>1963.9166666687299</v>
      </c>
      <c r="AS629" s="2">
        <v>7.4180890396210522E-2</v>
      </c>
      <c r="AT629" s="2">
        <v>0.68444756444045063</v>
      </c>
      <c r="AU629" s="2">
        <v>0.51655009356737358</v>
      </c>
      <c r="AV629" s="31"/>
      <c r="AW629" s="31">
        <v>1963.9166666687299</v>
      </c>
      <c r="AX629" s="2">
        <v>0.21768043590532413</v>
      </c>
      <c r="AY629" s="2">
        <v>-0.51751295497595129</v>
      </c>
      <c r="AZ629" s="2">
        <v>8.2190885916963913E-2</v>
      </c>
      <c r="BA629" s="31"/>
      <c r="BB629" s="31">
        <v>1963.9166666687299</v>
      </c>
      <c r="BC629" s="2">
        <v>-1.6788781849148584</v>
      </c>
      <c r="BD629" s="2">
        <v>2.2179258223366851</v>
      </c>
      <c r="BE629" s="2">
        <v>-1.3343083456166627</v>
      </c>
      <c r="BG629" s="2">
        <f t="shared" si="90"/>
        <v>-0.46233895287110793</v>
      </c>
      <c r="BH629" s="2">
        <f t="shared" si="84"/>
        <v>0.79495347726706156</v>
      </c>
      <c r="BI629" s="2">
        <f t="shared" si="85"/>
        <v>-0.24518912204410837</v>
      </c>
    </row>
    <row r="630" spans="6:61" x14ac:dyDescent="0.3">
      <c r="F630" s="31">
        <v>1963.8333333354001</v>
      </c>
      <c r="G630" s="2">
        <v>0.76907163613947083</v>
      </c>
      <c r="H630" s="2">
        <v>9.2249999999999749E-2</v>
      </c>
      <c r="I630" s="2">
        <v>7.0345459820276471E-2</v>
      </c>
      <c r="K630" s="31">
        <v>1963.8333333354001</v>
      </c>
      <c r="L630" s="2">
        <v>0.81375497653363627</v>
      </c>
      <c r="M630" s="2">
        <v>9.2279999999999945E-2</v>
      </c>
      <c r="N630" s="2">
        <v>7.7410737297255464E-2</v>
      </c>
      <c r="P630" s="31">
        <v>1963.8333333354001</v>
      </c>
      <c r="Q630" s="2">
        <v>0.56302316891425108</v>
      </c>
      <c r="R630" s="2">
        <v>9.5850000000000463E-2</v>
      </c>
      <c r="S630" s="2">
        <v>3.172966309681767E-2</v>
      </c>
      <c r="U630" s="2">
        <f t="shared" si="86"/>
        <v>0.71528326052911939</v>
      </c>
      <c r="V630" s="2">
        <f t="shared" si="87"/>
        <v>9.3460000000000057E-2</v>
      </c>
      <c r="W630" s="2">
        <f t="shared" si="88"/>
        <v>5.9828620071449866E-2</v>
      </c>
      <c r="Y630" s="31">
        <v>1963.8333333354001</v>
      </c>
      <c r="Z630" s="2">
        <v>0.20522634711944052</v>
      </c>
      <c r="AA630" s="2">
        <v>-0.1883013680744752</v>
      </c>
      <c r="AB630" s="2">
        <v>-0.11123894679537125</v>
      </c>
      <c r="AD630" s="31">
        <v>1963.8333333354001</v>
      </c>
      <c r="AE630" s="2">
        <v>2.6735056448455741E-2</v>
      </c>
      <c r="AF630" s="2">
        <v>6.7241855071186282E-2</v>
      </c>
      <c r="AG630" s="2">
        <v>0.65877438339314787</v>
      </c>
      <c r="AH630" s="31"/>
      <c r="AI630" s="31">
        <v>1963.8333333354001</v>
      </c>
      <c r="AJ630" s="2">
        <v>-1.3499660235910753</v>
      </c>
      <c r="AK630" s="2">
        <v>-4.4052846898962821E-2</v>
      </c>
      <c r="AL630" s="2">
        <v>-1.0643876661378537</v>
      </c>
      <c r="AM630" s="31"/>
      <c r="AN630" s="2">
        <f t="shared" si="89"/>
        <v>-0.3726682066743931</v>
      </c>
      <c r="AO630" s="2">
        <f t="shared" si="82"/>
        <v>-5.5037453300750577E-2</v>
      </c>
      <c r="AP630" s="2">
        <f t="shared" si="83"/>
        <v>-0.17228407651335906</v>
      </c>
      <c r="AQ630" s="31"/>
      <c r="AR630" s="31">
        <v>1963.8333333354001</v>
      </c>
      <c r="AS630" s="2">
        <v>0.26854137098708242</v>
      </c>
      <c r="AT630" s="2">
        <v>1.0321667531313441</v>
      </c>
      <c r="AU630" s="2">
        <v>1.2284059843247335</v>
      </c>
      <c r="AV630" s="31"/>
      <c r="AW630" s="31">
        <v>1963.8333333354001</v>
      </c>
      <c r="AX630" s="2">
        <v>0.16155438842044959</v>
      </c>
      <c r="AY630" s="2">
        <v>1.2558045277773568</v>
      </c>
      <c r="AZ630" s="2">
        <v>1.7697977849310429</v>
      </c>
      <c r="BA630" s="31"/>
      <c r="BB630" s="31">
        <v>1963.8333333354001</v>
      </c>
      <c r="BC630" s="2">
        <v>-0.81809207438687159</v>
      </c>
      <c r="BD630" s="2">
        <v>0.77674476466510867</v>
      </c>
      <c r="BE630" s="2">
        <v>-0.52391965921242656</v>
      </c>
      <c r="BG630" s="2">
        <f t="shared" si="90"/>
        <v>-0.12933210499311321</v>
      </c>
      <c r="BH630" s="2">
        <f t="shared" si="84"/>
        <v>1.0215720151912697</v>
      </c>
      <c r="BI630" s="2">
        <f t="shared" si="85"/>
        <v>0.82476137001444982</v>
      </c>
    </row>
    <row r="631" spans="6:61" x14ac:dyDescent="0.3">
      <c r="F631" s="31">
        <v>1963.75000000207</v>
      </c>
      <c r="G631" s="2">
        <v>0.82943483339724899</v>
      </c>
      <c r="H631" s="2">
        <v>0.12299999999999969</v>
      </c>
      <c r="I631" s="2">
        <v>0.10202048450786139</v>
      </c>
      <c r="K631" s="31">
        <v>1963.75000000207</v>
      </c>
      <c r="L631" s="2">
        <v>0.81300775639211786</v>
      </c>
      <c r="M631" s="2">
        <v>9.2279999999999945E-2</v>
      </c>
      <c r="N631" s="2">
        <v>7.645912727739558E-2</v>
      </c>
      <c r="P631" s="31">
        <v>1963.75000000207</v>
      </c>
      <c r="Q631" s="2">
        <v>0.59690469630847398</v>
      </c>
      <c r="R631" s="2">
        <v>0.1198000000000006</v>
      </c>
      <c r="S631" s="2">
        <v>3.5005195959413642E-2</v>
      </c>
      <c r="U631" s="2">
        <f t="shared" si="86"/>
        <v>0.74644909536594695</v>
      </c>
      <c r="V631" s="2">
        <f t="shared" si="87"/>
        <v>0.11169333333333342</v>
      </c>
      <c r="W631" s="2">
        <f t="shared" si="88"/>
        <v>7.1161602581556863E-2</v>
      </c>
      <c r="Y631" s="31">
        <v>1963.75000000207</v>
      </c>
      <c r="Z631" s="2">
        <v>0.55521676406584752</v>
      </c>
      <c r="AA631" s="2">
        <v>0.41216179278103221</v>
      </c>
      <c r="AB631" s="2">
        <v>0.61773764333162062</v>
      </c>
      <c r="AD631" s="31">
        <v>1963.75000000207</v>
      </c>
      <c r="AE631" s="2">
        <v>2.2288531199626628E-2</v>
      </c>
      <c r="AF631" s="2">
        <v>6.7241855071186282E-2</v>
      </c>
      <c r="AG631" s="2">
        <v>0.62258959278504855</v>
      </c>
      <c r="AH631" s="31"/>
      <c r="AI631" s="31">
        <v>1963.75000000207</v>
      </c>
      <c r="AJ631" s="2">
        <v>-1.1034051560246245</v>
      </c>
      <c r="AK631" s="2">
        <v>0.52667636231568804</v>
      </c>
      <c r="AL631" s="2">
        <v>-0.79966609489627383</v>
      </c>
      <c r="AM631" s="31"/>
      <c r="AN631" s="2">
        <f t="shared" si="89"/>
        <v>-0.17529995358638348</v>
      </c>
      <c r="AO631" s="2">
        <f t="shared" si="82"/>
        <v>0.33536000338930222</v>
      </c>
      <c r="AP631" s="2">
        <f t="shared" si="83"/>
        <v>0.14688704707346512</v>
      </c>
      <c r="AQ631" s="31"/>
      <c r="AR631" s="31">
        <v>1963.75000000207</v>
      </c>
      <c r="AS631" s="2">
        <v>0.59427976286462325</v>
      </c>
      <c r="AT631" s="2">
        <v>2.4649305945655047</v>
      </c>
      <c r="AU631" s="2">
        <v>2.2961095004012897</v>
      </c>
      <c r="AV631" s="31"/>
      <c r="AW631" s="31">
        <v>1963.75000000207</v>
      </c>
      <c r="AX631" s="2">
        <v>9.0654506225221962E-2</v>
      </c>
      <c r="AY631" s="2">
        <v>0.96310780514635363</v>
      </c>
      <c r="AZ631" s="2">
        <v>1.7456616515124472</v>
      </c>
      <c r="BA631" s="31"/>
      <c r="BB631" s="31">
        <v>1963.75000000207</v>
      </c>
      <c r="BC631" s="2">
        <v>-1.149563765774142</v>
      </c>
      <c r="BD631" s="2">
        <v>1.3307501689804029</v>
      </c>
      <c r="BE631" s="2">
        <v>-0.96940162310960631</v>
      </c>
      <c r="BG631" s="2">
        <f t="shared" si="90"/>
        <v>-0.1548764988947656</v>
      </c>
      <c r="BH631" s="2">
        <f t="shared" si="84"/>
        <v>1.5862628562307537</v>
      </c>
      <c r="BI631" s="2">
        <f t="shared" si="85"/>
        <v>1.0241231762680434</v>
      </c>
    </row>
    <row r="632" spans="6:61" x14ac:dyDescent="0.3">
      <c r="F632" s="31">
        <v>1963.6666666687399</v>
      </c>
      <c r="G632" s="2">
        <v>0.86362850240592071</v>
      </c>
      <c r="H632" s="2">
        <v>9.2249999999999749E-2</v>
      </c>
      <c r="I632" s="2">
        <v>8.0692662972523435E-2</v>
      </c>
      <c r="K632" s="31">
        <v>1963.6666666687399</v>
      </c>
      <c r="L632" s="2">
        <v>0.79011698416466358</v>
      </c>
      <c r="M632" s="2">
        <v>6.1514999999999952E-2</v>
      </c>
      <c r="N632" s="2">
        <v>4.8603795526295943E-2</v>
      </c>
      <c r="P632" s="31">
        <v>1963.6666666687399</v>
      </c>
      <c r="Q632" s="2">
        <v>0.59698984732501825</v>
      </c>
      <c r="R632" s="2">
        <v>9.5850000000000463E-2</v>
      </c>
      <c r="S632" s="2">
        <v>3.724909044307944E-2</v>
      </c>
      <c r="U632" s="2">
        <f t="shared" si="86"/>
        <v>0.75024511129853411</v>
      </c>
      <c r="V632" s="2">
        <f t="shared" si="87"/>
        <v>8.3205000000000057E-2</v>
      </c>
      <c r="W632" s="2">
        <f t="shared" si="88"/>
        <v>5.5515182980632939E-2</v>
      </c>
      <c r="Y632" s="31">
        <v>1963.6666666687399</v>
      </c>
      <c r="Z632" s="2">
        <v>0.75347426229222536</v>
      </c>
      <c r="AA632" s="2">
        <v>-0.1883013680744752</v>
      </c>
      <c r="AB632" s="2">
        <v>0.12689406006642595</v>
      </c>
      <c r="AD632" s="31">
        <v>1963.6666666687399</v>
      </c>
      <c r="AE632" s="2">
        <v>-0.11392888455115741</v>
      </c>
      <c r="AF632" s="2">
        <v>-0.68622224125583742</v>
      </c>
      <c r="AG632" s="2">
        <v>-0.43660411650470088</v>
      </c>
      <c r="AH632" s="31"/>
      <c r="AI632" s="31">
        <v>1963.6666666687399</v>
      </c>
      <c r="AJ632" s="2">
        <v>-0.91101291184738564</v>
      </c>
      <c r="AK632" s="2">
        <v>-4.4052846898962821E-2</v>
      </c>
      <c r="AL632" s="2">
        <v>-0.61831933443496911</v>
      </c>
      <c r="AM632" s="31"/>
      <c r="AN632" s="2">
        <f t="shared" si="89"/>
        <v>-9.0489178035439211E-2</v>
      </c>
      <c r="AO632" s="2">
        <f t="shared" si="82"/>
        <v>-0.30619215207642514</v>
      </c>
      <c r="AP632" s="2">
        <f t="shared" si="83"/>
        <v>-0.3093431302910814</v>
      </c>
      <c r="AQ632" s="31"/>
      <c r="AR632" s="31">
        <v>1963.6666666687399</v>
      </c>
      <c r="AS632" s="2">
        <v>0.26781003632098116</v>
      </c>
      <c r="AT632" s="2">
        <v>0.70701225639459664</v>
      </c>
      <c r="AU632" s="2">
        <v>0.9887015749463085</v>
      </c>
      <c r="AV632" s="31"/>
      <c r="AW632" s="31">
        <v>1963.6666666687399</v>
      </c>
      <c r="AX632" s="2">
        <v>-0.15385847627284668</v>
      </c>
      <c r="AY632" s="2">
        <v>-0.23837245449551037</v>
      </c>
      <c r="AZ632" s="2">
        <v>-0.16984528561761569</v>
      </c>
      <c r="BA632" s="31"/>
      <c r="BB632" s="31">
        <v>1963.6666666687399</v>
      </c>
      <c r="BC632" s="2">
        <v>-1.0719578013585507</v>
      </c>
      <c r="BD632" s="2">
        <v>1.0283839161259722</v>
      </c>
      <c r="BE632" s="2">
        <v>-0.54484126404601441</v>
      </c>
      <c r="BG632" s="2">
        <f t="shared" si="90"/>
        <v>-0.31933541377013874</v>
      </c>
      <c r="BH632" s="2">
        <f t="shared" si="84"/>
        <v>0.49900790600835282</v>
      </c>
      <c r="BI632" s="2">
        <f t="shared" si="85"/>
        <v>9.1338341760892797E-2</v>
      </c>
    </row>
    <row r="633" spans="6:61" x14ac:dyDescent="0.3">
      <c r="F633" s="31">
        <v>1963.5833333354101</v>
      </c>
      <c r="G633" s="2">
        <v>0.88796423379905676</v>
      </c>
      <c r="H633" s="2">
        <v>9.2249999999999749E-2</v>
      </c>
      <c r="I633" s="2">
        <v>8.3456259267912225E-2</v>
      </c>
      <c r="K633" s="31">
        <v>1963.5833333354101</v>
      </c>
      <c r="L633" s="2">
        <v>0.74886745960106005</v>
      </c>
      <c r="M633" s="2">
        <v>9.2279999999999945E-2</v>
      </c>
      <c r="N633" s="2">
        <v>6.6003277210299804E-2</v>
      </c>
      <c r="P633" s="31">
        <v>1963.5833333354101</v>
      </c>
      <c r="Q633" s="2">
        <v>0.61052858033604651</v>
      </c>
      <c r="R633" s="2">
        <v>0.1198000000000006</v>
      </c>
      <c r="S633" s="2">
        <v>3.8833915372932001E-2</v>
      </c>
      <c r="U633" s="2">
        <f t="shared" si="86"/>
        <v>0.7491200912453877</v>
      </c>
      <c r="V633" s="2">
        <f t="shared" si="87"/>
        <v>0.10144333333333344</v>
      </c>
      <c r="W633" s="2">
        <f t="shared" si="88"/>
        <v>6.2764483950381353E-2</v>
      </c>
      <c r="Y633" s="31">
        <v>1963.5833333354101</v>
      </c>
      <c r="Z633" s="2">
        <v>0.8945746871190754</v>
      </c>
      <c r="AA633" s="2">
        <v>-0.1883013680744752</v>
      </c>
      <c r="AB633" s="2">
        <v>0.19049612585075767</v>
      </c>
      <c r="AD633" s="31">
        <v>1963.5833333354101</v>
      </c>
      <c r="AE633" s="2">
        <v>-0.35939476840908474</v>
      </c>
      <c r="AF633" s="2">
        <v>6.7241855071186282E-2</v>
      </c>
      <c r="AG633" s="2">
        <v>0.22500787610319806</v>
      </c>
      <c r="AH633" s="31"/>
      <c r="AI633" s="31">
        <v>1963.5833333354101</v>
      </c>
      <c r="AJ633" s="2">
        <v>-0.7682770483529423</v>
      </c>
      <c r="AK633" s="2">
        <v>0.52667636231568804</v>
      </c>
      <c r="AL633" s="2">
        <v>-0.49023716790744454</v>
      </c>
      <c r="AM633" s="31"/>
      <c r="AN633" s="2">
        <f t="shared" si="89"/>
        <v>-7.7699043214317198E-2</v>
      </c>
      <c r="AO633" s="2">
        <f t="shared" si="82"/>
        <v>0.1352056164374664</v>
      </c>
      <c r="AP633" s="2">
        <f t="shared" si="83"/>
        <v>-2.4911055317829601E-2</v>
      </c>
      <c r="AQ633" s="31"/>
      <c r="AR633" s="31">
        <v>1963.5833333354101</v>
      </c>
      <c r="AS633" s="2">
        <v>0.41755337561116901</v>
      </c>
      <c r="AT633" s="2">
        <v>0.98806436351113014</v>
      </c>
      <c r="AU633" s="2">
        <v>0.98505216193482781</v>
      </c>
      <c r="AV633" s="31"/>
      <c r="AW633" s="31">
        <v>1963.5833333354101</v>
      </c>
      <c r="AX633" s="2">
        <v>-0.64313424029716981</v>
      </c>
      <c r="AY633" s="2">
        <v>1.4464725573415451</v>
      </c>
      <c r="AZ633" s="2">
        <v>1.1585467419766879</v>
      </c>
      <c r="BA633" s="31"/>
      <c r="BB633" s="31">
        <v>1963.5833333354101</v>
      </c>
      <c r="BC633" s="2">
        <v>-1.2418337908856238</v>
      </c>
      <c r="BD633" s="2">
        <v>2.0649640901141915</v>
      </c>
      <c r="BE633" s="2">
        <v>-1.0808816983668217</v>
      </c>
      <c r="BG633" s="2">
        <f t="shared" si="90"/>
        <v>-0.4891382185238749</v>
      </c>
      <c r="BH633" s="2">
        <f t="shared" si="84"/>
        <v>1.499833670322289</v>
      </c>
      <c r="BI633" s="2">
        <f t="shared" si="85"/>
        <v>0.354239068514898</v>
      </c>
    </row>
    <row r="634" spans="6:61" x14ac:dyDescent="0.3">
      <c r="F634" s="31">
        <v>1963.50000000208</v>
      </c>
      <c r="G634" s="2">
        <v>0.89900780250713308</v>
      </c>
      <c r="H634" s="2">
        <v>6.1499999999999846E-2</v>
      </c>
      <c r="I634" s="2">
        <v>5.5288979854188541E-2</v>
      </c>
      <c r="K634" s="31">
        <v>1963.50000000208</v>
      </c>
      <c r="L634" s="2">
        <v>0.54116774406609991</v>
      </c>
      <c r="M634" s="2">
        <v>6.1530000000000001E-2</v>
      </c>
      <c r="N634" s="2">
        <v>3.3298051292387131E-2</v>
      </c>
      <c r="P634" s="31">
        <v>1963.50000000208</v>
      </c>
      <c r="Q634" s="2">
        <v>0.60997774552681183</v>
      </c>
      <c r="R634" s="2">
        <v>9.5850000000000463E-2</v>
      </c>
      <c r="S634" s="2">
        <v>4.1031887607407065E-2</v>
      </c>
      <c r="U634" s="2">
        <f t="shared" si="86"/>
        <v>0.68338443070001487</v>
      </c>
      <c r="V634" s="2">
        <f t="shared" si="87"/>
        <v>7.2960000000000094E-2</v>
      </c>
      <c r="W634" s="2">
        <f t="shared" si="88"/>
        <v>4.3206306251327577E-2</v>
      </c>
      <c r="Y634" s="31">
        <v>1963.50000000208</v>
      </c>
      <c r="Z634" s="2">
        <v>0.9586061399298007</v>
      </c>
      <c r="AA634" s="2">
        <v>-0.78876452892998183</v>
      </c>
      <c r="AB634" s="2">
        <v>-0.45775237601129665</v>
      </c>
      <c r="AD634" s="31">
        <v>1963.50000000208</v>
      </c>
      <c r="AE634" s="2">
        <v>-1.5953652381345473</v>
      </c>
      <c r="AF634" s="2">
        <v>-0.68585487699629111</v>
      </c>
      <c r="AG634" s="2">
        <v>-1.0186021394833387</v>
      </c>
      <c r="AH634" s="31"/>
      <c r="AI634" s="31">
        <v>1963.50000000208</v>
      </c>
      <c r="AJ634" s="2">
        <v>-0.57879093502867951</v>
      </c>
      <c r="AK634" s="2">
        <v>-4.4052846898962821E-2</v>
      </c>
      <c r="AL634" s="2">
        <v>-0.31260174556139353</v>
      </c>
      <c r="AM634" s="31"/>
      <c r="AN634" s="2">
        <f t="shared" si="89"/>
        <v>-0.40518334441114207</v>
      </c>
      <c r="AO634" s="2">
        <f t="shared" si="82"/>
        <v>-0.50622408427507859</v>
      </c>
      <c r="AP634" s="2">
        <f t="shared" si="83"/>
        <v>-0.59631875368534293</v>
      </c>
      <c r="AQ634" s="31"/>
      <c r="AR634" s="31">
        <v>1963.50000000208</v>
      </c>
      <c r="AS634" s="2">
        <v>0.1539738204609464</v>
      </c>
      <c r="AT634" s="2">
        <v>-2.3130098149132094E-2</v>
      </c>
      <c r="AU634" s="2">
        <v>0.12099949793512038</v>
      </c>
      <c r="AV634" s="31"/>
      <c r="AW634" s="31">
        <v>1963.50000000208</v>
      </c>
      <c r="AX634" s="2">
        <v>-0.84364303533491392</v>
      </c>
      <c r="AY634" s="2">
        <v>-0.10730219351257217</v>
      </c>
      <c r="AZ634" s="2">
        <v>-0.84325663190152489</v>
      </c>
      <c r="BA634" s="31"/>
      <c r="BB634" s="31">
        <v>1963.50000000208</v>
      </c>
      <c r="BC634" s="2">
        <v>-0.65347047040825446</v>
      </c>
      <c r="BD634" s="2">
        <v>1.239044249941025</v>
      </c>
      <c r="BE634" s="2">
        <v>-8.9472850484424896E-2</v>
      </c>
      <c r="BG634" s="2">
        <f t="shared" si="90"/>
        <v>-0.44771322842740729</v>
      </c>
      <c r="BH634" s="2">
        <f t="shared" si="84"/>
        <v>0.36953731942644025</v>
      </c>
      <c r="BI634" s="2">
        <f t="shared" si="85"/>
        <v>-0.27057666148360981</v>
      </c>
    </row>
    <row r="635" spans="6:61" x14ac:dyDescent="0.3">
      <c r="F635" s="31">
        <v>1963.4166666687499</v>
      </c>
      <c r="G635" s="2">
        <v>0.94957475284968007</v>
      </c>
      <c r="H635" s="2">
        <v>0.12299999999999964</v>
      </c>
      <c r="I635" s="2">
        <v>0.11542148952340098</v>
      </c>
      <c r="K635" s="31">
        <v>1963.4166666687499</v>
      </c>
      <c r="L635" s="2">
        <v>0.70490503749653288</v>
      </c>
      <c r="M635" s="2">
        <v>9.2264999999999903E-2</v>
      </c>
      <c r="N635" s="2">
        <v>4.3359502996636851E-2</v>
      </c>
      <c r="P635" s="31">
        <v>1963.4166666687499</v>
      </c>
      <c r="Q635" s="2">
        <v>0.62055055524370162</v>
      </c>
      <c r="R635" s="2">
        <v>7.1900000000000297E-2</v>
      </c>
      <c r="S635" s="2">
        <v>4.2583062710744107E-2</v>
      </c>
      <c r="U635" s="2">
        <f t="shared" si="86"/>
        <v>0.75834344852997149</v>
      </c>
      <c r="V635" s="2">
        <f t="shared" si="87"/>
        <v>9.5721666666666608E-2</v>
      </c>
      <c r="W635" s="2">
        <f t="shared" si="88"/>
        <v>6.7121351743593974E-2</v>
      </c>
      <c r="Y635" s="31">
        <v>1963.4166666687499</v>
      </c>
      <c r="Z635" s="2">
        <v>1.2517971708574376</v>
      </c>
      <c r="AA635" s="2">
        <v>0.41216179278103116</v>
      </c>
      <c r="AB635" s="2">
        <v>0.92615157629160827</v>
      </c>
      <c r="AD635" s="31">
        <v>1963.4166666687499</v>
      </c>
      <c r="AE635" s="2">
        <v>-0.62100444543175548</v>
      </c>
      <c r="AF635" s="2">
        <v>6.6874490811640125E-2</v>
      </c>
      <c r="AG635" s="2">
        <v>-0.63601734578246216</v>
      </c>
      <c r="AH635" s="31"/>
      <c r="AI635" s="31">
        <v>1963.4166666687499</v>
      </c>
      <c r="AJ635" s="2">
        <v>-0.46061588762472322</v>
      </c>
      <c r="AK635" s="2">
        <v>-0.61478205611361436</v>
      </c>
      <c r="AL635" s="2">
        <v>-0.18723908615556975</v>
      </c>
      <c r="AM635" s="31"/>
      <c r="AN635" s="2">
        <f t="shared" si="89"/>
        <v>5.6725612600319643E-2</v>
      </c>
      <c r="AO635" s="2">
        <f t="shared" si="82"/>
        <v>-4.5248590840314372E-2</v>
      </c>
      <c r="AP635" s="2">
        <f t="shared" si="83"/>
        <v>3.4298381451192128E-2</v>
      </c>
      <c r="AQ635" s="31"/>
      <c r="AR635" s="31">
        <v>1963.4166666687499</v>
      </c>
      <c r="AS635" s="2">
        <v>0.62975587680444978</v>
      </c>
      <c r="AT635" s="2">
        <v>-1.0250935790978124</v>
      </c>
      <c r="AU635" s="2">
        <v>-0.56715668279567943</v>
      </c>
      <c r="AV635" s="31"/>
      <c r="AW635" s="31">
        <v>1963.4166666687499</v>
      </c>
      <c r="AX635" s="2">
        <v>-1.0439153786119628</v>
      </c>
      <c r="AY635" s="2">
        <v>-1.0196274698486036</v>
      </c>
      <c r="AZ635" s="2">
        <v>-1.2306637865470023</v>
      </c>
      <c r="BA635" s="31"/>
      <c r="BB635" s="31">
        <v>1963.4166666687499</v>
      </c>
      <c r="BC635" s="2">
        <v>-1.2272767416065713</v>
      </c>
      <c r="BD635" s="2">
        <v>-2.0364024332560446</v>
      </c>
      <c r="BE635" s="2">
        <v>-1.1627194413827424</v>
      </c>
      <c r="BG635" s="2">
        <f t="shared" si="90"/>
        <v>-0.54714541447136134</v>
      </c>
      <c r="BH635" s="2">
        <f t="shared" si="84"/>
        <v>-1.3603744940674869</v>
      </c>
      <c r="BI635" s="2">
        <f t="shared" si="85"/>
        <v>-0.98684663690847463</v>
      </c>
    </row>
    <row r="636" spans="6:61" x14ac:dyDescent="0.3">
      <c r="F636" s="31">
        <v>1963.3333333354201</v>
      </c>
      <c r="G636" s="2">
        <v>0.8902481636862889</v>
      </c>
      <c r="H636" s="2">
        <v>9.2249999999999749E-2</v>
      </c>
      <c r="I636" s="2">
        <v>7.9930752556000823E-2</v>
      </c>
      <c r="K636" s="31">
        <v>1963.3333333354201</v>
      </c>
      <c r="L636" s="2">
        <v>0.66241735163217053</v>
      </c>
      <c r="M636" s="2">
        <v>9.2264999999999903E-2</v>
      </c>
      <c r="N636" s="2">
        <v>4.0746434781923038E-2</v>
      </c>
      <c r="P636" s="31">
        <v>1963.3333333354201</v>
      </c>
      <c r="Q636" s="2">
        <v>0.66390504877983714</v>
      </c>
      <c r="R636" s="2">
        <v>7.1900000000000297E-2</v>
      </c>
      <c r="S636" s="2">
        <v>4.3247822678283122E-2</v>
      </c>
      <c r="U636" s="2">
        <f t="shared" si="86"/>
        <v>0.7388568546994323</v>
      </c>
      <c r="V636" s="2">
        <f t="shared" si="87"/>
        <v>8.5471666666666654E-2</v>
      </c>
      <c r="W636" s="2">
        <f t="shared" si="88"/>
        <v>5.4641670005402328E-2</v>
      </c>
      <c r="Y636" s="31">
        <v>1963.3333333354201</v>
      </c>
      <c r="Z636" s="2">
        <v>0.90781708662444183</v>
      </c>
      <c r="AA636" s="2">
        <v>-0.1883013680744752</v>
      </c>
      <c r="AB636" s="2">
        <v>0.10935927160463238</v>
      </c>
      <c r="AD636" s="31">
        <v>1963.3333333354201</v>
      </c>
      <c r="AE636" s="2">
        <v>-0.87383832592151822</v>
      </c>
      <c r="AF636" s="2">
        <v>6.6874490811640125E-2</v>
      </c>
      <c r="AG636" s="2">
        <v>-0.73537876928662149</v>
      </c>
      <c r="AH636" s="31"/>
      <c r="AI636" s="31">
        <v>1963.3333333354201</v>
      </c>
      <c r="AJ636" s="2">
        <v>-0.41592220519542139</v>
      </c>
      <c r="AK636" s="2">
        <v>-0.61478205611361436</v>
      </c>
      <c r="AL636" s="2">
        <v>-0.13351460513602581</v>
      </c>
      <c r="AM636" s="31"/>
      <c r="AN636" s="2">
        <f t="shared" si="89"/>
        <v>-0.12731448149749924</v>
      </c>
      <c r="AO636" s="2">
        <f t="shared" si="82"/>
        <v>-0.24540297779214981</v>
      </c>
      <c r="AP636" s="2">
        <f t="shared" si="83"/>
        <v>-0.25317803427267166</v>
      </c>
      <c r="AQ636" s="31"/>
      <c r="AR636" s="31">
        <v>1963.3333333354201</v>
      </c>
      <c r="AS636" s="2">
        <v>0.88261792685622653</v>
      </c>
      <c r="AT636" s="2">
        <v>-1.2318355951367148</v>
      </c>
      <c r="AU636" s="2">
        <v>-0.83480736140560596</v>
      </c>
      <c r="AV636" s="31"/>
      <c r="AW636" s="31">
        <v>1963.3333333354201</v>
      </c>
      <c r="AX636" s="2">
        <v>-0.97980964101697587</v>
      </c>
      <c r="AY636" s="2">
        <v>-0.6035549277918324</v>
      </c>
      <c r="AZ636" s="2">
        <v>-0.89049436885986466</v>
      </c>
      <c r="BA636" s="31"/>
      <c r="BB636" s="31">
        <v>1963.3333333354201</v>
      </c>
      <c r="BC636" s="2">
        <v>-0.74141184198690835</v>
      </c>
      <c r="BD636" s="2">
        <v>-1.2946315076121118</v>
      </c>
      <c r="BE636" s="2">
        <v>-0.57297360065226632</v>
      </c>
      <c r="BG636" s="2">
        <f t="shared" si="90"/>
        <v>-0.27953451871588592</v>
      </c>
      <c r="BH636" s="2">
        <f t="shared" si="84"/>
        <v>-1.0433406768468865</v>
      </c>
      <c r="BI636" s="2">
        <f t="shared" si="85"/>
        <v>-0.76609177697257902</v>
      </c>
    </row>
    <row r="637" spans="6:61" x14ac:dyDescent="0.3">
      <c r="F637" s="31">
        <v>1963.25000000209</v>
      </c>
      <c r="G637" s="2">
        <v>0.81613337398587082</v>
      </c>
      <c r="H637" s="2">
        <v>9.2249999999999749E-2</v>
      </c>
      <c r="I637" s="2">
        <v>7.197850389367251E-2</v>
      </c>
      <c r="K637" s="31">
        <v>1963.25000000209</v>
      </c>
      <c r="L637" s="2">
        <v>0.620691622213978</v>
      </c>
      <c r="M637" s="2">
        <v>9.2264999999999903E-2</v>
      </c>
      <c r="N637" s="2">
        <v>3.8180226496083991E-2</v>
      </c>
      <c r="P637" s="31">
        <v>1963.25000000209</v>
      </c>
      <c r="Q637" s="2">
        <v>0.60001569133083865</v>
      </c>
      <c r="R637" s="2">
        <v>4.7900000000000303E-2</v>
      </c>
      <c r="S637" s="2">
        <v>2.9038069172435961E-2</v>
      </c>
      <c r="U637" s="2">
        <f t="shared" si="86"/>
        <v>0.6789468958435626</v>
      </c>
      <c r="V637" s="2">
        <f t="shared" si="87"/>
        <v>7.7471666666666647E-2</v>
      </c>
      <c r="W637" s="2">
        <f t="shared" si="88"/>
        <v>4.6398933187397483E-2</v>
      </c>
      <c r="Y637" s="31">
        <v>1963.25000000209</v>
      </c>
      <c r="Z637" s="2">
        <v>0.47809388892218402</v>
      </c>
      <c r="AA637" s="2">
        <v>-0.1883013680744752</v>
      </c>
      <c r="AB637" s="2">
        <v>-7.365568010835466E-2</v>
      </c>
      <c r="AD637" s="31">
        <v>1963.25000000209</v>
      </c>
      <c r="AE637" s="2">
        <v>-1.1221379889991039</v>
      </c>
      <c r="AF637" s="2">
        <v>6.6874490811640125E-2</v>
      </c>
      <c r="AG637" s="2">
        <v>-0.83295835287857234</v>
      </c>
      <c r="AH637" s="31"/>
      <c r="AI637" s="31">
        <v>1963.25000000209</v>
      </c>
      <c r="AJ637" s="2">
        <v>-0.39985922377037725</v>
      </c>
      <c r="AK637" s="2">
        <v>-1.186702766808877</v>
      </c>
      <c r="AL637" s="2">
        <v>-1.281916539361222</v>
      </c>
      <c r="AM637" s="31"/>
      <c r="AN637" s="2">
        <f t="shared" si="89"/>
        <v>-0.34796777461576572</v>
      </c>
      <c r="AO637" s="2">
        <f t="shared" si="82"/>
        <v>-0.43604321469057067</v>
      </c>
      <c r="AP637" s="2">
        <f t="shared" si="83"/>
        <v>-0.72951019078271628</v>
      </c>
      <c r="AQ637" s="31"/>
      <c r="AR637" s="31">
        <v>1963.25000000209</v>
      </c>
      <c r="AS637" s="2">
        <v>0.76660092916439926</v>
      </c>
      <c r="AT637" s="2">
        <v>-1.4277403812081235</v>
      </c>
      <c r="AU637" s="2">
        <v>-0.98551430784609995</v>
      </c>
      <c r="AV637" s="31"/>
      <c r="AW637" s="31">
        <v>1963.25000000209</v>
      </c>
      <c r="AX637" s="2">
        <v>-1.0844971233158718</v>
      </c>
      <c r="AY637" s="2">
        <v>-0.8205967459488962</v>
      </c>
      <c r="AZ637" s="2">
        <v>-1.0353785080470075</v>
      </c>
      <c r="BA637" s="31"/>
      <c r="BB637" s="31">
        <v>1963.25000000209</v>
      </c>
      <c r="BC637" s="2">
        <v>-0.15563506987155365</v>
      </c>
      <c r="BD637" s="2">
        <v>-2.1430398845941969</v>
      </c>
      <c r="BE637" s="2">
        <v>-1.5235798137420231</v>
      </c>
      <c r="BG637" s="2">
        <f t="shared" si="90"/>
        <v>-0.15784375467434206</v>
      </c>
      <c r="BH637" s="2">
        <f t="shared" si="84"/>
        <v>-1.4637923372504054</v>
      </c>
      <c r="BI637" s="2">
        <f t="shared" si="85"/>
        <v>-1.1814908765450436</v>
      </c>
    </row>
    <row r="638" spans="6:61" x14ac:dyDescent="0.3">
      <c r="F638" s="31">
        <v>1963.1666666687599</v>
      </c>
      <c r="G638" s="2">
        <v>0.73532635115861145</v>
      </c>
      <c r="H638" s="2">
        <v>9.2249999999999749E-2</v>
      </c>
      <c r="I638" s="2">
        <v>6.3263515771672385E-2</v>
      </c>
      <c r="K638" s="31">
        <v>1963.1666666687599</v>
      </c>
      <c r="L638" s="2">
        <v>0.60304807400362859</v>
      </c>
      <c r="M638" s="2">
        <v>9.2264999999999903E-2</v>
      </c>
      <c r="N638" s="2">
        <v>3.7095069810096561E-2</v>
      </c>
      <c r="P638" s="31">
        <v>1963.1666666687599</v>
      </c>
      <c r="Q638" s="2">
        <v>0.69230608262639803</v>
      </c>
      <c r="R638" s="2">
        <v>7.1900000000000297E-2</v>
      </c>
      <c r="S638" s="2">
        <v>4.3618808705384399E-2</v>
      </c>
      <c r="U638" s="2">
        <f t="shared" si="86"/>
        <v>0.67689350259621273</v>
      </c>
      <c r="V638" s="2">
        <f t="shared" si="87"/>
        <v>8.5471666666666654E-2</v>
      </c>
      <c r="W638" s="2">
        <f t="shared" si="88"/>
        <v>4.7992464762384446E-2</v>
      </c>
      <c r="Y638" s="31">
        <v>1963.1666666687599</v>
      </c>
      <c r="Z638" s="2">
        <v>9.5686136499887695E-3</v>
      </c>
      <c r="AA638" s="2">
        <v>-0.1883013680744752</v>
      </c>
      <c r="AB638" s="2">
        <v>-0.27422450008035509</v>
      </c>
      <c r="AD638" s="31">
        <v>1963.1666666687599</v>
      </c>
      <c r="AE638" s="2">
        <v>-1.2271304513768333</v>
      </c>
      <c r="AF638" s="2">
        <v>6.6874490811640125E-2</v>
      </c>
      <c r="AG638" s="2">
        <v>-0.87422123014967945</v>
      </c>
      <c r="AH638" s="31"/>
      <c r="AI638" s="31">
        <v>1963.1666666687599</v>
      </c>
      <c r="AJ638" s="2">
        <v>-0.40785327294119428</v>
      </c>
      <c r="AK638" s="2">
        <v>-0.61478205611361436</v>
      </c>
      <c r="AL638" s="2">
        <v>-0.10353230664518182</v>
      </c>
      <c r="AM638" s="31"/>
      <c r="AN638" s="2">
        <f t="shared" si="89"/>
        <v>-0.54180503688934623</v>
      </c>
      <c r="AO638" s="2">
        <f t="shared" si="82"/>
        <v>-0.24540297779214981</v>
      </c>
      <c r="AP638" s="2">
        <f t="shared" si="83"/>
        <v>-0.41732601229173882</v>
      </c>
      <c r="AQ638" s="31"/>
      <c r="AR638" s="31">
        <v>1963.1666666687599</v>
      </c>
      <c r="AS638" s="2">
        <v>0.41927644516990858</v>
      </c>
      <c r="AT638" s="2">
        <v>-1.1019061349826649</v>
      </c>
      <c r="AU638" s="2">
        <v>-0.89915315297427134</v>
      </c>
      <c r="AV638" s="31"/>
      <c r="AW638" s="31">
        <v>1963.1666666687599</v>
      </c>
      <c r="AX638" s="2">
        <v>-1.0233055004068501</v>
      </c>
      <c r="AY638" s="2">
        <v>-0.48231704140909132</v>
      </c>
      <c r="AZ638" s="2">
        <v>-0.85693335801422155</v>
      </c>
      <c r="BA638" s="31"/>
      <c r="BB638" s="31">
        <v>1963.1666666687599</v>
      </c>
      <c r="BC638" s="2">
        <v>0.18667528139406983</v>
      </c>
      <c r="BD638" s="2">
        <v>-1.0055477933738932</v>
      </c>
      <c r="BE638" s="2">
        <v>0.37901592724749561</v>
      </c>
      <c r="BG638" s="2">
        <f t="shared" si="90"/>
        <v>-0.13911792461429054</v>
      </c>
      <c r="BH638" s="2">
        <f t="shared" si="84"/>
        <v>-0.86325698992188327</v>
      </c>
      <c r="BI638" s="2">
        <f t="shared" si="85"/>
        <v>-0.4590235279136658</v>
      </c>
    </row>
    <row r="639" spans="6:61" x14ac:dyDescent="0.3">
      <c r="F639" s="31">
        <v>1963.0833333354301</v>
      </c>
      <c r="G639" s="2">
        <v>0.70191660316845228</v>
      </c>
      <c r="H639" s="2">
        <v>0.12299999999999969</v>
      </c>
      <c r="I639" s="2">
        <v>8.6335742189719428E-2</v>
      </c>
      <c r="K639" s="31">
        <v>1963.0833333354301</v>
      </c>
      <c r="L639" s="2">
        <v>0.60679250941684537</v>
      </c>
      <c r="M639" s="2">
        <v>9.2279999999999945E-2</v>
      </c>
      <c r="N639" s="2">
        <v>5.3720258397302517E-2</v>
      </c>
      <c r="P639" s="31">
        <v>1963.0833333354301</v>
      </c>
      <c r="Q639" s="2">
        <v>0.59345454359485283</v>
      </c>
      <c r="R639" s="2">
        <v>7.1900000000000297E-2</v>
      </c>
      <c r="S639" s="2">
        <v>4.4671821806948786E-2</v>
      </c>
      <c r="U639" s="2">
        <f t="shared" si="86"/>
        <v>0.63405455206005013</v>
      </c>
      <c r="V639" s="2">
        <f t="shared" si="87"/>
        <v>9.572666666666664E-2</v>
      </c>
      <c r="W639" s="2">
        <f t="shared" si="88"/>
        <v>6.1575940797990246E-2</v>
      </c>
      <c r="Y639" s="31">
        <v>1963.0833333354301</v>
      </c>
      <c r="Z639" s="2">
        <v>-0.18414365078185366</v>
      </c>
      <c r="AA639" s="2">
        <v>0.41216179278103221</v>
      </c>
      <c r="AB639" s="2">
        <v>0.25676523415837199</v>
      </c>
      <c r="AD639" s="31">
        <v>1963.0833333354301</v>
      </c>
      <c r="AE639" s="2">
        <v>-1.2048482273275123</v>
      </c>
      <c r="AF639" s="2">
        <v>6.7241855071186282E-2</v>
      </c>
      <c r="AG639" s="2">
        <v>-0.2420515857644846</v>
      </c>
      <c r="AH639" s="31"/>
      <c r="AI639" s="31">
        <v>1963.0833333354301</v>
      </c>
      <c r="AJ639" s="2">
        <v>-0.3458628048104383</v>
      </c>
      <c r="AK639" s="2">
        <v>-0.61478205611361436</v>
      </c>
      <c r="AL639" s="2">
        <v>-1.8430036426109492E-2</v>
      </c>
      <c r="AM639" s="31"/>
      <c r="AN639" s="2">
        <f t="shared" si="89"/>
        <v>-0.57828489430660146</v>
      </c>
      <c r="AO639" s="2">
        <f t="shared" si="82"/>
        <v>-4.5126136087131952E-2</v>
      </c>
      <c r="AP639" s="2">
        <f t="shared" si="83"/>
        <v>-1.2387960107407097E-3</v>
      </c>
      <c r="AQ639" s="31"/>
      <c r="AR639" s="31">
        <v>1963.0833333354301</v>
      </c>
      <c r="AS639" s="2">
        <v>0.50998096246967539</v>
      </c>
      <c r="AT639" s="2">
        <v>1.9496224470835801</v>
      </c>
      <c r="AU639" s="2">
        <v>2.0553267043991013</v>
      </c>
      <c r="AV639" s="31"/>
      <c r="AW639" s="31">
        <v>1963.0833333354301</v>
      </c>
      <c r="AX639" s="2">
        <v>-0.96237603102139224</v>
      </c>
      <c r="AY639" s="2">
        <v>0.56120938963997447</v>
      </c>
      <c r="AZ639" s="2">
        <v>2.529602225091096E-2</v>
      </c>
      <c r="BA639" s="31"/>
      <c r="BB639" s="31">
        <v>1963.0833333354301</v>
      </c>
      <c r="BC639" s="2">
        <v>0.37044836148038401</v>
      </c>
      <c r="BD639" s="2">
        <v>-0.95760573293009554</v>
      </c>
      <c r="BE639" s="2">
        <v>0.4195310129391408</v>
      </c>
      <c r="BG639" s="2">
        <f t="shared" si="90"/>
        <v>-2.7315569023777631E-2</v>
      </c>
      <c r="BH639" s="2">
        <f t="shared" si="84"/>
        <v>0.51774203459781976</v>
      </c>
      <c r="BI639" s="2">
        <f t="shared" si="85"/>
        <v>0.83338457986305103</v>
      </c>
    </row>
    <row r="640" spans="6:61" x14ac:dyDescent="0.3">
      <c r="F640" s="31">
        <v>1963.0000000021</v>
      </c>
      <c r="G640" s="2">
        <v>0.72787725609577647</v>
      </c>
      <c r="H640" s="2">
        <v>6.1499999999999846E-2</v>
      </c>
      <c r="I640" s="2">
        <v>4.4764451249890154E-2</v>
      </c>
      <c r="K640" s="31">
        <v>1963.0000000021</v>
      </c>
      <c r="L640" s="2">
        <v>0.63598795013101461</v>
      </c>
      <c r="M640" s="2">
        <v>6.1514999999999952E-2</v>
      </c>
      <c r="N640" s="2">
        <v>3.9121742066708501E-2</v>
      </c>
      <c r="P640" s="31">
        <v>1963.0000000021</v>
      </c>
      <c r="Q640" s="2">
        <v>0.6699854034191306</v>
      </c>
      <c r="R640" s="2">
        <v>4.7900000000000303E-2</v>
      </c>
      <c r="S640" s="2">
        <v>2.8394137539513881E-2</v>
      </c>
      <c r="U640" s="2">
        <f t="shared" si="86"/>
        <v>0.67795020321530719</v>
      </c>
      <c r="V640" s="2">
        <f t="shared" si="87"/>
        <v>5.6971666666666698E-2</v>
      </c>
      <c r="W640" s="2">
        <f t="shared" si="88"/>
        <v>3.7426776952037506E-2</v>
      </c>
      <c r="Y640" s="31">
        <v>1963.0000000021</v>
      </c>
      <c r="Z640" s="2">
        <v>-3.3621807092330223E-2</v>
      </c>
      <c r="AA640" s="2">
        <v>-0.78876452892998183</v>
      </c>
      <c r="AB640" s="2">
        <v>-0.69996639321654719</v>
      </c>
      <c r="AD640" s="31">
        <v>1963.0000000021</v>
      </c>
      <c r="AE640" s="2">
        <v>-1.0311132634620475</v>
      </c>
      <c r="AF640" s="2">
        <v>-0.68622224125583742</v>
      </c>
      <c r="AG640" s="2">
        <v>-0.79715740178903949</v>
      </c>
      <c r="AH640" s="31"/>
      <c r="AI640" s="31">
        <v>1963.0000000021</v>
      </c>
      <c r="AJ640" s="2">
        <v>-0.48751357801527906</v>
      </c>
      <c r="AK640" s="2">
        <v>-1.186702766808877</v>
      </c>
      <c r="AL640" s="2">
        <v>-1.3339577188547447</v>
      </c>
      <c r="AM640" s="31"/>
      <c r="AN640" s="2">
        <f t="shared" si="89"/>
        <v>-0.51741621618988554</v>
      </c>
      <c r="AO640" s="2">
        <f t="shared" si="82"/>
        <v>-0.88722984566489871</v>
      </c>
      <c r="AP640" s="2">
        <f t="shared" si="83"/>
        <v>-0.94369383795344375</v>
      </c>
      <c r="AQ640" s="31"/>
      <c r="AR640" s="31">
        <v>1963.0000000021</v>
      </c>
      <c r="AS640" s="2">
        <v>0.30777106794981202</v>
      </c>
      <c r="AT640" s="2">
        <v>-0.29853293598826575</v>
      </c>
      <c r="AU640" s="2">
        <v>3.4364653291506501E-2</v>
      </c>
      <c r="AV640" s="31"/>
      <c r="AW640" s="31">
        <v>1963.0000000021</v>
      </c>
      <c r="AX640" s="2">
        <v>-0.54466204688470454</v>
      </c>
      <c r="AY640" s="2">
        <v>-0.21981065223360952</v>
      </c>
      <c r="AZ640" s="2">
        <v>-0.59007358360520779</v>
      </c>
      <c r="BA640" s="31"/>
      <c r="BB640" s="31">
        <v>1963.0000000021</v>
      </c>
      <c r="BC640" s="2">
        <v>6.2229604429920884E-2</v>
      </c>
      <c r="BD640" s="2">
        <v>-0.94501805984887022</v>
      </c>
      <c r="BE640" s="2">
        <v>-0.67296955067575492</v>
      </c>
      <c r="BG640" s="2">
        <f t="shared" si="90"/>
        <v>-5.8220458168323885E-2</v>
      </c>
      <c r="BH640" s="2">
        <f t="shared" si="84"/>
        <v>-0.48778721602358183</v>
      </c>
      <c r="BI640" s="2">
        <f t="shared" si="85"/>
        <v>-0.40955949366315209</v>
      </c>
    </row>
    <row r="641" spans="6:61" x14ac:dyDescent="0.3">
      <c r="F641" s="31">
        <v>1962.9166666687699</v>
      </c>
      <c r="G641" s="2">
        <v>0.78319111030249167</v>
      </c>
      <c r="H641" s="2">
        <v>0.12299999999999969</v>
      </c>
      <c r="I641" s="2">
        <v>9.6332506567206266E-2</v>
      </c>
      <c r="K641" s="31">
        <v>1962.9166666687699</v>
      </c>
      <c r="L641" s="2">
        <v>0.67319990041510724</v>
      </c>
      <c r="M641" s="2">
        <v>6.1514999999999952E-2</v>
      </c>
      <c r="N641" s="2">
        <v>4.1410619480177491E-2</v>
      </c>
      <c r="P641" s="31">
        <v>1962.9166666687699</v>
      </c>
      <c r="Q641" s="2">
        <v>0.71689795590157956</v>
      </c>
      <c r="R641" s="2">
        <v>7.1900000000000297E-2</v>
      </c>
      <c r="S641" s="2">
        <v>4.6276939704514471E-2</v>
      </c>
      <c r="U641" s="2">
        <f t="shared" si="86"/>
        <v>0.72442965553972616</v>
      </c>
      <c r="V641" s="2">
        <f t="shared" si="87"/>
        <v>8.5471666666666654E-2</v>
      </c>
      <c r="W641" s="2">
        <f t="shared" si="88"/>
        <v>6.1340021917299405E-2</v>
      </c>
      <c r="Y641" s="31">
        <v>1962.9166666687699</v>
      </c>
      <c r="Z641" s="2">
        <v>0.28709213412002749</v>
      </c>
      <c r="AA641" s="2">
        <v>0.41216179278103221</v>
      </c>
      <c r="AB641" s="2">
        <v>0.48683315928487236</v>
      </c>
      <c r="AD641" s="31">
        <v>1962.9166666687699</v>
      </c>
      <c r="AE641" s="2">
        <v>-0.80967400172030946</v>
      </c>
      <c r="AF641" s="2">
        <v>-0.68622224125583742</v>
      </c>
      <c r="AG641" s="2">
        <v>-0.71012327204524128</v>
      </c>
      <c r="AH641" s="31"/>
      <c r="AI641" s="31">
        <v>1962.9166666687699</v>
      </c>
      <c r="AJ641" s="2">
        <v>-0.22219746805847593</v>
      </c>
      <c r="AK641" s="2">
        <v>-0.61478205611361436</v>
      </c>
      <c r="AL641" s="2">
        <v>0.11129216441751569</v>
      </c>
      <c r="AM641" s="31"/>
      <c r="AN641" s="2">
        <f t="shared" si="89"/>
        <v>-0.24825977855291934</v>
      </c>
      <c r="AO641" s="2">
        <f t="shared" si="82"/>
        <v>-0.29628083486280654</v>
      </c>
      <c r="AP641" s="2">
        <f t="shared" si="83"/>
        <v>-3.7332649447617751E-2</v>
      </c>
      <c r="AQ641" s="31"/>
      <c r="AR641" s="31">
        <v>1962.9166666687699</v>
      </c>
      <c r="AS641" s="2">
        <v>0.62546513774369095</v>
      </c>
      <c r="AT641" s="2">
        <v>2.0533426933213557</v>
      </c>
      <c r="AU641" s="2">
        <v>2.235839845906439</v>
      </c>
      <c r="AV641" s="31"/>
      <c r="AW641" s="31">
        <v>1962.9166666687699</v>
      </c>
      <c r="AX641" s="2">
        <v>-0.53128338889180005</v>
      </c>
      <c r="AY641" s="2">
        <v>-0.51751295497595129</v>
      </c>
      <c r="AZ641" s="2">
        <v>-0.62614982739062786</v>
      </c>
      <c r="BA641" s="31"/>
      <c r="BB641" s="31">
        <v>1962.9166666687699</v>
      </c>
      <c r="BC641" s="2">
        <v>0.22224699295072733</v>
      </c>
      <c r="BD641" s="2">
        <v>-0.44318112469553572</v>
      </c>
      <c r="BE641" s="2">
        <v>0.49545319944356153</v>
      </c>
      <c r="BG641" s="2">
        <f t="shared" si="90"/>
        <v>0.10547624726753942</v>
      </c>
      <c r="BH641" s="2">
        <f t="shared" si="84"/>
        <v>0.36421620454995624</v>
      </c>
      <c r="BI641" s="2">
        <f t="shared" si="85"/>
        <v>0.70171440598645762</v>
      </c>
    </row>
    <row r="642" spans="6:61" x14ac:dyDescent="0.3">
      <c r="F642" s="31">
        <v>1962.8333333354401</v>
      </c>
      <c r="G642" s="2">
        <v>0.85764352525198784</v>
      </c>
      <c r="H642" s="2">
        <v>6.1499999999999846E-2</v>
      </c>
      <c r="I642" s="2">
        <v>5.2745076802997136E-2</v>
      </c>
      <c r="K642" s="31">
        <v>1962.8333333354401</v>
      </c>
      <c r="L642" s="2">
        <v>0.7087604002137291</v>
      </c>
      <c r="M642" s="2">
        <v>6.1514999999999952E-2</v>
      </c>
      <c r="N642" s="2">
        <v>4.3597826626462111E-2</v>
      </c>
      <c r="P642" s="31">
        <v>1962.8333333354401</v>
      </c>
      <c r="Q642" s="2">
        <v>0.70632071656124085</v>
      </c>
      <c r="R642" s="2">
        <v>9.5900000000000304E-2</v>
      </c>
      <c r="S642" s="2">
        <v>6.6392153323871786E-2</v>
      </c>
      <c r="U642" s="2">
        <f t="shared" si="86"/>
        <v>0.75757488067565271</v>
      </c>
      <c r="V642" s="2">
        <f t="shared" si="87"/>
        <v>7.2971666666666699E-2</v>
      </c>
      <c r="W642" s="2">
        <f t="shared" si="88"/>
        <v>5.4245018917777006E-2</v>
      </c>
      <c r="Y642" s="31">
        <v>1962.8333333354401</v>
      </c>
      <c r="Z642" s="2">
        <v>0.71877290874108002</v>
      </c>
      <c r="AA642" s="2">
        <v>-0.78876452892998183</v>
      </c>
      <c r="AB642" s="2">
        <v>-0.5162983689556373</v>
      </c>
      <c r="AD642" s="31">
        <v>1962.8333333354401</v>
      </c>
      <c r="AE642" s="2">
        <v>-0.59806211998724623</v>
      </c>
      <c r="AF642" s="2">
        <v>-0.68622224125583742</v>
      </c>
      <c r="AG642" s="2">
        <v>-0.62695513493745769</v>
      </c>
      <c r="AH642" s="31"/>
      <c r="AI642" s="31">
        <v>1962.8333333354401</v>
      </c>
      <c r="AJ642" s="2">
        <v>0.16143216312240563</v>
      </c>
      <c r="AK642" s="2">
        <v>-4.286134541835146E-2</v>
      </c>
      <c r="AL642" s="2">
        <v>1.736960774243675</v>
      </c>
      <c r="AM642" s="31"/>
      <c r="AN642" s="2">
        <f t="shared" si="89"/>
        <v>9.4047650625413134E-2</v>
      </c>
      <c r="AO642" s="2">
        <f t="shared" si="82"/>
        <v>-0.50594937186805689</v>
      </c>
      <c r="AP642" s="2">
        <f t="shared" si="83"/>
        <v>0.19790242345019338</v>
      </c>
      <c r="AQ642" s="31"/>
      <c r="AR642" s="31">
        <v>1962.8333333354401</v>
      </c>
      <c r="AS642" s="2">
        <v>0.61976508180325418</v>
      </c>
      <c r="AT642" s="2">
        <v>-0.28549293171718004</v>
      </c>
      <c r="AU642" s="2">
        <v>0.27943637427036788</v>
      </c>
      <c r="AV642" s="31"/>
      <c r="AW642" s="31">
        <v>1962.8333333354401</v>
      </c>
      <c r="AX642" s="2">
        <v>-0.24772446811346963</v>
      </c>
      <c r="AY642" s="2">
        <v>-0.19138401234735175</v>
      </c>
      <c r="AZ642" s="2">
        <v>-0.2814633993244372</v>
      </c>
      <c r="BA642" s="31"/>
      <c r="BB642" s="31">
        <v>1962.8333333354401</v>
      </c>
      <c r="BC642" s="2">
        <v>0.18635507402559151</v>
      </c>
      <c r="BD642" s="2">
        <v>0.77845189601601561</v>
      </c>
      <c r="BE642" s="2">
        <v>1.4070447686034235</v>
      </c>
      <c r="BG642" s="2">
        <f t="shared" si="90"/>
        <v>0.18613189590512536</v>
      </c>
      <c r="BH642" s="2">
        <f t="shared" si="84"/>
        <v>0.10052498398382792</v>
      </c>
      <c r="BI642" s="2">
        <f t="shared" si="85"/>
        <v>0.46833924784978476</v>
      </c>
    </row>
    <row r="643" spans="6:61" x14ac:dyDescent="0.3">
      <c r="F643" s="31">
        <v>1962.75000000211</v>
      </c>
      <c r="G643" s="2">
        <v>0.90077021194453033</v>
      </c>
      <c r="H643" s="2">
        <v>6.1499999999999846E-2</v>
      </c>
      <c r="I643" s="2">
        <v>5.5397368034588494E-2</v>
      </c>
      <c r="K643" s="31">
        <v>1962.75000000211</v>
      </c>
      <c r="L643" s="2">
        <v>0.74835072844146855</v>
      </c>
      <c r="M643" s="2">
        <v>9.2279999999999945E-2</v>
      </c>
      <c r="N643" s="2">
        <v>6.52314375721222E-2</v>
      </c>
      <c r="P643" s="31">
        <v>1962.75000000211</v>
      </c>
      <c r="Q643" s="2">
        <v>0.7551498764856176</v>
      </c>
      <c r="R643" s="2">
        <v>4.7900000000000303E-2</v>
      </c>
      <c r="S643" s="2">
        <v>3.0066725621239545E-2</v>
      </c>
      <c r="U643" s="2">
        <f t="shared" si="86"/>
        <v>0.80142360562387216</v>
      </c>
      <c r="V643" s="2">
        <f t="shared" si="87"/>
        <v>6.7226666666666698E-2</v>
      </c>
      <c r="W643" s="2">
        <f t="shared" si="88"/>
        <v>5.0231843742650079E-2</v>
      </c>
      <c r="Y643" s="31">
        <v>1962.75000000211</v>
      </c>
      <c r="Z643" s="2">
        <v>0.96882472413087972</v>
      </c>
      <c r="AA643" s="2">
        <v>-0.78876452892998183</v>
      </c>
      <c r="AB643" s="2">
        <v>-0.45525790451719877</v>
      </c>
      <c r="AD643" s="31">
        <v>1962.75000000211</v>
      </c>
      <c r="AE643" s="2">
        <v>-0.36246970980896637</v>
      </c>
      <c r="AF643" s="2">
        <v>6.7241855071186282E-2</v>
      </c>
      <c r="AG643" s="2">
        <v>0.19565882017942787</v>
      </c>
      <c r="AH643" s="31"/>
      <c r="AI643" s="31">
        <v>1962.75000000211</v>
      </c>
      <c r="AJ643" s="2">
        <v>-0.25983470540564163</v>
      </c>
      <c r="AK643" s="2">
        <v>-1.186702766808877</v>
      </c>
      <c r="AL643" s="2">
        <v>-1.1987827218060363</v>
      </c>
      <c r="AM643" s="31"/>
      <c r="AN643" s="2">
        <f t="shared" si="89"/>
        <v>0.11550676963875724</v>
      </c>
      <c r="AO643" s="2">
        <f t="shared" si="82"/>
        <v>-0.63607514688922417</v>
      </c>
      <c r="AP643" s="2">
        <f t="shared" si="83"/>
        <v>-0.48612726871460238</v>
      </c>
      <c r="AQ643" s="31"/>
      <c r="AR643" s="31">
        <v>1962.75000000211</v>
      </c>
      <c r="AS643" s="2">
        <v>1.0962846025044914</v>
      </c>
      <c r="AT643" s="2">
        <v>-0.6766476141944503</v>
      </c>
      <c r="AU643" s="2">
        <v>-4.217590974488826E-2</v>
      </c>
      <c r="AV643" s="31"/>
      <c r="AW643" s="31">
        <v>1962.75000000211</v>
      </c>
      <c r="AX643" s="2">
        <v>-0.34610526773373623</v>
      </c>
      <c r="AY643" s="2">
        <v>0.96310780514635363</v>
      </c>
      <c r="AZ643" s="2">
        <v>0.86524851893769805</v>
      </c>
      <c r="BA643" s="31"/>
      <c r="BB643" s="31">
        <v>1962.75000000211</v>
      </c>
      <c r="BC643" s="2">
        <v>-0.30912311304544138</v>
      </c>
      <c r="BD643" s="2">
        <v>-1.5545483300824114</v>
      </c>
      <c r="BE643" s="2">
        <v>-1.3449906727152214</v>
      </c>
      <c r="BG643" s="2">
        <f t="shared" si="90"/>
        <v>0.14701874057510458</v>
      </c>
      <c r="BH643" s="2">
        <f t="shared" si="84"/>
        <v>-0.42269604637683605</v>
      </c>
      <c r="BI643" s="2">
        <f t="shared" si="85"/>
        <v>-0.17397268784080389</v>
      </c>
    </row>
    <row r="644" spans="6:61" x14ac:dyDescent="0.3">
      <c r="F644" s="31">
        <v>1962.66666666878</v>
      </c>
      <c r="G644" s="2">
        <v>0.96257353045929961</v>
      </c>
      <c r="H644" s="2">
        <v>0.12299999999999969</v>
      </c>
      <c r="I644" s="2">
        <v>0.1183965442464936</v>
      </c>
      <c r="K644" s="31">
        <v>1962.66666666878</v>
      </c>
      <c r="L644" s="2">
        <v>0.77452503171643428</v>
      </c>
      <c r="M644" s="2">
        <v>6.1514999999999952E-2</v>
      </c>
      <c r="N644" s="2">
        <v>4.7642955861784755E-2</v>
      </c>
      <c r="P644" s="31">
        <v>1962.66666666878</v>
      </c>
      <c r="Q644" s="2">
        <v>0.68364184123734761</v>
      </c>
      <c r="R644" s="2">
        <v>7.1900000000000297E-2</v>
      </c>
      <c r="S644" s="2">
        <v>5.1276257325884096E-2</v>
      </c>
      <c r="U644" s="2">
        <f t="shared" si="86"/>
        <v>0.80691346780436046</v>
      </c>
      <c r="V644" s="2">
        <f t="shared" si="87"/>
        <v>8.5471666666666654E-2</v>
      </c>
      <c r="W644" s="2">
        <f t="shared" si="88"/>
        <v>7.2438585811387485E-2</v>
      </c>
      <c r="Y644" s="31">
        <v>1962.66666666878</v>
      </c>
      <c r="Z644" s="2">
        <v>1.3271650738523064</v>
      </c>
      <c r="AA644" s="2">
        <v>0.41216179278103221</v>
      </c>
      <c r="AB644" s="2">
        <v>0.99462019688060199</v>
      </c>
      <c r="AD644" s="31">
        <v>1962.66666666878</v>
      </c>
      <c r="AE644" s="2">
        <v>-0.2067127997420827</v>
      </c>
      <c r="AF644" s="2">
        <v>-0.68622224125583742</v>
      </c>
      <c r="AG644" s="2">
        <v>-0.47313986260099883</v>
      </c>
      <c r="AH644" s="31"/>
      <c r="AI644" s="31">
        <v>1962.66666666878</v>
      </c>
      <c r="AJ644" s="2">
        <v>0.21973952054339183</v>
      </c>
      <c r="AK644" s="2">
        <v>-0.61478205611361436</v>
      </c>
      <c r="AL644" s="2">
        <v>0.51532633881924139</v>
      </c>
      <c r="AM644" s="31"/>
      <c r="AN644" s="2">
        <f t="shared" si="89"/>
        <v>0.44673059821787181</v>
      </c>
      <c r="AO644" s="2">
        <f t="shared" si="82"/>
        <v>-0.29628083486280654</v>
      </c>
      <c r="AP644" s="2">
        <f t="shared" si="83"/>
        <v>0.34560222436628152</v>
      </c>
      <c r="AQ644" s="31"/>
      <c r="AR644" s="31">
        <v>1962.66666666878</v>
      </c>
      <c r="AS644" s="2">
        <v>0.58044813072575374</v>
      </c>
      <c r="AT644" s="2">
        <v>1.7403378618943939</v>
      </c>
      <c r="AU644" s="2">
        <v>2.4529534228460586</v>
      </c>
      <c r="AV644" s="31"/>
      <c r="AW644" s="31">
        <v>1962.66666666878</v>
      </c>
      <c r="AX644" s="2">
        <v>-0.2112985019570563</v>
      </c>
      <c r="AY644" s="2">
        <v>-0.23837245449551037</v>
      </c>
      <c r="AZ644" s="2">
        <v>-0.22743893077666705</v>
      </c>
      <c r="BA644" s="31"/>
      <c r="BB644" s="31">
        <v>1962.66666666878</v>
      </c>
      <c r="BC644" s="2">
        <v>-7.2071973104747125E-2</v>
      </c>
      <c r="BD644" s="2">
        <v>7.7097786990586777E-4</v>
      </c>
      <c r="BE644" s="2">
        <v>0.58609947559042452</v>
      </c>
      <c r="BG644" s="2">
        <f t="shared" si="90"/>
        <v>9.9025885221316778E-2</v>
      </c>
      <c r="BH644" s="2">
        <f t="shared" si="84"/>
        <v>0.50091212842292976</v>
      </c>
      <c r="BI644" s="2">
        <f t="shared" si="85"/>
        <v>0.9372046558866054</v>
      </c>
    </row>
    <row r="645" spans="6:61" x14ac:dyDescent="0.3">
      <c r="F645" s="31">
        <v>1962.5833333354501</v>
      </c>
      <c r="G645" s="2">
        <v>1.0333441617641459</v>
      </c>
      <c r="H645" s="2">
        <v>6.1499999999999846E-2</v>
      </c>
      <c r="I645" s="2">
        <v>6.3550665948494831E-2</v>
      </c>
      <c r="K645" s="31">
        <v>1962.5833333354501</v>
      </c>
      <c r="L645" s="2">
        <v>0.79048361040028192</v>
      </c>
      <c r="M645" s="2">
        <v>6.1514999999999952E-2</v>
      </c>
      <c r="N645" s="2">
        <v>4.8624691772609696E-2</v>
      </c>
      <c r="P645" s="31">
        <v>1962.5833333354501</v>
      </c>
      <c r="Q645" s="2">
        <v>0.62864848157520847</v>
      </c>
      <c r="R645" s="2">
        <v>7.1900000000000297E-2</v>
      </c>
      <c r="S645" s="2">
        <v>5.4661006714779234E-2</v>
      </c>
      <c r="U645" s="2">
        <f t="shared" si="86"/>
        <v>0.81749208457987876</v>
      </c>
      <c r="V645" s="2">
        <f t="shared" si="87"/>
        <v>6.4971666666666705E-2</v>
      </c>
      <c r="W645" s="2">
        <f t="shared" si="88"/>
        <v>5.5612121478627922E-2</v>
      </c>
      <c r="Y645" s="31">
        <v>1962.5833333354501</v>
      </c>
      <c r="Z645" s="2">
        <v>1.7374985863759818</v>
      </c>
      <c r="AA645" s="2">
        <v>-0.78876452892998183</v>
      </c>
      <c r="AB645" s="2">
        <v>-0.2676159572672398</v>
      </c>
      <c r="AD645" s="31">
        <v>1962.5833333354501</v>
      </c>
      <c r="AE645" s="2">
        <v>-0.11174718103036176</v>
      </c>
      <c r="AF645" s="2">
        <v>-0.68622224125583742</v>
      </c>
      <c r="AG645" s="2">
        <v>-0.43580954069992972</v>
      </c>
      <c r="AH645" s="31"/>
      <c r="AI645" s="31">
        <v>1962.5833333354501</v>
      </c>
      <c r="AJ645" s="2">
        <v>0.516381974082327</v>
      </c>
      <c r="AK645" s="2">
        <v>-0.61478205611361436</v>
      </c>
      <c r="AL645" s="2">
        <v>0.78887455649066307</v>
      </c>
      <c r="AM645" s="31"/>
      <c r="AN645" s="2">
        <f t="shared" si="89"/>
        <v>0.71404445980931575</v>
      </c>
      <c r="AO645" s="2">
        <f t="shared" ref="AO645:AO708" si="91">AVERAGE(AK645,AF645,AA645)</f>
        <v>-0.69658960876647791</v>
      </c>
      <c r="AP645" s="2">
        <f t="shared" ref="AP645:AP708" si="92">AVERAGE(AL645,AG645,AB645)</f>
        <v>2.8483019507831182E-2</v>
      </c>
      <c r="AQ645" s="31"/>
      <c r="AR645" s="31">
        <v>1962.5833333354501</v>
      </c>
      <c r="AS645" s="2">
        <v>1.2750504679338219</v>
      </c>
      <c r="AT645" s="2">
        <v>-0.65870957567408583</v>
      </c>
      <c r="AU645" s="2">
        <v>0.10923216611829281</v>
      </c>
      <c r="AV645" s="31"/>
      <c r="AW645" s="31">
        <v>1962.5833333354501</v>
      </c>
      <c r="AX645" s="2">
        <v>-0.36628699038535806</v>
      </c>
      <c r="AY645" s="2">
        <v>-0.53553372549108424</v>
      </c>
      <c r="AZ645" s="2">
        <v>-0.52220086098776497</v>
      </c>
      <c r="BA645" s="31"/>
      <c r="BB645" s="31">
        <v>1962.5833333354501</v>
      </c>
      <c r="BC645" s="2">
        <v>-6.6867562714678794E-2</v>
      </c>
      <c r="BD645" s="2">
        <v>-0.51613739712758211</v>
      </c>
      <c r="BE645" s="2">
        <v>5.6656209755129333E-2</v>
      </c>
      <c r="BG645" s="2">
        <f t="shared" si="90"/>
        <v>0.28063197161126169</v>
      </c>
      <c r="BH645" s="2">
        <f t="shared" ref="BH645:BH708" si="93">AVERAGE(BD645,AY645,AT645)</f>
        <v>-0.57012689943091743</v>
      </c>
      <c r="BI645" s="2">
        <f t="shared" ref="BI645:BI708" si="94">AVERAGE(BE645,AZ645,AU645)</f>
        <v>-0.11877082837144763</v>
      </c>
    </row>
    <row r="646" spans="6:61" x14ac:dyDescent="0.3">
      <c r="F646" s="31">
        <v>1962.50000000212</v>
      </c>
      <c r="G646" s="2">
        <v>1.0819497448864792</v>
      </c>
      <c r="H646" s="2">
        <v>6.1499999999999846E-2</v>
      </c>
      <c r="I646" s="2">
        <v>6.6539909310518328E-2</v>
      </c>
      <c r="K646" s="31">
        <v>1962.50000000212</v>
      </c>
      <c r="L646" s="2">
        <v>0.80770200486621824</v>
      </c>
      <c r="M646" s="2">
        <v>6.1514999999999952E-2</v>
      </c>
      <c r="N646" s="2">
        <v>4.9683941333699674E-2</v>
      </c>
      <c r="P646" s="31">
        <v>1962.50000000212</v>
      </c>
      <c r="Q646" s="2">
        <v>0.59473517436490475</v>
      </c>
      <c r="R646" s="2"/>
      <c r="S646" s="2"/>
      <c r="U646" s="2">
        <f t="shared" ref="U646:U709" si="95">AVERAGE(Q646,L646,G646)</f>
        <v>0.82812897470586744</v>
      </c>
      <c r="V646" s="2">
        <f t="shared" ref="V646:V709" si="96">AVERAGE(R646,M646,H646)</f>
        <v>6.1507499999999896E-2</v>
      </c>
      <c r="W646" s="2">
        <f t="shared" ref="W646:W709" si="97">AVERAGE(S646,N646,I646)</f>
        <v>5.8111925322109001E-2</v>
      </c>
      <c r="Y646" s="31">
        <v>1962.50000000212</v>
      </c>
      <c r="Z646" s="2">
        <v>2.0193174607186037</v>
      </c>
      <c r="AA646" s="2">
        <v>-0.78876452892998183</v>
      </c>
      <c r="AB646" s="2">
        <v>-0.19882079595007335</v>
      </c>
      <c r="AD646" s="31">
        <v>1962.50000000212</v>
      </c>
      <c r="AE646" s="2">
        <v>-9.2847051373723365E-3</v>
      </c>
      <c r="AF646" s="2">
        <v>-0.68622224125583742</v>
      </c>
      <c r="AG646" s="2">
        <v>-0.39553177694182473</v>
      </c>
      <c r="AH646" s="31"/>
      <c r="AI646" s="31">
        <v>1962.50000000212</v>
      </c>
      <c r="AJ646" s="2"/>
      <c r="AK646" s="2"/>
      <c r="AL646" s="2"/>
      <c r="AM646" s="31"/>
      <c r="AN646" s="2">
        <f t="shared" ref="AN646:AN709" si="98">AVERAGE(AJ646,AE646,Z646)</f>
        <v>1.0050163777906158</v>
      </c>
      <c r="AO646" s="2">
        <f t="shared" si="91"/>
        <v>-0.73749338509290963</v>
      </c>
      <c r="AP646" s="2">
        <f t="shared" si="92"/>
        <v>-0.29717628644594907</v>
      </c>
      <c r="AQ646" s="31"/>
      <c r="AR646" s="31">
        <v>1962.50000000212</v>
      </c>
      <c r="AS646" s="2">
        <v>0.59261497435389798</v>
      </c>
      <c r="AT646" s="2">
        <v>-2.3130098149132094E-2</v>
      </c>
      <c r="AU646" s="2">
        <v>0.54370914378060953</v>
      </c>
      <c r="AV646" s="31"/>
      <c r="AW646" s="31">
        <v>1962.50000000212</v>
      </c>
      <c r="AX646" s="2">
        <v>-0.21415856659164528</v>
      </c>
      <c r="AY646" s="2">
        <v>-0.10780241638246968</v>
      </c>
      <c r="AZ646" s="2">
        <v>-0.21405451310839257</v>
      </c>
      <c r="BA646" s="31"/>
      <c r="BB646" s="31">
        <v>1962.50000000212</v>
      </c>
      <c r="BC646" s="2"/>
      <c r="BD646" s="2"/>
      <c r="BE646" s="2"/>
      <c r="BG646" s="2">
        <f t="shared" ref="BG646:BG709" si="99">AVERAGE(BC646,AX646,AS646)</f>
        <v>0.18922820388112635</v>
      </c>
      <c r="BH646" s="2">
        <f t="shared" si="93"/>
        <v>-6.5466257265800881E-2</v>
      </c>
      <c r="BI646" s="2">
        <f t="shared" si="94"/>
        <v>0.16482731533610848</v>
      </c>
    </row>
    <row r="647" spans="6:61" x14ac:dyDescent="0.3">
      <c r="F647" s="31">
        <v>1962.41666666879</v>
      </c>
      <c r="G647" s="2">
        <v>1.0246343610371409</v>
      </c>
      <c r="H647" s="2">
        <v>0.1844999999999995</v>
      </c>
      <c r="I647" s="2">
        <v>0.17386398405755588</v>
      </c>
      <c r="K647" s="31">
        <v>1962.41666666879</v>
      </c>
      <c r="L647" s="2">
        <v>0.8211869595563992</v>
      </c>
      <c r="M647" s="2">
        <v>0.18452999999999981</v>
      </c>
      <c r="N647" s="2">
        <v>7.2586824253802751E-2</v>
      </c>
      <c r="P647" s="31">
        <v>1962.41666666879</v>
      </c>
      <c r="Q647" s="2">
        <v>0.55853804939402596</v>
      </c>
      <c r="R647" s="2">
        <v>0.2396000000000012</v>
      </c>
      <c r="S647" s="2">
        <v>5.2380808881446903E-2</v>
      </c>
      <c r="U647" s="2">
        <f t="shared" si="95"/>
        <v>0.80145312332918872</v>
      </c>
      <c r="V647" s="2">
        <f t="shared" si="96"/>
        <v>0.20287666666666682</v>
      </c>
      <c r="W647" s="2">
        <f t="shared" si="97"/>
        <v>9.9610539064268519E-2</v>
      </c>
      <c r="Y647" s="31">
        <v>1962.41666666879</v>
      </c>
      <c r="Z647" s="2">
        <v>1.6869984981360102</v>
      </c>
      <c r="AA647" s="2">
        <v>1.6130881144920455</v>
      </c>
      <c r="AB647" s="2">
        <v>2.2711611162753926</v>
      </c>
      <c r="AD647" s="31">
        <v>1962.41666666879</v>
      </c>
      <c r="AE647" s="2">
        <v>7.0960979069374416E-2</v>
      </c>
      <c r="AF647" s="2">
        <v>2.3265320512736194</v>
      </c>
      <c r="AG647" s="2">
        <v>0.47534600438688535</v>
      </c>
      <c r="AH647" s="31"/>
      <c r="AI647" s="31">
        <v>1962.41666666879</v>
      </c>
      <c r="AJ647" s="2">
        <v>0.33806631019919975</v>
      </c>
      <c r="AK647" s="2">
        <v>3.3815139098695552</v>
      </c>
      <c r="AL647" s="2">
        <v>0.60459383683303969</v>
      </c>
      <c r="AM647" s="31"/>
      <c r="AN647" s="2">
        <f t="shared" si="98"/>
        <v>0.69867526246819478</v>
      </c>
      <c r="AO647" s="2">
        <f t="shared" si="91"/>
        <v>2.4403780252117397</v>
      </c>
      <c r="AP647" s="2">
        <f t="shared" si="92"/>
        <v>1.1170336524984392</v>
      </c>
      <c r="AQ647" s="31"/>
      <c r="AR647" s="31">
        <v>1962.41666666879</v>
      </c>
      <c r="AS647" s="2">
        <v>1.0543465844102349</v>
      </c>
      <c r="AT647" s="2">
        <v>0.30752807372934249</v>
      </c>
      <c r="AU647" s="2">
        <v>0.58583207219327027</v>
      </c>
      <c r="AV647" s="31"/>
      <c r="AW647" s="31">
        <v>1962.41666666879</v>
      </c>
      <c r="AX647" s="2">
        <v>-0.34962798258824468</v>
      </c>
      <c r="AY647" s="2">
        <v>0.88205666158649598</v>
      </c>
      <c r="AZ647" s="2">
        <v>-0.42043870494403857</v>
      </c>
      <c r="BA647" s="31"/>
      <c r="BB647" s="31">
        <v>1962.41666666879</v>
      </c>
      <c r="BC647" s="2">
        <v>-0.39271606640439555</v>
      </c>
      <c r="BD647" s="2">
        <v>1.8993230374240955</v>
      </c>
      <c r="BE647" s="2">
        <v>-0.30471645620740445</v>
      </c>
      <c r="BG647" s="2">
        <f t="shared" si="99"/>
        <v>0.1040008451391982</v>
      </c>
      <c r="BH647" s="2">
        <f t="shared" si="93"/>
        <v>1.0296359242466446</v>
      </c>
      <c r="BI647" s="2">
        <f t="shared" si="94"/>
        <v>-4.6441029652724265E-2</v>
      </c>
    </row>
    <row r="648" spans="6:61" x14ac:dyDescent="0.3">
      <c r="F648" s="31">
        <v>1962.3333333354601</v>
      </c>
      <c r="G648" s="2">
        <v>0.89209521383438162</v>
      </c>
      <c r="H648" s="2">
        <v>0.15374999999999961</v>
      </c>
      <c r="I648" s="2">
        <v>0.13091932763027847</v>
      </c>
      <c r="K648" s="31">
        <v>1962.3333333354601</v>
      </c>
      <c r="L648" s="2">
        <v>0.82151212150267905</v>
      </c>
      <c r="M648" s="2">
        <v>0.18452999999999981</v>
      </c>
      <c r="N648" s="2">
        <v>7.4721816320656664E-2</v>
      </c>
      <c r="P648" s="31">
        <v>1962.3333333354601</v>
      </c>
      <c r="Q648" s="2">
        <v>0.51020315145761608</v>
      </c>
      <c r="R648" s="2">
        <v>0.2396000000000012</v>
      </c>
      <c r="S648" s="2">
        <v>4.3853652123648133E-2</v>
      </c>
      <c r="U648" s="2">
        <f t="shared" si="95"/>
        <v>0.74127016226489229</v>
      </c>
      <c r="V648" s="2">
        <f t="shared" si="96"/>
        <v>0.19262666666666686</v>
      </c>
      <c r="W648" s="2">
        <f t="shared" si="97"/>
        <v>8.3164932024861096E-2</v>
      </c>
      <c r="Y648" s="31">
        <v>1962.3333333354601</v>
      </c>
      <c r="Z648" s="2">
        <v>0.91852642411515262</v>
      </c>
      <c r="AA648" s="2">
        <v>1.012624953636539</v>
      </c>
      <c r="AB648" s="2">
        <v>1.2828225272670566</v>
      </c>
      <c r="AD648" s="31">
        <v>1962.3333333354601</v>
      </c>
      <c r="AE648" s="2">
        <v>7.2895938693393281E-2</v>
      </c>
      <c r="AF648" s="2">
        <v>2.3265320512736194</v>
      </c>
      <c r="AG648" s="2">
        <v>0.55652867299774889</v>
      </c>
      <c r="AH648" s="31"/>
      <c r="AI648" s="31">
        <v>1962.3333333354601</v>
      </c>
      <c r="AJ648" s="2">
        <v>-0.36419898236534493</v>
      </c>
      <c r="AK648" s="2">
        <v>3.3815139098695552</v>
      </c>
      <c r="AL648" s="2">
        <v>-8.4552763075819173E-2</v>
      </c>
      <c r="AM648" s="31"/>
      <c r="AN648" s="2">
        <f t="shared" si="98"/>
        <v>0.20907446014773368</v>
      </c>
      <c r="AO648" s="2">
        <f t="shared" si="91"/>
        <v>2.2402236382599043</v>
      </c>
      <c r="AP648" s="2">
        <f t="shared" si="92"/>
        <v>0.58493281239632877</v>
      </c>
      <c r="AQ648" s="31"/>
      <c r="AR648" s="31">
        <v>1962.3333333354601</v>
      </c>
      <c r="AS648" s="2">
        <v>0.89469861294510844</v>
      </c>
      <c r="AT648" s="2">
        <v>-1.8664175683889669E-2</v>
      </c>
      <c r="AU648" s="2">
        <v>0.37761085285462109</v>
      </c>
      <c r="AV648" s="31"/>
      <c r="AW648" s="31">
        <v>1962.3333333354601</v>
      </c>
      <c r="AX648" s="2">
        <v>-7.9937191855774789E-2</v>
      </c>
      <c r="AY648" s="2">
        <v>1.3956773971730085</v>
      </c>
      <c r="AZ648" s="2">
        <v>3.7671583104945686E-2</v>
      </c>
      <c r="BA648" s="31"/>
      <c r="BB648" s="31">
        <v>1962.3333333354601</v>
      </c>
      <c r="BC648" s="2">
        <v>-0.68254173622103853</v>
      </c>
      <c r="BD648" s="2">
        <v>2.6145336797546879</v>
      </c>
      <c r="BE648" s="2">
        <v>-0.51827364415191157</v>
      </c>
      <c r="BG648" s="2">
        <f t="shared" si="99"/>
        <v>4.4073228289431721E-2</v>
      </c>
      <c r="BH648" s="2">
        <f t="shared" si="93"/>
        <v>1.3305156337479356</v>
      </c>
      <c r="BI648" s="2">
        <f t="shared" si="94"/>
        <v>-3.4330402730781605E-2</v>
      </c>
    </row>
    <row r="649" spans="6:61" x14ac:dyDescent="0.3">
      <c r="F649" s="31">
        <v>1962.25000000213</v>
      </c>
      <c r="G649" s="2">
        <v>0.95508414421257815</v>
      </c>
      <c r="H649" s="2">
        <v>0.15374999999999961</v>
      </c>
      <c r="I649" s="2">
        <v>0.14631490983337941</v>
      </c>
      <c r="K649" s="31">
        <v>1962.25000000213</v>
      </c>
      <c r="L649" s="2">
        <v>0.82209749296261181</v>
      </c>
      <c r="M649" s="2">
        <v>0.18452999999999981</v>
      </c>
      <c r="N649" s="2">
        <v>7.7520829743304209E-2</v>
      </c>
      <c r="P649" s="31">
        <v>1962.25000000213</v>
      </c>
      <c r="Q649" s="2">
        <v>0.47004114862829754</v>
      </c>
      <c r="R649" s="2">
        <v>0.2396000000000012</v>
      </c>
      <c r="S649" s="2">
        <v>3.7540236156429402E-2</v>
      </c>
      <c r="U649" s="2">
        <f t="shared" si="95"/>
        <v>0.74907426193449578</v>
      </c>
      <c r="V649" s="2">
        <f t="shared" si="96"/>
        <v>0.19262666666666686</v>
      </c>
      <c r="W649" s="2">
        <f t="shared" si="97"/>
        <v>8.7125325244370999E-2</v>
      </c>
      <c r="Y649" s="31">
        <v>1962.25000000213</v>
      </c>
      <c r="Z649" s="2">
        <v>1.2837410417559123</v>
      </c>
      <c r="AA649" s="2">
        <v>1.012624953636539</v>
      </c>
      <c r="AB649" s="2">
        <v>1.6371401364285487</v>
      </c>
      <c r="AD649" s="31">
        <v>1962.25000000213</v>
      </c>
      <c r="AE649" s="2">
        <v>7.6379341819071578E-2</v>
      </c>
      <c r="AF649" s="2">
        <v>2.3265320512736194</v>
      </c>
      <c r="AG649" s="2">
        <v>0.66296062778388465</v>
      </c>
      <c r="AH649" s="31"/>
      <c r="AI649" s="31">
        <v>1962.25000000213</v>
      </c>
      <c r="AJ649" s="2">
        <v>-0.86835852062386198</v>
      </c>
      <c r="AK649" s="2">
        <v>3.3815139098695552</v>
      </c>
      <c r="AL649" s="2">
        <v>-0.59478955960707447</v>
      </c>
      <c r="AM649" s="31"/>
      <c r="AN649" s="2">
        <f t="shared" si="98"/>
        <v>0.1639206209837073</v>
      </c>
      <c r="AO649" s="2">
        <f t="shared" si="91"/>
        <v>2.2402236382599043</v>
      </c>
      <c r="AP649" s="2">
        <f t="shared" si="92"/>
        <v>0.5684370682017863</v>
      </c>
      <c r="AQ649" s="31"/>
      <c r="AR649" s="31">
        <v>1962.25000000213</v>
      </c>
      <c r="AS649" s="2">
        <v>1.747607137043778</v>
      </c>
      <c r="AT649" s="2">
        <v>-6.2988546229769724E-2</v>
      </c>
      <c r="AU649" s="2">
        <v>0.88949917411835611</v>
      </c>
      <c r="AV649" s="31"/>
      <c r="AW649" s="31">
        <v>1962.25000000213</v>
      </c>
      <c r="AX649" s="2">
        <v>0.13348434868310513</v>
      </c>
      <c r="AY649" s="2">
        <v>1.2489294877714097</v>
      </c>
      <c r="AZ649" s="2">
        <v>-7.6653419209416034E-3</v>
      </c>
      <c r="BA649" s="31"/>
      <c r="BB649" s="31">
        <v>1962.25000000213</v>
      </c>
      <c r="BC649" s="2">
        <v>-0.68697364427035856</v>
      </c>
      <c r="BD649" s="2">
        <v>2.2075480569141921</v>
      </c>
      <c r="BE649" s="2">
        <v>-0.69875051607576888</v>
      </c>
      <c r="BG649" s="2">
        <f t="shared" si="99"/>
        <v>0.39803928048550818</v>
      </c>
      <c r="BH649" s="2">
        <f t="shared" si="93"/>
        <v>1.1311629994852774</v>
      </c>
      <c r="BI649" s="2">
        <f t="shared" si="94"/>
        <v>6.1027772040548545E-2</v>
      </c>
    </row>
    <row r="650" spans="6:61" x14ac:dyDescent="0.3">
      <c r="F650" s="31">
        <v>1962.1666666688</v>
      </c>
      <c r="G650" s="2">
        <v>0.94595846076289303</v>
      </c>
      <c r="H650" s="2">
        <v>0.12299999999999964</v>
      </c>
      <c r="I650" s="2">
        <v>0.12035635441644121</v>
      </c>
      <c r="K650" s="31">
        <v>1962.1666666688</v>
      </c>
      <c r="L650" s="2">
        <v>0.75986638652068683</v>
      </c>
      <c r="M650" s="2">
        <v>0.18452999999999981</v>
      </c>
      <c r="N650" s="2">
        <v>7.3269493440903638E-2</v>
      </c>
      <c r="P650" s="31">
        <v>1962.1666666688</v>
      </c>
      <c r="Q650" s="2">
        <v>0.47069917285826035</v>
      </c>
      <c r="R650" s="2">
        <v>0.19165000000000107</v>
      </c>
      <c r="S650" s="2">
        <v>3.2088895191469388E-2</v>
      </c>
      <c r="U650" s="2">
        <f t="shared" si="95"/>
        <v>0.72550800671394666</v>
      </c>
      <c r="V650" s="2">
        <f t="shared" si="96"/>
        <v>0.1663933333333335</v>
      </c>
      <c r="W650" s="2">
        <f t="shared" si="97"/>
        <v>7.5238247682938075E-2</v>
      </c>
      <c r="Y650" s="31">
        <v>1962.1666666688</v>
      </c>
      <c r="Z650" s="2">
        <v>1.2308296338025393</v>
      </c>
      <c r="AA650" s="2">
        <v>0.41216179278103116</v>
      </c>
      <c r="AB650" s="2">
        <v>1.0397237366276311</v>
      </c>
      <c r="AD650" s="31">
        <v>1962.1666666688</v>
      </c>
      <c r="AE650" s="2">
        <v>-0.29394283056548698</v>
      </c>
      <c r="AF650" s="2">
        <v>2.3265320512736194</v>
      </c>
      <c r="AG650" s="2">
        <v>0.50130437081253965</v>
      </c>
      <c r="AH650" s="31"/>
      <c r="AI650" s="31">
        <v>1962.1666666688</v>
      </c>
      <c r="AJ650" s="2">
        <v>-1.3644414778259697</v>
      </c>
      <c r="AK650" s="2">
        <v>2.2388639899596421</v>
      </c>
      <c r="AL650" s="2">
        <v>-1.0353552953677312</v>
      </c>
      <c r="AM650" s="31"/>
      <c r="AN650" s="2">
        <f t="shared" si="98"/>
        <v>-0.14251822486297247</v>
      </c>
      <c r="AO650" s="2">
        <f t="shared" si="91"/>
        <v>1.659185944671431</v>
      </c>
      <c r="AP650" s="2">
        <f t="shared" si="92"/>
        <v>0.16855760402414652</v>
      </c>
      <c r="AQ650" s="31"/>
      <c r="AR650" s="31">
        <v>1962.1666666688</v>
      </c>
      <c r="AS650" s="2">
        <v>1.7830898570845111</v>
      </c>
      <c r="AT650" s="2">
        <v>-0.46657286796563346</v>
      </c>
      <c r="AU650" s="2">
        <v>0.57151763324789551</v>
      </c>
      <c r="AV650" s="31"/>
      <c r="AW650" s="31">
        <v>1962.1666666688</v>
      </c>
      <c r="AX650" s="2">
        <v>-0.10861064785736591</v>
      </c>
      <c r="AY650" s="2">
        <v>1.5373719806273691</v>
      </c>
      <c r="AZ650" s="2">
        <v>0.23046158406573702</v>
      </c>
      <c r="BA650" s="31"/>
      <c r="BB650" s="31">
        <v>1962.1666666688</v>
      </c>
      <c r="BC650" s="2">
        <v>-0.86656128824884937</v>
      </c>
      <c r="BD650" s="2">
        <v>2.2798374835713595</v>
      </c>
      <c r="BE650" s="2">
        <v>-0.68783685266297578</v>
      </c>
      <c r="BG650" s="2">
        <f t="shared" si="99"/>
        <v>0.26930597365943193</v>
      </c>
      <c r="BH650" s="2">
        <f t="shared" si="93"/>
        <v>1.1168788654110318</v>
      </c>
      <c r="BI650" s="2">
        <f t="shared" si="94"/>
        <v>3.8047454883552247E-2</v>
      </c>
    </row>
    <row r="651" spans="6:61" x14ac:dyDescent="0.3">
      <c r="F651" s="31">
        <v>1962.0833333354699</v>
      </c>
      <c r="G651" s="2">
        <v>0.92575883323713914</v>
      </c>
      <c r="H651" s="2">
        <v>6.1499999999999846E-2</v>
      </c>
      <c r="I651" s="2">
        <v>5.693416824408392E-2</v>
      </c>
      <c r="K651" s="31">
        <v>1962.0833333354699</v>
      </c>
      <c r="L651" s="2">
        <v>0.7203684903537958</v>
      </c>
      <c r="M651" s="2">
        <v>9.2264999999999903E-2</v>
      </c>
      <c r="N651" s="2">
        <v>4.4314750687323323E-2</v>
      </c>
      <c r="P651" s="31">
        <v>1962.0833333354699</v>
      </c>
      <c r="Q651" s="2">
        <v>0.42802142994831682</v>
      </c>
      <c r="R651" s="2">
        <v>9.5850000000000463E-2</v>
      </c>
      <c r="S651" s="2">
        <v>3.007167995131281E-2</v>
      </c>
      <c r="U651" s="2">
        <f t="shared" si="95"/>
        <v>0.69138291784641714</v>
      </c>
      <c r="V651" s="2">
        <f t="shared" si="96"/>
        <v>8.3205000000000071E-2</v>
      </c>
      <c r="W651" s="2">
        <f t="shared" si="97"/>
        <v>4.3773532960906684E-2</v>
      </c>
      <c r="Y651" s="31">
        <v>1962.0833333354699</v>
      </c>
      <c r="Z651" s="2">
        <v>1.1137106543404343</v>
      </c>
      <c r="AA651" s="2">
        <v>-0.78876452892998183</v>
      </c>
      <c r="AB651" s="2">
        <v>-0.4198896171212454</v>
      </c>
      <c r="AD651" s="31">
        <v>1962.0833333354699</v>
      </c>
      <c r="AE651" s="2">
        <v>-0.528985200040195</v>
      </c>
      <c r="AF651" s="2">
        <v>6.6874490811640125E-2</v>
      </c>
      <c r="AG651" s="2">
        <v>-0.59969423343077644</v>
      </c>
      <c r="AH651" s="31"/>
      <c r="AI651" s="31">
        <v>1962.0833333354699</v>
      </c>
      <c r="AJ651" s="2">
        <v>-1.5780355920825073</v>
      </c>
      <c r="AK651" s="2">
        <v>-4.4052846898962821E-2</v>
      </c>
      <c r="AL651" s="2">
        <v>-1.1983823234292041</v>
      </c>
      <c r="AM651" s="31"/>
      <c r="AN651" s="2">
        <f t="shared" si="98"/>
        <v>-0.33110337926075606</v>
      </c>
      <c r="AO651" s="2">
        <f t="shared" si="91"/>
        <v>-0.25531429500576819</v>
      </c>
      <c r="AP651" s="2">
        <f t="shared" si="92"/>
        <v>-0.73932205799374195</v>
      </c>
      <c r="AQ651" s="31"/>
      <c r="AR651" s="31">
        <v>1962.0833333354699</v>
      </c>
      <c r="AS651" s="2">
        <v>2.3163555508327476</v>
      </c>
      <c r="AT651" s="2">
        <v>-0.93050162247170598</v>
      </c>
      <c r="AU651" s="2">
        <v>0.30485807376790863</v>
      </c>
      <c r="AV651" s="31"/>
      <c r="AW651" s="31">
        <v>1962.0833333354699</v>
      </c>
      <c r="AX651" s="2">
        <v>-0.24010034726095822</v>
      </c>
      <c r="AY651" s="2">
        <v>0.56051139147476758</v>
      </c>
      <c r="AZ651" s="2">
        <v>-0.67271452564552359</v>
      </c>
      <c r="BA651" s="31"/>
      <c r="BB651" s="31">
        <v>1962.0833333354699</v>
      </c>
      <c r="BC651" s="2">
        <v>-0.99340114557247705</v>
      </c>
      <c r="BD651" s="2">
        <v>-1.4615836317459097E-2</v>
      </c>
      <c r="BE651" s="2">
        <v>-1.0031293323508497</v>
      </c>
      <c r="BG651" s="2">
        <f t="shared" si="99"/>
        <v>0.36095135266643741</v>
      </c>
      <c r="BH651" s="2">
        <f t="shared" si="93"/>
        <v>-0.1282020224381325</v>
      </c>
      <c r="BI651" s="2">
        <f t="shared" si="94"/>
        <v>-0.45699526140948815</v>
      </c>
    </row>
    <row r="652" spans="6:61" x14ac:dyDescent="0.3">
      <c r="F652" s="31">
        <v>1962.00000000214</v>
      </c>
      <c r="G652" s="2">
        <v>0.92978629638004462</v>
      </c>
      <c r="H652" s="2">
        <v>6.1499999999999846E-2</v>
      </c>
      <c r="I652" s="2">
        <v>5.7181857227372596E-2</v>
      </c>
      <c r="K652" s="31">
        <v>1962.00000000214</v>
      </c>
      <c r="L652" s="2">
        <v>0.72722781549192472</v>
      </c>
      <c r="M652" s="2">
        <v>6.1514999999999952E-2</v>
      </c>
      <c r="N652" s="2">
        <v>4.4736069832630843E-2</v>
      </c>
      <c r="P652" s="31">
        <v>1962.00000000214</v>
      </c>
      <c r="Q652" s="2">
        <v>0.45386957089396102</v>
      </c>
      <c r="R652" s="2">
        <v>4.7900000000000303E-2</v>
      </c>
      <c r="S652" s="2">
        <v>2.2144609405915186E-2</v>
      </c>
      <c r="U652" s="2">
        <f t="shared" si="95"/>
        <v>0.70362789425531014</v>
      </c>
      <c r="V652" s="2">
        <f t="shared" si="96"/>
        <v>5.6971666666666698E-2</v>
      </c>
      <c r="W652" s="2">
        <f t="shared" si="97"/>
        <v>4.1354178821972877E-2</v>
      </c>
      <c r="Y652" s="31">
        <v>1962.00000000214</v>
      </c>
      <c r="Z652" s="2">
        <v>1.1370621925070137</v>
      </c>
      <c r="AA652" s="2">
        <v>-0.78876452892998183</v>
      </c>
      <c r="AB652" s="2">
        <v>-0.4141892436493797</v>
      </c>
      <c r="AD652" s="31">
        <v>1962.00000000214</v>
      </c>
      <c r="AE652" s="2">
        <v>-0.48816702515181454</v>
      </c>
      <c r="AF652" s="2">
        <v>-0.68622224125583742</v>
      </c>
      <c r="AG652" s="2">
        <v>-0.58367365280008832</v>
      </c>
      <c r="AH652" s="31"/>
      <c r="AI652" s="31">
        <v>1962.00000000214</v>
      </c>
      <c r="AJ652" s="2">
        <v>-1.3382224497010822</v>
      </c>
      <c r="AK652" s="2">
        <v>-1.186702766808877</v>
      </c>
      <c r="AL652" s="2">
        <v>-1.83903123710165</v>
      </c>
      <c r="AM652" s="31"/>
      <c r="AN652" s="2">
        <f t="shared" si="98"/>
        <v>-0.22977576078196105</v>
      </c>
      <c r="AO652" s="2">
        <f t="shared" si="91"/>
        <v>-0.88722984566489871</v>
      </c>
      <c r="AP652" s="2">
        <f t="shared" si="92"/>
        <v>-0.94563137785037277</v>
      </c>
      <c r="AQ652" s="31"/>
      <c r="AR652" s="31">
        <v>1962.00000000214</v>
      </c>
      <c r="AS652" s="2">
        <v>1.2030848398440759</v>
      </c>
      <c r="AT652" s="2">
        <v>-0.29853293598826575</v>
      </c>
      <c r="AU652" s="2">
        <v>0.82598384090061483</v>
      </c>
      <c r="AV652" s="31"/>
      <c r="AW652" s="31">
        <v>1962.00000000214</v>
      </c>
      <c r="AX652" s="2">
        <v>-0.13189251255199391</v>
      </c>
      <c r="AY652" s="2">
        <v>-0.21981065223360952</v>
      </c>
      <c r="AZ652" s="2">
        <v>-0.19333128516690185</v>
      </c>
      <c r="BA652" s="31"/>
      <c r="BB652" s="31">
        <v>1962.00000000214</v>
      </c>
      <c r="BC652" s="2">
        <v>-0.65254012057967159</v>
      </c>
      <c r="BD652" s="2">
        <v>-0.94501805984887022</v>
      </c>
      <c r="BE652" s="2">
        <v>-1.1598768559707762</v>
      </c>
      <c r="BG652" s="2">
        <f t="shared" si="99"/>
        <v>0.13955073557080344</v>
      </c>
      <c r="BH652" s="2">
        <f t="shared" si="93"/>
        <v>-0.48778721602358183</v>
      </c>
      <c r="BI652" s="2">
        <f t="shared" si="94"/>
        <v>-0.17574143341235438</v>
      </c>
    </row>
    <row r="653" spans="6:61" x14ac:dyDescent="0.3">
      <c r="F653" s="31">
        <v>1961.91666666881</v>
      </c>
      <c r="G653" s="2">
        <v>0.95273138416757919</v>
      </c>
      <c r="H653" s="2">
        <v>6.1499999999999846E-2</v>
      </c>
      <c r="I653" s="2">
        <v>5.8592980126305975E-2</v>
      </c>
      <c r="K653" s="31">
        <v>1961.91666666881</v>
      </c>
      <c r="L653" s="2">
        <v>0.74198973340223695</v>
      </c>
      <c r="M653" s="2">
        <v>6.1514999999999952E-2</v>
      </c>
      <c r="N653" s="2">
        <v>4.5643727502400318E-2</v>
      </c>
      <c r="P653" s="31">
        <v>1961.91666666881</v>
      </c>
      <c r="Q653" s="2">
        <v>0.48608116289041159</v>
      </c>
      <c r="R653" s="2">
        <v>9.5850000000000463E-2</v>
      </c>
      <c r="S653" s="2">
        <v>3.1482055164223831E-2</v>
      </c>
      <c r="U653" s="2">
        <f t="shared" si="95"/>
        <v>0.72693409348674265</v>
      </c>
      <c r="V653" s="2">
        <f t="shared" si="96"/>
        <v>7.2955000000000089E-2</v>
      </c>
      <c r="W653" s="2">
        <f t="shared" si="97"/>
        <v>4.5239587597643377E-2</v>
      </c>
      <c r="Y653" s="31">
        <v>1961.91666666881</v>
      </c>
      <c r="Z653" s="2">
        <v>1.270099559751446</v>
      </c>
      <c r="AA653" s="2">
        <v>-0.78876452892998183</v>
      </c>
      <c r="AB653" s="2">
        <v>-0.38171332392206964</v>
      </c>
      <c r="AD653" s="31">
        <v>1961.91666666881</v>
      </c>
      <c r="AE653" s="2">
        <v>-0.4003224435323165</v>
      </c>
      <c r="AF653" s="2">
        <v>-0.68622224125583742</v>
      </c>
      <c r="AG653" s="2">
        <v>-0.54916014197211305</v>
      </c>
      <c r="AH653" s="31"/>
      <c r="AI653" s="31">
        <v>1961.91666666881</v>
      </c>
      <c r="AJ653" s="2">
        <v>-1.4181535517390869</v>
      </c>
      <c r="AK653" s="2">
        <v>-4.4052846898962821E-2</v>
      </c>
      <c r="AL653" s="2">
        <v>-1.0843988104974838</v>
      </c>
      <c r="AM653" s="31"/>
      <c r="AN653" s="2">
        <f t="shared" si="98"/>
        <v>-0.18279214517331913</v>
      </c>
      <c r="AO653" s="2">
        <f t="shared" si="91"/>
        <v>-0.50634653902826077</v>
      </c>
      <c r="AP653" s="2">
        <f t="shared" si="92"/>
        <v>-0.67175742546388884</v>
      </c>
      <c r="AQ653" s="31"/>
      <c r="AR653" s="31">
        <v>1961.91666666881</v>
      </c>
      <c r="AS653" s="2">
        <v>1.6814800528618843</v>
      </c>
      <c r="AT653" s="2">
        <v>-0.68444756444045252</v>
      </c>
      <c r="AU653" s="2">
        <v>0.30496366843935918</v>
      </c>
      <c r="AV653" s="31"/>
      <c r="AW653" s="31">
        <v>1961.91666666881</v>
      </c>
      <c r="AX653" s="2">
        <v>-0.15748807319348984</v>
      </c>
      <c r="AY653" s="2">
        <v>-0.51751295497595129</v>
      </c>
      <c r="AZ653" s="2">
        <v>-0.27260727385791705</v>
      </c>
      <c r="BA653" s="31"/>
      <c r="BB653" s="31">
        <v>1961.91666666881</v>
      </c>
      <c r="BC653" s="2">
        <v>-1.2477942138512033</v>
      </c>
      <c r="BD653" s="2">
        <v>0.88737234882057547</v>
      </c>
      <c r="BE653" s="2">
        <v>-0.92448110557324381</v>
      </c>
      <c r="BG653" s="2">
        <f t="shared" si="99"/>
        <v>9.2065921939063752E-2</v>
      </c>
      <c r="BH653" s="2">
        <f t="shared" si="93"/>
        <v>-0.10486272353194277</v>
      </c>
      <c r="BI653" s="2">
        <f t="shared" si="94"/>
        <v>-0.29737490366393388</v>
      </c>
    </row>
    <row r="654" spans="6:61" x14ac:dyDescent="0.3">
      <c r="F654" s="31">
        <v>1961.8333333354799</v>
      </c>
      <c r="G654" s="2">
        <v>0.98872553924907725</v>
      </c>
      <c r="H654" s="2">
        <v>6.1499999999999846E-2</v>
      </c>
      <c r="I654" s="2">
        <v>6.0806620663818103E-2</v>
      </c>
      <c r="K654" s="31">
        <v>1961.8333333354799</v>
      </c>
      <c r="L654" s="2">
        <v>0.77217135957562655</v>
      </c>
      <c r="M654" s="2">
        <v>6.1499999999999902E-2</v>
      </c>
      <c r="N654" s="2">
        <v>4.7488538613900955E-2</v>
      </c>
      <c r="P654" s="31">
        <v>1961.8333333354799</v>
      </c>
      <c r="Q654" s="2">
        <v>0.57811063616382974</v>
      </c>
      <c r="R654" s="2">
        <v>4.7900000000000303E-2</v>
      </c>
      <c r="S654" s="2">
        <v>2.4404527438875331E-2</v>
      </c>
      <c r="U654" s="2">
        <f t="shared" si="95"/>
        <v>0.77966917832951121</v>
      </c>
      <c r="V654" s="2">
        <f t="shared" si="96"/>
        <v>5.6966666666666686E-2</v>
      </c>
      <c r="W654" s="2">
        <f t="shared" si="97"/>
        <v>4.4233228905531462E-2</v>
      </c>
      <c r="Y654" s="31">
        <v>1961.8333333354799</v>
      </c>
      <c r="Z654" s="2">
        <v>1.4787964134122891</v>
      </c>
      <c r="AA654" s="2">
        <v>-0.78876452892998183</v>
      </c>
      <c r="AB654" s="2">
        <v>-0.33076807141734271</v>
      </c>
      <c r="AD654" s="31">
        <v>1961.8333333354799</v>
      </c>
      <c r="AE654" s="2">
        <v>-0.22071892995733669</v>
      </c>
      <c r="AF654" s="2">
        <v>-0.68658960551538373</v>
      </c>
      <c r="AG654" s="2">
        <v>-0.47901154917884403</v>
      </c>
      <c r="AH654" s="31"/>
      <c r="AI654" s="31">
        <v>1961.8333333354799</v>
      </c>
      <c r="AJ654" s="2">
        <v>-1.030594052992855</v>
      </c>
      <c r="AK654" s="2">
        <v>-1.186702766808877</v>
      </c>
      <c r="AL654" s="2">
        <v>-1.6563894876037508</v>
      </c>
      <c r="AM654" s="31"/>
      <c r="AN654" s="2">
        <f t="shared" si="98"/>
        <v>7.5827810154032463E-2</v>
      </c>
      <c r="AO654" s="2">
        <f t="shared" si="91"/>
        <v>-0.88735230041808089</v>
      </c>
      <c r="AP654" s="2">
        <f t="shared" si="92"/>
        <v>-0.82205636939997906</v>
      </c>
      <c r="AQ654" s="31"/>
      <c r="AR654" s="31">
        <v>1961.8333333354799</v>
      </c>
      <c r="AS654" s="2">
        <v>1.1395587978301245</v>
      </c>
      <c r="AT654" s="2">
        <v>-0.28549293171718004</v>
      </c>
      <c r="AU654" s="2">
        <v>0.714095104511001</v>
      </c>
      <c r="AV654" s="31"/>
      <c r="AW654" s="31">
        <v>1961.8333333354799</v>
      </c>
      <c r="AX654" s="2">
        <v>-5.4251025422813925E-4</v>
      </c>
      <c r="AY654" s="2">
        <v>-0.19208961378086201</v>
      </c>
      <c r="AZ654" s="2">
        <v>-4.5433246325971892E-2</v>
      </c>
      <c r="BA654" s="31"/>
      <c r="BB654" s="31">
        <v>1961.8333333354799</v>
      </c>
      <c r="BC654" s="2">
        <v>-0.60584339765145045</v>
      </c>
      <c r="BD654" s="2">
        <v>-0.86039420085980967</v>
      </c>
      <c r="BE654" s="2">
        <v>-0.93198544709319031</v>
      </c>
      <c r="BG654" s="2">
        <f t="shared" si="99"/>
        <v>0.17772429664148195</v>
      </c>
      <c r="BH654" s="2">
        <f t="shared" si="93"/>
        <v>-0.44599224878595062</v>
      </c>
      <c r="BI654" s="2">
        <f t="shared" si="94"/>
        <v>-8.7774529636053741E-2</v>
      </c>
    </row>
    <row r="655" spans="6:61" x14ac:dyDescent="0.3">
      <c r="F655" s="31">
        <v>1961.75000000215</v>
      </c>
      <c r="G655" s="2">
        <v>1.0376505225978918</v>
      </c>
      <c r="H655" s="2">
        <v>6.1499999999999846E-2</v>
      </c>
      <c r="I655" s="2">
        <v>6.3815507139770189E-2</v>
      </c>
      <c r="K655" s="31">
        <v>1961.75000000215</v>
      </c>
      <c r="L655" s="2">
        <v>0.78510779395486352</v>
      </c>
      <c r="M655" s="2">
        <v>6.1514999999999952E-2</v>
      </c>
      <c r="N655" s="2">
        <v>4.8295395093616605E-2</v>
      </c>
      <c r="P655" s="31">
        <v>1961.75000000215</v>
      </c>
      <c r="Q655" s="2">
        <v>0.50110646137287085</v>
      </c>
      <c r="R655" s="2">
        <v>4.7900000000000303E-2</v>
      </c>
      <c r="S655" s="2">
        <v>2.5181595721700603E-2</v>
      </c>
      <c r="U655" s="2">
        <f t="shared" si="95"/>
        <v>0.77462159264187536</v>
      </c>
      <c r="V655" s="2">
        <f t="shared" si="96"/>
        <v>5.6971666666666698E-2</v>
      </c>
      <c r="W655" s="2">
        <f t="shared" si="97"/>
        <v>4.5764165985029137E-2</v>
      </c>
      <c r="Y655" s="31">
        <v>1961.75000000215</v>
      </c>
      <c r="Z655" s="2">
        <v>1.7624671946040722</v>
      </c>
      <c r="AA655" s="2">
        <v>-0.78876452892998183</v>
      </c>
      <c r="AB655" s="2">
        <v>-0.26152083878050497</v>
      </c>
      <c r="AD655" s="31">
        <v>1961.75000000215</v>
      </c>
      <c r="AE655" s="2">
        <v>-0.14373735665524492</v>
      </c>
      <c r="AF655" s="2">
        <v>-0.68622224125583742</v>
      </c>
      <c r="AG655" s="2">
        <v>-0.44833098449374559</v>
      </c>
      <c r="AH655" s="31"/>
      <c r="AI655" s="31">
        <v>1961.75000000215</v>
      </c>
      <c r="AJ655" s="2">
        <v>-0.92481664580732237</v>
      </c>
      <c r="AK655" s="2">
        <v>-1.186702766808877</v>
      </c>
      <c r="AL655" s="2">
        <v>-1.5935884883707672</v>
      </c>
      <c r="AM655" s="31"/>
      <c r="AN655" s="2">
        <f t="shared" si="98"/>
        <v>0.23130439738050165</v>
      </c>
      <c r="AO655" s="2">
        <f t="shared" si="91"/>
        <v>-0.88722984566489871</v>
      </c>
      <c r="AP655" s="2">
        <f t="shared" si="92"/>
        <v>-0.76781343721500595</v>
      </c>
      <c r="AQ655" s="31"/>
      <c r="AR655" s="31">
        <v>1961.75000000215</v>
      </c>
      <c r="AS655" s="2">
        <v>2.059545466871417</v>
      </c>
      <c r="AT655" s="2">
        <v>-0.6766476141944503</v>
      </c>
      <c r="AU655" s="2">
        <v>0.38001834364680404</v>
      </c>
      <c r="AV655" s="31"/>
      <c r="AW655" s="31">
        <v>1961.75000000215</v>
      </c>
      <c r="AX655" s="2">
        <v>-9.7810408940063764E-2</v>
      </c>
      <c r="AY655" s="2">
        <v>-0.6564669997761764</v>
      </c>
      <c r="AZ655" s="2">
        <v>-0.46278196670325439</v>
      </c>
      <c r="BA655" s="31"/>
      <c r="BB655" s="31">
        <v>1961.75000000215</v>
      </c>
      <c r="BC655" s="2">
        <v>-0.97163785100704403</v>
      </c>
      <c r="BD655" s="2">
        <v>-1.5545483300824114</v>
      </c>
      <c r="BE655" s="2">
        <v>-1.7165229834359916</v>
      </c>
      <c r="BG655" s="2">
        <f t="shared" si="99"/>
        <v>0.3300324023081031</v>
      </c>
      <c r="BH655" s="2">
        <f t="shared" si="93"/>
        <v>-0.96255431468434605</v>
      </c>
      <c r="BI655" s="2">
        <f t="shared" si="94"/>
        <v>-0.59976220216414733</v>
      </c>
    </row>
    <row r="656" spans="6:61" x14ac:dyDescent="0.3">
      <c r="F656" s="31">
        <v>1961.66666666882</v>
      </c>
      <c r="G656" s="2">
        <v>1.0976002659949744</v>
      </c>
      <c r="H656" s="2">
        <v>6.1499999999999846E-2</v>
      </c>
      <c r="I656" s="2">
        <v>6.7502416358690781E-2</v>
      </c>
      <c r="K656" s="31">
        <v>1961.66666666882</v>
      </c>
      <c r="L656" s="2">
        <v>0.8067489451750165</v>
      </c>
      <c r="M656" s="2">
        <v>6.1514999999999952E-2</v>
      </c>
      <c r="N656" s="2">
        <v>4.9626236749598408E-2</v>
      </c>
      <c r="P656" s="31">
        <v>1961.66666666882</v>
      </c>
      <c r="Q656" s="2">
        <v>0.58495438729664218</v>
      </c>
      <c r="R656" s="2">
        <v>9.5850000000000463E-2</v>
      </c>
      <c r="S656" s="2">
        <v>3.3783179407022107E-2</v>
      </c>
      <c r="U656" s="2">
        <f t="shared" si="95"/>
        <v>0.82976786615554443</v>
      </c>
      <c r="V656" s="2">
        <f t="shared" si="96"/>
        <v>7.2955000000000089E-2</v>
      </c>
      <c r="W656" s="2">
        <f t="shared" si="97"/>
        <v>5.0303944171770427E-2</v>
      </c>
      <c r="Y656" s="31">
        <v>1961.66666666882</v>
      </c>
      <c r="Z656" s="2">
        <v>2.1100603745639259</v>
      </c>
      <c r="AA656" s="2">
        <v>-0.78876452892998183</v>
      </c>
      <c r="AB656" s="2">
        <v>-0.17666942865453458</v>
      </c>
      <c r="AD656" s="31">
        <v>1961.66666666882</v>
      </c>
      <c r="AE656" s="2">
        <v>-1.4956131461558832E-2</v>
      </c>
      <c r="AF656" s="2">
        <v>-0.68622224125583742</v>
      </c>
      <c r="AG656" s="2">
        <v>-0.39772598281319543</v>
      </c>
      <c r="AH656" s="31"/>
      <c r="AI656" s="31">
        <v>1961.66666666882</v>
      </c>
      <c r="AJ656" s="2">
        <v>-1.1540872013316406</v>
      </c>
      <c r="AK656" s="2">
        <v>-4.4052846898962821E-2</v>
      </c>
      <c r="AL656" s="2">
        <v>-0.89842686311397546</v>
      </c>
      <c r="AM656" s="31"/>
      <c r="AN656" s="2">
        <f t="shared" si="98"/>
        <v>0.31367234725690879</v>
      </c>
      <c r="AO656" s="2">
        <f t="shared" si="91"/>
        <v>-0.50634653902826077</v>
      </c>
      <c r="AP656" s="2">
        <f t="shared" si="92"/>
        <v>-0.49094075819390182</v>
      </c>
      <c r="AQ656" s="31"/>
      <c r="AR656" s="31">
        <v>1961.66666666882</v>
      </c>
      <c r="AS656" s="2">
        <v>1.0070941393437578</v>
      </c>
      <c r="AT656" s="2">
        <v>-0.32631334910519932</v>
      </c>
      <c r="AU656" s="2">
        <v>0.4764507846837237</v>
      </c>
      <c r="AV656" s="31"/>
      <c r="AW656" s="31">
        <v>1961.66666666882</v>
      </c>
      <c r="AX656" s="2">
        <v>-9.2587107546864125E-2</v>
      </c>
      <c r="AY656" s="2">
        <v>-0.23837245449551037</v>
      </c>
      <c r="AZ656" s="2">
        <v>-0.1085591843190957</v>
      </c>
      <c r="BA656" s="31"/>
      <c r="BB656" s="31">
        <v>1961.66666666882</v>
      </c>
      <c r="BC656" s="2">
        <v>-1.2869001090697885</v>
      </c>
      <c r="BD656" s="2">
        <v>1.0283839161259722</v>
      </c>
      <c r="BE656" s="2">
        <v>-0.82428044256165822</v>
      </c>
      <c r="BG656" s="2">
        <f t="shared" si="99"/>
        <v>-0.12413102575763157</v>
      </c>
      <c r="BH656" s="2">
        <f t="shared" si="93"/>
        <v>0.15456603750842085</v>
      </c>
      <c r="BI656" s="2">
        <f t="shared" si="94"/>
        <v>-0.15212961406567674</v>
      </c>
    </row>
    <row r="657" spans="6:61" x14ac:dyDescent="0.3">
      <c r="F657" s="31">
        <v>1961.5833333354899</v>
      </c>
      <c r="G657" s="2">
        <v>1.1492809745377892</v>
      </c>
      <c r="H657" s="2">
        <v>6.1499999999999846E-2</v>
      </c>
      <c r="I657" s="2">
        <v>7.0680779934073873E-2</v>
      </c>
      <c r="K657" s="31">
        <v>1961.5833333354899</v>
      </c>
      <c r="L657" s="2">
        <v>0.82970588270657264</v>
      </c>
      <c r="M657" s="2">
        <v>6.1514999999999952E-2</v>
      </c>
      <c r="N657" s="2">
        <v>5.1037998369203724E-2</v>
      </c>
      <c r="P657" s="31">
        <v>1961.5833333354899</v>
      </c>
      <c r="Q657" s="2">
        <v>0.58419444066549264</v>
      </c>
      <c r="R657" s="2">
        <v>4.7900000000000303E-2</v>
      </c>
      <c r="S657" s="2">
        <v>2.7508003513763851E-2</v>
      </c>
      <c r="U657" s="2">
        <f t="shared" si="95"/>
        <v>0.85439376596995142</v>
      </c>
      <c r="V657" s="2">
        <f t="shared" si="96"/>
        <v>5.6971666666666698E-2</v>
      </c>
      <c r="W657" s="2">
        <f t="shared" si="97"/>
        <v>4.9742260605680488E-2</v>
      </c>
      <c r="Y657" s="31">
        <v>1961.5833333354899</v>
      </c>
      <c r="Z657" s="2">
        <v>2.40970906039716</v>
      </c>
      <c r="AA657" s="2">
        <v>-0.78876452892998183</v>
      </c>
      <c r="AB657" s="2">
        <v>-0.10352180953761138</v>
      </c>
      <c r="AD657" s="31">
        <v>1961.5833333354899</v>
      </c>
      <c r="AE657" s="2">
        <v>0.12165501791461643</v>
      </c>
      <c r="AF657" s="2">
        <v>-0.68622224125583742</v>
      </c>
      <c r="AG657" s="2">
        <v>-0.34404401485588948</v>
      </c>
      <c r="AH657" s="31"/>
      <c r="AI657" s="31">
        <v>1961.5833333354899</v>
      </c>
      <c r="AJ657" s="2">
        <v>-0.60813741730250492</v>
      </c>
      <c r="AK657" s="2">
        <v>-1.186702766808877</v>
      </c>
      <c r="AL657" s="2">
        <v>-1.4055731785272398</v>
      </c>
      <c r="AM657" s="31"/>
      <c r="AN657" s="2">
        <f t="shared" si="98"/>
        <v>0.6410755536697571</v>
      </c>
      <c r="AO657" s="2">
        <f t="shared" si="91"/>
        <v>-0.88722984566489871</v>
      </c>
      <c r="AP657" s="2">
        <f t="shared" si="92"/>
        <v>-0.61771300097358017</v>
      </c>
      <c r="AQ657" s="31"/>
      <c r="AR657" s="31">
        <v>1961.5833333354899</v>
      </c>
      <c r="AS657" s="2">
        <v>1.9588826945561113</v>
      </c>
      <c r="AT657" s="2">
        <v>-0.65870957567408583</v>
      </c>
      <c r="AU657" s="2">
        <v>0.42294782888779758</v>
      </c>
      <c r="AV657" s="31"/>
      <c r="AW657" s="31">
        <v>1961.5833333354899</v>
      </c>
      <c r="AX657" s="2">
        <v>-0.1053647759384653</v>
      </c>
      <c r="AY657" s="2">
        <v>-0.53553372549108424</v>
      </c>
      <c r="AZ657" s="2">
        <v>-0.28880100850915941</v>
      </c>
      <c r="BA657" s="31"/>
      <c r="BB657" s="31">
        <v>1961.5833333354899</v>
      </c>
      <c r="BC657" s="2">
        <v>-1.0953679544340684</v>
      </c>
      <c r="BD657" s="2">
        <v>-1.8093824011735564</v>
      </c>
      <c r="BE657" s="2">
        <v>-1.894907080894755</v>
      </c>
      <c r="BG657" s="2">
        <f t="shared" si="99"/>
        <v>0.2527166547278592</v>
      </c>
      <c r="BH657" s="2">
        <f t="shared" si="93"/>
        <v>-1.0012085674462421</v>
      </c>
      <c r="BI657" s="2">
        <f t="shared" si="94"/>
        <v>-0.58692008683870556</v>
      </c>
    </row>
    <row r="658" spans="6:61" x14ac:dyDescent="0.3">
      <c r="F658" s="31">
        <v>1961.50000000216</v>
      </c>
      <c r="G658" s="2"/>
      <c r="H658" s="2"/>
      <c r="I658" s="2"/>
      <c r="K658" s="31">
        <v>1961.50000000216</v>
      </c>
      <c r="L658" s="2">
        <v>0.97575008556833209</v>
      </c>
      <c r="M658" s="2">
        <v>6.1499999999999902E-2</v>
      </c>
      <c r="N658" s="2">
        <v>6.0008630262452331E-2</v>
      </c>
      <c r="P658" s="31">
        <v>1961.50000000216</v>
      </c>
      <c r="Q658" s="2">
        <v>0.58474302297690628</v>
      </c>
      <c r="R658" s="2">
        <v>4.7900000000000303E-2</v>
      </c>
      <c r="S658" s="2">
        <v>2.7874995430731395E-2</v>
      </c>
      <c r="U658" s="2">
        <f t="shared" si="95"/>
        <v>0.78024655427261913</v>
      </c>
      <c r="V658" s="2">
        <f t="shared" si="96"/>
        <v>5.4700000000000103E-2</v>
      </c>
      <c r="W658" s="2">
        <f t="shared" si="97"/>
        <v>4.3941812846591863E-2</v>
      </c>
      <c r="Y658" s="31">
        <v>1961.50000000216</v>
      </c>
      <c r="Z658" s="2"/>
      <c r="AA658" s="2"/>
      <c r="AB658" s="2"/>
      <c r="AD658" s="31">
        <v>1961.50000000216</v>
      </c>
      <c r="AE658" s="2">
        <v>0.99072853371992164</v>
      </c>
      <c r="AF658" s="2">
        <v>-0.68658960551538373</v>
      </c>
      <c r="AG658" s="2">
        <v>-2.9374376812045626E-3</v>
      </c>
      <c r="AH658" s="31"/>
      <c r="AI658" s="31">
        <v>1961.50000000216</v>
      </c>
      <c r="AJ658" s="2">
        <v>-0.55818112093465588</v>
      </c>
      <c r="AK658" s="2">
        <v>-1.186702766808877</v>
      </c>
      <c r="AL658" s="2">
        <v>-1.37591367548821</v>
      </c>
      <c r="AM658" s="31"/>
      <c r="AN658" s="2">
        <f t="shared" si="98"/>
        <v>0.21627370639263288</v>
      </c>
      <c r="AO658" s="2">
        <f t="shared" si="91"/>
        <v>-0.93664618616213036</v>
      </c>
      <c r="AP658" s="2">
        <f t="shared" si="92"/>
        <v>-0.68942555658470728</v>
      </c>
      <c r="AQ658" s="31"/>
      <c r="AR658" s="31">
        <v>1961.50000000216</v>
      </c>
      <c r="AS658" s="2"/>
      <c r="AT658" s="2"/>
      <c r="AU658" s="2"/>
      <c r="AV658" s="31"/>
      <c r="AW658" s="31">
        <v>1961.50000000216</v>
      </c>
      <c r="AX658" s="2">
        <v>0.18272720894257866</v>
      </c>
      <c r="AY658" s="2">
        <v>-0.1083026392523672</v>
      </c>
      <c r="AZ658" s="2">
        <v>0.18240342316925126</v>
      </c>
      <c r="BA658" s="31"/>
      <c r="BB658" s="31">
        <v>1961.50000000216</v>
      </c>
      <c r="BC658" s="2">
        <v>-0.64413940774530842</v>
      </c>
      <c r="BD658" s="2">
        <v>-0.38248368897839508</v>
      </c>
      <c r="BE658" s="2">
        <v>-0.76382710438001045</v>
      </c>
      <c r="BG658" s="2">
        <f t="shared" si="99"/>
        <v>-0.23070609940136488</v>
      </c>
      <c r="BH658" s="2">
        <f t="shared" si="93"/>
        <v>-0.24539316411538115</v>
      </c>
      <c r="BI658" s="2">
        <f t="shared" si="94"/>
        <v>-0.29071184060537958</v>
      </c>
    </row>
    <row r="659" spans="6:61" x14ac:dyDescent="0.3">
      <c r="F659" s="31">
        <v>1961.41666666883</v>
      </c>
      <c r="G659" s="2">
        <v>1.1298128351184187</v>
      </c>
      <c r="H659" s="2">
        <v>0.24599999999999936</v>
      </c>
      <c r="I659" s="2">
        <v>0.27225116831599039</v>
      </c>
      <c r="K659" s="31">
        <v>1961.41666666883</v>
      </c>
      <c r="L659" s="2">
        <v>0.83313789978655706</v>
      </c>
      <c r="M659" s="2">
        <v>0.15376499999999982</v>
      </c>
      <c r="N659" s="2">
        <v>5.1249069019532092E-2</v>
      </c>
      <c r="P659" s="31">
        <v>1961.41666666883</v>
      </c>
      <c r="Q659" s="2">
        <v>0.48485998768118488</v>
      </c>
      <c r="R659" s="2">
        <v>7.1900000000000297E-2</v>
      </c>
      <c r="S659" s="2">
        <v>3.4021261475782397E-2</v>
      </c>
      <c r="U659" s="2">
        <f t="shared" si="95"/>
        <v>0.81593690752872028</v>
      </c>
      <c r="V659" s="2">
        <f t="shared" si="96"/>
        <v>0.15722166666666648</v>
      </c>
      <c r="W659" s="2">
        <f t="shared" si="97"/>
        <v>0.11917383293710164</v>
      </c>
      <c r="Y659" s="31">
        <v>1961.41666666883</v>
      </c>
      <c r="Z659" s="2">
        <v>2.2968313047100506</v>
      </c>
      <c r="AA659" s="2">
        <v>2.8140144362030597</v>
      </c>
      <c r="AB659" s="2">
        <v>4.5354672944177317</v>
      </c>
      <c r="AD659" s="31">
        <v>1961.41666666883</v>
      </c>
      <c r="AE659" s="2">
        <v>0.14207811648039254</v>
      </c>
      <c r="AF659" s="2">
        <v>1.5730679549465956</v>
      </c>
      <c r="AG659" s="2">
        <v>-0.33601809338989658</v>
      </c>
      <c r="AH659" s="31"/>
      <c r="AI659" s="31">
        <v>1961.41666666883</v>
      </c>
      <c r="AJ659" s="2">
        <v>-1.0852515203619744</v>
      </c>
      <c r="AK659" s="2">
        <v>-0.61478205611361436</v>
      </c>
      <c r="AL659" s="2">
        <v>-0.87918557872743452</v>
      </c>
      <c r="AM659" s="31"/>
      <c r="AN659" s="2">
        <f t="shared" si="98"/>
        <v>0.45121930027615625</v>
      </c>
      <c r="AO659" s="2">
        <f t="shared" si="91"/>
        <v>1.2574334450120137</v>
      </c>
      <c r="AP659" s="2">
        <f t="shared" si="92"/>
        <v>1.1067545407668</v>
      </c>
      <c r="AQ659" s="31"/>
      <c r="AR659" s="31">
        <v>1961.41666666883</v>
      </c>
      <c r="AS659" s="2">
        <v>1.6493110908000619</v>
      </c>
      <c r="AT659" s="2">
        <v>1.6401497265564973</v>
      </c>
      <c r="AU659" s="2">
        <v>2.5268737404044845</v>
      </c>
      <c r="AV659" s="31"/>
      <c r="AW659" s="31">
        <v>1961.41666666883</v>
      </c>
      <c r="AX659" s="2">
        <v>-0.27827220324225499</v>
      </c>
      <c r="AY659" s="2">
        <v>0.2479558400008364</v>
      </c>
      <c r="AZ659" s="2">
        <v>-1.0119532102862712</v>
      </c>
      <c r="BA659" s="31"/>
      <c r="BB659" s="31">
        <v>1961.41666666883</v>
      </c>
      <c r="BC659" s="2">
        <v>-1.8799723154316228</v>
      </c>
      <c r="BD659" s="2">
        <v>-2.0364024332560446</v>
      </c>
      <c r="BE659" s="2">
        <v>-1.9124889179631004</v>
      </c>
      <c r="BG659" s="2">
        <f t="shared" si="99"/>
        <v>-0.16964447595793866</v>
      </c>
      <c r="BH659" s="2">
        <f t="shared" si="93"/>
        <v>-4.9432288899570333E-2</v>
      </c>
      <c r="BI659" s="2">
        <f t="shared" si="94"/>
        <v>-0.13252279594829566</v>
      </c>
    </row>
    <row r="660" spans="6:61" x14ac:dyDescent="0.3">
      <c r="F660" s="31">
        <v>1961.3333333354999</v>
      </c>
      <c r="G660" s="2">
        <v>0.89472275813865121</v>
      </c>
      <c r="H660" s="2">
        <v>0.27674999999999927</v>
      </c>
      <c r="I660" s="2">
        <v>0.23738631786531267</v>
      </c>
      <c r="K660" s="31">
        <v>1961.3333333354999</v>
      </c>
      <c r="L660" s="2">
        <v>0.76570387636886728</v>
      </c>
      <c r="M660" s="2">
        <v>0.15376499999999982</v>
      </c>
      <c r="N660" s="2">
        <v>4.7101908654973129E-2</v>
      </c>
      <c r="P660" s="31">
        <v>1961.3333333354999</v>
      </c>
      <c r="Q660" s="2">
        <v>0.59705452472844123</v>
      </c>
      <c r="R660" s="2">
        <v>4.7900000000000303E-2</v>
      </c>
      <c r="S660" s="2">
        <v>2.8019315151509339E-2</v>
      </c>
      <c r="U660" s="2">
        <f t="shared" si="95"/>
        <v>0.75249371974531998</v>
      </c>
      <c r="V660" s="2">
        <f t="shared" si="96"/>
        <v>0.15947166666666646</v>
      </c>
      <c r="W660" s="2">
        <f t="shared" si="97"/>
        <v>0.10416918055726504</v>
      </c>
      <c r="Y660" s="31">
        <v>1961.3333333354999</v>
      </c>
      <c r="Z660" s="2">
        <v>0.933761126191474</v>
      </c>
      <c r="AA660" s="2">
        <v>3.4144775970585668</v>
      </c>
      <c r="AB660" s="2">
        <v>3.7330792916458106</v>
      </c>
      <c r="AD660" s="31">
        <v>1961.3333333354999</v>
      </c>
      <c r="AE660" s="2">
        <v>-0.25920534885497987</v>
      </c>
      <c r="AF660" s="2">
        <v>1.5730679549465956</v>
      </c>
      <c r="AG660" s="2">
        <v>-0.49371308007348652</v>
      </c>
      <c r="AH660" s="31"/>
      <c r="AI660" s="31">
        <v>1961.3333333354999</v>
      </c>
      <c r="AJ660" s="2">
        <v>-0.5385357870469728</v>
      </c>
      <c r="AK660" s="2">
        <v>-1.186702766808877</v>
      </c>
      <c r="AL660" s="2">
        <v>-1.364250063841461</v>
      </c>
      <c r="AM660" s="31"/>
      <c r="AN660" s="2">
        <f t="shared" si="98"/>
        <v>4.5339996763173795E-2</v>
      </c>
      <c r="AO660" s="2">
        <f t="shared" si="91"/>
        <v>1.2669475950654283</v>
      </c>
      <c r="AP660" s="2">
        <f t="shared" si="92"/>
        <v>0.6250387159102877</v>
      </c>
      <c r="AQ660" s="31"/>
      <c r="AR660" s="31">
        <v>1961.3333333354999</v>
      </c>
      <c r="AS660" s="2">
        <v>0.91188414413238483</v>
      </c>
      <c r="AT660" s="2">
        <v>2.4076786632217595</v>
      </c>
      <c r="AU660" s="2">
        <v>2.9092077447148101</v>
      </c>
      <c r="AV660" s="31"/>
      <c r="AW660" s="31">
        <v>1961.3333333354999</v>
      </c>
      <c r="AX660" s="2">
        <v>-0.39560000259950651</v>
      </c>
      <c r="AY660" s="2">
        <v>0.72904993846663702</v>
      </c>
      <c r="AZ660" s="2">
        <v>-0.71687058038696883</v>
      </c>
      <c r="BA660" s="31"/>
      <c r="BB660" s="31">
        <v>1961.3333333354999</v>
      </c>
      <c r="BC660" s="2">
        <v>-0.88096761861836037</v>
      </c>
      <c r="BD660" s="2">
        <v>-1.8540826972173752</v>
      </c>
      <c r="BE660" s="2">
        <v>-1.9479458897227853</v>
      </c>
      <c r="BG660" s="2">
        <f t="shared" si="99"/>
        <v>-0.12156115902849403</v>
      </c>
      <c r="BH660" s="2">
        <f t="shared" si="93"/>
        <v>0.42754863482367372</v>
      </c>
      <c r="BI660" s="2">
        <f t="shared" si="94"/>
        <v>8.1463758201685429E-2</v>
      </c>
    </row>
    <row r="661" spans="6:61" x14ac:dyDescent="0.3">
      <c r="F661" s="31">
        <v>1961.2500000021701</v>
      </c>
      <c r="G661" s="2">
        <v>0.85032595297611924</v>
      </c>
      <c r="H661" s="2">
        <v>0.24599999999999936</v>
      </c>
      <c r="I661" s="2">
        <v>0.21516107996253764</v>
      </c>
      <c r="K661" s="31">
        <v>1961.2500000021701</v>
      </c>
      <c r="L661" s="2">
        <v>0.72029477163608702</v>
      </c>
      <c r="M661" s="2">
        <v>0.15376499999999982</v>
      </c>
      <c r="N661" s="2">
        <v>4.4309279273144653E-2</v>
      </c>
      <c r="P661" s="31">
        <v>1961.2500000021701</v>
      </c>
      <c r="Q661" s="2">
        <v>0.60951535441524263</v>
      </c>
      <c r="R661" s="2">
        <v>7.1900000000000297E-2</v>
      </c>
      <c r="S661" s="2">
        <v>3.22621430706624E-2</v>
      </c>
      <c r="U661" s="2">
        <f t="shared" si="95"/>
        <v>0.72671202634248289</v>
      </c>
      <c r="V661" s="2">
        <f t="shared" si="96"/>
        <v>0.15722166666666648</v>
      </c>
      <c r="W661" s="2">
        <f t="shared" si="97"/>
        <v>9.7244167435448226E-2</v>
      </c>
      <c r="Y661" s="31">
        <v>1961.2500000021701</v>
      </c>
      <c r="Z661" s="2">
        <v>0.67634506713869191</v>
      </c>
      <c r="AA661" s="2">
        <v>2.8140144362030597</v>
      </c>
      <c r="AB661" s="2">
        <v>3.2215823535715558</v>
      </c>
      <c r="AD661" s="31">
        <v>1961.2500000021701</v>
      </c>
      <c r="AE661" s="2">
        <v>-0.52942388219206704</v>
      </c>
      <c r="AF661" s="2">
        <v>1.5730679549465956</v>
      </c>
      <c r="AG661" s="2">
        <v>-0.59990228291770231</v>
      </c>
      <c r="AH661" s="31"/>
      <c r="AI661" s="31">
        <v>1961.2500000021701</v>
      </c>
      <c r="AJ661" s="2">
        <v>-1.2058197418116847</v>
      </c>
      <c r="AK661" s="2">
        <v>-0.61478205611361436</v>
      </c>
      <c r="AL661" s="2">
        <v>-1.0213537717323073</v>
      </c>
      <c r="AM661" s="31"/>
      <c r="AN661" s="2">
        <f t="shared" si="98"/>
        <v>-0.35296618562168663</v>
      </c>
      <c r="AO661" s="2">
        <f t="shared" si="91"/>
        <v>1.2574334450120137</v>
      </c>
      <c r="AP661" s="2">
        <f t="shared" si="92"/>
        <v>0.53344209964051537</v>
      </c>
      <c r="AQ661" s="31"/>
      <c r="AR661" s="31">
        <v>1961.2500000021701</v>
      </c>
      <c r="AS661" s="2">
        <v>1.0080039253342794</v>
      </c>
      <c r="AT661" s="2">
        <v>1.9841392062377599</v>
      </c>
      <c r="AU661" s="2">
        <v>2.6260304947002409</v>
      </c>
      <c r="AV661" s="31"/>
      <c r="AW661" s="31">
        <v>1961.2500000021701</v>
      </c>
      <c r="AX661" s="2">
        <v>-0.48215723074996797</v>
      </c>
      <c r="AY661" s="2">
        <v>0.55886310744945389</v>
      </c>
      <c r="AZ661" s="2">
        <v>-0.87526636652025425</v>
      </c>
      <c r="BA661" s="31"/>
      <c r="BB661" s="31">
        <v>1961.2500000021701</v>
      </c>
      <c r="BC661" s="2">
        <v>-1.0696981550328424</v>
      </c>
      <c r="BD661" s="2">
        <v>-1.5983653379264826</v>
      </c>
      <c r="BE661" s="2">
        <v>-1.2107994820801358</v>
      </c>
      <c r="BG661" s="2">
        <f t="shared" si="99"/>
        <v>-0.18128382014951031</v>
      </c>
      <c r="BH661" s="2">
        <f t="shared" si="93"/>
        <v>0.31487899192024371</v>
      </c>
      <c r="BI661" s="2">
        <f t="shared" si="94"/>
        <v>0.17998821536661694</v>
      </c>
    </row>
    <row r="662" spans="6:61" x14ac:dyDescent="0.3">
      <c r="F662" s="31">
        <v>1961.16666666884</v>
      </c>
      <c r="G662" s="2">
        <v>0.85917593664751801</v>
      </c>
      <c r="H662" s="2">
        <v>0.21524999999999939</v>
      </c>
      <c r="I662" s="2">
        <v>0.20280991235736201</v>
      </c>
      <c r="K662" s="31">
        <v>1961.16666666884</v>
      </c>
      <c r="L662" s="2">
        <v>0.64464873144089696</v>
      </c>
      <c r="M662" s="2">
        <v>0.24599999999999961</v>
      </c>
      <c r="N662" s="2">
        <v>3.9645896983615099E-2</v>
      </c>
      <c r="P662" s="31">
        <v>1961.16666666884</v>
      </c>
      <c r="Q662" s="2">
        <v>0.62435189294742433</v>
      </c>
      <c r="R662" s="2">
        <v>4.7900000000000303E-2</v>
      </c>
      <c r="S662" s="2">
        <v>2.8009190800593987E-2</v>
      </c>
      <c r="U662" s="2">
        <f t="shared" si="95"/>
        <v>0.70939218701194628</v>
      </c>
      <c r="V662" s="2">
        <f t="shared" si="96"/>
        <v>0.16971666666666643</v>
      </c>
      <c r="W662" s="2">
        <f t="shared" si="97"/>
        <v>9.0155000047190362E-2</v>
      </c>
      <c r="Y662" s="31">
        <v>1961.16666666884</v>
      </c>
      <c r="Z662" s="2">
        <v>0.72765794677120066</v>
      </c>
      <c r="AA662" s="2">
        <v>2.2135512753475517</v>
      </c>
      <c r="AB662" s="2">
        <v>2.9373296297390494</v>
      </c>
      <c r="AD662" s="31">
        <v>1961.16666666884</v>
      </c>
      <c r="AE662" s="2">
        <v>-0.97957506122525606</v>
      </c>
      <c r="AF662" s="2">
        <v>3.8319907868894814</v>
      </c>
      <c r="AG662" s="2">
        <v>-0.77722651043791269</v>
      </c>
      <c r="AH662" s="31"/>
      <c r="AI662" s="31">
        <v>1961.16666666884</v>
      </c>
      <c r="AJ662" s="2">
        <v>-0.53991395111946394</v>
      </c>
      <c r="AK662" s="2">
        <v>-1.186702766808877</v>
      </c>
      <c r="AL662" s="2">
        <v>-1.3650682922624664</v>
      </c>
      <c r="AM662" s="31"/>
      <c r="AN662" s="2">
        <f t="shared" si="98"/>
        <v>-0.26394368852450645</v>
      </c>
      <c r="AO662" s="2">
        <f t="shared" si="91"/>
        <v>1.6196130984760522</v>
      </c>
      <c r="AP662" s="2">
        <f t="shared" si="92"/>
        <v>0.26501160901289006</v>
      </c>
      <c r="AQ662" s="31"/>
      <c r="AR662" s="31">
        <v>1961.16666666884</v>
      </c>
      <c r="AS662" s="2">
        <v>1.22118516681337</v>
      </c>
      <c r="AT662" s="2">
        <v>1.4394269330854625</v>
      </c>
      <c r="AU662" s="2">
        <v>2.695462452987555</v>
      </c>
      <c r="AV662" s="31"/>
      <c r="AW662" s="31">
        <v>1961.16666666884</v>
      </c>
      <c r="AX662" s="2">
        <v>-0.78065585949578231</v>
      </c>
      <c r="AY662" s="2">
        <v>2.8829557251088187</v>
      </c>
      <c r="AZ662" s="2">
        <v>-0.78025607367341532</v>
      </c>
      <c r="BA662" s="31"/>
      <c r="BB662" s="31">
        <v>1961.16666666884</v>
      </c>
      <c r="BC662" s="2">
        <v>4.1271925008390525E-2</v>
      </c>
      <c r="BD662" s="2">
        <v>-1.6639966171457974</v>
      </c>
      <c r="BE662" s="2">
        <v>-1.0653283199984056</v>
      </c>
      <c r="BG662" s="2">
        <f t="shared" si="99"/>
        <v>0.16060041077532605</v>
      </c>
      <c r="BH662" s="2">
        <f t="shared" si="93"/>
        <v>0.88612868034949466</v>
      </c>
      <c r="BI662" s="2">
        <f t="shared" si="94"/>
        <v>0.28329268643857802</v>
      </c>
    </row>
    <row r="663" spans="6:61" x14ac:dyDescent="0.3">
      <c r="F663" s="31">
        <v>1961.0833333355099</v>
      </c>
      <c r="G663" s="2">
        <v>0.81477454478444611</v>
      </c>
      <c r="H663" s="2">
        <v>6.1499999999999846E-2</v>
      </c>
      <c r="I663" s="2">
        <v>5.0108634504243313E-2</v>
      </c>
      <c r="K663" s="31">
        <v>1961.0833333355099</v>
      </c>
      <c r="L663" s="2">
        <v>0.68476092130454458</v>
      </c>
      <c r="M663" s="2">
        <v>6.1514999999999952E-2</v>
      </c>
      <c r="N663" s="2">
        <v>4.2123978120971184E-2</v>
      </c>
      <c r="P663" s="31">
        <v>1961.0833333355099</v>
      </c>
      <c r="Q663" s="2">
        <v>0.50636381767321725</v>
      </c>
      <c r="R663" s="2">
        <v>0.11985000000000046</v>
      </c>
      <c r="S663" s="2">
        <v>3.1368774443583727E-2</v>
      </c>
      <c r="U663" s="2">
        <f t="shared" si="95"/>
        <v>0.66863309458740261</v>
      </c>
      <c r="V663" s="2">
        <f t="shared" si="96"/>
        <v>8.0955000000000096E-2</v>
      </c>
      <c r="W663" s="2">
        <f t="shared" si="97"/>
        <v>4.1200462356266072E-2</v>
      </c>
      <c r="Y663" s="31">
        <v>1961.0833333355099</v>
      </c>
      <c r="Z663" s="2">
        <v>0.47021529367921405</v>
      </c>
      <c r="AA663" s="2">
        <v>-0.78876452892998183</v>
      </c>
      <c r="AB663" s="2">
        <v>-0.57697408226503921</v>
      </c>
      <c r="AD663" s="31">
        <v>1961.0833333355099</v>
      </c>
      <c r="AE663" s="2">
        <v>-0.74087717943087983</v>
      </c>
      <c r="AF663" s="2">
        <v>-0.68622224125583742</v>
      </c>
      <c r="AG663" s="2">
        <v>-0.68299794496072952</v>
      </c>
      <c r="AH663" s="31"/>
      <c r="AI663" s="31">
        <v>1961.0833333355099</v>
      </c>
      <c r="AJ663" s="2">
        <v>-1.2592350612003791</v>
      </c>
      <c r="AK663" s="2">
        <v>0.52786786379629969</v>
      </c>
      <c r="AL663" s="2">
        <v>-1.0935539164351051</v>
      </c>
      <c r="AM663" s="31"/>
      <c r="AN663" s="2">
        <f t="shared" si="98"/>
        <v>-0.50996564898401497</v>
      </c>
      <c r="AO663" s="2">
        <f t="shared" si="91"/>
        <v>-0.31570630212983986</v>
      </c>
      <c r="AP663" s="2">
        <f t="shared" si="92"/>
        <v>-0.78450864788695795</v>
      </c>
      <c r="AQ663" s="31"/>
      <c r="AR663" s="31">
        <v>1961.0833333355099</v>
      </c>
      <c r="AS663" s="2">
        <v>1.4207283123666903</v>
      </c>
      <c r="AT663" s="2">
        <v>-0.93050162247170598</v>
      </c>
      <c r="AU663" s="2">
        <v>-0.10151073903775355</v>
      </c>
      <c r="AV663" s="31"/>
      <c r="AW663" s="31">
        <v>1961.0833333355099</v>
      </c>
      <c r="AX663" s="2">
        <v>-0.46654330703052366</v>
      </c>
      <c r="AY663" s="2">
        <v>-0.87038484719517628</v>
      </c>
      <c r="AZ663" s="2">
        <v>-0.83529823792439184</v>
      </c>
      <c r="BA663" s="31"/>
      <c r="BB663" s="31">
        <v>1961.0833333355099</v>
      </c>
      <c r="BC663" s="2">
        <v>-0.64053184722156631</v>
      </c>
      <c r="BD663" s="2">
        <v>0.93034272396242035</v>
      </c>
      <c r="BE663" s="2">
        <v>-0.87673844406399704</v>
      </c>
      <c r="BG663" s="2">
        <f t="shared" si="99"/>
        <v>0.10455105270486675</v>
      </c>
      <c r="BH663" s="2">
        <f t="shared" si="93"/>
        <v>-0.29018124856815397</v>
      </c>
      <c r="BI663" s="2">
        <f t="shared" si="94"/>
        <v>-0.6045158070087141</v>
      </c>
    </row>
    <row r="664" spans="6:61" x14ac:dyDescent="0.3">
      <c r="F664" s="31">
        <v>1961.0000000021801</v>
      </c>
      <c r="G664" s="2">
        <v>0.82208824393453095</v>
      </c>
      <c r="H664" s="2">
        <v>6.1499999999999846E-2</v>
      </c>
      <c r="I664" s="2">
        <v>5.0558427001973522E-2</v>
      </c>
      <c r="K664" s="31">
        <v>1961.0000000021801</v>
      </c>
      <c r="L664" s="2">
        <v>0.67683516365288665</v>
      </c>
      <c r="M664" s="2">
        <v>6.1514999999999952E-2</v>
      </c>
      <c r="N664" s="2">
        <v>4.16362083864266E-2</v>
      </c>
      <c r="P664" s="31">
        <v>1961.0000000021801</v>
      </c>
      <c r="Q664" s="2">
        <v>0.55914857665764406</v>
      </c>
      <c r="R664" s="2">
        <v>7.1900000000000297E-2</v>
      </c>
      <c r="S664" s="2">
        <v>3.3610799239852489E-2</v>
      </c>
      <c r="U664" s="2">
        <f t="shared" si="95"/>
        <v>0.68602399474835385</v>
      </c>
      <c r="V664" s="2">
        <f t="shared" si="96"/>
        <v>6.4971666666666705E-2</v>
      </c>
      <c r="W664" s="2">
        <f t="shared" si="97"/>
        <v>4.1935144876084206E-2</v>
      </c>
      <c r="Y664" s="31">
        <v>1961.0000000021801</v>
      </c>
      <c r="Z664" s="2">
        <v>0.51262067860320337</v>
      </c>
      <c r="AA664" s="2">
        <v>-0.78876452892998183</v>
      </c>
      <c r="AB664" s="2">
        <v>-0.56662245019863744</v>
      </c>
      <c r="AD664" s="31">
        <v>1961.0000000021801</v>
      </c>
      <c r="AE664" s="2">
        <v>-0.78804143472328037</v>
      </c>
      <c r="AF664" s="2">
        <v>-0.68622224125583742</v>
      </c>
      <c r="AG664" s="2">
        <v>-0.70154529665009357</v>
      </c>
      <c r="AH664" s="31"/>
      <c r="AI664" s="31">
        <v>1961.0000000021801</v>
      </c>
      <c r="AJ664" s="2">
        <v>-1.0931385852717304</v>
      </c>
      <c r="AK664" s="2">
        <v>-0.61478205611361436</v>
      </c>
      <c r="AL664" s="2">
        <v>-0.91235826011661825</v>
      </c>
      <c r="AM664" s="31"/>
      <c r="AN664" s="2">
        <f t="shared" si="98"/>
        <v>-0.45618644713060236</v>
      </c>
      <c r="AO664" s="2">
        <f t="shared" si="91"/>
        <v>-0.69658960876647791</v>
      </c>
      <c r="AP664" s="2">
        <f t="shared" si="92"/>
        <v>-0.7268420023217832</v>
      </c>
      <c r="AQ664" s="31"/>
      <c r="AR664" s="31">
        <v>1961.0000000021801</v>
      </c>
      <c r="AS664" s="2">
        <v>0.72552549220464291</v>
      </c>
      <c r="AT664" s="2">
        <v>-0.29853293598826575</v>
      </c>
      <c r="AU664" s="2">
        <v>0.40373506658140196</v>
      </c>
      <c r="AV664" s="31"/>
      <c r="AW664" s="31">
        <v>1961.0000000021801</v>
      </c>
      <c r="AX664" s="2">
        <v>-0.35986908124936218</v>
      </c>
      <c r="AY664" s="2">
        <v>-0.21981065223360952</v>
      </c>
      <c r="AZ664" s="2">
        <v>-0.41238621147032167</v>
      </c>
      <c r="BA664" s="31"/>
      <c r="BB664" s="31">
        <v>1961.0000000021801</v>
      </c>
      <c r="BC664" s="2">
        <v>-0.44661946756553961</v>
      </c>
      <c r="BD664" s="2">
        <v>-9.3919208556921333E-2</v>
      </c>
      <c r="BE664" s="2">
        <v>-0.26653395476381569</v>
      </c>
      <c r="BG664" s="2">
        <f t="shared" si="99"/>
        <v>-2.6987685536752976E-2</v>
      </c>
      <c r="BH664" s="2">
        <f t="shared" si="93"/>
        <v>-0.20408759892626552</v>
      </c>
      <c r="BI664" s="2">
        <f t="shared" si="94"/>
        <v>-9.172836655091178E-2</v>
      </c>
    </row>
    <row r="665" spans="6:61" x14ac:dyDescent="0.3">
      <c r="F665" s="31">
        <v>1960.91666666885</v>
      </c>
      <c r="G665" s="2">
        <v>0.83129869310931315</v>
      </c>
      <c r="H665" s="2">
        <v>6.1499999999999846E-2</v>
      </c>
      <c r="I665" s="2">
        <v>5.1124869626222626E-2</v>
      </c>
      <c r="K665" s="31">
        <v>1960.91666666885</v>
      </c>
      <c r="L665" s="2">
        <v>0.66514586649331919</v>
      </c>
      <c r="M665" s="2">
        <v>6.1514999999999952E-2</v>
      </c>
      <c r="N665" s="2">
        <v>4.0916865663503867E-2</v>
      </c>
      <c r="P665" s="31">
        <v>1960.91666666885</v>
      </c>
      <c r="Q665" s="2">
        <v>0.59594534297650925</v>
      </c>
      <c r="R665" s="2">
        <v>7.1900000000000297E-2</v>
      </c>
      <c r="S665" s="2">
        <v>3.6052089857022171E-2</v>
      </c>
      <c r="U665" s="2">
        <f t="shared" si="95"/>
        <v>0.69746330085971397</v>
      </c>
      <c r="V665" s="2">
        <f t="shared" si="96"/>
        <v>6.4971666666666705E-2</v>
      </c>
      <c r="W665" s="2">
        <f t="shared" si="97"/>
        <v>4.2697941715582888E-2</v>
      </c>
      <c r="Y665" s="31">
        <v>1960.91666666885</v>
      </c>
      <c r="Z665" s="2">
        <v>0.56602356468923376</v>
      </c>
      <c r="AA665" s="2">
        <v>-0.78876452892998183</v>
      </c>
      <c r="AB665" s="2">
        <v>-0.55358620423512472</v>
      </c>
      <c r="AD665" s="31">
        <v>1960.91666666885</v>
      </c>
      <c r="AE665" s="2">
        <v>-0.85760159788411661</v>
      </c>
      <c r="AF665" s="2">
        <v>-0.68622224125583742</v>
      </c>
      <c r="AG665" s="2">
        <v>-0.72889816732315738</v>
      </c>
      <c r="AH665" s="31"/>
      <c r="AI665" s="31">
        <v>1960.91666666885</v>
      </c>
      <c r="AJ665" s="2">
        <v>-0.9068197505055734</v>
      </c>
      <c r="AK665" s="2">
        <v>-0.61478205611361436</v>
      </c>
      <c r="AL665" s="2">
        <v>-0.71505836567370329</v>
      </c>
      <c r="AM665" s="31"/>
      <c r="AN665" s="2">
        <f t="shared" si="98"/>
        <v>-0.39946592790015206</v>
      </c>
      <c r="AO665" s="2">
        <f t="shared" si="91"/>
        <v>-0.69658960876647791</v>
      </c>
      <c r="AP665" s="2">
        <f t="shared" si="92"/>
        <v>-0.6658475790773285</v>
      </c>
      <c r="AQ665" s="31"/>
      <c r="AR665" s="31">
        <v>1960.91666666885</v>
      </c>
      <c r="AS665" s="2">
        <v>0.92511267172557676</v>
      </c>
      <c r="AT665" s="2">
        <v>-0.68444756444045252</v>
      </c>
      <c r="AU665" s="2">
        <v>-7.71290077335723E-2</v>
      </c>
      <c r="AV665" s="31"/>
      <c r="AW665" s="31">
        <v>1960.91666666885</v>
      </c>
      <c r="AX665" s="2">
        <v>-0.57504799801656603</v>
      </c>
      <c r="AY665" s="2">
        <v>-0.51751295497595129</v>
      </c>
      <c r="AZ665" s="2">
        <v>-0.66738737300649686</v>
      </c>
      <c r="BA665" s="31"/>
      <c r="BB665" s="31">
        <v>1960.91666666885</v>
      </c>
      <c r="BC665" s="2">
        <v>-0.61927468165350186</v>
      </c>
      <c r="BD665" s="2">
        <v>-0.44318112469553572</v>
      </c>
      <c r="BE665" s="2">
        <v>-0.48587348969428784</v>
      </c>
      <c r="BG665" s="2">
        <f t="shared" si="99"/>
        <v>-8.9736669314830375E-2</v>
      </c>
      <c r="BH665" s="2">
        <f t="shared" si="93"/>
        <v>-0.54838054803731318</v>
      </c>
      <c r="BI665" s="2">
        <f t="shared" si="94"/>
        <v>-0.41012995681145231</v>
      </c>
    </row>
    <row r="666" spans="6:61" x14ac:dyDescent="0.3">
      <c r="F666" s="31">
        <v>1960.8333333355199</v>
      </c>
      <c r="G666" s="2">
        <v>0.84171842876999081</v>
      </c>
      <c r="H666" s="2">
        <v>6.1499999999999846E-2</v>
      </c>
      <c r="I666" s="2">
        <v>5.1765683369354297E-2</v>
      </c>
      <c r="K666" s="31">
        <v>1960.8333333355199</v>
      </c>
      <c r="L666" s="2">
        <v>0.64405555876386544</v>
      </c>
      <c r="M666" s="2">
        <v>6.1499999999999902E-2</v>
      </c>
      <c r="N666" s="2">
        <v>3.9609416863977662E-2</v>
      </c>
      <c r="P666" s="31">
        <v>1960.8333333355199</v>
      </c>
      <c r="Q666" s="2">
        <v>0.60076724730905751</v>
      </c>
      <c r="R666" s="2">
        <v>7.1900000000000297E-2</v>
      </c>
      <c r="S666" s="2">
        <v>3.8403881346997057E-2</v>
      </c>
      <c r="U666" s="2">
        <f t="shared" si="95"/>
        <v>0.69551374494763785</v>
      </c>
      <c r="V666" s="2">
        <f t="shared" si="96"/>
        <v>6.4966666666666673E-2</v>
      </c>
      <c r="W666" s="2">
        <f t="shared" si="97"/>
        <v>4.3259660526776343E-2</v>
      </c>
      <c r="Y666" s="31">
        <v>1960.8333333355199</v>
      </c>
      <c r="Z666" s="2">
        <v>0.62643798595950551</v>
      </c>
      <c r="AA666" s="2">
        <v>-0.78876452892998183</v>
      </c>
      <c r="AB666" s="2">
        <v>-0.53883836356310977</v>
      </c>
      <c r="AD666" s="31">
        <v>1960.8333333355199</v>
      </c>
      <c r="AE666" s="2">
        <v>-0.98310488749569958</v>
      </c>
      <c r="AF666" s="2">
        <v>-0.68658960551538373</v>
      </c>
      <c r="AG666" s="2">
        <v>-0.77861366007157606</v>
      </c>
      <c r="AH666" s="31"/>
      <c r="AI666" s="31">
        <v>1960.8333333355199</v>
      </c>
      <c r="AJ666" s="2">
        <v>-0.72270940320643018</v>
      </c>
      <c r="AK666" s="2">
        <v>-0.61478205611361436</v>
      </c>
      <c r="AL666" s="2">
        <v>-0.52499159957039521</v>
      </c>
      <c r="AM666" s="31"/>
      <c r="AN666" s="2">
        <f t="shared" si="98"/>
        <v>-0.35979210158087471</v>
      </c>
      <c r="AO666" s="2">
        <f t="shared" si="91"/>
        <v>-0.69671206351965997</v>
      </c>
      <c r="AP666" s="2">
        <f t="shared" si="92"/>
        <v>-0.61414787440169361</v>
      </c>
      <c r="AQ666" s="31"/>
      <c r="AR666" s="31">
        <v>1960.8333333355199</v>
      </c>
      <c r="AS666" s="2">
        <v>0.55661557085167945</v>
      </c>
      <c r="AT666" s="2">
        <v>-0.28549293171718004</v>
      </c>
      <c r="AU666" s="2">
        <v>0.22662987546284816</v>
      </c>
      <c r="AV666" s="31"/>
      <c r="AW666" s="31">
        <v>1960.8333333355199</v>
      </c>
      <c r="AX666" s="2">
        <v>-0.49995010156066738</v>
      </c>
      <c r="AY666" s="2">
        <v>-0.19208961378086201</v>
      </c>
      <c r="AZ666" s="2">
        <v>-0.52342039061524381</v>
      </c>
      <c r="BA666" s="31"/>
      <c r="BB666" s="31">
        <v>1960.8333333355199</v>
      </c>
      <c r="BC666" s="2">
        <v>-0.40122898085741315</v>
      </c>
      <c r="BD666" s="2">
        <v>-4.0971152421897278E-2</v>
      </c>
      <c r="BE666" s="2">
        <v>-0.15211492331041984</v>
      </c>
      <c r="BG666" s="2">
        <f t="shared" si="99"/>
        <v>-0.11485450385546703</v>
      </c>
      <c r="BH666" s="2">
        <f t="shared" si="93"/>
        <v>-0.17285123263997978</v>
      </c>
      <c r="BI666" s="2">
        <f t="shared" si="94"/>
        <v>-0.14963514615427184</v>
      </c>
    </row>
    <row r="667" spans="6:61" x14ac:dyDescent="0.3">
      <c r="F667" s="31">
        <v>1960.7500000021901</v>
      </c>
      <c r="G667" s="2">
        <v>0.85845333956212344</v>
      </c>
      <c r="H667" s="2">
        <v>6.1499999999999846E-2</v>
      </c>
      <c r="I667" s="2">
        <v>5.2794880383070453E-2</v>
      </c>
      <c r="K667" s="31">
        <v>1960.7500000021901</v>
      </c>
      <c r="L667" s="2">
        <v>0.66740860636021104</v>
      </c>
      <c r="M667" s="2">
        <v>6.1514999999999952E-2</v>
      </c>
      <c r="N667" s="2">
        <v>4.1055590529698968E-2</v>
      </c>
      <c r="P667" s="31">
        <v>1960.7500000021901</v>
      </c>
      <c r="Q667" s="2">
        <v>0.65759023165806574</v>
      </c>
      <c r="R667" s="2">
        <v>0.11985000000000046</v>
      </c>
      <c r="S667" s="2">
        <v>4.0574264360306041E-2</v>
      </c>
      <c r="U667" s="2">
        <f t="shared" si="95"/>
        <v>0.7278173925268</v>
      </c>
      <c r="V667" s="2">
        <f t="shared" si="96"/>
        <v>8.0955000000000096E-2</v>
      </c>
      <c r="W667" s="2">
        <f t="shared" si="97"/>
        <v>4.4808245091025156E-2</v>
      </c>
      <c r="Y667" s="31">
        <v>1960.7500000021901</v>
      </c>
      <c r="Z667" s="2">
        <v>0.72346827381333034</v>
      </c>
      <c r="AA667" s="2">
        <v>-0.78876452892998183</v>
      </c>
      <c r="AB667" s="2">
        <v>-0.51515217745820197</v>
      </c>
      <c r="AD667" s="31">
        <v>1960.7500000021901</v>
      </c>
      <c r="AE667" s="2">
        <v>-0.8441365835053265</v>
      </c>
      <c r="AF667" s="2">
        <v>-0.68622224125583742</v>
      </c>
      <c r="AG667" s="2">
        <v>-0.72362318058421427</v>
      </c>
      <c r="AH667" s="31"/>
      <c r="AI667" s="31">
        <v>1960.7500000021901</v>
      </c>
      <c r="AJ667" s="2">
        <v>-0.55226407273767109</v>
      </c>
      <c r="AK667" s="2">
        <v>0.52786786379629969</v>
      </c>
      <c r="AL667" s="2">
        <v>-0.34958587916377998</v>
      </c>
      <c r="AM667" s="31"/>
      <c r="AN667" s="2">
        <f t="shared" si="98"/>
        <v>-0.22431079414322241</v>
      </c>
      <c r="AO667" s="2">
        <f t="shared" si="91"/>
        <v>-0.31570630212983986</v>
      </c>
      <c r="AP667" s="2">
        <f t="shared" si="92"/>
        <v>-0.52945374573539872</v>
      </c>
      <c r="AQ667" s="31"/>
      <c r="AR667" s="31">
        <v>1960.7500000021901</v>
      </c>
      <c r="AS667" s="2">
        <v>0.79849022379644508</v>
      </c>
      <c r="AT667" s="2">
        <v>-0.6766476141944503</v>
      </c>
      <c r="AU667" s="2">
        <v>-0.17269826358879553</v>
      </c>
      <c r="AV667" s="31"/>
      <c r="AW667" s="31">
        <v>1960.7500000021901</v>
      </c>
      <c r="AX667" s="2">
        <v>-0.8928712429801039</v>
      </c>
      <c r="AY667" s="2">
        <v>-0.6564669997761764</v>
      </c>
      <c r="AZ667" s="2">
        <v>-1.0304872723062377</v>
      </c>
      <c r="BA667" s="31"/>
      <c r="BB667" s="31">
        <v>1960.7500000021901</v>
      </c>
      <c r="BC667" s="2">
        <v>-0.60046751489976735</v>
      </c>
      <c r="BD667" s="2">
        <v>1.3327566352523461</v>
      </c>
      <c r="BE667" s="2">
        <v>-0.54585324382477751</v>
      </c>
      <c r="BG667" s="2">
        <f t="shared" si="99"/>
        <v>-0.23161617802780876</v>
      </c>
      <c r="BH667" s="2">
        <f t="shared" si="93"/>
        <v>-1.1932623942686089E-4</v>
      </c>
      <c r="BI667" s="2">
        <f t="shared" si="94"/>
        <v>-0.58301292657327031</v>
      </c>
    </row>
    <row r="668" spans="6:61" x14ac:dyDescent="0.3">
      <c r="F668" s="31">
        <v>1960.66666666886</v>
      </c>
      <c r="G668" s="2">
        <v>0.88837683541711354</v>
      </c>
      <c r="H668" s="2">
        <v>6.1499999999999846E-2</v>
      </c>
      <c r="I668" s="2">
        <v>5.4635175378152337E-2</v>
      </c>
      <c r="K668" s="31">
        <v>1960.66666666886</v>
      </c>
      <c r="L668" s="2">
        <v>0.67659190856990947</v>
      </c>
      <c r="M668" s="2">
        <v>6.1514999999999952E-2</v>
      </c>
      <c r="N668" s="2">
        <v>4.1619949459601326E-2</v>
      </c>
      <c r="P668" s="31">
        <v>1960.66666666886</v>
      </c>
      <c r="Q668" s="2">
        <v>0.64461671492844064</v>
      </c>
      <c r="R668" s="2">
        <v>7.1900000000000297E-2</v>
      </c>
      <c r="S668" s="2">
        <v>4.1848302182522834E-2</v>
      </c>
      <c r="U668" s="2">
        <f t="shared" si="95"/>
        <v>0.73652848630515455</v>
      </c>
      <c r="V668" s="2">
        <f t="shared" si="96"/>
        <v>6.4971666666666705E-2</v>
      </c>
      <c r="W668" s="2">
        <f t="shared" si="97"/>
        <v>4.6034475673425501E-2</v>
      </c>
      <c r="Y668" s="31">
        <v>1960.66666666886</v>
      </c>
      <c r="Z668" s="2">
        <v>0.89696698273787401</v>
      </c>
      <c r="AA668" s="2">
        <v>-0.78876452892998183</v>
      </c>
      <c r="AB668" s="2">
        <v>-0.47279918851583258</v>
      </c>
      <c r="AD668" s="31">
        <v>1960.66666666886</v>
      </c>
      <c r="AE668" s="2">
        <v>-0.78948898653333477</v>
      </c>
      <c r="AF668" s="2">
        <v>-0.68622224125583742</v>
      </c>
      <c r="AG668" s="2">
        <v>-0.70216353926041364</v>
      </c>
      <c r="AH668" s="31"/>
      <c r="AI668" s="31">
        <v>1960.66666666886</v>
      </c>
      <c r="AJ668" s="2">
        <v>-0.44658565317534848</v>
      </c>
      <c r="AK668" s="2">
        <v>-0.61478205611361436</v>
      </c>
      <c r="AL668" s="2">
        <v>-0.24662086300725281</v>
      </c>
      <c r="AM668" s="31"/>
      <c r="AN668" s="2">
        <f t="shared" si="98"/>
        <v>-0.11303588565693641</v>
      </c>
      <c r="AO668" s="2">
        <f t="shared" si="91"/>
        <v>-0.69658960876647791</v>
      </c>
      <c r="AP668" s="2">
        <f t="shared" si="92"/>
        <v>-0.47386119692783302</v>
      </c>
      <c r="AQ668" s="31"/>
      <c r="AR668" s="31">
        <v>1960.66666666886</v>
      </c>
      <c r="AS668" s="2">
        <v>0.34600771663433605</v>
      </c>
      <c r="AT668" s="2">
        <v>-0.32631334910519932</v>
      </c>
      <c r="AU668" s="2">
        <v>-2.3255896605135901E-2</v>
      </c>
      <c r="AV668" s="31"/>
      <c r="AW668" s="31">
        <v>1960.66666666886</v>
      </c>
      <c r="AX668" s="2">
        <v>-0.57207956049024089</v>
      </c>
      <c r="AY668" s="2">
        <v>-0.23837245449551037</v>
      </c>
      <c r="AZ668" s="2">
        <v>-0.58846367437373792</v>
      </c>
      <c r="BA668" s="31"/>
      <c r="BB668" s="31">
        <v>1960.66666666886</v>
      </c>
      <c r="BC668" s="2">
        <v>-0.66128060898754193</v>
      </c>
      <c r="BD668" s="2">
        <v>7.7097786990586777E-4</v>
      </c>
      <c r="BE668" s="2">
        <v>-0.17402968321803283</v>
      </c>
      <c r="BG668" s="2">
        <f t="shared" si="99"/>
        <v>-0.29578415094781557</v>
      </c>
      <c r="BH668" s="2">
        <f t="shared" si="93"/>
        <v>-0.1879716085769346</v>
      </c>
      <c r="BI668" s="2">
        <f t="shared" si="94"/>
        <v>-0.26191641806563554</v>
      </c>
    </row>
    <row r="669" spans="6:61" x14ac:dyDescent="0.3">
      <c r="F669" s="31">
        <v>1960.5833333355299</v>
      </c>
      <c r="G669" s="2">
        <v>0.92468726762769138</v>
      </c>
      <c r="H669" s="2">
        <v>6.1499999999999846E-2</v>
      </c>
      <c r="I669" s="2">
        <v>5.6868266959102867E-2</v>
      </c>
      <c r="K669" s="31">
        <v>1960.5833333355299</v>
      </c>
      <c r="L669" s="2">
        <v>0.70141371204013359</v>
      </c>
      <c r="M669" s="2">
        <v>6.1514999999999952E-2</v>
      </c>
      <c r="N669" s="2">
        <v>4.3146501412961613E-2</v>
      </c>
      <c r="P669" s="31">
        <v>1960.5833333355299</v>
      </c>
      <c r="Q669" s="2">
        <v>0.62467590060173805</v>
      </c>
      <c r="R669" s="2">
        <v>7.1900000000000297E-2</v>
      </c>
      <c r="S669" s="2">
        <v>4.3445076972241217E-2</v>
      </c>
      <c r="U669" s="2">
        <f t="shared" si="95"/>
        <v>0.75025896008985438</v>
      </c>
      <c r="V669" s="2">
        <f t="shared" si="96"/>
        <v>6.4971666666666705E-2</v>
      </c>
      <c r="W669" s="2">
        <f t="shared" si="97"/>
        <v>4.7819948448101897E-2</v>
      </c>
      <c r="Y669" s="31">
        <v>1960.5833333355299</v>
      </c>
      <c r="Z669" s="2">
        <v>1.1074976352911869</v>
      </c>
      <c r="AA669" s="2">
        <v>-0.78876452892998183</v>
      </c>
      <c r="AB669" s="2">
        <v>-0.42140628504761024</v>
      </c>
      <c r="AD669" s="31">
        <v>1960.5833333355299</v>
      </c>
      <c r="AE669" s="2">
        <v>-0.64178047371468283</v>
      </c>
      <c r="AF669" s="2">
        <v>-0.68622224125583742</v>
      </c>
      <c r="AG669" s="2">
        <v>-0.64411669062292198</v>
      </c>
      <c r="AH669" s="31"/>
      <c r="AI669" s="31">
        <v>1960.5833333355299</v>
      </c>
      <c r="AJ669" s="2">
        <v>-0.32561365230420658</v>
      </c>
      <c r="AK669" s="2">
        <v>-0.61478205611361436</v>
      </c>
      <c r="AL669" s="2">
        <v>-0.11757293432361603</v>
      </c>
      <c r="AM669" s="31"/>
      <c r="AN669" s="2">
        <f t="shared" si="98"/>
        <v>4.6701169757432513E-2</v>
      </c>
      <c r="AO669" s="2">
        <f t="shared" si="91"/>
        <v>-0.69658960876647791</v>
      </c>
      <c r="AP669" s="2">
        <f t="shared" si="92"/>
        <v>-0.39436530333138275</v>
      </c>
      <c r="AQ669" s="31"/>
      <c r="AR669" s="31">
        <v>1960.5833333355299</v>
      </c>
      <c r="AS669" s="2">
        <v>0.63415751876965543</v>
      </c>
      <c r="AT669" s="2">
        <v>-0.65870957567408583</v>
      </c>
      <c r="AU669" s="2">
        <v>-0.18478462408833957</v>
      </c>
      <c r="AV669" s="31"/>
      <c r="AW669" s="31">
        <v>1960.5833333355299</v>
      </c>
      <c r="AX669" s="2">
        <v>-0.9588155144648296</v>
      </c>
      <c r="AY669" s="2">
        <v>-0.53553372549108424</v>
      </c>
      <c r="AZ669" s="2">
        <v>-1.0520170159662168</v>
      </c>
      <c r="BA669" s="31"/>
      <c r="BB669" s="31">
        <v>1960.5833333355299</v>
      </c>
      <c r="BC669" s="2">
        <v>-0.83696796133751006</v>
      </c>
      <c r="BD669" s="2">
        <v>-0.51613739712758211</v>
      </c>
      <c r="BE669" s="2">
        <v>-0.74946444636540177</v>
      </c>
      <c r="BG669" s="2">
        <f t="shared" si="99"/>
        <v>-0.38720865234422802</v>
      </c>
      <c r="BH669" s="2">
        <f t="shared" si="93"/>
        <v>-0.57012689943091743</v>
      </c>
      <c r="BI669" s="2">
        <f t="shared" si="94"/>
        <v>-0.66208869547331939</v>
      </c>
    </row>
    <row r="670" spans="6:61" x14ac:dyDescent="0.3">
      <c r="F670" s="31">
        <v>1960.5000000022001</v>
      </c>
      <c r="G670" s="2">
        <v>0.76756156694011834</v>
      </c>
      <c r="H670" s="2">
        <v>6.1499999999999902E-2</v>
      </c>
      <c r="I670" s="2">
        <v>4.72050363668172E-2</v>
      </c>
      <c r="K670" s="31">
        <v>1960.5000000022001</v>
      </c>
      <c r="L670" s="2">
        <v>0.81774519764406506</v>
      </c>
      <c r="M670" s="2">
        <v>6.1499999999999902E-2</v>
      </c>
      <c r="N670" s="2">
        <v>5.029132965510992E-2</v>
      </c>
      <c r="P670" s="31">
        <v>1960.5000000022001</v>
      </c>
      <c r="Q670" s="2">
        <v>0.62259577614115336</v>
      </c>
      <c r="R670" s="2">
        <v>9.5900000000000304E-2</v>
      </c>
      <c r="S670" s="2">
        <v>5.9838592360340219E-2</v>
      </c>
      <c r="U670" s="2">
        <f t="shared" si="95"/>
        <v>0.73596751357511225</v>
      </c>
      <c r="V670" s="2">
        <f t="shared" si="96"/>
        <v>7.2966666666666694E-2</v>
      </c>
      <c r="W670" s="2">
        <f t="shared" si="97"/>
        <v>5.244498612742244E-2</v>
      </c>
      <c r="Y670" s="31">
        <v>1960.5000000022001</v>
      </c>
      <c r="Z670" s="2">
        <v>0.19647085084507443</v>
      </c>
      <c r="AA670" s="2">
        <v>-0.78876452892998072</v>
      </c>
      <c r="AB670" s="2">
        <v>-0.64379818390968913</v>
      </c>
      <c r="AD670" s="31">
        <v>1960.5000000022001</v>
      </c>
      <c r="AE670" s="2">
        <v>5.0479891377394344E-2</v>
      </c>
      <c r="AF670" s="2">
        <v>-0.68658960551538373</v>
      </c>
      <c r="AG670" s="2">
        <v>-0.3724359511630348</v>
      </c>
      <c r="AH670" s="31"/>
      <c r="AI670" s="31">
        <v>1960.5000000022001</v>
      </c>
      <c r="AJ670" s="2">
        <v>-0.28415019179217893</v>
      </c>
      <c r="AK670" s="2">
        <v>-4.286134541835146E-2</v>
      </c>
      <c r="AL670" s="2">
        <v>1.2073159719263462</v>
      </c>
      <c r="AM670" s="31"/>
      <c r="AN670" s="2">
        <f t="shared" si="98"/>
        <v>-1.2399816523236721E-2</v>
      </c>
      <c r="AO670" s="2">
        <f t="shared" si="91"/>
        <v>-0.50607182662123862</v>
      </c>
      <c r="AP670" s="2">
        <f t="shared" si="92"/>
        <v>6.3693945617874073E-2</v>
      </c>
      <c r="AQ670" s="31"/>
      <c r="AR670" s="31">
        <v>1960.5000000022001</v>
      </c>
      <c r="AS670" s="2">
        <v>-0.16119572291496095</v>
      </c>
      <c r="AT670" s="2">
        <v>-2.313009814913013E-2</v>
      </c>
      <c r="AU670" s="2">
        <v>-0.18272304355314659</v>
      </c>
      <c r="AV670" s="31"/>
      <c r="AW670" s="31">
        <v>1960.5000000022001</v>
      </c>
      <c r="AX670" s="2">
        <v>-0.19043916237219971</v>
      </c>
      <c r="AY670" s="2">
        <v>-0.1083026392523672</v>
      </c>
      <c r="AZ670" s="2">
        <v>-0.19073139682981427</v>
      </c>
      <c r="BA670" s="31"/>
      <c r="BB670" s="31">
        <v>1960.5000000022001</v>
      </c>
      <c r="BC670" s="2">
        <v>-0.52007231234364526</v>
      </c>
      <c r="BD670" s="2">
        <v>1.2407351028491733</v>
      </c>
      <c r="BE670" s="2">
        <v>0.87446157883178732</v>
      </c>
      <c r="BG670" s="2">
        <f t="shared" si="99"/>
        <v>-0.29056906587693532</v>
      </c>
      <c r="BH670" s="2">
        <f t="shared" si="93"/>
        <v>0.36976745514922538</v>
      </c>
      <c r="BI670" s="2">
        <f t="shared" si="94"/>
        <v>0.16700237948294214</v>
      </c>
    </row>
    <row r="671" spans="6:61" x14ac:dyDescent="0.3">
      <c r="F671" s="31">
        <v>1960.41666666887</v>
      </c>
      <c r="G671" s="2">
        <v>0.91274257034054473</v>
      </c>
      <c r="H671" s="2">
        <v>0.2152499999999995</v>
      </c>
      <c r="I671" s="2">
        <v>0.19034250501067013</v>
      </c>
      <c r="K671" s="31">
        <v>1960.41666666887</v>
      </c>
      <c r="L671" s="2">
        <v>0.74771389752842032</v>
      </c>
      <c r="M671" s="2">
        <v>0.1537949999999999</v>
      </c>
      <c r="N671" s="2">
        <v>8.6600648222437321E-2</v>
      </c>
      <c r="P671" s="31">
        <v>1960.41666666887</v>
      </c>
      <c r="Q671" s="2">
        <v>0.64632300997826841</v>
      </c>
      <c r="R671" s="2">
        <v>0.14375000000000077</v>
      </c>
      <c r="S671" s="2">
        <v>4.7069626991334247E-2</v>
      </c>
      <c r="U671" s="2">
        <f t="shared" si="95"/>
        <v>0.76892649261574453</v>
      </c>
      <c r="V671" s="2">
        <f t="shared" si="96"/>
        <v>0.1709316666666667</v>
      </c>
      <c r="W671" s="2">
        <f t="shared" si="97"/>
        <v>0.1080042600748139</v>
      </c>
      <c r="Y671" s="31">
        <v>1960.41666666887</v>
      </c>
      <c r="Z671" s="2">
        <v>1.0382413703194306</v>
      </c>
      <c r="AA671" s="2">
        <v>2.2135512753475539</v>
      </c>
      <c r="AB671" s="2">
        <v>2.6504017367079862</v>
      </c>
      <c r="AD671" s="31">
        <v>1960.41666666887</v>
      </c>
      <c r="AE671" s="2">
        <v>-0.36625933561903845</v>
      </c>
      <c r="AF671" s="2">
        <v>1.573802683465688</v>
      </c>
      <c r="AG671" s="2">
        <v>1.0082190041882853</v>
      </c>
      <c r="AH671" s="31"/>
      <c r="AI671" s="31">
        <v>1960.41666666887</v>
      </c>
      <c r="AJ671" s="2">
        <v>-8.8600599972297162E-2</v>
      </c>
      <c r="AK671" s="2">
        <v>1.0974055715303397</v>
      </c>
      <c r="AL671" s="2">
        <v>0.17535545819984386</v>
      </c>
      <c r="AM671" s="31"/>
      <c r="AN671" s="2">
        <f t="shared" si="98"/>
        <v>0.19446047824269833</v>
      </c>
      <c r="AO671" s="2">
        <f t="shared" si="91"/>
        <v>1.6282531767811939</v>
      </c>
      <c r="AP671" s="2">
        <f t="shared" si="92"/>
        <v>1.2779920663653719</v>
      </c>
      <c r="AQ671" s="31"/>
      <c r="AR671" s="31">
        <v>1960.41666666887</v>
      </c>
      <c r="AS671" s="2">
        <v>0.4214067685175813</v>
      </c>
      <c r="AT671" s="2">
        <v>0.9738389001429214</v>
      </c>
      <c r="AU671" s="2">
        <v>0.91093026502771235</v>
      </c>
      <c r="AV671" s="31"/>
      <c r="AW671" s="31">
        <v>1960.41666666887</v>
      </c>
      <c r="AX671" s="2">
        <v>-0.788315441564301</v>
      </c>
      <c r="AY671" s="2">
        <v>0.24857417332271592</v>
      </c>
      <c r="AZ671" s="2">
        <v>-3.1954533964028767E-2</v>
      </c>
      <c r="BA671" s="31"/>
      <c r="BB671" s="31">
        <v>1960.41666666887</v>
      </c>
      <c r="BC671" s="2">
        <v>-0.83854974794796699</v>
      </c>
      <c r="BD671" s="2">
        <v>-0.3501658496641043</v>
      </c>
      <c r="BE671" s="2">
        <v>-0.76982443483132668</v>
      </c>
      <c r="BG671" s="2">
        <f t="shared" si="99"/>
        <v>-0.40181947366489562</v>
      </c>
      <c r="BH671" s="2">
        <f t="shared" si="93"/>
        <v>0.29074907460051103</v>
      </c>
      <c r="BI671" s="2">
        <f t="shared" si="94"/>
        <v>3.6383765410785619E-2</v>
      </c>
    </row>
    <row r="672" spans="6:61" x14ac:dyDescent="0.3">
      <c r="F672" s="31">
        <v>1960.3333333355399</v>
      </c>
      <c r="G672" s="2">
        <v>0.7524913711966148</v>
      </c>
      <c r="H672" s="2">
        <v>0.15374999999999966</v>
      </c>
      <c r="I672" s="2">
        <v>0.11101460896363696</v>
      </c>
      <c r="K672" s="31">
        <v>1960.3333333355399</v>
      </c>
      <c r="L672" s="2">
        <v>0.81061914226552378</v>
      </c>
      <c r="M672" s="2">
        <v>0.1537949999999999</v>
      </c>
      <c r="N672" s="2">
        <v>9.9110518418108667E-2</v>
      </c>
      <c r="P672" s="31">
        <v>1960.3333333355399</v>
      </c>
      <c r="Q672" s="2">
        <v>0.65913386507248939</v>
      </c>
      <c r="R672" s="2">
        <v>0.14370000000000091</v>
      </c>
      <c r="S672" s="2">
        <v>2.9888762984936108E-2</v>
      </c>
      <c r="U672" s="2">
        <f t="shared" si="95"/>
        <v>0.74074812617820929</v>
      </c>
      <c r="V672" s="2">
        <f t="shared" si="96"/>
        <v>0.15041500000000016</v>
      </c>
      <c r="W672" s="2">
        <f t="shared" si="97"/>
        <v>8.0004630122227249E-2</v>
      </c>
      <c r="Y672" s="31">
        <v>1960.3333333355399</v>
      </c>
      <c r="Z672" s="2">
        <v>0.10909270768263396</v>
      </c>
      <c r="AA672" s="2">
        <v>1.0126249536365401</v>
      </c>
      <c r="AB672" s="2">
        <v>0.82473057361713054</v>
      </c>
      <c r="AD672" s="31">
        <v>1960.3333333355399</v>
      </c>
      <c r="AE672" s="2">
        <v>8.0744697290299847E-3</v>
      </c>
      <c r="AF672" s="2">
        <v>1.573802683465688</v>
      </c>
      <c r="AG672" s="2">
        <v>1.4839044468778464</v>
      </c>
      <c r="AH672" s="31"/>
      <c r="AI672" s="31">
        <v>1960.3333333355399</v>
      </c>
      <c r="AJ672" s="2">
        <v>-0.28405963731978179</v>
      </c>
      <c r="AK672" s="2">
        <v>1.0962140700497278</v>
      </c>
      <c r="AL672" s="2">
        <v>-1.2131652820430303</v>
      </c>
      <c r="AM672" s="31"/>
      <c r="AN672" s="2">
        <f t="shared" si="98"/>
        <v>-5.5630819969372615E-2</v>
      </c>
      <c r="AO672" s="2">
        <f t="shared" si="91"/>
        <v>1.2275472357173187</v>
      </c>
      <c r="AP672" s="2">
        <f t="shared" si="92"/>
        <v>0.36515657948398222</v>
      </c>
      <c r="AQ672" s="31"/>
      <c r="AR672" s="31">
        <v>1960.3333333355399</v>
      </c>
      <c r="AS672" s="2">
        <v>-1.8384446250682761E-2</v>
      </c>
      <c r="AT672" s="2">
        <v>-1.8664175683888572E-2</v>
      </c>
      <c r="AU672" s="2">
        <v>-9.568818376301659E-2</v>
      </c>
      <c r="AV672" s="31"/>
      <c r="AW672" s="31">
        <v>1960.3333333355399</v>
      </c>
      <c r="AX672" s="2">
        <v>-0.14155010290734091</v>
      </c>
      <c r="AY672" s="2">
        <v>0.7296999896209112</v>
      </c>
      <c r="AZ672" s="2">
        <v>0.70394115460808449</v>
      </c>
      <c r="BA672" s="31"/>
      <c r="BB672" s="31">
        <v>1960.3333333355399</v>
      </c>
      <c r="BC672" s="2">
        <v>-0.59132909592716099</v>
      </c>
      <c r="BD672" s="2">
        <v>0.37905996795698232</v>
      </c>
      <c r="BE672" s="2">
        <v>-1.779154630152171</v>
      </c>
      <c r="BG672" s="2">
        <f t="shared" si="99"/>
        <v>-0.25042121502839493</v>
      </c>
      <c r="BH672" s="2">
        <f t="shared" si="93"/>
        <v>0.36336526063133495</v>
      </c>
      <c r="BI672" s="2">
        <f t="shared" si="94"/>
        <v>-0.39030055310236772</v>
      </c>
    </row>
    <row r="673" spans="6:61" x14ac:dyDescent="0.3">
      <c r="F673" s="31">
        <v>1960.2500000022101</v>
      </c>
      <c r="G673" s="2">
        <v>0.68450909036353202</v>
      </c>
      <c r="H673" s="2">
        <v>0.15374999999999966</v>
      </c>
      <c r="I673" s="2">
        <v>0.1020595357301341</v>
      </c>
      <c r="K673" s="31">
        <v>1960.2500000022101</v>
      </c>
      <c r="L673" s="2">
        <v>0.90441584455027468</v>
      </c>
      <c r="M673" s="2">
        <v>0.1537949999999999</v>
      </c>
      <c r="N673" s="2">
        <v>0.11747113663028295</v>
      </c>
      <c r="P673" s="31">
        <v>1960.2500000022101</v>
      </c>
      <c r="Q673" s="2">
        <v>0.67087030691551897</v>
      </c>
      <c r="R673" s="2">
        <v>0.14375000000000077</v>
      </c>
      <c r="S673" s="2">
        <v>4.6988965578139752E-2</v>
      </c>
      <c r="U673" s="2">
        <f t="shared" si="95"/>
        <v>0.75326508060977526</v>
      </c>
      <c r="V673" s="2">
        <f t="shared" si="96"/>
        <v>0.15043166666666677</v>
      </c>
      <c r="W673" s="2">
        <f t="shared" si="97"/>
        <v>8.8839879312852268E-2</v>
      </c>
      <c r="Y673" s="31">
        <v>1960.2500000022101</v>
      </c>
      <c r="Z673" s="2">
        <v>-0.28507373635330518</v>
      </c>
      <c r="AA673" s="2">
        <v>1.0126249536365401</v>
      </c>
      <c r="AB673" s="2">
        <v>0.61863637749626399</v>
      </c>
      <c r="AD673" s="31">
        <v>1960.2500000022101</v>
      </c>
      <c r="AE673" s="2">
        <v>0.56623582244436166</v>
      </c>
      <c r="AF673" s="2">
        <v>1.573802683465688</v>
      </c>
      <c r="AG673" s="2">
        <v>2.1820634737664091</v>
      </c>
      <c r="AH673" s="31"/>
      <c r="AI673" s="31">
        <v>1960.2500000022101</v>
      </c>
      <c r="AJ673" s="2">
        <v>-0.10097410396714986</v>
      </c>
      <c r="AK673" s="2">
        <v>1.0974055715303397</v>
      </c>
      <c r="AL673" s="2">
        <v>0.16883657503330762</v>
      </c>
      <c r="AM673" s="31"/>
      <c r="AN673" s="2">
        <f t="shared" si="98"/>
        <v>6.0062660707968875E-2</v>
      </c>
      <c r="AO673" s="2">
        <f t="shared" si="91"/>
        <v>1.2279444028775226</v>
      </c>
      <c r="AP673" s="2">
        <f t="shared" si="92"/>
        <v>0.98984547543199353</v>
      </c>
      <c r="AQ673" s="31"/>
      <c r="AR673" s="31">
        <v>1960.2500000022101</v>
      </c>
      <c r="AS673" s="2">
        <v>-0.16267955723028377</v>
      </c>
      <c r="AT673" s="2">
        <v>-6.2988546229768488E-2</v>
      </c>
      <c r="AU673" s="2">
        <v>-0.22676979320660345</v>
      </c>
      <c r="AV673" s="31"/>
      <c r="AW673" s="31">
        <v>1960.2500000022101</v>
      </c>
      <c r="AX673" s="2">
        <v>0.63129618836082735</v>
      </c>
      <c r="AY673" s="2">
        <v>0.5595360146950159</v>
      </c>
      <c r="AZ673" s="2">
        <v>1.0359754004569981</v>
      </c>
      <c r="BA673" s="31"/>
      <c r="BB673" s="31">
        <v>1960.2500000022101</v>
      </c>
      <c r="BC673" s="2">
        <v>0.18333917092635249</v>
      </c>
      <c r="BD673" s="2">
        <v>3.2254086159998023E-2</v>
      </c>
      <c r="BE673" s="2">
        <v>0.21790859770315096</v>
      </c>
      <c r="BG673" s="2">
        <f t="shared" si="99"/>
        <v>0.21731860068563202</v>
      </c>
      <c r="BH673" s="2">
        <f t="shared" si="93"/>
        <v>0.17626718487508183</v>
      </c>
      <c r="BI673" s="2">
        <f t="shared" si="94"/>
        <v>0.34237140165118185</v>
      </c>
    </row>
    <row r="674" spans="6:61" x14ac:dyDescent="0.3">
      <c r="F674" s="31">
        <v>1960.16666666888</v>
      </c>
      <c r="G674" s="2">
        <v>0.66067021619063637</v>
      </c>
      <c r="H674" s="2">
        <v>0.15374999999999966</v>
      </c>
      <c r="I674" s="2">
        <v>9.9143587946323927E-2</v>
      </c>
      <c r="K674" s="31">
        <v>1960.16666666888</v>
      </c>
      <c r="L674" s="2">
        <v>0.93509879216768366</v>
      </c>
      <c r="M674" s="2">
        <v>0.12304499999999996</v>
      </c>
      <c r="N674" s="2">
        <v>0.12403165404615416</v>
      </c>
      <c r="P674" s="31">
        <v>1960.16666666888</v>
      </c>
      <c r="Q674" s="2">
        <v>0.66900721205780267</v>
      </c>
      <c r="R674" s="2">
        <v>0.14370000000000091</v>
      </c>
      <c r="S674" s="2">
        <v>3.210494028669203E-2</v>
      </c>
      <c r="U674" s="2">
        <f t="shared" si="95"/>
        <v>0.75492540680537434</v>
      </c>
      <c r="V674" s="2">
        <f t="shared" si="96"/>
        <v>0.14016500000000018</v>
      </c>
      <c r="W674" s="2">
        <f t="shared" si="97"/>
        <v>8.5093394093056704E-2</v>
      </c>
      <c r="Y674" s="31">
        <v>1960.16666666888</v>
      </c>
      <c r="Z674" s="2">
        <v>-0.42329334516021921</v>
      </c>
      <c r="AA674" s="2">
        <v>1.0126249536365401</v>
      </c>
      <c r="AB674" s="2">
        <v>0.55152805813752792</v>
      </c>
      <c r="AD674" s="31">
        <v>1960.16666666888</v>
      </c>
      <c r="AE674" s="2">
        <v>0.74882257795134011</v>
      </c>
      <c r="AF674" s="2">
        <v>0.82070595139821056</v>
      </c>
      <c r="AG674" s="2">
        <v>2.4315259048251345</v>
      </c>
      <c r="AH674" s="31"/>
      <c r="AI674" s="31">
        <v>1960.16666666888</v>
      </c>
      <c r="AJ674" s="2">
        <v>1.7614609363996697E-2</v>
      </c>
      <c r="AK674" s="2">
        <v>1.0962140700497278</v>
      </c>
      <c r="AL674" s="2">
        <v>-1.0340585650352221</v>
      </c>
      <c r="AM674" s="31"/>
      <c r="AN674" s="2">
        <f t="shared" si="98"/>
        <v>0.11438128071837254</v>
      </c>
      <c r="AO674" s="2">
        <f t="shared" si="91"/>
        <v>0.97651499169482614</v>
      </c>
      <c r="AP674" s="2">
        <f t="shared" si="92"/>
        <v>0.64966513264248016</v>
      </c>
      <c r="AQ674" s="31"/>
      <c r="AR674" s="31">
        <v>1960.16666666888</v>
      </c>
      <c r="AS674" s="2">
        <v>-6.4111573600433139E-2</v>
      </c>
      <c r="AT674" s="2">
        <v>0.16876039905140081</v>
      </c>
      <c r="AU674" s="2">
        <v>2.5091904853795866E-2</v>
      </c>
      <c r="AV674" s="31"/>
      <c r="AW674" s="31">
        <v>1960.16666666888</v>
      </c>
      <c r="AX674" s="2">
        <v>0.91349051413374993</v>
      </c>
      <c r="AY674" s="2">
        <v>0.19145988481734807</v>
      </c>
      <c r="AZ674" s="2">
        <v>1.7563605798465973</v>
      </c>
      <c r="BA674" s="31"/>
      <c r="BB674" s="31">
        <v>1960.16666666888</v>
      </c>
      <c r="BC674" s="2">
        <v>0.65513007789277233</v>
      </c>
      <c r="BD674" s="2">
        <v>0.96431160441040453</v>
      </c>
      <c r="BE674" s="2">
        <v>-0.68635221408164171</v>
      </c>
      <c r="BG674" s="2">
        <f t="shared" si="99"/>
        <v>0.50150300614202969</v>
      </c>
      <c r="BH674" s="2">
        <f t="shared" si="93"/>
        <v>0.44151062942638447</v>
      </c>
      <c r="BI674" s="2">
        <f t="shared" si="94"/>
        <v>0.36503342353958385</v>
      </c>
    </row>
    <row r="675" spans="6:61" x14ac:dyDescent="0.3">
      <c r="F675" s="31">
        <v>1960.0833333355499</v>
      </c>
      <c r="G675" s="2">
        <v>0.65183132561442325</v>
      </c>
      <c r="H675" s="2">
        <v>0.12299999999999969</v>
      </c>
      <c r="I675" s="2">
        <v>8.0175253050573853E-2</v>
      </c>
      <c r="K675" s="31">
        <v>1960.0833333355499</v>
      </c>
      <c r="L675" s="2">
        <v>0.9625218110684961</v>
      </c>
      <c r="M675" s="2">
        <v>9.2264999999999903E-2</v>
      </c>
      <c r="N675" s="2">
        <v>5.9212248124427824E-2</v>
      </c>
      <c r="P675" s="31">
        <v>1960.0833333355499</v>
      </c>
      <c r="Q675" s="2">
        <v>0.66506261875900829</v>
      </c>
      <c r="R675" s="2">
        <v>0.11985000000000046</v>
      </c>
      <c r="S675" s="2">
        <v>4.7223415836197838E-2</v>
      </c>
      <c r="U675" s="2">
        <f t="shared" si="95"/>
        <v>0.75980525181397596</v>
      </c>
      <c r="V675" s="2">
        <f t="shared" si="96"/>
        <v>0.11170500000000001</v>
      </c>
      <c r="W675" s="2">
        <f t="shared" si="97"/>
        <v>6.2203639003733179E-2</v>
      </c>
      <c r="Y675" s="31">
        <v>1960.0833333355499</v>
      </c>
      <c r="Z675" s="2">
        <v>-0.47454190618162662</v>
      </c>
      <c r="AA675" s="2">
        <v>0.41216179278103221</v>
      </c>
      <c r="AB675" s="2">
        <v>0.11498626443498272</v>
      </c>
      <c r="AD675" s="31">
        <v>1960.0833333355499</v>
      </c>
      <c r="AE675" s="2">
        <v>0.91201029087058261</v>
      </c>
      <c r="AF675" s="2">
        <v>6.6874490811640125E-2</v>
      </c>
      <c r="AG675" s="2">
        <v>-3.3219717509122212E-2</v>
      </c>
      <c r="AH675" s="31"/>
      <c r="AI675" s="31">
        <v>1960.0833333355499</v>
      </c>
      <c r="AJ675" s="2">
        <v>-5.4992824596647186E-2</v>
      </c>
      <c r="AK675" s="2">
        <v>0.52786786379629969</v>
      </c>
      <c r="AL675" s="2">
        <v>0.18778434423442092</v>
      </c>
      <c r="AM675" s="31"/>
      <c r="AN675" s="2">
        <f t="shared" si="98"/>
        <v>0.12749185336410293</v>
      </c>
      <c r="AO675" s="2">
        <f t="shared" si="91"/>
        <v>0.33563471579632398</v>
      </c>
      <c r="AP675" s="2">
        <f t="shared" si="92"/>
        <v>8.9850297053427133E-2</v>
      </c>
      <c r="AQ675" s="31"/>
      <c r="AR675" s="31">
        <v>1960.0833333355499</v>
      </c>
      <c r="AS675" s="2">
        <v>0.10579997929707446</v>
      </c>
      <c r="AT675" s="2">
        <v>1.9496224470835801</v>
      </c>
      <c r="AU675" s="2">
        <v>1.6885523607072297</v>
      </c>
      <c r="AV675" s="31"/>
      <c r="AW675" s="31">
        <v>1960.0833333355499</v>
      </c>
      <c r="AX675" s="2">
        <v>1.2998507396784809</v>
      </c>
      <c r="AY675" s="2">
        <v>0.56051139147476758</v>
      </c>
      <c r="AZ675" s="2">
        <v>0.4328728247668493</v>
      </c>
      <c r="BA675" s="31"/>
      <c r="BB675" s="31">
        <v>1960.0833333355499</v>
      </c>
      <c r="BC675" s="2">
        <v>0.69240229783481577</v>
      </c>
      <c r="BD675" s="2">
        <v>0.93034272396242035</v>
      </c>
      <c r="BE675" s="2">
        <v>0.66816227136010298</v>
      </c>
      <c r="BG675" s="2">
        <f t="shared" si="99"/>
        <v>0.69935100560345698</v>
      </c>
      <c r="BH675" s="2">
        <f t="shared" si="93"/>
        <v>1.146825520840256</v>
      </c>
      <c r="BI675" s="2">
        <f t="shared" si="94"/>
        <v>0.92986248561139406</v>
      </c>
    </row>
    <row r="676" spans="6:61" x14ac:dyDescent="0.3">
      <c r="F676" s="31">
        <v>1960.0000000022201</v>
      </c>
      <c r="G676" s="2">
        <v>0.67257793368581154</v>
      </c>
      <c r="H676" s="2">
        <v>9.2249999999999749E-2</v>
      </c>
      <c r="I676" s="2">
        <v>6.413263472899014E-2</v>
      </c>
      <c r="K676" s="31">
        <v>1960.0000000022201</v>
      </c>
      <c r="L676" s="2">
        <v>0.98845266763004247</v>
      </c>
      <c r="M676" s="2">
        <v>6.1514999999999952E-2</v>
      </c>
      <c r="N676" s="2">
        <v>6.0807539531424308E-2</v>
      </c>
      <c r="P676" s="31">
        <v>1960.0000000022201</v>
      </c>
      <c r="Q676" s="2">
        <v>0.71511664821375254</v>
      </c>
      <c r="R676" s="2">
        <v>7.1900000000000297E-2</v>
      </c>
      <c r="S676" s="2">
        <v>4.8800774382035318E-2</v>
      </c>
      <c r="U676" s="2">
        <f t="shared" si="95"/>
        <v>0.79204908317653544</v>
      </c>
      <c r="V676" s="2">
        <f t="shared" si="96"/>
        <v>7.5221666666666673E-2</v>
      </c>
      <c r="W676" s="2">
        <f t="shared" si="97"/>
        <v>5.7913649547483258E-2</v>
      </c>
      <c r="Y676" s="31">
        <v>1960.0000000022201</v>
      </c>
      <c r="Z676" s="2">
        <v>-0.3542514918399105</v>
      </c>
      <c r="AA676" s="2">
        <v>-0.1883013680744752</v>
      </c>
      <c r="AB676" s="2">
        <v>-0.25422238863232355</v>
      </c>
      <c r="AD676" s="31">
        <v>1960.0000000022201</v>
      </c>
      <c r="AE676" s="2">
        <v>1.0663185087812779</v>
      </c>
      <c r="AF676" s="2">
        <v>-0.68622224125583742</v>
      </c>
      <c r="AG676" s="2">
        <v>2.7440935821921468E-2</v>
      </c>
      <c r="AH676" s="31"/>
      <c r="AI676" s="31">
        <v>1960.0000000022201</v>
      </c>
      <c r="AJ676" s="2">
        <v>5.6815667827911365E-2</v>
      </c>
      <c r="AK676" s="2">
        <v>-0.61478205611361436</v>
      </c>
      <c r="AL676" s="2">
        <v>0.31526309354988347</v>
      </c>
      <c r="AM676" s="31"/>
      <c r="AN676" s="2">
        <f t="shared" si="98"/>
        <v>0.25629422825642628</v>
      </c>
      <c r="AO676" s="2">
        <f t="shared" si="91"/>
        <v>-0.49643522181464234</v>
      </c>
      <c r="AP676" s="2">
        <f t="shared" si="92"/>
        <v>2.9493880246493798E-2</v>
      </c>
      <c r="AQ676" s="31"/>
      <c r="AR676" s="31">
        <v>1960.0000000022201</v>
      </c>
      <c r="AS676" s="2">
        <v>6.2560428246126024E-2</v>
      </c>
      <c r="AT676" s="2">
        <v>1.102275455956677</v>
      </c>
      <c r="AU676" s="2">
        <v>1.2691012560080914</v>
      </c>
      <c r="AV676" s="31"/>
      <c r="AW676" s="31">
        <v>1960.0000000022201</v>
      </c>
      <c r="AX676" s="2">
        <v>1.049889816330944</v>
      </c>
      <c r="AY676" s="2">
        <v>-0.21981065223360952</v>
      </c>
      <c r="AZ676" s="2">
        <v>0.94237580095713003</v>
      </c>
      <c r="BA676" s="31"/>
      <c r="BB676" s="31">
        <v>1960.0000000022201</v>
      </c>
      <c r="BC676" s="2">
        <v>0.51957768003540661</v>
      </c>
      <c r="BD676" s="2">
        <v>-9.3919208556921333E-2</v>
      </c>
      <c r="BE676" s="2">
        <v>0.91693297359764803</v>
      </c>
      <c r="BG676" s="2">
        <f t="shared" si="99"/>
        <v>0.54400930820415894</v>
      </c>
      <c r="BH676" s="2">
        <f t="shared" si="93"/>
        <v>0.26284853172204875</v>
      </c>
      <c r="BI676" s="2">
        <f t="shared" si="94"/>
        <v>1.0428033435209565</v>
      </c>
    </row>
    <row r="677" spans="6:61" x14ac:dyDescent="0.3">
      <c r="F677" s="31">
        <v>1959.91666666889</v>
      </c>
      <c r="G677" s="2">
        <v>0.7077341116611624</v>
      </c>
      <c r="H677" s="2">
        <v>9.2249999999999804E-2</v>
      </c>
      <c r="I677" s="2">
        <v>6.3501708125038844E-2</v>
      </c>
      <c r="K677" s="31">
        <v>1959.91666666889</v>
      </c>
      <c r="L677" s="2">
        <v>1.0144102109641695</v>
      </c>
      <c r="M677" s="2">
        <v>6.1514999999999952E-2</v>
      </c>
      <c r="N677" s="2">
        <v>6.2404489406679906E-2</v>
      </c>
      <c r="P677" s="31">
        <v>1959.91666666889</v>
      </c>
      <c r="Q677" s="2">
        <v>0.77405174242882258</v>
      </c>
      <c r="R677" s="2">
        <v>0.11985000000000046</v>
      </c>
      <c r="S677" s="2">
        <v>5.1118498331704718E-2</v>
      </c>
      <c r="U677" s="2">
        <f t="shared" si="95"/>
        <v>0.83206535501805146</v>
      </c>
      <c r="V677" s="2">
        <f t="shared" si="96"/>
        <v>9.1205000000000078E-2</v>
      </c>
      <c r="W677" s="2">
        <f t="shared" si="97"/>
        <v>5.9008231954474487E-2</v>
      </c>
      <c r="Y677" s="31">
        <v>1959.91666666889</v>
      </c>
      <c r="Z677" s="2">
        <v>-0.15041329328839737</v>
      </c>
      <c r="AA677" s="2">
        <v>-0.18830136807447412</v>
      </c>
      <c r="AB677" s="2">
        <v>-0.26874268431970433</v>
      </c>
      <c r="AD677" s="31">
        <v>1959.91666666889</v>
      </c>
      <c r="AE677" s="2">
        <v>1.2207855331821844</v>
      </c>
      <c r="AF677" s="2">
        <v>-0.68622224125583742</v>
      </c>
      <c r="AG677" s="2">
        <v>8.8164652094121485E-2</v>
      </c>
      <c r="AH677" s="31"/>
      <c r="AI677" s="31">
        <v>1959.91666666889</v>
      </c>
      <c r="AJ677" s="2">
        <v>0.23585112311034656</v>
      </c>
      <c r="AK677" s="2">
        <v>0.52786786379629969</v>
      </c>
      <c r="AL677" s="2">
        <v>0.50257659379498953</v>
      </c>
      <c r="AM677" s="31"/>
      <c r="AN677" s="2">
        <f t="shared" si="98"/>
        <v>0.4354077876680445</v>
      </c>
      <c r="AO677" s="2">
        <f t="shared" si="91"/>
        <v>-0.11555191517800395</v>
      </c>
      <c r="AP677" s="2">
        <f t="shared" si="92"/>
        <v>0.1073328538564689</v>
      </c>
      <c r="AQ677" s="31"/>
      <c r="AR677" s="31">
        <v>1959.91666666889</v>
      </c>
      <c r="AS677" s="2">
        <v>0.15546639232049053</v>
      </c>
      <c r="AT677" s="2">
        <v>0.68444756444045307</v>
      </c>
      <c r="AU677" s="2">
        <v>0.55611006184367573</v>
      </c>
      <c r="AV677" s="31"/>
      <c r="AW677" s="31">
        <v>1959.91666666889</v>
      </c>
      <c r="AX677" s="2">
        <v>1.3228105987337828</v>
      </c>
      <c r="AY677" s="2">
        <v>-0.51751295497595129</v>
      </c>
      <c r="AZ677" s="2">
        <v>1.127225315266799</v>
      </c>
      <c r="BA677" s="31"/>
      <c r="BB677" s="31">
        <v>1959.91666666889</v>
      </c>
      <c r="BC677" s="2">
        <v>0.78526959296415999</v>
      </c>
      <c r="BD677" s="2">
        <v>2.2207035957678172</v>
      </c>
      <c r="BE677" s="2">
        <v>0.96012023795783774</v>
      </c>
      <c r="BG677" s="2">
        <f t="shared" si="99"/>
        <v>0.75451552800614452</v>
      </c>
      <c r="BH677" s="2">
        <f t="shared" si="93"/>
        <v>0.79587940174410632</v>
      </c>
      <c r="BI677" s="2">
        <f t="shared" si="94"/>
        <v>0.88115187168943754</v>
      </c>
    </row>
    <row r="678" spans="6:61" x14ac:dyDescent="0.3">
      <c r="F678" s="31">
        <v>1959.8333333355599</v>
      </c>
      <c r="G678" s="2">
        <v>0.76956581551797831</v>
      </c>
      <c r="H678" s="2">
        <v>9.2249999999999749E-2</v>
      </c>
      <c r="I678" s="2">
        <v>7.2987039680491417E-2</v>
      </c>
      <c r="K678" s="31">
        <v>1959.8333333355599</v>
      </c>
      <c r="L678" s="2">
        <v>1.011102845291838</v>
      </c>
      <c r="M678" s="2">
        <v>6.1514999999999952E-2</v>
      </c>
      <c r="N678" s="2">
        <v>6.2200772598273654E-2</v>
      </c>
      <c r="P678" s="31">
        <v>1959.8333333355599</v>
      </c>
      <c r="Q678" s="2">
        <v>0.80621989947402783</v>
      </c>
      <c r="R678" s="2">
        <v>7.1900000000000297E-2</v>
      </c>
      <c r="S678" s="2">
        <v>5.3272651865207112E-2</v>
      </c>
      <c r="U678" s="2">
        <f t="shared" si="95"/>
        <v>0.86229618676128139</v>
      </c>
      <c r="V678" s="2">
        <f t="shared" si="96"/>
        <v>7.5221666666666673E-2</v>
      </c>
      <c r="W678" s="2">
        <f t="shared" si="97"/>
        <v>6.2820154714657392E-2</v>
      </c>
      <c r="Y678" s="31">
        <v>1959.8333333355599</v>
      </c>
      <c r="Z678" s="2">
        <v>0.20809163680897672</v>
      </c>
      <c r="AA678" s="2">
        <v>-0.1883013680744752</v>
      </c>
      <c r="AB678" s="2">
        <v>-5.0444996418360512E-2</v>
      </c>
      <c r="AD678" s="31">
        <v>1959.8333333355599</v>
      </c>
      <c r="AE678" s="2">
        <v>1.2011042048132134</v>
      </c>
      <c r="AF678" s="2">
        <v>-0.68622224125583742</v>
      </c>
      <c r="AG678" s="2">
        <v>8.0418359073146484E-2</v>
      </c>
      <c r="AH678" s="31"/>
      <c r="AI678" s="31">
        <v>1959.8333333355599</v>
      </c>
      <c r="AJ678" s="2">
        <v>0.42057245694444051</v>
      </c>
      <c r="AK678" s="2">
        <v>-0.61478205611361436</v>
      </c>
      <c r="AL678" s="2">
        <v>0.67667068230076366</v>
      </c>
      <c r="AM678" s="31"/>
      <c r="AN678" s="2">
        <f t="shared" si="98"/>
        <v>0.60992276618887686</v>
      </c>
      <c r="AO678" s="2">
        <f t="shared" si="91"/>
        <v>-0.49643522181464234</v>
      </c>
      <c r="AP678" s="2">
        <f t="shared" si="92"/>
        <v>0.23554801498518321</v>
      </c>
      <c r="AQ678" s="31"/>
      <c r="AR678" s="31">
        <v>1959.8333333355599</v>
      </c>
      <c r="AS678" s="2">
        <v>0.27050099403303257</v>
      </c>
      <c r="AT678" s="2">
        <v>1.0321667531313441</v>
      </c>
      <c r="AU678" s="2">
        <v>1.3708335103288318</v>
      </c>
      <c r="AV678" s="31"/>
      <c r="AW678" s="31">
        <v>1959.8333333355599</v>
      </c>
      <c r="AX678" s="2">
        <v>0.93083517315988551</v>
      </c>
      <c r="AY678" s="2">
        <v>-0.19138401234735175</v>
      </c>
      <c r="AZ678" s="2">
        <v>0.8470848453476777</v>
      </c>
      <c r="BA678" s="31"/>
      <c r="BB678" s="31">
        <v>1959.8333333355599</v>
      </c>
      <c r="BC678" s="2">
        <v>0.35857489766737749</v>
      </c>
      <c r="BD678" s="2">
        <v>-4.0971152421897278E-2</v>
      </c>
      <c r="BE678" s="2">
        <v>0.67618872042524103</v>
      </c>
      <c r="BG678" s="2">
        <f t="shared" si="99"/>
        <v>0.5199703549534318</v>
      </c>
      <c r="BH678" s="2">
        <f t="shared" si="93"/>
        <v>0.26660386278736503</v>
      </c>
      <c r="BI678" s="2">
        <f t="shared" si="94"/>
        <v>0.96470235870058352</v>
      </c>
    </row>
    <row r="679" spans="6:61" x14ac:dyDescent="0.3">
      <c r="F679" s="31">
        <v>1959.7500000022301</v>
      </c>
      <c r="G679" s="2">
        <v>0.8490616682145854</v>
      </c>
      <c r="H679" s="2">
        <v>0.12299999999999969</v>
      </c>
      <c r="I679" s="2">
        <v>0.10443458519039374</v>
      </c>
      <c r="K679" s="31">
        <v>1959.7500000022301</v>
      </c>
      <c r="L679" s="2">
        <v>1.0071065496778979</v>
      </c>
      <c r="M679" s="2">
        <v>6.1514999999999952E-2</v>
      </c>
      <c r="N679" s="2">
        <v>6.1954326415407573E-2</v>
      </c>
      <c r="P679" s="31">
        <v>1959.7500000022301</v>
      </c>
      <c r="Q679" s="2">
        <v>0.81191064257319479</v>
      </c>
      <c r="R679" s="2">
        <v>7.1900000000000297E-2</v>
      </c>
      <c r="S679" s="2">
        <v>5.4936123011610549E-2</v>
      </c>
      <c r="U679" s="2">
        <f t="shared" si="95"/>
        <v>0.88935962015522607</v>
      </c>
      <c r="V679" s="2">
        <f t="shared" si="96"/>
        <v>8.5471666666666654E-2</v>
      </c>
      <c r="W679" s="2">
        <f t="shared" si="97"/>
        <v>7.3775011539137292E-2</v>
      </c>
      <c r="Y679" s="31">
        <v>1959.7500000022301</v>
      </c>
      <c r="Z679" s="2">
        <v>0.66901464776182229</v>
      </c>
      <c r="AA679" s="2">
        <v>0.41216179278103221</v>
      </c>
      <c r="AB679" s="2">
        <v>0.67329633353417151</v>
      </c>
      <c r="AD679" s="31">
        <v>1959.7500000022301</v>
      </c>
      <c r="AE679" s="2">
        <v>1.1773232219919252</v>
      </c>
      <c r="AF679" s="2">
        <v>-0.68622224125583742</v>
      </c>
      <c r="AG679" s="2">
        <v>7.1047289688560208E-2</v>
      </c>
      <c r="AH679" s="31"/>
      <c r="AI679" s="31">
        <v>1959.7500000022301</v>
      </c>
      <c r="AJ679" s="2">
        <v>0.57915211504555097</v>
      </c>
      <c r="AK679" s="2">
        <v>-0.61478205611361436</v>
      </c>
      <c r="AL679" s="2">
        <v>0.8111088681054246</v>
      </c>
      <c r="AM679" s="31"/>
      <c r="AN679" s="2">
        <f t="shared" si="98"/>
        <v>0.80849666159976608</v>
      </c>
      <c r="AO679" s="2">
        <f t="shared" si="91"/>
        <v>-0.29628083486280654</v>
      </c>
      <c r="AP679" s="2">
        <f t="shared" si="92"/>
        <v>0.51848416377605211</v>
      </c>
      <c r="AQ679" s="31"/>
      <c r="AR679" s="31">
        <v>1959.7500000022301</v>
      </c>
      <c r="AS679" s="2">
        <v>0.73239869158923487</v>
      </c>
      <c r="AT679" s="2">
        <v>2.4649305945655047</v>
      </c>
      <c r="AU679" s="2">
        <v>2.4171836977434018</v>
      </c>
      <c r="AV679" s="31"/>
      <c r="AW679" s="31">
        <v>1959.7500000022301</v>
      </c>
      <c r="AX679" s="2">
        <v>1.4017965083894663</v>
      </c>
      <c r="AY679" s="2">
        <v>-0.6564669997761764</v>
      </c>
      <c r="AZ679" s="2">
        <v>0.60827564428444958</v>
      </c>
      <c r="BA679" s="31"/>
      <c r="BB679" s="31">
        <v>1959.7500000022301</v>
      </c>
      <c r="BC679" s="2">
        <v>0.52675091560668341</v>
      </c>
      <c r="BD679" s="2">
        <v>-0.59144451954684485</v>
      </c>
      <c r="BE679" s="2">
        <v>0.54641955970248357</v>
      </c>
      <c r="BG679" s="2">
        <f t="shared" si="99"/>
        <v>0.88698203852846158</v>
      </c>
      <c r="BH679" s="2">
        <f t="shared" si="93"/>
        <v>0.40567302508082781</v>
      </c>
      <c r="BI679" s="2">
        <f t="shared" si="94"/>
        <v>1.1906263005767783</v>
      </c>
    </row>
    <row r="680" spans="6:61" x14ac:dyDescent="0.3">
      <c r="F680" s="31">
        <v>1959.6666666689</v>
      </c>
      <c r="G680" s="2">
        <v>0.91201506536758581</v>
      </c>
      <c r="H680" s="2">
        <v>6.1499999999999846E-2</v>
      </c>
      <c r="I680" s="2">
        <v>5.6088926520106386E-2</v>
      </c>
      <c r="K680" s="31">
        <v>1959.6666666689</v>
      </c>
      <c r="L680" s="2">
        <v>1.0160219650177122</v>
      </c>
      <c r="M680" s="2">
        <v>6.1514999999999952E-2</v>
      </c>
      <c r="N680" s="2">
        <v>6.2501982966100073E-2</v>
      </c>
      <c r="P680" s="31">
        <v>1959.6666666689</v>
      </c>
      <c r="Q680" s="2">
        <v>0.77022782609192342</v>
      </c>
      <c r="R680" s="2">
        <v>0.11985000000000046</v>
      </c>
      <c r="S680" s="2">
        <v>5.7201398249415489E-2</v>
      </c>
      <c r="U680" s="2">
        <f t="shared" si="95"/>
        <v>0.89942161882574057</v>
      </c>
      <c r="V680" s="2">
        <f t="shared" si="96"/>
        <v>8.0955000000000096E-2</v>
      </c>
      <c r="W680" s="2">
        <f t="shared" si="97"/>
        <v>5.8597435911873975E-2</v>
      </c>
      <c r="Y680" s="31">
        <v>1959.6666666689</v>
      </c>
      <c r="Z680" s="2">
        <v>1.0340232410555161</v>
      </c>
      <c r="AA680" s="2">
        <v>-0.78876452892998183</v>
      </c>
      <c r="AB680" s="2">
        <v>-0.43934221221329306</v>
      </c>
      <c r="AD680" s="31">
        <v>1959.6666666689</v>
      </c>
      <c r="AE680" s="2">
        <v>1.2303766893833774</v>
      </c>
      <c r="AF680" s="2">
        <v>-0.68622224125583742</v>
      </c>
      <c r="AG680" s="2">
        <v>9.1871826209182272E-2</v>
      </c>
      <c r="AH680" s="31"/>
      <c r="AI680" s="31">
        <v>1959.6666666689</v>
      </c>
      <c r="AJ680" s="2">
        <v>0.77095967046783598</v>
      </c>
      <c r="AK680" s="2">
        <v>0.52786786379629969</v>
      </c>
      <c r="AL680" s="2">
        <v>0.99418357545887492</v>
      </c>
      <c r="AM680" s="31"/>
      <c r="AN680" s="2">
        <f t="shared" si="98"/>
        <v>1.0117865336355765</v>
      </c>
      <c r="AO680" s="2">
        <f t="shared" si="91"/>
        <v>-0.31570630212983986</v>
      </c>
      <c r="AP680" s="2">
        <f t="shared" si="92"/>
        <v>0.21557106315158805</v>
      </c>
      <c r="AQ680" s="31"/>
      <c r="AR680" s="31">
        <v>1959.6666666689</v>
      </c>
      <c r="AS680" s="2">
        <v>0.42069778759808979</v>
      </c>
      <c r="AT680" s="2">
        <v>-0.32631334910519932</v>
      </c>
      <c r="AU680" s="2">
        <v>3.3201362543464306E-2</v>
      </c>
      <c r="AV680" s="31"/>
      <c r="AW680" s="31">
        <v>1959.6666666689</v>
      </c>
      <c r="AX680" s="2">
        <v>0.67836493804776388</v>
      </c>
      <c r="AY680" s="2">
        <v>-0.23837245449551037</v>
      </c>
      <c r="AZ680" s="2">
        <v>0.66322531432402898</v>
      </c>
      <c r="BA680" s="31"/>
      <c r="BB680" s="31">
        <v>1959.6666666689</v>
      </c>
      <c r="BC680" s="2">
        <v>0.4153532142035512</v>
      </c>
      <c r="BD680" s="2">
        <v>2.058142184106992</v>
      </c>
      <c r="BE680" s="2">
        <v>1.0638141356136965</v>
      </c>
      <c r="BG680" s="2">
        <f t="shared" si="99"/>
        <v>0.50480531328313494</v>
      </c>
      <c r="BH680" s="2">
        <f t="shared" si="93"/>
        <v>0.49781879350209413</v>
      </c>
      <c r="BI680" s="2">
        <f t="shared" si="94"/>
        <v>0.58674693749372997</v>
      </c>
    </row>
    <row r="681" spans="6:61" x14ac:dyDescent="0.3">
      <c r="F681" s="31">
        <v>1959.5833333355699</v>
      </c>
      <c r="G681" s="2">
        <v>0.97099257953836682</v>
      </c>
      <c r="H681" s="2">
        <v>0.12299999999999969</v>
      </c>
      <c r="I681" s="2">
        <v>0.11943208728321882</v>
      </c>
      <c r="K681" s="31">
        <v>1959.5833333355699</v>
      </c>
      <c r="L681" s="2">
        <v>1.0277051080665267</v>
      </c>
      <c r="M681" s="2">
        <v>6.1514999999999952E-2</v>
      </c>
      <c r="N681" s="2">
        <v>6.3219873952193278E-2</v>
      </c>
      <c r="P681" s="31">
        <v>1959.5833333355699</v>
      </c>
      <c r="Q681" s="2">
        <v>0.7906338724678299</v>
      </c>
      <c r="R681" s="2">
        <v>7.1900000000000297E-2</v>
      </c>
      <c r="S681" s="2">
        <v>5.866064089765792E-2</v>
      </c>
      <c r="U681" s="2">
        <f t="shared" si="95"/>
        <v>0.92977718669090781</v>
      </c>
      <c r="V681" s="2">
        <f t="shared" si="96"/>
        <v>8.5471666666666654E-2</v>
      </c>
      <c r="W681" s="2">
        <f t="shared" si="97"/>
        <v>8.0437534044356676E-2</v>
      </c>
      <c r="Y681" s="31">
        <v>1959.5833333355699</v>
      </c>
      <c r="Z681" s="2">
        <v>1.3759793618843292</v>
      </c>
      <c r="AA681" s="2">
        <v>0.41216179278103221</v>
      </c>
      <c r="AB681" s="2">
        <v>1.0184524318760677</v>
      </c>
      <c r="AD681" s="31">
        <v>1959.5833333355699</v>
      </c>
      <c r="AE681" s="2">
        <v>1.2999002309285386</v>
      </c>
      <c r="AF681" s="2">
        <v>-0.68622224125583742</v>
      </c>
      <c r="AG681" s="2">
        <v>0.11916949486450967</v>
      </c>
      <c r="AH681" s="31"/>
      <c r="AI681" s="31">
        <v>1959.5833333355699</v>
      </c>
      <c r="AJ681" s="2">
        <v>0.8914857932287571</v>
      </c>
      <c r="AK681" s="2">
        <v>-0.61478205611361436</v>
      </c>
      <c r="AL681" s="2">
        <v>1.1121164501604617</v>
      </c>
      <c r="AM681" s="31"/>
      <c r="AN681" s="2">
        <f t="shared" si="98"/>
        <v>1.1891217953472084</v>
      </c>
      <c r="AO681" s="2">
        <f t="shared" si="91"/>
        <v>-0.29628083486280654</v>
      </c>
      <c r="AP681" s="2">
        <f t="shared" si="92"/>
        <v>0.74991279230034635</v>
      </c>
      <c r="AQ681" s="31"/>
      <c r="AR681" s="31">
        <v>1959.5833333355699</v>
      </c>
      <c r="AS681" s="2">
        <v>0.90728098827661974</v>
      </c>
      <c r="AT681" s="2">
        <v>2.6348383026963482</v>
      </c>
      <c r="AU681" s="2">
        <v>2.5679414049862581</v>
      </c>
      <c r="AV681" s="31"/>
      <c r="AW681" s="31">
        <v>1959.5833333355699</v>
      </c>
      <c r="AX681" s="2">
        <v>1.2118051201922757</v>
      </c>
      <c r="AY681" s="2">
        <v>-0.53553372549108424</v>
      </c>
      <c r="AZ681" s="2">
        <v>0.88935346552047712</v>
      </c>
      <c r="BA681" s="31"/>
      <c r="BB681" s="31">
        <v>1959.5833333355699</v>
      </c>
      <c r="BC681" s="2">
        <v>0.27620737924113881</v>
      </c>
      <c r="BD681" s="2">
        <v>-0.51613739712758211</v>
      </c>
      <c r="BE681" s="2">
        <v>0.3441212532919195</v>
      </c>
      <c r="BG681" s="2">
        <f t="shared" si="99"/>
        <v>0.79843116257001145</v>
      </c>
      <c r="BH681" s="2">
        <f t="shared" si="93"/>
        <v>0.52772239335922733</v>
      </c>
      <c r="BI681" s="2">
        <f t="shared" si="94"/>
        <v>1.2671387079328849</v>
      </c>
    </row>
    <row r="682" spans="6:61" x14ac:dyDescent="0.3">
      <c r="F682" s="31">
        <v>1959.5000000022401</v>
      </c>
      <c r="G682" s="2">
        <v>1.0070669790564424</v>
      </c>
      <c r="H682" s="2">
        <v>6.1499999999999846E-2</v>
      </c>
      <c r="I682" s="2">
        <v>6.1934619211971055E-2</v>
      </c>
      <c r="K682" s="31">
        <v>1959.5000000022401</v>
      </c>
      <c r="L682" s="2">
        <v>1.0576518497494949</v>
      </c>
      <c r="M682" s="2">
        <v>6.1499999999999902E-2</v>
      </c>
      <c r="N682" s="2">
        <v>6.5045588759593834E-2</v>
      </c>
      <c r="P682" s="31">
        <v>1959.5000000022401</v>
      </c>
      <c r="Q682" s="2">
        <v>0.72176536517393786</v>
      </c>
      <c r="R682" s="2">
        <v>9.5900000000000304E-2</v>
      </c>
      <c r="S682" s="2">
        <v>8.1207410880111949E-2</v>
      </c>
      <c r="U682" s="2">
        <f t="shared" si="95"/>
        <v>0.92882806465995849</v>
      </c>
      <c r="V682" s="2">
        <f t="shared" si="96"/>
        <v>7.296666666666668E-2</v>
      </c>
      <c r="W682" s="2">
        <f t="shared" si="97"/>
        <v>6.9395872950558948E-2</v>
      </c>
      <c r="Y682" s="31">
        <v>1959.5000000022401</v>
      </c>
      <c r="Z682" s="2">
        <v>1.5851414789025036</v>
      </c>
      <c r="AA682" s="2">
        <v>-0.78876452892998183</v>
      </c>
      <c r="AB682" s="2">
        <v>-0.30480804318023669</v>
      </c>
      <c r="AD682" s="31">
        <v>1959.5000000022401</v>
      </c>
      <c r="AE682" s="2">
        <v>1.4781060040530338</v>
      </c>
      <c r="AF682" s="2">
        <v>-0.68658960551538373</v>
      </c>
      <c r="AG682" s="2">
        <v>0.18859195431446668</v>
      </c>
      <c r="AH682" s="31"/>
      <c r="AI682" s="31">
        <v>1959.5000000022401</v>
      </c>
      <c r="AJ682" s="2">
        <v>1.1687345117707713</v>
      </c>
      <c r="AK682" s="2">
        <v>-4.286134541835146E-2</v>
      </c>
      <c r="AL682" s="2">
        <v>2.9342982528023027</v>
      </c>
      <c r="AM682" s="31"/>
      <c r="AN682" s="2">
        <f t="shared" si="98"/>
        <v>1.4106606649087696</v>
      </c>
      <c r="AO682" s="2">
        <f t="shared" si="91"/>
        <v>-0.50607182662123906</v>
      </c>
      <c r="AP682" s="2">
        <f t="shared" si="92"/>
        <v>0.93936072131217763</v>
      </c>
      <c r="AQ682" s="31"/>
      <c r="AR682" s="31">
        <v>1959.5000000022401</v>
      </c>
      <c r="AS682" s="2">
        <v>0.4130680515259299</v>
      </c>
      <c r="AT682" s="2">
        <v>-2.3130098149132094E-2</v>
      </c>
      <c r="AU682" s="2">
        <v>0.37068339029697722</v>
      </c>
      <c r="AV682" s="31"/>
      <c r="AW682" s="31">
        <v>1959.5000000022401</v>
      </c>
      <c r="AX682" s="2">
        <v>0.37615783343321013</v>
      </c>
      <c r="AY682" s="2">
        <v>-0.1083026392523672</v>
      </c>
      <c r="AZ682" s="2">
        <v>0.37581769304925589</v>
      </c>
      <c r="BA682" s="31"/>
      <c r="BB682" s="31">
        <v>1959.5000000022401</v>
      </c>
      <c r="BC682" s="2">
        <v>0.13771907525129887</v>
      </c>
      <c r="BD682" s="2">
        <v>1.2407351028491733</v>
      </c>
      <c r="BE682" s="2">
        <v>1.9697167102128081</v>
      </c>
      <c r="BG682" s="2">
        <f t="shared" si="99"/>
        <v>0.30898165340347966</v>
      </c>
      <c r="BH682" s="2">
        <f t="shared" si="93"/>
        <v>0.36976745514922471</v>
      </c>
      <c r="BI682" s="2">
        <f t="shared" si="94"/>
        <v>0.90540593118634705</v>
      </c>
    </row>
    <row r="683" spans="6:61" x14ac:dyDescent="0.3">
      <c r="F683" s="31">
        <v>1959.41666666891</v>
      </c>
      <c r="G683" s="2">
        <v>0.99794064877178901</v>
      </c>
      <c r="H683" s="2">
        <v>0.24599999999999936</v>
      </c>
      <c r="I683" s="2">
        <v>0.25026696790348357</v>
      </c>
      <c r="K683" s="31">
        <v>1959.41666666891</v>
      </c>
      <c r="L683" s="2">
        <v>1.0021713827195158</v>
      </c>
      <c r="M683" s="2">
        <v>0.1537949999999999</v>
      </c>
      <c r="N683" s="2">
        <v>0.1196929206184518</v>
      </c>
      <c r="P683" s="31">
        <v>1959.41666666891</v>
      </c>
      <c r="Q683" s="2">
        <v>0.74508061914895407</v>
      </c>
      <c r="R683" s="2">
        <v>0.14375000000000077</v>
      </c>
      <c r="S683" s="2">
        <v>5.9266597362875977E-2</v>
      </c>
      <c r="U683" s="2">
        <f t="shared" si="95"/>
        <v>0.91506421688008632</v>
      </c>
      <c r="V683" s="2">
        <f t="shared" si="96"/>
        <v>0.18118166666666669</v>
      </c>
      <c r="W683" s="2">
        <f t="shared" si="97"/>
        <v>0.14307549529493713</v>
      </c>
      <c r="Y683" s="31">
        <v>1959.41666666891</v>
      </c>
      <c r="Z683" s="2">
        <v>1.5322263205507005</v>
      </c>
      <c r="AA683" s="2">
        <v>2.8140144362030597</v>
      </c>
      <c r="AB683" s="2">
        <v>4.0295176507649195</v>
      </c>
      <c r="AD683" s="31">
        <v>1959.41666666891</v>
      </c>
      <c r="AE683" s="2">
        <v>1.1479552442457137</v>
      </c>
      <c r="AF683" s="2">
        <v>1.573802683465688</v>
      </c>
      <c r="AG683" s="2">
        <v>2.2665463887320954</v>
      </c>
      <c r="AH683" s="31"/>
      <c r="AI683" s="31">
        <v>1959.41666666891</v>
      </c>
      <c r="AJ683" s="2">
        <v>0.93630101239563845</v>
      </c>
      <c r="AK683" s="2">
        <v>1.0974055715303397</v>
      </c>
      <c r="AL683" s="2">
        <v>1.1610885576939478</v>
      </c>
      <c r="AM683" s="31"/>
      <c r="AN683" s="2">
        <f t="shared" si="98"/>
        <v>1.205494192397351</v>
      </c>
      <c r="AO683" s="2">
        <f t="shared" si="91"/>
        <v>1.8284075637330293</v>
      </c>
      <c r="AP683" s="2">
        <f t="shared" si="92"/>
        <v>2.4857175323969876</v>
      </c>
      <c r="AQ683" s="31"/>
      <c r="AR683" s="31">
        <v>1959.41666666891</v>
      </c>
      <c r="AS683" s="2">
        <v>0.90334789879140442</v>
      </c>
      <c r="AT683" s="2">
        <v>1.6401497265564973</v>
      </c>
      <c r="AU683" s="2">
        <v>2.0931561849666309</v>
      </c>
      <c r="AV683" s="31"/>
      <c r="AW683" s="31">
        <v>1959.41666666891</v>
      </c>
      <c r="AX683" s="2">
        <v>0.73098026375707181</v>
      </c>
      <c r="AY683" s="2">
        <v>0.24857417332271592</v>
      </c>
      <c r="AZ683" s="2">
        <v>0.88541277679882702</v>
      </c>
      <c r="BA683" s="31"/>
      <c r="BB683" s="31">
        <v>1959.41666666891</v>
      </c>
      <c r="BC683" s="2">
        <v>0.23239259177618876</v>
      </c>
      <c r="BD683" s="2">
        <v>-0.3501658496641043</v>
      </c>
      <c r="BE683" s="2">
        <v>0.29828212830566192</v>
      </c>
      <c r="BG683" s="2">
        <f t="shared" si="99"/>
        <v>0.62224025144155493</v>
      </c>
      <c r="BH683" s="2">
        <f t="shared" si="93"/>
        <v>0.51285268340503631</v>
      </c>
      <c r="BI683" s="2">
        <f t="shared" si="94"/>
        <v>1.0922836966903733</v>
      </c>
    </row>
    <row r="684" spans="6:61" x14ac:dyDescent="0.3">
      <c r="F684" s="31">
        <v>1959.3333333355799</v>
      </c>
      <c r="G684" s="2">
        <v>0.85733329215794607</v>
      </c>
      <c r="H684" s="2">
        <v>0.1844999999999995</v>
      </c>
      <c r="I684" s="2">
        <v>0.15523495859610584</v>
      </c>
      <c r="K684" s="31">
        <v>1959.3333333355799</v>
      </c>
      <c r="L684" s="2">
        <v>0.91439406964077574</v>
      </c>
      <c r="M684" s="2">
        <v>0.1230299999999999</v>
      </c>
      <c r="N684" s="2">
        <v>8.1724052209161249E-2</v>
      </c>
      <c r="P684" s="31">
        <v>1959.3333333355799</v>
      </c>
      <c r="Q684" s="2">
        <v>0.66120384364689988</v>
      </c>
      <c r="R684" s="2">
        <v>0.1198000000000006</v>
      </c>
      <c r="S684" s="2">
        <v>5.7631361993794011E-2</v>
      </c>
      <c r="U684" s="2">
        <f t="shared" si="95"/>
        <v>0.8109770684818739</v>
      </c>
      <c r="V684" s="2">
        <f t="shared" si="96"/>
        <v>0.14244333333333334</v>
      </c>
      <c r="W684" s="2">
        <f t="shared" si="97"/>
        <v>9.8196790933020361E-2</v>
      </c>
      <c r="Y684" s="31">
        <v>1959.3333333355799</v>
      </c>
      <c r="Z684" s="2">
        <v>0.71697415362427308</v>
      </c>
      <c r="AA684" s="2">
        <v>1.6130881144920455</v>
      </c>
      <c r="AB684" s="2">
        <v>1.8424282710063087</v>
      </c>
      <c r="AD684" s="31">
        <v>1959.3333333355799</v>
      </c>
      <c r="AE684" s="2">
        <v>0.62561381205964894</v>
      </c>
      <c r="AF684" s="2">
        <v>0.82033858713866403</v>
      </c>
      <c r="AG684" s="2">
        <v>0.82278736524162011</v>
      </c>
      <c r="AH684" s="31"/>
      <c r="AI684" s="31">
        <v>1959.3333333355799</v>
      </c>
      <c r="AJ684" s="2">
        <v>0.77306669493448144</v>
      </c>
      <c r="AK684" s="2">
        <v>0.52667636231568804</v>
      </c>
      <c r="AL684" s="2">
        <v>1.0289323271165178</v>
      </c>
      <c r="AM684" s="31"/>
      <c r="AN684" s="2">
        <f t="shared" si="98"/>
        <v>0.70521822020613456</v>
      </c>
      <c r="AO684" s="2">
        <f t="shared" si="91"/>
        <v>0.98670102131546589</v>
      </c>
      <c r="AP684" s="2">
        <f t="shared" si="92"/>
        <v>1.2313826544548157</v>
      </c>
      <c r="AQ684" s="31"/>
      <c r="AR684" s="31">
        <v>1959.3333333355799</v>
      </c>
      <c r="AS684" s="2">
        <v>0.66733723672423972</v>
      </c>
      <c r="AT684" s="2">
        <v>0.58792153404252212</v>
      </c>
      <c r="AU684" s="2">
        <v>0.95579358950205717</v>
      </c>
      <c r="AV684" s="31"/>
      <c r="AW684" s="31">
        <v>1959.3333333355799</v>
      </c>
      <c r="AX684" s="2">
        <v>0.4454220403925403</v>
      </c>
      <c r="AY684" s="2">
        <v>6.3072530914539418E-2</v>
      </c>
      <c r="AZ684" s="2">
        <v>0.22896412037716335</v>
      </c>
      <c r="BA684" s="31"/>
      <c r="BB684" s="31">
        <v>1959.3333333355799</v>
      </c>
      <c r="BC684" s="2">
        <v>0.6118662113750486</v>
      </c>
      <c r="BD684" s="2">
        <v>-0.1780601750249331</v>
      </c>
      <c r="BE684" s="2">
        <v>0.72570704436913303</v>
      </c>
      <c r="BG684" s="2">
        <f t="shared" si="99"/>
        <v>0.57487516283060947</v>
      </c>
      <c r="BH684" s="2">
        <f t="shared" si="93"/>
        <v>0.15764462997737613</v>
      </c>
      <c r="BI684" s="2">
        <f t="shared" si="94"/>
        <v>0.63682158474945127</v>
      </c>
    </row>
    <row r="685" spans="6:61" x14ac:dyDescent="0.3">
      <c r="F685" s="31">
        <v>1959.2500000022501</v>
      </c>
      <c r="G685" s="2">
        <v>0.82548209676542827</v>
      </c>
      <c r="H685" s="2">
        <v>0.1844999999999995</v>
      </c>
      <c r="I685" s="2">
        <v>0.14809341163519507</v>
      </c>
      <c r="K685" s="31">
        <v>1959.2500000022501</v>
      </c>
      <c r="L685" s="2">
        <v>0.90199804584328569</v>
      </c>
      <c r="M685" s="2">
        <v>0.1230299999999999</v>
      </c>
      <c r="N685" s="2">
        <v>8.2845384432797542E-2</v>
      </c>
      <c r="P685" s="31">
        <v>1959.2500000022501</v>
      </c>
      <c r="Q685" s="2">
        <v>0.68300703321543177</v>
      </c>
      <c r="R685" s="2">
        <v>0.14375000000000077</v>
      </c>
      <c r="S685" s="2">
        <v>5.4339765910725008E-2</v>
      </c>
      <c r="U685" s="2">
        <f t="shared" si="95"/>
        <v>0.80349572527471524</v>
      </c>
      <c r="V685" s="2">
        <f t="shared" si="96"/>
        <v>0.15042666666666674</v>
      </c>
      <c r="W685" s="2">
        <f t="shared" si="97"/>
        <v>9.509285399290586E-2</v>
      </c>
      <c r="Y685" s="31">
        <v>1959.2500000022501</v>
      </c>
      <c r="Z685" s="2">
        <v>0.53229849590416545</v>
      </c>
      <c r="AA685" s="2">
        <v>1.6130881144920455</v>
      </c>
      <c r="AB685" s="2">
        <v>1.6780710020493244</v>
      </c>
      <c r="AD685" s="31">
        <v>1959.2500000022501</v>
      </c>
      <c r="AE685" s="2">
        <v>0.5518480906370169</v>
      </c>
      <c r="AF685" s="2">
        <v>0.82033858713866403</v>
      </c>
      <c r="AG685" s="2">
        <v>0.8654258104740149</v>
      </c>
      <c r="AH685" s="31"/>
      <c r="AI685" s="31">
        <v>1959.2500000022501</v>
      </c>
      <c r="AJ685" s="2">
        <v>0.44914581531115477</v>
      </c>
      <c r="AK685" s="2">
        <v>1.0974055715303397</v>
      </c>
      <c r="AL685" s="2">
        <v>0.76291256069839775</v>
      </c>
      <c r="AM685" s="31"/>
      <c r="AN685" s="2">
        <f t="shared" si="98"/>
        <v>0.51109746728411232</v>
      </c>
      <c r="AO685" s="2">
        <f t="shared" si="91"/>
        <v>1.176944091053683</v>
      </c>
      <c r="AP685" s="2">
        <f t="shared" si="92"/>
        <v>1.102136457740579</v>
      </c>
      <c r="AQ685" s="31"/>
      <c r="AR685" s="31">
        <v>1959.2500000022501</v>
      </c>
      <c r="AS685" s="2">
        <v>0.83260383845037067</v>
      </c>
      <c r="AT685" s="2">
        <v>0.61938737125940624</v>
      </c>
      <c r="AU685" s="2">
        <v>0.93435895465182939</v>
      </c>
      <c r="AV685" s="31"/>
      <c r="AW685" s="31">
        <v>1959.2500000022501</v>
      </c>
      <c r="AX685" s="2">
        <v>0.6166747971511789</v>
      </c>
      <c r="AY685" s="2">
        <v>-0.13053036562694012</v>
      </c>
      <c r="AZ685" s="2">
        <v>0.13143051595808672</v>
      </c>
      <c r="BA685" s="31"/>
      <c r="BB685" s="31">
        <v>1959.2500000022501</v>
      </c>
      <c r="BC685" s="2">
        <v>0.80724604895339025</v>
      </c>
      <c r="BD685" s="2">
        <v>3.2254086159998023E-2</v>
      </c>
      <c r="BE685" s="2">
        <v>0.93103920158636455</v>
      </c>
      <c r="BG685" s="2">
        <f t="shared" si="99"/>
        <v>0.75217489485164657</v>
      </c>
      <c r="BH685" s="2">
        <f t="shared" si="93"/>
        <v>0.17370369726415472</v>
      </c>
      <c r="BI685" s="2">
        <f t="shared" si="94"/>
        <v>0.66560955739876027</v>
      </c>
    </row>
    <row r="686" spans="6:61" x14ac:dyDescent="0.3">
      <c r="F686" s="31">
        <v>1959.16666666892</v>
      </c>
      <c r="G686" s="2">
        <v>0.78999845215720255</v>
      </c>
      <c r="H686" s="2">
        <v>0.1844999999999995</v>
      </c>
      <c r="I686" s="2">
        <v>0.1430058849871329</v>
      </c>
      <c r="K686" s="31">
        <v>1959.16666666892</v>
      </c>
      <c r="L686" s="2">
        <v>0.87878463276318441</v>
      </c>
      <c r="M686" s="2">
        <v>0.1230299999999999</v>
      </c>
      <c r="N686" s="2">
        <v>8.3211076045524301E-2</v>
      </c>
      <c r="P686" s="31">
        <v>1959.16666666892</v>
      </c>
      <c r="Q686" s="2">
        <v>0.58427874600576468</v>
      </c>
      <c r="R686" s="2">
        <v>0.1198000000000006</v>
      </c>
      <c r="S686" s="2">
        <v>5.0453472232870271E-2</v>
      </c>
      <c r="U686" s="2">
        <f t="shared" si="95"/>
        <v>0.75102061030871725</v>
      </c>
      <c r="V686" s="2">
        <f t="shared" si="96"/>
        <v>0.14244333333333334</v>
      </c>
      <c r="W686" s="2">
        <f t="shared" si="97"/>
        <v>9.2223477755175823E-2</v>
      </c>
      <c r="Y686" s="31">
        <v>1959.16666666892</v>
      </c>
      <c r="Z686" s="2">
        <v>0.32656162086461821</v>
      </c>
      <c r="AA686" s="2">
        <v>1.6130881144920455</v>
      </c>
      <c r="AB686" s="2">
        <v>1.5609854475891825</v>
      </c>
      <c r="AD686" s="31">
        <v>1959.16666666892</v>
      </c>
      <c r="AE686" s="2">
        <v>0.41371071767699152</v>
      </c>
      <c r="AF686" s="2">
        <v>0.82033858713866403</v>
      </c>
      <c r="AG686" s="2">
        <v>0.87933116472365203</v>
      </c>
      <c r="AH686" s="31"/>
      <c r="AI686" s="31">
        <v>1959.16666666892</v>
      </c>
      <c r="AJ686" s="2">
        <v>6.5998934541831783E-2</v>
      </c>
      <c r="AK686" s="2">
        <v>0.52667636231568804</v>
      </c>
      <c r="AL686" s="2">
        <v>0.448830604612457</v>
      </c>
      <c r="AM686" s="31"/>
      <c r="AN686" s="2">
        <f t="shared" si="98"/>
        <v>0.26875709102781387</v>
      </c>
      <c r="AO686" s="2">
        <f t="shared" si="91"/>
        <v>0.98670102131546589</v>
      </c>
      <c r="AP686" s="2">
        <f t="shared" si="92"/>
        <v>0.96304907230843051</v>
      </c>
      <c r="AQ686" s="31"/>
      <c r="AR686" s="31">
        <v>1959.16666666892</v>
      </c>
      <c r="AS686" s="2">
        <v>0.77327064263348755</v>
      </c>
      <c r="AT686" s="2">
        <v>0.80409366606843113</v>
      </c>
      <c r="AU686" s="2">
        <v>1.1549533797031859</v>
      </c>
      <c r="AV686" s="31"/>
      <c r="AW686" s="31">
        <v>1959.16666666892</v>
      </c>
      <c r="AX686" s="2">
        <v>0.58501948988813801</v>
      </c>
      <c r="AY686" s="2">
        <v>0.19113153348877646</v>
      </c>
      <c r="AZ686" s="2">
        <v>0.52930329474134741</v>
      </c>
      <c r="BA686" s="31"/>
      <c r="BB686" s="31">
        <v>1959.16666666892</v>
      </c>
      <c r="BC686" s="2">
        <v>0.7084028868345561</v>
      </c>
      <c r="BD686" s="2">
        <v>0.3086063174042078</v>
      </c>
      <c r="BE686" s="2">
        <v>1.0114213460089705</v>
      </c>
      <c r="BG686" s="2">
        <f t="shared" si="99"/>
        <v>0.68889767311872718</v>
      </c>
      <c r="BH686" s="2">
        <f t="shared" si="93"/>
        <v>0.43461050565380516</v>
      </c>
      <c r="BI686" s="2">
        <f t="shared" si="94"/>
        <v>0.8985593401511679</v>
      </c>
    </row>
    <row r="687" spans="6:61" x14ac:dyDescent="0.3">
      <c r="F687" s="31">
        <v>1959.0833333355899</v>
      </c>
      <c r="G687" s="2">
        <v>0.75451795138605515</v>
      </c>
      <c r="H687" s="2">
        <v>6.1499999999999846E-2</v>
      </c>
      <c r="I687" s="2">
        <v>4.6402854010242287E-2</v>
      </c>
      <c r="K687" s="31">
        <v>1959.0833333355899</v>
      </c>
      <c r="L687" s="2">
        <v>0.83570641764749243</v>
      </c>
      <c r="M687" s="2">
        <v>0.1230299999999999</v>
      </c>
      <c r="N687" s="2">
        <v>7.9337450371955082E-2</v>
      </c>
      <c r="P687" s="31">
        <v>1959.0833333355899</v>
      </c>
      <c r="Q687" s="2">
        <v>0.64761972737631435</v>
      </c>
      <c r="R687" s="2">
        <v>7.1900000000000297E-2</v>
      </c>
      <c r="S687" s="2">
        <v>4.8257466205299464E-2</v>
      </c>
      <c r="U687" s="2">
        <f t="shared" si="95"/>
        <v>0.74594803213662064</v>
      </c>
      <c r="V687" s="2">
        <f t="shared" si="96"/>
        <v>8.5476666666666687E-2</v>
      </c>
      <c r="W687" s="2">
        <f t="shared" si="97"/>
        <v>5.7999256862498939E-2</v>
      </c>
      <c r="Y687" s="31">
        <v>1959.0833333355899</v>
      </c>
      <c r="Z687" s="2">
        <v>0.12084297403198911</v>
      </c>
      <c r="AA687" s="2">
        <v>-0.78876452892998183</v>
      </c>
      <c r="AB687" s="2">
        <v>-0.66225980042692012</v>
      </c>
      <c r="AD687" s="31">
        <v>1959.0833333355899</v>
      </c>
      <c r="AE687" s="2">
        <v>0.15736274129993968</v>
      </c>
      <c r="AF687" s="2">
        <v>0.82033858713866403</v>
      </c>
      <c r="AG687" s="2">
        <v>0.73203728281087188</v>
      </c>
      <c r="AH687" s="31"/>
      <c r="AI687" s="31">
        <v>1959.0833333355899</v>
      </c>
      <c r="AJ687" s="2">
        <v>-0.13635502271533334</v>
      </c>
      <c r="AK687" s="2">
        <v>-0.61478205611361436</v>
      </c>
      <c r="AL687" s="2">
        <v>0.27135408690968543</v>
      </c>
      <c r="AM687" s="31"/>
      <c r="AN687" s="2">
        <f t="shared" si="98"/>
        <v>4.7283564205531814E-2</v>
      </c>
      <c r="AO687" s="2">
        <f t="shared" si="91"/>
        <v>-0.19440266596831071</v>
      </c>
      <c r="AP687" s="2">
        <f t="shared" si="92"/>
        <v>0.1137105230978791</v>
      </c>
      <c r="AQ687" s="31"/>
      <c r="AR687" s="31">
        <v>1959.0833333355899</v>
      </c>
      <c r="AS687" s="2">
        <v>0.93446627386403758</v>
      </c>
      <c r="AT687" s="2">
        <v>-0.93050162247170598</v>
      </c>
      <c r="AU687" s="2">
        <v>-0.3221401692426864</v>
      </c>
      <c r="AV687" s="31"/>
      <c r="AW687" s="31">
        <v>1959.0833333355899</v>
      </c>
      <c r="AX687" s="2">
        <v>0.49338026732260937</v>
      </c>
      <c r="AY687" s="2">
        <v>1.9921056283099188</v>
      </c>
      <c r="AZ687" s="2">
        <v>1.9264236122930372</v>
      </c>
      <c r="BA687" s="31"/>
      <c r="BB687" s="31">
        <v>1959.0833333355899</v>
      </c>
      <c r="BC687" s="2">
        <v>0.60234529045472529</v>
      </c>
      <c r="BD687" s="2">
        <v>-0.95760573293009554</v>
      </c>
      <c r="BE687" s="2">
        <v>0.76892173450089996</v>
      </c>
      <c r="BG687" s="2">
        <f t="shared" si="99"/>
        <v>0.67673061054712402</v>
      </c>
      <c r="BH687" s="2">
        <f t="shared" si="93"/>
        <v>3.4666090969372419E-2</v>
      </c>
      <c r="BI687" s="2">
        <f t="shared" si="94"/>
        <v>0.7910683925170835</v>
      </c>
    </row>
    <row r="688" spans="6:61" x14ac:dyDescent="0.3">
      <c r="F688" s="31">
        <v>1959.0000000022601</v>
      </c>
      <c r="G688" s="2"/>
      <c r="H688" s="2"/>
      <c r="I688" s="2"/>
      <c r="K688" s="31">
        <v>1959.0000000022601</v>
      </c>
      <c r="L688" s="2">
        <v>0.81845673758534554</v>
      </c>
      <c r="M688" s="2">
        <v>6.1514999999999952E-2</v>
      </c>
      <c r="N688" s="2">
        <v>5.0348160431821824E-2</v>
      </c>
      <c r="P688" s="31">
        <v>1959.0000000022601</v>
      </c>
      <c r="Q688" s="2">
        <v>0.68045742853871394</v>
      </c>
      <c r="R688" s="2">
        <v>7.1900000000000297E-2</v>
      </c>
      <c r="S688" s="2">
        <v>4.8392999031263713E-2</v>
      </c>
      <c r="U688" s="2">
        <f t="shared" si="95"/>
        <v>0.74945708306202974</v>
      </c>
      <c r="V688" s="2">
        <f t="shared" si="96"/>
        <v>6.6707500000000128E-2</v>
      </c>
      <c r="W688" s="2">
        <f t="shared" si="97"/>
        <v>4.9370579731542769E-2</v>
      </c>
      <c r="Y688" s="31">
        <v>1959.0000000022601</v>
      </c>
      <c r="Z688" s="2"/>
      <c r="AA688" s="2"/>
      <c r="AB688" s="2"/>
      <c r="AD688" s="31">
        <v>1959.0000000022601</v>
      </c>
      <c r="AE688" s="2">
        <v>5.4714092436301598E-2</v>
      </c>
      <c r="AF688" s="2">
        <v>-0.68622224125583742</v>
      </c>
      <c r="AG688" s="2">
        <v>-0.37027497165199652</v>
      </c>
      <c r="AH688" s="31"/>
      <c r="AI688" s="31">
        <v>1959.0000000022601</v>
      </c>
      <c r="AJ688" s="2">
        <v>-0.12351977572458327</v>
      </c>
      <c r="AK688" s="2">
        <v>-0.61478205611361436</v>
      </c>
      <c r="AL688" s="2">
        <v>0.28230756048150379</v>
      </c>
      <c r="AM688" s="31"/>
      <c r="AN688" s="2">
        <f t="shared" si="98"/>
        <v>-3.4402841644140834E-2</v>
      </c>
      <c r="AO688" s="2">
        <f t="shared" si="91"/>
        <v>-0.65050214868472589</v>
      </c>
      <c r="AP688" s="2">
        <f t="shared" si="92"/>
        <v>-4.3983705585246363E-2</v>
      </c>
      <c r="AQ688" s="31"/>
      <c r="AR688" s="31">
        <v>1959.0000000022601</v>
      </c>
      <c r="AS688" s="2"/>
      <c r="AT688" s="2"/>
      <c r="AU688" s="2"/>
      <c r="AV688" s="31"/>
      <c r="AW688" s="31">
        <v>1959.0000000022601</v>
      </c>
      <c r="AX688" s="2">
        <v>0.2808275143926055</v>
      </c>
      <c r="AY688" s="2">
        <v>-0.21981065223360952</v>
      </c>
      <c r="AZ688" s="2">
        <v>0.2032529215624774</v>
      </c>
      <c r="BA688" s="31"/>
      <c r="BB688" s="31">
        <v>1959.0000000022601</v>
      </c>
      <c r="BC688" s="2">
        <v>0.36805896465858351</v>
      </c>
      <c r="BD688" s="2">
        <v>-9.3919208556921333E-2</v>
      </c>
      <c r="BE688" s="2">
        <v>0.88516276743720257</v>
      </c>
      <c r="BG688" s="2">
        <f t="shared" si="99"/>
        <v>0.32444323952559451</v>
      </c>
      <c r="BH688" s="2">
        <f t="shared" si="93"/>
        <v>-0.15686493039526542</v>
      </c>
      <c r="BI688" s="2">
        <f t="shared" si="94"/>
        <v>0.54420784449983994</v>
      </c>
    </row>
    <row r="689" spans="6:61" x14ac:dyDescent="0.3">
      <c r="F689" s="31">
        <v>1958.91666666893</v>
      </c>
      <c r="G689" s="2">
        <v>0.77424665957698935</v>
      </c>
      <c r="H689" s="2">
        <v>6.1499999999999846E-2</v>
      </c>
      <c r="I689" s="2">
        <v>4.7616169563984734E-2</v>
      </c>
      <c r="K689" s="31">
        <v>1958.91666666893</v>
      </c>
      <c r="L689" s="2">
        <v>0.82200230178859446</v>
      </c>
      <c r="M689" s="2">
        <v>9.2264999999999903E-2</v>
      </c>
      <c r="N689" s="2">
        <v>5.0566165527524728E-2</v>
      </c>
      <c r="P689" s="31">
        <v>1958.91666666893</v>
      </c>
      <c r="Q689" s="2">
        <v>0.7512566218565957</v>
      </c>
      <c r="R689" s="2">
        <v>4.7900000000000303E-2</v>
      </c>
      <c r="S689" s="2">
        <v>2.838900718240223E-2</v>
      </c>
      <c r="U689" s="2">
        <f t="shared" si="95"/>
        <v>0.78250186107405983</v>
      </c>
      <c r="V689" s="2">
        <f t="shared" si="96"/>
        <v>6.722166666666668E-2</v>
      </c>
      <c r="W689" s="2">
        <f t="shared" si="97"/>
        <v>4.2190447424637234E-2</v>
      </c>
      <c r="Y689" s="31">
        <v>1958.91666666893</v>
      </c>
      <c r="Z689" s="2">
        <v>0.2352315273101096</v>
      </c>
      <c r="AA689" s="2">
        <v>-0.78876452892998183</v>
      </c>
      <c r="AB689" s="2">
        <v>-0.63433626622800643</v>
      </c>
      <c r="AD689" s="31">
        <v>1958.91666666893</v>
      </c>
      <c r="AE689" s="2">
        <v>7.5812882304377924E-2</v>
      </c>
      <c r="AF689" s="2">
        <v>6.6874490811640125E-2</v>
      </c>
      <c r="AG689" s="2">
        <v>-0.36198536921520236</v>
      </c>
      <c r="AH689" s="31"/>
      <c r="AI689" s="31">
        <v>1958.91666666893</v>
      </c>
      <c r="AJ689" s="2">
        <v>-0.4882119411903057</v>
      </c>
      <c r="AK689" s="2">
        <v>-1.186702766808877</v>
      </c>
      <c r="AL689" s="2">
        <v>-1.3343723433609236</v>
      </c>
      <c r="AM689" s="31"/>
      <c r="AN689" s="2">
        <f t="shared" si="98"/>
        <v>-5.9055843858606051E-2</v>
      </c>
      <c r="AO689" s="2">
        <f t="shared" si="91"/>
        <v>-0.63619760164240624</v>
      </c>
      <c r="AP689" s="2">
        <f t="shared" si="92"/>
        <v>-0.77689799293471085</v>
      </c>
      <c r="AQ689" s="31"/>
      <c r="AR689" s="31">
        <v>1958.91666666893</v>
      </c>
      <c r="AS689" s="2">
        <v>0.56975286856812934</v>
      </c>
      <c r="AT689" s="2">
        <v>-0.68444756444045252</v>
      </c>
      <c r="AU689" s="2">
        <v>-0.25664544588129984</v>
      </c>
      <c r="AV689" s="31"/>
      <c r="AW689" s="31">
        <v>1958.91666666893</v>
      </c>
      <c r="AX689" s="2">
        <v>0.27729017761876118</v>
      </c>
      <c r="AY689" s="2">
        <v>1.05652496446128</v>
      </c>
      <c r="AZ689" s="2">
        <v>0.13850704211816384</v>
      </c>
      <c r="BA689" s="31"/>
      <c r="BB689" s="31">
        <v>1958.91666666893</v>
      </c>
      <c r="BC689" s="2">
        <v>-0.10473176692648591</v>
      </c>
      <c r="BD689" s="2">
        <v>-1.7765123716427775</v>
      </c>
      <c r="BE689" s="2">
        <v>-1.2213353949386685</v>
      </c>
      <c r="BG689" s="2">
        <f t="shared" si="99"/>
        <v>0.24743709308680154</v>
      </c>
      <c r="BH689" s="2">
        <f t="shared" si="93"/>
        <v>-0.46814499054065006</v>
      </c>
      <c r="BI689" s="2">
        <f t="shared" si="94"/>
        <v>-0.44649126623393487</v>
      </c>
    </row>
    <row r="690" spans="6:61" x14ac:dyDescent="0.3">
      <c r="F690" s="31">
        <v>1958.8333333355999</v>
      </c>
      <c r="G690" s="2"/>
      <c r="H690" s="2"/>
      <c r="I690" s="2"/>
      <c r="K690" s="31">
        <v>1958.8333333355999</v>
      </c>
      <c r="L690" s="2">
        <v>0.8467503071174376</v>
      </c>
      <c r="M690" s="2">
        <v>6.1514999999999952E-2</v>
      </c>
      <c r="N690" s="2">
        <v>5.2088266034754589E-2</v>
      </c>
      <c r="P690" s="31">
        <v>1958.8333333355999</v>
      </c>
      <c r="Q690" s="2">
        <v>0.81589709880877404</v>
      </c>
      <c r="R690" s="2">
        <v>7.1900000000000297E-2</v>
      </c>
      <c r="S690" s="2">
        <v>5.1030985480435956E-2</v>
      </c>
      <c r="U690" s="2">
        <f t="shared" si="95"/>
        <v>0.83132370296310576</v>
      </c>
      <c r="V690" s="2">
        <f t="shared" si="96"/>
        <v>6.6707500000000128E-2</v>
      </c>
      <c r="W690" s="2">
        <f t="shared" si="97"/>
        <v>5.1559625757595276E-2</v>
      </c>
      <c r="Y690" s="31">
        <v>1958.8333333355999</v>
      </c>
      <c r="Z690" s="2"/>
      <c r="AA690" s="2"/>
      <c r="AB690" s="2"/>
      <c r="AD690" s="31">
        <v>1958.8333333355999</v>
      </c>
      <c r="AE690" s="2">
        <v>0.22308224034020993</v>
      </c>
      <c r="AF690" s="2">
        <v>-0.68622224125583742</v>
      </c>
      <c r="AG690" s="2">
        <v>-0.3041077859729579</v>
      </c>
      <c r="AH690" s="31"/>
      <c r="AI690" s="31">
        <v>1958.8333333355999</v>
      </c>
      <c r="AJ690" s="2">
        <v>0.13273234130271752</v>
      </c>
      <c r="AK690" s="2">
        <v>-0.61478205611361436</v>
      </c>
      <c r="AL690" s="2">
        <v>0.49550399203414597</v>
      </c>
      <c r="AM690" s="31"/>
      <c r="AN690" s="2">
        <f t="shared" si="98"/>
        <v>0.17790729082146373</v>
      </c>
      <c r="AO690" s="2">
        <f t="shared" si="91"/>
        <v>-0.65050214868472589</v>
      </c>
      <c r="AP690" s="2">
        <f t="shared" si="92"/>
        <v>9.5698103030594034E-2</v>
      </c>
      <c r="AQ690" s="31"/>
      <c r="AR690" s="31">
        <v>1958.8333333355999</v>
      </c>
      <c r="AS690" s="2"/>
      <c r="AT690" s="2"/>
      <c r="AU690" s="2"/>
      <c r="AV690" s="31"/>
      <c r="AW690" s="31">
        <v>1958.8333333355999</v>
      </c>
      <c r="AX690" s="2">
        <v>0.29017332899458687</v>
      </c>
      <c r="AY690" s="2">
        <v>-0.19138401234735175</v>
      </c>
      <c r="AZ690" s="2">
        <v>0.23360934803732644</v>
      </c>
      <c r="BA690" s="31"/>
      <c r="BB690" s="31">
        <v>1958.8333333355999</v>
      </c>
      <c r="BC690" s="2">
        <v>0.16728170577614529</v>
      </c>
      <c r="BD690" s="2">
        <v>-4.0971152421897278E-2</v>
      </c>
      <c r="BE690" s="2">
        <v>0.55131084755258752</v>
      </c>
      <c r="BG690" s="2">
        <f t="shared" si="99"/>
        <v>0.22872751738536606</v>
      </c>
      <c r="BH690" s="2">
        <f t="shared" si="93"/>
        <v>-0.11617758238462451</v>
      </c>
      <c r="BI690" s="2">
        <f t="shared" si="94"/>
        <v>0.392460097794957</v>
      </c>
    </row>
    <row r="691" spans="6:61" x14ac:dyDescent="0.3">
      <c r="F691" s="31">
        <v>1958.7500000022701</v>
      </c>
      <c r="G691" s="2">
        <v>0.72263661871325169</v>
      </c>
      <c r="H691" s="2">
        <v>6.1499999999999798E-2</v>
      </c>
      <c r="I691" s="2">
        <v>4.4442152050864832E-2</v>
      </c>
      <c r="K691" s="31">
        <v>1958.7500000022701</v>
      </c>
      <c r="L691" s="2">
        <v>0.86799318983784213</v>
      </c>
      <c r="M691" s="2">
        <v>6.1514999999999952E-2</v>
      </c>
      <c r="N691" s="2">
        <v>5.3394804166806531E-2</v>
      </c>
      <c r="P691" s="31">
        <v>1958.7500000022701</v>
      </c>
      <c r="Q691" s="2">
        <v>0.84629376685776092</v>
      </c>
      <c r="R691" s="2">
        <v>7.1900000000000297E-2</v>
      </c>
      <c r="S691" s="2">
        <v>5.5411217934246984E-2</v>
      </c>
      <c r="U691" s="2">
        <f t="shared" si="95"/>
        <v>0.81230785846961828</v>
      </c>
      <c r="V691" s="2">
        <f t="shared" si="96"/>
        <v>6.4971666666666691E-2</v>
      </c>
      <c r="W691" s="2">
        <f t="shared" si="97"/>
        <v>5.108272471730612E-2</v>
      </c>
      <c r="Y691" s="31">
        <v>1958.7500000022701</v>
      </c>
      <c r="Z691" s="2">
        <v>-6.4007421935461009E-2</v>
      </c>
      <c r="AA691" s="2">
        <v>-0.78876452892998272</v>
      </c>
      <c r="AB691" s="2">
        <v>-0.70738386402907127</v>
      </c>
      <c r="AD691" s="31">
        <v>1958.7500000022701</v>
      </c>
      <c r="AE691" s="2">
        <v>0.34949346659844693</v>
      </c>
      <c r="AF691" s="2">
        <v>-0.68622224125583742</v>
      </c>
      <c r="AG691" s="2">
        <v>-0.25442692118261245</v>
      </c>
      <c r="AH691" s="31"/>
      <c r="AI691" s="31">
        <v>1958.7500000022701</v>
      </c>
      <c r="AJ691" s="2">
        <v>0.48983649430676701</v>
      </c>
      <c r="AK691" s="2">
        <v>-0.61478205611361436</v>
      </c>
      <c r="AL691" s="2">
        <v>0.8495050252148173</v>
      </c>
      <c r="AM691" s="31"/>
      <c r="AN691" s="2">
        <f t="shared" si="98"/>
        <v>0.25844084632325098</v>
      </c>
      <c r="AO691" s="2">
        <f t="shared" si="91"/>
        <v>-0.69658960876647813</v>
      </c>
      <c r="AP691" s="2">
        <f t="shared" si="92"/>
        <v>-3.7435253332288809E-2</v>
      </c>
      <c r="AQ691" s="31"/>
      <c r="AR691" s="31">
        <v>1958.7500000022701</v>
      </c>
      <c r="AS691" s="2">
        <v>-0.15728589400967585</v>
      </c>
      <c r="AT691" s="2">
        <v>-0.67664761419445274</v>
      </c>
      <c r="AU691" s="2">
        <v>-0.59161197574502544</v>
      </c>
      <c r="AV691" s="31"/>
      <c r="AW691" s="31">
        <v>1958.7500000022701</v>
      </c>
      <c r="AX691" s="2">
        <v>0.46208242742692163</v>
      </c>
      <c r="AY691" s="2">
        <v>-0.6564669997761764</v>
      </c>
      <c r="AZ691" s="2">
        <v>-6.2914600017961356E-2</v>
      </c>
      <c r="BA691" s="31"/>
      <c r="BB691" s="31">
        <v>1958.7500000022701</v>
      </c>
      <c r="BC691" s="2">
        <v>0.43776667186332685</v>
      </c>
      <c r="BD691" s="2">
        <v>-0.59144451954684485</v>
      </c>
      <c r="BE691" s="2">
        <v>0.58255229681464904</v>
      </c>
      <c r="BG691" s="2">
        <f t="shared" si="99"/>
        <v>0.24752106842685753</v>
      </c>
      <c r="BH691" s="2">
        <f t="shared" si="93"/>
        <v>-0.64151971117249129</v>
      </c>
      <c r="BI691" s="2">
        <f t="shared" si="94"/>
        <v>-2.399142631611258E-2</v>
      </c>
    </row>
    <row r="692" spans="6:61" x14ac:dyDescent="0.3">
      <c r="F692" s="31">
        <v>1958.66666666894</v>
      </c>
      <c r="G692" s="2">
        <v>0.89778309225795216</v>
      </c>
      <c r="H692" s="2">
        <v>6.1499999999999902E-2</v>
      </c>
      <c r="I692" s="2">
        <v>5.521366017386397E-2</v>
      </c>
      <c r="K692" s="31">
        <v>1958.66666666894</v>
      </c>
      <c r="L692" s="2">
        <v>0.9007619032875277</v>
      </c>
      <c r="M692" s="2">
        <v>9.2264999999999903E-2</v>
      </c>
      <c r="N692" s="2">
        <v>5.5410179741106451E-2</v>
      </c>
      <c r="P692" s="31">
        <v>1958.66666666894</v>
      </c>
      <c r="Q692" s="2">
        <v>0.83905951073215534</v>
      </c>
      <c r="R692" s="2">
        <v>4.7900000000000303E-2</v>
      </c>
      <c r="S692" s="2">
        <v>3.3200987933969549E-2</v>
      </c>
      <c r="U692" s="2">
        <f t="shared" si="95"/>
        <v>0.87920150209254511</v>
      </c>
      <c r="V692" s="2">
        <f t="shared" si="96"/>
        <v>6.7221666666666693E-2</v>
      </c>
      <c r="W692" s="2">
        <f t="shared" si="97"/>
        <v>4.794160928297999E-2</v>
      </c>
      <c r="Y692" s="31">
        <v>1958.66666666894</v>
      </c>
      <c r="Z692" s="2">
        <v>0.95150517659084943</v>
      </c>
      <c r="AA692" s="2">
        <v>-0.78876452892998072</v>
      </c>
      <c r="AB692" s="2">
        <v>-0.45948580113958021</v>
      </c>
      <c r="AD692" s="31">
        <v>1958.66666666894</v>
      </c>
      <c r="AE692" s="2">
        <v>0.54449210706548101</v>
      </c>
      <c r="AF692" s="2">
        <v>6.6874490811640125E-2</v>
      </c>
      <c r="AG692" s="2">
        <v>-0.17779264702537068</v>
      </c>
      <c r="AH692" s="31"/>
      <c r="AI692" s="31">
        <v>1958.66666666894</v>
      </c>
      <c r="AJ692" s="2">
        <v>0.16681266678476106</v>
      </c>
      <c r="AK692" s="2">
        <v>-1.186702766808877</v>
      </c>
      <c r="AL692" s="2">
        <v>-0.94547833472942999</v>
      </c>
      <c r="AM692" s="31"/>
      <c r="AN692" s="2">
        <f t="shared" si="98"/>
        <v>0.55426998348036383</v>
      </c>
      <c r="AO692" s="2">
        <f t="shared" si="91"/>
        <v>-0.63619760164240591</v>
      </c>
      <c r="AP692" s="2">
        <f t="shared" si="92"/>
        <v>-0.52758559429812701</v>
      </c>
      <c r="AQ692" s="31"/>
      <c r="AR692" s="31">
        <v>1958.66666666894</v>
      </c>
      <c r="AS692" s="2">
        <v>0.37572880795198332</v>
      </c>
      <c r="AT692" s="2">
        <v>-0.32631334910519749</v>
      </c>
      <c r="AU692" s="2">
        <v>-7.9010787246639673E-4</v>
      </c>
      <c r="AV692" s="31"/>
      <c r="AW692" s="31">
        <v>1958.66666666894</v>
      </c>
      <c r="AX692" s="2">
        <v>0.25375224581900813</v>
      </c>
      <c r="AY692" s="2">
        <v>1.1124047876457037</v>
      </c>
      <c r="AZ692" s="2">
        <v>0.23813587061763519</v>
      </c>
      <c r="BA692" s="31"/>
      <c r="BB692" s="31">
        <v>1958.66666666894</v>
      </c>
      <c r="BC692" s="2">
        <v>-0.11887338559025884</v>
      </c>
      <c r="BD692" s="2">
        <v>-1.0289872901111137</v>
      </c>
      <c r="BE692" s="2">
        <v>-0.87121964708136945</v>
      </c>
      <c r="BG692" s="2">
        <f t="shared" si="99"/>
        <v>0.17020255606024418</v>
      </c>
      <c r="BH692" s="2">
        <f t="shared" si="93"/>
        <v>-8.0965283856869144E-2</v>
      </c>
      <c r="BI692" s="2">
        <f t="shared" si="94"/>
        <v>-0.21129129477873354</v>
      </c>
    </row>
    <row r="693" spans="6:61" x14ac:dyDescent="0.3">
      <c r="F693" s="31">
        <v>1958.58333333561</v>
      </c>
      <c r="G693" s="2">
        <v>0.75420347606407079</v>
      </c>
      <c r="H693" s="2">
        <v>6.1499999999999798E-2</v>
      </c>
      <c r="I693" s="2">
        <v>4.63835137779402E-2</v>
      </c>
      <c r="K693" s="31">
        <v>1958.58333333561</v>
      </c>
      <c r="L693" s="2">
        <v>0.95367774442775421</v>
      </c>
      <c r="M693" s="2">
        <v>6.1514999999999952E-2</v>
      </c>
      <c r="N693" s="2">
        <v>5.8665025827634165E-2</v>
      </c>
      <c r="P693" s="31">
        <v>1958.58333333561</v>
      </c>
      <c r="Q693" s="2">
        <v>0.8051099105059023</v>
      </c>
      <c r="R693" s="2">
        <v>7.1900000000000297E-2</v>
      </c>
      <c r="S693" s="2">
        <v>6.1032528732421008E-2</v>
      </c>
      <c r="U693" s="2">
        <f t="shared" si="95"/>
        <v>0.83766371033257581</v>
      </c>
      <c r="V693" s="2">
        <f t="shared" si="96"/>
        <v>6.4971666666666691E-2</v>
      </c>
      <c r="W693" s="2">
        <f t="shared" si="97"/>
        <v>5.5360356112665127E-2</v>
      </c>
      <c r="Y693" s="31">
        <v>1958.58333333561</v>
      </c>
      <c r="Z693" s="2">
        <v>0.11901962215434347</v>
      </c>
      <c r="AA693" s="2">
        <v>-0.78876452892998272</v>
      </c>
      <c r="AB693" s="2">
        <v>-0.66270490115643477</v>
      </c>
      <c r="AD693" s="31">
        <v>1958.58333333561</v>
      </c>
      <c r="AE693" s="2">
        <v>0.85938140222676962</v>
      </c>
      <c r="AF693" s="2">
        <v>-0.68622224125583742</v>
      </c>
      <c r="AG693" s="2">
        <v>-5.402774160756256E-2</v>
      </c>
      <c r="AH693" s="31"/>
      <c r="AI693" s="31">
        <v>1958.58333333561</v>
      </c>
      <c r="AJ693" s="2">
        <v>0.96728576413721279</v>
      </c>
      <c r="AK693" s="2">
        <v>-0.61478205611361436</v>
      </c>
      <c r="AL693" s="2">
        <v>1.3038073599349553</v>
      </c>
      <c r="AM693" s="31"/>
      <c r="AN693" s="2">
        <f t="shared" si="98"/>
        <v>0.64856226283944196</v>
      </c>
      <c r="AO693" s="2">
        <f t="shared" si="91"/>
        <v>-0.69658960876647813</v>
      </c>
      <c r="AP693" s="2">
        <f t="shared" si="92"/>
        <v>0.19569157239031934</v>
      </c>
      <c r="AQ693" s="31"/>
      <c r="AR693" s="31">
        <v>1958.58333333561</v>
      </c>
      <c r="AS693" s="2">
        <v>-0.37141015209238493</v>
      </c>
      <c r="AT693" s="2">
        <v>-0.65870957567408839</v>
      </c>
      <c r="AU693" s="2">
        <v>-0.64610001117131322</v>
      </c>
      <c r="AV693" s="31"/>
      <c r="AW693" s="31">
        <v>1958.58333333561</v>
      </c>
      <c r="AX693" s="2">
        <v>0.71934554264770845</v>
      </c>
      <c r="AY693" s="2">
        <v>-0.53553372549108424</v>
      </c>
      <c r="AZ693" s="2">
        <v>0.44883717064317619</v>
      </c>
      <c r="BA693" s="31"/>
      <c r="BB693" s="31">
        <v>1958.58333333561</v>
      </c>
      <c r="BC693" s="2">
        <v>0.34553504079053882</v>
      </c>
      <c r="BD693" s="2">
        <v>-0.51613739712758211</v>
      </c>
      <c r="BE693" s="2">
        <v>0.51459555381752708</v>
      </c>
      <c r="BG693" s="2">
        <f t="shared" si="99"/>
        <v>0.2311568104486208</v>
      </c>
      <c r="BH693" s="2">
        <f t="shared" si="93"/>
        <v>-0.57012689943091821</v>
      </c>
      <c r="BI693" s="2">
        <f t="shared" si="94"/>
        <v>0.10577757109646335</v>
      </c>
    </row>
    <row r="694" spans="6:61" x14ac:dyDescent="0.3">
      <c r="F694" s="31">
        <v>1958.5000000022801</v>
      </c>
      <c r="G694" s="2"/>
      <c r="H694" s="2"/>
      <c r="I694" s="2"/>
      <c r="K694" s="31">
        <v>1958.5000000022801</v>
      </c>
      <c r="L694" s="2">
        <v>1.0052087991504226</v>
      </c>
      <c r="M694" s="2">
        <v>6.1514999999999952E-2</v>
      </c>
      <c r="N694" s="2">
        <v>6.183494573414372E-2</v>
      </c>
      <c r="P694" s="31">
        <v>1958.5000000022801</v>
      </c>
      <c r="Q694" s="2">
        <v>0.68826791519910069</v>
      </c>
      <c r="R694" s="2"/>
      <c r="S694" s="2"/>
      <c r="U694" s="2">
        <f t="shared" si="95"/>
        <v>0.84673835717476165</v>
      </c>
      <c r="V694" s="2">
        <f t="shared" si="96"/>
        <v>6.1514999999999952E-2</v>
      </c>
      <c r="W694" s="2">
        <f t="shared" si="97"/>
        <v>6.183494573414372E-2</v>
      </c>
      <c r="Y694" s="31">
        <v>1958.5000000022801</v>
      </c>
      <c r="Z694" s="2"/>
      <c r="AA694" s="2"/>
      <c r="AB694" s="2"/>
      <c r="AD694" s="31">
        <v>1958.5000000022801</v>
      </c>
      <c r="AE694" s="2">
        <v>1.1660301703629228</v>
      </c>
      <c r="AF694" s="2">
        <v>-0.68622224125583742</v>
      </c>
      <c r="AG694" s="2">
        <v>6.6507861914543248E-2</v>
      </c>
      <c r="AH694" s="31"/>
      <c r="AI694" s="31">
        <v>1958.5000000022801</v>
      </c>
      <c r="AJ694" s="2"/>
      <c r="AK694" s="2"/>
      <c r="AL694" s="2"/>
      <c r="AM694" s="31"/>
      <c r="AN694" s="2">
        <f t="shared" si="98"/>
        <v>1.1660301703629228</v>
      </c>
      <c r="AO694" s="2">
        <f t="shared" si="91"/>
        <v>-0.68622224125583742</v>
      </c>
      <c r="AP694" s="2">
        <f t="shared" si="92"/>
        <v>6.6507861914543248E-2</v>
      </c>
      <c r="AQ694" s="31"/>
      <c r="AR694" s="31">
        <v>1958.5000000022801</v>
      </c>
      <c r="AS694" s="2"/>
      <c r="AT694" s="2"/>
      <c r="AU694" s="2"/>
      <c r="AV694" s="31"/>
      <c r="AW694" s="31">
        <v>1958.5000000022801</v>
      </c>
      <c r="AX694" s="2">
        <v>0.25230101387637999</v>
      </c>
      <c r="AY694" s="2">
        <v>-0.10780241638246968</v>
      </c>
      <c r="AZ694" s="2">
        <v>0.25253214742382057</v>
      </c>
      <c r="BA694" s="31"/>
      <c r="BB694" s="31">
        <v>1958.5000000022801</v>
      </c>
      <c r="BC694" s="2"/>
      <c r="BD694" s="2"/>
      <c r="BE694" s="2"/>
      <c r="BG694" s="2">
        <f t="shared" si="99"/>
        <v>0.25230101387637999</v>
      </c>
      <c r="BH694" s="2">
        <f t="shared" si="93"/>
        <v>-0.10780241638246968</v>
      </c>
      <c r="BI694" s="2">
        <f t="shared" si="94"/>
        <v>0.25253214742382057</v>
      </c>
    </row>
    <row r="695" spans="6:61" x14ac:dyDescent="0.3">
      <c r="F695" s="31">
        <v>1958.41666666895</v>
      </c>
      <c r="G695" s="2">
        <v>0.81255169976568831</v>
      </c>
      <c r="H695" s="2">
        <v>0.2152499999999995</v>
      </c>
      <c r="I695" s="2">
        <v>0.17629794090713763</v>
      </c>
      <c r="K695" s="31">
        <v>1958.41666666895</v>
      </c>
      <c r="L695" s="2">
        <v>1.0612425310869353</v>
      </c>
      <c r="M695" s="2">
        <v>0.15377999999999986</v>
      </c>
      <c r="N695" s="2">
        <v>9.7752835563853877E-2</v>
      </c>
      <c r="P695" s="31">
        <v>1958.41666666895</v>
      </c>
      <c r="Q695" s="2">
        <v>0.76116168150272445</v>
      </c>
      <c r="R695" s="2">
        <v>0.14380000000000059</v>
      </c>
      <c r="S695" s="2">
        <v>6.340307778134506E-2</v>
      </c>
      <c r="U695" s="2">
        <f t="shared" si="95"/>
        <v>0.87831863745178274</v>
      </c>
      <c r="V695" s="2">
        <f t="shared" si="96"/>
        <v>0.17094333333333331</v>
      </c>
      <c r="W695" s="2">
        <f t="shared" si="97"/>
        <v>0.11248461808411218</v>
      </c>
      <c r="Y695" s="31">
        <v>1958.41666666895</v>
      </c>
      <c r="Z695" s="2">
        <v>0.45732706889549385</v>
      </c>
      <c r="AA695" s="2">
        <v>2.2135512753475539</v>
      </c>
      <c r="AB695" s="2">
        <v>2.3271767810530677</v>
      </c>
      <c r="AD695" s="31">
        <v>1958.41666666895</v>
      </c>
      <c r="AE695" s="2">
        <v>1.4994732750087985</v>
      </c>
      <c r="AF695" s="2">
        <v>1.5734353192061419</v>
      </c>
      <c r="AG695" s="2">
        <v>1.4322788137212621</v>
      </c>
      <c r="AH695" s="31"/>
      <c r="AI695" s="31">
        <v>1958.41666666895</v>
      </c>
      <c r="AJ695" s="2">
        <v>1.1418970700232454</v>
      </c>
      <c r="AK695" s="2">
        <v>1.0985970730109507</v>
      </c>
      <c r="AL695" s="2">
        <v>1.4953900718968387</v>
      </c>
      <c r="AM695" s="31"/>
      <c r="AN695" s="2">
        <f t="shared" si="98"/>
        <v>1.0328991379758461</v>
      </c>
      <c r="AO695" s="2">
        <f t="shared" si="91"/>
        <v>1.6285278891882153</v>
      </c>
      <c r="AP695" s="2">
        <f t="shared" si="92"/>
        <v>1.7516152222237229</v>
      </c>
      <c r="AQ695" s="31"/>
      <c r="AR695" s="31">
        <v>1958.41666666895</v>
      </c>
      <c r="AS695" s="2">
        <v>-0.14534429320891079</v>
      </c>
      <c r="AT695" s="2">
        <v>0.9738389001429214</v>
      </c>
      <c r="AU695" s="2">
        <v>0.63385063984794177</v>
      </c>
      <c r="AV695" s="31"/>
      <c r="AW695" s="31">
        <v>1958.41666666895</v>
      </c>
      <c r="AX695" s="2">
        <v>1.083677854694997</v>
      </c>
      <c r="AY695" s="2">
        <v>0.24826500666177614</v>
      </c>
      <c r="AZ695" s="2">
        <v>0.27720078749860411</v>
      </c>
      <c r="BA695" s="31"/>
      <c r="BB695" s="31">
        <v>1958.41666666895</v>
      </c>
      <c r="BC695" s="2">
        <v>0.44722445498797914</v>
      </c>
      <c r="BD695" s="2">
        <v>-0.3489924073651578</v>
      </c>
      <c r="BE695" s="2">
        <v>0.66051977820297758</v>
      </c>
      <c r="BG695" s="2">
        <f t="shared" si="99"/>
        <v>0.46185267215802178</v>
      </c>
      <c r="BH695" s="2">
        <f t="shared" si="93"/>
        <v>0.29103716647984657</v>
      </c>
      <c r="BI695" s="2">
        <f t="shared" si="94"/>
        <v>0.52385706851650782</v>
      </c>
    </row>
    <row r="696" spans="6:61" x14ac:dyDescent="0.3">
      <c r="F696" s="31">
        <v>1958.33333333562</v>
      </c>
      <c r="G696" s="2">
        <v>0.69011363040685381</v>
      </c>
      <c r="H696" s="2">
        <v>0.18449999999999955</v>
      </c>
      <c r="I696" s="2">
        <v>0.12732596481006422</v>
      </c>
      <c r="K696" s="31">
        <v>1958.33333333562</v>
      </c>
      <c r="L696" s="2">
        <v>0.97325211993038252</v>
      </c>
      <c r="M696" s="2">
        <v>0.15377999999999986</v>
      </c>
      <c r="N696" s="2">
        <v>9.1828587560348202E-2</v>
      </c>
      <c r="P696" s="31">
        <v>1958.33333333562</v>
      </c>
      <c r="Q696" s="2">
        <v>0.73286152107897529</v>
      </c>
      <c r="R696" s="2">
        <v>9.5850000000000463E-2</v>
      </c>
      <c r="S696" s="2">
        <v>5.9953909401797248E-2</v>
      </c>
      <c r="U696" s="2">
        <f t="shared" si="95"/>
        <v>0.79874242380540394</v>
      </c>
      <c r="V696" s="2">
        <f t="shared" si="96"/>
        <v>0.14470999999999998</v>
      </c>
      <c r="W696" s="2">
        <f t="shared" si="97"/>
        <v>9.30361539240699E-2</v>
      </c>
      <c r="Y696" s="31">
        <v>1958.33333333562</v>
      </c>
      <c r="Z696" s="2">
        <v>-0.25257818615608185</v>
      </c>
      <c r="AA696" s="2">
        <v>1.6130881144920466</v>
      </c>
      <c r="AB696" s="2">
        <v>1.2001240163233349</v>
      </c>
      <c r="AD696" s="31">
        <v>1958.33333333562</v>
      </c>
      <c r="AE696" s="2">
        <v>0.97586374801262055</v>
      </c>
      <c r="AF696" s="2">
        <v>1.5734353192061419</v>
      </c>
      <c r="AG696" s="2">
        <v>1.2070104064499017</v>
      </c>
      <c r="AH696" s="31"/>
      <c r="AI696" s="31">
        <v>1958.33333333562</v>
      </c>
      <c r="AJ696" s="2">
        <v>0.86352344754275445</v>
      </c>
      <c r="AK696" s="2">
        <v>-4.4052846898962821E-2</v>
      </c>
      <c r="AL696" s="2">
        <v>1.2166356489639447</v>
      </c>
      <c r="AM696" s="31"/>
      <c r="AN696" s="2">
        <f t="shared" si="98"/>
        <v>0.52893633646643101</v>
      </c>
      <c r="AO696" s="2">
        <f t="shared" si="91"/>
        <v>1.0474901955997418</v>
      </c>
      <c r="AP696" s="2">
        <f t="shared" si="92"/>
        <v>1.2079233572457271</v>
      </c>
      <c r="AQ696" s="31"/>
      <c r="AR696" s="31">
        <v>1958.33333333562</v>
      </c>
      <c r="AS696" s="2">
        <v>-0.42636790365322869</v>
      </c>
      <c r="AT696" s="2">
        <v>0.58792153404252323</v>
      </c>
      <c r="AU696" s="2">
        <v>0.29216703475759281</v>
      </c>
      <c r="AV696" s="31"/>
      <c r="AW696" s="31">
        <v>1958.33333333562</v>
      </c>
      <c r="AX696" s="2">
        <v>0.77833517078690218</v>
      </c>
      <c r="AY696" s="2">
        <v>0.72937496404377411</v>
      </c>
      <c r="AZ696" s="2">
        <v>0.50500769218236441</v>
      </c>
      <c r="BA696" s="31"/>
      <c r="BB696" s="31">
        <v>1958.33333333562</v>
      </c>
      <c r="BC696" s="2">
        <v>0.71482187233184447</v>
      </c>
      <c r="BD696" s="2">
        <v>-0.7363458413185221</v>
      </c>
      <c r="BE696" s="2">
        <v>0.93540837724384263</v>
      </c>
      <c r="BG696" s="2">
        <f t="shared" si="99"/>
        <v>0.35559637982183934</v>
      </c>
      <c r="BH696" s="2">
        <f t="shared" si="93"/>
        <v>0.19365021892259174</v>
      </c>
      <c r="BI696" s="2">
        <f t="shared" si="94"/>
        <v>0.57752770139459997</v>
      </c>
    </row>
    <row r="697" spans="6:61" x14ac:dyDescent="0.3">
      <c r="F697" s="31">
        <v>1958.2500000022901</v>
      </c>
      <c r="G697" s="2">
        <v>0.63453336539345662</v>
      </c>
      <c r="H697" s="2">
        <v>0.18449999999999955</v>
      </c>
      <c r="I697" s="2">
        <v>0.11707140591509245</v>
      </c>
      <c r="K697" s="31">
        <v>1958.2500000022901</v>
      </c>
      <c r="L697" s="2">
        <v>0.88565049413688768</v>
      </c>
      <c r="M697" s="2">
        <v>0.15377999999999986</v>
      </c>
      <c r="N697" s="2">
        <v>8.3297446881389112E-2</v>
      </c>
      <c r="P697" s="31">
        <v>1958.2500000022901</v>
      </c>
      <c r="Q697" s="2">
        <v>0.71041213530808511</v>
      </c>
      <c r="R697" s="2">
        <v>0.14380000000000059</v>
      </c>
      <c r="S697" s="2">
        <v>5.5809841509886722E-2</v>
      </c>
      <c r="U697" s="2">
        <f t="shared" si="95"/>
        <v>0.74353199827947647</v>
      </c>
      <c r="V697" s="2">
        <f t="shared" si="96"/>
        <v>0.16069333333333333</v>
      </c>
      <c r="W697" s="2">
        <f t="shared" si="97"/>
        <v>8.5392898102122763E-2</v>
      </c>
      <c r="Y697" s="31">
        <v>1958.2500000022901</v>
      </c>
      <c r="Z697" s="2">
        <v>-0.57483679752418826</v>
      </c>
      <c r="AA697" s="2">
        <v>1.6130881144920466</v>
      </c>
      <c r="AB697" s="2">
        <v>0.96412314654523146</v>
      </c>
      <c r="AD697" s="31">
        <v>1958.2500000022901</v>
      </c>
      <c r="AE697" s="2">
        <v>0.45456778811288029</v>
      </c>
      <c r="AF697" s="2">
        <v>1.5734353192061419</v>
      </c>
      <c r="AG697" s="2">
        <v>0.88261539938405931</v>
      </c>
      <c r="AH697" s="31"/>
      <c r="AI697" s="31">
        <v>1958.2500000022901</v>
      </c>
      <c r="AJ697" s="2">
        <v>0.51812992783758638</v>
      </c>
      <c r="AK697" s="2">
        <v>1.0985970730109507</v>
      </c>
      <c r="AL697" s="2">
        <v>0.88172093136013274</v>
      </c>
      <c r="AM697" s="31"/>
      <c r="AN697" s="2">
        <f t="shared" si="98"/>
        <v>0.13262030614209278</v>
      </c>
      <c r="AO697" s="2">
        <f t="shared" si="91"/>
        <v>1.4283735022363795</v>
      </c>
      <c r="AP697" s="2">
        <f t="shared" si="92"/>
        <v>0.90948649242980784</v>
      </c>
      <c r="AQ697" s="31"/>
      <c r="AR697" s="31">
        <v>1958.2500000022901</v>
      </c>
      <c r="AS697" s="2">
        <v>-0.51551312813403982</v>
      </c>
      <c r="AT697" s="2">
        <v>0.61938737125940746</v>
      </c>
      <c r="AU697" s="2">
        <v>0.15187992264227851</v>
      </c>
      <c r="AV697" s="31"/>
      <c r="AW697" s="31">
        <v>1958.2500000022901</v>
      </c>
      <c r="AX697" s="2">
        <v>0.51781464467931704</v>
      </c>
      <c r="AY697" s="2">
        <v>0.5591995610722349</v>
      </c>
      <c r="AZ697" s="2">
        <v>0.14323995689139452</v>
      </c>
      <c r="BA697" s="31"/>
      <c r="BB697" s="31">
        <v>1958.2500000022901</v>
      </c>
      <c r="BC697" s="2">
        <v>0.88548292199062728</v>
      </c>
      <c r="BD697" s="2">
        <v>3.3388824798885192E-2</v>
      </c>
      <c r="BE697" s="2">
        <v>1.0736571278463025</v>
      </c>
      <c r="BG697" s="2">
        <f t="shared" si="99"/>
        <v>0.29592814617863483</v>
      </c>
      <c r="BH697" s="2">
        <f t="shared" si="93"/>
        <v>0.40399191904350912</v>
      </c>
      <c r="BI697" s="2">
        <f t="shared" si="94"/>
        <v>0.45625900245999179</v>
      </c>
    </row>
    <row r="698" spans="6:61" x14ac:dyDescent="0.3">
      <c r="F698" s="31">
        <v>1958.16666666896</v>
      </c>
      <c r="G698" s="2">
        <v>0.61171036503707243</v>
      </c>
      <c r="H698" s="2">
        <v>0.18449999999999955</v>
      </c>
      <c r="I698" s="2">
        <v>0.11286056234933958</v>
      </c>
      <c r="K698" s="31">
        <v>1958.16666666896</v>
      </c>
      <c r="L698" s="2">
        <v>0.83378824607575153</v>
      </c>
      <c r="M698" s="2">
        <v>0.15377999999999986</v>
      </c>
      <c r="N698" s="2">
        <v>7.8055636678432044E-2</v>
      </c>
      <c r="P698" s="31">
        <v>1958.16666666896</v>
      </c>
      <c r="Q698" s="2"/>
      <c r="R698" s="2">
        <v>7.1900000000000297E-2</v>
      </c>
      <c r="S698" s="2">
        <v>5.2757701957459713E-2</v>
      </c>
      <c r="U698" s="2">
        <f t="shared" si="95"/>
        <v>0.72274930555641204</v>
      </c>
      <c r="V698" s="2">
        <f t="shared" si="96"/>
        <v>0.13672666666666658</v>
      </c>
      <c r="W698" s="2">
        <f t="shared" si="97"/>
        <v>8.1224633661743775E-2</v>
      </c>
      <c r="Y698" s="31">
        <v>1958.16666666896</v>
      </c>
      <c r="Z698" s="2">
        <v>-0.70716629254061758</v>
      </c>
      <c r="AA698" s="2">
        <v>1.6130881144920466</v>
      </c>
      <c r="AB698" s="2">
        <v>0.8672137861138931</v>
      </c>
      <c r="AD698" s="31">
        <v>1958.16666666896</v>
      </c>
      <c r="AE698" s="2">
        <v>0.14594816900535423</v>
      </c>
      <c r="AF698" s="2">
        <v>1.5734353192061419</v>
      </c>
      <c r="AG698" s="2">
        <v>0.68329656010856687</v>
      </c>
      <c r="AH698" s="31"/>
      <c r="AI698" s="31">
        <v>1958.16666666896</v>
      </c>
      <c r="AJ698" s="2">
        <v>0.27948951230845415</v>
      </c>
      <c r="AK698" s="2">
        <v>-0.61478205611361436</v>
      </c>
      <c r="AL698" s="2">
        <v>0.63505353040274826</v>
      </c>
      <c r="AM698" s="31"/>
      <c r="AN698" s="2">
        <f t="shared" si="98"/>
        <v>-9.3909537075603067E-2</v>
      </c>
      <c r="AO698" s="2">
        <f t="shared" si="91"/>
        <v>0.85724712586152474</v>
      </c>
      <c r="AP698" s="2">
        <f t="shared" si="92"/>
        <v>0.72852129220840267</v>
      </c>
      <c r="AQ698" s="31"/>
      <c r="AR698" s="31">
        <v>1958.16666666896</v>
      </c>
      <c r="AS698" s="2">
        <v>-0.38111975328404879</v>
      </c>
      <c r="AT698" s="2">
        <v>0.80409366606843224</v>
      </c>
      <c r="AU698" s="2">
        <v>0.37843137804744048</v>
      </c>
      <c r="AV698" s="31"/>
      <c r="AW698" s="31">
        <v>1958.16666666896</v>
      </c>
      <c r="AX698" s="2">
        <v>0.32256313115233054</v>
      </c>
      <c r="AY698" s="2">
        <v>0.86425175705807289</v>
      </c>
      <c r="AZ698" s="2">
        <v>0.37433196059680524</v>
      </c>
      <c r="BA698" s="31"/>
      <c r="BB698" s="31">
        <v>1958.16666666896</v>
      </c>
      <c r="BC698" s="2">
        <v>0.94346336806334874</v>
      </c>
      <c r="BD698" s="2">
        <v>-1.0055477933738932</v>
      </c>
      <c r="BE698" s="2">
        <v>1.2246297004570581</v>
      </c>
      <c r="BG698" s="2">
        <f t="shared" si="99"/>
        <v>0.29496891531054353</v>
      </c>
      <c r="BH698" s="2">
        <f t="shared" si="93"/>
        <v>0.22093254325087064</v>
      </c>
      <c r="BI698" s="2">
        <f t="shared" si="94"/>
        <v>0.65913101303376787</v>
      </c>
    </row>
    <row r="699" spans="6:61" x14ac:dyDescent="0.3">
      <c r="F699" s="31">
        <v>1958.08333333563</v>
      </c>
      <c r="G699" s="2">
        <v>0.58505247997245058</v>
      </c>
      <c r="H699" s="2">
        <v>6.1499999999999846E-2</v>
      </c>
      <c r="I699" s="2">
        <v>3.5980727518305618E-2</v>
      </c>
      <c r="K699" s="31">
        <v>1958.08333333563</v>
      </c>
      <c r="L699" s="2">
        <v>0.80568989665203872</v>
      </c>
      <c r="M699" s="2">
        <v>0.1230299999999999</v>
      </c>
      <c r="N699" s="2">
        <v>7.4976260678703832E-2</v>
      </c>
      <c r="P699" s="31">
        <v>1958.08333333563</v>
      </c>
      <c r="Q699" s="2">
        <v>0.70141902249809507</v>
      </c>
      <c r="R699" s="2">
        <v>9.5850000000000463E-2</v>
      </c>
      <c r="S699" s="2">
        <v>5.177991059746536E-2</v>
      </c>
      <c r="U699" s="2">
        <f t="shared" si="95"/>
        <v>0.69738713304086153</v>
      </c>
      <c r="V699" s="2">
        <f t="shared" si="96"/>
        <v>9.3460000000000057E-2</v>
      </c>
      <c r="W699" s="2">
        <f t="shared" si="97"/>
        <v>5.4245632931491601E-2</v>
      </c>
      <c r="Y699" s="31">
        <v>1958.08333333563</v>
      </c>
      <c r="Z699" s="2">
        <v>-0.86173074128631699</v>
      </c>
      <c r="AA699" s="2">
        <v>-0.78876452892998183</v>
      </c>
      <c r="AB699" s="2">
        <v>-0.90211711093888414</v>
      </c>
      <c r="AD699" s="31">
        <v>1958.08333333563</v>
      </c>
      <c r="AE699" s="2">
        <v>-2.1258271534478571E-2</v>
      </c>
      <c r="AF699" s="2">
        <v>0.82033858713866403</v>
      </c>
      <c r="AG699" s="2">
        <v>0.56620387147737883</v>
      </c>
      <c r="AH699" s="31"/>
      <c r="AI699" s="31">
        <v>1958.08333333563</v>
      </c>
      <c r="AJ699" s="2">
        <v>0.20661273878562678</v>
      </c>
      <c r="AK699" s="2">
        <v>-4.4052846898962821E-2</v>
      </c>
      <c r="AL699" s="2">
        <v>0.55603052070563141</v>
      </c>
      <c r="AM699" s="31"/>
      <c r="AN699" s="2">
        <f t="shared" si="98"/>
        <v>-0.22545875801172291</v>
      </c>
      <c r="AO699" s="2">
        <f t="shared" si="91"/>
        <v>-4.159596230093543E-3</v>
      </c>
      <c r="AP699" s="2">
        <f t="shared" si="92"/>
        <v>7.3372427081375369E-2</v>
      </c>
      <c r="AQ699" s="31"/>
      <c r="AR699" s="31">
        <v>1958.08333333563</v>
      </c>
      <c r="AS699" s="2">
        <v>-0.43309569633510836</v>
      </c>
      <c r="AT699" s="2">
        <v>-0.93050162247170598</v>
      </c>
      <c r="AU699" s="2">
        <v>-0.94263774948578805</v>
      </c>
      <c r="AV699" s="31"/>
      <c r="AW699" s="31">
        <v>1958.08333333563</v>
      </c>
      <c r="AX699" s="2">
        <v>0.30249304761956219</v>
      </c>
      <c r="AY699" s="2">
        <v>1.9921056283099188</v>
      </c>
      <c r="AZ699" s="2">
        <v>1.6027668251068703</v>
      </c>
      <c r="BA699" s="31"/>
      <c r="BB699" s="31">
        <v>1958.08333333563</v>
      </c>
      <c r="BC699" s="2">
        <v>0.98196446179974628</v>
      </c>
      <c r="BD699" s="2">
        <v>-1.4615836317459097E-2</v>
      </c>
      <c r="BE699" s="2">
        <v>1.1121541499646632</v>
      </c>
      <c r="BG699" s="2">
        <f t="shared" si="99"/>
        <v>0.28378727102806672</v>
      </c>
      <c r="BH699" s="2">
        <f t="shared" si="93"/>
        <v>0.3489960565069179</v>
      </c>
      <c r="BI699" s="2">
        <f t="shared" si="94"/>
        <v>0.59076107519524845</v>
      </c>
    </row>
    <row r="700" spans="6:61" x14ac:dyDescent="0.3">
      <c r="F700" s="31">
        <v>1958.0000000023001</v>
      </c>
      <c r="G700" s="2">
        <v>0.59196006561176517</v>
      </c>
      <c r="H700" s="2">
        <v>6.1499999999999846E-2</v>
      </c>
      <c r="I700" s="2">
        <v>3.6405544035123472E-2</v>
      </c>
      <c r="K700" s="31">
        <v>1958.0000000023001</v>
      </c>
      <c r="L700" s="2">
        <v>0.82375543575474186</v>
      </c>
      <c r="M700" s="2">
        <v>6.1514999999999952E-2</v>
      </c>
      <c r="N700" s="2">
        <v>5.0673086314005016E-2</v>
      </c>
      <c r="P700" s="31">
        <v>1958.0000000023001</v>
      </c>
      <c r="Q700" s="2">
        <v>0.712995200233139</v>
      </c>
      <c r="R700" s="2">
        <v>9.5800000000000607E-2</v>
      </c>
      <c r="S700" s="2">
        <v>3.0908257436564522E-2</v>
      </c>
      <c r="U700" s="2">
        <f t="shared" si="95"/>
        <v>0.70957023386654861</v>
      </c>
      <c r="V700" s="2">
        <f t="shared" si="96"/>
        <v>7.293833333333348E-2</v>
      </c>
      <c r="W700" s="2">
        <f t="shared" si="97"/>
        <v>3.9328962595231005E-2</v>
      </c>
      <c r="Y700" s="31">
        <v>1958.0000000023001</v>
      </c>
      <c r="Z700" s="2">
        <v>-0.82168003344073137</v>
      </c>
      <c r="AA700" s="2">
        <v>-0.78876452892998183</v>
      </c>
      <c r="AB700" s="2">
        <v>-0.89234028206774885</v>
      </c>
      <c r="AD700" s="31">
        <v>1958.0000000023001</v>
      </c>
      <c r="AE700" s="2">
        <v>8.6245355964969656E-2</v>
      </c>
      <c r="AF700" s="2">
        <v>-0.68622224125583742</v>
      </c>
      <c r="AG700" s="2">
        <v>-0.35791972657830351</v>
      </c>
      <c r="AH700" s="31"/>
      <c r="AI700" s="31">
        <v>1958.0000000023001</v>
      </c>
      <c r="AJ700" s="2">
        <v>-0.14528228387896602</v>
      </c>
      <c r="AK700" s="2">
        <v>-4.5244348379574514E-2</v>
      </c>
      <c r="AL700" s="2">
        <v>-1.13077191753462</v>
      </c>
      <c r="AM700" s="31"/>
      <c r="AN700" s="2">
        <f t="shared" si="98"/>
        <v>-0.29357232045157594</v>
      </c>
      <c r="AO700" s="2">
        <f t="shared" si="91"/>
        <v>-0.50674370618846465</v>
      </c>
      <c r="AP700" s="2">
        <f t="shared" si="92"/>
        <v>-0.79367730872689091</v>
      </c>
      <c r="AQ700" s="31"/>
      <c r="AR700" s="31">
        <v>1958.0000000023001</v>
      </c>
      <c r="AS700" s="2">
        <v>-0.29491879827007472</v>
      </c>
      <c r="AT700" s="2">
        <v>-0.29853293598826575</v>
      </c>
      <c r="AU700" s="2">
        <v>-0.49852211473821118</v>
      </c>
      <c r="AV700" s="31"/>
      <c r="AW700" s="31">
        <v>1958.0000000023001</v>
      </c>
      <c r="AX700" s="2">
        <v>0.30479884717899014</v>
      </c>
      <c r="AY700" s="2">
        <v>-0.21981065223360952</v>
      </c>
      <c r="AZ700" s="2">
        <v>0.22621414625297698</v>
      </c>
      <c r="BA700" s="31"/>
      <c r="BB700" s="31">
        <v>1958.0000000023001</v>
      </c>
      <c r="BC700" s="2">
        <v>0.34977399962912248</v>
      </c>
      <c r="BD700" s="2">
        <v>0.7536333975213223</v>
      </c>
      <c r="BE700" s="2">
        <v>-0.47709182709526771</v>
      </c>
      <c r="BG700" s="2">
        <f t="shared" si="99"/>
        <v>0.11988468284601266</v>
      </c>
      <c r="BH700" s="2">
        <f t="shared" si="93"/>
        <v>7.8429936433149008E-2</v>
      </c>
      <c r="BI700" s="2">
        <f t="shared" si="94"/>
        <v>-0.24979993186016727</v>
      </c>
    </row>
    <row r="701" spans="6:61" x14ac:dyDescent="0.3">
      <c r="F701" s="31">
        <v>1957.91666666897</v>
      </c>
      <c r="G701" s="2">
        <v>0.63123338797131079</v>
      </c>
      <c r="H701" s="2">
        <v>6.1499999999999846E-2</v>
      </c>
      <c r="I701" s="2">
        <v>3.8820853360235524E-2</v>
      </c>
      <c r="K701" s="31">
        <v>1957.91666666897</v>
      </c>
      <c r="L701" s="2">
        <v>0.84878523526830085</v>
      </c>
      <c r="M701" s="2">
        <v>6.1514999999999952E-2</v>
      </c>
      <c r="N701" s="2">
        <v>5.2212434759460274E-2</v>
      </c>
      <c r="P701" s="31">
        <v>1957.91666666897</v>
      </c>
      <c r="Q701" s="2">
        <v>0.73810488804691587</v>
      </c>
      <c r="R701" s="2">
        <v>9.5850000000000463E-2</v>
      </c>
      <c r="S701" s="2">
        <v>5.2340540185542364E-2</v>
      </c>
      <c r="U701" s="2">
        <f t="shared" si="95"/>
        <v>0.73937450376217573</v>
      </c>
      <c r="V701" s="2">
        <f t="shared" si="96"/>
        <v>7.2955000000000089E-2</v>
      </c>
      <c r="W701" s="2">
        <f t="shared" si="97"/>
        <v>4.779127610174605E-2</v>
      </c>
      <c r="Y701" s="31">
        <v>1957.91666666897</v>
      </c>
      <c r="Z701" s="2">
        <v>-0.5939703180525715</v>
      </c>
      <c r="AA701" s="2">
        <v>-0.78876452892998183</v>
      </c>
      <c r="AB701" s="2">
        <v>-0.8367537758759408</v>
      </c>
      <c r="AD701" s="31">
        <v>1957.91666666897</v>
      </c>
      <c r="AE701" s="2">
        <v>0.23519160262798197</v>
      </c>
      <c r="AF701" s="2">
        <v>-0.68622224125583742</v>
      </c>
      <c r="AG701" s="2">
        <v>-0.29938629375473647</v>
      </c>
      <c r="AH701" s="31"/>
      <c r="AI701" s="31">
        <v>1957.91666666897</v>
      </c>
      <c r="AJ701" s="2">
        <v>0.28256740989579382</v>
      </c>
      <c r="AK701" s="2">
        <v>-4.4052846898962821E-2</v>
      </c>
      <c r="AL701" s="2">
        <v>0.60133940682153608</v>
      </c>
      <c r="AM701" s="31"/>
      <c r="AN701" s="2">
        <f t="shared" si="98"/>
        <v>-2.5403768509598579E-2</v>
      </c>
      <c r="AO701" s="2">
        <f t="shared" si="91"/>
        <v>-0.50634653902826077</v>
      </c>
      <c r="AP701" s="2">
        <f t="shared" si="92"/>
        <v>-0.17826688760304707</v>
      </c>
      <c r="AQ701" s="31"/>
      <c r="AR701" s="31">
        <v>1957.91666666897</v>
      </c>
      <c r="AS701" s="2">
        <v>-0.3210333996882494</v>
      </c>
      <c r="AT701" s="2">
        <v>-0.68444756444045252</v>
      </c>
      <c r="AU701" s="2">
        <v>-0.70664225645877821</v>
      </c>
      <c r="AV701" s="31"/>
      <c r="AW701" s="31">
        <v>1957.91666666897</v>
      </c>
      <c r="AX701" s="2">
        <v>0.42282527547612581</v>
      </c>
      <c r="AY701" s="2">
        <v>-0.51751295497595129</v>
      </c>
      <c r="AZ701" s="2">
        <v>0.27600087053107603</v>
      </c>
      <c r="BA701" s="31"/>
      <c r="BB701" s="31">
        <v>1957.91666666897</v>
      </c>
      <c r="BC701" s="2">
        <v>0.84269215850856849</v>
      </c>
      <c r="BD701" s="2">
        <v>0.88737234882057547</v>
      </c>
      <c r="BE701" s="2">
        <v>1.0774053134651806</v>
      </c>
      <c r="BG701" s="2">
        <f t="shared" si="99"/>
        <v>0.31482801143214834</v>
      </c>
      <c r="BH701" s="2">
        <f t="shared" si="93"/>
        <v>-0.10486272353194277</v>
      </c>
      <c r="BI701" s="2">
        <f t="shared" si="94"/>
        <v>0.21558797584582612</v>
      </c>
    </row>
    <row r="702" spans="6:61" x14ac:dyDescent="0.3">
      <c r="F702" s="31">
        <v>1957.83333333564</v>
      </c>
      <c r="G702" s="2">
        <v>0.69921360053364023</v>
      </c>
      <c r="H702" s="2">
        <v>6.1499999999999846E-2</v>
      </c>
      <c r="I702" s="2">
        <v>4.300163643281877E-2</v>
      </c>
      <c r="K702" s="31">
        <v>1957.83333333564</v>
      </c>
      <c r="L702" s="2">
        <v>0.87511075520000536</v>
      </c>
      <c r="M702" s="2">
        <v>6.1514999999999952E-2</v>
      </c>
      <c r="N702" s="2">
        <v>5.3831470031152809E-2</v>
      </c>
      <c r="P702" s="31">
        <v>1957.83333333564</v>
      </c>
      <c r="Q702" s="2">
        <v>0.80339125268004119</v>
      </c>
      <c r="R702" s="2">
        <v>9.5800000000000607E-2</v>
      </c>
      <c r="S702" s="2">
        <v>3.2005004943043182E-2</v>
      </c>
      <c r="U702" s="2">
        <f t="shared" si="95"/>
        <v>0.79257186947122893</v>
      </c>
      <c r="V702" s="2">
        <f t="shared" si="96"/>
        <v>7.293833333333348E-2</v>
      </c>
      <c r="W702" s="2">
        <f t="shared" si="97"/>
        <v>4.2946037135671584E-2</v>
      </c>
      <c r="Y702" s="31">
        <v>1957.83333333564</v>
      </c>
      <c r="Z702" s="2">
        <v>-0.19981586600804768</v>
      </c>
      <c r="AA702" s="2">
        <v>-0.78876452892998183</v>
      </c>
      <c r="AB702" s="2">
        <v>-0.74053623482041853</v>
      </c>
      <c r="AD702" s="31">
        <v>1957.83333333564</v>
      </c>
      <c r="AE702" s="2">
        <v>0.39184836622513342</v>
      </c>
      <c r="AF702" s="2">
        <v>-0.68622224125583742</v>
      </c>
      <c r="AG702" s="2">
        <v>-0.23782278446975891</v>
      </c>
      <c r="AH702" s="31"/>
      <c r="AI702" s="31">
        <v>1957.83333333564</v>
      </c>
      <c r="AJ702" s="2">
        <v>4.0110409633721212E-3</v>
      </c>
      <c r="AK702" s="2">
        <v>-4.5244348379574514E-2</v>
      </c>
      <c r="AL702" s="2">
        <v>-1.042135126102701</v>
      </c>
      <c r="AM702" s="31"/>
      <c r="AN702" s="2">
        <f t="shared" si="98"/>
        <v>6.534784706015262E-2</v>
      </c>
      <c r="AO702" s="2">
        <f t="shared" si="91"/>
        <v>-0.50674370618846465</v>
      </c>
      <c r="AP702" s="2">
        <f t="shared" si="92"/>
        <v>-0.67349804846429284</v>
      </c>
      <c r="AQ702" s="31"/>
      <c r="AR702" s="31">
        <v>1957.83333333564</v>
      </c>
      <c r="AS702" s="2">
        <v>-8.4742684178658861E-3</v>
      </c>
      <c r="AT702" s="2">
        <v>-0.28549293171718004</v>
      </c>
      <c r="AU702" s="2">
        <v>-0.24590610262905868</v>
      </c>
      <c r="AV702" s="31"/>
      <c r="AW702" s="31">
        <v>1957.83333333564</v>
      </c>
      <c r="AX702" s="2">
        <v>0.40072505622530236</v>
      </c>
      <c r="AY702" s="2">
        <v>-0.19138401234735175</v>
      </c>
      <c r="AZ702" s="2">
        <v>0.33936086788916059</v>
      </c>
      <c r="BA702" s="31"/>
      <c r="BB702" s="31">
        <v>1957.83333333564</v>
      </c>
      <c r="BC702" s="2">
        <v>8.1735921612577145E-2</v>
      </c>
      <c r="BD702" s="2">
        <v>0.77503763331420128</v>
      </c>
      <c r="BE702" s="2">
        <v>-0.5085810234979149</v>
      </c>
      <c r="BG702" s="2">
        <f t="shared" si="99"/>
        <v>0.1579955698066712</v>
      </c>
      <c r="BH702" s="2">
        <f t="shared" si="93"/>
        <v>9.9386896416556472E-2</v>
      </c>
      <c r="BI702" s="2">
        <f t="shared" si="94"/>
        <v>-0.13837541941260434</v>
      </c>
    </row>
    <row r="703" spans="6:61" x14ac:dyDescent="0.3">
      <c r="F703" s="31">
        <v>1957.7500000023099</v>
      </c>
      <c r="G703" s="2">
        <v>0.77776944630898992</v>
      </c>
      <c r="H703" s="2">
        <v>6.1499999999999846E-2</v>
      </c>
      <c r="I703" s="2">
        <v>4.7832820948002758E-2</v>
      </c>
      <c r="K703" s="31">
        <v>1957.7500000023099</v>
      </c>
      <c r="L703" s="2">
        <v>0.90033770052837458</v>
      </c>
      <c r="M703" s="2">
        <v>6.1514999999999952E-2</v>
      </c>
      <c r="N703" s="2">
        <v>5.5382935944432984E-2</v>
      </c>
      <c r="P703" s="31">
        <v>1957.7500000023099</v>
      </c>
      <c r="Q703" s="2">
        <v>0.85235425020600641</v>
      </c>
      <c r="R703" s="2">
        <v>9.5850000000000463E-2</v>
      </c>
      <c r="S703" s="2">
        <v>5.4364861328250559E-2</v>
      </c>
      <c r="U703" s="2">
        <f t="shared" si="95"/>
        <v>0.84348713234779027</v>
      </c>
      <c r="V703" s="2">
        <f t="shared" si="96"/>
        <v>7.2955000000000089E-2</v>
      </c>
      <c r="W703" s="2">
        <f t="shared" si="97"/>
        <v>5.2526872740228769E-2</v>
      </c>
      <c r="Y703" s="31">
        <v>1957.7500000023099</v>
      </c>
      <c r="Z703" s="2">
        <v>0.25565691319351352</v>
      </c>
      <c r="AA703" s="2">
        <v>-0.78876452892998183</v>
      </c>
      <c r="AB703" s="2">
        <v>-0.62935019948534487</v>
      </c>
      <c r="AD703" s="31">
        <v>1957.7500000023099</v>
      </c>
      <c r="AE703" s="2">
        <v>0.54196777966262977</v>
      </c>
      <c r="AF703" s="2">
        <v>-0.68622224125583742</v>
      </c>
      <c r="AG703" s="2">
        <v>-0.17882858722926237</v>
      </c>
      <c r="AH703" s="31"/>
      <c r="AI703" s="31">
        <v>1957.7500000023099</v>
      </c>
      <c r="AJ703" s="2">
        <v>0.43978469854693086</v>
      </c>
      <c r="AK703" s="2">
        <v>-4.4052846898962821E-2</v>
      </c>
      <c r="AL703" s="2">
        <v>0.76494071875298142</v>
      </c>
      <c r="AM703" s="31"/>
      <c r="AN703" s="2">
        <f t="shared" si="98"/>
        <v>0.41246979713435805</v>
      </c>
      <c r="AO703" s="2">
        <f t="shared" si="91"/>
        <v>-0.50634653902826077</v>
      </c>
      <c r="AP703" s="2">
        <f t="shared" si="92"/>
        <v>-1.441268932054196E-2</v>
      </c>
      <c r="AQ703" s="31"/>
      <c r="AR703" s="31">
        <v>1957.7500000023099</v>
      </c>
      <c r="AS703" s="2">
        <v>0.23069755599398106</v>
      </c>
      <c r="AT703" s="2">
        <v>-0.6766476141944503</v>
      </c>
      <c r="AU703" s="2">
        <v>-0.42156003129041053</v>
      </c>
      <c r="AV703" s="31"/>
      <c r="AW703" s="31">
        <v>1957.7500000023099</v>
      </c>
      <c r="AX703" s="2">
        <v>0.68057037260115072</v>
      </c>
      <c r="AY703" s="2">
        <v>-0.6564669997761764</v>
      </c>
      <c r="AZ703" s="2">
        <v>9.2983663316605111E-2</v>
      </c>
      <c r="BA703" s="31"/>
      <c r="BB703" s="31">
        <v>1957.7500000023099</v>
      </c>
      <c r="BC703" s="2">
        <v>0.38790057725584742</v>
      </c>
      <c r="BD703" s="2">
        <v>0.36965282471677957</v>
      </c>
      <c r="BE703" s="2">
        <v>0.50297298251627498</v>
      </c>
      <c r="BG703" s="2">
        <f t="shared" si="99"/>
        <v>0.43305616861699309</v>
      </c>
      <c r="BH703" s="2">
        <f t="shared" si="93"/>
        <v>-0.32115392975128237</v>
      </c>
      <c r="BI703" s="2">
        <f t="shared" si="94"/>
        <v>5.8132204847489856E-2</v>
      </c>
    </row>
    <row r="704" spans="6:61" x14ac:dyDescent="0.3">
      <c r="F704" s="31">
        <v>1957.66666666898</v>
      </c>
      <c r="G704" s="2">
        <v>0.84647254352504975</v>
      </c>
      <c r="H704" s="2">
        <v>6.1499999999999846E-2</v>
      </c>
      <c r="I704" s="2">
        <v>5.2058061426790425E-2</v>
      </c>
      <c r="K704" s="31">
        <v>1957.66666666898</v>
      </c>
      <c r="L704" s="2">
        <v>0.91471096219780912</v>
      </c>
      <c r="M704" s="2">
        <v>6.1514999999999952E-2</v>
      </c>
      <c r="N704" s="2">
        <v>5.6266627305464376E-2</v>
      </c>
      <c r="P704" s="31">
        <v>1957.66666666898</v>
      </c>
      <c r="Q704" s="2">
        <v>0.8533641787946642</v>
      </c>
      <c r="R704" s="2">
        <v>9.5800000000000607E-2</v>
      </c>
      <c r="S704" s="2">
        <v>3.2771001185003909E-2</v>
      </c>
      <c r="U704" s="2">
        <f t="shared" si="95"/>
        <v>0.87151589483917435</v>
      </c>
      <c r="V704" s="2">
        <f t="shared" si="96"/>
        <v>7.293833333333348E-2</v>
      </c>
      <c r="W704" s="2">
        <f t="shared" si="97"/>
        <v>4.7031896639086239E-2</v>
      </c>
      <c r="Y704" s="31">
        <v>1957.66666666898</v>
      </c>
      <c r="Z704" s="2">
        <v>0.65400270553902939</v>
      </c>
      <c r="AA704" s="2">
        <v>-0.78876452892998183</v>
      </c>
      <c r="AB704" s="2">
        <v>-0.53210950505581767</v>
      </c>
      <c r="AD704" s="31">
        <v>1957.66666666898</v>
      </c>
      <c r="AE704" s="2">
        <v>0.62749956256036699</v>
      </c>
      <c r="AF704" s="2">
        <v>-0.68622224125583742</v>
      </c>
      <c r="AG704" s="2">
        <v>-0.14522639074775048</v>
      </c>
      <c r="AH704" s="31"/>
      <c r="AI704" s="31">
        <v>1957.66666666898</v>
      </c>
      <c r="AJ704" s="2">
        <v>0.10828128101727796</v>
      </c>
      <c r="AK704" s="2">
        <v>-4.5244348379574514E-2</v>
      </c>
      <c r="AL704" s="2">
        <v>-0.98022894556867879</v>
      </c>
      <c r="AM704" s="31"/>
      <c r="AN704" s="2">
        <f t="shared" si="98"/>
        <v>0.46326118303889147</v>
      </c>
      <c r="AO704" s="2">
        <f t="shared" si="91"/>
        <v>-0.50674370618846465</v>
      </c>
      <c r="AP704" s="2">
        <f t="shared" si="92"/>
        <v>-0.55252161379074893</v>
      </c>
      <c r="AQ704" s="31"/>
      <c r="AR704" s="31">
        <v>1957.66666666898</v>
      </c>
      <c r="AS704" s="2">
        <v>0.21360209482331874</v>
      </c>
      <c r="AT704" s="2">
        <v>-0.32631334910519932</v>
      </c>
      <c r="AU704" s="2">
        <v>-0.12333959457007376</v>
      </c>
      <c r="AV704" s="31"/>
      <c r="AW704" s="31">
        <v>1957.66666666898</v>
      </c>
      <c r="AX704" s="2">
        <v>0.30513992832621772</v>
      </c>
      <c r="AY704" s="2">
        <v>-0.23837245449551037</v>
      </c>
      <c r="AZ704" s="2">
        <v>0.28947215380912683</v>
      </c>
      <c r="BA704" s="31"/>
      <c r="BB704" s="31">
        <v>1957.66666666898</v>
      </c>
      <c r="BC704" s="2">
        <v>-0.1706306946709234</v>
      </c>
      <c r="BD704" s="2">
        <v>1.0262385864010182</v>
      </c>
      <c r="BE704" s="2">
        <v>-0.90588734127592496</v>
      </c>
      <c r="BG704" s="2">
        <f t="shared" si="99"/>
        <v>0.11603710949287101</v>
      </c>
      <c r="BH704" s="2">
        <f t="shared" si="93"/>
        <v>0.15385092760010283</v>
      </c>
      <c r="BI704" s="2">
        <f t="shared" si="94"/>
        <v>-0.24658492734562398</v>
      </c>
    </row>
    <row r="705" spans="6:61" x14ac:dyDescent="0.3">
      <c r="F705" s="31">
        <v>1957.58333333565</v>
      </c>
      <c r="G705" s="2">
        <v>0.88882715824456593</v>
      </c>
      <c r="H705" s="2">
        <v>6.1499999999999846E-2</v>
      </c>
      <c r="I705" s="2">
        <v>5.4662870232040681E-2</v>
      </c>
      <c r="K705" s="31">
        <v>1957.58333333565</v>
      </c>
      <c r="L705" s="2">
        <v>0.92554704447028535</v>
      </c>
      <c r="M705" s="2">
        <v>6.1514999999999952E-2</v>
      </c>
      <c r="N705" s="2">
        <v>5.6932645782230402E-2</v>
      </c>
      <c r="P705" s="31">
        <v>1957.58333333565</v>
      </c>
      <c r="Q705" s="2">
        <v>0.8376082487961044</v>
      </c>
      <c r="R705" s="2">
        <v>9.5850000000000463E-2</v>
      </c>
      <c r="S705" s="2">
        <v>5.8411754452521801E-2</v>
      </c>
      <c r="U705" s="2">
        <f t="shared" si="95"/>
        <v>0.88399415050365182</v>
      </c>
      <c r="V705" s="2">
        <f t="shared" si="96"/>
        <v>7.2955000000000089E-2</v>
      </c>
      <c r="W705" s="2">
        <f t="shared" si="97"/>
        <v>5.6669090155597623E-2</v>
      </c>
      <c r="Y705" s="31">
        <v>1957.58333333565</v>
      </c>
      <c r="Z705" s="2">
        <v>0.89957798880283579</v>
      </c>
      <c r="AA705" s="2">
        <v>-0.78876452892998183</v>
      </c>
      <c r="AB705" s="2">
        <v>-0.47216181252794576</v>
      </c>
      <c r="AD705" s="31">
        <v>1957.58333333565</v>
      </c>
      <c r="AE705" s="2">
        <v>0.69198245153207516</v>
      </c>
      <c r="AF705" s="2">
        <v>-0.68622224125583742</v>
      </c>
      <c r="AG705" s="2">
        <v>-0.1199011644260978</v>
      </c>
      <c r="AH705" s="31"/>
      <c r="AI705" s="31">
        <v>1957.58333333565</v>
      </c>
      <c r="AJ705" s="2">
        <v>0.79878382809433324</v>
      </c>
      <c r="AK705" s="2">
        <v>-4.4052846898962821E-2</v>
      </c>
      <c r="AL705" s="2">
        <v>1.092001979147355</v>
      </c>
      <c r="AM705" s="31"/>
      <c r="AN705" s="2">
        <f t="shared" si="98"/>
        <v>0.79678142280974817</v>
      </c>
      <c r="AO705" s="2">
        <f t="shared" si="91"/>
        <v>-0.50634653902826077</v>
      </c>
      <c r="AP705" s="2">
        <f t="shared" si="92"/>
        <v>0.16664633406443716</v>
      </c>
      <c r="AQ705" s="31"/>
      <c r="AR705" s="31">
        <v>1957.58333333565</v>
      </c>
      <c r="AS705" s="2">
        <v>0.42264317867597684</v>
      </c>
      <c r="AT705" s="2">
        <v>-0.65870957567408583</v>
      </c>
      <c r="AU705" s="2">
        <v>-0.28181918725231447</v>
      </c>
      <c r="AV705" s="31"/>
      <c r="AW705" s="31">
        <v>1957.58333333565</v>
      </c>
      <c r="AX705" s="2">
        <v>0.53220889565475327</v>
      </c>
      <c r="AY705" s="2">
        <v>-0.53553372549108424</v>
      </c>
      <c r="AZ705" s="2">
        <v>0.28129225629007598</v>
      </c>
      <c r="BA705" s="31"/>
      <c r="BB705" s="31">
        <v>1957.58333333565</v>
      </c>
      <c r="BC705" s="2">
        <v>0.19142092897237356</v>
      </c>
      <c r="BD705" s="2">
        <v>0.77441334649330551</v>
      </c>
      <c r="BE705" s="2">
        <v>0.32623307914513366</v>
      </c>
      <c r="BG705" s="2">
        <f t="shared" si="99"/>
        <v>0.38209100110103456</v>
      </c>
      <c r="BH705" s="2">
        <f t="shared" si="93"/>
        <v>-0.13994331822395487</v>
      </c>
      <c r="BI705" s="2">
        <f t="shared" si="94"/>
        <v>0.10856871606096508</v>
      </c>
    </row>
    <row r="706" spans="6:61" x14ac:dyDescent="0.3">
      <c r="F706" s="31">
        <v>1957.5000000023199</v>
      </c>
      <c r="G706" s="2"/>
      <c r="H706" s="2"/>
      <c r="I706" s="2"/>
      <c r="K706" s="31">
        <v>1957.5000000023199</v>
      </c>
      <c r="L706" s="2">
        <v>0.93790943983351305</v>
      </c>
      <c r="M706" s="2">
        <v>6.1514999999999952E-2</v>
      </c>
      <c r="N706" s="2">
        <v>5.7692544391287806E-2</v>
      </c>
      <c r="P706" s="31">
        <v>1957.5000000023199</v>
      </c>
      <c r="Q706" s="2">
        <v>0.82239705907689697</v>
      </c>
      <c r="R706" s="2">
        <v>9.5800000000000607E-2</v>
      </c>
      <c r="S706" s="2">
        <v>3.7191955701655705E-2</v>
      </c>
      <c r="U706" s="2">
        <f t="shared" si="95"/>
        <v>0.88015324945520501</v>
      </c>
      <c r="V706" s="2">
        <f t="shared" si="96"/>
        <v>7.8657500000000283E-2</v>
      </c>
      <c r="W706" s="2">
        <f t="shared" si="97"/>
        <v>4.7442250046471755E-2</v>
      </c>
      <c r="Y706" s="31">
        <v>1957.5000000023199</v>
      </c>
      <c r="Z706" s="2"/>
      <c r="AA706" s="2"/>
      <c r="AB706" s="2"/>
      <c r="AD706" s="31">
        <v>1957.5000000023199</v>
      </c>
      <c r="AE706" s="2">
        <v>0.76554805832487105</v>
      </c>
      <c r="AF706" s="2">
        <v>-0.68622224125583742</v>
      </c>
      <c r="AG706" s="2">
        <v>-9.1006163870957807E-2</v>
      </c>
      <c r="AH706" s="31"/>
      <c r="AI706" s="31">
        <v>1957.5000000023199</v>
      </c>
      <c r="AJ706" s="2">
        <v>0.71007795241963789</v>
      </c>
      <c r="AK706" s="2">
        <v>-4.5244348379574514E-2</v>
      </c>
      <c r="AL706" s="2">
        <v>-0.62293684222885692</v>
      </c>
      <c r="AM706" s="31"/>
      <c r="AN706" s="2">
        <f t="shared" si="98"/>
        <v>0.73781300537225447</v>
      </c>
      <c r="AO706" s="2">
        <f t="shared" si="91"/>
        <v>-0.36573329481770595</v>
      </c>
      <c r="AP706" s="2">
        <f t="shared" si="92"/>
        <v>-0.35697150304990738</v>
      </c>
      <c r="AQ706" s="31"/>
      <c r="AR706" s="31">
        <v>1957.5000000023199</v>
      </c>
      <c r="AS706" s="2"/>
      <c r="AT706" s="2"/>
      <c r="AU706" s="2"/>
      <c r="AV706" s="31"/>
      <c r="AW706" s="31">
        <v>1957.5000000023199</v>
      </c>
      <c r="AX706" s="2">
        <v>9.3357464483542027E-2</v>
      </c>
      <c r="AY706" s="2">
        <v>-0.10780241638246968</v>
      </c>
      <c r="AZ706" s="2">
        <v>9.346799556846741E-2</v>
      </c>
      <c r="BA706" s="31"/>
      <c r="BB706" s="31">
        <v>1957.5000000023199</v>
      </c>
      <c r="BC706" s="2">
        <v>-6.9936999497947655E-2</v>
      </c>
      <c r="BD706" s="2">
        <v>1.2373533970328761</v>
      </c>
      <c r="BE706" s="2">
        <v>-0.28628790228696166</v>
      </c>
      <c r="BG706" s="2">
        <f t="shared" si="99"/>
        <v>1.1710232492797186E-2</v>
      </c>
      <c r="BH706" s="2">
        <f t="shared" si="93"/>
        <v>0.56477549032520313</v>
      </c>
      <c r="BI706" s="2">
        <f t="shared" si="94"/>
        <v>-9.6409953359247125E-2</v>
      </c>
    </row>
    <row r="707" spans="6:61" x14ac:dyDescent="0.3">
      <c r="F707" s="31">
        <v>1957.41666666899</v>
      </c>
      <c r="G707" s="2">
        <v>0.8835354455918929</v>
      </c>
      <c r="H707" s="2">
        <v>0.12299999999999969</v>
      </c>
      <c r="I707" s="2">
        <v>0.10867485980780256</v>
      </c>
      <c r="K707" s="31">
        <v>1957.41666666899</v>
      </c>
      <c r="L707" s="2">
        <v>0.91481044187175364</v>
      </c>
      <c r="M707" s="2">
        <v>0.15377999999999986</v>
      </c>
      <c r="N707" s="2">
        <v>7.8248111964368455E-2</v>
      </c>
      <c r="P707" s="31">
        <v>1957.41666666899</v>
      </c>
      <c r="Q707" s="2">
        <v>0.80480955387747555</v>
      </c>
      <c r="R707" s="2">
        <v>0.19170000000000093</v>
      </c>
      <c r="S707" s="2">
        <v>6.2853971820966248E-2</v>
      </c>
      <c r="U707" s="2">
        <f t="shared" si="95"/>
        <v>0.8677184804470407</v>
      </c>
      <c r="V707" s="2">
        <f t="shared" si="96"/>
        <v>0.15616000000000016</v>
      </c>
      <c r="W707" s="2">
        <f t="shared" si="97"/>
        <v>8.3258981197712426E-2</v>
      </c>
      <c r="Y707" s="31">
        <v>1957.41666666899</v>
      </c>
      <c r="Z707" s="2">
        <v>0.86889623565181362</v>
      </c>
      <c r="AA707" s="2">
        <v>0.41216179278103221</v>
      </c>
      <c r="AB707" s="2">
        <v>0.77088302722386148</v>
      </c>
      <c r="AD707" s="31">
        <v>1957.41666666899</v>
      </c>
      <c r="AE707" s="2">
        <v>0.628091541894651</v>
      </c>
      <c r="AF707" s="2">
        <v>1.5734353192061419</v>
      </c>
      <c r="AG707" s="2">
        <v>0.69061539636868585</v>
      </c>
      <c r="AH707" s="31"/>
      <c r="AI707" s="31">
        <v>1957.41666666899</v>
      </c>
      <c r="AJ707" s="2">
        <v>1.2082907736535762</v>
      </c>
      <c r="AK707" s="2">
        <v>2.2400554914402537</v>
      </c>
      <c r="AL707" s="2">
        <v>1.4510125007634529</v>
      </c>
      <c r="AM707" s="31"/>
      <c r="AN707" s="2">
        <f t="shared" si="98"/>
        <v>0.90175951706668023</v>
      </c>
      <c r="AO707" s="2">
        <f t="shared" si="91"/>
        <v>1.4085508678091427</v>
      </c>
      <c r="AP707" s="2">
        <f t="shared" si="92"/>
        <v>0.97083697478533348</v>
      </c>
      <c r="AQ707" s="31"/>
      <c r="AR707" s="31">
        <v>1957.41666666899</v>
      </c>
      <c r="AS707" s="2">
        <v>0.25619042828317812</v>
      </c>
      <c r="AT707" s="2">
        <v>-1.0250935790978113</v>
      </c>
      <c r="AU707" s="2">
        <v>-0.70025825996421054</v>
      </c>
      <c r="AV707" s="31"/>
      <c r="AW707" s="31">
        <v>1957.41666666899</v>
      </c>
      <c r="AX707" s="2">
        <v>0.20937209749243019</v>
      </c>
      <c r="AY707" s="2">
        <v>0.24826500666177614</v>
      </c>
      <c r="AZ707" s="2">
        <v>-0.26349933794179092</v>
      </c>
      <c r="BA707" s="31"/>
      <c r="BB707" s="31">
        <v>1957.41666666899</v>
      </c>
      <c r="BC707" s="2">
        <v>0.51660070286463144</v>
      </c>
      <c r="BD707" s="2">
        <v>0.7751653150294695</v>
      </c>
      <c r="BE707" s="2">
        <v>0.61243376485111334</v>
      </c>
      <c r="BG707" s="2">
        <f t="shared" si="99"/>
        <v>0.32738774288007993</v>
      </c>
      <c r="BH707" s="2">
        <f t="shared" si="93"/>
        <v>-5.5441913552186273E-4</v>
      </c>
      <c r="BI707" s="2">
        <f t="shared" si="94"/>
        <v>-0.11710794435162937</v>
      </c>
    </row>
    <row r="708" spans="6:61" x14ac:dyDescent="0.3">
      <c r="F708" s="31">
        <v>1957.33333333566</v>
      </c>
      <c r="G708" s="2">
        <v>0.81020360254714752</v>
      </c>
      <c r="H708" s="2">
        <v>0.12299999999999969</v>
      </c>
      <c r="I708" s="2">
        <v>9.9655043113298897E-2</v>
      </c>
      <c r="K708" s="31">
        <v>1957.33333333566</v>
      </c>
      <c r="L708" s="2">
        <v>0.8641275463606013</v>
      </c>
      <c r="M708" s="2">
        <v>0.12301499999999986</v>
      </c>
      <c r="N708" s="2">
        <v>5.315466019956594E-2</v>
      </c>
      <c r="P708" s="31">
        <v>1957.33333333566</v>
      </c>
      <c r="Q708" s="2">
        <v>0.77601647263876083</v>
      </c>
      <c r="R708" s="2">
        <v>0.16775000000000076</v>
      </c>
      <c r="S708" s="2">
        <v>6.1566597635658415E-2</v>
      </c>
      <c r="U708" s="2">
        <f t="shared" si="95"/>
        <v>0.81678254051550325</v>
      </c>
      <c r="V708" s="2">
        <f t="shared" si="96"/>
        <v>0.13792166666666675</v>
      </c>
      <c r="W708" s="2">
        <f t="shared" si="97"/>
        <v>7.1458766982841079E-2</v>
      </c>
      <c r="Y708" s="31">
        <v>1957.33333333566</v>
      </c>
      <c r="Z708" s="2">
        <v>0.44371262231410619</v>
      </c>
      <c r="AA708" s="2">
        <v>0.41216179278103221</v>
      </c>
      <c r="AB708" s="2">
        <v>0.56329880961449141</v>
      </c>
      <c r="AD708" s="31">
        <v>1957.33333333566</v>
      </c>
      <c r="AE708" s="2">
        <v>0.32648996285242315</v>
      </c>
      <c r="AF708" s="2">
        <v>0.81997122287911783</v>
      </c>
      <c r="AG708" s="2">
        <v>-0.26355835001275291</v>
      </c>
      <c r="AH708" s="31"/>
      <c r="AI708" s="31">
        <v>1957.33333333566</v>
      </c>
      <c r="AJ708" s="2">
        <v>1.0683588086261275</v>
      </c>
      <c r="AK708" s="2">
        <v>1.6693262822256021</v>
      </c>
      <c r="AL708" s="2">
        <v>1.3469696682209498</v>
      </c>
      <c r="AM708" s="31"/>
      <c r="AN708" s="2">
        <f t="shared" si="98"/>
        <v>0.61285379793088557</v>
      </c>
      <c r="AO708" s="2">
        <f t="shared" si="91"/>
        <v>0.96715309929525073</v>
      </c>
      <c r="AP708" s="2">
        <f t="shared" si="92"/>
        <v>0.548903375940896</v>
      </c>
      <c r="AQ708" s="31"/>
      <c r="AR708" s="31">
        <v>1957.33333333566</v>
      </c>
      <c r="AS708" s="2">
        <v>0.35908410876102492</v>
      </c>
      <c r="AT708" s="2">
        <v>-0.62524988541030202</v>
      </c>
      <c r="AU708" s="2">
        <v>-0.36579858639684526</v>
      </c>
      <c r="AV708" s="31"/>
      <c r="AW708" s="31">
        <v>1957.33333333566</v>
      </c>
      <c r="AX708" s="2">
        <v>0.16110433810876423</v>
      </c>
      <c r="AY708" s="2">
        <v>6.2747505337402268E-2</v>
      </c>
      <c r="AZ708" s="2">
        <v>-0.55151679641286655</v>
      </c>
      <c r="BA708" s="31"/>
      <c r="BB708" s="31">
        <v>1957.33333333566</v>
      </c>
      <c r="BC708" s="2">
        <v>0.9479604648589196</v>
      </c>
      <c r="BD708" s="2">
        <v>0.93967668087391998</v>
      </c>
      <c r="BE708" s="2">
        <v>1.0810169753661925</v>
      </c>
      <c r="BG708" s="2">
        <f t="shared" si="99"/>
        <v>0.48938297057623625</v>
      </c>
      <c r="BH708" s="2">
        <f t="shared" si="93"/>
        <v>0.12572476693367343</v>
      </c>
      <c r="BI708" s="2">
        <f t="shared" si="94"/>
        <v>5.4567197518826882E-2</v>
      </c>
    </row>
    <row r="709" spans="6:61" x14ac:dyDescent="0.3">
      <c r="F709" s="31">
        <v>1957.2500000023299</v>
      </c>
      <c r="G709" s="2">
        <v>0.72634440081342666</v>
      </c>
      <c r="H709" s="2">
        <v>0.12299999999999969</v>
      </c>
      <c r="I709" s="2">
        <v>8.9340361300051241E-2</v>
      </c>
      <c r="K709" s="31">
        <v>1957.2500000023299</v>
      </c>
      <c r="L709" s="2">
        <v>0.80108668878105238</v>
      </c>
      <c r="M709" s="2">
        <v>0.15377999999999986</v>
      </c>
      <c r="N709" s="2">
        <v>7.186296534452212E-2</v>
      </c>
      <c r="P709" s="31">
        <v>1957.2500000023299</v>
      </c>
      <c r="Q709" s="2">
        <v>0.73391732518704611</v>
      </c>
      <c r="R709" s="2">
        <v>0.19170000000000093</v>
      </c>
      <c r="S709" s="2">
        <v>5.8957670986259036E-2</v>
      </c>
      <c r="U709" s="2">
        <f t="shared" si="95"/>
        <v>0.75378280492717498</v>
      </c>
      <c r="V709" s="2">
        <f t="shared" si="96"/>
        <v>0.15616000000000016</v>
      </c>
      <c r="W709" s="2">
        <f t="shared" si="97"/>
        <v>7.338699921027747E-2</v>
      </c>
      <c r="Y709" s="31">
        <v>1957.2500000023299</v>
      </c>
      <c r="Z709" s="2">
        <v>-4.2509418812052099E-2</v>
      </c>
      <c r="AA709" s="2">
        <v>0.41216179278103221</v>
      </c>
      <c r="AB709" s="2">
        <v>0.32591425662270401</v>
      </c>
      <c r="AD709" s="31">
        <v>1957.2500000023299</v>
      </c>
      <c r="AE709" s="2">
        <v>-4.865084152376814E-2</v>
      </c>
      <c r="AF709" s="2">
        <v>1.5734353192061419</v>
      </c>
      <c r="AG709" s="2">
        <v>0.44782140658369757</v>
      </c>
      <c r="AH709" s="31"/>
      <c r="AI709" s="31">
        <v>1957.2500000023299</v>
      </c>
      <c r="AJ709" s="2">
        <v>0.80112124228182968</v>
      </c>
      <c r="AK709" s="2">
        <v>2.2400554914402537</v>
      </c>
      <c r="AL709" s="2">
        <v>1.1361217876304073</v>
      </c>
      <c r="AM709" s="31"/>
      <c r="AN709" s="2">
        <f t="shared" si="98"/>
        <v>0.23665366064866986</v>
      </c>
      <c r="AO709" s="2">
        <f t="shared" ref="AO709:AO772" si="100">AVERAGE(AK709,AF709,AA709)</f>
        <v>1.4085508678091427</v>
      </c>
      <c r="AP709" s="2">
        <f t="shared" ref="AP709:AP772" si="101">AVERAGE(AL709,AG709,AB709)</f>
        <v>0.63661915027893634</v>
      </c>
      <c r="AQ709" s="31"/>
      <c r="AR709" s="31">
        <v>1957.2500000023299</v>
      </c>
      <c r="AS709" s="2">
        <v>0.13268188044254875</v>
      </c>
      <c r="AT709" s="2">
        <v>-0.74536446371894627</v>
      </c>
      <c r="AU709" s="2">
        <v>-0.54759003242029614</v>
      </c>
      <c r="AV709" s="31"/>
      <c r="AW709" s="31">
        <v>1957.2500000023299</v>
      </c>
      <c r="AX709" s="2">
        <v>6.4236522405631425E-3</v>
      </c>
      <c r="AY709" s="2">
        <v>0.5591995610722349</v>
      </c>
      <c r="AZ709" s="2">
        <v>-0.15546840681662671</v>
      </c>
      <c r="BA709" s="31"/>
      <c r="BB709" s="31">
        <v>1957.2500000023299</v>
      </c>
      <c r="BC709" s="2">
        <v>1.206431539403541</v>
      </c>
      <c r="BD709" s="2">
        <v>1.1204684408565393</v>
      </c>
      <c r="BE709" s="2">
        <v>1.3790406825397645</v>
      </c>
      <c r="BG709" s="2">
        <f t="shared" si="99"/>
        <v>0.44851235736221762</v>
      </c>
      <c r="BH709" s="2">
        <f t="shared" ref="BH709:BH772" si="102">AVERAGE(BD709,AY709,AT709)</f>
        <v>0.31143451273660933</v>
      </c>
      <c r="BI709" s="2">
        <f t="shared" ref="BI709:BI772" si="103">AVERAGE(BE709,AZ709,AU709)</f>
        <v>0.22532741443428053</v>
      </c>
    </row>
    <row r="710" spans="6:61" x14ac:dyDescent="0.3">
      <c r="F710" s="31">
        <v>1957.1666666690001</v>
      </c>
      <c r="G710" s="2">
        <v>0.66697927404508084</v>
      </c>
      <c r="H710" s="2">
        <v>0.12299999999999969</v>
      </c>
      <c r="I710" s="2">
        <v>8.203845070754473E-2</v>
      </c>
      <c r="K710" s="31">
        <v>1957.1666666690001</v>
      </c>
      <c r="L710" s="2">
        <v>0.7690512999767849</v>
      </c>
      <c r="M710" s="2">
        <v>0.12301499999999986</v>
      </c>
      <c r="N710" s="2">
        <v>4.7308150858525563E-2</v>
      </c>
      <c r="P710" s="31">
        <v>1957.1666666690001</v>
      </c>
      <c r="Q710" s="2">
        <v>0.59363625932663233</v>
      </c>
      <c r="R710" s="2">
        <v>0.1198000000000006</v>
      </c>
      <c r="S710" s="2">
        <v>5.5206112012139402E-2</v>
      </c>
      <c r="U710" s="2">
        <f t="shared" ref="U710:U773" si="104">AVERAGE(Q710,L710,G710)</f>
        <v>0.67655561111616602</v>
      </c>
      <c r="V710" s="2">
        <f t="shared" ref="V710:V773" si="105">AVERAGE(R710,M710,H710)</f>
        <v>0.12193833333333337</v>
      </c>
      <c r="W710" s="2">
        <f t="shared" ref="W710:W773" si="106">AVERAGE(S710,N710,I710)</f>
        <v>6.1517571192736563E-2</v>
      </c>
      <c r="Y710" s="31">
        <v>1957.1666666690001</v>
      </c>
      <c r="Z710" s="2">
        <v>-0.38671294701486592</v>
      </c>
      <c r="AA710" s="2">
        <v>0.41216179278103221</v>
      </c>
      <c r="AB710" s="2">
        <v>0.15786634071298453</v>
      </c>
      <c r="AD710" s="31">
        <v>1957.1666666690001</v>
      </c>
      <c r="AE710" s="2">
        <v>-0.23928564545821884</v>
      </c>
      <c r="AF710" s="2">
        <v>0.81997122287911783</v>
      </c>
      <c r="AG710" s="2">
        <v>-0.48587075938081803</v>
      </c>
      <c r="AH710" s="31"/>
      <c r="AI710" s="31">
        <v>1957.1666666690001</v>
      </c>
      <c r="AJ710" s="2">
        <v>0.40117585828487251</v>
      </c>
      <c r="AK710" s="2">
        <v>0.52667636231568804</v>
      </c>
      <c r="AL710" s="2">
        <v>0.83292880258206958</v>
      </c>
      <c r="AM710" s="31"/>
      <c r="AN710" s="2">
        <f t="shared" ref="AN710:AN773" si="107">AVERAGE(AJ710,AE710,Z710)</f>
        <v>-7.4940911396070745E-2</v>
      </c>
      <c r="AO710" s="2">
        <f t="shared" si="100"/>
        <v>0.58626979265861268</v>
      </c>
      <c r="AP710" s="2">
        <f t="shared" si="101"/>
        <v>0.16830812797141204</v>
      </c>
      <c r="AQ710" s="31"/>
      <c r="AR710" s="31">
        <v>1957.1666666690001</v>
      </c>
      <c r="AS710" s="2">
        <v>-2.3261307538901824E-2</v>
      </c>
      <c r="AT710" s="2">
        <v>-0.46657286796563235</v>
      </c>
      <c r="AU710" s="2">
        <v>-0.41552422544433226</v>
      </c>
      <c r="AV710" s="31"/>
      <c r="AW710" s="31">
        <v>1957.1666666690001</v>
      </c>
      <c r="AX710" s="2">
        <v>-5.503659183956814E-2</v>
      </c>
      <c r="AY710" s="2">
        <v>0.19080318216020514</v>
      </c>
      <c r="AZ710" s="2">
        <v>-0.54993046590299755</v>
      </c>
      <c r="BA710" s="31"/>
      <c r="BB710" s="31">
        <v>1957.1666666690001</v>
      </c>
      <c r="BC710" s="2">
        <v>1.0774442272816811</v>
      </c>
      <c r="BD710" s="2">
        <v>0.3086063174042078</v>
      </c>
      <c r="BE710" s="2">
        <v>1.4511789343297443</v>
      </c>
      <c r="BG710" s="2">
        <f t="shared" ref="BG710:BG773" si="108">AVERAGE(BC710,AX710,AS710)</f>
        <v>0.33304877596773702</v>
      </c>
      <c r="BH710" s="2">
        <f t="shared" si="102"/>
        <v>1.0945543866260196E-2</v>
      </c>
      <c r="BI710" s="2">
        <f t="shared" si="103"/>
        <v>0.16190808099413817</v>
      </c>
    </row>
    <row r="711" spans="6:61" x14ac:dyDescent="0.3">
      <c r="F711" s="31">
        <v>1957.08333333567</v>
      </c>
      <c r="G711" s="2">
        <v>0.64762515615971605</v>
      </c>
      <c r="H711" s="2">
        <v>6.1499999999999846E-2</v>
      </c>
      <c r="I711" s="2">
        <v>3.982894710382244E-2</v>
      </c>
      <c r="K711" s="31">
        <v>1957.08333333567</v>
      </c>
      <c r="L711" s="2">
        <v>0.77004552963521367</v>
      </c>
      <c r="M711" s="2">
        <v>6.1514999999999952E-2</v>
      </c>
      <c r="N711" s="2">
        <v>4.7369902581921378E-2</v>
      </c>
      <c r="P711" s="31">
        <v>1957.08333333567</v>
      </c>
      <c r="Q711" s="2">
        <v>0.70815332784414387</v>
      </c>
      <c r="R711" s="2">
        <v>7.1900000000000297E-2</v>
      </c>
      <c r="S711" s="2">
        <v>5.3448232667549896E-2</v>
      </c>
      <c r="U711" s="2">
        <f t="shared" si="104"/>
        <v>0.70860800454635786</v>
      </c>
      <c r="V711" s="2">
        <f t="shared" si="105"/>
        <v>6.4971666666666705E-2</v>
      </c>
      <c r="W711" s="2">
        <f t="shared" si="106"/>
        <v>4.6882360784431233E-2</v>
      </c>
      <c r="Y711" s="31">
        <v>1957.08333333567</v>
      </c>
      <c r="Z711" s="2">
        <v>-0.49892959716018098</v>
      </c>
      <c r="AA711" s="2">
        <v>-0.78876452892998183</v>
      </c>
      <c r="AB711" s="2">
        <v>-0.81355326547455886</v>
      </c>
      <c r="AD711" s="31">
        <v>1957.08333333567</v>
      </c>
      <c r="AE711" s="2">
        <v>-0.23336922667652651</v>
      </c>
      <c r="AF711" s="2">
        <v>-0.68622224125583742</v>
      </c>
      <c r="AG711" s="2">
        <v>-0.48352266180498982</v>
      </c>
      <c r="AH711" s="31"/>
      <c r="AI711" s="31">
        <v>1957.08333333567</v>
      </c>
      <c r="AJ711" s="2">
        <v>0.24592929202103334</v>
      </c>
      <c r="AK711" s="2">
        <v>-0.61478205611361436</v>
      </c>
      <c r="AL711" s="2">
        <v>0.69086074780332807</v>
      </c>
      <c r="AM711" s="31"/>
      <c r="AN711" s="2">
        <f t="shared" si="107"/>
        <v>-0.16212317727189138</v>
      </c>
      <c r="AO711" s="2">
        <f t="shared" si="100"/>
        <v>-0.69658960876647791</v>
      </c>
      <c r="AP711" s="2">
        <f t="shared" si="101"/>
        <v>-0.20207172649207353</v>
      </c>
      <c r="AQ711" s="31"/>
      <c r="AR711" s="31">
        <v>1957.08333333567</v>
      </c>
      <c r="AS711" s="2">
        <v>7.1856797016409235E-2</v>
      </c>
      <c r="AT711" s="2">
        <v>-0.93050162247170598</v>
      </c>
      <c r="AU711" s="2">
        <v>-0.71352798547508567</v>
      </c>
      <c r="AV711" s="31"/>
      <c r="AW711" s="31">
        <v>1957.08333333567</v>
      </c>
      <c r="AX711" s="2">
        <v>7.5816074663660013E-2</v>
      </c>
      <c r="AY711" s="2">
        <v>-0.87038484719517628</v>
      </c>
      <c r="AZ711" s="2">
        <v>-0.44598266665266806</v>
      </c>
      <c r="BA711" s="31"/>
      <c r="BB711" s="31">
        <v>1957.08333333567</v>
      </c>
      <c r="BC711" s="2">
        <v>1.0254825968397525</v>
      </c>
      <c r="BD711" s="2">
        <v>-0.95760573293009554</v>
      </c>
      <c r="BE711" s="2">
        <v>1.2747180261070836</v>
      </c>
      <c r="BG711" s="2">
        <f t="shared" si="108"/>
        <v>0.39105182283994061</v>
      </c>
      <c r="BH711" s="2">
        <f t="shared" si="102"/>
        <v>-0.91949740086565923</v>
      </c>
      <c r="BI711" s="2">
        <f t="shared" si="103"/>
        <v>3.8402457993109963E-2</v>
      </c>
    </row>
    <row r="712" spans="6:61" x14ac:dyDescent="0.3">
      <c r="F712" s="31">
        <v>1957.0000000023399</v>
      </c>
      <c r="G712" s="2">
        <v>0.65616713632385926</v>
      </c>
      <c r="H712" s="2">
        <v>6.1499999999999846E-2</v>
      </c>
      <c r="I712" s="2">
        <v>4.0354278883917238E-2</v>
      </c>
      <c r="K712" s="31">
        <v>1957.0000000023399</v>
      </c>
      <c r="L712" s="2">
        <v>0.79507417081436371</v>
      </c>
      <c r="M712" s="2">
        <v>6.1514999999999952E-2</v>
      </c>
      <c r="N712" s="2">
        <v>4.8909806316178951E-2</v>
      </c>
      <c r="P712" s="31">
        <v>1957.0000000023399</v>
      </c>
      <c r="Q712" s="2">
        <v>0.74950130451902053</v>
      </c>
      <c r="R712" s="2">
        <v>4.7900000000000303E-2</v>
      </c>
      <c r="S712" s="2">
        <v>2.8867654085978477E-2</v>
      </c>
      <c r="U712" s="2">
        <f t="shared" si="104"/>
        <v>0.7335808705524145</v>
      </c>
      <c r="V712" s="2">
        <f t="shared" si="105"/>
        <v>5.6971666666666698E-2</v>
      </c>
      <c r="W712" s="2">
        <f t="shared" si="106"/>
        <v>3.9377246428691552E-2</v>
      </c>
      <c r="Y712" s="31">
        <v>1957.0000000023399</v>
      </c>
      <c r="Z712" s="2">
        <v>-0.44940254533041418</v>
      </c>
      <c r="AA712" s="2">
        <v>-0.78876452892998183</v>
      </c>
      <c r="AB712" s="2">
        <v>-0.80146315430602832</v>
      </c>
      <c r="AD712" s="31">
        <v>1957.0000000023399</v>
      </c>
      <c r="AE712" s="2">
        <v>-8.4429872979736295E-2</v>
      </c>
      <c r="AF712" s="2">
        <v>-0.68622224125583742</v>
      </c>
      <c r="AG712" s="2">
        <v>-0.4249681142299811</v>
      </c>
      <c r="AH712" s="31"/>
      <c r="AI712" s="31">
        <v>1957.0000000023399</v>
      </c>
      <c r="AJ712" s="2">
        <v>-0.42305675529905029</v>
      </c>
      <c r="AK712" s="2">
        <v>-1.186702766808877</v>
      </c>
      <c r="AL712" s="2">
        <v>-1.2956891227370277</v>
      </c>
      <c r="AM712" s="31"/>
      <c r="AN712" s="2">
        <f t="shared" si="107"/>
        <v>-0.31896305786973356</v>
      </c>
      <c r="AO712" s="2">
        <f t="shared" si="100"/>
        <v>-0.88722984566489871</v>
      </c>
      <c r="AP712" s="2">
        <f t="shared" si="101"/>
        <v>-0.84070679709101237</v>
      </c>
      <c r="AQ712" s="31"/>
      <c r="AR712" s="31">
        <v>1957.0000000023399</v>
      </c>
      <c r="AS712" s="2">
        <v>-1.0209036980571537E-2</v>
      </c>
      <c r="AT712" s="2">
        <v>-0.29853293598826575</v>
      </c>
      <c r="AU712" s="2">
        <v>-0.24678722914661885</v>
      </c>
      <c r="AV712" s="31"/>
      <c r="AW712" s="31">
        <v>1957.0000000023399</v>
      </c>
      <c r="AX712" s="2">
        <v>0.17504468405431436</v>
      </c>
      <c r="AY712" s="2">
        <v>-0.21981065223360952</v>
      </c>
      <c r="AZ712" s="2">
        <v>0.10161013517724023</v>
      </c>
      <c r="BA712" s="31"/>
      <c r="BB712" s="31">
        <v>1957.0000000023399</v>
      </c>
      <c r="BC712" s="2">
        <v>0.11638653987667713</v>
      </c>
      <c r="BD712" s="2">
        <v>-0.94501805984887022</v>
      </c>
      <c r="BE712" s="2">
        <v>-0.63607737886327009</v>
      </c>
      <c r="BG712" s="2">
        <f t="shared" si="108"/>
        <v>9.374072898347334E-2</v>
      </c>
      <c r="BH712" s="2">
        <f t="shared" si="102"/>
        <v>-0.48778721602358183</v>
      </c>
      <c r="BI712" s="2">
        <f t="shared" si="103"/>
        <v>-0.26041815761088288</v>
      </c>
    </row>
    <row r="713" spans="6:61" x14ac:dyDescent="0.3">
      <c r="F713" s="31">
        <v>1956.9166666690101</v>
      </c>
      <c r="G713" s="2">
        <v>0.68152585205096883</v>
      </c>
      <c r="H713" s="2">
        <v>6.1499999999999846E-2</v>
      </c>
      <c r="I713" s="2">
        <v>4.1913839901134474E-2</v>
      </c>
      <c r="K713" s="31">
        <v>1956.9166666690101</v>
      </c>
      <c r="L713" s="2">
        <v>0.82121073169531456</v>
      </c>
      <c r="M713" s="2">
        <v>6.1514999999999952E-2</v>
      </c>
      <c r="N713" s="2">
        <v>5.051787926365571E-2</v>
      </c>
      <c r="P713" s="31">
        <v>1956.9166666690101</v>
      </c>
      <c r="Q713" s="2">
        <v>0.8468641383267832</v>
      </c>
      <c r="R713" s="2">
        <v>7.1900000000000297E-2</v>
      </c>
      <c r="S713" s="2">
        <v>5.5876384018180555E-2</v>
      </c>
      <c r="U713" s="2">
        <f t="shared" si="104"/>
        <v>0.78320024069102223</v>
      </c>
      <c r="V713" s="2">
        <f t="shared" si="105"/>
        <v>6.4971666666666705E-2</v>
      </c>
      <c r="W713" s="2">
        <f t="shared" si="106"/>
        <v>4.9436034394323584E-2</v>
      </c>
      <c r="Y713" s="31">
        <v>1956.9166666690101</v>
      </c>
      <c r="Z713" s="2">
        <v>-0.3023707793910636</v>
      </c>
      <c r="AA713" s="2">
        <v>-0.78876452892998183</v>
      </c>
      <c r="AB713" s="2">
        <v>-0.76557104424015654</v>
      </c>
      <c r="AD713" s="31">
        <v>1956.9166666690101</v>
      </c>
      <c r="AE713" s="2">
        <v>7.1102441283831072E-2</v>
      </c>
      <c r="AF713" s="2">
        <v>-0.68622224125583742</v>
      </c>
      <c r="AG713" s="2">
        <v>-0.3638214452451764</v>
      </c>
      <c r="AH713" s="31"/>
      <c r="AI713" s="31">
        <v>1956.9166666690101</v>
      </c>
      <c r="AJ713" s="2">
        <v>0.47079531736000818</v>
      </c>
      <c r="AK713" s="2">
        <v>-0.61478205611361436</v>
      </c>
      <c r="AL713" s="2">
        <v>0.88709875478271283</v>
      </c>
      <c r="AM713" s="31"/>
      <c r="AN713" s="2">
        <f t="shared" si="107"/>
        <v>7.9842326417591883E-2</v>
      </c>
      <c r="AO713" s="2">
        <f t="shared" si="100"/>
        <v>-0.69658960876647791</v>
      </c>
      <c r="AP713" s="2">
        <f t="shared" si="101"/>
        <v>-8.0764578234206685E-2</v>
      </c>
      <c r="AQ713" s="31"/>
      <c r="AR713" s="31">
        <v>1956.9166666690101</v>
      </c>
      <c r="AS713" s="2">
        <v>-7.7769033089461724E-3</v>
      </c>
      <c r="AT713" s="2">
        <v>-0.68444756444045252</v>
      </c>
      <c r="AU713" s="2">
        <v>-0.5483950659859339</v>
      </c>
      <c r="AV713" s="31"/>
      <c r="AW713" s="31">
        <v>1956.9166666690101</v>
      </c>
      <c r="AX713" s="2">
        <v>0.27298888511569225</v>
      </c>
      <c r="AY713" s="2">
        <v>-0.51751295497595129</v>
      </c>
      <c r="AZ713" s="2">
        <v>0.13447424896968121</v>
      </c>
      <c r="BA713" s="31"/>
      <c r="BB713" s="31">
        <v>1956.9166666690101</v>
      </c>
      <c r="BC713" s="2">
        <v>1.0740574937564398</v>
      </c>
      <c r="BD713" s="2">
        <v>-0.44318112469553572</v>
      </c>
      <c r="BE713" s="2">
        <v>1.4167567927871301</v>
      </c>
      <c r="BG713" s="2">
        <f t="shared" si="108"/>
        <v>0.44642315852106201</v>
      </c>
      <c r="BH713" s="2">
        <f t="shared" si="102"/>
        <v>-0.54838054803731318</v>
      </c>
      <c r="BI713" s="2">
        <f t="shared" si="103"/>
        <v>0.33427865859029254</v>
      </c>
    </row>
    <row r="714" spans="6:61" x14ac:dyDescent="0.3">
      <c r="F714" s="31">
        <v>1956.83333333568</v>
      </c>
      <c r="G714" s="2">
        <v>0.72005909098399623</v>
      </c>
      <c r="H714" s="2">
        <v>6.1499999999999846E-2</v>
      </c>
      <c r="I714" s="2">
        <v>4.4283634095515653E-2</v>
      </c>
      <c r="K714" s="31">
        <v>1956.83333333568</v>
      </c>
      <c r="L714" s="2">
        <v>0.75529355915856378</v>
      </c>
      <c r="M714" s="2">
        <v>6.1499999999999902E-2</v>
      </c>
      <c r="N714" s="2">
        <v>4.6450553888251596E-2</v>
      </c>
      <c r="P714" s="31">
        <v>1956.83333333568</v>
      </c>
      <c r="Q714" s="2">
        <v>0.94843135985979732</v>
      </c>
      <c r="R714" s="2">
        <v>4.7900000000000303E-2</v>
      </c>
      <c r="S714" s="2">
        <v>3.1936857995519E-2</v>
      </c>
      <c r="U714" s="2">
        <f t="shared" si="104"/>
        <v>0.80792800333411918</v>
      </c>
      <c r="V714" s="2">
        <f t="shared" si="105"/>
        <v>5.6966666666666686E-2</v>
      </c>
      <c r="W714" s="2">
        <f t="shared" si="106"/>
        <v>4.0890348659762085E-2</v>
      </c>
      <c r="Y714" s="31">
        <v>1956.83333333568</v>
      </c>
      <c r="Z714" s="2">
        <v>-7.8952124098943588E-2</v>
      </c>
      <c r="AA714" s="2">
        <v>-0.78876452892998183</v>
      </c>
      <c r="AB714" s="2">
        <v>-0.71103203414745597</v>
      </c>
      <c r="AD714" s="31">
        <v>1956.83333333568</v>
      </c>
      <c r="AE714" s="2">
        <v>-0.32115461353870606</v>
      </c>
      <c r="AF714" s="2">
        <v>-0.68658960551538373</v>
      </c>
      <c r="AG714" s="2">
        <v>-0.5184807216005024</v>
      </c>
      <c r="AH714" s="31"/>
      <c r="AI714" s="31">
        <v>1956.83333333568</v>
      </c>
      <c r="AJ714" s="2">
        <v>-5.2653734470945032E-3</v>
      </c>
      <c r="AK714" s="2">
        <v>-1.186702766808877</v>
      </c>
      <c r="AL714" s="2">
        <v>-1.0476426168776896</v>
      </c>
      <c r="AM714" s="31"/>
      <c r="AN714" s="2">
        <f t="shared" si="107"/>
        <v>-0.13512403702824805</v>
      </c>
      <c r="AO714" s="2">
        <f t="shared" si="100"/>
        <v>-0.88735230041808089</v>
      </c>
      <c r="AP714" s="2">
        <f t="shared" si="101"/>
        <v>-0.7590517908752159</v>
      </c>
      <c r="AQ714" s="31"/>
      <c r="AR714" s="31">
        <v>1956.83333333568</v>
      </c>
      <c r="AS714" s="2">
        <v>7.4186613980796179E-2</v>
      </c>
      <c r="AT714" s="2">
        <v>-0.28549293171718004</v>
      </c>
      <c r="AU714" s="2">
        <v>-0.17678392381819505</v>
      </c>
      <c r="AV714" s="31"/>
      <c r="AW714" s="31">
        <v>1956.83333333568</v>
      </c>
      <c r="AX714" s="2">
        <v>-6.6333783457293946E-2</v>
      </c>
      <c r="AY714" s="2">
        <v>-0.19208961378086201</v>
      </c>
      <c r="AZ714" s="2">
        <v>-0.10840261912870217</v>
      </c>
      <c r="BA714" s="31"/>
      <c r="BB714" s="31">
        <v>1956.83333333568</v>
      </c>
      <c r="BC714" s="2">
        <v>7.5570988980001572E-2</v>
      </c>
      <c r="BD714" s="2">
        <v>-0.86039420085980967</v>
      </c>
      <c r="BE714" s="2">
        <v>-0.51237732695653726</v>
      </c>
      <c r="BG714" s="2">
        <f t="shared" si="108"/>
        <v>2.7807939834501267E-2</v>
      </c>
      <c r="BH714" s="2">
        <f t="shared" si="102"/>
        <v>-0.44599224878595062</v>
      </c>
      <c r="BI714" s="2">
        <f t="shared" si="103"/>
        <v>-0.26585462330114484</v>
      </c>
    </row>
    <row r="715" spans="6:61" x14ac:dyDescent="0.3">
      <c r="F715" s="31">
        <v>1956.7500000023499</v>
      </c>
      <c r="G715" s="2">
        <v>0.76621675281166224</v>
      </c>
      <c r="H715" s="2">
        <v>6.1499999999999846E-2</v>
      </c>
      <c r="I715" s="2">
        <v>4.7122330297917112E-2</v>
      </c>
      <c r="K715" s="31">
        <v>1956.7500000023499</v>
      </c>
      <c r="L715" s="2">
        <v>0.83490554039548637</v>
      </c>
      <c r="M715" s="2">
        <v>6.1514999999999952E-2</v>
      </c>
      <c r="N715" s="2">
        <v>5.1359879390978025E-2</v>
      </c>
      <c r="P715" s="31">
        <v>1956.7500000023499</v>
      </c>
      <c r="Q715" s="2">
        <v>0.98287346253815744</v>
      </c>
      <c r="R715" s="2">
        <v>7.1900000000000297E-2</v>
      </c>
      <c r="S715" s="2">
        <v>6.2750547041471927E-2</v>
      </c>
      <c r="U715" s="2">
        <f t="shared" si="104"/>
        <v>0.86133191858176872</v>
      </c>
      <c r="V715" s="2">
        <f t="shared" si="105"/>
        <v>6.4971666666666705E-2</v>
      </c>
      <c r="W715" s="2">
        <f t="shared" si="106"/>
        <v>5.3744252243455692E-2</v>
      </c>
      <c r="Y715" s="31">
        <v>1956.7500000023499</v>
      </c>
      <c r="Z715" s="2">
        <v>0.18867351606302521</v>
      </c>
      <c r="AA715" s="2">
        <v>-0.78876452892998183</v>
      </c>
      <c r="AB715" s="2">
        <v>-0.645701601150378</v>
      </c>
      <c r="AD715" s="31">
        <v>1956.7500000023499</v>
      </c>
      <c r="AE715" s="2">
        <v>0.15259691564242811</v>
      </c>
      <c r="AF715" s="2">
        <v>-0.68622224125583742</v>
      </c>
      <c r="AG715" s="2">
        <v>-0.33180455002202919</v>
      </c>
      <c r="AH715" s="31"/>
      <c r="AI715" s="31">
        <v>1956.7500000023499</v>
      </c>
      <c r="AJ715" s="2">
        <v>1.0832087316162167</v>
      </c>
      <c r="AK715" s="2">
        <v>-0.61478205611361436</v>
      </c>
      <c r="AL715" s="2">
        <v>1.4426539309424338</v>
      </c>
      <c r="AM715" s="31"/>
      <c r="AN715" s="2">
        <f t="shared" si="107"/>
        <v>0.47482638777389002</v>
      </c>
      <c r="AO715" s="2">
        <f t="shared" si="100"/>
        <v>-0.69658960876647791</v>
      </c>
      <c r="AP715" s="2">
        <f t="shared" si="101"/>
        <v>0.15504925992334218</v>
      </c>
      <c r="AQ715" s="31"/>
      <c r="AR715" s="31">
        <v>1956.7500000023499</v>
      </c>
      <c r="AS715" s="2">
        <v>0.14939837227000888</v>
      </c>
      <c r="AT715" s="2">
        <v>-0.6766476141944503</v>
      </c>
      <c r="AU715" s="2">
        <v>-0.45719321171267835</v>
      </c>
      <c r="AV715" s="31"/>
      <c r="AW715" s="31">
        <v>1956.7500000023499</v>
      </c>
      <c r="AX715" s="2">
        <v>0.23857456216737374</v>
      </c>
      <c r="AY715" s="2">
        <v>-0.6564669997761764</v>
      </c>
      <c r="AZ715" s="2">
        <v>-0.22248211065193302</v>
      </c>
      <c r="BA715" s="31"/>
      <c r="BB715" s="31">
        <v>1956.7500000023499</v>
      </c>
      <c r="BC715" s="2">
        <v>1.0289373915933966</v>
      </c>
      <c r="BD715" s="2">
        <v>-0.59144451954684485</v>
      </c>
      <c r="BE715" s="2">
        <v>1.1407355915116528</v>
      </c>
      <c r="BG715" s="2">
        <f t="shared" si="108"/>
        <v>0.47230344201025981</v>
      </c>
      <c r="BH715" s="2">
        <f t="shared" si="102"/>
        <v>-0.64151971117249051</v>
      </c>
      <c r="BI715" s="2">
        <f t="shared" si="103"/>
        <v>0.15368675638234716</v>
      </c>
    </row>
    <row r="716" spans="6:61" x14ac:dyDescent="0.3">
      <c r="F716" s="31">
        <v>1956.6666666690201</v>
      </c>
      <c r="G716" s="2">
        <v>0.81060348435085539</v>
      </c>
      <c r="H716" s="2">
        <v>6.1499999999999846E-2</v>
      </c>
      <c r="I716" s="2">
        <v>4.9852114287577479E-2</v>
      </c>
      <c r="K716" s="31">
        <v>1956.6666666690201</v>
      </c>
      <c r="L716" s="2">
        <v>0.8490677942939715</v>
      </c>
      <c r="M716" s="2">
        <v>6.1514999999999952E-2</v>
      </c>
      <c r="N716" s="2">
        <v>5.223012119048278E-2</v>
      </c>
      <c r="P716" s="31">
        <v>1956.6666666690201</v>
      </c>
      <c r="Q716" s="2">
        <v>0.94420638866537709</v>
      </c>
      <c r="R716" s="2">
        <v>4.7900000000000303E-2</v>
      </c>
      <c r="S716" s="2">
        <v>3.685314763633097E-2</v>
      </c>
      <c r="U716" s="2">
        <f t="shared" si="104"/>
        <v>0.86795922243673473</v>
      </c>
      <c r="V716" s="2">
        <f t="shared" si="105"/>
        <v>5.6971666666666698E-2</v>
      </c>
      <c r="W716" s="2">
        <f t="shared" si="106"/>
        <v>4.6311794371463745E-2</v>
      </c>
      <c r="Y716" s="31">
        <v>1956.6666666690201</v>
      </c>
      <c r="Z716" s="2">
        <v>0.44603116748015043</v>
      </c>
      <c r="AA716" s="2">
        <v>-0.78876452892998183</v>
      </c>
      <c r="AB716" s="2">
        <v>-0.58287769985296778</v>
      </c>
      <c r="AD716" s="31">
        <v>1956.6666666690201</v>
      </c>
      <c r="AE716" s="2">
        <v>0.23687304263758341</v>
      </c>
      <c r="AF716" s="2">
        <v>-0.68622224125583742</v>
      </c>
      <c r="AG716" s="2">
        <v>-0.29871377056792914</v>
      </c>
      <c r="AH716" s="31"/>
      <c r="AI716" s="31">
        <v>1956.6666666690201</v>
      </c>
      <c r="AJ716" s="2">
        <v>0.66395814612244208</v>
      </c>
      <c r="AK716" s="2">
        <v>-1.186702766808877</v>
      </c>
      <c r="AL716" s="2">
        <v>-0.65031858656312114</v>
      </c>
      <c r="AM716" s="31"/>
      <c r="AN716" s="2">
        <f t="shared" si="107"/>
        <v>0.44895411874672536</v>
      </c>
      <c r="AO716" s="2">
        <f t="shared" si="100"/>
        <v>-0.88722984566489871</v>
      </c>
      <c r="AP716" s="2">
        <f t="shared" si="101"/>
        <v>-0.51063668566133935</v>
      </c>
      <c r="AQ716" s="31"/>
      <c r="AR716" s="31">
        <v>1956.6666666690201</v>
      </c>
      <c r="AS716" s="2">
        <v>0.10026608866985745</v>
      </c>
      <c r="AT716" s="2">
        <v>-0.32631334910519932</v>
      </c>
      <c r="AU716" s="2">
        <v>-0.20900881656583897</v>
      </c>
      <c r="AV716" s="31"/>
      <c r="AW716" s="31">
        <v>1956.6666666690201</v>
      </c>
      <c r="AX716" s="2">
        <v>6.3313559055990939E-2</v>
      </c>
      <c r="AY716" s="2">
        <v>-0.23837245449551037</v>
      </c>
      <c r="AZ716" s="2">
        <v>4.7520130537002443E-2</v>
      </c>
      <c r="BA716" s="31"/>
      <c r="BB716" s="31">
        <v>1956.6666666690201</v>
      </c>
      <c r="BC716" s="2">
        <v>0.32073541394085037</v>
      </c>
      <c r="BD716" s="2">
        <v>-1.0289872901111137</v>
      </c>
      <c r="BE716" s="2">
        <v>-0.57676416440494349</v>
      </c>
      <c r="BG716" s="2">
        <f t="shared" si="108"/>
        <v>0.1614383538888996</v>
      </c>
      <c r="BH716" s="2">
        <f t="shared" si="102"/>
        <v>-0.53122436457060773</v>
      </c>
      <c r="BI716" s="2">
        <f t="shared" si="103"/>
        <v>-0.24608428347792666</v>
      </c>
    </row>
    <row r="717" spans="6:61" x14ac:dyDescent="0.3">
      <c r="F717" s="31">
        <v>1956.58333333569</v>
      </c>
      <c r="G717" s="2">
        <v>0.844903024536513</v>
      </c>
      <c r="H717" s="2">
        <v>6.1499999999999846E-2</v>
      </c>
      <c r="I717" s="2">
        <v>5.1961536008995418E-2</v>
      </c>
      <c r="K717" s="31">
        <v>1956.58333333569</v>
      </c>
      <c r="L717" s="2">
        <v>0.8681771183287994</v>
      </c>
      <c r="M717" s="2">
        <v>6.1514999999999952E-2</v>
      </c>
      <c r="N717" s="2">
        <v>5.3404650663826284E-2</v>
      </c>
      <c r="P717" s="31">
        <v>1956.58333333569</v>
      </c>
      <c r="Q717" s="2">
        <v>0.88406326129647461</v>
      </c>
      <c r="R717" s="2">
        <v>7.1900000000000297E-2</v>
      </c>
      <c r="S717" s="2">
        <v>7.0792278175836443E-2</v>
      </c>
      <c r="U717" s="2">
        <f t="shared" si="104"/>
        <v>0.86571446805392893</v>
      </c>
      <c r="V717" s="2">
        <f t="shared" si="105"/>
        <v>6.4971666666666705E-2</v>
      </c>
      <c r="W717" s="2">
        <f t="shared" si="106"/>
        <v>5.8719488282886055E-2</v>
      </c>
      <c r="Y717" s="31">
        <v>1956.58333333569</v>
      </c>
      <c r="Z717" s="2">
        <v>0.64490251485732231</v>
      </c>
      <c r="AA717" s="2">
        <v>-0.78876452892998183</v>
      </c>
      <c r="AB717" s="2">
        <v>-0.5343309640955124</v>
      </c>
      <c r="AD717" s="31">
        <v>1956.58333333569</v>
      </c>
      <c r="AE717" s="2">
        <v>0.35058798029471672</v>
      </c>
      <c r="AF717" s="2">
        <v>-0.68622224125583742</v>
      </c>
      <c r="AG717" s="2">
        <v>-0.25405251000004053</v>
      </c>
      <c r="AH717" s="31"/>
      <c r="AI717" s="31">
        <v>1956.58333333569</v>
      </c>
      <c r="AJ717" s="2">
        <v>1.7893367667620543</v>
      </c>
      <c r="AK717" s="2">
        <v>-0.61478205611361436</v>
      </c>
      <c r="AL717" s="2">
        <v>2.0925694685640419</v>
      </c>
      <c r="AM717" s="31"/>
      <c r="AN717" s="2">
        <f t="shared" si="107"/>
        <v>0.9282757539713643</v>
      </c>
      <c r="AO717" s="2">
        <f t="shared" si="100"/>
        <v>-0.69658960876647791</v>
      </c>
      <c r="AP717" s="2">
        <f t="shared" si="101"/>
        <v>0.43472866482282962</v>
      </c>
      <c r="AQ717" s="31"/>
      <c r="AR717" s="31">
        <v>1956.58333333569</v>
      </c>
      <c r="AS717" s="2">
        <v>0.16356465618220131</v>
      </c>
      <c r="AT717" s="2">
        <v>-0.65870957567408583</v>
      </c>
      <c r="AU717" s="2">
        <v>-0.40067434971656052</v>
      </c>
      <c r="AV717" s="31"/>
      <c r="AW717" s="31">
        <v>1956.58333333569</v>
      </c>
      <c r="AX717" s="2">
        <v>0.15056124264280984</v>
      </c>
      <c r="AY717" s="2">
        <v>-0.53553372549108424</v>
      </c>
      <c r="AZ717" s="2">
        <v>-5.9913267012640069E-2</v>
      </c>
      <c r="BA717" s="31"/>
      <c r="BB717" s="31">
        <v>1956.58333333569</v>
      </c>
      <c r="BC717" s="2">
        <v>1.0973938212529804</v>
      </c>
      <c r="BD717" s="2">
        <v>-0.51613739712758211</v>
      </c>
      <c r="BE717" s="2">
        <v>1.2160564050797533</v>
      </c>
      <c r="BG717" s="2">
        <f t="shared" si="108"/>
        <v>0.47050657335933049</v>
      </c>
      <c r="BH717" s="2">
        <f t="shared" si="102"/>
        <v>-0.57012689943091743</v>
      </c>
      <c r="BI717" s="2">
        <f t="shared" si="103"/>
        <v>0.2518229294501842</v>
      </c>
    </row>
    <row r="718" spans="6:61" x14ac:dyDescent="0.3">
      <c r="F718" s="31">
        <v>1956.5000000023599</v>
      </c>
      <c r="G718" s="2"/>
      <c r="H718" s="2"/>
      <c r="I718" s="2"/>
      <c r="K718" s="31">
        <v>1956.5000000023599</v>
      </c>
      <c r="L718" s="2">
        <v>1.0450477882704519</v>
      </c>
      <c r="M718" s="2">
        <v>6.1499999999999902E-2</v>
      </c>
      <c r="N718" s="2">
        <v>6.4270438978632688E-2</v>
      </c>
      <c r="P718" s="31">
        <v>1956.5000000023599</v>
      </c>
      <c r="Q718" s="2">
        <v>0.82790204201338735</v>
      </c>
      <c r="R718" s="2">
        <v>4.7900000000000303E-2</v>
      </c>
      <c r="S718" s="2">
        <v>4.0241858060599447E-2</v>
      </c>
      <c r="U718" s="2">
        <f t="shared" si="104"/>
        <v>0.93647491514191961</v>
      </c>
      <c r="V718" s="2">
        <f t="shared" si="105"/>
        <v>5.4700000000000103E-2</v>
      </c>
      <c r="W718" s="2">
        <f t="shared" si="106"/>
        <v>5.2256148519616068E-2</v>
      </c>
      <c r="Y718" s="31">
        <v>1956.5000000023599</v>
      </c>
      <c r="Z718" s="2"/>
      <c r="AA718" s="2"/>
      <c r="AB718" s="2"/>
      <c r="AD718" s="31">
        <v>1956.5000000023599</v>
      </c>
      <c r="AE718" s="2">
        <v>1.4031023010071368</v>
      </c>
      <c r="AF718" s="2">
        <v>-0.68658960551538373</v>
      </c>
      <c r="AG718" s="2">
        <v>0.15911703083885734</v>
      </c>
      <c r="AH718" s="31"/>
      <c r="AI718" s="31">
        <v>1956.5000000023599</v>
      </c>
      <c r="AJ718" s="2">
        <v>1.125241935853833</v>
      </c>
      <c r="AK718" s="2">
        <v>-1.186702766808877</v>
      </c>
      <c r="AL718" s="2">
        <v>-0.37645024647139103</v>
      </c>
      <c r="AM718" s="31"/>
      <c r="AN718" s="2">
        <f t="shared" si="107"/>
        <v>1.2641721184304848</v>
      </c>
      <c r="AO718" s="2">
        <f t="shared" si="100"/>
        <v>-0.93664618616213036</v>
      </c>
      <c r="AP718" s="2">
        <f t="shared" si="101"/>
        <v>-0.10866660781626684</v>
      </c>
      <c r="AQ718" s="31"/>
      <c r="AR718" s="31">
        <v>1956.5000000023599</v>
      </c>
      <c r="AS718" s="2"/>
      <c r="AT718" s="2"/>
      <c r="AU718" s="2"/>
      <c r="AV718" s="31"/>
      <c r="AW718" s="31">
        <v>1956.5000000023599</v>
      </c>
      <c r="AX718" s="2">
        <v>0.34639032466970121</v>
      </c>
      <c r="AY718" s="2">
        <v>-0.1083026392523672</v>
      </c>
      <c r="AZ718" s="2">
        <v>0.3460527011365116</v>
      </c>
      <c r="BA718" s="31"/>
      <c r="BB718" s="31">
        <v>1956.5000000023599</v>
      </c>
      <c r="BC718" s="2">
        <v>0.11802787622337706</v>
      </c>
      <c r="BD718" s="2">
        <v>-0.38248368897839508</v>
      </c>
      <c r="BE718" s="2">
        <v>-0.12996567952329066</v>
      </c>
      <c r="BG718" s="2">
        <f t="shared" si="108"/>
        <v>0.23220910044653914</v>
      </c>
      <c r="BH718" s="2">
        <f t="shared" si="102"/>
        <v>-0.24539316411538115</v>
      </c>
      <c r="BI718" s="2">
        <f t="shared" si="103"/>
        <v>0.10804351080661047</v>
      </c>
    </row>
    <row r="719" spans="6:61" x14ac:dyDescent="0.3">
      <c r="F719" s="31">
        <v>1956.4166666690301</v>
      </c>
      <c r="G719" s="2">
        <v>0.84806989736765526</v>
      </c>
      <c r="H719" s="2">
        <v>0.21524999999999939</v>
      </c>
      <c r="I719" s="2">
        <v>0.18828077328296428</v>
      </c>
      <c r="K719" s="31">
        <v>1956.4166666690301</v>
      </c>
      <c r="L719" s="2">
        <v>0.87167617657297369</v>
      </c>
      <c r="M719" s="2">
        <v>0.15377999999999986</v>
      </c>
      <c r="N719" s="2">
        <v>7.603443131789217E-2</v>
      </c>
      <c r="P719" s="31">
        <v>1956.4166666690301</v>
      </c>
      <c r="Q719" s="2">
        <v>0.7841553404050452</v>
      </c>
      <c r="R719" s="2">
        <v>0.19170000000000093</v>
      </c>
      <c r="S719" s="2">
        <v>7.2736736849141517E-2</v>
      </c>
      <c r="U719" s="2">
        <f t="shared" si="104"/>
        <v>0.83463380478189142</v>
      </c>
      <c r="V719" s="2">
        <f t="shared" si="105"/>
        <v>0.18691000000000005</v>
      </c>
      <c r="W719" s="2">
        <f t="shared" si="106"/>
        <v>0.11235064714999932</v>
      </c>
      <c r="Y719" s="31">
        <v>1956.4166666690301</v>
      </c>
      <c r="Z719" s="2">
        <v>0.66326428482544486</v>
      </c>
      <c r="AA719" s="2">
        <v>2.2135512753475517</v>
      </c>
      <c r="AB719" s="2">
        <v>2.6029525498661923</v>
      </c>
      <c r="AD719" s="31">
        <v>1956.4166666690301</v>
      </c>
      <c r="AE719" s="2">
        <v>0.37141002451615385</v>
      </c>
      <c r="AF719" s="2">
        <v>1.5734353192061419</v>
      </c>
      <c r="AG719" s="2">
        <v>0.60644060943470568</v>
      </c>
      <c r="AH719" s="31"/>
      <c r="AI719" s="31">
        <v>1956.4166666690301</v>
      </c>
      <c r="AJ719" s="2">
        <v>1.9299649888113553</v>
      </c>
      <c r="AK719" s="2">
        <v>2.2400554914402537</v>
      </c>
      <c r="AL719" s="2">
        <v>2.2497164662600713</v>
      </c>
      <c r="AM719" s="31"/>
      <c r="AN719" s="2">
        <f t="shared" si="107"/>
        <v>0.98821309938431801</v>
      </c>
      <c r="AO719" s="2">
        <f t="shared" si="100"/>
        <v>2.0090140286646494</v>
      </c>
      <c r="AP719" s="2">
        <f t="shared" si="101"/>
        <v>1.8197032085203233</v>
      </c>
      <c r="AQ719" s="31"/>
      <c r="AR719" s="31">
        <v>1956.4166666690301</v>
      </c>
      <c r="AS719" s="2">
        <v>5.5571978763057348E-2</v>
      </c>
      <c r="AT719" s="2">
        <v>0.97383890014291907</v>
      </c>
      <c r="AU719" s="2">
        <v>0.87025517891448134</v>
      </c>
      <c r="AV719" s="31"/>
      <c r="AW719" s="31">
        <v>1956.4166666690301</v>
      </c>
      <c r="AX719" s="2">
        <v>-4.8170744964783581E-2</v>
      </c>
      <c r="AY719" s="2">
        <v>0.24826500666177614</v>
      </c>
      <c r="AZ719" s="2">
        <v>-0.32486587805857986</v>
      </c>
      <c r="BA719" s="31"/>
      <c r="BB719" s="31">
        <v>1956.4166666690301</v>
      </c>
      <c r="BC719" s="2">
        <v>1.2706940355056264</v>
      </c>
      <c r="BD719" s="2">
        <v>0.7751653150294695</v>
      </c>
      <c r="BE719" s="2">
        <v>1.4778819759219437</v>
      </c>
      <c r="BG719" s="2">
        <f t="shared" si="108"/>
        <v>0.42603175643463337</v>
      </c>
      <c r="BH719" s="2">
        <f t="shared" si="102"/>
        <v>0.66575640727805496</v>
      </c>
      <c r="BI719" s="2">
        <f t="shared" si="103"/>
        <v>0.67442375892594841</v>
      </c>
    </row>
    <row r="720" spans="6:61" x14ac:dyDescent="0.3">
      <c r="F720" s="31">
        <v>1956.3333333357</v>
      </c>
      <c r="G720" s="2">
        <v>0.73577422526084313</v>
      </c>
      <c r="H720" s="2">
        <v>0.1844999999999995</v>
      </c>
      <c r="I720" s="2">
        <v>0.1379373181599583</v>
      </c>
      <c r="K720" s="31">
        <v>1956.3333333357</v>
      </c>
      <c r="L720" s="2">
        <v>0.77027930464632011</v>
      </c>
      <c r="M720" s="2">
        <v>0.15377999999999986</v>
      </c>
      <c r="N720" s="2">
        <v>6.8873409463113114E-2</v>
      </c>
      <c r="P720" s="31">
        <v>1956.3333333357</v>
      </c>
      <c r="Q720" s="2">
        <v>0.74143239628110646</v>
      </c>
      <c r="R720" s="2">
        <v>0.16775000000000076</v>
      </c>
      <c r="S720" s="2">
        <v>6.43351319768318E-2</v>
      </c>
      <c r="U720" s="2">
        <f t="shared" si="104"/>
        <v>0.74916197539608997</v>
      </c>
      <c r="V720" s="2">
        <f t="shared" si="105"/>
        <v>0.16867666666666672</v>
      </c>
      <c r="W720" s="2">
        <f t="shared" si="106"/>
        <v>9.0381953199967738E-2</v>
      </c>
      <c r="Y720" s="31">
        <v>1956.3333333357</v>
      </c>
      <c r="Z720" s="2">
        <v>1.2165421819545523E-2</v>
      </c>
      <c r="AA720" s="2">
        <v>1.6130881144920455</v>
      </c>
      <c r="AB720" s="2">
        <v>1.4443362389793233</v>
      </c>
      <c r="AD720" s="31">
        <v>1956.3333333357</v>
      </c>
      <c r="AE720" s="2">
        <v>-0.23197808846748708</v>
      </c>
      <c r="AF720" s="2">
        <v>1.5734353192061419</v>
      </c>
      <c r="AG720" s="2">
        <v>0.33414411092436347</v>
      </c>
      <c r="AH720" s="31"/>
      <c r="AI720" s="31">
        <v>1956.3333333357</v>
      </c>
      <c r="AJ720" s="2">
        <v>1.2411165932084434</v>
      </c>
      <c r="AK720" s="2">
        <v>1.6693262822256021</v>
      </c>
      <c r="AL720" s="2">
        <v>1.5707167016275538</v>
      </c>
      <c r="AM720" s="31"/>
      <c r="AN720" s="2">
        <f t="shared" si="107"/>
        <v>0.34043464218683389</v>
      </c>
      <c r="AO720" s="2">
        <f t="shared" si="100"/>
        <v>1.6186165719745966</v>
      </c>
      <c r="AP720" s="2">
        <f t="shared" si="101"/>
        <v>1.1163990171770803</v>
      </c>
      <c r="AQ720" s="31"/>
      <c r="AR720" s="31">
        <v>1956.3333333357</v>
      </c>
      <c r="AS720" s="2">
        <v>-0.12772343337056524</v>
      </c>
      <c r="AT720" s="2">
        <v>0.58792153404252212</v>
      </c>
      <c r="AU720" s="2">
        <v>0.54448626628389407</v>
      </c>
      <c r="AV720" s="31"/>
      <c r="AW720" s="31">
        <v>1956.3333333357</v>
      </c>
      <c r="AX720" s="2">
        <v>-0.36972044758117328</v>
      </c>
      <c r="AY720" s="2">
        <v>0.72937496404377411</v>
      </c>
      <c r="AZ720" s="2">
        <v>-0.1220997534500511</v>
      </c>
      <c r="BA720" s="31"/>
      <c r="BB720" s="31">
        <v>1956.3333333357</v>
      </c>
      <c r="BC720" s="2">
        <v>1.1445891452420065</v>
      </c>
      <c r="BD720" s="2">
        <v>0.93967668087391998</v>
      </c>
      <c r="BE720" s="2">
        <v>1.3309861856621381</v>
      </c>
      <c r="BG720" s="2">
        <f t="shared" si="108"/>
        <v>0.21571508809675599</v>
      </c>
      <c r="BH720" s="2">
        <f t="shared" si="102"/>
        <v>0.75232439298673859</v>
      </c>
      <c r="BI720" s="2">
        <f t="shared" si="103"/>
        <v>0.58445756616532696</v>
      </c>
    </row>
    <row r="721" spans="6:61" x14ac:dyDescent="0.3">
      <c r="F721" s="31">
        <v>1956.2500000023699</v>
      </c>
      <c r="G721" s="2">
        <v>0.6446400544312455</v>
      </c>
      <c r="H721" s="2">
        <v>0.1844999999999995</v>
      </c>
      <c r="I721" s="2">
        <v>0.12319190656050973</v>
      </c>
      <c r="K721" s="31">
        <v>1956.2500000023699</v>
      </c>
      <c r="L721" s="2">
        <v>0.68689616204338422</v>
      </c>
      <c r="M721" s="2">
        <v>0.15377999999999986</v>
      </c>
      <c r="N721" s="2">
        <v>6.3591941850395142E-2</v>
      </c>
      <c r="P721" s="31">
        <v>1956.2500000023699</v>
      </c>
      <c r="Q721" s="2">
        <v>0.69868726400662307</v>
      </c>
      <c r="R721" s="2">
        <v>0.19170000000000093</v>
      </c>
      <c r="S721" s="2">
        <v>5.625055464680663E-2</v>
      </c>
      <c r="U721" s="2">
        <f t="shared" si="104"/>
        <v>0.67674116016041763</v>
      </c>
      <c r="V721" s="2">
        <f t="shared" si="105"/>
        <v>0.17666000000000012</v>
      </c>
      <c r="W721" s="2">
        <f t="shared" si="106"/>
        <v>8.1011467685903837E-2</v>
      </c>
      <c r="Y721" s="31">
        <v>1956.2500000023699</v>
      </c>
      <c r="Z721" s="2">
        <v>-0.51623744442534925</v>
      </c>
      <c r="AA721" s="2">
        <v>1.6130881144920455</v>
      </c>
      <c r="AB721" s="2">
        <v>1.1049818115146424</v>
      </c>
      <c r="AD721" s="31">
        <v>1956.2500000023699</v>
      </c>
      <c r="AE721" s="2">
        <v>-0.72817088134008467</v>
      </c>
      <c r="AF721" s="2">
        <v>1.5734353192061419</v>
      </c>
      <c r="AG721" s="2">
        <v>0.13331730616058285</v>
      </c>
      <c r="AH721" s="31"/>
      <c r="AI721" s="31">
        <v>1956.2500000023699</v>
      </c>
      <c r="AJ721" s="2">
        <v>0.62103543933080152</v>
      </c>
      <c r="AK721" s="2">
        <v>2.2400554914402537</v>
      </c>
      <c r="AL721" s="2">
        <v>0.91733842596825632</v>
      </c>
      <c r="AM721" s="31"/>
      <c r="AN721" s="2">
        <f t="shared" si="107"/>
        <v>-0.20779096214487747</v>
      </c>
      <c r="AO721" s="2">
        <f t="shared" si="100"/>
        <v>1.8088596417128138</v>
      </c>
      <c r="AP721" s="2">
        <f t="shared" si="101"/>
        <v>0.7185458478811606</v>
      </c>
      <c r="AQ721" s="31"/>
      <c r="AR721" s="31">
        <v>1956.2500000023699</v>
      </c>
      <c r="AS721" s="2">
        <v>-0.4441589019501847</v>
      </c>
      <c r="AT721" s="2">
        <v>0.61938737125940624</v>
      </c>
      <c r="AU721" s="2">
        <v>0.306259477067301</v>
      </c>
      <c r="AV721" s="31"/>
      <c r="AW721" s="31">
        <v>1956.2500000023699</v>
      </c>
      <c r="AX721" s="2">
        <v>-0.68413191760112191</v>
      </c>
      <c r="AY721" s="2">
        <v>0.5591995610722349</v>
      </c>
      <c r="AZ721" s="2">
        <v>-0.37153626141549928</v>
      </c>
      <c r="BA721" s="31"/>
      <c r="BB721" s="31">
        <v>1956.2500000023699</v>
      </c>
      <c r="BC721" s="2">
        <v>1.0021910326362753</v>
      </c>
      <c r="BD721" s="2">
        <v>1.1204684408565393</v>
      </c>
      <c r="BE721" s="2">
        <v>1.1164124757337652</v>
      </c>
      <c r="BG721" s="2">
        <f t="shared" si="108"/>
        <v>-4.2033262305010442E-2</v>
      </c>
      <c r="BH721" s="2">
        <f t="shared" si="102"/>
        <v>0.76635179106272677</v>
      </c>
      <c r="BI721" s="2">
        <f t="shared" si="103"/>
        <v>0.350378563795189</v>
      </c>
    </row>
    <row r="722" spans="6:61" x14ac:dyDescent="0.3">
      <c r="F722" s="31">
        <v>1956.1666666690401</v>
      </c>
      <c r="G722" s="2">
        <v>0.63348397007906732</v>
      </c>
      <c r="H722" s="2">
        <v>0.1844999999999995</v>
      </c>
      <c r="I722" s="2">
        <v>0.1239625619671989</v>
      </c>
      <c r="K722" s="31">
        <v>1956.1666666690401</v>
      </c>
      <c r="L722" s="2">
        <v>0.69830889926309214</v>
      </c>
      <c r="M722" s="2">
        <v>9.2264999999999903E-2</v>
      </c>
      <c r="N722" s="2">
        <v>4.2957367697044155E-2</v>
      </c>
      <c r="P722" s="31">
        <v>1956.1666666690401</v>
      </c>
      <c r="Q722" s="2">
        <v>0.63915699136658954</v>
      </c>
      <c r="R722" s="2">
        <v>0.1198000000000006</v>
      </c>
      <c r="S722" s="2">
        <v>5.1048435142310895E-2</v>
      </c>
      <c r="U722" s="2">
        <f t="shared" si="104"/>
        <v>0.6569832869029163</v>
      </c>
      <c r="V722" s="2">
        <f t="shared" si="105"/>
        <v>0.13218833333333332</v>
      </c>
      <c r="W722" s="2">
        <f t="shared" si="106"/>
        <v>7.2656121602184653E-2</v>
      </c>
      <c r="Y722" s="31">
        <v>1956.1666666690401</v>
      </c>
      <c r="Z722" s="2">
        <v>-0.58092127151346806</v>
      </c>
      <c r="AA722" s="2">
        <v>1.6130881144920455</v>
      </c>
      <c r="AB722" s="2">
        <v>1.1227178592706335</v>
      </c>
      <c r="AD722" s="31">
        <v>1956.1666666690401</v>
      </c>
      <c r="AE722" s="2">
        <v>-0.66025645908888331</v>
      </c>
      <c r="AF722" s="2">
        <v>6.6874490811640125E-2</v>
      </c>
      <c r="AG722" s="2">
        <v>-0.651308464316533</v>
      </c>
      <c r="AH722" s="31"/>
      <c r="AI722" s="31">
        <v>1956.1666666690401</v>
      </c>
      <c r="AJ722" s="2">
        <v>0.18211246726650426</v>
      </c>
      <c r="AK722" s="2">
        <v>0.52667636231568804</v>
      </c>
      <c r="AL722" s="2">
        <v>0.49691423644412186</v>
      </c>
      <c r="AM722" s="31"/>
      <c r="AN722" s="2">
        <f t="shared" si="107"/>
        <v>-0.35302175444528233</v>
      </c>
      <c r="AO722" s="2">
        <f t="shared" si="100"/>
        <v>0.73554632253979124</v>
      </c>
      <c r="AP722" s="2">
        <f t="shared" si="101"/>
        <v>0.32277454379940745</v>
      </c>
      <c r="AQ722" s="31"/>
      <c r="AR722" s="31">
        <v>1956.1666666690401</v>
      </c>
      <c r="AS722" s="2">
        <v>-0.24013870990090636</v>
      </c>
      <c r="AT722" s="2">
        <v>0.80409366606843113</v>
      </c>
      <c r="AU722" s="2">
        <v>0.66441096662989352</v>
      </c>
      <c r="AV722" s="31"/>
      <c r="AW722" s="31">
        <v>1956.1666666690401</v>
      </c>
      <c r="AX722" s="2">
        <v>-0.46766512195953741</v>
      </c>
      <c r="AY722" s="2">
        <v>-0.48231704140909132</v>
      </c>
      <c r="AZ722" s="2">
        <v>-0.68071401762356942</v>
      </c>
      <c r="BA722" s="31"/>
      <c r="BB722" s="31">
        <v>1956.1666666690401</v>
      </c>
      <c r="BC722" s="2">
        <v>0.83624788666997196</v>
      </c>
      <c r="BD722" s="2">
        <v>0.3086063174042078</v>
      </c>
      <c r="BE722" s="2">
        <v>1.066472741937857</v>
      </c>
      <c r="BG722" s="2">
        <f t="shared" si="108"/>
        <v>4.2814684936509396E-2</v>
      </c>
      <c r="BH722" s="2">
        <f t="shared" si="102"/>
        <v>0.21012764735451586</v>
      </c>
      <c r="BI722" s="2">
        <f t="shared" si="103"/>
        <v>0.35005656364806037</v>
      </c>
    </row>
    <row r="723" spans="6:61" x14ac:dyDescent="0.3">
      <c r="F723" s="31">
        <v>1956.08333333571</v>
      </c>
      <c r="G723" s="2">
        <v>0.61224570923170529</v>
      </c>
      <c r="H723" s="2">
        <v>9.2249999999999804E-2</v>
      </c>
      <c r="I723" s="2">
        <v>5.341328664459237E-2</v>
      </c>
      <c r="K723" s="31">
        <v>1956.08333333571</v>
      </c>
      <c r="L723" s="2">
        <v>0.72655298844753013</v>
      </c>
      <c r="M723" s="2">
        <v>9.2264999999999903E-2</v>
      </c>
      <c r="N723" s="2">
        <v>4.4695209588211687E-2</v>
      </c>
      <c r="P723" s="31">
        <v>1956.08333333571</v>
      </c>
      <c r="Q723" s="2">
        <v>0.67715813498973798</v>
      </c>
      <c r="R723" s="2">
        <v>9.5850000000000463E-2</v>
      </c>
      <c r="S723" s="2">
        <v>4.9418962257526719E-2</v>
      </c>
      <c r="U723" s="2">
        <f t="shared" si="104"/>
        <v>0.6719856108896578</v>
      </c>
      <c r="V723" s="2">
        <f t="shared" si="105"/>
        <v>9.3455000000000066E-2</v>
      </c>
      <c r="W723" s="2">
        <f t="shared" si="106"/>
        <v>4.9175819496776928E-2</v>
      </c>
      <c r="Y723" s="31">
        <v>1956.08333333571</v>
      </c>
      <c r="Z723" s="2">
        <v>-0.70406232611072062</v>
      </c>
      <c r="AA723" s="2">
        <v>-0.18830136807447412</v>
      </c>
      <c r="AB723" s="2">
        <v>-0.50092002792449941</v>
      </c>
      <c r="AD723" s="31">
        <v>1956.08333333571</v>
      </c>
      <c r="AE723" s="2">
        <v>-0.49218275669432321</v>
      </c>
      <c r="AF723" s="2">
        <v>6.6874490811640125E-2</v>
      </c>
      <c r="AG723" s="2">
        <v>-0.5852273558482346</v>
      </c>
      <c r="AH723" s="31"/>
      <c r="AI723" s="31">
        <v>1956.08333333571</v>
      </c>
      <c r="AJ723" s="2">
        <v>4.5756497901576959E-2</v>
      </c>
      <c r="AK723" s="2">
        <v>-4.4052846898962821E-2</v>
      </c>
      <c r="AL723" s="2">
        <v>0.36522371754218291</v>
      </c>
      <c r="AM723" s="31"/>
      <c r="AN723" s="2">
        <f t="shared" si="107"/>
        <v>-0.38349619496782222</v>
      </c>
      <c r="AO723" s="2">
        <f t="shared" si="100"/>
        <v>-5.5159908053932276E-2</v>
      </c>
      <c r="AP723" s="2">
        <f t="shared" si="101"/>
        <v>-0.24030788874351705</v>
      </c>
      <c r="AQ723" s="31"/>
      <c r="AR723" s="31">
        <v>1956.08333333571</v>
      </c>
      <c r="AS723" s="2">
        <v>-0.2136502490020655</v>
      </c>
      <c r="AT723" s="2">
        <v>0.50956041230593874</v>
      </c>
      <c r="AU723" s="2">
        <v>9.5236888062936301E-2</v>
      </c>
      <c r="AV723" s="31"/>
      <c r="AW723" s="31">
        <v>1956.08333333571</v>
      </c>
      <c r="AX723" s="2">
        <v>-0.20077061792455222</v>
      </c>
      <c r="AY723" s="2">
        <v>0.56051139147476758</v>
      </c>
      <c r="AZ723" s="2">
        <v>-0.64447954524362561</v>
      </c>
      <c r="BA723" s="31"/>
      <c r="BB723" s="31">
        <v>1956.08333333571</v>
      </c>
      <c r="BC723" s="2">
        <v>0.80391824368630671</v>
      </c>
      <c r="BD723" s="2">
        <v>-1.4615836317459097E-2</v>
      </c>
      <c r="BE723" s="2">
        <v>0.88209970160926199</v>
      </c>
      <c r="BG723" s="2">
        <f t="shared" si="108"/>
        <v>0.12983245891989634</v>
      </c>
      <c r="BH723" s="2">
        <f t="shared" si="102"/>
        <v>0.35181865582108235</v>
      </c>
      <c r="BI723" s="2">
        <f t="shared" si="103"/>
        <v>0.11095234814285755</v>
      </c>
    </row>
    <row r="724" spans="6:61" x14ac:dyDescent="0.3">
      <c r="F724" s="31">
        <v>1956.0000000023799</v>
      </c>
      <c r="G724" s="2">
        <v>0.52499901886203304</v>
      </c>
      <c r="H724" s="2">
        <v>6.1499999999999902E-2</v>
      </c>
      <c r="I724" s="2">
        <v>3.2287439660014981E-2</v>
      </c>
      <c r="K724" s="31">
        <v>1956.0000000023799</v>
      </c>
      <c r="L724" s="2">
        <v>0.77422796788217541</v>
      </c>
      <c r="M724" s="2">
        <v>6.1514999999999952E-2</v>
      </c>
      <c r="N724" s="2">
        <v>4.7628109987263439E-2</v>
      </c>
      <c r="P724" s="31">
        <v>1956.0000000023799</v>
      </c>
      <c r="Q724" s="2">
        <v>0.71218561976017469</v>
      </c>
      <c r="R724" s="2">
        <v>9.5800000000000607E-2</v>
      </c>
      <c r="S724" s="2">
        <v>3.1763143012212912E-2</v>
      </c>
      <c r="U724" s="2">
        <f t="shared" si="104"/>
        <v>0.67047086883479434</v>
      </c>
      <c r="V724" s="2">
        <f t="shared" si="105"/>
        <v>7.2938333333333494E-2</v>
      </c>
      <c r="W724" s="2">
        <f t="shared" si="106"/>
        <v>3.7226230886497118E-2</v>
      </c>
      <c r="Y724" s="31">
        <v>1956.0000000023799</v>
      </c>
      <c r="Z724" s="2">
        <v>-1.2099252844506383</v>
      </c>
      <c r="AA724" s="2">
        <v>-0.78876452892998072</v>
      </c>
      <c r="AB724" s="2">
        <v>-0.98711532059614093</v>
      </c>
      <c r="AD724" s="31">
        <v>1956.0000000023799</v>
      </c>
      <c r="AE724" s="2">
        <v>-0.20848055433828766</v>
      </c>
      <c r="AF724" s="2">
        <v>-0.68622224125583742</v>
      </c>
      <c r="AG724" s="2">
        <v>-0.47370437416533379</v>
      </c>
      <c r="AH724" s="31"/>
      <c r="AI724" s="31">
        <v>1956.0000000023799</v>
      </c>
      <c r="AJ724" s="2">
        <v>-2.891209913326856E-2</v>
      </c>
      <c r="AK724" s="2">
        <v>-4.5244348379574514E-2</v>
      </c>
      <c r="AL724" s="2">
        <v>-1.061681890870058</v>
      </c>
      <c r="AM724" s="31"/>
      <c r="AN724" s="2">
        <f t="shared" si="107"/>
        <v>-0.48243931264073153</v>
      </c>
      <c r="AO724" s="2">
        <f t="shared" si="100"/>
        <v>-0.5067437061884642</v>
      </c>
      <c r="AP724" s="2">
        <f t="shared" si="101"/>
        <v>-0.84083386187717757</v>
      </c>
      <c r="AQ724" s="31"/>
      <c r="AR724" s="31">
        <v>1956.0000000023799</v>
      </c>
      <c r="AS724" s="2">
        <v>-0.59184035884549757</v>
      </c>
      <c r="AT724" s="2">
        <v>-0.29853293598826319</v>
      </c>
      <c r="AU724" s="2">
        <v>-0.76105443798064076</v>
      </c>
      <c r="AV724" s="31"/>
      <c r="AW724" s="31">
        <v>1956.0000000023799</v>
      </c>
      <c r="AX724" s="2">
        <v>8.073637438191697E-2</v>
      </c>
      <c r="AY724" s="2">
        <v>-0.21981065223360952</v>
      </c>
      <c r="AZ724" s="2">
        <v>1.1037733879194451E-2</v>
      </c>
      <c r="BA724" s="31"/>
      <c r="BB724" s="31">
        <v>1956.0000000023799</v>
      </c>
      <c r="BC724" s="2">
        <v>0.44754879394291469</v>
      </c>
      <c r="BD724" s="2">
        <v>0.7536333975213223</v>
      </c>
      <c r="BE724" s="2">
        <v>-0.41048679339093114</v>
      </c>
      <c r="BG724" s="2">
        <f t="shared" si="108"/>
        <v>-2.1185063506888646E-2</v>
      </c>
      <c r="BH724" s="2">
        <f t="shared" si="102"/>
        <v>7.8429936433149869E-2</v>
      </c>
      <c r="BI724" s="2">
        <f t="shared" si="103"/>
        <v>-0.38683449916412577</v>
      </c>
    </row>
    <row r="725" spans="6:61" x14ac:dyDescent="0.3">
      <c r="F725" s="31">
        <v>1955.9166666690501</v>
      </c>
      <c r="G725" s="2">
        <v>0.64167142883400152</v>
      </c>
      <c r="H725" s="2">
        <v>9.2249999999999804E-2</v>
      </c>
      <c r="I725" s="2">
        <v>5.6501375068444784E-2</v>
      </c>
      <c r="K725" s="31">
        <v>1955.9166666690501</v>
      </c>
      <c r="L725" s="2">
        <v>0.72497749527552124</v>
      </c>
      <c r="M725" s="2">
        <v>0.1229999999999998</v>
      </c>
      <c r="N725" s="2">
        <v>4.4586115959444485E-2</v>
      </c>
      <c r="P725" s="31">
        <v>1955.9166666690501</v>
      </c>
      <c r="Q725" s="2">
        <v>0.75381236544997221</v>
      </c>
      <c r="R725" s="2">
        <v>7.1900000000000297E-2</v>
      </c>
      <c r="S725" s="2">
        <v>5.1079953214793708E-2</v>
      </c>
      <c r="U725" s="2">
        <f t="shared" si="104"/>
        <v>0.70682042985316507</v>
      </c>
      <c r="V725" s="2">
        <f t="shared" si="105"/>
        <v>9.571666666666663E-2</v>
      </c>
      <c r="W725" s="2">
        <f t="shared" si="106"/>
        <v>5.0722481414227659E-2</v>
      </c>
      <c r="Y725" s="31">
        <v>1955.9166666690501</v>
      </c>
      <c r="Z725" s="2">
        <v>-0.53344976182630199</v>
      </c>
      <c r="AA725" s="2">
        <v>-0.18830136807447412</v>
      </c>
      <c r="AB725" s="2">
        <v>-0.42985002272532719</v>
      </c>
      <c r="AD725" s="31">
        <v>1955.9166666690501</v>
      </c>
      <c r="AE725" s="2">
        <v>-0.50155813321249343</v>
      </c>
      <c r="AF725" s="2">
        <v>0.81960385861957141</v>
      </c>
      <c r="AG725" s="2">
        <v>-0.58937562040118685</v>
      </c>
      <c r="AH725" s="31"/>
      <c r="AI725" s="31">
        <v>1955.9166666690501</v>
      </c>
      <c r="AJ725" s="2">
        <v>0.26444416908548418</v>
      </c>
      <c r="AK725" s="2">
        <v>-0.61478205611361436</v>
      </c>
      <c r="AL725" s="2">
        <v>0.49946145975713835</v>
      </c>
      <c r="AM725" s="31"/>
      <c r="AN725" s="2">
        <f t="shared" si="107"/>
        <v>-0.25685457531777039</v>
      </c>
      <c r="AO725" s="2">
        <f t="shared" si="100"/>
        <v>5.5068114771609777E-3</v>
      </c>
      <c r="AP725" s="2">
        <f t="shared" si="101"/>
        <v>-0.1732547277897919</v>
      </c>
      <c r="AQ725" s="31"/>
      <c r="AR725" s="31">
        <v>1955.9166666690501</v>
      </c>
      <c r="AS725" s="2">
        <v>-0.25601801081146858</v>
      </c>
      <c r="AT725" s="2">
        <v>0.68444756444045307</v>
      </c>
      <c r="AU725" s="2">
        <v>0.19795039191565186</v>
      </c>
      <c r="AV725" s="31"/>
      <c r="AW725" s="31">
        <v>1955.9166666690501</v>
      </c>
      <c r="AX725" s="2">
        <v>-0.24993043924052308</v>
      </c>
      <c r="AY725" s="2">
        <v>2.6297950605231737</v>
      </c>
      <c r="AZ725" s="2">
        <v>-0.36093733384677912</v>
      </c>
      <c r="BA725" s="31"/>
      <c r="BB725" s="31">
        <v>1955.9166666690501</v>
      </c>
      <c r="BC725" s="2">
        <v>0.82041549538064007</v>
      </c>
      <c r="BD725" s="2">
        <v>-0.44318112469553572</v>
      </c>
      <c r="BE725" s="2">
        <v>0.95642088270813808</v>
      </c>
      <c r="BG725" s="2">
        <f t="shared" si="108"/>
        <v>0.10482234844288281</v>
      </c>
      <c r="BH725" s="2">
        <f t="shared" si="102"/>
        <v>0.95702050008936368</v>
      </c>
      <c r="BI725" s="2">
        <f t="shared" si="103"/>
        <v>0.26447798025900365</v>
      </c>
    </row>
    <row r="726" spans="6:61" x14ac:dyDescent="0.3">
      <c r="F726" s="31">
        <v>1955.83333333572</v>
      </c>
      <c r="G726" s="2">
        <v>0.58727018425658406</v>
      </c>
      <c r="H726" s="2">
        <v>6.1499999999999902E-2</v>
      </c>
      <c r="I726" s="2">
        <v>3.6117116331779865E-2</v>
      </c>
      <c r="K726" s="31">
        <v>1955.83333333572</v>
      </c>
      <c r="L726" s="2">
        <v>0.8422081337886822</v>
      </c>
      <c r="M726" s="2">
        <v>6.1514999999999952E-2</v>
      </c>
      <c r="N726" s="2">
        <v>5.1809369567731314E-2</v>
      </c>
      <c r="P726" s="31">
        <v>1955.83333333572</v>
      </c>
      <c r="Q726" s="2">
        <v>0.81352722357980578</v>
      </c>
      <c r="R726" s="2">
        <v>9.5800000000000607E-2</v>
      </c>
      <c r="S726" s="2">
        <v>3.5008075542420268E-2</v>
      </c>
      <c r="U726" s="2">
        <f t="shared" si="104"/>
        <v>0.74766851387502398</v>
      </c>
      <c r="V726" s="2">
        <f t="shared" si="105"/>
        <v>7.2938333333333494E-2</v>
      </c>
      <c r="W726" s="2">
        <f t="shared" si="106"/>
        <v>4.0978187147310476E-2</v>
      </c>
      <c r="Y726" s="31">
        <v>1955.83333333572</v>
      </c>
      <c r="Z726" s="2">
        <v>-0.84887232287363601</v>
      </c>
      <c r="AA726" s="2">
        <v>-0.78876452892998072</v>
      </c>
      <c r="AB726" s="2">
        <v>-0.89897822618161694</v>
      </c>
      <c r="AD726" s="31">
        <v>1955.83333333572</v>
      </c>
      <c r="AE726" s="2">
        <v>0.19605287206083297</v>
      </c>
      <c r="AF726" s="2">
        <v>-0.68622224125583742</v>
      </c>
      <c r="AG726" s="2">
        <v>-0.31471277126100877</v>
      </c>
      <c r="AH726" s="31"/>
      <c r="AI726" s="31">
        <v>1955.83333333572</v>
      </c>
      <c r="AJ726" s="2">
        <v>0.41280011216606105</v>
      </c>
      <c r="AK726" s="2">
        <v>-4.5244348379574514E-2</v>
      </c>
      <c r="AL726" s="2">
        <v>-0.79943337314686347</v>
      </c>
      <c r="AM726" s="31"/>
      <c r="AN726" s="2">
        <f t="shared" si="107"/>
        <v>-8.0006446215580659E-2</v>
      </c>
      <c r="AO726" s="2">
        <f t="shared" si="100"/>
        <v>-0.5067437061884642</v>
      </c>
      <c r="AP726" s="2">
        <f t="shared" si="101"/>
        <v>-0.67104145686316308</v>
      </c>
      <c r="AQ726" s="31"/>
      <c r="AR726" s="31">
        <v>1955.83333333572</v>
      </c>
      <c r="AS726" s="2">
        <v>-0.452375628772963</v>
      </c>
      <c r="AT726" s="2">
        <v>-0.28549293171717766</v>
      </c>
      <c r="AU726" s="2">
        <v>-0.6171025901873296</v>
      </c>
      <c r="AV726" s="31"/>
      <c r="AW726" s="31">
        <v>1955.83333333572</v>
      </c>
      <c r="AX726" s="2">
        <v>0.27246750483365445</v>
      </c>
      <c r="AY726" s="2">
        <v>-0.19138401234735175</v>
      </c>
      <c r="AZ726" s="2">
        <v>0.21669008596016409</v>
      </c>
      <c r="BA726" s="31"/>
      <c r="BB726" s="31">
        <v>1955.83333333572</v>
      </c>
      <c r="BC726" s="2">
        <v>0.35340954176199707</v>
      </c>
      <c r="BD726" s="2">
        <v>0.77503763331420128</v>
      </c>
      <c r="BE726" s="2">
        <v>-0.3412871428900297</v>
      </c>
      <c r="BG726" s="2">
        <f t="shared" si="108"/>
        <v>5.7833805940896189E-2</v>
      </c>
      <c r="BH726" s="2">
        <f t="shared" si="102"/>
        <v>9.9386896416557277E-2</v>
      </c>
      <c r="BI726" s="2">
        <f t="shared" si="103"/>
        <v>-0.24723321570573176</v>
      </c>
    </row>
    <row r="727" spans="6:61" x14ac:dyDescent="0.3">
      <c r="F727" s="31">
        <v>1955.7500000023899</v>
      </c>
      <c r="G727" s="2">
        <v>0.68014872480134003</v>
      </c>
      <c r="H727" s="2">
        <v>9.2249999999999804E-2</v>
      </c>
      <c r="I727" s="2">
        <v>6.0513371043940264E-2</v>
      </c>
      <c r="K727" s="31">
        <v>1955.7500000023899</v>
      </c>
      <c r="L727" s="2">
        <v>0.88166471069578289</v>
      </c>
      <c r="M727" s="2">
        <v>9.2264999999999903E-2</v>
      </c>
      <c r="N727" s="2">
        <v>5.4236144483110219E-2</v>
      </c>
      <c r="P727" s="31">
        <v>1955.7500000023899</v>
      </c>
      <c r="Q727" s="2">
        <v>0.85920712880981698</v>
      </c>
      <c r="R727" s="2">
        <v>9.5850000000000463E-2</v>
      </c>
      <c r="S727" s="2">
        <v>5.4290543641229122E-2</v>
      </c>
      <c r="U727" s="2">
        <f t="shared" si="104"/>
        <v>0.80700685476898004</v>
      </c>
      <c r="V727" s="2">
        <f t="shared" si="105"/>
        <v>9.3455000000000066E-2</v>
      </c>
      <c r="W727" s="2">
        <f t="shared" si="106"/>
        <v>5.6346686389426533E-2</v>
      </c>
      <c r="Y727" s="31">
        <v>1955.7500000023899</v>
      </c>
      <c r="Z727" s="2">
        <v>-0.31035546811170184</v>
      </c>
      <c r="AA727" s="2">
        <v>-0.18830136807447412</v>
      </c>
      <c r="AB727" s="2">
        <v>-0.33751698827101678</v>
      </c>
      <c r="AD727" s="31">
        <v>1955.7500000023899</v>
      </c>
      <c r="AE727" s="2">
        <v>0.43084936067431673</v>
      </c>
      <c r="AF727" s="2">
        <v>6.6874490811640125E-2</v>
      </c>
      <c r="AG727" s="2">
        <v>-0.22243511514836789</v>
      </c>
      <c r="AH727" s="31"/>
      <c r="AI727" s="31">
        <v>1955.7500000023899</v>
      </c>
      <c r="AJ727" s="2">
        <v>0.55052471127425484</v>
      </c>
      <c r="AK727" s="2">
        <v>-4.4052846898962821E-2</v>
      </c>
      <c r="AL727" s="2">
        <v>0.75893452198908673</v>
      </c>
      <c r="AM727" s="31"/>
      <c r="AN727" s="2">
        <f t="shared" si="107"/>
        <v>0.22367286794562324</v>
      </c>
      <c r="AO727" s="2">
        <f t="shared" si="100"/>
        <v>-5.5159908053932276E-2</v>
      </c>
      <c r="AP727" s="2">
        <f t="shared" si="101"/>
        <v>6.6327472856567357E-2</v>
      </c>
      <c r="AQ727" s="31"/>
      <c r="AR727" s="31">
        <v>1955.7500000023899</v>
      </c>
      <c r="AS727" s="2">
        <v>-0.45628379384906509</v>
      </c>
      <c r="AT727" s="2">
        <v>0.89414149018552891</v>
      </c>
      <c r="AU727" s="2">
        <v>0.2144065776546594</v>
      </c>
      <c r="AV727" s="31"/>
      <c r="AW727" s="31">
        <v>1955.7500000023899</v>
      </c>
      <c r="AX727" s="2">
        <v>0.55443387859704041</v>
      </c>
      <c r="AY727" s="2">
        <v>0.96231815385189867</v>
      </c>
      <c r="AZ727" s="2">
        <v>3.0586396139157036E-3</v>
      </c>
      <c r="BA727" s="31"/>
      <c r="BB727" s="31">
        <v>1955.7500000023899</v>
      </c>
      <c r="BC727" s="2">
        <v>0.49822972464530951</v>
      </c>
      <c r="BD727" s="2">
        <v>0.36965282471677957</v>
      </c>
      <c r="BE727" s="2">
        <v>0.49732084581687963</v>
      </c>
      <c r="BG727" s="2">
        <f t="shared" si="108"/>
        <v>0.1987932697977616</v>
      </c>
      <c r="BH727" s="2">
        <f t="shared" si="102"/>
        <v>0.7420374895847357</v>
      </c>
      <c r="BI727" s="2">
        <f t="shared" si="103"/>
        <v>0.23826202102848493</v>
      </c>
    </row>
    <row r="728" spans="6:61" x14ac:dyDescent="0.3">
      <c r="F728" s="31">
        <v>1955.6666666690601</v>
      </c>
      <c r="G728" s="2">
        <v>0.62961372332195031</v>
      </c>
      <c r="H728" s="2">
        <v>6.1499999999999902E-2</v>
      </c>
      <c r="I728" s="2">
        <v>3.872124398429988E-2</v>
      </c>
      <c r="K728" s="31">
        <v>1955.6666666690601</v>
      </c>
      <c r="L728" s="2">
        <v>0.91659177050940976</v>
      </c>
      <c r="M728" s="2">
        <v>6.1499999999999902E-2</v>
      </c>
      <c r="N728" s="2">
        <v>5.6370393886328612E-2</v>
      </c>
      <c r="P728" s="31">
        <v>1955.6666666690601</v>
      </c>
      <c r="Q728" s="2">
        <v>0.89806714787715969</v>
      </c>
      <c r="R728" s="2">
        <v>4.7900000000000303E-2</v>
      </c>
      <c r="S728" s="2">
        <v>3.6101042120533722E-2</v>
      </c>
      <c r="U728" s="2">
        <f t="shared" si="104"/>
        <v>0.81475754723617333</v>
      </c>
      <c r="V728" s="2">
        <f t="shared" si="105"/>
        <v>5.69666666666667E-2</v>
      </c>
      <c r="W728" s="2">
        <f t="shared" si="106"/>
        <v>4.3730893330387405E-2</v>
      </c>
      <c r="Y728" s="31">
        <v>1955.6666666690601</v>
      </c>
      <c r="Z728" s="2">
        <v>-0.60336125709647692</v>
      </c>
      <c r="AA728" s="2">
        <v>-0.78876452892998072</v>
      </c>
      <c r="AB728" s="2">
        <v>-0.83904620986550937</v>
      </c>
      <c r="AD728" s="31">
        <v>1955.6666666690601</v>
      </c>
      <c r="AE728" s="2">
        <v>0.63869179518507335</v>
      </c>
      <c r="AF728" s="2">
        <v>-0.68658960551538373</v>
      </c>
      <c r="AG728" s="2">
        <v>-0.141280686181458</v>
      </c>
      <c r="AH728" s="31"/>
      <c r="AI728" s="31">
        <v>1955.6666666690601</v>
      </c>
      <c r="AJ728" s="2">
        <v>0.56157876306266563</v>
      </c>
      <c r="AK728" s="2">
        <v>-1.186702766808877</v>
      </c>
      <c r="AL728" s="2">
        <v>-0.71110214827146379</v>
      </c>
      <c r="AM728" s="31"/>
      <c r="AN728" s="2">
        <f t="shared" si="107"/>
        <v>0.19896976705042066</v>
      </c>
      <c r="AO728" s="2">
        <f t="shared" si="100"/>
        <v>-0.88735230041808055</v>
      </c>
      <c r="AP728" s="2">
        <f t="shared" si="101"/>
        <v>-0.56380968143947707</v>
      </c>
      <c r="AQ728" s="31"/>
      <c r="AR728" s="31">
        <v>1955.6666666690601</v>
      </c>
      <c r="AS728" s="2">
        <v>-0.47160998340852872</v>
      </c>
      <c r="AT728" s="2">
        <v>-0.32631334910519749</v>
      </c>
      <c r="AU728" s="2">
        <v>-0.64128254700426712</v>
      </c>
      <c r="AV728" s="31"/>
      <c r="AW728" s="31">
        <v>1955.6666666690601</v>
      </c>
      <c r="AX728" s="2">
        <v>0.31206873843413241</v>
      </c>
      <c r="AY728" s="2">
        <v>-0.23903137022338633</v>
      </c>
      <c r="AZ728" s="2">
        <v>0.29569202155439023</v>
      </c>
      <c r="BA728" s="31"/>
      <c r="BB728" s="31">
        <v>1955.6666666690601</v>
      </c>
      <c r="BC728" s="2">
        <v>0.23020481564675732</v>
      </c>
      <c r="BD728" s="2">
        <v>-1.0289872901111137</v>
      </c>
      <c r="BE728" s="2">
        <v>-0.63740269358385315</v>
      </c>
      <c r="BG728" s="2">
        <f t="shared" si="108"/>
        <v>2.3554523557453671E-2</v>
      </c>
      <c r="BH728" s="2">
        <f t="shared" si="102"/>
        <v>-0.53144400314656581</v>
      </c>
      <c r="BI728" s="2">
        <f t="shared" si="103"/>
        <v>-0.32766440634457666</v>
      </c>
    </row>
    <row r="729" spans="6:61" x14ac:dyDescent="0.3">
      <c r="F729" s="31">
        <v>1955.58333333573</v>
      </c>
      <c r="G729" s="2">
        <v>0.71683265838789723</v>
      </c>
      <c r="H729" s="2">
        <v>9.2249999999999804E-2</v>
      </c>
      <c r="I729" s="2">
        <v>6.4549297408352233E-2</v>
      </c>
      <c r="K729" s="31">
        <v>1955.58333333573</v>
      </c>
      <c r="L729" s="2">
        <v>0.94137368494567819</v>
      </c>
      <c r="M729" s="2">
        <v>9.2264999999999903E-2</v>
      </c>
      <c r="N729" s="2">
        <v>5.7908444649877863E-2</v>
      </c>
      <c r="P729" s="31">
        <v>1955.58333333573</v>
      </c>
      <c r="Q729" s="2">
        <v>0.84949678485019686</v>
      </c>
      <c r="R729" s="2">
        <v>9.5850000000000463E-2</v>
      </c>
      <c r="S729" s="2">
        <v>5.8598345265507709E-2</v>
      </c>
      <c r="U729" s="2">
        <f t="shared" si="104"/>
        <v>0.83590104272792409</v>
      </c>
      <c r="V729" s="2">
        <f t="shared" si="105"/>
        <v>9.3455000000000066E-2</v>
      </c>
      <c r="W729" s="2">
        <f t="shared" si="106"/>
        <v>6.0352029107912597E-2</v>
      </c>
      <c r="Y729" s="31">
        <v>1955.58333333573</v>
      </c>
      <c r="Z729" s="2">
        <v>-9.7659226122315326E-2</v>
      </c>
      <c r="AA729" s="2">
        <v>-0.18830136807447412</v>
      </c>
      <c r="AB729" s="2">
        <v>-0.24463321412558342</v>
      </c>
      <c r="AD729" s="31">
        <v>1955.58333333573</v>
      </c>
      <c r="AE729" s="2">
        <v>0.78616293806844095</v>
      </c>
      <c r="AF729" s="2">
        <v>6.6874490811640125E-2</v>
      </c>
      <c r="AG729" s="2">
        <v>-8.2796597466364863E-2</v>
      </c>
      <c r="AH729" s="31"/>
      <c r="AI729" s="31">
        <v>1955.58333333573</v>
      </c>
      <c r="AJ729" s="2">
        <v>0.91332325262691338</v>
      </c>
      <c r="AK729" s="2">
        <v>-4.4052846898962821E-2</v>
      </c>
      <c r="AL729" s="2">
        <v>1.1070818501988475</v>
      </c>
      <c r="AM729" s="31"/>
      <c r="AN729" s="2">
        <f t="shared" si="107"/>
        <v>0.5339423215243464</v>
      </c>
      <c r="AO729" s="2">
        <f t="shared" si="100"/>
        <v>-5.5159908053932276E-2</v>
      </c>
      <c r="AP729" s="2">
        <f t="shared" si="101"/>
        <v>0.2598840128689664</v>
      </c>
      <c r="AQ729" s="31"/>
      <c r="AR729" s="31">
        <v>1955.58333333573</v>
      </c>
      <c r="AS729" s="2">
        <v>-0.59183513058552362</v>
      </c>
      <c r="AT729" s="2">
        <v>0.98806436351113314</v>
      </c>
      <c r="AU729" s="2">
        <v>0.15317064044356699</v>
      </c>
      <c r="AV729" s="31"/>
      <c r="AW729" s="31">
        <v>1955.58333333573</v>
      </c>
      <c r="AX729" s="2">
        <v>0.63749402671106903</v>
      </c>
      <c r="AY729" s="2">
        <v>1.4455061964040326</v>
      </c>
      <c r="AZ729" s="2">
        <v>0.37566539233467966</v>
      </c>
      <c r="BA729" s="31"/>
      <c r="BB729" s="31">
        <v>1955.58333333573</v>
      </c>
      <c r="BC729" s="2">
        <v>0.29618021004977507</v>
      </c>
      <c r="BD729" s="2">
        <v>0.77441334649330551</v>
      </c>
      <c r="BE729" s="2">
        <v>0.33964388966579828</v>
      </c>
      <c r="BG729" s="2">
        <f t="shared" si="108"/>
        <v>0.11394636872510684</v>
      </c>
      <c r="BH729" s="2">
        <f t="shared" si="102"/>
        <v>1.0693279688028239</v>
      </c>
      <c r="BI729" s="2">
        <f t="shared" si="103"/>
        <v>0.28949330748134833</v>
      </c>
    </row>
    <row r="730" spans="6:61" x14ac:dyDescent="0.3">
      <c r="F730" s="31">
        <v>1955.5000000023999</v>
      </c>
      <c r="G730" s="2">
        <v>0.69690617826274848</v>
      </c>
      <c r="H730" s="2">
        <v>6.1499999999999902E-2</v>
      </c>
      <c r="I730" s="2">
        <v>4.2859729963158961E-2</v>
      </c>
      <c r="K730" s="31">
        <v>1955.5000000023999</v>
      </c>
      <c r="L730" s="2">
        <v>0.95981513072464542</v>
      </c>
      <c r="M730" s="2">
        <v>6.1499999999999902E-2</v>
      </c>
      <c r="N730" s="2">
        <v>5.9028630539565599E-2</v>
      </c>
      <c r="P730" s="31">
        <v>1955.5000000023999</v>
      </c>
      <c r="Q730" s="2">
        <v>0.82984079883369621</v>
      </c>
      <c r="R730" s="2">
        <v>4.7900000000000303E-2</v>
      </c>
      <c r="S730" s="2">
        <v>3.9323908756195111E-2</v>
      </c>
      <c r="U730" s="2">
        <f t="shared" si="104"/>
        <v>0.82885403594036333</v>
      </c>
      <c r="V730" s="2">
        <f t="shared" si="105"/>
        <v>5.69666666666667E-2</v>
      </c>
      <c r="W730" s="2">
        <f t="shared" si="106"/>
        <v>4.7070756419639891E-2</v>
      </c>
      <c r="Y730" s="31">
        <v>1955.5000000023999</v>
      </c>
      <c r="Z730" s="2">
        <v>-0.21319447614382492</v>
      </c>
      <c r="AA730" s="2">
        <v>-0.78876452892998072</v>
      </c>
      <c r="AB730" s="2">
        <v>-0.74380210423614512</v>
      </c>
      <c r="AD730" s="31">
        <v>1955.5000000023999</v>
      </c>
      <c r="AE730" s="2">
        <v>0.89590349473285402</v>
      </c>
      <c r="AF730" s="2">
        <v>-0.68658960551538373</v>
      </c>
      <c r="AG730" s="2">
        <v>-4.0201741365053056E-2</v>
      </c>
      <c r="AH730" s="31"/>
      <c r="AI730" s="31">
        <v>1955.5000000023999</v>
      </c>
      <c r="AJ730" s="2">
        <v>1.0002872832271386</v>
      </c>
      <c r="AK730" s="2">
        <v>-1.186702766808877</v>
      </c>
      <c r="AL730" s="2">
        <v>-0.45063694902501605</v>
      </c>
      <c r="AM730" s="31"/>
      <c r="AN730" s="2">
        <f t="shared" si="107"/>
        <v>0.56099876727205589</v>
      </c>
      <c r="AO730" s="2">
        <f t="shared" si="100"/>
        <v>-0.88735230041808055</v>
      </c>
      <c r="AP730" s="2">
        <f t="shared" si="101"/>
        <v>-0.41154693154207145</v>
      </c>
      <c r="AQ730" s="31"/>
      <c r="AR730" s="31">
        <v>1955.5000000023999</v>
      </c>
      <c r="AS730" s="2">
        <v>-0.33060663445940675</v>
      </c>
      <c r="AT730" s="2">
        <v>-2.313009814913013E-2</v>
      </c>
      <c r="AU730" s="2">
        <v>-0.34598092710045858</v>
      </c>
      <c r="AV730" s="31"/>
      <c r="AW730" s="31">
        <v>1955.5000000023999</v>
      </c>
      <c r="AX730" s="2">
        <v>0.14509299803808082</v>
      </c>
      <c r="AY730" s="2">
        <v>-0.1083026392523672</v>
      </c>
      <c r="AZ730" s="2">
        <v>0.1447723942472714</v>
      </c>
      <c r="BA730" s="31"/>
      <c r="BB730" s="31">
        <v>1955.5000000023999</v>
      </c>
      <c r="BC730" s="2">
        <v>6.1454843183528347E-2</v>
      </c>
      <c r="BD730" s="2">
        <v>-0.38248368897839508</v>
      </c>
      <c r="BE730" s="2">
        <v>-0.17701501381691301</v>
      </c>
      <c r="BG730" s="2">
        <f t="shared" si="108"/>
        <v>-4.135293107926586E-2</v>
      </c>
      <c r="BH730" s="2">
        <f t="shared" si="102"/>
        <v>-0.17130547545996413</v>
      </c>
      <c r="BI730" s="2">
        <f t="shared" si="103"/>
        <v>-0.12607451555670005</v>
      </c>
    </row>
    <row r="731" spans="6:61" x14ac:dyDescent="0.3">
      <c r="F731" s="31">
        <v>1955.4166666690701</v>
      </c>
      <c r="G731" s="2">
        <v>0.81304983092125305</v>
      </c>
      <c r="H731" s="2">
        <v>0.1844999999999995</v>
      </c>
      <c r="I731" s="2">
        <v>0.15741728730602181</v>
      </c>
      <c r="K731" s="31">
        <v>1955.4166666690701</v>
      </c>
      <c r="L731" s="2">
        <v>0.92905617475350732</v>
      </c>
      <c r="M731" s="2">
        <v>0.18454499999999985</v>
      </c>
      <c r="N731" s="2">
        <v>0.11457755131938763</v>
      </c>
      <c r="P731" s="31">
        <v>1955.4166666690701</v>
      </c>
      <c r="Q731" s="2">
        <v>0.80288287829243732</v>
      </c>
      <c r="R731" s="2">
        <v>0.11985000000000046</v>
      </c>
      <c r="S731" s="2">
        <v>6.2709307848482915E-2</v>
      </c>
      <c r="U731" s="2">
        <f t="shared" si="104"/>
        <v>0.84832962798906586</v>
      </c>
      <c r="V731" s="2">
        <f t="shared" si="105"/>
        <v>0.16296499999999994</v>
      </c>
      <c r="W731" s="2">
        <f t="shared" si="106"/>
        <v>0.11156804882463078</v>
      </c>
      <c r="Y731" s="31">
        <v>1955.4166666690701</v>
      </c>
      <c r="Z731" s="2">
        <v>0.46021527128950529</v>
      </c>
      <c r="AA731" s="2">
        <v>1.6130881144920455</v>
      </c>
      <c r="AB731" s="2">
        <v>1.8926529056255936</v>
      </c>
      <c r="AD731" s="31">
        <v>1955.4166666690701</v>
      </c>
      <c r="AE731" s="2">
        <v>0.71286443200715999</v>
      </c>
      <c r="AF731" s="2">
        <v>2.3268994155331653</v>
      </c>
      <c r="AG731" s="2">
        <v>2.0720354408576802</v>
      </c>
      <c r="AH731" s="31"/>
      <c r="AI731" s="31">
        <v>1955.4166666690701</v>
      </c>
      <c r="AJ731" s="2">
        <v>1.2708834159561595</v>
      </c>
      <c r="AK731" s="2">
        <v>0.52786786379629969</v>
      </c>
      <c r="AL731" s="2">
        <v>1.4393210674290042</v>
      </c>
      <c r="AM731" s="31"/>
      <c r="AN731" s="2">
        <f t="shared" si="107"/>
        <v>0.81465437308427491</v>
      </c>
      <c r="AO731" s="2">
        <f t="shared" si="100"/>
        <v>1.4892851312738369</v>
      </c>
      <c r="AP731" s="2">
        <f t="shared" si="101"/>
        <v>1.8013364713040927</v>
      </c>
      <c r="AQ731" s="31"/>
      <c r="AR731" s="31">
        <v>1955.4166666690701</v>
      </c>
      <c r="AS731" s="2">
        <v>-0.14252650791893837</v>
      </c>
      <c r="AT731" s="2">
        <v>0.30752807372934249</v>
      </c>
      <c r="AU731" s="2">
        <v>0.26136172638779104</v>
      </c>
      <c r="AV731" s="31"/>
      <c r="AW731" s="31">
        <v>1955.4166666690701</v>
      </c>
      <c r="AX731" s="2">
        <v>0.29442945302728407</v>
      </c>
      <c r="AY731" s="2">
        <v>0.8823658282474357</v>
      </c>
      <c r="AZ731" s="2">
        <v>0.743607085086748</v>
      </c>
      <c r="BA731" s="31"/>
      <c r="BB731" s="31">
        <v>1955.4166666690701</v>
      </c>
      <c r="BC731" s="2">
        <v>0.58200513777636154</v>
      </c>
      <c r="BD731" s="2">
        <v>-0.91107126856247078</v>
      </c>
      <c r="BE731" s="2">
        <v>0.59976532885823441</v>
      </c>
      <c r="BG731" s="2">
        <f t="shared" si="108"/>
        <v>0.24463602762823575</v>
      </c>
      <c r="BH731" s="2">
        <f t="shared" si="102"/>
        <v>9.2940877804769131E-2</v>
      </c>
      <c r="BI731" s="2">
        <f t="shared" si="103"/>
        <v>0.53491138011092443</v>
      </c>
    </row>
    <row r="732" spans="6:61" x14ac:dyDescent="0.3">
      <c r="F732" s="31">
        <v>1955.33333333574</v>
      </c>
      <c r="G732" s="2">
        <v>0.77693789301255045</v>
      </c>
      <c r="H732" s="2">
        <v>0.15374999999999961</v>
      </c>
      <c r="I732" s="2">
        <v>0.12310867175447987</v>
      </c>
      <c r="K732" s="31">
        <v>1955.33333333574</v>
      </c>
      <c r="L732" s="2">
        <v>0.83270621357497621</v>
      </c>
      <c r="M732" s="2">
        <v>0.1230299999999999</v>
      </c>
      <c r="N732" s="2">
        <v>7.8622202959822585E-2</v>
      </c>
      <c r="P732" s="31">
        <v>1955.33333333574</v>
      </c>
      <c r="Q732" s="2">
        <v>0.75101263342433855</v>
      </c>
      <c r="R732" s="2">
        <v>0.11985000000000046</v>
      </c>
      <c r="S732" s="2">
        <v>6.0608018975622568E-2</v>
      </c>
      <c r="U732" s="2">
        <f t="shared" si="104"/>
        <v>0.78688558000395503</v>
      </c>
      <c r="V732" s="2">
        <f t="shared" si="105"/>
        <v>0.13220999999999999</v>
      </c>
      <c r="W732" s="2">
        <f t="shared" si="106"/>
        <v>8.744629789664167E-2</v>
      </c>
      <c r="Y732" s="31">
        <v>1955.33333333574</v>
      </c>
      <c r="Z732" s="2">
        <v>0.25083550382231745</v>
      </c>
      <c r="AA732" s="2">
        <v>1.012624953636539</v>
      </c>
      <c r="AB732" s="2">
        <v>1.1030662257912536</v>
      </c>
      <c r="AD732" s="31">
        <v>1955.33333333574</v>
      </c>
      <c r="AE732" s="2">
        <v>0.13950925687301488</v>
      </c>
      <c r="AF732" s="2">
        <v>0.82033858713866403</v>
      </c>
      <c r="AG732" s="2">
        <v>0.70484013555425717</v>
      </c>
      <c r="AH732" s="31"/>
      <c r="AI732" s="31">
        <v>1955.33333333574</v>
      </c>
      <c r="AJ732" s="2">
        <v>1.124827205637936</v>
      </c>
      <c r="AK732" s="2">
        <v>0.52786786379629969</v>
      </c>
      <c r="AL732" s="2">
        <v>1.2694993879068555</v>
      </c>
      <c r="AM732" s="31"/>
      <c r="AN732" s="2">
        <f t="shared" si="107"/>
        <v>0.50505732211108956</v>
      </c>
      <c r="AO732" s="2">
        <f t="shared" si="100"/>
        <v>0.78694380152383425</v>
      </c>
      <c r="AP732" s="2">
        <f t="shared" si="101"/>
        <v>1.0258019164174554</v>
      </c>
      <c r="AQ732" s="31"/>
      <c r="AR732" s="31">
        <v>1955.33333333574</v>
      </c>
      <c r="AS732" s="2">
        <v>0.14150875227902962</v>
      </c>
      <c r="AT732" s="2">
        <v>-1.8664175683889669E-2</v>
      </c>
      <c r="AU732" s="2">
        <v>0.19188725819950911</v>
      </c>
      <c r="AV732" s="31"/>
      <c r="AW732" s="31">
        <v>1955.33333333574</v>
      </c>
      <c r="AX732" s="2">
        <v>-1.6621125228110552E-2</v>
      </c>
      <c r="AY732" s="2">
        <v>6.3072530914539418E-2</v>
      </c>
      <c r="AZ732" s="2">
        <v>0.144225385123182</v>
      </c>
      <c r="BA732" s="31"/>
      <c r="BB732" s="31">
        <v>1955.33333333574</v>
      </c>
      <c r="BC732" s="2">
        <v>1.0122314116913598</v>
      </c>
      <c r="BD732" s="2">
        <v>-0.17689465171325883</v>
      </c>
      <c r="BE732" s="2">
        <v>0.99446751593122262</v>
      </c>
      <c r="BG732" s="2">
        <f t="shared" si="108"/>
        <v>0.37903967958075963</v>
      </c>
      <c r="BH732" s="2">
        <f t="shared" si="102"/>
        <v>-4.4162098827536356E-2</v>
      </c>
      <c r="BI732" s="2">
        <f t="shared" si="103"/>
        <v>0.44352671975130459</v>
      </c>
    </row>
    <row r="733" spans="6:61" x14ac:dyDescent="0.3">
      <c r="F733" s="31">
        <v>1955.2500000024099</v>
      </c>
      <c r="G733" s="2">
        <v>0.74331269741586403</v>
      </c>
      <c r="H733" s="2">
        <v>0.1844999999999995</v>
      </c>
      <c r="I733" s="2">
        <v>0.14527524238196665</v>
      </c>
      <c r="K733" s="31">
        <v>1955.2500000024099</v>
      </c>
      <c r="L733" s="2">
        <v>0.77178272941394988</v>
      </c>
      <c r="M733" s="2">
        <v>0.1230299999999999</v>
      </c>
      <c r="N733" s="2">
        <v>7.3828625928889238E-2</v>
      </c>
      <c r="P733" s="31">
        <v>1955.2500000024099</v>
      </c>
      <c r="Q733" s="2">
        <v>0.76576755219943538</v>
      </c>
      <c r="R733" s="2">
        <v>0.11985000000000046</v>
      </c>
      <c r="S733" s="2">
        <v>5.648330970189977E-2</v>
      </c>
      <c r="U733" s="2">
        <f t="shared" si="104"/>
        <v>0.76028765967641643</v>
      </c>
      <c r="V733" s="2">
        <f t="shared" si="105"/>
        <v>0.14245999999999995</v>
      </c>
      <c r="W733" s="2">
        <f t="shared" si="106"/>
        <v>9.1862392670918558E-2</v>
      </c>
      <c r="Y733" s="31">
        <v>1955.2500000024099</v>
      </c>
      <c r="Z733" s="2">
        <v>5.5874057752256533E-2</v>
      </c>
      <c r="AA733" s="2">
        <v>1.6130881144920455</v>
      </c>
      <c r="AB733" s="2">
        <v>1.6132129811675158</v>
      </c>
      <c r="AD733" s="31">
        <v>1955.2500000024099</v>
      </c>
      <c r="AE733" s="2">
        <v>-0.22303157348811781</v>
      </c>
      <c r="AF733" s="2">
        <v>0.82033858713866403</v>
      </c>
      <c r="AG733" s="2">
        <v>0.52256527767323413</v>
      </c>
      <c r="AH733" s="31"/>
      <c r="AI733" s="31">
        <v>1955.2500000024099</v>
      </c>
      <c r="AJ733" s="2">
        <v>0.82266159229153024</v>
      </c>
      <c r="AK733" s="2">
        <v>0.52786786379629969</v>
      </c>
      <c r="AL733" s="2">
        <v>0.93614919248575179</v>
      </c>
      <c r="AM733" s="31"/>
      <c r="AN733" s="2">
        <f t="shared" si="107"/>
        <v>0.21850135885188968</v>
      </c>
      <c r="AO733" s="2">
        <f t="shared" si="100"/>
        <v>0.98709818847566977</v>
      </c>
      <c r="AP733" s="2">
        <f t="shared" si="101"/>
        <v>1.023975817108834</v>
      </c>
      <c r="AQ733" s="31"/>
      <c r="AR733" s="31">
        <v>1955.2500000024099</v>
      </c>
      <c r="AS733" s="2">
        <v>0.25247973602097112</v>
      </c>
      <c r="AT733" s="2">
        <v>0.61938737125940624</v>
      </c>
      <c r="AU733" s="2">
        <v>0.86327527395105885</v>
      </c>
      <c r="AV733" s="31"/>
      <c r="AW733" s="31">
        <v>1955.2500000024099</v>
      </c>
      <c r="AX733" s="2">
        <v>-0.17078905478070833</v>
      </c>
      <c r="AY733" s="2">
        <v>-0.13053036562694012</v>
      </c>
      <c r="AZ733" s="2">
        <v>-0.1041185266433509</v>
      </c>
      <c r="BA733" s="31"/>
      <c r="BB733" s="31">
        <v>1955.2500000024099</v>
      </c>
      <c r="BC733" s="2">
        <v>1.2308610720476099</v>
      </c>
      <c r="BD733" s="2">
        <v>-0.51015098322994124</v>
      </c>
      <c r="BE733" s="2">
        <v>1.1389929765616342</v>
      </c>
      <c r="BG733" s="2">
        <f t="shared" si="108"/>
        <v>0.43751725109595757</v>
      </c>
      <c r="BH733" s="2">
        <f t="shared" si="102"/>
        <v>-7.0979925324916966E-3</v>
      </c>
      <c r="BI733" s="2">
        <f t="shared" si="103"/>
        <v>0.63271657462311415</v>
      </c>
    </row>
    <row r="734" spans="6:61" x14ac:dyDescent="0.3">
      <c r="F734" s="31">
        <v>1955.1666666690801</v>
      </c>
      <c r="G734" s="2">
        <v>0.70209451649880583</v>
      </c>
      <c r="H734" s="2">
        <v>0.15374999999999961</v>
      </c>
      <c r="I734" s="2">
        <v>0.11233678786876308</v>
      </c>
      <c r="K734" s="31">
        <v>1955.1666666690801</v>
      </c>
      <c r="L734" s="2">
        <v>0.73126571209753677</v>
      </c>
      <c r="M734" s="2">
        <v>0.1230299999999999</v>
      </c>
      <c r="N734" s="2">
        <v>7.0374234600984187E-2</v>
      </c>
      <c r="P734" s="31">
        <v>1955.1666666690801</v>
      </c>
      <c r="Q734" s="2"/>
      <c r="R734" s="2">
        <v>7.1900000000000297E-2</v>
      </c>
      <c r="S734" s="2">
        <v>5.4192580938324589E-2</v>
      </c>
      <c r="U734" s="2">
        <f t="shared" si="104"/>
        <v>0.71668011429817136</v>
      </c>
      <c r="V734" s="2">
        <f t="shared" si="105"/>
        <v>0.1162266666666666</v>
      </c>
      <c r="W734" s="2">
        <f t="shared" si="106"/>
        <v>7.8967867802690619E-2</v>
      </c>
      <c r="Y734" s="31">
        <v>1955.1666666690801</v>
      </c>
      <c r="Z734" s="2">
        <v>-0.18311209573673484</v>
      </c>
      <c r="AA734" s="2">
        <v>1.012624953636539</v>
      </c>
      <c r="AB734" s="2">
        <v>0.85515951500875176</v>
      </c>
      <c r="AD734" s="31">
        <v>1955.1666666690801</v>
      </c>
      <c r="AE734" s="2">
        <v>-0.4641384849514254</v>
      </c>
      <c r="AF734" s="2">
        <v>0.82033858713866403</v>
      </c>
      <c r="AG734" s="2">
        <v>0.39121270227991989</v>
      </c>
      <c r="AH734" s="31"/>
      <c r="AI734" s="31">
        <v>1955.1666666690801</v>
      </c>
      <c r="AJ734" s="2">
        <v>0.64042482472424134</v>
      </c>
      <c r="AK734" s="2">
        <v>-0.61478205611361436</v>
      </c>
      <c r="AL734" s="2">
        <v>0.75101738553410169</v>
      </c>
      <c r="AM734" s="31"/>
      <c r="AN734" s="2">
        <f t="shared" si="107"/>
        <v>-2.2752519879729685E-3</v>
      </c>
      <c r="AO734" s="2">
        <f t="shared" si="100"/>
        <v>0.4060604948871962</v>
      </c>
      <c r="AP734" s="2">
        <f t="shared" si="101"/>
        <v>0.66579653427425767</v>
      </c>
      <c r="AQ734" s="31"/>
      <c r="AR734" s="31">
        <v>1955.1666666690801</v>
      </c>
      <c r="AS734" s="2">
        <v>0.20410496966829228</v>
      </c>
      <c r="AT734" s="2">
        <v>0.16876039905139967</v>
      </c>
      <c r="AU734" s="2">
        <v>0.36493932115488786</v>
      </c>
      <c r="AV734" s="31"/>
      <c r="AW734" s="31">
        <v>1955.1666666690801</v>
      </c>
      <c r="AX734" s="2">
        <v>-0.27543357340984781</v>
      </c>
      <c r="AY734" s="2">
        <v>0.19113153348877646</v>
      </c>
      <c r="AZ734" s="2">
        <v>0.14343076221569559</v>
      </c>
      <c r="BA734" s="31"/>
      <c r="BB734" s="31">
        <v>1955.1666666690801</v>
      </c>
      <c r="BC734" s="2">
        <v>1.3408655818587711</v>
      </c>
      <c r="BD734" s="2">
        <v>-1.0055477933738932</v>
      </c>
      <c r="BE734" s="2">
        <v>1.3573977934460755</v>
      </c>
      <c r="BG734" s="2">
        <f t="shared" si="108"/>
        <v>0.42317899270573855</v>
      </c>
      <c r="BH734" s="2">
        <f t="shared" si="102"/>
        <v>-0.2152186202779057</v>
      </c>
      <c r="BI734" s="2">
        <f t="shared" si="103"/>
        <v>0.621922625605553</v>
      </c>
    </row>
    <row r="735" spans="6:61" x14ac:dyDescent="0.3">
      <c r="F735" s="31">
        <v>1955.08333333575</v>
      </c>
      <c r="G735" s="2">
        <v>0.68154255241400374</v>
      </c>
      <c r="H735" s="2">
        <v>9.2249999999999804E-2</v>
      </c>
      <c r="I735" s="2">
        <v>5.8604016467432588E-2</v>
      </c>
      <c r="K735" s="31">
        <v>1955.08333333575</v>
      </c>
      <c r="L735" s="2">
        <v>0.69419811689349986</v>
      </c>
      <c r="M735" s="2">
        <v>9.2279999999999945E-2</v>
      </c>
      <c r="N735" s="2">
        <v>6.6387014663207025E-2</v>
      </c>
      <c r="P735" s="31">
        <v>1955.08333333575</v>
      </c>
      <c r="Q735" s="2">
        <v>0.76024754854307597</v>
      </c>
      <c r="R735" s="2">
        <v>9.5850000000000463E-2</v>
      </c>
      <c r="S735" s="2">
        <v>5.3613936941233807E-2</v>
      </c>
      <c r="U735" s="2">
        <f t="shared" si="104"/>
        <v>0.71199607261685982</v>
      </c>
      <c r="V735" s="2">
        <f t="shared" si="105"/>
        <v>9.3460000000000057E-2</v>
      </c>
      <c r="W735" s="2">
        <f t="shared" si="106"/>
        <v>5.9534989357291145E-2</v>
      </c>
      <c r="Y735" s="31">
        <v>1955.08333333575</v>
      </c>
      <c r="Z735" s="2">
        <v>-0.30227394941373842</v>
      </c>
      <c r="AA735" s="2">
        <v>-0.18830136807447412</v>
      </c>
      <c r="AB735" s="2">
        <v>-0.38145933092912626</v>
      </c>
      <c r="AD735" s="31">
        <v>1955.08333333575</v>
      </c>
      <c r="AE735" s="2">
        <v>-0.6847187247361799</v>
      </c>
      <c r="AF735" s="2">
        <v>6.7241855071186282E-2</v>
      </c>
      <c r="AG735" s="2">
        <v>0.23959942000474052</v>
      </c>
      <c r="AH735" s="31"/>
      <c r="AI735" s="31">
        <v>1955.08333333575</v>
      </c>
      <c r="AJ735" s="2">
        <v>0.58597966332358409</v>
      </c>
      <c r="AK735" s="2">
        <v>-4.4052846898962821E-2</v>
      </c>
      <c r="AL735" s="2">
        <v>0.70425261335044542</v>
      </c>
      <c r="AM735" s="31"/>
      <c r="AN735" s="2">
        <f t="shared" si="107"/>
        <v>-0.13367100360877807</v>
      </c>
      <c r="AO735" s="2">
        <f t="shared" si="100"/>
        <v>-5.5037453300750216E-2</v>
      </c>
      <c r="AP735" s="2">
        <f t="shared" si="101"/>
        <v>0.18746423414201993</v>
      </c>
      <c r="AQ735" s="31"/>
      <c r="AR735" s="31">
        <v>1955.08333333575</v>
      </c>
      <c r="AS735" s="2">
        <v>0.34556530447001149</v>
      </c>
      <c r="AT735" s="2">
        <v>0.50956041230593874</v>
      </c>
      <c r="AU735" s="2">
        <v>0.40427509607738865</v>
      </c>
      <c r="AV735" s="31"/>
      <c r="AW735" s="31">
        <v>1955.08333333575</v>
      </c>
      <c r="AX735" s="2">
        <v>-0.40652835632912887</v>
      </c>
      <c r="AY735" s="2">
        <v>0.56120938963997447</v>
      </c>
      <c r="AZ735" s="2">
        <v>0.96533347199472275</v>
      </c>
      <c r="BA735" s="31"/>
      <c r="BB735" s="31">
        <v>1955.08333333575</v>
      </c>
      <c r="BC735" s="2">
        <v>1.4018726097217056</v>
      </c>
      <c r="BD735" s="2">
        <v>-1.4615836317459097E-2</v>
      </c>
      <c r="BE735" s="2">
        <v>1.2908645061581785</v>
      </c>
      <c r="BG735" s="2">
        <f t="shared" si="108"/>
        <v>0.44696985262086275</v>
      </c>
      <c r="BH735" s="2">
        <f t="shared" si="102"/>
        <v>0.3520513218761514</v>
      </c>
      <c r="BI735" s="2">
        <f t="shared" si="103"/>
        <v>0.8868243580767633</v>
      </c>
    </row>
    <row r="736" spans="6:61" x14ac:dyDescent="0.3">
      <c r="F736" s="31">
        <v>1955.0000000024099</v>
      </c>
      <c r="G736" s="2">
        <v>0.69417538512007959</v>
      </c>
      <c r="H736" s="2">
        <v>6.1499999999999846E-2</v>
      </c>
      <c r="I736" s="2">
        <v>4.2691786184884783E-2</v>
      </c>
      <c r="K736" s="31">
        <v>1955.0000000024099</v>
      </c>
      <c r="L736" s="2">
        <v>0.67801637402642712</v>
      </c>
      <c r="M736" s="2">
        <v>6.1514999999999952E-2</v>
      </c>
      <c r="N736" s="2">
        <v>4.170874371053368E-2</v>
      </c>
      <c r="P736" s="31">
        <v>1955.0000000024099</v>
      </c>
      <c r="Q736" s="2">
        <v>0.77861551164782805</v>
      </c>
      <c r="R736" s="2">
        <v>9.5850000000000463E-2</v>
      </c>
      <c r="S736" s="2">
        <v>5.4228338924244904E-2</v>
      </c>
      <c r="U736" s="2">
        <f t="shared" si="104"/>
        <v>0.71693575693144496</v>
      </c>
      <c r="V736" s="2">
        <f t="shared" si="105"/>
        <v>7.2955000000000089E-2</v>
      </c>
      <c r="W736" s="2">
        <f t="shared" si="106"/>
        <v>4.6209622939887784E-2</v>
      </c>
      <c r="Y736" s="31">
        <v>1955.0000000024099</v>
      </c>
      <c r="Z736" s="2">
        <v>-0.22902782285201173</v>
      </c>
      <c r="AA736" s="2">
        <v>-0.78876452892998183</v>
      </c>
      <c r="AB736" s="2">
        <v>-0.74766720249658425</v>
      </c>
      <c r="AD736" s="31">
        <v>1955.0000000024099</v>
      </c>
      <c r="AE736" s="2">
        <v>-0.78101233920204138</v>
      </c>
      <c r="AF736" s="2">
        <v>-0.68622224125583742</v>
      </c>
      <c r="AG736" s="2">
        <v>-0.69878715470147079</v>
      </c>
      <c r="AH736" s="31"/>
      <c r="AI736" s="31">
        <v>1955.0000000024099</v>
      </c>
      <c r="AJ736" s="2">
        <v>0.65885405958576282</v>
      </c>
      <c r="AK736" s="2">
        <v>-4.4052846898962821E-2</v>
      </c>
      <c r="AL736" s="2">
        <v>0.75390726959704402</v>
      </c>
      <c r="AM736" s="31"/>
      <c r="AN736" s="2">
        <f t="shared" si="107"/>
        <v>-0.11706203415609677</v>
      </c>
      <c r="AO736" s="2">
        <f t="shared" si="100"/>
        <v>-0.50634653902826077</v>
      </c>
      <c r="AP736" s="2">
        <f t="shared" si="101"/>
        <v>-0.23084902920033701</v>
      </c>
      <c r="AQ736" s="31"/>
      <c r="AR736" s="31">
        <v>1955.0000000024099</v>
      </c>
      <c r="AS736" s="2">
        <v>0.15832877858692215</v>
      </c>
      <c r="AT736" s="2">
        <v>-0.29853293598826575</v>
      </c>
      <c r="AU736" s="2">
        <v>-9.7769339743807471E-2</v>
      </c>
      <c r="AV736" s="31"/>
      <c r="AW736" s="31">
        <v>1955.0000000024099</v>
      </c>
      <c r="AX736" s="2">
        <v>-0.35452528055537136</v>
      </c>
      <c r="AY736" s="2">
        <v>-0.21981065223360952</v>
      </c>
      <c r="AZ736" s="2">
        <v>-0.40726042751112979</v>
      </c>
      <c r="BA736" s="31"/>
      <c r="BB736" s="31">
        <v>1955.0000000024099</v>
      </c>
      <c r="BC736" s="2">
        <v>1.025413260272436</v>
      </c>
      <c r="BD736" s="2">
        <v>0.75540652012817533</v>
      </c>
      <c r="BE736" s="2">
        <v>1.3398002315837809</v>
      </c>
      <c r="BG736" s="2">
        <f t="shared" si="108"/>
        <v>0.27640558610132893</v>
      </c>
      <c r="BH736" s="2">
        <f t="shared" si="102"/>
        <v>7.9020977302100018E-2</v>
      </c>
      <c r="BI736" s="2">
        <f t="shared" si="103"/>
        <v>0.27825682144294789</v>
      </c>
    </row>
    <row r="737" spans="6:61" x14ac:dyDescent="0.3">
      <c r="F737" s="31">
        <v>1954.9166666690801</v>
      </c>
      <c r="G737" s="2">
        <v>0.58426880783844548</v>
      </c>
      <c r="H737" s="2">
        <v>0.1229999999999998</v>
      </c>
      <c r="I737" s="2">
        <v>7.1865063364128678E-2</v>
      </c>
      <c r="K737" s="31">
        <v>1954.9166666690801</v>
      </c>
      <c r="L737" s="2">
        <v>0.67221166133257348</v>
      </c>
      <c r="M737" s="2">
        <v>6.1514999999999952E-2</v>
      </c>
      <c r="N737" s="2">
        <v>4.1351246715049826E-2</v>
      </c>
      <c r="P737" s="31">
        <v>1954.9166666690801</v>
      </c>
      <c r="Q737" s="2">
        <v>0.79430270475443976</v>
      </c>
      <c r="R737" s="2">
        <v>4.7900000000000303E-2</v>
      </c>
      <c r="S737" s="2">
        <v>3.9620381328087484E-2</v>
      </c>
      <c r="U737" s="2">
        <f t="shared" si="104"/>
        <v>0.68359439130848632</v>
      </c>
      <c r="V737" s="2">
        <f t="shared" si="105"/>
        <v>7.7471666666666689E-2</v>
      </c>
      <c r="W737" s="2">
        <f t="shared" si="106"/>
        <v>5.0945563802421996E-2</v>
      </c>
      <c r="Y737" s="31">
        <v>1954.9166666690801</v>
      </c>
      <c r="Z737" s="2">
        <v>-0.86627453202951499</v>
      </c>
      <c r="AA737" s="2">
        <v>0.41216179278103438</v>
      </c>
      <c r="AB737" s="2">
        <v>-7.6266427573422169E-2</v>
      </c>
      <c r="AD737" s="31">
        <v>1954.9166666690801</v>
      </c>
      <c r="AE737" s="2">
        <v>-0.81555477204247551</v>
      </c>
      <c r="AF737" s="2">
        <v>-0.68622224125583742</v>
      </c>
      <c r="AG737" s="2">
        <v>-0.71238091018390315</v>
      </c>
      <c r="AH737" s="31"/>
      <c r="AI737" s="31">
        <v>1954.9166666690801</v>
      </c>
      <c r="AJ737" s="2">
        <v>1.040644225660025</v>
      </c>
      <c r="AK737" s="2">
        <v>-1.186702766808877</v>
      </c>
      <c r="AL737" s="2">
        <v>-0.426676668864926</v>
      </c>
      <c r="AM737" s="31"/>
      <c r="AN737" s="2">
        <f t="shared" si="107"/>
        <v>-0.21372835947065516</v>
      </c>
      <c r="AO737" s="2">
        <f t="shared" si="100"/>
        <v>-0.48692107176122668</v>
      </c>
      <c r="AP737" s="2">
        <f t="shared" si="101"/>
        <v>-0.40510800220741711</v>
      </c>
      <c r="AQ737" s="31"/>
      <c r="AR737" s="31">
        <v>1954.9166666690801</v>
      </c>
      <c r="AS737" s="2">
        <v>-0.61356151688378402</v>
      </c>
      <c r="AT737" s="2">
        <v>2.0533426933213605</v>
      </c>
      <c r="AU737" s="2">
        <v>0.9840063530210863</v>
      </c>
      <c r="AV737" s="31"/>
      <c r="AW737" s="31">
        <v>1954.9166666690801</v>
      </c>
      <c r="AX737" s="2">
        <v>-0.53665335599013897</v>
      </c>
      <c r="AY737" s="2">
        <v>-0.51751295497595129</v>
      </c>
      <c r="AZ737" s="2">
        <v>-0.6311085477642483</v>
      </c>
      <c r="BA737" s="31"/>
      <c r="BB737" s="31">
        <v>1954.9166666690801</v>
      </c>
      <c r="BC737" s="2">
        <v>1.7745024250402495</v>
      </c>
      <c r="BD737" s="2">
        <v>-1.7765123716427775</v>
      </c>
      <c r="BE737" s="2">
        <v>-0.14340785866713388</v>
      </c>
      <c r="BG737" s="2">
        <f t="shared" si="108"/>
        <v>0.20809585072210882</v>
      </c>
      <c r="BH737" s="2">
        <f t="shared" si="102"/>
        <v>-8.0227544432456124E-2</v>
      </c>
      <c r="BI737" s="2">
        <f t="shared" si="103"/>
        <v>6.9829982196568038E-2</v>
      </c>
    </row>
    <row r="738" spans="6:61" x14ac:dyDescent="0.3">
      <c r="F738" s="31">
        <v>1954.83333333575</v>
      </c>
      <c r="G738" s="2">
        <v>0.73516319202036351</v>
      </c>
      <c r="H738" s="2">
        <v>6.1499999999999846E-2</v>
      </c>
      <c r="I738" s="2">
        <v>4.5212536309252239E-2</v>
      </c>
      <c r="K738" s="31">
        <v>1954.83333333575</v>
      </c>
      <c r="L738" s="2">
        <v>0.67351309513949364</v>
      </c>
      <c r="M738" s="2">
        <v>6.1514999999999952E-2</v>
      </c>
      <c r="N738" s="2">
        <v>4.1430976384742899E-2</v>
      </c>
      <c r="P738" s="31">
        <v>1954.83333333575</v>
      </c>
      <c r="Q738" s="2">
        <v>0.84564508612181488</v>
      </c>
      <c r="R738" s="2">
        <v>9.5850000000000463E-2</v>
      </c>
      <c r="S738" s="2">
        <v>5.491929587890796E-2</v>
      </c>
      <c r="U738" s="2">
        <f t="shared" si="104"/>
        <v>0.75144045776055746</v>
      </c>
      <c r="V738" s="2">
        <f t="shared" si="105"/>
        <v>7.2955000000000089E-2</v>
      </c>
      <c r="W738" s="2">
        <f t="shared" si="106"/>
        <v>4.7187602857634368E-2</v>
      </c>
      <c r="Y738" s="31">
        <v>1954.83333333575</v>
      </c>
      <c r="Z738" s="2">
        <v>8.6226045348626861E-3</v>
      </c>
      <c r="AA738" s="2">
        <v>-0.78876452892998183</v>
      </c>
      <c r="AB738" s="2">
        <v>-0.68965405654491541</v>
      </c>
      <c r="AD738" s="31">
        <v>1954.83333333575</v>
      </c>
      <c r="AE738" s="2">
        <v>-0.80781025612191826</v>
      </c>
      <c r="AF738" s="2">
        <v>-0.68622224125583742</v>
      </c>
      <c r="AG738" s="2">
        <v>-0.70934920460820783</v>
      </c>
      <c r="AH738" s="31"/>
      <c r="AI738" s="31">
        <v>1954.83333333575</v>
      </c>
      <c r="AJ738" s="2">
        <v>0.72501453768014168</v>
      </c>
      <c r="AK738" s="2">
        <v>-4.4052846898962821E-2</v>
      </c>
      <c r="AL738" s="2">
        <v>0.80974893517378255</v>
      </c>
      <c r="AM738" s="31"/>
      <c r="AN738" s="2">
        <f t="shared" si="107"/>
        <v>-2.4724371302304631E-2</v>
      </c>
      <c r="AO738" s="2">
        <f t="shared" si="100"/>
        <v>-0.50634653902826077</v>
      </c>
      <c r="AP738" s="2">
        <f t="shared" si="101"/>
        <v>-0.19641810865978024</v>
      </c>
      <c r="AQ738" s="31"/>
      <c r="AR738" s="31">
        <v>1954.83333333575</v>
      </c>
      <c r="AS738" s="2">
        <v>0.13408054271699166</v>
      </c>
      <c r="AT738" s="2">
        <v>-0.28549293171718004</v>
      </c>
      <c r="AU738" s="2">
        <v>-0.12669978811030594</v>
      </c>
      <c r="AV738" s="31"/>
      <c r="AW738" s="31">
        <v>1954.83333333575</v>
      </c>
      <c r="AX738" s="2">
        <v>-0.38512181969409698</v>
      </c>
      <c r="AY738" s="2">
        <v>-0.19138401234735175</v>
      </c>
      <c r="AZ738" s="2">
        <v>-0.41291543065673236</v>
      </c>
      <c r="BA738" s="31"/>
      <c r="BB738" s="31">
        <v>1954.83333333575</v>
      </c>
      <c r="BC738" s="2">
        <v>0.56090144704393985</v>
      </c>
      <c r="BD738" s="2">
        <v>0.77674476466510867</v>
      </c>
      <c r="BE738" s="2">
        <v>0.76791932012839115</v>
      </c>
      <c r="BG738" s="2">
        <f t="shared" si="108"/>
        <v>0.10328672335561151</v>
      </c>
      <c r="BH738" s="2">
        <f t="shared" si="102"/>
        <v>9.9955940200192273E-2</v>
      </c>
      <c r="BI738" s="2">
        <f t="shared" si="103"/>
        <v>7.6101367120450944E-2</v>
      </c>
    </row>
    <row r="739" spans="6:61" x14ac:dyDescent="0.3">
      <c r="F739" s="31">
        <v>1954.7500000024199</v>
      </c>
      <c r="G739" s="2">
        <v>0.76171310991947572</v>
      </c>
      <c r="H739" s="2">
        <v>6.1499999999999846E-2</v>
      </c>
      <c r="I739" s="2">
        <v>4.6845356260047641E-2</v>
      </c>
      <c r="K739" s="31">
        <v>1954.7500000024199</v>
      </c>
      <c r="L739" s="2">
        <v>0.68339992266051364</v>
      </c>
      <c r="M739" s="2">
        <v>9.2279999999999945E-2</v>
      </c>
      <c r="N739" s="2">
        <v>6.1833931655849841E-2</v>
      </c>
      <c r="P739" s="31">
        <v>1954.7500000024199</v>
      </c>
      <c r="Q739" s="2">
        <v>0.87852413883977021</v>
      </c>
      <c r="R739" s="2">
        <v>9.5850000000000463E-2</v>
      </c>
      <c r="S739" s="2">
        <v>5.6520181846130502E-2</v>
      </c>
      <c r="U739" s="2">
        <f t="shared" si="104"/>
        <v>0.77454572380658648</v>
      </c>
      <c r="V739" s="2">
        <f t="shared" si="105"/>
        <v>8.3210000000000076E-2</v>
      </c>
      <c r="W739" s="2">
        <f t="shared" si="106"/>
        <v>5.5066489920675997E-2</v>
      </c>
      <c r="Y739" s="31">
        <v>1954.7500000024199</v>
      </c>
      <c r="Z739" s="2">
        <v>0.16256105142860797</v>
      </c>
      <c r="AA739" s="2">
        <v>-0.78876452892998183</v>
      </c>
      <c r="AB739" s="2">
        <v>-0.6520759478690068</v>
      </c>
      <c r="AD739" s="31">
        <v>1954.7500000024199</v>
      </c>
      <c r="AE739" s="2">
        <v>-0.74897615120378769</v>
      </c>
      <c r="AF739" s="2">
        <v>6.7241855071186282E-2</v>
      </c>
      <c r="AG739" s="2">
        <v>6.6469301779657722E-2</v>
      </c>
      <c r="AH739" s="31"/>
      <c r="AI739" s="31">
        <v>1954.7500000024199</v>
      </c>
      <c r="AJ739" s="2">
        <v>0.8180291211532672</v>
      </c>
      <c r="AK739" s="2">
        <v>-4.4052846898962821E-2</v>
      </c>
      <c r="AL739" s="2">
        <v>0.93912912044412056</v>
      </c>
      <c r="AM739" s="31"/>
      <c r="AN739" s="2">
        <f t="shared" si="107"/>
        <v>7.7204673792695827E-2</v>
      </c>
      <c r="AO739" s="2">
        <f t="shared" si="100"/>
        <v>-0.25519184025258612</v>
      </c>
      <c r="AP739" s="2">
        <f t="shared" si="101"/>
        <v>0.11784082478492386</v>
      </c>
      <c r="AQ739" s="31"/>
      <c r="AR739" s="31">
        <v>1954.7500000024199</v>
      </c>
      <c r="AS739" s="2">
        <v>0.11770511467568873</v>
      </c>
      <c r="AT739" s="2">
        <v>-0.6766476141944503</v>
      </c>
      <c r="AU739" s="2">
        <v>-0.47108426835430645</v>
      </c>
      <c r="AV739" s="31"/>
      <c r="AW739" s="31">
        <v>1954.7500000024199</v>
      </c>
      <c r="AX739" s="2">
        <v>-0.78484951797973257</v>
      </c>
      <c r="AY739" s="2">
        <v>0.96310780514635363</v>
      </c>
      <c r="AZ739" s="2">
        <v>0.59883495522105112</v>
      </c>
      <c r="BA739" s="31"/>
      <c r="BB739" s="31">
        <v>1954.7500000024199</v>
      </c>
      <c r="BC739" s="2">
        <v>0.76474164511568254</v>
      </c>
      <c r="BD739" s="2">
        <v>0.36965282471677957</v>
      </c>
      <c r="BE739" s="2">
        <v>0.66689312974253367</v>
      </c>
      <c r="BG739" s="2">
        <f t="shared" si="108"/>
        <v>3.2532413937212901E-2</v>
      </c>
      <c r="BH739" s="2">
        <f t="shared" si="102"/>
        <v>0.21870433855622762</v>
      </c>
      <c r="BI739" s="2">
        <f t="shared" si="103"/>
        <v>0.26488127220309282</v>
      </c>
    </row>
    <row r="740" spans="6:61" x14ac:dyDescent="0.3">
      <c r="F740" s="31">
        <v>1954.6666666690901</v>
      </c>
      <c r="G740" s="2">
        <v>0.70612327249137519</v>
      </c>
      <c r="H740" s="2">
        <v>0.1229999999999998</v>
      </c>
      <c r="I740" s="2">
        <v>8.6853162516439014E-2</v>
      </c>
      <c r="K740" s="31">
        <v>1954.6666666690901</v>
      </c>
      <c r="L740" s="2">
        <v>0.70719376492454922</v>
      </c>
      <c r="M740" s="2">
        <v>6.1514999999999952E-2</v>
      </c>
      <c r="N740" s="2">
        <v>4.3501806344945562E-2</v>
      </c>
      <c r="P740" s="31">
        <v>1954.6666666690901</v>
      </c>
      <c r="Q740" s="2">
        <v>0.86252018098896632</v>
      </c>
      <c r="R740" s="2">
        <v>4.7900000000000303E-2</v>
      </c>
      <c r="S740" s="2">
        <v>3.9349477605862541E-2</v>
      </c>
      <c r="U740" s="2">
        <f t="shared" si="104"/>
        <v>0.75861240613496361</v>
      </c>
      <c r="V740" s="2">
        <f t="shared" si="105"/>
        <v>7.7471666666666689E-2</v>
      </c>
      <c r="W740" s="2">
        <f t="shared" si="106"/>
        <v>5.6568148822415704E-2</v>
      </c>
      <c r="Y740" s="31">
        <v>1954.6666666690901</v>
      </c>
      <c r="Z740" s="2">
        <v>-0.15975306152929822</v>
      </c>
      <c r="AA740" s="2">
        <v>0.41216179278103438</v>
      </c>
      <c r="AB740" s="2">
        <v>0.26867326924767937</v>
      </c>
      <c r="AD740" s="31">
        <v>1954.6666666690901</v>
      </c>
      <c r="AE740" s="2">
        <v>-0.60738478539999796</v>
      </c>
      <c r="AF740" s="2">
        <v>-0.68622224125583742</v>
      </c>
      <c r="AG740" s="2">
        <v>-0.63060628793952322</v>
      </c>
      <c r="AH740" s="31"/>
      <c r="AI740" s="31">
        <v>1954.6666666690901</v>
      </c>
      <c r="AJ740" s="2">
        <v>1.0037678095622296</v>
      </c>
      <c r="AK740" s="2">
        <v>-1.186702766808877</v>
      </c>
      <c r="AL740" s="2">
        <v>-0.44857052919571305</v>
      </c>
      <c r="AM740" s="31"/>
      <c r="AN740" s="2">
        <f t="shared" si="107"/>
        <v>7.8876654210977795E-2</v>
      </c>
      <c r="AO740" s="2">
        <f t="shared" si="100"/>
        <v>-0.48692107176122668</v>
      </c>
      <c r="AP740" s="2">
        <f t="shared" si="101"/>
        <v>-0.2701678492958523</v>
      </c>
      <c r="AQ740" s="31"/>
      <c r="AR740" s="31">
        <v>1954.6666666690901</v>
      </c>
      <c r="AS740" s="2">
        <v>-0.22986160931950445</v>
      </c>
      <c r="AT740" s="2">
        <v>1.7403378618943977</v>
      </c>
      <c r="AU740" s="2">
        <v>1.2279481070371969</v>
      </c>
      <c r="AV740" s="31"/>
      <c r="AW740" s="31">
        <v>1954.6666666690901</v>
      </c>
      <c r="AX740" s="2">
        <v>-0.45934374880588569</v>
      </c>
      <c r="AY740" s="2">
        <v>-0.23837245449551037</v>
      </c>
      <c r="AZ740" s="2">
        <v>-0.47566337927999636</v>
      </c>
      <c r="BA740" s="31"/>
      <c r="BB740" s="31">
        <v>1954.6666666690901</v>
      </c>
      <c r="BC740" s="2">
        <v>0.62121751510136014</v>
      </c>
      <c r="BD740" s="2">
        <v>-1.0289872901111137</v>
      </c>
      <c r="BE740" s="2">
        <v>-0.37549748769779639</v>
      </c>
      <c r="BG740" s="2">
        <f t="shared" si="108"/>
        <v>-2.266261434134333E-2</v>
      </c>
      <c r="BH740" s="2">
        <f t="shared" si="102"/>
        <v>0.15765937242925787</v>
      </c>
      <c r="BI740" s="2">
        <f t="shared" si="103"/>
        <v>0.12559574668646803</v>
      </c>
    </row>
    <row r="741" spans="6:61" x14ac:dyDescent="0.3">
      <c r="F741" s="31">
        <v>1954.58333333576</v>
      </c>
      <c r="G741" s="2">
        <v>0.84431668980061303</v>
      </c>
      <c r="H741" s="2">
        <v>6.1499999999999846E-2</v>
      </c>
      <c r="I741" s="2">
        <v>5.1925476422737572E-2</v>
      </c>
      <c r="K741" s="31">
        <v>1954.58333333576</v>
      </c>
      <c r="L741" s="2">
        <v>0.7513576775654105</v>
      </c>
      <c r="M741" s="2">
        <v>6.1514999999999952E-2</v>
      </c>
      <c r="N741" s="2">
        <v>4.6218152416478295E-2</v>
      </c>
      <c r="P741" s="31">
        <v>1954.58333333576</v>
      </c>
      <c r="Q741" s="2">
        <v>0.82730931529157936</v>
      </c>
      <c r="R741" s="2">
        <v>9.5850000000000463E-2</v>
      </c>
      <c r="S741" s="2">
        <v>6.0420604980247136E-2</v>
      </c>
      <c r="U741" s="2">
        <f t="shared" si="104"/>
        <v>0.80766122755253422</v>
      </c>
      <c r="V741" s="2">
        <f t="shared" si="105"/>
        <v>7.2955000000000089E-2</v>
      </c>
      <c r="W741" s="2">
        <f t="shared" si="106"/>
        <v>5.2854744606487668E-2</v>
      </c>
      <c r="Y741" s="31">
        <v>1954.58333333576</v>
      </c>
      <c r="Z741" s="2">
        <v>0.64150290138404242</v>
      </c>
      <c r="AA741" s="2">
        <v>-0.78876452892998183</v>
      </c>
      <c r="AB741" s="2">
        <v>-0.53516084803375408</v>
      </c>
      <c r="AD741" s="31">
        <v>1954.58333333576</v>
      </c>
      <c r="AE741" s="2">
        <v>-0.34457608722221067</v>
      </c>
      <c r="AF741" s="2">
        <v>-0.68622224125583742</v>
      </c>
      <c r="AG741" s="2">
        <v>-0.52731774350824701</v>
      </c>
      <c r="AH741" s="31"/>
      <c r="AI741" s="31">
        <v>1954.58333333576</v>
      </c>
      <c r="AJ741" s="2">
        <v>1.1354106741760586</v>
      </c>
      <c r="AK741" s="2">
        <v>-4.4052846898962821E-2</v>
      </c>
      <c r="AL741" s="2">
        <v>1.2543529890125007</v>
      </c>
      <c r="AM741" s="31"/>
      <c r="AN741" s="2">
        <f t="shared" si="107"/>
        <v>0.47744582944596342</v>
      </c>
      <c r="AO741" s="2">
        <f t="shared" si="100"/>
        <v>-0.50634653902826077</v>
      </c>
      <c r="AP741" s="2">
        <f t="shared" si="101"/>
        <v>6.3958132490166533E-2</v>
      </c>
      <c r="AQ741" s="31"/>
      <c r="AR741" s="31">
        <v>1954.58333333576</v>
      </c>
      <c r="AS741" s="2">
        <v>0.16010626726841168</v>
      </c>
      <c r="AT741" s="2">
        <v>-0.65870957567408583</v>
      </c>
      <c r="AU741" s="2">
        <v>-0.40226092421241766</v>
      </c>
      <c r="AV741" s="31"/>
      <c r="AW741" s="31">
        <v>1954.58333333576</v>
      </c>
      <c r="AX741" s="2">
        <v>-0.62656831620588405</v>
      </c>
      <c r="AY741" s="2">
        <v>-0.53553372549108424</v>
      </c>
      <c r="AZ741" s="2">
        <v>-0.75494622848386006</v>
      </c>
      <c r="BA741" s="31"/>
      <c r="BB741" s="31">
        <v>1954.58333333576</v>
      </c>
      <c r="BC741" s="2">
        <v>0.49930431961088484</v>
      </c>
      <c r="BD741" s="2">
        <v>0.77441334649330551</v>
      </c>
      <c r="BE741" s="2">
        <v>0.47061485957982274</v>
      </c>
      <c r="BG741" s="2">
        <f t="shared" si="108"/>
        <v>1.0947423557804157E-2</v>
      </c>
      <c r="BH741" s="2">
        <f t="shared" si="102"/>
        <v>-0.13994331822395487</v>
      </c>
      <c r="BI741" s="2">
        <f t="shared" si="103"/>
        <v>-0.22886409770548499</v>
      </c>
    </row>
    <row r="742" spans="6:61" x14ac:dyDescent="0.3">
      <c r="F742" s="31">
        <v>1954.5000000024299</v>
      </c>
      <c r="G742" s="2">
        <v>0.84659116634131926</v>
      </c>
      <c r="H742" s="2">
        <v>6.1499999999999902E-2</v>
      </c>
      <c r="I742" s="2">
        <v>5.2065356729991054E-2</v>
      </c>
      <c r="K742" s="31">
        <v>1954.5000000024299</v>
      </c>
      <c r="L742" s="2">
        <v>0.81012086357642632</v>
      </c>
      <c r="M742" s="2">
        <v>6.1514999999999952E-2</v>
      </c>
      <c r="N742" s="2">
        <v>4.9832690764537418E-2</v>
      </c>
      <c r="P742" s="31">
        <v>1954.5000000024299</v>
      </c>
      <c r="Q742" s="2">
        <v>0.79211380891582495</v>
      </c>
      <c r="R742" s="2">
        <v>4.7900000000000303E-2</v>
      </c>
      <c r="S742" s="2">
        <v>4.1647834141672814E-2</v>
      </c>
      <c r="U742" s="2">
        <f t="shared" si="104"/>
        <v>0.81627527961119029</v>
      </c>
      <c r="V742" s="2">
        <f t="shared" si="105"/>
        <v>5.6971666666666719E-2</v>
      </c>
      <c r="W742" s="2">
        <f t="shared" si="106"/>
        <v>4.7848627212067091E-2</v>
      </c>
      <c r="Y742" s="31">
        <v>1954.5000000024299</v>
      </c>
      <c r="Z742" s="2">
        <v>0.65469048966597398</v>
      </c>
      <c r="AA742" s="2">
        <v>-0.78876452892998072</v>
      </c>
      <c r="AB742" s="2">
        <v>-0.53194160920400413</v>
      </c>
      <c r="AD742" s="31">
        <v>1954.5000000024299</v>
      </c>
      <c r="AE742" s="2">
        <v>5.1093344912095965E-3</v>
      </c>
      <c r="AF742" s="2">
        <v>-0.68622224125583742</v>
      </c>
      <c r="AG742" s="2">
        <v>-0.38987560803270555</v>
      </c>
      <c r="AH742" s="31"/>
      <c r="AI742" s="31">
        <v>1954.5000000024299</v>
      </c>
      <c r="AJ742" s="2">
        <v>1.3166285973710139</v>
      </c>
      <c r="AK742" s="2">
        <v>-1.186702766808877</v>
      </c>
      <c r="AL742" s="2">
        <v>-0.26282226198069497</v>
      </c>
      <c r="AM742" s="31"/>
      <c r="AN742" s="2">
        <f t="shared" si="107"/>
        <v>0.65880947384273247</v>
      </c>
      <c r="AO742" s="2">
        <f t="shared" si="100"/>
        <v>-0.88722984566489826</v>
      </c>
      <c r="AP742" s="2">
        <f t="shared" si="101"/>
        <v>-0.39487982640580155</v>
      </c>
      <c r="AQ742" s="31"/>
      <c r="AR742" s="31">
        <v>1954.5000000024299</v>
      </c>
      <c r="AS742" s="2">
        <v>2.8294091297015954E-2</v>
      </c>
      <c r="AT742" s="2">
        <v>-2.313009814913013E-2</v>
      </c>
      <c r="AU742" s="2">
        <v>-1.1552589095268686E-4</v>
      </c>
      <c r="AV742" s="31"/>
      <c r="AW742" s="31">
        <v>1954.5000000024299</v>
      </c>
      <c r="AX742" s="2">
        <v>-0.20844585264038998</v>
      </c>
      <c r="AY742" s="2">
        <v>-0.10780241638246968</v>
      </c>
      <c r="AZ742" s="2">
        <v>-0.20834268074430307</v>
      </c>
      <c r="BA742" s="31"/>
      <c r="BB742" s="31">
        <v>1954.5000000024299</v>
      </c>
      <c r="BC742" s="2">
        <v>0.20467790243524406</v>
      </c>
      <c r="BD742" s="2">
        <v>-0.38248368897839508</v>
      </c>
      <c r="BE742" s="2">
        <v>-5.7902616421801396E-2</v>
      </c>
      <c r="BG742" s="2">
        <f t="shared" si="108"/>
        <v>8.1753803639566785E-3</v>
      </c>
      <c r="BH742" s="2">
        <f t="shared" si="102"/>
        <v>-0.17113873450333161</v>
      </c>
      <c r="BI742" s="2">
        <f t="shared" si="103"/>
        <v>-8.8786941019019058E-2</v>
      </c>
    </row>
    <row r="743" spans="6:61" x14ac:dyDescent="0.3">
      <c r="F743" s="31">
        <v>1954.4166666691001</v>
      </c>
      <c r="G743" s="2">
        <v>0.85341224107748104</v>
      </c>
      <c r="H743" s="2">
        <v>0.27674999999999927</v>
      </c>
      <c r="I743" s="2">
        <v>0.23709667781840621</v>
      </c>
      <c r="K743" s="31">
        <v>1954.4166666691001</v>
      </c>
      <c r="L743" s="2">
        <v>0.85377378517348734</v>
      </c>
      <c r="M743" s="2">
        <v>0.1230299999999999</v>
      </c>
      <c r="N743" s="2">
        <v>7.5575019491148671E-2</v>
      </c>
      <c r="P743" s="31">
        <v>1954.4166666691001</v>
      </c>
      <c r="Q743" s="2">
        <v>0.76163265004005765</v>
      </c>
      <c r="R743" s="2">
        <v>0.21565000000000106</v>
      </c>
      <c r="S743" s="2">
        <v>6.3420797279596985E-2</v>
      </c>
      <c r="U743" s="2">
        <f t="shared" si="104"/>
        <v>0.82293955876367531</v>
      </c>
      <c r="V743" s="2">
        <f t="shared" si="105"/>
        <v>0.20514333333333343</v>
      </c>
      <c r="W743" s="2">
        <f t="shared" si="106"/>
        <v>0.1253641648630506</v>
      </c>
      <c r="Y743" s="31">
        <v>1954.4166666691001</v>
      </c>
      <c r="Z743" s="2">
        <v>0.69423960070356472</v>
      </c>
      <c r="AA743" s="2">
        <v>3.4144775970585668</v>
      </c>
      <c r="AB743" s="2">
        <v>3.7264134463673746</v>
      </c>
      <c r="AD743" s="31">
        <v>1954.4166666691001</v>
      </c>
      <c r="AE743" s="2">
        <v>0.26487724930150591</v>
      </c>
      <c r="AF743" s="2">
        <v>0.82033858713866403</v>
      </c>
      <c r="AG743" s="2">
        <v>0.58897156181365851</v>
      </c>
      <c r="AH743" s="31"/>
      <c r="AI743" s="31">
        <v>1954.4166666691001</v>
      </c>
      <c r="AJ743" s="2">
        <v>1.3381351799006134</v>
      </c>
      <c r="AK743" s="2">
        <v>2.8107847006549047</v>
      </c>
      <c r="AL743" s="2">
        <v>1.4968221239065824</v>
      </c>
      <c r="AM743" s="31"/>
      <c r="AN743" s="2">
        <f t="shared" si="107"/>
        <v>0.765750676635228</v>
      </c>
      <c r="AO743" s="2">
        <f t="shared" si="100"/>
        <v>2.348533628284045</v>
      </c>
      <c r="AP743" s="2">
        <f t="shared" si="101"/>
        <v>1.9374023773625384</v>
      </c>
      <c r="AQ743" s="31"/>
      <c r="AR743" s="31">
        <v>1954.4166666691001</v>
      </c>
      <c r="AS743" s="2">
        <v>8.5792087164944505E-2</v>
      </c>
      <c r="AT743" s="2">
        <v>2.3064605529700746</v>
      </c>
      <c r="AU743" s="2">
        <v>1.8333247645408286</v>
      </c>
      <c r="AV743" s="31"/>
      <c r="AW743" s="31">
        <v>1954.4166666691001</v>
      </c>
      <c r="AX743" s="2">
        <v>-0.15506100346040477</v>
      </c>
      <c r="AY743" s="2">
        <v>-0.38552664826294392</v>
      </c>
      <c r="AZ743" s="2">
        <v>-0.33760146136905367</v>
      </c>
      <c r="BA743" s="31"/>
      <c r="BB743" s="31">
        <v>1954.4166666691001</v>
      </c>
      <c r="BC743" s="2">
        <v>0.65227799183388246</v>
      </c>
      <c r="BD743" s="2">
        <v>1.3372441762267826</v>
      </c>
      <c r="BE743" s="2">
        <v>0.66207150062271347</v>
      </c>
      <c r="BG743" s="2">
        <f t="shared" si="108"/>
        <v>0.19433635851280739</v>
      </c>
      <c r="BH743" s="2">
        <f t="shared" si="102"/>
        <v>1.0860593603113045</v>
      </c>
      <c r="BI743" s="2">
        <f t="shared" si="103"/>
        <v>0.71926493459816276</v>
      </c>
    </row>
    <row r="744" spans="6:61" x14ac:dyDescent="0.3">
      <c r="F744" s="31">
        <v>1954.33333333577</v>
      </c>
      <c r="G744" s="2">
        <v>0.75494223674273186</v>
      </c>
      <c r="H744" s="2">
        <v>0.24599999999999936</v>
      </c>
      <c r="I744" s="2">
        <v>0.18471296013538929</v>
      </c>
      <c r="K744" s="31">
        <v>1954.33333333577</v>
      </c>
      <c r="L744" s="2">
        <v>0.85506423381479202</v>
      </c>
      <c r="M744" s="2">
        <v>9.2264999999999903E-2</v>
      </c>
      <c r="N744" s="2">
        <v>5.2598737848035773E-2</v>
      </c>
      <c r="P744" s="31">
        <v>1954.33333333577</v>
      </c>
      <c r="Q744" s="2">
        <v>0.73408275600249595</v>
      </c>
      <c r="R744" s="2">
        <v>0.19170000000000093</v>
      </c>
      <c r="S744" s="2">
        <v>5.9168801891096773E-2</v>
      </c>
      <c r="U744" s="2">
        <f t="shared" si="104"/>
        <v>0.78136307552000661</v>
      </c>
      <c r="V744" s="2">
        <f t="shared" si="105"/>
        <v>0.17665500000000003</v>
      </c>
      <c r="W744" s="2">
        <f t="shared" si="106"/>
        <v>9.8826833291507279E-2</v>
      </c>
      <c r="Y744" s="31">
        <v>1954.33333333577</v>
      </c>
      <c r="Z744" s="2">
        <v>0.12330301285752369</v>
      </c>
      <c r="AA744" s="2">
        <v>2.8140144362030597</v>
      </c>
      <c r="AB744" s="2">
        <v>2.5208420451962823</v>
      </c>
      <c r="AD744" s="31">
        <v>1954.33333333577</v>
      </c>
      <c r="AE744" s="2">
        <v>0.27255639517439212</v>
      </c>
      <c r="AF744" s="2">
        <v>6.6874490811640125E-2</v>
      </c>
      <c r="AG744" s="2">
        <v>-0.28469719204327626</v>
      </c>
      <c r="AH744" s="31"/>
      <c r="AI744" s="31">
        <v>1954.33333333577</v>
      </c>
      <c r="AJ744" s="2">
        <v>0.92695405409903364</v>
      </c>
      <c r="AK744" s="2">
        <v>2.2400554914402537</v>
      </c>
      <c r="AL744" s="2">
        <v>1.1531849365013993</v>
      </c>
      <c r="AM744" s="31"/>
      <c r="AN744" s="2">
        <f t="shared" si="107"/>
        <v>0.44093782071031645</v>
      </c>
      <c r="AO744" s="2">
        <f t="shared" si="100"/>
        <v>1.7069814728183179</v>
      </c>
      <c r="AP744" s="2">
        <f t="shared" si="101"/>
        <v>1.1297765965514686</v>
      </c>
      <c r="AQ744" s="31"/>
      <c r="AR744" s="31">
        <v>1954.33333333577</v>
      </c>
      <c r="AS744" s="2">
        <v>-2.3544877033903626E-3</v>
      </c>
      <c r="AT744" s="2">
        <v>1.8010929534953473</v>
      </c>
      <c r="AU744" s="2">
        <v>1.6567283760528577</v>
      </c>
      <c r="AV744" s="31"/>
      <c r="AW744" s="31">
        <v>1954.33333333577</v>
      </c>
      <c r="AX744" s="2">
        <v>0.10984039483301056</v>
      </c>
      <c r="AY744" s="2">
        <v>-0.6035549277918324</v>
      </c>
      <c r="AZ744" s="2">
        <v>-0.56670391647620599</v>
      </c>
      <c r="BA744" s="31"/>
      <c r="BB744" s="31">
        <v>1954.33333333577</v>
      </c>
      <c r="BC744" s="2">
        <v>0.78701703559591818</v>
      </c>
      <c r="BD744" s="2">
        <v>1.4979623471675096</v>
      </c>
      <c r="BE744" s="2">
        <v>0.86452151789427212</v>
      </c>
      <c r="BG744" s="2">
        <f t="shared" si="108"/>
        <v>0.29816764757517944</v>
      </c>
      <c r="BH744" s="2">
        <f t="shared" si="102"/>
        <v>0.89850012429034154</v>
      </c>
      <c r="BI744" s="2">
        <f t="shared" si="103"/>
        <v>0.65151532582364124</v>
      </c>
    </row>
    <row r="745" spans="6:61" x14ac:dyDescent="0.3">
      <c r="F745" s="31">
        <v>1954.2500000024399</v>
      </c>
      <c r="G745" s="2">
        <v>0.70144356608514391</v>
      </c>
      <c r="H745" s="2">
        <v>0.24599999999999936</v>
      </c>
      <c r="I745" s="2">
        <v>0.17035321207064552</v>
      </c>
      <c r="K745" s="31">
        <v>1954.2500000024399</v>
      </c>
      <c r="L745" s="2">
        <v>0.87093317653836566</v>
      </c>
      <c r="M745" s="2">
        <v>0.1230299999999999</v>
      </c>
      <c r="N745" s="2">
        <v>8.1090422568620452E-2</v>
      </c>
      <c r="P745" s="31">
        <v>1954.2500000024399</v>
      </c>
      <c r="Q745" s="2">
        <v>0.70611610608899833</v>
      </c>
      <c r="R745" s="2">
        <v>0.19170000000000093</v>
      </c>
      <c r="S745" s="2">
        <v>5.4469897727638064E-2</v>
      </c>
      <c r="U745" s="2">
        <f t="shared" si="104"/>
        <v>0.75949761623750256</v>
      </c>
      <c r="V745" s="2">
        <f t="shared" si="105"/>
        <v>0.18691000000000005</v>
      </c>
      <c r="W745" s="2">
        <f t="shared" si="106"/>
        <v>0.10197117745563468</v>
      </c>
      <c r="Y745" s="31">
        <v>1954.2500000024399</v>
      </c>
      <c r="Z745" s="2">
        <v>-0.18688635583293303</v>
      </c>
      <c r="AA745" s="2">
        <v>2.8140144362030597</v>
      </c>
      <c r="AB745" s="2">
        <v>2.1903633705128018</v>
      </c>
      <c r="AD745" s="31">
        <v>1954.2500000024399</v>
      </c>
      <c r="AE745" s="2">
        <v>0.36698861209671341</v>
      </c>
      <c r="AF745" s="2">
        <v>0.82033858713866403</v>
      </c>
      <c r="AG745" s="2">
        <v>0.79869371827746782</v>
      </c>
      <c r="AH745" s="31"/>
      <c r="AI745" s="31">
        <v>1954.2500000024399</v>
      </c>
      <c r="AJ745" s="2">
        <v>0.52364678616071247</v>
      </c>
      <c r="AK745" s="2">
        <v>2.2400554914402537</v>
      </c>
      <c r="AL745" s="2">
        <v>0.77342953625224531</v>
      </c>
      <c r="AM745" s="31"/>
      <c r="AN745" s="2">
        <f t="shared" si="107"/>
        <v>0.23458301414149763</v>
      </c>
      <c r="AO745" s="2">
        <f t="shared" si="100"/>
        <v>1.9581361715939927</v>
      </c>
      <c r="AP745" s="2">
        <f t="shared" si="101"/>
        <v>1.254162208347505</v>
      </c>
      <c r="AQ745" s="31"/>
      <c r="AR745" s="31">
        <v>1954.2500000024399</v>
      </c>
      <c r="AS745" s="2">
        <v>-4.3120480422152621E-2</v>
      </c>
      <c r="AT745" s="2">
        <v>1.9841392062377599</v>
      </c>
      <c r="AU745" s="2">
        <v>1.4958257809624858</v>
      </c>
      <c r="AV745" s="31"/>
      <c r="AW745" s="31">
        <v>1954.2500000024399</v>
      </c>
      <c r="AX745" s="2">
        <v>0.42881316678845527</v>
      </c>
      <c r="AY745" s="2">
        <v>-0.13053036562694012</v>
      </c>
      <c r="AZ745" s="2">
        <v>8.558481800246677E-2</v>
      </c>
      <c r="BA745" s="31"/>
      <c r="BB745" s="31">
        <v>1954.2500000024399</v>
      </c>
      <c r="BC745" s="2">
        <v>0.8917397502425739</v>
      </c>
      <c r="BD745" s="2">
        <v>1.1204684408565393</v>
      </c>
      <c r="BE745" s="2">
        <v>0.94366381074194883</v>
      </c>
      <c r="BG745" s="2">
        <f t="shared" si="108"/>
        <v>0.42581081220295885</v>
      </c>
      <c r="BH745" s="2">
        <f t="shared" si="102"/>
        <v>0.99135909382245302</v>
      </c>
      <c r="BI745" s="2">
        <f t="shared" si="103"/>
        <v>0.84169146990230048</v>
      </c>
    </row>
    <row r="746" spans="6:61" x14ac:dyDescent="0.3">
      <c r="F746" s="31">
        <v>1954.1666666691101</v>
      </c>
      <c r="G746" s="2">
        <v>0.64879736108986807</v>
      </c>
      <c r="H746" s="2">
        <v>0.21524999999999944</v>
      </c>
      <c r="I746" s="2">
        <v>0.13822802562126663</v>
      </c>
      <c r="K746" s="31">
        <v>1954.1666666691101</v>
      </c>
      <c r="L746" s="2">
        <v>0.90354105218340353</v>
      </c>
      <c r="M746" s="2">
        <v>9.2264999999999903E-2</v>
      </c>
      <c r="N746" s="2">
        <v>5.5582410960562795E-2</v>
      </c>
      <c r="P746" s="31">
        <v>1954.1666666691101</v>
      </c>
      <c r="Q746" s="2">
        <v>0.68483107687195</v>
      </c>
      <c r="R746" s="2">
        <v>0.19170000000000093</v>
      </c>
      <c r="S746" s="2">
        <v>5.1067412435833362E-2</v>
      </c>
      <c r="U746" s="2">
        <f t="shared" si="104"/>
        <v>0.74572316338174061</v>
      </c>
      <c r="V746" s="2">
        <f t="shared" si="105"/>
        <v>0.16640500000000008</v>
      </c>
      <c r="W746" s="2">
        <f t="shared" si="106"/>
        <v>8.1625949672554265E-2</v>
      </c>
      <c r="Y746" s="31">
        <v>1954.1666666691101</v>
      </c>
      <c r="Z746" s="2">
        <v>-0.49213306366149068</v>
      </c>
      <c r="AA746" s="2">
        <v>2.213551275347553</v>
      </c>
      <c r="AB746" s="2">
        <v>1.4510266499879714</v>
      </c>
      <c r="AD746" s="31">
        <v>1954.1666666691101</v>
      </c>
      <c r="AE746" s="2">
        <v>0.56103014592328815</v>
      </c>
      <c r="AF746" s="2">
        <v>6.6874490811640125E-2</v>
      </c>
      <c r="AG746" s="2">
        <v>-0.17124358755548086</v>
      </c>
      <c r="AH746" s="31"/>
      <c r="AI746" s="31">
        <v>1954.1666666691101</v>
      </c>
      <c r="AJ746" s="2">
        <v>0.18208535050729524</v>
      </c>
      <c r="AK746" s="2">
        <v>2.2400554914402537</v>
      </c>
      <c r="AL746" s="2">
        <v>0.4984479407816807</v>
      </c>
      <c r="AM746" s="31"/>
      <c r="AN746" s="2">
        <f t="shared" si="107"/>
        <v>8.3660810923030904E-2</v>
      </c>
      <c r="AO746" s="2">
        <f t="shared" si="100"/>
        <v>1.5068270858664823</v>
      </c>
      <c r="AP746" s="2">
        <f t="shared" si="101"/>
        <v>0.59274366773805709</v>
      </c>
      <c r="AQ746" s="31"/>
      <c r="AR746" s="31">
        <v>1954.1666666691101</v>
      </c>
      <c r="AS746" s="2">
        <v>-0.14098664765522653</v>
      </c>
      <c r="AT746" s="2">
        <v>1.4394269330854637</v>
      </c>
      <c r="AU746" s="2">
        <v>1.0318791315688918</v>
      </c>
      <c r="AV746" s="31"/>
      <c r="AW746" s="31">
        <v>1954.1666666691101</v>
      </c>
      <c r="AX746" s="2">
        <v>0.72941952230633722</v>
      </c>
      <c r="AY746" s="2">
        <v>-0.48231704140909132</v>
      </c>
      <c r="AZ746" s="2">
        <v>-0.3012080902202271</v>
      </c>
      <c r="BA746" s="31"/>
      <c r="BB746" s="31">
        <v>1954.1666666691101</v>
      </c>
      <c r="BC746" s="2">
        <v>0.83621803018386498</v>
      </c>
      <c r="BD746" s="2">
        <v>2.281209251954214</v>
      </c>
      <c r="BE746" s="2">
        <v>1.0682286942548613</v>
      </c>
      <c r="BG746" s="2">
        <f t="shared" si="108"/>
        <v>0.47488363494499186</v>
      </c>
      <c r="BH746" s="2">
        <f t="shared" si="102"/>
        <v>1.0794397145435288</v>
      </c>
      <c r="BI746" s="2">
        <f t="shared" si="103"/>
        <v>0.59963324520117534</v>
      </c>
    </row>
    <row r="747" spans="6:61" x14ac:dyDescent="0.3">
      <c r="F747" s="31">
        <v>1954.08333333578</v>
      </c>
      <c r="G747" s="2">
        <v>0.62051897009959234</v>
      </c>
      <c r="H747" s="2">
        <v>6.1499999999999846E-2</v>
      </c>
      <c r="I747" s="2">
        <v>3.8161916661124839E-2</v>
      </c>
      <c r="K747" s="31">
        <v>1954.08333333578</v>
      </c>
      <c r="L747" s="2">
        <v>0.90294692588466252</v>
      </c>
      <c r="M747" s="2">
        <v>9.2264999999999903E-2</v>
      </c>
      <c r="N747" s="2">
        <v>5.5545920907414982E-2</v>
      </c>
      <c r="P747" s="31">
        <v>1954.08333333578</v>
      </c>
      <c r="Q747" s="2">
        <v>0.68069816405619499</v>
      </c>
      <c r="R747" s="2">
        <v>7.1900000000000297E-2</v>
      </c>
      <c r="S747" s="2">
        <v>5.0031965682298292E-2</v>
      </c>
      <c r="U747" s="2">
        <f t="shared" si="104"/>
        <v>0.73472135334681665</v>
      </c>
      <c r="V747" s="2">
        <f t="shared" si="105"/>
        <v>7.5221666666666687E-2</v>
      </c>
      <c r="W747" s="2">
        <f t="shared" si="106"/>
        <v>4.7913267750279376E-2</v>
      </c>
      <c r="Y747" s="31">
        <v>1954.08333333578</v>
      </c>
      <c r="Z747" s="2">
        <v>-0.65609332923514396</v>
      </c>
      <c r="AA747" s="2">
        <v>-0.78876452892998183</v>
      </c>
      <c r="AB747" s="2">
        <v>-0.85191870258917923</v>
      </c>
      <c r="AD747" s="31">
        <v>1954.08333333578</v>
      </c>
      <c r="AE747" s="2">
        <v>0.55749464488208633</v>
      </c>
      <c r="AF747" s="2">
        <v>6.6874490811640125E-2</v>
      </c>
      <c r="AG747" s="2">
        <v>-0.17263111490899322</v>
      </c>
      <c r="AH747" s="31"/>
      <c r="AI747" s="31">
        <v>1954.08333333578</v>
      </c>
      <c r="AJ747" s="2">
        <v>8.5744760679810531E-2</v>
      </c>
      <c r="AK747" s="2">
        <v>-0.61478205611361436</v>
      </c>
      <c r="AL747" s="2">
        <v>0.41476534529840448</v>
      </c>
      <c r="AM747" s="31"/>
      <c r="AN747" s="2">
        <f t="shared" si="107"/>
        <v>-4.2846412244157044E-3</v>
      </c>
      <c r="AO747" s="2">
        <f t="shared" si="100"/>
        <v>-0.44555736474398538</v>
      </c>
      <c r="AP747" s="2">
        <f t="shared" si="101"/>
        <v>-0.20326149073325597</v>
      </c>
      <c r="AQ747" s="31"/>
      <c r="AR747" s="31">
        <v>1954.08333333578</v>
      </c>
      <c r="AS747" s="2">
        <v>-0.14688622422414957</v>
      </c>
      <c r="AT747" s="2">
        <v>-0.93050162247170598</v>
      </c>
      <c r="AU747" s="2">
        <v>-0.81277724681208119</v>
      </c>
      <c r="AV747" s="31"/>
      <c r="AW747" s="31">
        <v>1954.08333333578</v>
      </c>
      <c r="AX747" s="2">
        <v>0.92098990505368683</v>
      </c>
      <c r="AY747" s="2">
        <v>0.56051139147476758</v>
      </c>
      <c r="AZ747" s="2">
        <v>0.16078383728991436</v>
      </c>
      <c r="BA747" s="31"/>
      <c r="BB747" s="31">
        <v>1954.08333333578</v>
      </c>
      <c r="BC747" s="2">
        <v>0.84817987082281954</v>
      </c>
      <c r="BD747" s="2">
        <v>-0.95760573293009554</v>
      </c>
      <c r="BE747" s="2">
        <v>0.94183170096739321</v>
      </c>
      <c r="BG747" s="2">
        <f t="shared" si="108"/>
        <v>0.54076118388411898</v>
      </c>
      <c r="BH747" s="2">
        <f t="shared" si="102"/>
        <v>-0.44253198797567794</v>
      </c>
      <c r="BI747" s="2">
        <f t="shared" si="103"/>
        <v>9.6612763815075442E-2</v>
      </c>
    </row>
    <row r="748" spans="6:61" x14ac:dyDescent="0.3">
      <c r="F748" s="31">
        <v>1954.00000000245</v>
      </c>
      <c r="G748" s="2">
        <v>0.63128951284940094</v>
      </c>
      <c r="H748" s="2">
        <v>6.1499999999999846E-2</v>
      </c>
      <c r="I748" s="2">
        <v>3.8824305040238066E-2</v>
      </c>
      <c r="K748" s="31">
        <v>1954.00000000245</v>
      </c>
      <c r="L748" s="2">
        <v>0.83553613258051629</v>
      </c>
      <c r="M748" s="2">
        <v>6.1499999999999902E-2</v>
      </c>
      <c r="N748" s="2">
        <v>5.1385472153701671E-2</v>
      </c>
      <c r="P748" s="31">
        <v>1954.00000000245</v>
      </c>
      <c r="Q748" s="2">
        <v>0.68817401719487048</v>
      </c>
      <c r="R748" s="2"/>
      <c r="S748" s="2"/>
      <c r="U748" s="2">
        <f t="shared" si="104"/>
        <v>0.71833322087492923</v>
      </c>
      <c r="V748" s="2">
        <f t="shared" si="105"/>
        <v>6.1499999999999874E-2</v>
      </c>
      <c r="W748" s="2">
        <f t="shared" si="106"/>
        <v>4.5104888596969872E-2</v>
      </c>
      <c r="Y748" s="31">
        <v>1954.00000000245</v>
      </c>
      <c r="Z748" s="2">
        <v>-0.59364490173308881</v>
      </c>
      <c r="AA748" s="2">
        <v>-0.78876452892998183</v>
      </c>
      <c r="AB748" s="2">
        <v>-0.83667433808723246</v>
      </c>
      <c r="AD748" s="31">
        <v>1954.00000000245</v>
      </c>
      <c r="AE748" s="2">
        <v>0.15634941630006838</v>
      </c>
      <c r="AF748" s="2">
        <v>-0.68658960551538373</v>
      </c>
      <c r="AG748" s="2">
        <v>-0.33083139007109225</v>
      </c>
      <c r="AH748" s="31"/>
      <c r="AI748" s="31">
        <v>1954.00000000245</v>
      </c>
      <c r="AJ748" s="2"/>
      <c r="AK748" s="2"/>
      <c r="AL748" s="2"/>
      <c r="AM748" s="31"/>
      <c r="AN748" s="2">
        <f t="shared" si="107"/>
        <v>-0.21864774271651022</v>
      </c>
      <c r="AO748" s="2">
        <f t="shared" si="100"/>
        <v>-0.73767706722268278</v>
      </c>
      <c r="AP748" s="2">
        <f t="shared" si="101"/>
        <v>-0.58375286407916238</v>
      </c>
      <c r="AQ748" s="31"/>
      <c r="AR748" s="31">
        <v>1954.00000000245</v>
      </c>
      <c r="AS748" s="2">
        <v>-0.1205224676091554</v>
      </c>
      <c r="AT748" s="2">
        <v>-0.29853293598826575</v>
      </c>
      <c r="AU748" s="2">
        <v>-0.34432423916246163</v>
      </c>
      <c r="AV748" s="31"/>
      <c r="AW748" s="31">
        <v>1954.00000000245</v>
      </c>
      <c r="AX748" s="2">
        <v>0.35809476912774263</v>
      </c>
      <c r="AY748" s="2">
        <v>-0.22064426073162682</v>
      </c>
      <c r="AZ748" s="2">
        <v>0.27655563096850672</v>
      </c>
      <c r="BA748" s="31"/>
      <c r="BB748" s="31">
        <v>1954.00000000245</v>
      </c>
      <c r="BC748" s="2"/>
      <c r="BD748" s="2"/>
      <c r="BE748" s="2"/>
      <c r="BG748" s="2">
        <f t="shared" si="108"/>
        <v>0.11878615075929361</v>
      </c>
      <c r="BH748" s="2">
        <f t="shared" si="102"/>
        <v>-0.2595885983599463</v>
      </c>
      <c r="BI748" s="2">
        <f t="shared" si="103"/>
        <v>-3.3884304096977458E-2</v>
      </c>
    </row>
    <row r="749" spans="6:61" x14ac:dyDescent="0.3">
      <c r="F749" s="31">
        <v>1953.9166666691201</v>
      </c>
      <c r="G749" s="2">
        <v>0.71371590696487508</v>
      </c>
      <c r="H749" s="2">
        <v>6.1499999999999902E-2</v>
      </c>
      <c r="I749" s="2">
        <v>4.3893528278339748E-2</v>
      </c>
      <c r="K749" s="31">
        <v>1953.9166666691201</v>
      </c>
      <c r="L749" s="2">
        <v>0.89525533377295541</v>
      </c>
      <c r="M749" s="2">
        <v>9.2264999999999903E-2</v>
      </c>
      <c r="N749" s="2">
        <v>5.5072356942767194E-2</v>
      </c>
      <c r="P749" s="31">
        <v>1953.9166666691201</v>
      </c>
      <c r="Q749" s="2">
        <v>0.70212419019662575</v>
      </c>
      <c r="R749" s="2">
        <v>7.1900000000000297E-2</v>
      </c>
      <c r="S749" s="2">
        <v>5.0633390037707005E-2</v>
      </c>
      <c r="U749" s="2">
        <f t="shared" si="104"/>
        <v>0.77036514364481867</v>
      </c>
      <c r="V749" s="2">
        <f t="shared" si="105"/>
        <v>7.5221666666666701E-2</v>
      </c>
      <c r="W749" s="2">
        <f t="shared" si="106"/>
        <v>4.9866425086271315E-2</v>
      </c>
      <c r="Y749" s="31">
        <v>1953.9166666691201</v>
      </c>
      <c r="Z749" s="2">
        <v>-0.11573038834726304</v>
      </c>
      <c r="AA749" s="2">
        <v>-0.78876452892998072</v>
      </c>
      <c r="AB749" s="2">
        <v>-0.72001002267938152</v>
      </c>
      <c r="AD749" s="31">
        <v>1953.9166666691201</v>
      </c>
      <c r="AE749" s="2">
        <v>0.51172385174085477</v>
      </c>
      <c r="AF749" s="2">
        <v>6.6874490811640125E-2</v>
      </c>
      <c r="AG749" s="2">
        <v>-0.19063829489102482</v>
      </c>
      <c r="AH749" s="31"/>
      <c r="AI749" s="31">
        <v>1953.9166666691201</v>
      </c>
      <c r="AJ749" s="2">
        <v>0.13448975330588925</v>
      </c>
      <c r="AK749" s="2">
        <v>-0.61478205611361436</v>
      </c>
      <c r="AL749" s="2">
        <v>0.46337117739516115</v>
      </c>
      <c r="AM749" s="31"/>
      <c r="AN749" s="2">
        <f t="shared" si="107"/>
        <v>0.17682773889982698</v>
      </c>
      <c r="AO749" s="2">
        <f t="shared" si="100"/>
        <v>-0.445557364743985</v>
      </c>
      <c r="AP749" s="2">
        <f t="shared" si="101"/>
        <v>-0.14909238005841507</v>
      </c>
      <c r="AQ749" s="31"/>
      <c r="AR749" s="31">
        <v>1953.9166666691201</v>
      </c>
      <c r="AS749" s="2">
        <v>0.19272517995776439</v>
      </c>
      <c r="AT749" s="2">
        <v>-0.68444756444044996</v>
      </c>
      <c r="AU749" s="2">
        <v>-0.44710780865004301</v>
      </c>
      <c r="AV749" s="31"/>
      <c r="AW749" s="31">
        <v>1953.9166666691201</v>
      </c>
      <c r="AX749" s="2">
        <v>0.67533795630104998</v>
      </c>
      <c r="AY749" s="2">
        <v>1.05652496446128</v>
      </c>
      <c r="AZ749" s="2">
        <v>0.51485709302365434</v>
      </c>
      <c r="BA749" s="31"/>
      <c r="BB749" s="31">
        <v>1953.9166666691201</v>
      </c>
      <c r="BC749" s="2">
        <v>0.66067857125049456</v>
      </c>
      <c r="BD749" s="2">
        <v>-0.44318112469553572</v>
      </c>
      <c r="BE749" s="2">
        <v>0.91356212481949761</v>
      </c>
      <c r="BG749" s="2">
        <f t="shared" si="108"/>
        <v>0.50958056916976968</v>
      </c>
      <c r="BH749" s="2">
        <f t="shared" si="102"/>
        <v>-2.3701241558235237E-2</v>
      </c>
      <c r="BI749" s="2">
        <f t="shared" si="103"/>
        <v>0.32710380306436959</v>
      </c>
    </row>
    <row r="750" spans="6:61" x14ac:dyDescent="0.3">
      <c r="F750" s="31">
        <v>1953.83333333579</v>
      </c>
      <c r="G750" s="2">
        <v>0.69570354163570014</v>
      </c>
      <c r="H750" s="2">
        <v>6.1499999999999846E-2</v>
      </c>
      <c r="I750" s="2">
        <v>4.2785767810595461E-2</v>
      </c>
      <c r="K750" s="31">
        <v>1953.83333333579</v>
      </c>
      <c r="L750" s="2">
        <v>0.87518972703965503</v>
      </c>
      <c r="M750" s="2">
        <v>6.1499999999999902E-2</v>
      </c>
      <c r="N750" s="2">
        <v>5.38241682129387E-2</v>
      </c>
      <c r="P750" s="31">
        <v>1953.83333333579</v>
      </c>
      <c r="Q750" s="2">
        <v>0.77554150934174226</v>
      </c>
      <c r="R750" s="2"/>
      <c r="S750" s="2"/>
      <c r="U750" s="2">
        <f t="shared" si="104"/>
        <v>0.78214492600569907</v>
      </c>
      <c r="V750" s="2">
        <f t="shared" si="105"/>
        <v>6.1499999999999874E-2</v>
      </c>
      <c r="W750" s="2">
        <f t="shared" si="106"/>
        <v>4.8304968011767077E-2</v>
      </c>
      <c r="Y750" s="31">
        <v>1953.83333333579</v>
      </c>
      <c r="Z750" s="2">
        <v>-0.22016745493979867</v>
      </c>
      <c r="AA750" s="2">
        <v>-0.78876452892998183</v>
      </c>
      <c r="AB750" s="2">
        <v>-0.74550428689601611</v>
      </c>
      <c r="AD750" s="31">
        <v>1953.83333333579</v>
      </c>
      <c r="AE750" s="2">
        <v>0.39231830842748783</v>
      </c>
      <c r="AF750" s="2">
        <v>-0.68658960551538373</v>
      </c>
      <c r="AG750" s="2">
        <v>-0.23810043472314196</v>
      </c>
      <c r="AH750" s="31"/>
      <c r="AI750" s="31">
        <v>1953.83333333579</v>
      </c>
      <c r="AJ750" s="2"/>
      <c r="AK750" s="2"/>
      <c r="AL750" s="2"/>
      <c r="AM750" s="31"/>
      <c r="AN750" s="2">
        <f t="shared" si="107"/>
        <v>8.607542674384458E-2</v>
      </c>
      <c r="AO750" s="2">
        <f t="shared" si="100"/>
        <v>-0.73767706722268278</v>
      </c>
      <c r="AP750" s="2">
        <f t="shared" si="101"/>
        <v>-0.49180236080957906</v>
      </c>
      <c r="AQ750" s="31"/>
      <c r="AR750" s="31">
        <v>1953.83333333579</v>
      </c>
      <c r="AS750" s="2">
        <v>-2.239308536611612E-2</v>
      </c>
      <c r="AT750" s="2">
        <v>-0.28549293171718004</v>
      </c>
      <c r="AU750" s="2">
        <v>-0.25754521082648313</v>
      </c>
      <c r="AV750" s="31"/>
      <c r="AW750" s="31">
        <v>1953.83333333579</v>
      </c>
      <c r="AX750" s="2">
        <v>0.40103289597629782</v>
      </c>
      <c r="AY750" s="2">
        <v>-0.19208961378086201</v>
      </c>
      <c r="AZ750" s="2">
        <v>0.33891790288023493</v>
      </c>
      <c r="BA750" s="31"/>
      <c r="BB750" s="31">
        <v>1953.83333333579</v>
      </c>
      <c r="BC750" s="2"/>
      <c r="BD750" s="2"/>
      <c r="BE750" s="2"/>
      <c r="BG750" s="2">
        <f t="shared" si="108"/>
        <v>0.18931990530509085</v>
      </c>
      <c r="BH750" s="2">
        <f t="shared" si="102"/>
        <v>-0.23879127274902101</v>
      </c>
      <c r="BI750" s="2">
        <f t="shared" si="103"/>
        <v>4.0686346026875903E-2</v>
      </c>
    </row>
    <row r="751" spans="6:61" x14ac:dyDescent="0.3">
      <c r="F751" s="31">
        <v>1953.75000000246</v>
      </c>
      <c r="G751" s="2">
        <v>0.75900954750187455</v>
      </c>
      <c r="H751" s="2">
        <v>6.1499999999999846E-2</v>
      </c>
      <c r="I751" s="2">
        <v>4.6679087171365173E-2</v>
      </c>
      <c r="K751" s="31">
        <v>1953.75000000246</v>
      </c>
      <c r="L751" s="2">
        <v>0.90980601125042371</v>
      </c>
      <c r="M751" s="2">
        <v>9.2264999999999903E-2</v>
      </c>
      <c r="N751" s="2">
        <v>5.5966707807848744E-2</v>
      </c>
      <c r="P751" s="31">
        <v>1953.75000000246</v>
      </c>
      <c r="Q751" s="2">
        <v>0.70749069230395301</v>
      </c>
      <c r="R751" s="2">
        <v>9.5900000000000304E-2</v>
      </c>
      <c r="S751" s="2">
        <v>7.2722530224691523E-2</v>
      </c>
      <c r="U751" s="2">
        <f t="shared" si="104"/>
        <v>0.79210208368541701</v>
      </c>
      <c r="V751" s="2">
        <f t="shared" si="105"/>
        <v>8.322166666666668E-2</v>
      </c>
      <c r="W751" s="2">
        <f t="shared" si="106"/>
        <v>5.8456108401301811E-2</v>
      </c>
      <c r="Y751" s="31">
        <v>1953.75000000246</v>
      </c>
      <c r="Z751" s="2">
        <v>0.14688559053915115</v>
      </c>
      <c r="AA751" s="2">
        <v>-0.78876452892998183</v>
      </c>
      <c r="AB751" s="2">
        <v>-0.65590250442284503</v>
      </c>
      <c r="AD751" s="31">
        <v>1953.75000000246</v>
      </c>
      <c r="AE751" s="2">
        <v>0.59831139294344771</v>
      </c>
      <c r="AF751" s="2">
        <v>6.6874490811640125E-2</v>
      </c>
      <c r="AG751" s="2">
        <v>-0.15663077278873189</v>
      </c>
      <c r="AH751" s="31"/>
      <c r="AI751" s="31">
        <v>1953.75000000246</v>
      </c>
      <c r="AJ751" s="2">
        <v>0.59184003796486973</v>
      </c>
      <c r="AK751" s="2">
        <v>-4.286134541835146E-2</v>
      </c>
      <c r="AL751" s="2">
        <v>2.2485683172094584</v>
      </c>
      <c r="AM751" s="31"/>
      <c r="AN751" s="2">
        <f t="shared" si="107"/>
        <v>0.44567900714915615</v>
      </c>
      <c r="AO751" s="2">
        <f t="shared" si="100"/>
        <v>-0.25491712784556436</v>
      </c>
      <c r="AP751" s="2">
        <f t="shared" si="101"/>
        <v>0.47867834666596049</v>
      </c>
      <c r="AQ751" s="31"/>
      <c r="AR751" s="31">
        <v>1953.75000000246</v>
      </c>
      <c r="AS751" s="2">
        <v>9.8679472062680212E-2</v>
      </c>
      <c r="AT751" s="2">
        <v>-0.6766476141944503</v>
      </c>
      <c r="AU751" s="2">
        <v>-0.4794231485844041</v>
      </c>
      <c r="AV751" s="31"/>
      <c r="AW751" s="31">
        <v>1953.75000000246</v>
      </c>
      <c r="AX751" s="2">
        <v>0.74452903853135333</v>
      </c>
      <c r="AY751" s="2">
        <v>0.96231815385189867</v>
      </c>
      <c r="AZ751" s="2">
        <v>0.1387598139290924</v>
      </c>
      <c r="BA751" s="31"/>
      <c r="BB751" s="31">
        <v>1953.75000000246</v>
      </c>
      <c r="BC751" s="2">
        <v>0.53939176405302147</v>
      </c>
      <c r="BD751" s="2">
        <v>0.3716592909887223</v>
      </c>
      <c r="BE751" s="2">
        <v>1.8991420271071335</v>
      </c>
      <c r="BG751" s="2">
        <f t="shared" si="108"/>
        <v>0.46086675821568496</v>
      </c>
      <c r="BH751" s="2">
        <f t="shared" si="102"/>
        <v>0.21910994354872357</v>
      </c>
      <c r="BI751" s="2">
        <f t="shared" si="103"/>
        <v>0.51949289748394056</v>
      </c>
    </row>
    <row r="752" spans="6:61" x14ac:dyDescent="0.3">
      <c r="F752" s="31">
        <v>1953.6666666691301</v>
      </c>
      <c r="G752" s="2">
        <v>0.96691103845075177</v>
      </c>
      <c r="H752" s="2">
        <v>6.1499999999999902E-2</v>
      </c>
      <c r="I752" s="2">
        <v>5.9465028864721138E-2</v>
      </c>
      <c r="K752" s="31">
        <v>1953.6666666691301</v>
      </c>
      <c r="L752" s="2">
        <v>0.94509456734892849</v>
      </c>
      <c r="M752" s="2">
        <v>6.1499999999999902E-2</v>
      </c>
      <c r="N752" s="2">
        <v>5.8123315891959008E-2</v>
      </c>
      <c r="P752" s="31">
        <v>1953.6666666691301</v>
      </c>
      <c r="Q752" s="2">
        <v>0.64177052820440483</v>
      </c>
      <c r="R752" s="2">
        <v>4.7900000000000303E-2</v>
      </c>
      <c r="S752" s="2">
        <v>3.0940148121955686E-2</v>
      </c>
      <c r="U752" s="2">
        <f t="shared" si="104"/>
        <v>0.85125871133469511</v>
      </c>
      <c r="V752" s="2">
        <f t="shared" si="105"/>
        <v>5.69666666666667E-2</v>
      </c>
      <c r="W752" s="2">
        <f t="shared" si="106"/>
        <v>4.950949762621195E-2</v>
      </c>
      <c r="Y752" s="31">
        <v>1953.6666666691301</v>
      </c>
      <c r="Z752" s="2">
        <v>1.3523142756739694</v>
      </c>
      <c r="AA752" s="2">
        <v>-0.78876452892998072</v>
      </c>
      <c r="AB752" s="2">
        <v>-0.36164378579149337</v>
      </c>
      <c r="AD752" s="31">
        <v>1953.6666666691301</v>
      </c>
      <c r="AE752" s="2">
        <v>0.80830500388636162</v>
      </c>
      <c r="AF752" s="2">
        <v>-0.68658960551538373</v>
      </c>
      <c r="AG752" s="2">
        <v>-7.4626159219452246E-2</v>
      </c>
      <c r="AH752" s="31"/>
      <c r="AI752" s="31">
        <v>1953.6666666691301</v>
      </c>
      <c r="AJ752" s="2">
        <v>-0.14094120589572601</v>
      </c>
      <c r="AK752" s="2">
        <v>-1.186702766808877</v>
      </c>
      <c r="AL752" s="2">
        <v>-1.1281945804420441</v>
      </c>
      <c r="AM752" s="31"/>
      <c r="AN752" s="2">
        <f t="shared" si="107"/>
        <v>0.67322602455486835</v>
      </c>
      <c r="AO752" s="2">
        <f t="shared" si="100"/>
        <v>-0.88735230041808055</v>
      </c>
      <c r="AP752" s="2">
        <f t="shared" si="101"/>
        <v>-0.52148817515099655</v>
      </c>
      <c r="AQ752" s="31"/>
      <c r="AR752" s="31">
        <v>1953.6666666691301</v>
      </c>
      <c r="AS752" s="2">
        <v>0.59415342001205829</v>
      </c>
      <c r="AT752" s="2">
        <v>-0.32631334910519749</v>
      </c>
      <c r="AU752" s="2">
        <v>0.16431423288378327</v>
      </c>
      <c r="AV752" s="31"/>
      <c r="AW752" s="31">
        <v>1953.6666666691301</v>
      </c>
      <c r="AX752" s="2">
        <v>0.41707171275500987</v>
      </c>
      <c r="AY752" s="2">
        <v>-0.23903137022338633</v>
      </c>
      <c r="AZ752" s="2">
        <v>0.40076383708474728</v>
      </c>
      <c r="BA752" s="31"/>
      <c r="BB752" s="31">
        <v>1953.6666666691301</v>
      </c>
      <c r="BC752" s="2">
        <v>-0.39100964377440195</v>
      </c>
      <c r="BD752" s="2">
        <v>-1.0289872901111137</v>
      </c>
      <c r="BE752" s="2">
        <v>-1.0534999229603736</v>
      </c>
      <c r="BG752" s="2">
        <f t="shared" si="108"/>
        <v>0.20673849633088873</v>
      </c>
      <c r="BH752" s="2">
        <f t="shared" si="102"/>
        <v>-0.53144400314656581</v>
      </c>
      <c r="BI752" s="2">
        <f t="shared" si="103"/>
        <v>-0.16280728433061437</v>
      </c>
    </row>
    <row r="753" spans="6:61" x14ac:dyDescent="0.3">
      <c r="F753" s="31">
        <v>1953.5833333358</v>
      </c>
      <c r="G753" s="2">
        <v>0.86692919804365087</v>
      </c>
      <c r="H753" s="2">
        <v>6.1499999999999846E-2</v>
      </c>
      <c r="I753" s="2">
        <v>5.3316145679684408E-2</v>
      </c>
      <c r="K753" s="31">
        <v>1953.5833333358</v>
      </c>
      <c r="L753" s="2">
        <v>0.92556481100644605</v>
      </c>
      <c r="M753" s="2">
        <v>9.2264999999999903E-2</v>
      </c>
      <c r="N753" s="2">
        <v>5.6935382697048773E-2</v>
      </c>
      <c r="P753" s="31">
        <v>1953.5833333358</v>
      </c>
      <c r="Q753" s="2">
        <v>0.68180441005579762</v>
      </c>
      <c r="R753" s="2">
        <v>9.5900000000000304E-2</v>
      </c>
      <c r="S753" s="2">
        <v>7.4374430745873313E-2</v>
      </c>
      <c r="U753" s="2">
        <f t="shared" si="104"/>
        <v>0.82476613970196488</v>
      </c>
      <c r="V753" s="2">
        <f t="shared" si="105"/>
        <v>8.322166666666668E-2</v>
      </c>
      <c r="W753" s="2">
        <f t="shared" si="106"/>
        <v>6.1541986374202162E-2</v>
      </c>
      <c r="Y753" s="31">
        <v>1953.5833333358</v>
      </c>
      <c r="Z753" s="2">
        <v>0.77261194708928949</v>
      </c>
      <c r="AA753" s="2">
        <v>-0.78876452892998183</v>
      </c>
      <c r="AB753" s="2">
        <v>-0.50315565331259926</v>
      </c>
      <c r="AD753" s="31">
        <v>1953.5833333358</v>
      </c>
      <c r="AE753" s="2">
        <v>0.69208817586582005</v>
      </c>
      <c r="AF753" s="2">
        <v>6.6874490811640125E-2</v>
      </c>
      <c r="AG753" s="2">
        <v>-0.11979709375896726</v>
      </c>
      <c r="AH753" s="31"/>
      <c r="AI753" s="31">
        <v>1953.5833333358</v>
      </c>
      <c r="AJ753" s="2">
        <v>0.70415420249446448</v>
      </c>
      <c r="AK753" s="2">
        <v>-4.286134541835146E-2</v>
      </c>
      <c r="AL753" s="2">
        <v>2.3820713897921153</v>
      </c>
      <c r="AM753" s="31"/>
      <c r="AN753" s="2">
        <f t="shared" si="107"/>
        <v>0.72295144181652471</v>
      </c>
      <c r="AO753" s="2">
        <f t="shared" si="100"/>
        <v>-0.25491712784556436</v>
      </c>
      <c r="AP753" s="2">
        <f t="shared" si="101"/>
        <v>0.58637288090684958</v>
      </c>
      <c r="AQ753" s="31"/>
      <c r="AR753" s="31">
        <v>1953.5833333358</v>
      </c>
      <c r="AS753" s="2">
        <v>0.293482038875502</v>
      </c>
      <c r="AT753" s="2">
        <v>-0.65870957567408583</v>
      </c>
      <c r="AU753" s="2">
        <v>-0.34107330105258665</v>
      </c>
      <c r="AV753" s="31"/>
      <c r="AW753" s="31">
        <v>1953.5833333358</v>
      </c>
      <c r="AX753" s="2">
        <v>0.53232708574639054</v>
      </c>
      <c r="AY753" s="2">
        <v>1.4455061964040326</v>
      </c>
      <c r="AZ753" s="2">
        <v>0.2815569534967034</v>
      </c>
      <c r="BA753" s="31"/>
      <c r="BB753" s="31">
        <v>1953.5833333358</v>
      </c>
      <c r="BC753" s="2">
        <v>0.10487141480359813</v>
      </c>
      <c r="BD753" s="2">
        <v>0.77710760691839276</v>
      </c>
      <c r="BE753" s="2">
        <v>1.4735158619743658</v>
      </c>
      <c r="BG753" s="2">
        <f t="shared" si="108"/>
        <v>0.31022684647516358</v>
      </c>
      <c r="BH753" s="2">
        <f t="shared" si="102"/>
        <v>0.52130140921611323</v>
      </c>
      <c r="BI753" s="2">
        <f t="shared" si="103"/>
        <v>0.47133317147282749</v>
      </c>
    </row>
    <row r="754" spans="6:61" x14ac:dyDescent="0.3">
      <c r="F754" s="31">
        <v>1953.50000000247</v>
      </c>
      <c r="G754" s="2"/>
      <c r="H754" s="2"/>
      <c r="I754" s="2"/>
      <c r="K754" s="31">
        <v>1953.50000000247</v>
      </c>
      <c r="L754" s="2">
        <v>1.0052204943131848</v>
      </c>
      <c r="M754" s="2">
        <v>6.1499999999999902E-2</v>
      </c>
      <c r="N754" s="2">
        <v>6.1821060400260766E-2</v>
      </c>
      <c r="P754" s="31">
        <v>1953.50000000247</v>
      </c>
      <c r="Q754" s="2"/>
      <c r="R754" s="2"/>
      <c r="S754" s="2"/>
      <c r="U754" s="2">
        <f t="shared" si="104"/>
        <v>1.0052204943131848</v>
      </c>
      <c r="V754" s="2">
        <f t="shared" si="105"/>
        <v>6.1499999999999902E-2</v>
      </c>
      <c r="W754" s="2">
        <f t="shared" si="106"/>
        <v>6.1821060400260766E-2</v>
      </c>
      <c r="Y754" s="31">
        <v>1953.50000000247</v>
      </c>
      <c r="Z754" s="2"/>
      <c r="AA754" s="2"/>
      <c r="AB754" s="2"/>
      <c r="AD754" s="31">
        <v>1953.50000000247</v>
      </c>
      <c r="AE754" s="2">
        <v>1.1660997654308578</v>
      </c>
      <c r="AF754" s="2">
        <v>-0.68658960551538373</v>
      </c>
      <c r="AG754" s="2">
        <v>6.5979874725891938E-2</v>
      </c>
      <c r="AH754" s="31"/>
      <c r="AI754" s="31">
        <v>1953.50000000247</v>
      </c>
      <c r="AJ754" s="2"/>
      <c r="AK754" s="2"/>
      <c r="AL754" s="2"/>
      <c r="AM754" s="31"/>
      <c r="AN754" s="2">
        <f t="shared" si="107"/>
        <v>1.1660997654308578</v>
      </c>
      <c r="AO754" s="2">
        <f t="shared" si="100"/>
        <v>-0.68658960551538373</v>
      </c>
      <c r="AP754" s="2">
        <f t="shared" si="101"/>
        <v>6.5979874725891938E-2</v>
      </c>
      <c r="AQ754" s="31"/>
      <c r="AR754" s="31">
        <v>1953.50000000247</v>
      </c>
      <c r="AS754" s="2"/>
      <c r="AT754" s="2"/>
      <c r="AU754" s="2"/>
      <c r="AV754" s="31"/>
      <c r="AW754" s="31">
        <v>1953.50000000247</v>
      </c>
      <c r="AX754" s="2">
        <v>0.25232863480322121</v>
      </c>
      <c r="AY754" s="2">
        <v>-0.1083026392523672</v>
      </c>
      <c r="AZ754" s="2">
        <v>0.25199896421086859</v>
      </c>
      <c r="BA754" s="31"/>
      <c r="BB754" s="31">
        <v>1953.50000000247</v>
      </c>
      <c r="BC754" s="2"/>
      <c r="BD754" s="2"/>
      <c r="BE754" s="2"/>
      <c r="BG754" s="2">
        <f t="shared" si="108"/>
        <v>0.25232863480322121</v>
      </c>
      <c r="BH754" s="2">
        <f t="shared" si="102"/>
        <v>-0.1083026392523672</v>
      </c>
      <c r="BI754" s="2">
        <f t="shared" si="103"/>
        <v>0.25199896421086859</v>
      </c>
    </row>
    <row r="755" spans="6:61" x14ac:dyDescent="0.3">
      <c r="F755" s="31">
        <v>1953.4166666691401</v>
      </c>
      <c r="G755" s="2">
        <v>0.85004669165170443</v>
      </c>
      <c r="H755" s="2">
        <v>0.15374999999999961</v>
      </c>
      <c r="I755" s="2">
        <v>0.12479857269534597</v>
      </c>
      <c r="K755" s="31">
        <v>1953.4166666691401</v>
      </c>
      <c r="L755" s="2">
        <v>0.90701699589508489</v>
      </c>
      <c r="M755" s="2">
        <v>0.1537949999999999</v>
      </c>
      <c r="N755" s="2">
        <v>0.1054377558300513</v>
      </c>
      <c r="P755" s="31">
        <v>1953.4166666691401</v>
      </c>
      <c r="Q755" s="2">
        <v>0.6063322928109901</v>
      </c>
      <c r="R755" s="2">
        <v>9.5850000000000463E-2</v>
      </c>
      <c r="S755" s="2">
        <v>5.221713291960868E-2</v>
      </c>
      <c r="U755" s="2">
        <f t="shared" si="104"/>
        <v>0.78779866011925981</v>
      </c>
      <c r="V755" s="2">
        <f t="shared" si="105"/>
        <v>0.13446499999999997</v>
      </c>
      <c r="W755" s="2">
        <f t="shared" si="106"/>
        <v>9.4151153815001984E-2</v>
      </c>
      <c r="Y755" s="31">
        <v>1953.4166666691401</v>
      </c>
      <c r="Z755" s="2">
        <v>0.67472588870201045</v>
      </c>
      <c r="AA755" s="2">
        <v>1.012624953636539</v>
      </c>
      <c r="AB755" s="2">
        <v>1.1419580100179541</v>
      </c>
      <c r="AD755" s="31">
        <v>1953.4166666691401</v>
      </c>
      <c r="AE755" s="2">
        <v>0.58171464118607996</v>
      </c>
      <c r="AF755" s="2">
        <v>1.573802683465688</v>
      </c>
      <c r="AG755" s="2">
        <v>1.7244964500101669</v>
      </c>
      <c r="AH755" s="31"/>
      <c r="AI755" s="31">
        <v>1953.4166666691401</v>
      </c>
      <c r="AJ755" s="2">
        <v>0.25007657315773796</v>
      </c>
      <c r="AK755" s="2">
        <v>-4.4052846898962821E-2</v>
      </c>
      <c r="AL755" s="2">
        <v>0.59136589511794679</v>
      </c>
      <c r="AM755" s="31"/>
      <c r="AN755" s="2">
        <f t="shared" si="107"/>
        <v>0.50217236768194284</v>
      </c>
      <c r="AO755" s="2">
        <f t="shared" si="100"/>
        <v>0.8474582634010881</v>
      </c>
      <c r="AP755" s="2">
        <f t="shared" si="101"/>
        <v>1.1526067850486894</v>
      </c>
      <c r="AQ755" s="31"/>
      <c r="AR755" s="31">
        <v>1953.4166666691401</v>
      </c>
      <c r="AS755" s="2">
        <v>6.6754137904619801E-2</v>
      </c>
      <c r="AT755" s="2">
        <v>-0.3587827526842341</v>
      </c>
      <c r="AU755" s="2">
        <v>-0.38215993448730357</v>
      </c>
      <c r="AV755" s="31"/>
      <c r="AW755" s="31">
        <v>1953.4166666691401</v>
      </c>
      <c r="AX755" s="2">
        <v>0.16283957362851312</v>
      </c>
      <c r="AY755" s="2">
        <v>0.24857417332271592</v>
      </c>
      <c r="AZ755" s="2">
        <v>0.49023827714762458</v>
      </c>
      <c r="BA755" s="31"/>
      <c r="BB755" s="31">
        <v>1953.4166666691401</v>
      </c>
      <c r="BC755" s="2">
        <v>-0.48465848675163509</v>
      </c>
      <c r="BD755" s="2">
        <v>-1.4743235720587309</v>
      </c>
      <c r="BE755" s="2">
        <v>-0.3190497999593141</v>
      </c>
      <c r="BG755" s="2">
        <f t="shared" si="108"/>
        <v>-8.5021591739500704E-2</v>
      </c>
      <c r="BH755" s="2">
        <f t="shared" si="102"/>
        <v>-0.52817738380674972</v>
      </c>
      <c r="BI755" s="2">
        <f t="shared" si="103"/>
        <v>-7.0323819099664356E-2</v>
      </c>
    </row>
    <row r="756" spans="6:61" x14ac:dyDescent="0.3">
      <c r="F756" s="31">
        <v>1953.33333333581</v>
      </c>
      <c r="G756" s="2">
        <v>0.75516280479217546</v>
      </c>
      <c r="H756" s="2">
        <v>9.2249999999999749E-2</v>
      </c>
      <c r="I756" s="2">
        <v>6.4053326928089835E-2</v>
      </c>
      <c r="K756" s="31">
        <v>1953.33333333581</v>
      </c>
      <c r="L756" s="2">
        <v>0.85450145850203196</v>
      </c>
      <c r="M756" s="2">
        <v>0.1230299999999999</v>
      </c>
      <c r="N756" s="2">
        <v>7.498584923341918E-2</v>
      </c>
      <c r="P756" s="31">
        <v>1953.33333333581</v>
      </c>
      <c r="Q756" s="2">
        <v>0.64789818613797412</v>
      </c>
      <c r="R756" s="2">
        <v>7.1900000000000297E-2</v>
      </c>
      <c r="S756" s="2">
        <v>5.0351271604243075E-2</v>
      </c>
      <c r="U756" s="2">
        <f t="shared" si="104"/>
        <v>0.75252081647739377</v>
      </c>
      <c r="V756" s="2">
        <f t="shared" si="105"/>
        <v>9.5726666666666668E-2</v>
      </c>
      <c r="W756" s="2">
        <f t="shared" si="106"/>
        <v>6.3130149255250692E-2</v>
      </c>
      <c r="Y756" s="31">
        <v>1953.33333333581</v>
      </c>
      <c r="Z756" s="2">
        <v>0.12458188321391243</v>
      </c>
      <c r="AA756" s="2">
        <v>-0.1883013680744752</v>
      </c>
      <c r="AB756" s="2">
        <v>-0.25604759732090387</v>
      </c>
      <c r="AD756" s="31">
        <v>1953.33333333581</v>
      </c>
      <c r="AE756" s="2">
        <v>0.26920745622245185</v>
      </c>
      <c r="AF756" s="2">
        <v>0.82033858713866403</v>
      </c>
      <c r="AG756" s="2">
        <v>0.56656847445272396</v>
      </c>
      <c r="AH756" s="31"/>
      <c r="AI756" s="31">
        <v>1953.33333333581</v>
      </c>
      <c r="AJ756" s="2">
        <v>9.2957844202584627E-2</v>
      </c>
      <c r="AK756" s="2">
        <v>-0.61478205611361436</v>
      </c>
      <c r="AL756" s="2">
        <v>0.44057096805041485</v>
      </c>
      <c r="AM756" s="31"/>
      <c r="AN756" s="2">
        <f t="shared" si="107"/>
        <v>0.16224906121298296</v>
      </c>
      <c r="AO756" s="2">
        <f t="shared" si="100"/>
        <v>5.7517209835248233E-3</v>
      </c>
      <c r="AP756" s="2">
        <f t="shared" si="101"/>
        <v>0.25036394839407833</v>
      </c>
      <c r="AQ756" s="31"/>
      <c r="AR756" s="31">
        <v>1953.33333333581</v>
      </c>
      <c r="AS756" s="2">
        <v>-9.1185585643344862E-4</v>
      </c>
      <c r="AT756" s="2">
        <v>-1.2318355951367148</v>
      </c>
      <c r="AU756" s="2">
        <v>-1.2123444861202863</v>
      </c>
      <c r="AV756" s="31"/>
      <c r="AW756" s="31">
        <v>1953.33333333581</v>
      </c>
      <c r="AX756" s="2">
        <v>0.10665722294475147</v>
      </c>
      <c r="AY756" s="2">
        <v>6.3072530914539418E-2</v>
      </c>
      <c r="AZ756" s="2">
        <v>4.4884639992765311E-2</v>
      </c>
      <c r="BA756" s="31"/>
      <c r="BB756" s="31">
        <v>1953.33333333581</v>
      </c>
      <c r="BC756" s="2">
        <v>-0.16221702984961162</v>
      </c>
      <c r="BD756" s="2">
        <v>-1.2946315076121118</v>
      </c>
      <c r="BE756" s="2">
        <v>6.8392298983721192E-2</v>
      </c>
      <c r="BG756" s="2">
        <f t="shared" si="108"/>
        <v>-1.8823887587097864E-2</v>
      </c>
      <c r="BH756" s="2">
        <f t="shared" si="102"/>
        <v>-0.82113152394476241</v>
      </c>
      <c r="BI756" s="2">
        <f t="shared" si="103"/>
        <v>-0.36635584904793328</v>
      </c>
    </row>
    <row r="757" spans="6:61" x14ac:dyDescent="0.3">
      <c r="F757" s="31">
        <v>1953.25000000248</v>
      </c>
      <c r="G757" s="2">
        <v>0.70602634310749623</v>
      </c>
      <c r="H757" s="2">
        <v>0.12299999999999964</v>
      </c>
      <c r="I757" s="2">
        <v>7.7522846075346943E-2</v>
      </c>
      <c r="K757" s="31">
        <v>1953.25000000248</v>
      </c>
      <c r="L757" s="2">
        <v>0.80875191398747992</v>
      </c>
      <c r="M757" s="2">
        <v>0.1230299999999999</v>
      </c>
      <c r="N757" s="2">
        <v>7.1194692156813316E-2</v>
      </c>
      <c r="P757" s="31">
        <v>1953.25000000248</v>
      </c>
      <c r="Q757" s="2">
        <v>0.5781918922531285</v>
      </c>
      <c r="R757" s="2">
        <v>9.5850000000000463E-2</v>
      </c>
      <c r="S757" s="2">
        <v>4.8225541859803461E-2</v>
      </c>
      <c r="U757" s="2">
        <f t="shared" si="104"/>
        <v>0.69765671644936822</v>
      </c>
      <c r="V757" s="2">
        <f t="shared" si="105"/>
        <v>0.11395999999999999</v>
      </c>
      <c r="W757" s="2">
        <f t="shared" si="106"/>
        <v>6.5647693363987902E-2</v>
      </c>
      <c r="Y757" s="31">
        <v>1953.25000000248</v>
      </c>
      <c r="Z757" s="2">
        <v>-0.16031506548235724</v>
      </c>
      <c r="AA757" s="2">
        <v>0.41216179278103116</v>
      </c>
      <c r="AB757" s="2">
        <v>5.3943136244846965E-2</v>
      </c>
      <c r="AD757" s="31">
        <v>1953.25000000248</v>
      </c>
      <c r="AE757" s="2">
        <v>-3.0369514202690131E-3</v>
      </c>
      <c r="AF757" s="2">
        <v>0.82033858713866403</v>
      </c>
      <c r="AG757" s="2">
        <v>0.42241044530587218</v>
      </c>
      <c r="AH757" s="31"/>
      <c r="AI757" s="31">
        <v>1953.25000000248</v>
      </c>
      <c r="AJ757" s="2">
        <v>-9.8937487770139734E-2</v>
      </c>
      <c r="AK757" s="2">
        <v>-4.4052846898962821E-2</v>
      </c>
      <c r="AL757" s="2">
        <v>0.26877402947931572</v>
      </c>
      <c r="AM757" s="31"/>
      <c r="AN757" s="2">
        <f t="shared" si="107"/>
        <v>-8.7429834890922001E-2</v>
      </c>
      <c r="AO757" s="2">
        <f t="shared" si="100"/>
        <v>0.39614917767357749</v>
      </c>
      <c r="AP757" s="2">
        <f t="shared" si="101"/>
        <v>0.24837587034334493</v>
      </c>
      <c r="AQ757" s="31"/>
      <c r="AR757" s="31">
        <v>1953.25000000248</v>
      </c>
      <c r="AS757" s="2">
        <v>-1.0765620489246014E-2</v>
      </c>
      <c r="AT757" s="2">
        <v>-0.74536446371894749</v>
      </c>
      <c r="AU757" s="2">
        <v>-0.84566740231107063</v>
      </c>
      <c r="AV757" s="31"/>
      <c r="AW757" s="31">
        <v>1953.25000000248</v>
      </c>
      <c r="AX757" s="2">
        <v>5.2778320281894824E-2</v>
      </c>
      <c r="AY757" s="2">
        <v>-0.13053036562694012</v>
      </c>
      <c r="AZ757" s="2">
        <v>-0.17292602304232355</v>
      </c>
      <c r="BA757" s="31"/>
      <c r="BB757" s="31">
        <v>1953.25000000248</v>
      </c>
      <c r="BC757" s="2">
        <v>0.1856489561362443</v>
      </c>
      <c r="BD757" s="2">
        <v>-1.0548255298976554</v>
      </c>
      <c r="BE757" s="2">
        <v>0.33787381925615689</v>
      </c>
      <c r="BG757" s="2">
        <f t="shared" si="108"/>
        <v>7.5887218642964369E-2</v>
      </c>
      <c r="BH757" s="2">
        <f t="shared" si="102"/>
        <v>-0.64357345308118097</v>
      </c>
      <c r="BI757" s="2">
        <f t="shared" si="103"/>
        <v>-0.22690653536574576</v>
      </c>
    </row>
    <row r="758" spans="6:61" x14ac:dyDescent="0.3">
      <c r="F758" s="31">
        <v>1953.1666666691499</v>
      </c>
      <c r="G758" s="2">
        <v>0.65897250215224235</v>
      </c>
      <c r="H758" s="2">
        <v>9.2249999999999749E-2</v>
      </c>
      <c r="I758" s="2">
        <v>5.6514330156885076E-2</v>
      </c>
      <c r="K758" s="31">
        <v>1953.1666666691499</v>
      </c>
      <c r="L758" s="2">
        <v>0.74571192412872356</v>
      </c>
      <c r="M758" s="2">
        <v>0.1230299999999999</v>
      </c>
      <c r="N758" s="2">
        <v>6.6486633910399912E-2</v>
      </c>
      <c r="P758" s="31">
        <v>1953.1666666691499</v>
      </c>
      <c r="Q758" s="2"/>
      <c r="R758" s="2">
        <v>4.7900000000000303E-2</v>
      </c>
      <c r="S758" s="2">
        <v>2.7695391638925031E-2</v>
      </c>
      <c r="U758" s="2">
        <f t="shared" si="104"/>
        <v>0.70234221314048295</v>
      </c>
      <c r="V758" s="2">
        <f t="shared" si="105"/>
        <v>8.7726666666666661E-2</v>
      </c>
      <c r="W758" s="2">
        <f t="shared" si="106"/>
        <v>5.0232118568736682E-2</v>
      </c>
      <c r="Y758" s="31">
        <v>1953.1666666691499</v>
      </c>
      <c r="Z758" s="2">
        <v>-0.43313682050854879</v>
      </c>
      <c r="AA758" s="2">
        <v>-0.1883013680744752</v>
      </c>
      <c r="AB758" s="2">
        <v>-0.42955187122302702</v>
      </c>
      <c r="AD758" s="31">
        <v>1953.1666666691499</v>
      </c>
      <c r="AE758" s="2">
        <v>-0.37817259220115734</v>
      </c>
      <c r="AF758" s="2">
        <v>0.82033858713866403</v>
      </c>
      <c r="AG758" s="2">
        <v>0.24338742299439151</v>
      </c>
      <c r="AH758" s="31"/>
      <c r="AI758" s="31">
        <v>1953.1666666691499</v>
      </c>
      <c r="AJ758" s="2">
        <v>-0.5826294530025844</v>
      </c>
      <c r="AK758" s="2">
        <v>-1.186702766808877</v>
      </c>
      <c r="AL758" s="2">
        <v>-1.3904288704083565</v>
      </c>
      <c r="AM758" s="31"/>
      <c r="AN758" s="2">
        <f t="shared" si="107"/>
        <v>-0.46464628857076357</v>
      </c>
      <c r="AO758" s="2">
        <f t="shared" si="100"/>
        <v>-0.18488851591489605</v>
      </c>
      <c r="AP758" s="2">
        <f t="shared" si="101"/>
        <v>-0.52553110621233068</v>
      </c>
      <c r="AQ758" s="31"/>
      <c r="AR758" s="31">
        <v>1953.1666666691499</v>
      </c>
      <c r="AS758" s="2">
        <v>-7.5104034244289367E-2</v>
      </c>
      <c r="AT758" s="2">
        <v>-1.1019061349826649</v>
      </c>
      <c r="AU758" s="2">
        <v>-1.0730073586867781</v>
      </c>
      <c r="AV758" s="31"/>
      <c r="AW758" s="31">
        <v>1953.1666666691499</v>
      </c>
      <c r="AX758" s="2">
        <v>-0.19117124733534924</v>
      </c>
      <c r="AY758" s="2">
        <v>0.19113153348877646</v>
      </c>
      <c r="AZ758" s="2">
        <v>2.6570370163235404E-2</v>
      </c>
      <c r="BA758" s="31"/>
      <c r="BB758" s="31">
        <v>1953.1666666691499</v>
      </c>
      <c r="BC758" s="2">
        <v>-5.7593141854616102E-3</v>
      </c>
      <c r="BD758" s="2">
        <v>-1.6639966171457974</v>
      </c>
      <c r="BE758" s="2">
        <v>-1.0943638810679721</v>
      </c>
      <c r="BG758" s="2">
        <f t="shared" si="108"/>
        <v>-9.0678198588366732E-2</v>
      </c>
      <c r="BH758" s="2">
        <f t="shared" si="102"/>
        <v>-0.85825707287989539</v>
      </c>
      <c r="BI758" s="2">
        <f t="shared" si="103"/>
        <v>-0.71360028986383828</v>
      </c>
    </row>
    <row r="759" spans="6:61" x14ac:dyDescent="0.3">
      <c r="F759" s="31">
        <v>1953.08333333582</v>
      </c>
      <c r="G759" s="2">
        <v>0.64142899127127806</v>
      </c>
      <c r="H759" s="2">
        <v>0.12299999999999969</v>
      </c>
      <c r="I759" s="2">
        <v>7.8895765926367017E-2</v>
      </c>
      <c r="K759" s="31">
        <v>1953.08333333582</v>
      </c>
      <c r="L759" s="2">
        <v>0.71738137034084493</v>
      </c>
      <c r="M759" s="2">
        <v>9.2264999999999903E-2</v>
      </c>
      <c r="N759" s="2">
        <v>4.4128716106284327E-2</v>
      </c>
      <c r="P759" s="31">
        <v>1953.08333333582</v>
      </c>
      <c r="Q759" s="2">
        <v>0.65308268896557697</v>
      </c>
      <c r="R759" s="2">
        <v>0.16775000000000076</v>
      </c>
      <c r="S759" s="2">
        <v>4.7539035398499963E-2</v>
      </c>
      <c r="U759" s="2">
        <f t="shared" si="104"/>
        <v>0.67063101685923332</v>
      </c>
      <c r="V759" s="2">
        <f t="shared" si="105"/>
        <v>0.12767166666666677</v>
      </c>
      <c r="W759" s="2">
        <f t="shared" si="106"/>
        <v>5.6854505810383767E-2</v>
      </c>
      <c r="Y759" s="31">
        <v>1953.08333333582</v>
      </c>
      <c r="Z759" s="2">
        <v>-0.53485543328698859</v>
      </c>
      <c r="AA759" s="2">
        <v>0.41216179278103221</v>
      </c>
      <c r="AB759" s="2">
        <v>8.5539841894978541E-2</v>
      </c>
      <c r="AD759" s="31">
        <v>1953.08333333582</v>
      </c>
      <c r="AE759" s="2">
        <v>-0.54676082441225526</v>
      </c>
      <c r="AF759" s="2">
        <v>6.6874490811640125E-2</v>
      </c>
      <c r="AG759" s="2">
        <v>-0.60676816310813808</v>
      </c>
      <c r="AH759" s="31"/>
      <c r="AI759" s="31">
        <v>1953.08333333582</v>
      </c>
      <c r="AJ759" s="2">
        <v>-0.16502929041076775</v>
      </c>
      <c r="AK759" s="2">
        <v>1.6693262822256021</v>
      </c>
      <c r="AL759" s="2">
        <v>0.21329204327212217</v>
      </c>
      <c r="AM759" s="31"/>
      <c r="AN759" s="2">
        <f t="shared" si="107"/>
        <v>-0.41554851603667053</v>
      </c>
      <c r="AO759" s="2">
        <f t="shared" si="100"/>
        <v>0.71612085527275815</v>
      </c>
      <c r="AP759" s="2">
        <f t="shared" si="101"/>
        <v>-0.1026454259803458</v>
      </c>
      <c r="AQ759" s="31"/>
      <c r="AR759" s="31">
        <v>1953.08333333582</v>
      </c>
      <c r="AS759" s="2">
        <v>2.1854637922714491E-2</v>
      </c>
      <c r="AT759" s="2">
        <v>1.9496224470835801</v>
      </c>
      <c r="AU759" s="2">
        <v>1.61237609618609</v>
      </c>
      <c r="AV759" s="31"/>
      <c r="AW759" s="31">
        <v>1953.08333333582</v>
      </c>
      <c r="AX759" s="2">
        <v>-0.25909665380420771</v>
      </c>
      <c r="AY759" s="2">
        <v>0.56051139147476758</v>
      </c>
      <c r="AZ759" s="2">
        <v>-0.68652070217982575</v>
      </c>
      <c r="BA759" s="31"/>
      <c r="BB759" s="31">
        <v>1953.08333333582</v>
      </c>
      <c r="BC759" s="2">
        <v>0.57060673376406779</v>
      </c>
      <c r="BD759" s="2">
        <v>2.8163225171876922</v>
      </c>
      <c r="BE759" s="2">
        <v>0.69891672840064778</v>
      </c>
      <c r="BG759" s="2">
        <f t="shared" si="108"/>
        <v>0.11112157262752485</v>
      </c>
      <c r="BH759" s="2">
        <f t="shared" si="102"/>
        <v>1.7754854519153467</v>
      </c>
      <c r="BI759" s="2">
        <f t="shared" si="103"/>
        <v>0.54159070746897064</v>
      </c>
    </row>
    <row r="760" spans="6:61" x14ac:dyDescent="0.3">
      <c r="F760" s="31">
        <v>1953.00000000249</v>
      </c>
      <c r="G760" s="2">
        <v>0.67047767844384143</v>
      </c>
      <c r="H760" s="2">
        <v>6.1499999999999846E-2</v>
      </c>
      <c r="I760" s="2">
        <v>4.1234377224296154E-2</v>
      </c>
      <c r="K760" s="31">
        <v>1953.00000000249</v>
      </c>
      <c r="L760" s="2">
        <v>0.72562788999381667</v>
      </c>
      <c r="M760" s="2">
        <v>6.1514999999999952E-2</v>
      </c>
      <c r="N760" s="2">
        <v>4.4635688553213579E-2</v>
      </c>
      <c r="P760" s="31">
        <v>1953.00000000249</v>
      </c>
      <c r="Q760" s="2">
        <v>0.71884221408617655</v>
      </c>
      <c r="R760" s="2">
        <v>9.5850000000000463E-2</v>
      </c>
      <c r="S760" s="2">
        <v>4.9129394149033251E-2</v>
      </c>
      <c r="U760" s="2">
        <f t="shared" si="104"/>
        <v>0.70498259417461151</v>
      </c>
      <c r="V760" s="2">
        <f t="shared" si="105"/>
        <v>7.2955000000000089E-2</v>
      </c>
      <c r="W760" s="2">
        <f t="shared" si="106"/>
        <v>4.4999819975514332E-2</v>
      </c>
      <c r="Y760" s="31">
        <v>1953.00000000249</v>
      </c>
      <c r="Z760" s="2">
        <v>-0.36642893175734753</v>
      </c>
      <c r="AA760" s="2">
        <v>-0.78876452892998183</v>
      </c>
      <c r="AB760" s="2">
        <v>-0.78120836071158761</v>
      </c>
      <c r="AD760" s="31">
        <v>1953.00000000249</v>
      </c>
      <c r="AE760" s="2">
        <v>-0.49768779249773565</v>
      </c>
      <c r="AF760" s="2">
        <v>-0.68622224125583742</v>
      </c>
      <c r="AG760" s="2">
        <v>-0.58749063192061257</v>
      </c>
      <c r="AH760" s="31"/>
      <c r="AI760" s="31">
        <v>1953.00000000249</v>
      </c>
      <c r="AJ760" s="2">
        <v>1.7413172142555427E-2</v>
      </c>
      <c r="AK760" s="2">
        <v>-4.4052846898962821E-2</v>
      </c>
      <c r="AL760" s="2">
        <v>0.34182144136990494</v>
      </c>
      <c r="AM760" s="31"/>
      <c r="AN760" s="2">
        <f t="shared" si="107"/>
        <v>-0.28223451737084254</v>
      </c>
      <c r="AO760" s="2">
        <f t="shared" si="100"/>
        <v>-0.50634653902826077</v>
      </c>
      <c r="AP760" s="2">
        <f t="shared" si="101"/>
        <v>-0.34229251708743175</v>
      </c>
      <c r="AQ760" s="31"/>
      <c r="AR760" s="31">
        <v>1953.00000000249</v>
      </c>
      <c r="AS760" s="2">
        <v>5.3247385898039214E-2</v>
      </c>
      <c r="AT760" s="2">
        <v>-0.29853293598826575</v>
      </c>
      <c r="AU760" s="2">
        <v>-0.19068028261605741</v>
      </c>
      <c r="AV760" s="31"/>
      <c r="AW760" s="31">
        <v>1953.00000000249</v>
      </c>
      <c r="AX760" s="2">
        <v>-0.13913058222919916</v>
      </c>
      <c r="AY760" s="2">
        <v>-0.21981065223360952</v>
      </c>
      <c r="AZ760" s="2">
        <v>-0.20042483245815806</v>
      </c>
      <c r="BA760" s="31"/>
      <c r="BB760" s="31">
        <v>1953.00000000249</v>
      </c>
      <c r="BC760" s="2">
        <v>0.48647151182312143</v>
      </c>
      <c r="BD760" s="2">
        <v>0.75540652012817533</v>
      </c>
      <c r="BE760" s="2">
        <v>0.94253608503183939</v>
      </c>
      <c r="BG760" s="2">
        <f t="shared" si="108"/>
        <v>0.13352943849732049</v>
      </c>
      <c r="BH760" s="2">
        <f t="shared" si="102"/>
        <v>7.9020977302100018E-2</v>
      </c>
      <c r="BI760" s="2">
        <f t="shared" si="103"/>
        <v>0.18381032331920796</v>
      </c>
    </row>
    <row r="761" spans="6:61" x14ac:dyDescent="0.3">
      <c r="F761" s="31">
        <v>1952.9166666691599</v>
      </c>
      <c r="G761" s="2">
        <v>0.56482553709668815</v>
      </c>
      <c r="H761" s="2">
        <v>0.1229999999999996</v>
      </c>
      <c r="I761" s="2">
        <v>6.9473541062892413E-2</v>
      </c>
      <c r="K761" s="31">
        <v>1952.9166666691599</v>
      </c>
      <c r="L761" s="2">
        <v>0.73502443637818526</v>
      </c>
      <c r="M761" s="2">
        <v>9.2264999999999903E-2</v>
      </c>
      <c r="N761" s="2">
        <v>4.521339399439038E-2</v>
      </c>
      <c r="P761" s="31">
        <v>1952.9166666691599</v>
      </c>
      <c r="Q761" s="2">
        <v>0.75871847139614368</v>
      </c>
      <c r="R761" s="2">
        <v>0.1198000000000006</v>
      </c>
      <c r="S761" s="2">
        <v>5.1192196802193939E-2</v>
      </c>
      <c r="U761" s="2">
        <f t="shared" si="104"/>
        <v>0.68618948162367233</v>
      </c>
      <c r="V761" s="2">
        <f t="shared" si="105"/>
        <v>0.11168833333333338</v>
      </c>
      <c r="W761" s="2">
        <f t="shared" si="106"/>
        <v>5.5293043953158906E-2</v>
      </c>
      <c r="Y761" s="31">
        <v>1952.9166666691599</v>
      </c>
      <c r="Z761" s="2">
        <v>-0.97900809722900695</v>
      </c>
      <c r="AA761" s="2">
        <v>0.41216179278103032</v>
      </c>
      <c r="AB761" s="2">
        <v>-0.13130549351142548</v>
      </c>
      <c r="AD761" s="31">
        <v>1952.9166666691599</v>
      </c>
      <c r="AE761" s="2">
        <v>-0.44177123132878066</v>
      </c>
      <c r="AF761" s="2">
        <v>6.6874490811640125E-2</v>
      </c>
      <c r="AG761" s="2">
        <v>-0.5655234920357044</v>
      </c>
      <c r="AH761" s="31"/>
      <c r="AI761" s="31">
        <v>1952.9166666691599</v>
      </c>
      <c r="AJ761" s="2">
        <v>0.25853909193996338</v>
      </c>
      <c r="AK761" s="2">
        <v>0.52667636231568804</v>
      </c>
      <c r="AL761" s="2">
        <v>0.50853274680105209</v>
      </c>
      <c r="AM761" s="31"/>
      <c r="AN761" s="2">
        <f t="shared" si="107"/>
        <v>-0.38741341220594139</v>
      </c>
      <c r="AO761" s="2">
        <f t="shared" si="100"/>
        <v>0.33523754863611949</v>
      </c>
      <c r="AP761" s="2">
        <f t="shared" si="101"/>
        <v>-6.2765412915359267E-2</v>
      </c>
      <c r="AQ761" s="31"/>
      <c r="AR761" s="31">
        <v>1952.9166666691599</v>
      </c>
      <c r="AS761" s="2">
        <v>-0.73466774983888505</v>
      </c>
      <c r="AT761" s="2">
        <v>2.0533426933213512</v>
      </c>
      <c r="AU761" s="2">
        <v>0.86164834075059116</v>
      </c>
      <c r="AV761" s="31"/>
      <c r="AW761" s="31">
        <v>1952.9166666691599</v>
      </c>
      <c r="AX761" s="2">
        <v>-0.19533662270988456</v>
      </c>
      <c r="AY761" s="2">
        <v>1.05652496446128</v>
      </c>
      <c r="AZ761" s="2">
        <v>-0.30854805460195117</v>
      </c>
      <c r="BA761" s="31"/>
      <c r="BB761" s="31">
        <v>1952.9166666691599</v>
      </c>
      <c r="BC761" s="2">
        <v>0.81315711285998371</v>
      </c>
      <c r="BD761" s="2">
        <v>2.2179258223366851</v>
      </c>
      <c r="BE761" s="2">
        <v>0.96719342505773909</v>
      </c>
      <c r="BG761" s="2">
        <f t="shared" si="108"/>
        <v>-3.8949086562928614E-2</v>
      </c>
      <c r="BH761" s="2">
        <f t="shared" si="102"/>
        <v>1.7759311600397722</v>
      </c>
      <c r="BI761" s="2">
        <f t="shared" si="103"/>
        <v>0.50676457040212641</v>
      </c>
    </row>
    <row r="762" spans="6:61" x14ac:dyDescent="0.3">
      <c r="F762" s="31">
        <v>1952.83333333583</v>
      </c>
      <c r="G762" s="2">
        <v>0.59641736197263828</v>
      </c>
      <c r="H762" s="2">
        <v>6.1499999999999798E-2</v>
      </c>
      <c r="I762" s="2">
        <v>3.6679667761317133E-2</v>
      </c>
      <c r="K762" s="31">
        <v>1952.83333333583</v>
      </c>
      <c r="L762" s="2">
        <v>0.87772145489933262</v>
      </c>
      <c r="M762" s="2">
        <v>6.1499999999999902E-2</v>
      </c>
      <c r="N762" s="2">
        <v>5.3979869476308867E-2</v>
      </c>
      <c r="P762" s="31">
        <v>1952.83333333583</v>
      </c>
      <c r="Q762" s="2">
        <v>0.8583631895055841</v>
      </c>
      <c r="R762" s="2">
        <v>9.5850000000000463E-2</v>
      </c>
      <c r="S762" s="2">
        <v>5.2852927327106926E-2</v>
      </c>
      <c r="U762" s="2">
        <f t="shared" si="104"/>
        <v>0.77750066879251845</v>
      </c>
      <c r="V762" s="2">
        <f t="shared" si="105"/>
        <v>7.2950000000000056E-2</v>
      </c>
      <c r="W762" s="2">
        <f t="shared" si="106"/>
        <v>4.7837488188244313E-2</v>
      </c>
      <c r="Y762" s="31">
        <v>1952.83333333583</v>
      </c>
      <c r="Z762" s="2">
        <v>-0.79583628952614505</v>
      </c>
      <c r="AA762" s="2">
        <v>-0.78876452892998272</v>
      </c>
      <c r="AB762" s="2">
        <v>-0.88603153310339888</v>
      </c>
      <c r="AD762" s="31">
        <v>1952.83333333583</v>
      </c>
      <c r="AE762" s="2">
        <v>0.40738400490128029</v>
      </c>
      <c r="AF762" s="2">
        <v>-0.68658960551538373</v>
      </c>
      <c r="AG762" s="2">
        <v>-0.23217992369983895</v>
      </c>
      <c r="AH762" s="31"/>
      <c r="AI762" s="31">
        <v>1952.83333333583</v>
      </c>
      <c r="AJ762" s="2">
        <v>0.43627530856637281</v>
      </c>
      <c r="AK762" s="2">
        <v>-4.4052846898962821E-2</v>
      </c>
      <c r="AL762" s="2">
        <v>0.64274944142929558</v>
      </c>
      <c r="AM762" s="31"/>
      <c r="AN762" s="2">
        <f t="shared" si="107"/>
        <v>1.5941007980502686E-2</v>
      </c>
      <c r="AO762" s="2">
        <f t="shared" si="100"/>
        <v>-0.50646899378144317</v>
      </c>
      <c r="AP762" s="2">
        <f t="shared" si="101"/>
        <v>-0.15848733845798077</v>
      </c>
      <c r="AQ762" s="31"/>
      <c r="AR762" s="31">
        <v>1952.83333333583</v>
      </c>
      <c r="AS762" s="2">
        <v>-0.41610333365632268</v>
      </c>
      <c r="AT762" s="2">
        <v>-0.2854929317171821</v>
      </c>
      <c r="AU762" s="2">
        <v>-0.58677119284220358</v>
      </c>
      <c r="AV762" s="31"/>
      <c r="AW762" s="31">
        <v>1952.83333333583</v>
      </c>
      <c r="AX762" s="2">
        <v>0.41090181225542804</v>
      </c>
      <c r="AY762" s="2">
        <v>-0.19208961378086201</v>
      </c>
      <c r="AZ762" s="2">
        <v>0.34836352443586865</v>
      </c>
      <c r="BA762" s="31"/>
      <c r="BB762" s="31">
        <v>1952.83333333583</v>
      </c>
      <c r="BC762" s="2">
        <v>0.36901072104750965</v>
      </c>
      <c r="BD762" s="2">
        <v>0.77674476466510867</v>
      </c>
      <c r="BE762" s="2">
        <v>0.65280687026837259</v>
      </c>
      <c r="BG762" s="2">
        <f t="shared" si="108"/>
        <v>0.12126973321553836</v>
      </c>
      <c r="BH762" s="2">
        <f t="shared" si="102"/>
        <v>9.9720739722354859E-2</v>
      </c>
      <c r="BI762" s="2">
        <f t="shared" si="103"/>
        <v>0.13813306728734587</v>
      </c>
    </row>
    <row r="763" spans="6:61" x14ac:dyDescent="0.3">
      <c r="F763" s="31">
        <v>1952.7500000025</v>
      </c>
      <c r="G763" s="2">
        <v>0.61567417921540035</v>
      </c>
      <c r="H763" s="2">
        <v>6.1499999999999798E-2</v>
      </c>
      <c r="I763" s="2">
        <v>3.7863962021746994E-2</v>
      </c>
      <c r="K763" s="31">
        <v>1952.7500000025</v>
      </c>
      <c r="L763" s="2">
        <v>0.76866494930527685</v>
      </c>
      <c r="M763" s="2">
        <v>9.2264999999999903E-2</v>
      </c>
      <c r="N763" s="2">
        <v>4.72822557491719E-2</v>
      </c>
      <c r="P763" s="31">
        <v>1952.7500000025</v>
      </c>
      <c r="Q763" s="2">
        <v>0.98221488379406652</v>
      </c>
      <c r="R763" s="2">
        <v>0.1198000000000006</v>
      </c>
      <c r="S763" s="2">
        <v>5.4067582804289901E-2</v>
      </c>
      <c r="U763" s="2">
        <f t="shared" si="104"/>
        <v>0.78885133743824787</v>
      </c>
      <c r="V763" s="2">
        <f t="shared" si="105"/>
        <v>9.1188333333333427E-2</v>
      </c>
      <c r="W763" s="2">
        <f t="shared" si="106"/>
        <v>4.6404600191736263E-2</v>
      </c>
      <c r="Y763" s="31">
        <v>1952.7500000025</v>
      </c>
      <c r="Z763" s="2">
        <v>-0.68418379592025669</v>
      </c>
      <c r="AA763" s="2">
        <v>-0.78876452892998272</v>
      </c>
      <c r="AB763" s="2">
        <v>-0.8587759018863691</v>
      </c>
      <c r="AD763" s="31">
        <v>1952.7500000025</v>
      </c>
      <c r="AE763" s="2">
        <v>-0.24158472429765124</v>
      </c>
      <c r="AF763" s="2">
        <v>6.6874490811640125E-2</v>
      </c>
      <c r="AG763" s="2">
        <v>-0.48685541600504534</v>
      </c>
      <c r="AH763" s="31"/>
      <c r="AI763" s="31">
        <v>1952.7500000025</v>
      </c>
      <c r="AJ763" s="2">
        <v>0.5508797906553613</v>
      </c>
      <c r="AK763" s="2">
        <v>0.52667636231568804</v>
      </c>
      <c r="AL763" s="2">
        <v>0.74091530326779731</v>
      </c>
      <c r="AM763" s="31"/>
      <c r="AN763" s="2">
        <f t="shared" si="107"/>
        <v>-0.12496290985418219</v>
      </c>
      <c r="AO763" s="2">
        <f t="shared" si="100"/>
        <v>-6.5071225267551533E-2</v>
      </c>
      <c r="AP763" s="2">
        <f t="shared" si="101"/>
        <v>-0.20157200487453905</v>
      </c>
      <c r="AQ763" s="31"/>
      <c r="AR763" s="31">
        <v>1952.7500000025</v>
      </c>
      <c r="AS763" s="2">
        <v>-0.91000724183315851</v>
      </c>
      <c r="AT763" s="2">
        <v>-0.67664761419445274</v>
      </c>
      <c r="AU763" s="2">
        <v>-0.92152741112938008</v>
      </c>
      <c r="AV763" s="31"/>
      <c r="AW763" s="31">
        <v>1952.7500000025</v>
      </c>
      <c r="AX763" s="2">
        <v>-0.20888221876524179</v>
      </c>
      <c r="AY763" s="2">
        <v>0.96231815385189867</v>
      </c>
      <c r="AZ763" s="2">
        <v>-0.5422267329367163</v>
      </c>
      <c r="BA763" s="31"/>
      <c r="BB763" s="31">
        <v>1952.7500000025</v>
      </c>
      <c r="BC763" s="2">
        <v>0.49858348661813423</v>
      </c>
      <c r="BD763" s="2">
        <v>1.3307501689804029</v>
      </c>
      <c r="BE763" s="2">
        <v>0.48036384433446588</v>
      </c>
      <c r="BG763" s="2">
        <f t="shared" si="108"/>
        <v>-0.20676865799342203</v>
      </c>
      <c r="BH763" s="2">
        <f t="shared" si="102"/>
        <v>0.53880690287928301</v>
      </c>
      <c r="BI763" s="2">
        <f t="shared" si="103"/>
        <v>-0.32779676657721019</v>
      </c>
    </row>
    <row r="764" spans="6:61" x14ac:dyDescent="0.3">
      <c r="F764" s="31">
        <v>1952.6666666691699</v>
      </c>
      <c r="G764" s="2">
        <v>0.6857618880866323</v>
      </c>
      <c r="H764" s="2">
        <v>0.1229999999999996</v>
      </c>
      <c r="I764" s="2">
        <v>8.4348712234655496E-2</v>
      </c>
      <c r="K764" s="31">
        <v>1952.6666666691699</v>
      </c>
      <c r="L764" s="2">
        <v>0.79258791075350121</v>
      </c>
      <c r="M764" s="2">
        <v>6.1514999999999952E-2</v>
      </c>
      <c r="N764" s="2">
        <v>4.8753615744475766E-2</v>
      </c>
      <c r="P764" s="31">
        <v>1952.6666666691699</v>
      </c>
      <c r="Q764" s="2">
        <v>0.89976269349816373</v>
      </c>
      <c r="R764" s="2">
        <v>9.5850000000000463E-2</v>
      </c>
      <c r="S764" s="2">
        <v>5.5267986444255082E-2</v>
      </c>
      <c r="U764" s="2">
        <f t="shared" si="104"/>
        <v>0.79270416411276567</v>
      </c>
      <c r="V764" s="2">
        <f t="shared" si="105"/>
        <v>9.345500000000001E-2</v>
      </c>
      <c r="W764" s="2">
        <f t="shared" si="106"/>
        <v>6.2790104807795455E-2</v>
      </c>
      <c r="Y764" s="31">
        <v>1952.6666666691699</v>
      </c>
      <c r="Z764" s="2">
        <v>-0.27780991970050395</v>
      </c>
      <c r="AA764" s="2">
        <v>0.41216179278103032</v>
      </c>
      <c r="AB764" s="2">
        <v>0.21103525176974147</v>
      </c>
      <c r="AD764" s="31">
        <v>1952.6666666691699</v>
      </c>
      <c r="AE764" s="2">
        <v>-9.9225001645989297E-2</v>
      </c>
      <c r="AF764" s="2">
        <v>-0.68622224125583742</v>
      </c>
      <c r="AG764" s="2">
        <v>-0.43090723110988871</v>
      </c>
      <c r="AH764" s="31"/>
      <c r="AI764" s="31">
        <v>1952.6666666691699</v>
      </c>
      <c r="AJ764" s="2">
        <v>0.6417381614965908</v>
      </c>
      <c r="AK764" s="2">
        <v>-4.4052846898962821E-2</v>
      </c>
      <c r="AL764" s="2">
        <v>0.8379293620563415</v>
      </c>
      <c r="AM764" s="31"/>
      <c r="AN764" s="2">
        <f t="shared" si="107"/>
        <v>8.8234413383365837E-2</v>
      </c>
      <c r="AO764" s="2">
        <f t="shared" si="100"/>
        <v>-0.10603776512458997</v>
      </c>
      <c r="AP764" s="2">
        <f t="shared" si="101"/>
        <v>0.20601912757206475</v>
      </c>
      <c r="AQ764" s="31"/>
      <c r="AR764" s="31">
        <v>1952.6666666691699</v>
      </c>
      <c r="AS764" s="2">
        <v>-0.29419778209119418</v>
      </c>
      <c r="AT764" s="2">
        <v>1.7403378618943908</v>
      </c>
      <c r="AU764" s="2">
        <v>1.1306863443441801</v>
      </c>
      <c r="AV764" s="31"/>
      <c r="AW764" s="31">
        <v>1952.6666666691699</v>
      </c>
      <c r="AX764" s="2">
        <v>-0.14475569795192203</v>
      </c>
      <c r="AY764" s="2">
        <v>-0.23837245449551037</v>
      </c>
      <c r="AZ764" s="2">
        <v>-0.16086491896311239</v>
      </c>
      <c r="BA764" s="31"/>
      <c r="BB764" s="31">
        <v>1952.6666666691699</v>
      </c>
      <c r="BC764" s="2">
        <v>0.30108703902253936</v>
      </c>
      <c r="BD764" s="2">
        <v>1.0283839161259722</v>
      </c>
      <c r="BE764" s="2">
        <v>0.907932752350882</v>
      </c>
      <c r="BG764" s="2">
        <f t="shared" si="108"/>
        <v>-4.5955480340192284E-2</v>
      </c>
      <c r="BH764" s="2">
        <f t="shared" si="102"/>
        <v>0.84344977450828418</v>
      </c>
      <c r="BI764" s="2">
        <f t="shared" si="103"/>
        <v>0.62591805924398325</v>
      </c>
    </row>
    <row r="765" spans="6:61" x14ac:dyDescent="0.3">
      <c r="F765" s="31">
        <v>1952.5833333358401</v>
      </c>
      <c r="G765" s="2">
        <v>0.80625203630439501</v>
      </c>
      <c r="H765" s="2">
        <v>6.1499999999999798E-2</v>
      </c>
      <c r="I765" s="2">
        <v>4.9584500232720131E-2</v>
      </c>
      <c r="K765" s="31">
        <v>1952.5833333358401</v>
      </c>
      <c r="L765" s="2">
        <v>0.82625670611654889</v>
      </c>
      <c r="M765" s="2">
        <v>9.2264999999999903E-2</v>
      </c>
      <c r="N765" s="2">
        <v>5.0824346927997741E-2</v>
      </c>
      <c r="P765" s="31">
        <v>1952.5833333358401</v>
      </c>
      <c r="Q765" s="2">
        <v>0.78409662778066691</v>
      </c>
      <c r="R765" s="2">
        <v>0.1198000000000006</v>
      </c>
      <c r="S765" s="2">
        <v>5.9525056143681365E-2</v>
      </c>
      <c r="U765" s="2">
        <f t="shared" si="104"/>
        <v>0.8055351234005369</v>
      </c>
      <c r="V765" s="2">
        <f t="shared" si="105"/>
        <v>9.1188333333333427E-2</v>
      </c>
      <c r="W765" s="2">
        <f t="shared" si="106"/>
        <v>5.3311301101466417E-2</v>
      </c>
      <c r="Y765" s="31">
        <v>1952.5833333358401</v>
      </c>
      <c r="Z765" s="2">
        <v>0.42080114015741699</v>
      </c>
      <c r="AA765" s="2">
        <v>-0.78876452892998272</v>
      </c>
      <c r="AB765" s="2">
        <v>-0.58903663368503612</v>
      </c>
      <c r="AD765" s="31">
        <v>1952.5833333358401</v>
      </c>
      <c r="AE765" s="2">
        <v>0.1011298072798423</v>
      </c>
      <c r="AF765" s="2">
        <v>6.6874490811640125E-2</v>
      </c>
      <c r="AG765" s="2">
        <v>-0.3521680704057622</v>
      </c>
      <c r="AH765" s="31"/>
      <c r="AI765" s="31">
        <v>1952.5833333358401</v>
      </c>
      <c r="AJ765" s="2">
        <v>0.96424825704339012</v>
      </c>
      <c r="AK765" s="2">
        <v>0.52667636231568804</v>
      </c>
      <c r="AL765" s="2">
        <v>1.1819766444346684</v>
      </c>
      <c r="AM765" s="31"/>
      <c r="AN765" s="2">
        <f t="shared" si="107"/>
        <v>0.4953930681602165</v>
      </c>
      <c r="AO765" s="2">
        <f t="shared" si="100"/>
        <v>-6.5071225267551533E-2</v>
      </c>
      <c r="AP765" s="2">
        <f t="shared" si="101"/>
        <v>8.0257313447956724E-2</v>
      </c>
      <c r="AQ765" s="31"/>
      <c r="AR765" s="31">
        <v>1952.5833333358401</v>
      </c>
      <c r="AS765" s="2">
        <v>-6.4411175752431951E-2</v>
      </c>
      <c r="AT765" s="2">
        <v>-0.65870957567408839</v>
      </c>
      <c r="AU765" s="2">
        <v>-0.50526080590635813</v>
      </c>
      <c r="AV765" s="31"/>
      <c r="AW765" s="31">
        <v>1952.5833333358401</v>
      </c>
      <c r="AX765" s="2">
        <v>-0.12831007566152691</v>
      </c>
      <c r="AY765" s="2">
        <v>1.4455061964040326</v>
      </c>
      <c r="AZ765" s="2">
        <v>-0.30946403364226754</v>
      </c>
      <c r="BA765" s="31"/>
      <c r="BB765" s="31">
        <v>1952.5833333358401</v>
      </c>
      <c r="BC765" s="2">
        <v>0.34275689640300655</v>
      </c>
      <c r="BD765" s="2">
        <v>2.0649640901141915</v>
      </c>
      <c r="BE765" s="2">
        <v>0.40624922674401853</v>
      </c>
      <c r="BG765" s="2">
        <f t="shared" si="108"/>
        <v>5.00118816630159E-2</v>
      </c>
      <c r="BH765" s="2">
        <f t="shared" si="102"/>
        <v>0.95058690361471188</v>
      </c>
      <c r="BI765" s="2">
        <f t="shared" si="103"/>
        <v>-0.13615853760153571</v>
      </c>
    </row>
    <row r="766" spans="6:61" x14ac:dyDescent="0.3">
      <c r="F766" s="31">
        <v>1952.50000000251</v>
      </c>
      <c r="G766" s="2">
        <v>0.87784811924388728</v>
      </c>
      <c r="H766" s="2">
        <v>6.1499999999999798E-2</v>
      </c>
      <c r="I766" s="2">
        <v>5.3987659333498889E-2</v>
      </c>
      <c r="K766" s="31">
        <v>1952.50000000251</v>
      </c>
      <c r="L766" s="2">
        <v>1.0791025406208876</v>
      </c>
      <c r="M766" s="2">
        <v>6.1499999999999902E-2</v>
      </c>
      <c r="N766" s="2">
        <v>6.6364806248184485E-2</v>
      </c>
      <c r="P766" s="31">
        <v>1952.50000000251</v>
      </c>
      <c r="Q766" s="2">
        <v>0.67405499526356782</v>
      </c>
      <c r="R766" s="2">
        <v>9.5850000000000463E-2</v>
      </c>
      <c r="S766" s="2">
        <v>6.7203669963002963E-2</v>
      </c>
      <c r="U766" s="2">
        <f t="shared" si="104"/>
        <v>0.87700188504278087</v>
      </c>
      <c r="V766" s="2">
        <f t="shared" si="105"/>
        <v>7.2950000000000056E-2</v>
      </c>
      <c r="W766" s="2">
        <f t="shared" si="106"/>
        <v>6.2518711848228783E-2</v>
      </c>
      <c r="Y766" s="31">
        <v>1952.50000000251</v>
      </c>
      <c r="Z766" s="2">
        <v>0.83592068415230647</v>
      </c>
      <c r="AA766" s="2">
        <v>-0.78876452892998272</v>
      </c>
      <c r="AB766" s="2">
        <v>-0.48770127755726589</v>
      </c>
      <c r="AD766" s="31">
        <v>1952.50000000251</v>
      </c>
      <c r="AE766" s="2">
        <v>1.605753846053994</v>
      </c>
      <c r="AF766" s="2">
        <v>-0.68658960551538373</v>
      </c>
      <c r="AG766" s="2">
        <v>0.2387549492335661</v>
      </c>
      <c r="AH766" s="31"/>
      <c r="AI766" s="31">
        <v>1952.50000000251</v>
      </c>
      <c r="AJ766" s="2">
        <v>1.5492548411834741</v>
      </c>
      <c r="AK766" s="2">
        <v>-4.4052846898962821E-2</v>
      </c>
      <c r="AL766" s="2">
        <v>1.8025458160708037</v>
      </c>
      <c r="AM766" s="31"/>
      <c r="AN766" s="2">
        <f t="shared" si="107"/>
        <v>1.3303097904632584</v>
      </c>
      <c r="AO766" s="2">
        <f t="shared" si="100"/>
        <v>-0.50646899378144317</v>
      </c>
      <c r="AP766" s="2">
        <f t="shared" si="101"/>
        <v>0.51786649591570122</v>
      </c>
      <c r="AQ766" s="31"/>
      <c r="AR766" s="31">
        <v>1952.50000000251</v>
      </c>
      <c r="AS766" s="2">
        <v>0.10323910232095042</v>
      </c>
      <c r="AT766" s="2">
        <v>-2.3130098149133811E-2</v>
      </c>
      <c r="AU766" s="2">
        <v>7.2107471852536187E-2</v>
      </c>
      <c r="AV766" s="31"/>
      <c r="AW766" s="31">
        <v>1952.50000000251</v>
      </c>
      <c r="AX766" s="2">
        <v>0.42681877550804881</v>
      </c>
      <c r="AY766" s="2">
        <v>-0.1083026392523672</v>
      </c>
      <c r="AZ766" s="2">
        <v>0.42647435172799947</v>
      </c>
      <c r="BA766" s="31"/>
      <c r="BB766" s="31">
        <v>1952.50000000251</v>
      </c>
      <c r="BC766" s="2">
        <v>0.30999908816535998</v>
      </c>
      <c r="BD766" s="2">
        <v>1.239044249941025</v>
      </c>
      <c r="BE766" s="2">
        <v>1.2519573692458457</v>
      </c>
      <c r="BG766" s="2">
        <f t="shared" si="108"/>
        <v>0.28001898866478642</v>
      </c>
      <c r="BH766" s="2">
        <f t="shared" si="102"/>
        <v>0.3692038375131747</v>
      </c>
      <c r="BI766" s="2">
        <f t="shared" si="103"/>
        <v>0.58351306427546046</v>
      </c>
    </row>
    <row r="767" spans="6:61" x14ac:dyDescent="0.3">
      <c r="F767" s="31">
        <v>1952.4166666691799</v>
      </c>
      <c r="G767" s="2">
        <v>0.8932216397269741</v>
      </c>
      <c r="H767" s="2">
        <v>0.18449999999999939</v>
      </c>
      <c r="I767" s="2">
        <v>0.16479939252962617</v>
      </c>
      <c r="K767" s="31">
        <v>1952.4166666691799</v>
      </c>
      <c r="L767" s="2">
        <v>0.87306395719319718</v>
      </c>
      <c r="M767" s="2">
        <v>0.15377999999999986</v>
      </c>
      <c r="N767" s="2">
        <v>7.3928054572305668E-2</v>
      </c>
      <c r="P767" s="31">
        <v>1952.4166666691799</v>
      </c>
      <c r="Q767" s="2">
        <v>0.57107286832511583</v>
      </c>
      <c r="R767" s="2">
        <v>0.23965000000000106</v>
      </c>
      <c r="S767" s="2">
        <v>7.2084476315729742E-2</v>
      </c>
      <c r="U767" s="2">
        <f t="shared" si="104"/>
        <v>0.77911948841509571</v>
      </c>
      <c r="V767" s="2">
        <f t="shared" si="105"/>
        <v>0.19264333333333342</v>
      </c>
      <c r="W767" s="2">
        <f t="shared" si="106"/>
        <v>0.10360397447255386</v>
      </c>
      <c r="Y767" s="31">
        <v>1952.4166666691799</v>
      </c>
      <c r="Z767" s="2">
        <v>0.92505752726603607</v>
      </c>
      <c r="AA767" s="2">
        <v>1.6130881144920433</v>
      </c>
      <c r="AB767" s="2">
        <v>2.0625464399460576</v>
      </c>
      <c r="AD767" s="31">
        <v>1952.4166666691799</v>
      </c>
      <c r="AE767" s="2">
        <v>0.3796683693128024</v>
      </c>
      <c r="AF767" s="2">
        <v>1.5734353192061419</v>
      </c>
      <c r="AG767" s="2">
        <v>0.52634603299041816</v>
      </c>
      <c r="AH767" s="31"/>
      <c r="AI767" s="31">
        <v>1952.4166666691799</v>
      </c>
      <c r="AJ767" s="2">
        <v>1.8334424438166093</v>
      </c>
      <c r="AK767" s="2">
        <v>3.3827054113501669</v>
      </c>
      <c r="AL767" s="2">
        <v>2.1970021628148628</v>
      </c>
      <c r="AM767" s="31"/>
      <c r="AN767" s="2">
        <f t="shared" si="107"/>
        <v>1.0460561134651492</v>
      </c>
      <c r="AO767" s="2">
        <f t="shared" si="100"/>
        <v>2.1897429483494508</v>
      </c>
      <c r="AP767" s="2">
        <f t="shared" si="101"/>
        <v>1.5952982119171129</v>
      </c>
      <c r="AQ767" s="31"/>
      <c r="AR767" s="31">
        <v>1952.4166666691799</v>
      </c>
      <c r="AS767" s="2">
        <v>0.31098245452916884</v>
      </c>
      <c r="AT767" s="2">
        <v>0.30752807372934005</v>
      </c>
      <c r="AU767" s="2">
        <v>0.4070003473742162</v>
      </c>
      <c r="AV767" s="31"/>
      <c r="AW767" s="31">
        <v>1952.4166666691799</v>
      </c>
      <c r="AX767" s="2">
        <v>-3.9884688319012873E-2</v>
      </c>
      <c r="AY767" s="2">
        <v>0.24826500666177614</v>
      </c>
      <c r="AZ767" s="2">
        <v>-0.38325779347097771</v>
      </c>
      <c r="BA767" s="31"/>
      <c r="BB767" s="31">
        <v>1952.4166666691799</v>
      </c>
      <c r="BC767" s="2">
        <v>1.1698354955976082</v>
      </c>
      <c r="BD767" s="2">
        <v>1.9004964797230426</v>
      </c>
      <c r="BE767" s="2">
        <v>1.420762565495411</v>
      </c>
      <c r="BG767" s="2">
        <f t="shared" si="108"/>
        <v>0.4803110872692547</v>
      </c>
      <c r="BH767" s="2">
        <f t="shared" si="102"/>
        <v>0.81876318670471948</v>
      </c>
      <c r="BI767" s="2">
        <f t="shared" si="103"/>
        <v>0.48150170646621654</v>
      </c>
    </row>
    <row r="768" spans="6:61" x14ac:dyDescent="0.3">
      <c r="F768" s="31">
        <v>1952.3333333358501</v>
      </c>
      <c r="G768" s="2">
        <v>0.84873042245384844</v>
      </c>
      <c r="H768" s="2">
        <v>0.18449999999999939</v>
      </c>
      <c r="I768" s="2">
        <v>0.15659076294273452</v>
      </c>
      <c r="K768" s="31">
        <v>1952.3333333358501</v>
      </c>
      <c r="L768" s="2">
        <v>0.88235050927192316</v>
      </c>
      <c r="M768" s="2">
        <v>0.12301499999999986</v>
      </c>
      <c r="N768" s="2">
        <v>5.4275306994928385E-2</v>
      </c>
      <c r="P768" s="31">
        <v>1952.3333333358501</v>
      </c>
      <c r="Q768" s="2">
        <v>0.52295839379852382</v>
      </c>
      <c r="R768" s="2">
        <v>0.16775000000000076</v>
      </c>
      <c r="S768" s="2">
        <v>5.453884899221273E-2</v>
      </c>
      <c r="U768" s="2">
        <f t="shared" si="104"/>
        <v>0.75134644184143184</v>
      </c>
      <c r="V768" s="2">
        <f t="shared" si="105"/>
        <v>0.15842166666666666</v>
      </c>
      <c r="W768" s="2">
        <f t="shared" si="106"/>
        <v>8.8468306309958542E-2</v>
      </c>
      <c r="Y768" s="31">
        <v>1952.3333333358501</v>
      </c>
      <c r="Z768" s="2">
        <v>0.66709405960250112</v>
      </c>
      <c r="AA768" s="2">
        <v>1.6130881144920433</v>
      </c>
      <c r="AB768" s="2">
        <v>1.8736310763468873</v>
      </c>
      <c r="AD768" s="31">
        <v>1952.3333333358501</v>
      </c>
      <c r="AE768" s="2">
        <v>0.43493038113265464</v>
      </c>
      <c r="AF768" s="2">
        <v>0.81997122287911783</v>
      </c>
      <c r="AG768" s="2">
        <v>-0.22094596806053435</v>
      </c>
      <c r="AH768" s="31"/>
      <c r="AI768" s="31">
        <v>1952.3333333358501</v>
      </c>
      <c r="AJ768" s="2">
        <v>0.36064917569392818</v>
      </c>
      <c r="AK768" s="2">
        <v>1.6693262822256021</v>
      </c>
      <c r="AL768" s="2">
        <v>0.77900203021368064</v>
      </c>
      <c r="AM768" s="31"/>
      <c r="AN768" s="2">
        <f t="shared" si="107"/>
        <v>0.48755787214302798</v>
      </c>
      <c r="AO768" s="2">
        <f t="shared" si="100"/>
        <v>1.367461873198921</v>
      </c>
      <c r="AP768" s="2">
        <f t="shared" si="101"/>
        <v>0.81056237950001131</v>
      </c>
      <c r="AQ768" s="31"/>
      <c r="AR768" s="31">
        <v>1952.3333333358501</v>
      </c>
      <c r="AS768" s="2">
        <v>0.61106991314015946</v>
      </c>
      <c r="AT768" s="2">
        <v>0.5879215340425199</v>
      </c>
      <c r="AU768" s="2">
        <v>0.98803222104708854</v>
      </c>
      <c r="AV768" s="31"/>
      <c r="AW768" s="31">
        <v>1952.3333333358501</v>
      </c>
      <c r="AX768" s="2">
        <v>0.26417713100655704</v>
      </c>
      <c r="AY768" s="2">
        <v>6.2747505337402268E-2</v>
      </c>
      <c r="AZ768" s="2">
        <v>-0.52090209386867059</v>
      </c>
      <c r="BA768" s="31"/>
      <c r="BB768" s="31">
        <v>1952.3333333358501</v>
      </c>
      <c r="BC768" s="2">
        <v>0.1424626891476784</v>
      </c>
      <c r="BD768" s="2">
        <v>0.93967668087391998</v>
      </c>
      <c r="BE768" s="2">
        <v>0.44648600624121709</v>
      </c>
      <c r="BG768" s="2">
        <f t="shared" si="108"/>
        <v>0.33923657776479832</v>
      </c>
      <c r="BH768" s="2">
        <f t="shared" si="102"/>
        <v>0.53011524008461408</v>
      </c>
      <c r="BI768" s="2">
        <f t="shared" si="103"/>
        <v>0.30453871113987835</v>
      </c>
    </row>
    <row r="769" spans="6:61" x14ac:dyDescent="0.3">
      <c r="F769" s="31">
        <v>1952.25000000252</v>
      </c>
      <c r="G769" s="2">
        <v>0.80508211469054769</v>
      </c>
      <c r="H769" s="2">
        <v>0.18449999999999939</v>
      </c>
      <c r="I769" s="2">
        <v>0.14853765016040554</v>
      </c>
      <c r="K769" s="31">
        <v>1952.25000000252</v>
      </c>
      <c r="L769" s="2">
        <v>0.91240087560360372</v>
      </c>
      <c r="M769" s="2">
        <v>0.15377999999999986</v>
      </c>
      <c r="N769" s="2">
        <v>8.0480632819695364E-2</v>
      </c>
      <c r="P769" s="31">
        <v>1952.25000000252</v>
      </c>
      <c r="Q769" s="2">
        <v>0.494989973692396</v>
      </c>
      <c r="R769" s="2">
        <v>0.21570000000000089</v>
      </c>
      <c r="S769" s="2">
        <v>4.1205129547102017E-2</v>
      </c>
      <c r="U769" s="2">
        <f t="shared" si="104"/>
        <v>0.73749098799551582</v>
      </c>
      <c r="V769" s="2">
        <f t="shared" si="105"/>
        <v>0.18466000000000005</v>
      </c>
      <c r="W769" s="2">
        <f t="shared" si="106"/>
        <v>9.0074470842400986E-2</v>
      </c>
      <c r="Y769" s="31">
        <v>1952.25000000252</v>
      </c>
      <c r="Z769" s="2">
        <v>0.41401784550063375</v>
      </c>
      <c r="AA769" s="2">
        <v>1.6130881144920433</v>
      </c>
      <c r="AB769" s="2">
        <v>1.6882948136644704</v>
      </c>
      <c r="AD769" s="31">
        <v>1952.25000000252</v>
      </c>
      <c r="AE769" s="2">
        <v>0.61375279932772331</v>
      </c>
      <c r="AF769" s="2">
        <v>1.5734353192061419</v>
      </c>
      <c r="AG769" s="2">
        <v>0.77550657867266548</v>
      </c>
      <c r="AH769" s="31"/>
      <c r="AI769" s="31">
        <v>1952.25000000252</v>
      </c>
      <c r="AJ769" s="2">
        <v>-0.73362180798054388</v>
      </c>
      <c r="AK769" s="2">
        <v>2.8119762021355155</v>
      </c>
      <c r="AL769" s="2">
        <v>-0.29860070194351929</v>
      </c>
      <c r="AM769" s="31"/>
      <c r="AN769" s="2">
        <f t="shared" si="107"/>
        <v>9.8049612282604393E-2</v>
      </c>
      <c r="AO769" s="2">
        <f t="shared" si="100"/>
        <v>1.9994998786112337</v>
      </c>
      <c r="AP769" s="2">
        <f t="shared" si="101"/>
        <v>0.72173356346453887</v>
      </c>
      <c r="AQ769" s="31"/>
      <c r="AR769" s="31">
        <v>1952.25000000252</v>
      </c>
      <c r="AS769" s="2">
        <v>0.68857794335504885</v>
      </c>
      <c r="AT769" s="2">
        <v>0.6193873712594038</v>
      </c>
      <c r="AU769" s="2">
        <v>0.94556414023281155</v>
      </c>
      <c r="AV769" s="31"/>
      <c r="AW769" s="31">
        <v>1952.25000000252</v>
      </c>
      <c r="AX769" s="2">
        <v>0.67958484966022603</v>
      </c>
      <c r="AY769" s="2">
        <v>0.5591995610722349</v>
      </c>
      <c r="AZ769" s="2">
        <v>6.9654992280150152E-2</v>
      </c>
      <c r="BA769" s="31"/>
      <c r="BB769" s="31">
        <v>1952.25000000252</v>
      </c>
      <c r="BC769" s="2">
        <v>-0.53416484968753364</v>
      </c>
      <c r="BD769" s="2">
        <v>1.6651429875242529</v>
      </c>
      <c r="BE769" s="2">
        <v>-0.34320451855051948</v>
      </c>
      <c r="BG769" s="2">
        <f t="shared" si="108"/>
        <v>0.27799931444258041</v>
      </c>
      <c r="BH769" s="2">
        <f t="shared" si="102"/>
        <v>0.94790997328529725</v>
      </c>
      <c r="BI769" s="2">
        <f t="shared" si="103"/>
        <v>0.22400487132081406</v>
      </c>
    </row>
    <row r="770" spans="6:61" x14ac:dyDescent="0.3">
      <c r="F770" s="31">
        <v>1952.1666666691899</v>
      </c>
      <c r="G770" s="2">
        <v>0.73368802617637607</v>
      </c>
      <c r="H770" s="2">
        <v>0.1229999999999996</v>
      </c>
      <c r="I770" s="2">
        <v>9.0243627219693964E-2</v>
      </c>
      <c r="K770" s="31">
        <v>1952.1666666691899</v>
      </c>
      <c r="L770" s="2">
        <v>0.89048972281357175</v>
      </c>
      <c r="M770" s="2">
        <v>0.12301499999999986</v>
      </c>
      <c r="N770" s="2">
        <v>5.4777705417258876E-2</v>
      </c>
      <c r="P770" s="31">
        <v>1952.1666666691899</v>
      </c>
      <c r="Q770" s="2">
        <v>0.46774920139382858</v>
      </c>
      <c r="R770" s="2">
        <v>0.16775000000000076</v>
      </c>
      <c r="S770" s="2">
        <v>3.6151401222943996E-2</v>
      </c>
      <c r="U770" s="2">
        <f t="shared" si="104"/>
        <v>0.6973089834612588</v>
      </c>
      <c r="V770" s="2">
        <f t="shared" si="105"/>
        <v>0.13792166666666675</v>
      </c>
      <c r="W770" s="2">
        <f t="shared" si="106"/>
        <v>6.0390911286632286E-2</v>
      </c>
      <c r="Y770" s="31">
        <v>1952.1666666691899</v>
      </c>
      <c r="Z770" s="2">
        <v>6.9480574290278058E-5</v>
      </c>
      <c r="AA770" s="2">
        <v>0.41216179278103032</v>
      </c>
      <c r="AB770" s="2">
        <v>0.34670223442457004</v>
      </c>
      <c r="AD770" s="31">
        <v>1952.1666666691899</v>
      </c>
      <c r="AE770" s="2">
        <v>0.48336486048837612</v>
      </c>
      <c r="AF770" s="2">
        <v>0.81997122287911783</v>
      </c>
      <c r="AG770" s="2">
        <v>-0.20184236329127705</v>
      </c>
      <c r="AH770" s="31"/>
      <c r="AI770" s="31">
        <v>1952.1666666691899</v>
      </c>
      <c r="AJ770" s="2">
        <v>-1.2013412401830874</v>
      </c>
      <c r="AK770" s="2">
        <v>1.6693262822256021</v>
      </c>
      <c r="AL770" s="2">
        <v>-0.7070322331536536</v>
      </c>
      <c r="AM770" s="31"/>
      <c r="AN770" s="2">
        <f t="shared" si="107"/>
        <v>-0.23930229970680703</v>
      </c>
      <c r="AO770" s="2">
        <f t="shared" si="100"/>
        <v>0.96715309929525006</v>
      </c>
      <c r="AP770" s="2">
        <f t="shared" si="101"/>
        <v>-0.18739078734012019</v>
      </c>
      <c r="AQ770" s="31"/>
      <c r="AR770" s="31">
        <v>1952.1666666691899</v>
      </c>
      <c r="AS770" s="2">
        <v>0.40866852034759588</v>
      </c>
      <c r="AT770" s="2">
        <v>-0.46657286796563435</v>
      </c>
      <c r="AU770" s="2">
        <v>-0.20416473310422195</v>
      </c>
      <c r="AV770" s="31"/>
      <c r="AW770" s="31">
        <v>1952.1666666691899</v>
      </c>
      <c r="AX770" s="2">
        <v>0.65329331228724619</v>
      </c>
      <c r="AY770" s="2">
        <v>0.19080318216020514</v>
      </c>
      <c r="AZ770" s="2">
        <v>-0.32539735572402312</v>
      </c>
      <c r="BA770" s="31"/>
      <c r="BB770" s="31">
        <v>1952.1666666691899</v>
      </c>
      <c r="BC770" s="2">
        <v>-0.68698230752785439</v>
      </c>
      <c r="BD770" s="2">
        <v>1.6241321965651629</v>
      </c>
      <c r="BE770" s="2">
        <v>-0.31193673443129188</v>
      </c>
      <c r="BG770" s="2">
        <f t="shared" si="108"/>
        <v>0.12499317503566255</v>
      </c>
      <c r="BH770" s="2">
        <f t="shared" si="102"/>
        <v>0.44945417025324463</v>
      </c>
      <c r="BI770" s="2">
        <f t="shared" si="103"/>
        <v>-0.280499607753179</v>
      </c>
    </row>
    <row r="771" spans="6:61" x14ac:dyDescent="0.3">
      <c r="F771" s="31">
        <v>1952.0833333358601</v>
      </c>
      <c r="G771" s="2">
        <v>0.71104043141970041</v>
      </c>
      <c r="H771" s="2">
        <v>6.1499999999999798E-2</v>
      </c>
      <c r="I771" s="2">
        <v>4.3728986532311429E-2</v>
      </c>
      <c r="K771" s="31">
        <v>1952.0833333358601</v>
      </c>
      <c r="L771" s="2">
        <v>0.85580013968482471</v>
      </c>
      <c r="M771" s="2">
        <v>9.2279999999999945E-2</v>
      </c>
      <c r="N771" s="2">
        <v>7.8122321119134946E-2</v>
      </c>
      <c r="P771" s="31">
        <v>1952.0833333358601</v>
      </c>
      <c r="Q771" s="2">
        <v>0.46126625884659034</v>
      </c>
      <c r="R771" s="2">
        <v>7.1900000000000297E-2</v>
      </c>
      <c r="S771" s="2">
        <v>3.4405051487600723E-2</v>
      </c>
      <c r="U771" s="2">
        <f t="shared" si="104"/>
        <v>0.67603560998370515</v>
      </c>
      <c r="V771" s="2">
        <f t="shared" si="105"/>
        <v>7.5226666666666678E-2</v>
      </c>
      <c r="W771" s="2">
        <f t="shared" si="106"/>
        <v>5.2085453046349039E-2</v>
      </c>
      <c r="Y771" s="31">
        <v>1952.0833333358601</v>
      </c>
      <c r="Z771" s="2">
        <v>-0.13124299941037132</v>
      </c>
      <c r="AA771" s="2">
        <v>-0.78876452892998272</v>
      </c>
      <c r="AB771" s="2">
        <v>-0.7237968257564531</v>
      </c>
      <c r="AD771" s="31">
        <v>1952.0833333358601</v>
      </c>
      <c r="AE771" s="2">
        <v>0.27693559194659439</v>
      </c>
      <c r="AF771" s="2">
        <v>6.7241855071186282E-2</v>
      </c>
      <c r="AG771" s="2">
        <v>0.68583222332490001</v>
      </c>
      <c r="AH771" s="31"/>
      <c r="AI771" s="31">
        <v>1952.0833333358601</v>
      </c>
      <c r="AJ771" s="2">
        <v>-1.3515965983993865</v>
      </c>
      <c r="AK771" s="2">
        <v>-0.61478205611361436</v>
      </c>
      <c r="AL771" s="2">
        <v>-0.84816848953393686</v>
      </c>
      <c r="AM771" s="31"/>
      <c r="AN771" s="2">
        <f t="shared" si="107"/>
        <v>-0.40196800195438787</v>
      </c>
      <c r="AO771" s="2">
        <f t="shared" si="100"/>
        <v>-0.44543490999080354</v>
      </c>
      <c r="AP771" s="2">
        <f t="shared" si="101"/>
        <v>-0.29537769732183</v>
      </c>
      <c r="AQ771" s="31"/>
      <c r="AR771" s="31">
        <v>1952.0833333358601</v>
      </c>
      <c r="AS771" s="2">
        <v>0.58360894364457006</v>
      </c>
      <c r="AT771" s="2">
        <v>-0.93050162247170831</v>
      </c>
      <c r="AU771" s="2">
        <v>-0.48133304616952538</v>
      </c>
      <c r="AV771" s="31"/>
      <c r="AW771" s="31">
        <v>1952.0833333358601</v>
      </c>
      <c r="AX771" s="2">
        <v>0.62116438773327098</v>
      </c>
      <c r="AY771" s="2">
        <v>0.56120938963997447</v>
      </c>
      <c r="AZ771" s="2">
        <v>1.8362452761861983</v>
      </c>
      <c r="BA771" s="31"/>
      <c r="BB771" s="31">
        <v>1952.0833333358601</v>
      </c>
      <c r="BC771" s="2">
        <v>-0.74276364318452703</v>
      </c>
      <c r="BD771" s="2">
        <v>-0.95760573293009554</v>
      </c>
      <c r="BE771" s="2">
        <v>-0.5808789249888564</v>
      </c>
      <c r="BG771" s="2">
        <f t="shared" si="108"/>
        <v>0.15400322939777134</v>
      </c>
      <c r="BH771" s="2">
        <f t="shared" si="102"/>
        <v>-0.44229932192060978</v>
      </c>
      <c r="BI771" s="2">
        <f t="shared" si="103"/>
        <v>0.25801110167593883</v>
      </c>
    </row>
    <row r="772" spans="6:61" x14ac:dyDescent="0.3">
      <c r="F772" s="31">
        <v>1952.00000000253</v>
      </c>
      <c r="G772" s="2">
        <v>0.72420434262336342</v>
      </c>
      <c r="H772" s="2">
        <v>6.1499999999999798E-2</v>
      </c>
      <c r="I772" s="2">
        <v>4.4538567071336702E-2</v>
      </c>
      <c r="K772" s="31">
        <v>1952.00000000253</v>
      </c>
      <c r="L772" s="2">
        <v>0.86160173513550009</v>
      </c>
      <c r="M772" s="2">
        <v>6.1514999999999952E-2</v>
      </c>
      <c r="N772" s="2">
        <v>5.3000765810802861E-2</v>
      </c>
      <c r="P772" s="31">
        <v>1952.00000000253</v>
      </c>
      <c r="Q772" s="2">
        <v>0.48584860240293093</v>
      </c>
      <c r="R772" s="2">
        <v>4.7900000000000303E-2</v>
      </c>
      <c r="S772" s="2">
        <v>1.9620006770008441E-2</v>
      </c>
      <c r="U772" s="2">
        <f t="shared" si="104"/>
        <v>0.69055156005393148</v>
      </c>
      <c r="V772" s="2">
        <f t="shared" si="105"/>
        <v>5.6971666666666691E-2</v>
      </c>
      <c r="W772" s="2">
        <f t="shared" si="106"/>
        <v>3.9053113217382668E-2</v>
      </c>
      <c r="Y772" s="31">
        <v>1952.00000000253</v>
      </c>
      <c r="Z772" s="2">
        <v>-5.491763925523438E-2</v>
      </c>
      <c r="AA772" s="2">
        <v>-0.78876452892998272</v>
      </c>
      <c r="AB772" s="2">
        <v>-0.70516494569976196</v>
      </c>
      <c r="AD772" s="31">
        <v>1952.00000000253</v>
      </c>
      <c r="AE772" s="2">
        <v>0.31145947483136127</v>
      </c>
      <c r="AF772" s="2">
        <v>-0.68622224125583742</v>
      </c>
      <c r="AG772" s="2">
        <v>-0.26941015497165127</v>
      </c>
      <c r="AH772" s="31"/>
      <c r="AI772" s="31">
        <v>1952.00000000253</v>
      </c>
      <c r="AJ772" s="2">
        <v>-1.6818806930012062</v>
      </c>
      <c r="AK772" s="2">
        <v>-1.186702766808877</v>
      </c>
      <c r="AL772" s="2">
        <v>-2.0430642309908347</v>
      </c>
      <c r="AM772" s="31"/>
      <c r="AN772" s="2">
        <f t="shared" si="107"/>
        <v>-0.47511295247502644</v>
      </c>
      <c r="AO772" s="2">
        <f t="shared" si="100"/>
        <v>-0.88722984566489904</v>
      </c>
      <c r="AP772" s="2">
        <f t="shared" si="101"/>
        <v>-1.0058797772207493</v>
      </c>
      <c r="AQ772" s="31"/>
      <c r="AR772" s="31">
        <v>1952.00000000253</v>
      </c>
      <c r="AS772" s="2">
        <v>0.29148447666990879</v>
      </c>
      <c r="AT772" s="2">
        <v>-0.29853293598826797</v>
      </c>
      <c r="AU772" s="2">
        <v>1.9964363066277968E-2</v>
      </c>
      <c r="AV772" s="31"/>
      <c r="AW772" s="31">
        <v>1952.00000000253</v>
      </c>
      <c r="AX772" s="2">
        <v>0.47601566462844658</v>
      </c>
      <c r="AY772" s="2">
        <v>-0.21981065223360952</v>
      </c>
      <c r="AZ772" s="2">
        <v>0.39070203368852335</v>
      </c>
      <c r="BA772" s="31"/>
      <c r="BB772" s="31">
        <v>1952.00000000253</v>
      </c>
      <c r="BC772" s="2">
        <v>-0.94128344539553366</v>
      </c>
      <c r="BD772" s="2">
        <v>-0.94501805984887022</v>
      </c>
      <c r="BE772" s="2">
        <v>-1.3565713007531566</v>
      </c>
      <c r="BG772" s="2">
        <f t="shared" si="108"/>
        <v>-5.7927768032392767E-2</v>
      </c>
      <c r="BH772" s="2">
        <f t="shared" si="102"/>
        <v>-0.48778721602358255</v>
      </c>
      <c r="BI772" s="2">
        <f t="shared" si="103"/>
        <v>-0.31530163466611838</v>
      </c>
    </row>
    <row r="773" spans="6:61" x14ac:dyDescent="0.3">
      <c r="F773" s="31">
        <v>1951.9166666691999</v>
      </c>
      <c r="G773" s="2">
        <v>0.75967065734143002</v>
      </c>
      <c r="H773" s="2">
        <v>6.1499999999999798E-2</v>
      </c>
      <c r="I773" s="2">
        <v>4.6719745426497795E-2</v>
      </c>
      <c r="K773" s="31">
        <v>1951.9166666691999</v>
      </c>
      <c r="L773" s="2">
        <v>0.86850054433704438</v>
      </c>
      <c r="M773" s="2">
        <v>6.1514999999999952E-2</v>
      </c>
      <c r="N773" s="2">
        <v>5.342491574273793E-2</v>
      </c>
      <c r="P773" s="31">
        <v>1951.9166666691999</v>
      </c>
      <c r="Q773" s="2">
        <v>0.54325586502846068</v>
      </c>
      <c r="R773" s="2">
        <v>7.1900000000000297E-2</v>
      </c>
      <c r="S773" s="2">
        <v>3.5879974504179249E-2</v>
      </c>
      <c r="U773" s="2">
        <f t="shared" si="104"/>
        <v>0.72380902223564503</v>
      </c>
      <c r="V773" s="2">
        <f t="shared" si="105"/>
        <v>6.4971666666666691E-2</v>
      </c>
      <c r="W773" s="2">
        <f t="shared" si="106"/>
        <v>4.5341545224471654E-2</v>
      </c>
      <c r="Y773" s="31">
        <v>1951.9166666691999</v>
      </c>
      <c r="Z773" s="2">
        <v>0.15071875576075608</v>
      </c>
      <c r="AA773" s="2">
        <v>-0.78876452892998272</v>
      </c>
      <c r="AB773" s="2">
        <v>-0.65496678561979993</v>
      </c>
      <c r="AD773" s="31">
        <v>1951.9166666691999</v>
      </c>
      <c r="AE773" s="2">
        <v>0.35251260977387788</v>
      </c>
      <c r="AF773" s="2">
        <v>-0.68622224125583742</v>
      </c>
      <c r="AG773" s="2">
        <v>-0.25328193421608391</v>
      </c>
      <c r="AH773" s="31"/>
      <c r="AI773" s="31">
        <v>1951.9166666691999</v>
      </c>
      <c r="AJ773" s="2">
        <v>-1.2235521467189514</v>
      </c>
      <c r="AK773" s="2">
        <v>-0.61478205611361436</v>
      </c>
      <c r="AL773" s="2">
        <v>-0.72896836094795836</v>
      </c>
      <c r="AM773" s="31"/>
      <c r="AN773" s="2">
        <f t="shared" si="107"/>
        <v>-0.24010692706143913</v>
      </c>
      <c r="AO773" s="2">
        <f t="shared" ref="AO773:AO784" si="109">AVERAGE(AK773,AF773,AA773)</f>
        <v>-0.69658960876647813</v>
      </c>
      <c r="AP773" s="2">
        <f t="shared" ref="AP773:AP784" si="110">AVERAGE(AL773,AG773,AB773)</f>
        <v>-0.5457390269279474</v>
      </c>
      <c r="AQ773" s="31"/>
      <c r="AR773" s="31">
        <v>1951.9166666691999</v>
      </c>
      <c r="AS773" s="2">
        <v>0.4789633740566635</v>
      </c>
      <c r="AT773" s="2">
        <v>-0.68444756444045463</v>
      </c>
      <c r="AU773" s="2">
        <v>-0.30250940272481114</v>
      </c>
      <c r="AV773" s="31"/>
      <c r="AW773" s="31">
        <v>1951.9166666691999</v>
      </c>
      <c r="AX773" s="2">
        <v>0.52995578964410672</v>
      </c>
      <c r="AY773" s="2">
        <v>-0.51751295497595129</v>
      </c>
      <c r="AZ773" s="2">
        <v>0.37726538367070078</v>
      </c>
      <c r="BA773" s="31"/>
      <c r="BB773" s="31">
        <v>1951.9166666691999</v>
      </c>
      <c r="BC773" s="2">
        <v>-1.0085947246853879</v>
      </c>
      <c r="BD773" s="2">
        <v>-0.44318112469553572</v>
      </c>
      <c r="BE773" s="2">
        <v>-0.5023922055555835</v>
      </c>
      <c r="BG773" s="2">
        <f t="shared" si="108"/>
        <v>1.0814633846077208E-4</v>
      </c>
      <c r="BH773" s="2">
        <f t="shared" ref="BH773:BH784" si="111">AVERAGE(BD773,AY773,AT773)</f>
        <v>-0.54838054803731395</v>
      </c>
      <c r="BI773" s="2">
        <f t="shared" ref="BI773:BI784" si="112">AVERAGE(BE773,AZ773,AU773)</f>
        <v>-0.14254540820323128</v>
      </c>
    </row>
    <row r="774" spans="6:61" x14ac:dyDescent="0.3">
      <c r="F774" s="31">
        <v>1951.8333333358701</v>
      </c>
      <c r="G774" s="2">
        <v>0.81656498075389616</v>
      </c>
      <c r="H774" s="2">
        <v>6.1499999999999798E-2</v>
      </c>
      <c r="I774" s="2">
        <v>5.021874631636445E-2</v>
      </c>
      <c r="K774" s="31">
        <v>1951.8333333358701</v>
      </c>
      <c r="L774" s="2">
        <v>0.87537766976281739</v>
      </c>
      <c r="M774" s="2">
        <v>6.1514999999999952E-2</v>
      </c>
      <c r="N774" s="2">
        <v>5.3847710916782345E-2</v>
      </c>
      <c r="P774" s="31">
        <v>1951.8333333358701</v>
      </c>
      <c r="Q774" s="2">
        <v>0.59800549480135845</v>
      </c>
      <c r="R774" s="2">
        <v>4.7900000000000303E-2</v>
      </c>
      <c r="S774" s="2">
        <v>2.1382363909106729E-2</v>
      </c>
      <c r="U774" s="2">
        <f t="shared" ref="U774:U784" si="113">AVERAGE(Q774,L774,G774)</f>
        <v>0.76331604843935741</v>
      </c>
      <c r="V774" s="2">
        <f t="shared" ref="V774:V784" si="114">AVERAGE(R774,M774,H774)</f>
        <v>5.6971666666666691E-2</v>
      </c>
      <c r="W774" s="2">
        <f t="shared" ref="W774:W784" si="115">AVERAGE(S774,N774,I774)</f>
        <v>4.1816273714084508E-2</v>
      </c>
      <c r="Y774" s="31">
        <v>1951.8333333358701</v>
      </c>
      <c r="Z774" s="2">
        <v>0.48059637784855741</v>
      </c>
      <c r="AA774" s="2">
        <v>-0.78876452892998272</v>
      </c>
      <c r="AB774" s="2">
        <v>-0.57443994269847298</v>
      </c>
      <c r="AD774" s="31">
        <v>1951.8333333358701</v>
      </c>
      <c r="AE774" s="2">
        <v>0.39343670984286849</v>
      </c>
      <c r="AF774" s="2">
        <v>-0.68622224125583742</v>
      </c>
      <c r="AG774" s="2">
        <v>-0.23720522787248668</v>
      </c>
      <c r="AH774" s="31"/>
      <c r="AI774" s="31">
        <v>1951.8333333358701</v>
      </c>
      <c r="AJ774" s="2">
        <v>-1.4419821244597759</v>
      </c>
      <c r="AK774" s="2">
        <v>-1.186702766808877</v>
      </c>
      <c r="AL774" s="2">
        <v>-1.900634290421968</v>
      </c>
      <c r="AM774" s="31"/>
      <c r="AN774" s="2">
        <f t="shared" ref="AN774:AN784" si="116">AVERAGE(AJ774,AE774,Z774)</f>
        <v>-0.18931634558944999</v>
      </c>
      <c r="AO774" s="2">
        <f t="shared" si="109"/>
        <v>-0.88722984566489904</v>
      </c>
      <c r="AP774" s="2">
        <f t="shared" si="110"/>
        <v>-0.9040931536643092</v>
      </c>
      <c r="AQ774" s="31"/>
      <c r="AR774" s="31">
        <v>1951.8333333358701</v>
      </c>
      <c r="AS774" s="2">
        <v>0.45687187744561947</v>
      </c>
      <c r="AT774" s="2">
        <v>-0.2854929317171821</v>
      </c>
      <c r="AU774" s="2">
        <v>0.14322281264420347</v>
      </c>
      <c r="AV774" s="31"/>
      <c r="AW774" s="31">
        <v>1951.8333333358701</v>
      </c>
      <c r="AX774" s="2">
        <v>0.40176551460790594</v>
      </c>
      <c r="AY774" s="2">
        <v>-0.19138401234735175</v>
      </c>
      <c r="AZ774" s="2">
        <v>0.34034612167621697</v>
      </c>
      <c r="BA774" s="31"/>
      <c r="BB774" s="31">
        <v>1951.8333333358701</v>
      </c>
      <c r="BC774" s="2">
        <v>-0.87924426507897357</v>
      </c>
      <c r="BD774" s="2">
        <v>-0.86039420085980967</v>
      </c>
      <c r="BE774" s="2">
        <v>-1.1003429491883743</v>
      </c>
      <c r="BG774" s="2">
        <f t="shared" ref="BG774:BG784" si="117">AVERAGE(BC774,AX774,AS774)</f>
        <v>-6.8689576751493897E-3</v>
      </c>
      <c r="BH774" s="2">
        <f t="shared" si="111"/>
        <v>-0.44575704830811452</v>
      </c>
      <c r="BI774" s="2">
        <f t="shared" si="112"/>
        <v>-0.20559133828931797</v>
      </c>
    </row>
    <row r="775" spans="6:61" x14ac:dyDescent="0.3">
      <c r="F775" s="31">
        <v>1951.75000000254</v>
      </c>
      <c r="G775" s="2">
        <v>0.8903630436414266</v>
      </c>
      <c r="H775" s="2">
        <v>6.1499999999999798E-2</v>
      </c>
      <c r="I775" s="2">
        <v>5.4757327183947553E-2</v>
      </c>
      <c r="K775" s="31">
        <v>1951.75000000254</v>
      </c>
      <c r="L775" s="2">
        <v>0.87987002872463094</v>
      </c>
      <c r="M775" s="2">
        <v>9.2279999999999945E-2</v>
      </c>
      <c r="N775" s="2">
        <v>7.8260548485811821E-2</v>
      </c>
      <c r="P775" s="31">
        <v>1951.75000000254</v>
      </c>
      <c r="Q775" s="2">
        <v>0.60696043919077924</v>
      </c>
      <c r="R775" s="2">
        <v>7.1900000000000297E-2</v>
      </c>
      <c r="S775" s="2">
        <v>3.9515430989730704E-2</v>
      </c>
      <c r="U775" s="2">
        <f t="shared" si="113"/>
        <v>0.7923978371856123</v>
      </c>
      <c r="V775" s="2">
        <f t="shared" si="114"/>
        <v>7.5226666666666678E-2</v>
      </c>
      <c r="W775" s="2">
        <f t="shared" si="115"/>
        <v>5.7511102219830024E-2</v>
      </c>
      <c r="Y775" s="31">
        <v>1951.75000000254</v>
      </c>
      <c r="Z775" s="2">
        <v>0.90848316935736484</v>
      </c>
      <c r="AA775" s="2">
        <v>-0.78876452892998272</v>
      </c>
      <c r="AB775" s="2">
        <v>-0.46998795765667079</v>
      </c>
      <c r="AD775" s="31">
        <v>1951.75000000254</v>
      </c>
      <c r="AE775" s="2">
        <v>0.42016964494538911</v>
      </c>
      <c r="AF775" s="2">
        <v>6.7241855071186282E-2</v>
      </c>
      <c r="AG775" s="2">
        <v>0.69108829273897376</v>
      </c>
      <c r="AH775" s="31"/>
      <c r="AI775" s="31">
        <v>1951.75000000254</v>
      </c>
      <c r="AJ775" s="2">
        <v>-0.87970664338612115</v>
      </c>
      <c r="AK775" s="2">
        <v>-0.61478205611361436</v>
      </c>
      <c r="AL775" s="2">
        <v>-0.43515853109546504</v>
      </c>
      <c r="AM775" s="31"/>
      <c r="AN775" s="2">
        <f t="shared" si="116"/>
        <v>0.1496487236388776</v>
      </c>
      <c r="AO775" s="2">
        <f t="shared" si="109"/>
        <v>-0.44543490999080354</v>
      </c>
      <c r="AP775" s="2">
        <f t="shared" si="110"/>
        <v>-7.1352732004387354E-2</v>
      </c>
      <c r="AQ775" s="31"/>
      <c r="AR775" s="31">
        <v>1951.75000000254</v>
      </c>
      <c r="AS775" s="2">
        <v>1.0230467651018074</v>
      </c>
      <c r="AT775" s="2">
        <v>-0.67664761419445274</v>
      </c>
      <c r="AU775" s="2">
        <v>-7.4275827042548953E-2</v>
      </c>
      <c r="AV775" s="31"/>
      <c r="AW775" s="31">
        <v>1951.75000000254</v>
      </c>
      <c r="AX775" s="2">
        <v>0.54231075885440649</v>
      </c>
      <c r="AY775" s="2">
        <v>0.96310780514635363</v>
      </c>
      <c r="AZ775" s="2">
        <v>1.8869191079278509</v>
      </c>
      <c r="BA775" s="31"/>
      <c r="BB775" s="31">
        <v>1951.75000000254</v>
      </c>
      <c r="BC775" s="2">
        <v>-0.92669521479728956</v>
      </c>
      <c r="BD775" s="2">
        <v>-0.59144451954684485</v>
      </c>
      <c r="BE775" s="2">
        <v>-0.62638146250638194</v>
      </c>
      <c r="BG775" s="2">
        <f t="shared" si="117"/>
        <v>0.21288743638630811</v>
      </c>
      <c r="BH775" s="2">
        <f t="shared" si="111"/>
        <v>-0.10166144286498131</v>
      </c>
      <c r="BI775" s="2">
        <f t="shared" si="112"/>
        <v>0.39542060612630664</v>
      </c>
    </row>
    <row r="776" spans="6:61" x14ac:dyDescent="0.3">
      <c r="F776" s="31">
        <v>1951.6666666692099</v>
      </c>
      <c r="G776" s="2">
        <v>0.97082943500826557</v>
      </c>
      <c r="H776" s="2">
        <v>6.1499999999999798E-2</v>
      </c>
      <c r="I776" s="2">
        <v>5.9706010253008139E-2</v>
      </c>
      <c r="K776" s="31">
        <v>1951.6666666692099</v>
      </c>
      <c r="L776" s="2">
        <v>0.89042962957129179</v>
      </c>
      <c r="M776" s="2">
        <v>6.1514999999999952E-2</v>
      </c>
      <c r="N776" s="2">
        <v>5.4773163135581532E-2</v>
      </c>
      <c r="P776" s="31">
        <v>1951.6666666692099</v>
      </c>
      <c r="Q776" s="2">
        <v>0.58106827560675134</v>
      </c>
      <c r="R776" s="2">
        <v>4.7900000000000303E-2</v>
      </c>
      <c r="S776" s="2">
        <v>2.511530528284223E-2</v>
      </c>
      <c r="U776" s="2">
        <f t="shared" si="113"/>
        <v>0.81410911339543623</v>
      </c>
      <c r="V776" s="2">
        <f t="shared" si="114"/>
        <v>5.6971666666666691E-2</v>
      </c>
      <c r="W776" s="2">
        <f t="shared" si="115"/>
        <v>4.6531492890477304E-2</v>
      </c>
      <c r="Y776" s="31">
        <v>1951.6666666692099</v>
      </c>
      <c r="Z776" s="2">
        <v>1.3750334374683508</v>
      </c>
      <c r="AA776" s="2">
        <v>-0.78876452892998272</v>
      </c>
      <c r="AB776" s="2">
        <v>-0.35609778251445789</v>
      </c>
      <c r="AD776" s="31">
        <v>1951.6666666692099</v>
      </c>
      <c r="AE776" s="2">
        <v>0.48300726022543505</v>
      </c>
      <c r="AF776" s="2">
        <v>-0.68622224125583742</v>
      </c>
      <c r="AG776" s="2">
        <v>-0.20201508269097601</v>
      </c>
      <c r="AH776" s="31"/>
      <c r="AI776" s="31">
        <v>1951.6666666692099</v>
      </c>
      <c r="AJ776" s="2">
        <v>-0.93384034539538896</v>
      </c>
      <c r="AK776" s="2">
        <v>-1.186702766808877</v>
      </c>
      <c r="AL776" s="2">
        <v>-1.5989459400798531</v>
      </c>
      <c r="AM776" s="31"/>
      <c r="AN776" s="2">
        <f t="shared" si="116"/>
        <v>0.30806678409946564</v>
      </c>
      <c r="AO776" s="2">
        <f t="shared" si="109"/>
        <v>-0.88722984566489904</v>
      </c>
      <c r="AP776" s="2">
        <f t="shared" si="110"/>
        <v>-0.71901960176176238</v>
      </c>
      <c r="AQ776" s="31"/>
      <c r="AR776" s="31">
        <v>1951.6666666692099</v>
      </c>
      <c r="AS776" s="2">
        <v>0.60653443659231987</v>
      </c>
      <c r="AT776" s="2">
        <v>-0.32631334910520099</v>
      </c>
      <c r="AU776" s="2">
        <v>0.17367288327164912</v>
      </c>
      <c r="AV776" s="31"/>
      <c r="AW776" s="31">
        <v>1951.6666666692099</v>
      </c>
      <c r="AX776" s="2">
        <v>0.21568863129687213</v>
      </c>
      <c r="AY776" s="2">
        <v>-0.23837245449551037</v>
      </c>
      <c r="AZ776" s="2">
        <v>0.19995248821356873</v>
      </c>
      <c r="BA776" s="31"/>
      <c r="BB776" s="31">
        <v>1951.6666666692099</v>
      </c>
      <c r="BC776" s="2">
        <v>-1.0921433226505941</v>
      </c>
      <c r="BD776" s="2">
        <v>-1.0289872901111137</v>
      </c>
      <c r="BE776" s="2">
        <v>-1.5231280469979087</v>
      </c>
      <c r="BG776" s="2">
        <f t="shared" si="117"/>
        <v>-8.9973418253800716E-2</v>
      </c>
      <c r="BH776" s="2">
        <f t="shared" si="111"/>
        <v>-0.5312243645706084</v>
      </c>
      <c r="BI776" s="2">
        <f t="shared" si="112"/>
        <v>-0.38316755850423023</v>
      </c>
    </row>
    <row r="777" spans="6:61" x14ac:dyDescent="0.3">
      <c r="F777" s="31">
        <v>1951.5833333358801</v>
      </c>
      <c r="G777" s="2">
        <v>1.0325939296826581</v>
      </c>
      <c r="H777" s="2">
        <v>6.1499999999999798E-2</v>
      </c>
      <c r="I777" s="2">
        <v>6.3504526675483258E-2</v>
      </c>
      <c r="K777" s="31">
        <v>1951.5833333358801</v>
      </c>
      <c r="L777" s="2">
        <v>0.90931850407896686</v>
      </c>
      <c r="M777" s="2">
        <v>6.1514999999999952E-2</v>
      </c>
      <c r="N777" s="2">
        <v>5.5935041108708575E-2</v>
      </c>
      <c r="P777" s="31">
        <v>1951.5833333358801</v>
      </c>
      <c r="Q777" s="2">
        <v>0.5585026837677286</v>
      </c>
      <c r="R777" s="2">
        <v>7.1900000000000297E-2</v>
      </c>
      <c r="S777" s="2">
        <v>4.3245394918280493E-2</v>
      </c>
      <c r="U777" s="2">
        <f t="shared" si="113"/>
        <v>0.83347170584311792</v>
      </c>
      <c r="V777" s="2">
        <f t="shared" si="114"/>
        <v>6.4971666666666691E-2</v>
      </c>
      <c r="W777" s="2">
        <f t="shared" si="115"/>
        <v>5.4228320900824106E-2</v>
      </c>
      <c r="Y777" s="31">
        <v>1951.5833333358801</v>
      </c>
      <c r="Z777" s="2">
        <v>1.7331486836051728</v>
      </c>
      <c r="AA777" s="2">
        <v>-0.78876452892998272</v>
      </c>
      <c r="AB777" s="2">
        <v>-0.26867781752599745</v>
      </c>
      <c r="AD777" s="31">
        <v>1951.5833333358801</v>
      </c>
      <c r="AE777" s="2">
        <v>0.59541035638618467</v>
      </c>
      <c r="AF777" s="2">
        <v>-0.68622224125583742</v>
      </c>
      <c r="AG777" s="2">
        <v>-0.15783489302046863</v>
      </c>
      <c r="AH777" s="31"/>
      <c r="AI777" s="31">
        <v>1951.5833333358801</v>
      </c>
      <c r="AJ777" s="2">
        <v>-0.49323375920522378</v>
      </c>
      <c r="AK777" s="2">
        <v>-0.61478205611361436</v>
      </c>
      <c r="AL777" s="2">
        <v>-0.13371081151509545</v>
      </c>
      <c r="AM777" s="31"/>
      <c r="AN777" s="2">
        <f t="shared" si="116"/>
        <v>0.61177509359537796</v>
      </c>
      <c r="AO777" s="2">
        <f t="shared" si="109"/>
        <v>-0.69658960876647813</v>
      </c>
      <c r="AP777" s="2">
        <f t="shared" si="110"/>
        <v>-0.18674117402052048</v>
      </c>
      <c r="AQ777" s="31"/>
      <c r="AR777" s="31">
        <v>1951.5833333358801</v>
      </c>
      <c r="AS777" s="2">
        <v>1.2706253603041258</v>
      </c>
      <c r="AT777" s="2">
        <v>-0.65870957567408839</v>
      </c>
      <c r="AU777" s="2">
        <v>0.10720209862683279</v>
      </c>
      <c r="AV777" s="31"/>
      <c r="AW777" s="31">
        <v>1951.5833333358801</v>
      </c>
      <c r="AX777" s="2">
        <v>0.4242501659035316</v>
      </c>
      <c r="AY777" s="2">
        <v>-0.53553372549108424</v>
      </c>
      <c r="AZ777" s="2">
        <v>0.18481019969578444</v>
      </c>
      <c r="BA777" s="31"/>
      <c r="BB777" s="31">
        <v>1951.5833333358801</v>
      </c>
      <c r="BC777" s="2">
        <v>-0.99027554049400368</v>
      </c>
      <c r="BD777" s="2">
        <v>-0.51613739712758211</v>
      </c>
      <c r="BE777" s="2">
        <v>-0.76381616147501241</v>
      </c>
      <c r="BG777" s="2">
        <f t="shared" si="117"/>
        <v>0.23486666190455122</v>
      </c>
      <c r="BH777" s="2">
        <f t="shared" si="111"/>
        <v>-0.57012689943091821</v>
      </c>
      <c r="BI777" s="2">
        <f t="shared" si="112"/>
        <v>-0.15726795438413174</v>
      </c>
    </row>
    <row r="778" spans="6:61" x14ac:dyDescent="0.3">
      <c r="F778" s="31">
        <v>1951.50000000255</v>
      </c>
      <c r="G778" s="2"/>
      <c r="H778" s="2"/>
      <c r="I778" s="2"/>
      <c r="K778" s="31">
        <v>1951.50000000255</v>
      </c>
      <c r="L778" s="2">
        <v>0.81139159636017433</v>
      </c>
      <c r="M778" s="2">
        <v>6.1530000000000001E-2</v>
      </c>
      <c r="N778" s="2">
        <v>4.9924924924041526E-2</v>
      </c>
      <c r="P778" s="31">
        <v>1951.50000000255</v>
      </c>
      <c r="Q778" s="2">
        <v>0.53502659503793037</v>
      </c>
      <c r="R778" s="2">
        <v>4.7900000000000303E-2</v>
      </c>
      <c r="S778" s="2">
        <v>2.8149118297855658E-2</v>
      </c>
      <c r="U778" s="2">
        <f t="shared" si="113"/>
        <v>0.67320909569905241</v>
      </c>
      <c r="V778" s="2">
        <f t="shared" si="114"/>
        <v>5.4715000000000152E-2</v>
      </c>
      <c r="W778" s="2">
        <f t="shared" si="115"/>
        <v>3.9037021610948588E-2</v>
      </c>
      <c r="Y778" s="31">
        <v>1951.50000000255</v>
      </c>
      <c r="Z778" s="2"/>
      <c r="AA778" s="2"/>
      <c r="AB778" s="2"/>
      <c r="AD778" s="31">
        <v>1951.50000000255</v>
      </c>
      <c r="AE778" s="2">
        <v>1.267115609303171E-2</v>
      </c>
      <c r="AF778" s="2">
        <v>-0.68585487699629111</v>
      </c>
      <c r="AG778" s="2">
        <v>-0.38636842160242652</v>
      </c>
      <c r="AH778" s="31"/>
      <c r="AI778" s="31">
        <v>1951.50000000255</v>
      </c>
      <c r="AJ778" s="2">
        <v>-0.52086650293320402</v>
      </c>
      <c r="AK778" s="2">
        <v>-1.186702766808877</v>
      </c>
      <c r="AL778" s="2">
        <v>-1.3537596507409599</v>
      </c>
      <c r="AM778" s="31"/>
      <c r="AN778" s="2">
        <f t="shared" si="116"/>
        <v>-0.25409767342008616</v>
      </c>
      <c r="AO778" s="2">
        <f t="shared" si="109"/>
        <v>-0.93627882190258405</v>
      </c>
      <c r="AP778" s="2">
        <f t="shared" si="110"/>
        <v>-0.87006403617169326</v>
      </c>
      <c r="AQ778" s="31"/>
      <c r="AR778" s="31">
        <v>1951.50000000255</v>
      </c>
      <c r="AS778" s="2"/>
      <c r="AT778" s="2"/>
      <c r="AU778" s="2"/>
      <c r="AV778" s="31"/>
      <c r="AW778" s="31">
        <v>1951.50000000255</v>
      </c>
      <c r="AX778" s="2">
        <v>-0.20544471294115954</v>
      </c>
      <c r="AY778" s="2">
        <v>-0.10730219351257217</v>
      </c>
      <c r="AZ778" s="2">
        <v>-0.20480097941231731</v>
      </c>
      <c r="BA778" s="31"/>
      <c r="BB778" s="31">
        <v>1951.50000000255</v>
      </c>
      <c r="BC778" s="2">
        <v>-0.62724526997060592</v>
      </c>
      <c r="BD778" s="2">
        <v>-0.38248368897839508</v>
      </c>
      <c r="BE778" s="2">
        <v>-0.74977698380039437</v>
      </c>
      <c r="BG778" s="2">
        <f t="shared" si="117"/>
        <v>-0.41634499145588272</v>
      </c>
      <c r="BH778" s="2">
        <f t="shared" si="111"/>
        <v>-0.24489294124548361</v>
      </c>
      <c r="BI778" s="2">
        <f t="shared" si="112"/>
        <v>-0.47728898160635586</v>
      </c>
    </row>
    <row r="779" spans="6:61" x14ac:dyDescent="0.3">
      <c r="F779" s="31">
        <v>1951.4166666692199</v>
      </c>
      <c r="G779" s="2">
        <v>0.99655806403400582</v>
      </c>
      <c r="H779" s="2">
        <v>0.18449999999999939</v>
      </c>
      <c r="I779" s="2">
        <v>0.18386496281427347</v>
      </c>
      <c r="K779" s="31">
        <v>1951.4166666692199</v>
      </c>
      <c r="L779" s="2">
        <v>0.94530937870976472</v>
      </c>
      <c r="M779" s="2">
        <v>0.18454499999999985</v>
      </c>
      <c r="N779" s="2">
        <v>0.11171295406079243</v>
      </c>
      <c r="P779" s="31">
        <v>1951.4166666692199</v>
      </c>
      <c r="Q779" s="2">
        <v>0.50758235679337937</v>
      </c>
      <c r="R779" s="2">
        <v>0.21570000000000089</v>
      </c>
      <c r="S779" s="2">
        <v>4.3401332324006836E-2</v>
      </c>
      <c r="U779" s="2">
        <f t="shared" si="113"/>
        <v>0.81648326651238323</v>
      </c>
      <c r="V779" s="2">
        <f t="shared" si="114"/>
        <v>0.19491500000000003</v>
      </c>
      <c r="W779" s="2">
        <f t="shared" si="115"/>
        <v>0.11299308306635758</v>
      </c>
      <c r="Y779" s="31">
        <v>1951.4166666692199</v>
      </c>
      <c r="Z779" s="2">
        <v>1.5242099888979215</v>
      </c>
      <c r="AA779" s="2">
        <v>1.6130881144920433</v>
      </c>
      <c r="AB779" s="2">
        <v>2.501326032132964</v>
      </c>
      <c r="AD779" s="31">
        <v>1951.4166666692199</v>
      </c>
      <c r="AE779" s="2">
        <v>0.80958329402687179</v>
      </c>
      <c r="AF779" s="2">
        <v>2.3268994155331653</v>
      </c>
      <c r="AG779" s="2">
        <v>1.9631096731423876</v>
      </c>
      <c r="AH779" s="31"/>
      <c r="AI779" s="31">
        <v>1951.4166666692199</v>
      </c>
      <c r="AJ779" s="2">
        <v>-0.45132428299218452</v>
      </c>
      <c r="AK779" s="2">
        <v>2.8119762021355155</v>
      </c>
      <c r="AL779" s="2">
        <v>-0.12110828337971981</v>
      </c>
      <c r="AM779" s="31"/>
      <c r="AN779" s="2">
        <f t="shared" si="116"/>
        <v>0.62748966664420291</v>
      </c>
      <c r="AO779" s="2">
        <f t="shared" si="109"/>
        <v>2.2506545773869084</v>
      </c>
      <c r="AP779" s="2">
        <f t="shared" si="110"/>
        <v>1.4477758072985438</v>
      </c>
      <c r="AQ779" s="31"/>
      <c r="AR779" s="31">
        <v>1951.4166666692199</v>
      </c>
      <c r="AS779" s="2">
        <v>0.89552701288064651</v>
      </c>
      <c r="AT779" s="2">
        <v>0.30752807372934005</v>
      </c>
      <c r="AU779" s="2">
        <v>0.78313740861486691</v>
      </c>
      <c r="AV779" s="31"/>
      <c r="AW779" s="31">
        <v>1951.4166666692199</v>
      </c>
      <c r="AX779" s="2">
        <v>0.39147286658577957</v>
      </c>
      <c r="AY779" s="2">
        <v>0.8823658282474357</v>
      </c>
      <c r="AZ779" s="2">
        <v>0.66419616243724688</v>
      </c>
      <c r="BA779" s="31"/>
      <c r="BB779" s="31">
        <v>1951.4166666692199</v>
      </c>
      <c r="BC779" s="2">
        <v>-1.2175677386302053</v>
      </c>
      <c r="BD779" s="2">
        <v>1.338417618525729</v>
      </c>
      <c r="BE779" s="2">
        <v>-1.0910623726420718</v>
      </c>
      <c r="BG779" s="2">
        <f t="shared" si="117"/>
        <v>2.3144046945406949E-2</v>
      </c>
      <c r="BH779" s="2">
        <f t="shared" si="111"/>
        <v>0.84277050683416821</v>
      </c>
      <c r="BI779" s="2">
        <f t="shared" si="112"/>
        <v>0.11875706613668065</v>
      </c>
    </row>
    <row r="780" spans="6:61" x14ac:dyDescent="0.3">
      <c r="F780" s="31">
        <v>1951.3333333358901</v>
      </c>
      <c r="G780" s="2">
        <v>0.81916570874243999</v>
      </c>
      <c r="H780" s="2">
        <v>0.1229999999999996</v>
      </c>
      <c r="I780" s="2">
        <v>0.10075738217531979</v>
      </c>
      <c r="K780" s="31">
        <v>1951.3333333358901</v>
      </c>
      <c r="L780" s="2">
        <v>0.94348426659651707</v>
      </c>
      <c r="M780" s="2">
        <v>0.18454499999999985</v>
      </c>
      <c r="N780" s="2">
        <v>0.1220761640811181</v>
      </c>
      <c r="P780" s="31">
        <v>1951.3333333358901</v>
      </c>
      <c r="Q780" s="2">
        <v>0.46737160968517366</v>
      </c>
      <c r="R780" s="2">
        <v>0.16775000000000076</v>
      </c>
      <c r="S780" s="2">
        <v>3.9106338372352521E-2</v>
      </c>
      <c r="U780" s="2">
        <f t="shared" si="113"/>
        <v>0.74334052834137687</v>
      </c>
      <c r="V780" s="2">
        <f t="shared" si="114"/>
        <v>0.15843166666666672</v>
      </c>
      <c r="W780" s="2">
        <f t="shared" si="115"/>
        <v>8.7313294876263478E-2</v>
      </c>
      <c r="Y780" s="31">
        <v>1951.3333333358901</v>
      </c>
      <c r="Z780" s="2">
        <v>0.49567559688308849</v>
      </c>
      <c r="AA780" s="2">
        <v>0.41216179278103032</v>
      </c>
      <c r="AB780" s="2">
        <v>0.58866830430381178</v>
      </c>
      <c r="AD780" s="31">
        <v>1951.3333333358901</v>
      </c>
      <c r="AE780" s="2">
        <v>0.7987224959265844</v>
      </c>
      <c r="AF780" s="2">
        <v>2.3268994155331653</v>
      </c>
      <c r="AG780" s="2">
        <v>2.3571687696076138</v>
      </c>
      <c r="AH780" s="31"/>
      <c r="AI780" s="31">
        <v>1951.3333333358901</v>
      </c>
      <c r="AJ780" s="2">
        <v>-0.78866382573812865</v>
      </c>
      <c r="AK780" s="2">
        <v>1.6693262822256021</v>
      </c>
      <c r="AL780" s="2">
        <v>-0.46822052283804061</v>
      </c>
      <c r="AM780" s="31"/>
      <c r="AN780" s="2">
        <f t="shared" si="116"/>
        <v>0.16857808902384808</v>
      </c>
      <c r="AO780" s="2">
        <f t="shared" si="109"/>
        <v>1.4694624968465992</v>
      </c>
      <c r="AP780" s="2">
        <f t="shared" si="110"/>
        <v>0.82587218369112836</v>
      </c>
      <c r="AQ780" s="31"/>
      <c r="AR780" s="31">
        <v>1951.3333333358901</v>
      </c>
      <c r="AS780" s="2">
        <v>0.41770102923411101</v>
      </c>
      <c r="AT780" s="2">
        <v>-0.62524988541030391</v>
      </c>
      <c r="AU780" s="2">
        <v>-0.33958691142578112</v>
      </c>
      <c r="AV780" s="31"/>
      <c r="AW780" s="31">
        <v>1951.3333333358901</v>
      </c>
      <c r="AX780" s="2">
        <v>0.60996212428374053</v>
      </c>
      <c r="AY780" s="2">
        <v>1.3960024227501457</v>
      </c>
      <c r="AZ780" s="2">
        <v>1.3313345613603369</v>
      </c>
      <c r="BA780" s="31"/>
      <c r="BB780" s="31">
        <v>1951.3333333358901</v>
      </c>
      <c r="BC780" s="2">
        <v>-1.165657227793206</v>
      </c>
      <c r="BD780" s="2">
        <v>0.93967668087391998</v>
      </c>
      <c r="BE780" s="2">
        <v>-0.94690559275743191</v>
      </c>
      <c r="BG780" s="2">
        <f t="shared" si="117"/>
        <v>-4.5998024758451495E-2</v>
      </c>
      <c r="BH780" s="2">
        <f t="shared" si="111"/>
        <v>0.57014307273792053</v>
      </c>
      <c r="BI780" s="2">
        <f t="shared" si="112"/>
        <v>1.4947352392374621E-2</v>
      </c>
    </row>
    <row r="781" spans="6:61" x14ac:dyDescent="0.3">
      <c r="F781" s="31">
        <v>1951.25000000256</v>
      </c>
      <c r="G781" s="2">
        <v>0.8185456883670521</v>
      </c>
      <c r="H781" s="2">
        <v>0.1229999999999996</v>
      </c>
      <c r="I781" s="2">
        <v>0.10068111966914708</v>
      </c>
      <c r="K781" s="31">
        <v>1951.25000000256</v>
      </c>
      <c r="L781" s="2">
        <v>0.86408141127311389</v>
      </c>
      <c r="M781" s="2">
        <v>0.18454499999999985</v>
      </c>
      <c r="N781" s="2">
        <v>0.11564781427607163</v>
      </c>
      <c r="P781" s="31">
        <v>1951.25000000256</v>
      </c>
      <c r="Q781" s="2">
        <v>0.42416458336645441</v>
      </c>
      <c r="R781" s="2">
        <v>0.16775000000000076</v>
      </c>
      <c r="S781" s="2">
        <v>3.3375881540185247E-2</v>
      </c>
      <c r="U781" s="2">
        <f t="shared" si="113"/>
        <v>0.70226389433554015</v>
      </c>
      <c r="V781" s="2">
        <f t="shared" si="114"/>
        <v>0.15843166666666672</v>
      </c>
      <c r="W781" s="2">
        <f t="shared" si="115"/>
        <v>8.323493849513465E-2</v>
      </c>
      <c r="Y781" s="31">
        <v>1951.25000000256</v>
      </c>
      <c r="Z781" s="2">
        <v>0.49208067150545182</v>
      </c>
      <c r="AA781" s="2">
        <v>0.41216179278103032</v>
      </c>
      <c r="AB781" s="2">
        <v>0.58691318075607524</v>
      </c>
      <c r="AD781" s="31">
        <v>1951.25000000256</v>
      </c>
      <c r="AE781" s="2">
        <v>0.32621542417235916</v>
      </c>
      <c r="AF781" s="2">
        <v>2.3268994155331653</v>
      </c>
      <c r="AG781" s="2">
        <v>2.1127319868954344</v>
      </c>
      <c r="AH781" s="31"/>
      <c r="AI781" s="31">
        <v>1951.25000000256</v>
      </c>
      <c r="AJ781" s="2">
        <v>-1.1683179027450434</v>
      </c>
      <c r="AK781" s="2">
        <v>1.6693262822256021</v>
      </c>
      <c r="AL781" s="2">
        <v>-0.93134380695038865</v>
      </c>
      <c r="AM781" s="31"/>
      <c r="AN781" s="2">
        <f t="shared" si="116"/>
        <v>-0.11667393568907748</v>
      </c>
      <c r="AO781" s="2">
        <f t="shared" si="109"/>
        <v>1.4694624968465992</v>
      </c>
      <c r="AP781" s="2">
        <f t="shared" si="110"/>
        <v>0.58943378690037362</v>
      </c>
      <c r="AQ781" s="31"/>
      <c r="AR781" s="31">
        <v>1951.25000000256</v>
      </c>
      <c r="AS781" s="2">
        <v>0.7836321077568924</v>
      </c>
      <c r="AT781" s="2">
        <v>-0.74536446371894849</v>
      </c>
      <c r="AU781" s="2">
        <v>-0.26153806946955971</v>
      </c>
      <c r="AV781" s="31"/>
      <c r="AW781" s="31">
        <v>1951.25000000256</v>
      </c>
      <c r="AX781" s="2">
        <v>0.38737781481712041</v>
      </c>
      <c r="AY781" s="2">
        <v>1.2492659413941907</v>
      </c>
      <c r="AZ781" s="2">
        <v>0.98834388912150883</v>
      </c>
      <c r="BA781" s="31"/>
      <c r="BB781" s="31">
        <v>1951.25000000256</v>
      </c>
      <c r="BC781" s="2">
        <v>-1.0271662369684396</v>
      </c>
      <c r="BD781" s="2">
        <v>0.57692863282771223</v>
      </c>
      <c r="BE781" s="2">
        <v>-1.1027512490437936</v>
      </c>
      <c r="BG781" s="2">
        <f t="shared" si="117"/>
        <v>4.794789520185775E-2</v>
      </c>
      <c r="BH781" s="2">
        <f t="shared" si="111"/>
        <v>0.36027670350098484</v>
      </c>
      <c r="BI781" s="2">
        <f t="shared" si="112"/>
        <v>-0.12531514313061484</v>
      </c>
    </row>
    <row r="782" spans="6:61" x14ac:dyDescent="0.3">
      <c r="F782" s="31">
        <v>1951.1666666692299</v>
      </c>
      <c r="G782" s="2">
        <v>0.82250812104256665</v>
      </c>
      <c r="H782" s="2">
        <v>0.1229999999999996</v>
      </c>
      <c r="I782" s="2">
        <v>0.10116849888823537</v>
      </c>
      <c r="K782" s="31">
        <v>1951.1666666692299</v>
      </c>
      <c r="L782" s="2">
        <v>0.76702483556292733</v>
      </c>
      <c r="M782" s="2">
        <v>0.18454499999999985</v>
      </c>
      <c r="N782" s="2">
        <v>0.10182590325510937</v>
      </c>
      <c r="P782" s="31">
        <v>1951.1666666692299</v>
      </c>
      <c r="Q782" s="2">
        <v>0.39539179264695823</v>
      </c>
      <c r="R782" s="2">
        <v>0.16775000000000076</v>
      </c>
      <c r="S782" s="2">
        <v>2.7030769166649725E-2</v>
      </c>
      <c r="U782" s="2">
        <f t="shared" si="113"/>
        <v>0.66164158308415078</v>
      </c>
      <c r="V782" s="2">
        <f t="shared" si="114"/>
        <v>0.15843166666666672</v>
      </c>
      <c r="W782" s="2">
        <f t="shared" si="115"/>
        <v>7.6675057103331487E-2</v>
      </c>
      <c r="Y782" s="31">
        <v>1951.1666666692299</v>
      </c>
      <c r="Z782" s="2">
        <v>0.51505515806724023</v>
      </c>
      <c r="AA782" s="2">
        <v>0.41216179278103032</v>
      </c>
      <c r="AB782" s="2">
        <v>0.59812984261297941</v>
      </c>
      <c r="AD782" s="31">
        <v>1951.1666666692299</v>
      </c>
      <c r="AE782" s="2">
        <v>-0.25134464210646357</v>
      </c>
      <c r="AF782" s="2">
        <v>2.3268994155331653</v>
      </c>
      <c r="AG782" s="2">
        <v>1.5871564405482639</v>
      </c>
      <c r="AH782" s="31"/>
      <c r="AI782" s="31">
        <v>1951.1666666692299</v>
      </c>
      <c r="AJ782" s="2">
        <v>-1.6692898024967671</v>
      </c>
      <c r="AK782" s="2">
        <v>1.6693262822256021</v>
      </c>
      <c r="AL782" s="2">
        <v>-1.4441422393543009</v>
      </c>
      <c r="AM782" s="31"/>
      <c r="AN782" s="2">
        <f t="shared" si="116"/>
        <v>-0.46852642884533013</v>
      </c>
      <c r="AO782" s="2">
        <f t="shared" si="109"/>
        <v>1.4694624968465992</v>
      </c>
      <c r="AP782" s="2">
        <f t="shared" si="110"/>
        <v>0.24704801460231415</v>
      </c>
      <c r="AQ782" s="31"/>
      <c r="AR782" s="31">
        <v>1951.1666666692299</v>
      </c>
      <c r="AS782" s="2">
        <v>0.98376619588061298</v>
      </c>
      <c r="AT782" s="2">
        <v>-0.46657286796563435</v>
      </c>
      <c r="AU782" s="2">
        <v>7.7252165889329941E-2</v>
      </c>
      <c r="AV782" s="31"/>
      <c r="AW782" s="31">
        <v>1951.1666666692299</v>
      </c>
      <c r="AX782" s="2">
        <v>-6.6856618075525717E-2</v>
      </c>
      <c r="AY782" s="2">
        <v>1.5377003319559404</v>
      </c>
      <c r="AZ782" s="2">
        <v>1.0888607644602806</v>
      </c>
      <c r="BA782" s="31"/>
      <c r="BB782" s="31">
        <v>1951.1666666692299</v>
      </c>
      <c r="BC782" s="2">
        <v>-1.2022097962464326</v>
      </c>
      <c r="BD782" s="2">
        <v>1.6241321965651629</v>
      </c>
      <c r="BE782" s="2">
        <v>-1.155860815219486</v>
      </c>
      <c r="BG782" s="2">
        <f t="shared" si="117"/>
        <v>-9.5100072813781786E-2</v>
      </c>
      <c r="BH782" s="2">
        <f t="shared" si="111"/>
        <v>0.89841988685182306</v>
      </c>
      <c r="BI782" s="2">
        <f t="shared" si="112"/>
        <v>3.4173717100414954E-3</v>
      </c>
    </row>
    <row r="783" spans="6:61" x14ac:dyDescent="0.3">
      <c r="F783" s="31">
        <v>1951.0833333359001</v>
      </c>
      <c r="G783" s="2">
        <v>0.7870356875903306</v>
      </c>
      <c r="H783" s="2">
        <v>6.1499999999999798E-2</v>
      </c>
      <c r="I783" s="2">
        <v>4.8402694786805173E-2</v>
      </c>
      <c r="K783" s="31">
        <v>1951.0833333359001</v>
      </c>
      <c r="L783" s="2">
        <v>0.70868707384383245</v>
      </c>
      <c r="M783" s="2">
        <v>0.1230299999999999</v>
      </c>
      <c r="N783" s="2">
        <v>6.7410918170306339E-2</v>
      </c>
      <c r="P783" s="31">
        <v>1951.0833333359001</v>
      </c>
      <c r="Q783" s="2">
        <v>0.41456394911600197</v>
      </c>
      <c r="R783" s="2">
        <v>0.14380000000000059</v>
      </c>
      <c r="S783" s="2">
        <v>2.5808285138049305E-2</v>
      </c>
      <c r="U783" s="2">
        <f t="shared" si="113"/>
        <v>0.63676223685005506</v>
      </c>
      <c r="V783" s="2">
        <f t="shared" si="114"/>
        <v>0.10944333333333343</v>
      </c>
      <c r="W783" s="2">
        <f t="shared" si="115"/>
        <v>4.7207299365053607E-2</v>
      </c>
      <c r="Y783" s="31">
        <v>1951.0833333359001</v>
      </c>
      <c r="Z783" s="2">
        <v>0.30938328616433131</v>
      </c>
      <c r="AA783" s="2">
        <v>-0.78876452892998272</v>
      </c>
      <c r="AB783" s="2">
        <v>-0.61623498672986465</v>
      </c>
      <c r="AD783" s="31">
        <v>1951.0833333359001</v>
      </c>
      <c r="AE783" s="2">
        <v>-0.59849846737275414</v>
      </c>
      <c r="AF783" s="2">
        <v>0.82033858713866403</v>
      </c>
      <c r="AG783" s="2">
        <v>0.2785331567604154</v>
      </c>
      <c r="AH783" s="31"/>
      <c r="AI783" s="31">
        <v>1951.0833333359001</v>
      </c>
      <c r="AJ783" s="2">
        <v>-1.7691630417167179</v>
      </c>
      <c r="AK783" s="2">
        <v>1.0985970730109507</v>
      </c>
      <c r="AL783" s="2">
        <v>-1.5429407880009358</v>
      </c>
      <c r="AM783" s="31"/>
      <c r="AN783" s="2">
        <f t="shared" si="116"/>
        <v>-0.68609274097504691</v>
      </c>
      <c r="AO783" s="2">
        <f t="shared" si="109"/>
        <v>0.37672371040654401</v>
      </c>
      <c r="AP783" s="2">
        <f t="shared" si="110"/>
        <v>-0.62688087265679504</v>
      </c>
      <c r="AQ783" s="31"/>
      <c r="AR783" s="31">
        <v>1951.0833333359001</v>
      </c>
      <c r="AS783" s="2">
        <v>1.1968797261088293</v>
      </c>
      <c r="AT783" s="2">
        <v>-0.93050162247170831</v>
      </c>
      <c r="AU783" s="2">
        <v>-0.20307652482340152</v>
      </c>
      <c r="AV783" s="31"/>
      <c r="AW783" s="31">
        <v>1951.0833333359001</v>
      </c>
      <c r="AX783" s="2">
        <v>-0.31438720815725951</v>
      </c>
      <c r="AY783" s="2">
        <v>1.9921056283099188</v>
      </c>
      <c r="AZ783" s="2">
        <v>1.0413203798811714</v>
      </c>
      <c r="BA783" s="31"/>
      <c r="BB783" s="31">
        <v>1951.0833333359001</v>
      </c>
      <c r="BC783" s="2">
        <v>-1.204953519282165</v>
      </c>
      <c r="BD783" s="2">
        <v>1.8733326205750558</v>
      </c>
      <c r="BE783" s="2">
        <v>-1.4185610998719063</v>
      </c>
      <c r="BG783" s="2">
        <f t="shared" si="117"/>
        <v>-0.1074870004435317</v>
      </c>
      <c r="BH783" s="2">
        <f t="shared" si="111"/>
        <v>0.97831220880442205</v>
      </c>
      <c r="BI783" s="2">
        <f t="shared" si="112"/>
        <v>-0.19343908160471213</v>
      </c>
    </row>
    <row r="784" spans="6:61" x14ac:dyDescent="0.3">
      <c r="F784" s="31">
        <v>1951.00000000257</v>
      </c>
      <c r="G784" s="2">
        <v>0.79572272819982737</v>
      </c>
      <c r="H784" s="2">
        <v>6.1499999999999798E-2</v>
      </c>
      <c r="I784" s="2">
        <v>4.8936947784289225E-2</v>
      </c>
      <c r="K784" s="31">
        <v>1951.00000000257</v>
      </c>
      <c r="L784" s="2">
        <v>0.72774820095445725</v>
      </c>
      <c r="M784" s="2">
        <v>6.1514999999999952E-2</v>
      </c>
      <c r="N784" s="2">
        <v>4.4767980418109053E-2</v>
      </c>
      <c r="P784" s="31">
        <v>1951.00000000257</v>
      </c>
      <c r="Q784" s="2">
        <v>0.53685657915017404</v>
      </c>
      <c r="R784" s="2">
        <v>9.5850000000000463E-2</v>
      </c>
      <c r="S784" s="2">
        <v>3.0171812352668019E-2</v>
      </c>
      <c r="U784" s="2">
        <f t="shared" si="113"/>
        <v>0.68677583610148629</v>
      </c>
      <c r="V784" s="2">
        <f t="shared" si="114"/>
        <v>7.2955000000000075E-2</v>
      </c>
      <c r="W784" s="2">
        <f t="shared" si="115"/>
        <v>4.1292246851688766E-2</v>
      </c>
      <c r="Y784" s="31">
        <v>1951.00000000257</v>
      </c>
      <c r="Z784" s="2">
        <v>0.35975140950883111</v>
      </c>
      <c r="AA784" s="2">
        <v>-0.78876452892998272</v>
      </c>
      <c r="AB784" s="2">
        <v>-0.60393956053170617</v>
      </c>
      <c r="AD784" s="31">
        <v>1951.00000000257</v>
      </c>
      <c r="AE784" s="2">
        <v>-0.48507033788429454</v>
      </c>
      <c r="AF784" s="2">
        <v>-0.68622224125583742</v>
      </c>
      <c r="AG784" s="2">
        <v>-0.58246025883658115</v>
      </c>
      <c r="AH784" s="31"/>
      <c r="AI784" s="31">
        <v>1951.00000000257</v>
      </c>
      <c r="AJ784" s="2">
        <v>-1.4413675016460941</v>
      </c>
      <c r="AK784" s="2">
        <v>-4.4052846898962821E-2</v>
      </c>
      <c r="AL784" s="2">
        <v>-1.1902898365787027</v>
      </c>
      <c r="AM784" s="31"/>
      <c r="AN784" s="2">
        <f t="shared" si="116"/>
        <v>-0.52222881000718591</v>
      </c>
      <c r="AO784" s="2">
        <f t="shared" si="109"/>
        <v>-0.50634653902826099</v>
      </c>
      <c r="AP784" s="2">
        <f t="shared" si="110"/>
        <v>-0.7922298853156633</v>
      </c>
      <c r="AQ784" s="31"/>
      <c r="AR784" s="31">
        <v>1951.00000000257</v>
      </c>
      <c r="AS784" s="2">
        <v>0.60861438556404412</v>
      </c>
      <c r="AT784" s="2">
        <v>-0.29853293598826797</v>
      </c>
      <c r="AU784" s="2">
        <v>0.30036451854939372</v>
      </c>
      <c r="AV784" s="31"/>
      <c r="AW784" s="31">
        <v>1951.00000000257</v>
      </c>
      <c r="AX784" s="2">
        <v>-0.12953828653255167</v>
      </c>
      <c r="AY784" s="2">
        <v>-0.21981065223360952</v>
      </c>
      <c r="AZ784" s="2">
        <v>-0.19107629052551622</v>
      </c>
      <c r="BA784" s="31"/>
      <c r="BB784" s="31">
        <v>1951.00000000257</v>
      </c>
      <c r="BC784" s="2">
        <v>-0.73920309409344198</v>
      </c>
      <c r="BD784" s="2">
        <v>0.75540652012817533</v>
      </c>
      <c r="BE784" s="2">
        <v>-0.53446903760337194</v>
      </c>
      <c r="BG784" s="2">
        <f t="shared" si="117"/>
        <v>-8.6708998353983158E-2</v>
      </c>
      <c r="BH784" s="2">
        <f t="shared" si="111"/>
        <v>7.9020977302099282E-2</v>
      </c>
      <c r="BI784" s="2">
        <f t="shared" si="112"/>
        <v>-0.14172693652649815</v>
      </c>
    </row>
    <row r="785" spans="11:57" x14ac:dyDescent="0.3">
      <c r="K785" s="31">
        <v>1950.9166666692399</v>
      </c>
      <c r="L785">
        <v>0.75197530992658024</v>
      </c>
      <c r="M785">
        <v>9.2279999999999945E-2</v>
      </c>
      <c r="N785">
        <v>6.9834385354241427E-2</v>
      </c>
      <c r="P785" s="31">
        <v>1950.9166666692399</v>
      </c>
      <c r="Q785">
        <v>0.47830592604903222</v>
      </c>
      <c r="R785">
        <v>9.5900000000000304E-2</v>
      </c>
      <c r="S785">
        <v>4.5869538308102337E-2</v>
      </c>
      <c r="Z785" s="2"/>
      <c r="AA785" s="2"/>
      <c r="AB785" s="2"/>
      <c r="AD785" s="31">
        <v>1950.9166666692399</v>
      </c>
      <c r="AE785">
        <v>-0.34090070732298244</v>
      </c>
      <c r="AF785">
        <v>6.7241855071186282E-2</v>
      </c>
      <c r="AG785">
        <v>0.37068503701195304</v>
      </c>
      <c r="AI785">
        <v>1950.9166666692399</v>
      </c>
      <c r="AJ785">
        <v>-1.2339184224017423</v>
      </c>
      <c r="AK785">
        <v>-4.286134541835146E-2</v>
      </c>
      <c r="AL785">
        <v>7.836685354191035E-2</v>
      </c>
      <c r="AS785" s="2"/>
      <c r="AT785" s="2"/>
      <c r="AU785" s="2"/>
      <c r="AW785" s="31">
        <v>1950.9166666692399</v>
      </c>
      <c r="AX785" s="2">
        <v>-0.10322770407695367</v>
      </c>
      <c r="AY785" s="2">
        <v>1.0572927878366174</v>
      </c>
      <c r="AZ785" s="2">
        <v>1.7477585905796982</v>
      </c>
      <c r="BB785" s="31">
        <v>1950.9166666692399</v>
      </c>
      <c r="BC785" s="2">
        <v>-1.0213367079594504</v>
      </c>
      <c r="BD785" s="2">
        <v>0.89015012225170687</v>
      </c>
      <c r="BE785" s="2">
        <v>0.45635298091181381</v>
      </c>
    </row>
    <row r="786" spans="11:57" x14ac:dyDescent="0.3">
      <c r="K786" s="31">
        <v>1950.8333333359101</v>
      </c>
      <c r="L786">
        <v>0.78578726997854487</v>
      </c>
      <c r="M786">
        <v>6.1514999999999952E-2</v>
      </c>
      <c r="N786">
        <v>4.8337681778896802E-2</v>
      </c>
      <c r="P786" s="31">
        <v>1950.8333333359101</v>
      </c>
      <c r="Q786">
        <v>0.59793923819918215</v>
      </c>
      <c r="R786">
        <v>9.5900000000000304E-2</v>
      </c>
      <c r="S786">
        <v>5.7342372943301752E-2</v>
      </c>
      <c r="Z786" s="2"/>
      <c r="AA786" s="2"/>
      <c r="AB786" s="2"/>
      <c r="AD786" s="31">
        <v>1950.8333333359101</v>
      </c>
      <c r="AE786">
        <v>-0.13969396016818875</v>
      </c>
      <c r="AF786">
        <v>-0.68622224125583742</v>
      </c>
      <c r="AG786">
        <v>-0.44672304130226909</v>
      </c>
      <c r="AI786">
        <v>1950.8333333359101</v>
      </c>
      <c r="AJ786">
        <v>-0.45387033820066458</v>
      </c>
      <c r="AK786">
        <v>-4.286134541835146E-2</v>
      </c>
      <c r="AL786">
        <v>1.0055768491753523</v>
      </c>
      <c r="AS786" s="2"/>
      <c r="AT786" s="2"/>
      <c r="AU786" s="2"/>
      <c r="AW786" s="31">
        <v>1950.8333333359101</v>
      </c>
      <c r="AX786" s="2">
        <v>5.253360506238855E-2</v>
      </c>
      <c r="AY786" s="2">
        <v>-0.19138401234735175</v>
      </c>
      <c r="AZ786" s="2">
        <v>6.0800478470836731E-3</v>
      </c>
      <c r="BB786" s="31">
        <v>1950.8333333359101</v>
      </c>
      <c r="BC786" s="2">
        <v>-0.22256353412024227</v>
      </c>
      <c r="BD786" s="2">
        <v>0.77845189601601561</v>
      </c>
      <c r="BE786" s="2">
        <v>0.90290314808051564</v>
      </c>
    </row>
    <row r="787" spans="11:57" x14ac:dyDescent="0.3">
      <c r="K787" s="31">
        <v>1950.75000000258</v>
      </c>
      <c r="L787">
        <v>0.83394738800793977</v>
      </c>
      <c r="M787">
        <v>9.2279999999999945E-2</v>
      </c>
      <c r="N787">
        <v>7.7037456778178109E-2</v>
      </c>
      <c r="P787" s="31">
        <v>1950.75000000258</v>
      </c>
      <c r="Q787">
        <v>0.68558747395819686</v>
      </c>
      <c r="R787">
        <v>0.19180000000000061</v>
      </c>
      <c r="S787">
        <v>6.5747838752591284E-2</v>
      </c>
      <c r="Z787" s="2"/>
      <c r="AA787" s="2"/>
      <c r="AB787" s="2"/>
      <c r="AD787" s="31">
        <v>1950.75000000258</v>
      </c>
      <c r="AE787">
        <v>0.14689518392144649</v>
      </c>
      <c r="AF787">
        <v>6.7241855071186282E-2</v>
      </c>
      <c r="AG787">
        <v>0.64458046241816125</v>
      </c>
      <c r="AI787">
        <v>1950.75000000258</v>
      </c>
      <c r="AJ787">
        <v>0.1176246505998953</v>
      </c>
      <c r="AK787">
        <v>2.2424384944014766</v>
      </c>
      <c r="AL787">
        <v>1.6848886464897677</v>
      </c>
      <c r="AS787" s="2"/>
      <c r="AT787" s="2"/>
      <c r="AU787" s="2"/>
      <c r="AW787" s="31">
        <v>1950.75000000258</v>
      </c>
      <c r="AX787" s="2">
        <v>0.23210221981779186</v>
      </c>
      <c r="AY787" s="2">
        <v>0.96310780514635363</v>
      </c>
      <c r="AZ787" s="2">
        <v>1.7910110422428656</v>
      </c>
      <c r="BB787" s="31">
        <v>1950.75000000258</v>
      </c>
      <c r="BC787" s="2">
        <v>6.6935800951693561E-2</v>
      </c>
      <c r="BD787" s="2">
        <v>4.2200616005871039</v>
      </c>
      <c r="BE787" s="2">
        <v>1.3686907816984044</v>
      </c>
    </row>
    <row r="788" spans="11:57" x14ac:dyDescent="0.3">
      <c r="K788" s="31">
        <v>1950.6666666692499</v>
      </c>
      <c r="L788">
        <v>0.87139175231715282</v>
      </c>
      <c r="M788">
        <v>6.1514999999999952E-2</v>
      </c>
      <c r="N788">
        <v>5.3603969446481617E-2</v>
      </c>
      <c r="P788" s="31">
        <v>1950.6666666692499</v>
      </c>
      <c r="Q788">
        <v>0.6991899661447738</v>
      </c>
      <c r="R788">
        <v>9.5900000000000304E-2</v>
      </c>
      <c r="S788">
        <v>6.7052317753284019E-2</v>
      </c>
      <c r="Z788" s="2"/>
      <c r="AA788" s="2"/>
      <c r="AB788" s="2"/>
      <c r="AD788" s="31">
        <v>1950.6666666692499</v>
      </c>
      <c r="AE788">
        <v>0.36971748497577561</v>
      </c>
      <c r="AF788">
        <v>-0.68622224125583742</v>
      </c>
      <c r="AG788">
        <v>-0.2464734510745088</v>
      </c>
      <c r="AI788">
        <v>1950.6666666692499</v>
      </c>
      <c r="AJ788">
        <v>0.20631732139364775</v>
      </c>
      <c r="AK788">
        <v>-4.286134541835146E-2</v>
      </c>
      <c r="AL788">
        <v>1.7903138536853218</v>
      </c>
      <c r="AS788" s="2"/>
      <c r="AT788" s="2"/>
      <c r="AU788" s="2"/>
      <c r="AW788" s="31">
        <v>1950.6666666692499</v>
      </c>
      <c r="AX788" s="2">
        <v>0.14555397932935929</v>
      </c>
      <c r="AY788" s="2">
        <v>-0.23837245449551037</v>
      </c>
      <c r="AZ788" s="2">
        <v>0.12986990426187484</v>
      </c>
      <c r="BB788" s="31">
        <v>1950.6666666692499</v>
      </c>
      <c r="BC788" s="2">
        <v>-8.3940766245836129E-2</v>
      </c>
      <c r="BD788" s="2">
        <v>1.0305292458509261</v>
      </c>
      <c r="BE788" s="2">
        <v>1.8580448083421408</v>
      </c>
    </row>
    <row r="789" spans="11:57" x14ac:dyDescent="0.3">
      <c r="K789" s="31">
        <v>1950.5833333359201</v>
      </c>
      <c r="L789">
        <v>0.91546354977371769</v>
      </c>
      <c r="M789">
        <v>9.2279999999999945E-2</v>
      </c>
      <c r="N789">
        <v>8.5838978243866215E-2</v>
      </c>
      <c r="P789" s="31">
        <v>1950.5833333359201</v>
      </c>
      <c r="Q789">
        <v>0.71512389477770844</v>
      </c>
      <c r="R789">
        <v>9.5900000000000304E-2</v>
      </c>
      <c r="S789">
        <v>6.8580381509182456E-2</v>
      </c>
      <c r="Z789" s="2"/>
      <c r="AA789" s="2"/>
      <c r="AB789" s="2"/>
      <c r="AD789" s="31">
        <v>1950.5833333359201</v>
      </c>
      <c r="AE789">
        <v>0.63197802810524972</v>
      </c>
      <c r="AF789">
        <v>6.7241855071186282E-2</v>
      </c>
      <c r="AG789">
        <v>0.97925664764318598</v>
      </c>
      <c r="AI789">
        <v>1950.5833333359201</v>
      </c>
      <c r="AJ789">
        <v>0.31021171569343631</v>
      </c>
      <c r="AK789">
        <v>-4.286134541835146E-2</v>
      </c>
      <c r="AL789">
        <v>1.9138087033441205</v>
      </c>
      <c r="AS789" s="2"/>
      <c r="AT789" s="2"/>
      <c r="AU789" s="2"/>
      <c r="AW789" s="31">
        <v>1950.5833333359201</v>
      </c>
      <c r="AX789" s="2">
        <v>0.46512946320764448</v>
      </c>
      <c r="AY789" s="2">
        <v>1.4464725573415451</v>
      </c>
      <c r="AZ789" s="2">
        <v>3.076931128601283</v>
      </c>
      <c r="BB789" s="31">
        <v>1950.5833333359201</v>
      </c>
      <c r="BC789" s="2">
        <v>-0.25543362314759815</v>
      </c>
      <c r="BD789" s="2">
        <v>0.77710760691839276</v>
      </c>
      <c r="BE789" s="2">
        <v>1.057081123215118</v>
      </c>
    </row>
    <row r="790" spans="11:57" x14ac:dyDescent="0.3">
      <c r="K790" s="31">
        <v>1950.50000000259</v>
      </c>
      <c r="L790">
        <v>0.96408556824605196</v>
      </c>
      <c r="M790">
        <v>6.1514999999999952E-2</v>
      </c>
      <c r="N790">
        <v>5.9306814124713877E-2</v>
      </c>
      <c r="P790" s="31">
        <v>1950.50000000259</v>
      </c>
      <c r="Q790">
        <v>0.73773408439769528</v>
      </c>
      <c r="R790">
        <v>9.5900000000000304E-2</v>
      </c>
      <c r="S790">
        <v>7.0748698693739204E-2</v>
      </c>
      <c r="Z790" s="2"/>
      <c r="AA790" s="2"/>
      <c r="AB790" s="2"/>
      <c r="AD790" s="31">
        <v>1950.50000000259</v>
      </c>
      <c r="AE790">
        <v>0.9213158293413608</v>
      </c>
      <c r="AF790">
        <v>-0.68622224125583742</v>
      </c>
      <c r="AG790">
        <v>-2.9623863275157609E-2</v>
      </c>
      <c r="AI790">
        <v>1950.50000000259</v>
      </c>
      <c r="AJ790">
        <v>0.45763750186876057</v>
      </c>
      <c r="AK790">
        <v>-4.286134541835146E-2</v>
      </c>
      <c r="AL790">
        <v>2.0890474678824393</v>
      </c>
      <c r="AS790" s="2"/>
      <c r="AT790" s="2"/>
      <c r="AU790" s="2"/>
      <c r="AW790" s="31">
        <v>1950.50000000259</v>
      </c>
      <c r="AX790" s="2">
        <v>0.15517865864469177</v>
      </c>
      <c r="AY790" s="2">
        <v>-0.10780241638246968</v>
      </c>
      <c r="AZ790" s="2">
        <v>0.1554543712865086</v>
      </c>
      <c r="BB790" s="31">
        <v>1950.50000000259</v>
      </c>
      <c r="BC790" s="2">
        <v>-0.18422903784465031</v>
      </c>
      <c r="BD790" s="2">
        <v>1.2407351028491733</v>
      </c>
      <c r="BE790" s="2">
        <v>1.4336572093488207</v>
      </c>
    </row>
    <row r="791" spans="11:57" x14ac:dyDescent="0.3">
      <c r="K791" s="31">
        <v>1950.4166666692599</v>
      </c>
      <c r="L791">
        <v>0.9968709253178023</v>
      </c>
      <c r="M791">
        <v>0.1230299999999999</v>
      </c>
      <c r="N791">
        <v>9.4852670036782397E-2</v>
      </c>
      <c r="P791" s="31">
        <v>1950.4166666692599</v>
      </c>
      <c r="Q791">
        <v>0.74161518256133996</v>
      </c>
      <c r="R791">
        <v>0.19180000000000061</v>
      </c>
      <c r="S791">
        <v>7.1120896007632731E-2</v>
      </c>
      <c r="Z791" s="2"/>
      <c r="AA791" s="2"/>
      <c r="AB791" s="2"/>
      <c r="AD791" s="31">
        <v>1950.4166666692599</v>
      </c>
      <c r="AE791">
        <v>1.1164135119535821</v>
      </c>
      <c r="AF791">
        <v>0.82033858713866403</v>
      </c>
      <c r="AG791">
        <v>1.3220005693398489</v>
      </c>
      <c r="AI791">
        <v>1950.4166666692599</v>
      </c>
      <c r="AJ791">
        <v>0.48294352351720959</v>
      </c>
      <c r="AK791">
        <v>2.2424384944014766</v>
      </c>
      <c r="AL791">
        <v>2.1191276599851991</v>
      </c>
      <c r="AS791" s="2"/>
      <c r="AT791" s="2"/>
      <c r="AU791" s="2"/>
      <c r="AW791" s="31">
        <v>1950.4166666692599</v>
      </c>
      <c r="AX791" s="2">
        <v>0.69933268946538041</v>
      </c>
      <c r="AY791" s="2">
        <v>-0.38552664826294392</v>
      </c>
      <c r="AZ791" s="2">
        <v>0.19680385922186458</v>
      </c>
      <c r="BB791" s="31">
        <v>1950.4166666692599</v>
      </c>
      <c r="BC791" s="2">
        <v>-0.24133066518033641</v>
      </c>
      <c r="BD791" s="2">
        <v>0.77751219962736318</v>
      </c>
      <c r="BE791" s="2">
        <v>1.3363804263381864</v>
      </c>
    </row>
    <row r="792" spans="11:57" x14ac:dyDescent="0.3">
      <c r="K792" s="31">
        <v>1950.3333333359301</v>
      </c>
      <c r="L792">
        <v>0.95843176723504997</v>
      </c>
      <c r="M792">
        <v>9.2264999999999903E-2</v>
      </c>
      <c r="N792">
        <v>5.8958875709651262E-2</v>
      </c>
      <c r="P792" s="31">
        <v>1950.3333333359301</v>
      </c>
      <c r="Q792">
        <v>0.67188980511714791</v>
      </c>
      <c r="R792">
        <v>0.19180000000000061</v>
      </c>
      <c r="S792">
        <v>6.4434232310734696E-2</v>
      </c>
      <c r="Z792" s="2"/>
      <c r="AA792" s="2"/>
      <c r="AB792" s="2"/>
      <c r="AD792" s="31">
        <v>1950.3333333359301</v>
      </c>
      <c r="AE792">
        <v>0.88767143520579828</v>
      </c>
      <c r="AF792">
        <v>6.6874490811640125E-2</v>
      </c>
      <c r="AG792">
        <v>-4.2854155549096128E-2</v>
      </c>
      <c r="AI792">
        <v>1950.3333333359301</v>
      </c>
      <c r="AJ792">
        <v>2.8311397080084268E-2</v>
      </c>
      <c r="AK792">
        <v>2.2424384944014766</v>
      </c>
      <c r="AL792">
        <v>1.5787257789904805</v>
      </c>
      <c r="AS792" s="2"/>
      <c r="AT792" s="2"/>
      <c r="AU792" s="2"/>
      <c r="AW792" s="31">
        <v>1950.3333333359301</v>
      </c>
      <c r="AX792" s="2">
        <v>0.6945082348779682</v>
      </c>
      <c r="AY792" s="2">
        <v>-0.6035549277918324</v>
      </c>
      <c r="AZ792" s="2">
        <v>-0.39295271352874944</v>
      </c>
      <c r="BB792" s="31">
        <v>1950.3333333359301</v>
      </c>
      <c r="BC792" s="2">
        <v>-0.23579603307592084</v>
      </c>
      <c r="BD792" s="2">
        <v>1.5002933937908576</v>
      </c>
      <c r="BE792" s="2">
        <v>1.3399338919764012</v>
      </c>
    </row>
    <row r="793" spans="11:57" x14ac:dyDescent="0.3">
      <c r="K793" s="31">
        <v>1950.2500000026</v>
      </c>
      <c r="L793">
        <v>0.91402290009646814</v>
      </c>
      <c r="M793">
        <v>9.2264999999999903E-2</v>
      </c>
      <c r="N793">
        <v>5.6226793104468917E-2</v>
      </c>
      <c r="P793" s="31">
        <v>1950.2500000026</v>
      </c>
      <c r="Q793">
        <v>0.55261417413256919</v>
      </c>
      <c r="R793">
        <v>0.19180000000000061</v>
      </c>
      <c r="S793">
        <v>5.2995699299313553E-2</v>
      </c>
      <c r="Z793" s="2"/>
      <c r="AA793" s="2"/>
      <c r="AB793" s="2"/>
      <c r="AD793" s="31">
        <v>1950.2500000026</v>
      </c>
      <c r="AE793">
        <v>0.62340507241431986</v>
      </c>
      <c r="AF793">
        <v>6.6874490811640125E-2</v>
      </c>
      <c r="AG793">
        <v>-0.14674107868921821</v>
      </c>
      <c r="AI793">
        <v>1950.2500000026</v>
      </c>
      <c r="AJ793">
        <v>-0.7494044896507065</v>
      </c>
      <c r="AK793">
        <v>2.2424384944014766</v>
      </c>
      <c r="AL793">
        <v>0.65428796734163941</v>
      </c>
      <c r="AS793" s="2"/>
      <c r="AT793" s="2"/>
      <c r="AU793" s="2"/>
      <c r="AW793" s="31">
        <v>1950.2500000026</v>
      </c>
      <c r="AX793" s="2">
        <v>0.68939387743133329</v>
      </c>
      <c r="AY793" s="2">
        <v>-0.8205967459488962</v>
      </c>
      <c r="AZ793" s="2">
        <v>-0.56393952196286012</v>
      </c>
      <c r="BB793" s="31">
        <v>1950.2500000026</v>
      </c>
      <c r="BC793" s="2">
        <v>-0.5520644444897792</v>
      </c>
      <c r="BD793" s="2">
        <v>1.1227379181343142</v>
      </c>
      <c r="BE793" s="2">
        <v>0.80064591229972515</v>
      </c>
    </row>
    <row r="794" spans="11:57" x14ac:dyDescent="0.3">
      <c r="K794" s="31">
        <v>1950.1666666692699</v>
      </c>
      <c r="L794">
        <v>0.85765832060307723</v>
      </c>
      <c r="M794">
        <v>9.2264999999999903E-2</v>
      </c>
      <c r="N794">
        <v>5.2759487627430726E-2</v>
      </c>
      <c r="P794" s="31">
        <v>1950.1666666692699</v>
      </c>
      <c r="Q794">
        <v>0.51017020589636619</v>
      </c>
      <c r="R794">
        <v>9.5900000000000304E-2</v>
      </c>
      <c r="S794">
        <v>4.8925322745461672E-2</v>
      </c>
      <c r="Z794" s="2"/>
      <c r="AA794" s="2"/>
      <c r="AB794" s="2"/>
      <c r="AD794" s="31">
        <v>1950.1666666692699</v>
      </c>
      <c r="AE794">
        <v>0.28799317445917555</v>
      </c>
      <c r="AF794">
        <v>6.6874490811640125E-2</v>
      </c>
      <c r="AG794">
        <v>-0.27858471215517988</v>
      </c>
      <c r="AI794">
        <v>1950.1666666692699</v>
      </c>
      <c r="AJ794">
        <v>-1.0261529597339203</v>
      </c>
      <c r="AK794">
        <v>-4.286134541835146E-2</v>
      </c>
      <c r="AL794">
        <v>0.32532882631608173</v>
      </c>
      <c r="AS794" s="2"/>
      <c r="AT794" s="2"/>
      <c r="AU794" s="2"/>
      <c r="AW794" s="31">
        <v>1950.1666666692699</v>
      </c>
      <c r="AX794" s="2">
        <v>0.46179326282296923</v>
      </c>
      <c r="AY794" s="2">
        <v>-0.48231704140909132</v>
      </c>
      <c r="AZ794" s="2">
        <v>-0.3860645231977281</v>
      </c>
      <c r="BB794" s="31">
        <v>1950.1666666692699</v>
      </c>
      <c r="BC794" s="2">
        <v>-0.49409397522383236</v>
      </c>
      <c r="BD794" s="2">
        <v>-0.34709896960198849</v>
      </c>
      <c r="BE794" s="2">
        <v>0.87002301489459866</v>
      </c>
    </row>
    <row r="795" spans="11:57" x14ac:dyDescent="0.3">
      <c r="K795" s="31">
        <v>1950.0833333359501</v>
      </c>
      <c r="L795">
        <v>0.82584467495149438</v>
      </c>
      <c r="M795">
        <v>9.2264999999999903E-2</v>
      </c>
      <c r="N795">
        <v>5.0802409538239002E-2</v>
      </c>
      <c r="P795" s="31">
        <v>1950.0833333359501</v>
      </c>
      <c r="Q795">
        <v>0.46091490389584222</v>
      </c>
      <c r="R795">
        <v>0.19180000000000061</v>
      </c>
      <c r="S795">
        <v>4.4201739283611409E-2</v>
      </c>
      <c r="Z795" s="2"/>
      <c r="AA795" s="2"/>
      <c r="AB795" s="2"/>
      <c r="AD795" s="31">
        <v>1950.0833333359401</v>
      </c>
      <c r="AE795">
        <v>9.8677910071883784E-2</v>
      </c>
      <c r="AF795">
        <v>6.6874490811640125E-2</v>
      </c>
      <c r="AG795">
        <v>-0.35300223549265891</v>
      </c>
      <c r="AI795">
        <v>1950.0833333359401</v>
      </c>
      <c r="AJ795">
        <v>-1.3473135401083229</v>
      </c>
      <c r="AK795">
        <v>2.2424384944014766</v>
      </c>
      <c r="AL795">
        <v>-5.6421102127844909E-2</v>
      </c>
      <c r="AS795" s="2"/>
      <c r="AT795" s="2"/>
      <c r="AU795" s="2"/>
      <c r="AW795" s="31">
        <v>1950.0833333359401</v>
      </c>
      <c r="AX795" s="2">
        <v>0.43066544954106106</v>
      </c>
      <c r="AY795" s="2">
        <v>0.56051139147476758</v>
      </c>
      <c r="AZ795" s="2">
        <v>-0.19124617234353866</v>
      </c>
      <c r="BB795" s="31">
        <v>1950.0833333359401</v>
      </c>
      <c r="BC795" s="2">
        <v>-0.73802287387093246</v>
      </c>
      <c r="BD795" s="2">
        <v>3.7632497411348158</v>
      </c>
      <c r="BE795" s="2">
        <v>0.37372544669337288</v>
      </c>
    </row>
    <row r="796" spans="11:57" x14ac:dyDescent="0.3">
      <c r="K796" s="31">
        <v>1950.00000000262</v>
      </c>
      <c r="L796">
        <v>0.82319510259506334</v>
      </c>
      <c r="M796">
        <v>6.1514999999999952E-2</v>
      </c>
      <c r="N796">
        <v>5.0639238104657286E-2</v>
      </c>
      <c r="P796" s="31">
        <v>1950.00000000262</v>
      </c>
      <c r="Q796">
        <v>0.37111586928226709</v>
      </c>
      <c r="R796">
        <v>0.19180000000000061</v>
      </c>
      <c r="S796">
        <v>3.5590011864169525E-2</v>
      </c>
      <c r="Z796" s="2"/>
      <c r="AA796" s="2"/>
      <c r="AB796" s="2"/>
      <c r="AD796" s="31">
        <v>1950.00000000261</v>
      </c>
      <c r="AE796">
        <v>8.2910949671793799E-2</v>
      </c>
      <c r="AF796">
        <v>-0.68622224125583742</v>
      </c>
      <c r="AG796">
        <v>-0.35920679832213304</v>
      </c>
      <c r="AI796">
        <v>1950.00000000261</v>
      </c>
      <c r="AJ796">
        <v>-1.932832436596869</v>
      </c>
      <c r="AK796">
        <v>2.2424384944014766</v>
      </c>
      <c r="AL796">
        <v>-0.75240252231488058</v>
      </c>
      <c r="AS796" s="2"/>
      <c r="AT796" s="2"/>
      <c r="AU796" s="2"/>
      <c r="AW796" s="31">
        <v>1950.00000000261</v>
      </c>
      <c r="AX796" s="2">
        <v>0.30226389760977729</v>
      </c>
      <c r="AY796" s="2">
        <v>-0.21981065223360952</v>
      </c>
      <c r="AZ796" s="2">
        <v>0.22382222740987875</v>
      </c>
      <c r="BB796" s="31">
        <v>1950.00000000261</v>
      </c>
      <c r="BC796" s="2">
        <v>-1.1521343189794622</v>
      </c>
      <c r="BD796" s="2">
        <v>4.1580288026891186</v>
      </c>
      <c r="BE796" s="2">
        <v>-0.11233141900258094</v>
      </c>
    </row>
    <row r="797" spans="11:57" x14ac:dyDescent="0.3">
      <c r="K797" s="31">
        <v>1949.91666666929</v>
      </c>
      <c r="L797">
        <v>0.82359151640511508</v>
      </c>
      <c r="M797">
        <v>9.2264999999999903E-2</v>
      </c>
      <c r="N797">
        <v>5.0663395018534493E-2</v>
      </c>
      <c r="Z797" s="2"/>
      <c r="AA797" s="2"/>
      <c r="AB797" s="2"/>
      <c r="AD797" s="31">
        <v>1949.9166666692799</v>
      </c>
      <c r="AE797">
        <v>8.5269911800140236E-2</v>
      </c>
      <c r="AF797">
        <v>6.6874490811640125E-2</v>
      </c>
      <c r="AG797">
        <v>-0.35828823625138756</v>
      </c>
      <c r="AS797" s="2"/>
      <c r="AT797" s="2"/>
      <c r="AU797" s="2"/>
      <c r="AW797" s="31">
        <v>1949.9166666692799</v>
      </c>
      <c r="AX797" s="2">
        <v>0.2859257703146445</v>
      </c>
      <c r="AY797" s="2">
        <v>1.05652496446128</v>
      </c>
      <c r="AZ797" s="2">
        <v>0.14662749695886682</v>
      </c>
      <c r="BC797" s="2"/>
      <c r="BD797" s="2"/>
      <c r="BE797" s="2"/>
    </row>
    <row r="798" spans="11:57" x14ac:dyDescent="0.3">
      <c r="K798" s="31">
        <v>1949.8333333359601</v>
      </c>
      <c r="L798">
        <v>0.88038753723679852</v>
      </c>
      <c r="M798">
        <v>6.1499999999999902E-2</v>
      </c>
      <c r="N798">
        <v>5.4143833540063024E-2</v>
      </c>
      <c r="Z798" s="2"/>
      <c r="AA798" s="2"/>
      <c r="AB798" s="2"/>
      <c r="AD798" s="31">
        <v>1949.8333333359501</v>
      </c>
      <c r="AE798">
        <v>0.4232492121813059</v>
      </c>
      <c r="AF798">
        <v>-0.68658960551538373</v>
      </c>
      <c r="AG798">
        <v>-0.22594522125831693</v>
      </c>
      <c r="AS798" s="2"/>
      <c r="AT798" s="2"/>
      <c r="AU798" s="2"/>
      <c r="AW798" s="31">
        <v>1949.8333333359501</v>
      </c>
      <c r="AX798" s="2">
        <v>0.42129445508279317</v>
      </c>
      <c r="AY798" s="2">
        <v>-0.19208961378086201</v>
      </c>
      <c r="AZ798" s="2">
        <v>0.35831040901100253</v>
      </c>
      <c r="BC798" s="2"/>
      <c r="BD798" s="2"/>
      <c r="BE798" s="2"/>
    </row>
    <row r="799" spans="11:57" x14ac:dyDescent="0.3">
      <c r="K799" s="31">
        <v>1949.75000000263</v>
      </c>
      <c r="L799">
        <v>0.89852658841715916</v>
      </c>
      <c r="M799">
        <v>9.2264999999999903E-2</v>
      </c>
      <c r="N799">
        <v>5.5271688640177716E-2</v>
      </c>
      <c r="Z799" s="2"/>
      <c r="AA799" s="2"/>
      <c r="AB799" s="2"/>
      <c r="AD799" s="31">
        <v>1949.75000000262</v>
      </c>
      <c r="AE799">
        <v>0.53119029216796043</v>
      </c>
      <c r="AF799">
        <v>6.6874490811640125E-2</v>
      </c>
      <c r="AG799">
        <v>-0.18305874488437526</v>
      </c>
      <c r="AS799" s="2"/>
      <c r="AT799" s="2"/>
      <c r="AU799" s="2"/>
      <c r="AW799" s="31">
        <v>1949.75000000262</v>
      </c>
      <c r="AX799" s="2">
        <v>0.66833626686847547</v>
      </c>
      <c r="AY799" s="2">
        <v>0.96231815385189867</v>
      </c>
      <c r="AZ799" s="2">
        <v>8.4260266945588955E-2</v>
      </c>
      <c r="BC799" s="2"/>
      <c r="BD799" s="2"/>
      <c r="BE799" s="2"/>
    </row>
    <row r="800" spans="11:57" x14ac:dyDescent="0.3">
      <c r="K800" s="31">
        <v>1949.6666666693</v>
      </c>
      <c r="L800">
        <v>0.94413662012225441</v>
      </c>
      <c r="M800">
        <v>6.1514999999999952E-2</v>
      </c>
      <c r="N800">
        <v>5.8076518641829854E-2</v>
      </c>
      <c r="Z800" s="2"/>
      <c r="AA800" s="2"/>
      <c r="AB800" s="2"/>
      <c r="AD800" s="31">
        <v>1949.66666666929</v>
      </c>
      <c r="AE800">
        <v>0.80260449302781267</v>
      </c>
      <c r="AF800">
        <v>-0.68622224125583742</v>
      </c>
      <c r="AG800">
        <v>-7.6405615784240891E-2</v>
      </c>
      <c r="AS800" s="2"/>
      <c r="AT800" s="2"/>
      <c r="AU800" s="2"/>
      <c r="AW800" s="31">
        <v>1949.66666666929</v>
      </c>
      <c r="AX800" s="2">
        <v>0.41354267984607962</v>
      </c>
      <c r="AY800" s="2">
        <v>-0.23837245449551037</v>
      </c>
      <c r="AZ800" s="2">
        <v>0.39795876531480839</v>
      </c>
      <c r="BC800" s="2"/>
      <c r="BD800" s="2"/>
      <c r="BE800" s="2"/>
    </row>
    <row r="801" spans="11:57" x14ac:dyDescent="0.3">
      <c r="K801" s="31">
        <v>1949.5833333359701</v>
      </c>
      <c r="L801">
        <v>0.99137807753128704</v>
      </c>
      <c r="M801">
        <v>9.2264999999999903E-2</v>
      </c>
      <c r="N801">
        <v>6.0981715229508425E-2</v>
      </c>
      <c r="Z801" s="2"/>
      <c r="AA801" s="2"/>
      <c r="AB801" s="2"/>
      <c r="AD801" s="31">
        <v>1949.5833333359601</v>
      </c>
      <c r="AE801">
        <v>1.083726911293857</v>
      </c>
      <c r="AF801">
        <v>6.6874490811640125E-2</v>
      </c>
      <c r="AG801">
        <v>3.4063933723016811E-2</v>
      </c>
      <c r="AS801" s="2"/>
      <c r="AT801" s="2"/>
      <c r="AU801" s="2"/>
      <c r="AW801" s="31">
        <v>1949.5833333359601</v>
      </c>
      <c r="AX801" s="2">
        <v>0.97014320990018899</v>
      </c>
      <c r="AY801" s="2">
        <v>1.4455061964040326</v>
      </c>
      <c r="AZ801" s="2">
        <v>0.6728928150438207</v>
      </c>
      <c r="BC801" s="2"/>
      <c r="BD801" s="2"/>
      <c r="BE801" s="2"/>
    </row>
    <row r="802" spans="11:57" x14ac:dyDescent="0.3">
      <c r="K802" s="31">
        <v>1949.50000000264</v>
      </c>
      <c r="L802">
        <v>1.2988135771117848</v>
      </c>
      <c r="M802">
        <v>6.1499999999999902E-2</v>
      </c>
      <c r="N802">
        <v>7.987703499237464E-2</v>
      </c>
      <c r="Z802" s="2"/>
      <c r="AA802" s="2"/>
      <c r="AB802" s="2"/>
      <c r="AD802" s="31">
        <v>1949.50000000263</v>
      </c>
      <c r="AE802">
        <v>2.9132007641977693</v>
      </c>
      <c r="AF802">
        <v>-0.68658960551538373</v>
      </c>
      <c r="AG802">
        <v>0.75255488571306428</v>
      </c>
      <c r="AS802" s="2"/>
      <c r="AT802" s="2"/>
      <c r="AU802" s="2"/>
      <c r="AW802" s="31">
        <v>1949.50000000263</v>
      </c>
      <c r="AX802" s="2">
        <v>0.94571898993948345</v>
      </c>
      <c r="AY802" s="2">
        <v>-0.1083026392523672</v>
      </c>
      <c r="AZ802" s="2">
        <v>0.94533069300861561</v>
      </c>
      <c r="BC802" s="2"/>
      <c r="BD802" s="2"/>
      <c r="BE802" s="2"/>
    </row>
    <row r="803" spans="11:57" x14ac:dyDescent="0.3">
      <c r="K803" s="31">
        <v>1949.41666666931</v>
      </c>
      <c r="L803">
        <v>1.0661371797506347</v>
      </c>
      <c r="M803">
        <v>0.18455999999999989</v>
      </c>
      <c r="N803">
        <v>0.13934988597037704</v>
      </c>
      <c r="Z803" s="2"/>
      <c r="AA803" s="2"/>
      <c r="AB803" s="2"/>
      <c r="AD803" s="31">
        <v>1949.4166666693</v>
      </c>
      <c r="AE803">
        <v>1.5286001382422501</v>
      </c>
      <c r="AF803">
        <v>2.3272667797927116</v>
      </c>
      <c r="AG803">
        <v>3.0139987698606689</v>
      </c>
      <c r="AS803" s="2"/>
      <c r="AT803" s="2"/>
      <c r="AU803" s="2"/>
      <c r="AW803" s="31">
        <v>1949.4166666693</v>
      </c>
      <c r="AX803" s="2">
        <v>1.1129024565503158</v>
      </c>
      <c r="AY803" s="2">
        <v>0.88267499490837542</v>
      </c>
      <c r="AZ803" s="2">
        <v>1.4303332714344896</v>
      </c>
      <c r="BC803" s="2"/>
      <c r="BD803" s="2"/>
      <c r="BE803" s="2"/>
    </row>
    <row r="804" spans="11:57" x14ac:dyDescent="0.3">
      <c r="K804" s="31">
        <v>1949.3333333359799</v>
      </c>
      <c r="L804">
        <v>1.1088556043724185</v>
      </c>
      <c r="M804">
        <v>0.18455999999999989</v>
      </c>
      <c r="N804">
        <v>0.15711448960444352</v>
      </c>
      <c r="Z804" s="2"/>
      <c r="AA804" s="2"/>
      <c r="AB804" s="2"/>
      <c r="AD804" s="31">
        <v>1949.3333333359701</v>
      </c>
      <c r="AE804">
        <v>1.782807088934153</v>
      </c>
      <c r="AF804">
        <v>2.3272667797927116</v>
      </c>
      <c r="AG804">
        <v>3.6894944554033922</v>
      </c>
      <c r="AS804" s="2"/>
      <c r="AT804" s="2"/>
      <c r="AU804" s="2"/>
      <c r="AW804" s="31">
        <v>1949.3333333359701</v>
      </c>
      <c r="AX804" s="2">
        <v>1.5453361209687833</v>
      </c>
      <c r="AY804" s="2">
        <v>1.3963274483272827</v>
      </c>
      <c r="AZ804" s="2">
        <v>2.2885388455133864</v>
      </c>
      <c r="BC804" s="2"/>
      <c r="BD804" s="2"/>
      <c r="BE804" s="2"/>
    </row>
    <row r="805" spans="11:57" x14ac:dyDescent="0.3">
      <c r="K805" s="31">
        <v>1949.25000000265</v>
      </c>
      <c r="L805">
        <v>1.1528464781413366</v>
      </c>
      <c r="M805">
        <v>0.18455999999999989</v>
      </c>
      <c r="N805">
        <v>0.17434428510658978</v>
      </c>
      <c r="AD805" s="31">
        <v>1949.25000000264</v>
      </c>
      <c r="AE805">
        <v>2.0445860748887648</v>
      </c>
      <c r="AF805">
        <v>2.3272667797927116</v>
      </c>
      <c r="AG805">
        <v>4.3446541631136295</v>
      </c>
      <c r="AS805" s="2"/>
      <c r="AT805" s="2"/>
      <c r="AU805" s="2"/>
      <c r="AW805" s="31">
        <v>1949.25000000264</v>
      </c>
      <c r="AX805" s="2">
        <v>2.1336551199359763</v>
      </c>
      <c r="AY805" s="2">
        <v>1.2496023950169717</v>
      </c>
      <c r="AZ805" s="2">
        <v>2.5216995293129303</v>
      </c>
      <c r="BC805" s="2"/>
      <c r="BD805" s="2"/>
      <c r="BE805" s="2"/>
    </row>
    <row r="806" spans="11:57" x14ac:dyDescent="0.3">
      <c r="K806" s="31">
        <v>1949.16666666932</v>
      </c>
      <c r="L806">
        <v>1.0877027497880447</v>
      </c>
      <c r="M806">
        <v>0.1537949999999999</v>
      </c>
      <c r="N806">
        <v>0.13140406383367206</v>
      </c>
      <c r="AD806" s="31">
        <v>1949.16666666931</v>
      </c>
      <c r="AE806">
        <v>1.6569315982078201</v>
      </c>
      <c r="AF806">
        <v>1.573802683465688</v>
      </c>
      <c r="AG806">
        <v>2.7118603894049809</v>
      </c>
      <c r="AS806" s="2"/>
      <c r="AT806" s="2"/>
      <c r="AU806" s="2"/>
      <c r="AW806" s="31">
        <v>1949.16666666931</v>
      </c>
      <c r="AX806" s="2">
        <v>1.8036037430899672</v>
      </c>
      <c r="AY806" s="2">
        <v>0.86458010838664423</v>
      </c>
      <c r="AZ806" s="2">
        <v>1.9779735403102026</v>
      </c>
      <c r="BC806" s="2"/>
      <c r="BD806" s="2"/>
      <c r="BE806" s="2"/>
    </row>
    <row r="807" spans="11:57" x14ac:dyDescent="0.3">
      <c r="K807" s="31">
        <v>1949.0833333359899</v>
      </c>
      <c r="L807">
        <v>1.0329722295119188</v>
      </c>
      <c r="M807">
        <v>6.1514999999999952E-2</v>
      </c>
      <c r="N807">
        <v>6.3542185168792661E-2</v>
      </c>
      <c r="AD807" s="31">
        <v>1949.0833333359899</v>
      </c>
      <c r="AE807">
        <v>1.3312435890558951</v>
      </c>
      <c r="AF807">
        <v>-0.68622224125583742</v>
      </c>
      <c r="AG807">
        <v>0.13142531777504152</v>
      </c>
      <c r="AS807" s="2"/>
      <c r="AT807" s="2"/>
      <c r="AU807" s="2"/>
      <c r="AW807" s="31">
        <v>1949.0833333359899</v>
      </c>
      <c r="AX807" s="2">
        <v>1.7478734970665899</v>
      </c>
      <c r="AY807" s="2">
        <v>-0.87038484719517628</v>
      </c>
      <c r="AZ807" s="2">
        <v>0.754210260436322</v>
      </c>
      <c r="BC807" s="2"/>
      <c r="BD807" s="2"/>
      <c r="BE807" s="2"/>
    </row>
    <row r="808" spans="11:57" x14ac:dyDescent="0.3">
      <c r="K808" s="31">
        <v>1949.00000000266</v>
      </c>
      <c r="L808">
        <v>0.91118021042948771</v>
      </c>
      <c r="M808">
        <v>6.1530000000000001E-2</v>
      </c>
      <c r="N808">
        <v>5.6064918347726381E-2</v>
      </c>
      <c r="AD808" s="31">
        <v>1949.00000000266</v>
      </c>
      <c r="AE808">
        <v>0.60648891788838777</v>
      </c>
      <c r="AF808">
        <v>-0.68585487699629111</v>
      </c>
      <c r="AG808">
        <v>-0.15289633562769406</v>
      </c>
      <c r="AS808" s="2"/>
      <c r="AT808" s="2"/>
      <c r="AU808" s="2"/>
      <c r="AW808" s="31">
        <v>1949.00000000266</v>
      </c>
      <c r="AX808" s="2">
        <v>0.70030889521439021</v>
      </c>
      <c r="AY808" s="2">
        <v>-0.21897704373559218</v>
      </c>
      <c r="AZ808" s="2">
        <v>0.60723355285694292</v>
      </c>
      <c r="BC808" s="2"/>
      <c r="BD808" s="2"/>
      <c r="BE808" s="2"/>
    </row>
    <row r="809" spans="11:57" x14ac:dyDescent="0.3">
      <c r="K809" s="31">
        <v>1948.91666666933</v>
      </c>
      <c r="L809">
        <v>1.0223041910664343</v>
      </c>
      <c r="M809">
        <v>6.1514999999999952E-2</v>
      </c>
      <c r="N809">
        <v>6.2884686640902798E-2</v>
      </c>
      <c r="AD809" s="31">
        <v>1948.91666666933</v>
      </c>
      <c r="AE809">
        <v>1.267760688010249</v>
      </c>
      <c r="AF809">
        <v>-0.68622224125583742</v>
      </c>
      <c r="AG809">
        <v>0.106424060894275</v>
      </c>
      <c r="AS809" s="2"/>
      <c r="AT809" s="2"/>
      <c r="AU809" s="2"/>
      <c r="AW809" s="31">
        <v>1948.91666666933</v>
      </c>
      <c r="AX809" s="2">
        <v>1.3657054954984593</v>
      </c>
      <c r="AY809" s="2">
        <v>-0.51751295497595129</v>
      </c>
      <c r="AZ809" s="2">
        <v>1.1673306363441853</v>
      </c>
      <c r="BC809" s="2"/>
      <c r="BD809" s="2"/>
      <c r="BE809" s="2"/>
    </row>
    <row r="810" spans="11:57" x14ac:dyDescent="0.3">
      <c r="K810" s="31">
        <v>1948.8333333359999</v>
      </c>
      <c r="AD810" s="31">
        <v>1948.8333333359999</v>
      </c>
      <c r="AS810" s="2"/>
      <c r="AT810" s="2"/>
      <c r="AU810" s="2"/>
      <c r="AW810" s="31">
        <v>1948.8333333359999</v>
      </c>
      <c r="AX810" s="2"/>
      <c r="AY810" s="2"/>
      <c r="AZ810" s="2"/>
      <c r="BC810" s="2"/>
      <c r="BD810" s="2"/>
      <c r="BE810" s="2"/>
    </row>
    <row r="811" spans="11:57" x14ac:dyDescent="0.3">
      <c r="K811" s="31">
        <v>1948.75000000267</v>
      </c>
      <c r="L811">
        <v>1.0426867834397984</v>
      </c>
      <c r="M811">
        <v>6.1514999999999952E-2</v>
      </c>
      <c r="N811">
        <v>6.413765310646119E-2</v>
      </c>
      <c r="AD811" s="31">
        <v>1948.75000000267</v>
      </c>
      <c r="AE811">
        <v>1.3890525357387982</v>
      </c>
      <c r="AF811">
        <v>-0.68622224125583742</v>
      </c>
      <c r="AG811">
        <v>0.15406787322180432</v>
      </c>
      <c r="AS811" s="2"/>
      <c r="AT811" s="2"/>
      <c r="AU811" s="2"/>
      <c r="AW811" s="31">
        <v>1948.75000000267</v>
      </c>
      <c r="AX811" s="2">
        <v>1.6421418404872505</v>
      </c>
      <c r="AY811" s="2">
        <v>-0.6564669997761764</v>
      </c>
      <c r="AZ811" s="2">
        <v>0.77948000973834619</v>
      </c>
      <c r="BC811" s="2"/>
      <c r="BD811" s="2"/>
      <c r="BE811" s="2"/>
    </row>
    <row r="812" spans="11:57" x14ac:dyDescent="0.3">
      <c r="K812" s="31">
        <v>1948.66666666934</v>
      </c>
      <c r="L812">
        <v>0.79894842460818027</v>
      </c>
      <c r="M812">
        <v>6.1530000000000001E-2</v>
      </c>
      <c r="N812">
        <v>4.9159296566141333E-2</v>
      </c>
      <c r="AD812" s="31">
        <v>1948.66666666934</v>
      </c>
      <c r="AE812">
        <v>-6.1375131334829643E-2</v>
      </c>
      <c r="AF812">
        <v>-0.68585487699629111</v>
      </c>
      <c r="AG812">
        <v>-0.41548129477112289</v>
      </c>
      <c r="AS812" s="2"/>
      <c r="AT812" s="2"/>
      <c r="AU812" s="2"/>
      <c r="AW812" s="31">
        <v>1948.66666666934</v>
      </c>
      <c r="AX812" s="2">
        <v>-0.12132386153562849</v>
      </c>
      <c r="AY812" s="2">
        <v>-0.23771353876763443</v>
      </c>
      <c r="AZ812" s="2">
        <v>-0.13654802390370049</v>
      </c>
      <c r="BC812" s="2"/>
      <c r="BD812" s="2"/>
      <c r="BE812" s="2"/>
    </row>
    <row r="813" spans="11:57" x14ac:dyDescent="0.3">
      <c r="K813" s="31">
        <v>1948.5833333360099</v>
      </c>
      <c r="L813">
        <v>1.0560712641949754</v>
      </c>
      <c r="M813">
        <v>6.1514999999999952E-2</v>
      </c>
      <c r="N813">
        <v>6.4959953624737082E-2</v>
      </c>
      <c r="AD813" s="31">
        <v>1948.5833333360099</v>
      </c>
      <c r="AE813">
        <v>1.46870032400562</v>
      </c>
      <c r="AF813">
        <v>-0.68622224125583742</v>
      </c>
      <c r="AG813">
        <v>0.18533569454542373</v>
      </c>
      <c r="AS813" s="2"/>
      <c r="AT813" s="2"/>
      <c r="AU813" s="2"/>
      <c r="AW813" s="31">
        <v>1948.5833333360099</v>
      </c>
      <c r="AX813" s="2">
        <v>1.4005081156379033</v>
      </c>
      <c r="AY813" s="2">
        <v>-0.53553372549108424</v>
      </c>
      <c r="AZ813" s="2">
        <v>1.0576430394378291</v>
      </c>
      <c r="BC813" s="2"/>
      <c r="BD813" s="2"/>
      <c r="BE813" s="2"/>
    </row>
    <row r="814" spans="11:57" x14ac:dyDescent="0.3">
      <c r="K814" s="31">
        <v>1948.5000000026801</v>
      </c>
      <c r="AD814" s="31">
        <v>1948.5000000026801</v>
      </c>
      <c r="AS814" s="2"/>
      <c r="AT814" s="2"/>
      <c r="AU814" s="2"/>
      <c r="AW814" s="31">
        <v>1948.5000000026801</v>
      </c>
      <c r="AX814" s="2"/>
      <c r="AY814" s="2"/>
      <c r="AZ814" s="2"/>
      <c r="BC814" s="2"/>
      <c r="BD814" s="2"/>
      <c r="BE814" s="2"/>
    </row>
    <row r="815" spans="11:57" x14ac:dyDescent="0.3">
      <c r="K815" s="31">
        <v>1948.41666666935</v>
      </c>
      <c r="L815">
        <v>1.0644840853704176</v>
      </c>
      <c r="M815">
        <v>0.18457499999999993</v>
      </c>
      <c r="N815">
        <v>0.15707380123354747</v>
      </c>
      <c r="AD815" s="31">
        <v>1948.41666666935</v>
      </c>
      <c r="AE815">
        <v>1.518762975815932</v>
      </c>
      <c r="AF815">
        <v>2.3276341440522574</v>
      </c>
      <c r="AG815">
        <v>3.6879472878133801</v>
      </c>
      <c r="AS815" s="2"/>
      <c r="AT815" s="2"/>
      <c r="AU815" s="2"/>
      <c r="AW815" s="31">
        <v>1948.41666666935</v>
      </c>
      <c r="AX815" s="2">
        <v>1.1030322843662728</v>
      </c>
      <c r="AY815" s="2">
        <v>0.88298416156931525</v>
      </c>
      <c r="AZ815" s="2">
        <v>1.9216667249546417</v>
      </c>
      <c r="BC815" s="2"/>
      <c r="BD815" s="2"/>
      <c r="BE815" s="2"/>
    </row>
    <row r="816" spans="11:57" x14ac:dyDescent="0.3">
      <c r="K816" s="31">
        <v>1948.3333333360199</v>
      </c>
      <c r="L816">
        <v>1.088386297788704</v>
      </c>
      <c r="M816">
        <v>0.15380999999999995</v>
      </c>
      <c r="N816">
        <v>0.15130993700069745</v>
      </c>
      <c r="AD816" s="31">
        <v>1948.3333333360199</v>
      </c>
      <c r="AE816">
        <v>1.6609992260390798</v>
      </c>
      <c r="AF816">
        <v>1.5741700477252341</v>
      </c>
      <c r="AG816">
        <v>3.4687774430171885</v>
      </c>
      <c r="AS816" s="2"/>
      <c r="AT816" s="2"/>
      <c r="AU816" s="2"/>
      <c r="AW816" s="31">
        <v>1948.3333333360199</v>
      </c>
      <c r="AX816" s="2">
        <v>1.4295575503525964</v>
      </c>
      <c r="AY816" s="2">
        <v>0.73002501519804841</v>
      </c>
      <c r="AZ816" s="2">
        <v>2.1299655536419273</v>
      </c>
      <c r="BC816" s="2"/>
      <c r="BD816" s="2"/>
      <c r="BE816" s="2"/>
    </row>
    <row r="817" spans="11:57" x14ac:dyDescent="0.3">
      <c r="K817" s="31">
        <v>1948.2500000026901</v>
      </c>
      <c r="L817">
        <v>1.0687414590135518</v>
      </c>
      <c r="M817">
        <v>0.15380999999999995</v>
      </c>
      <c r="N817">
        <v>0.15676752488984289</v>
      </c>
      <c r="AD817" s="31">
        <v>1948.2500000026901</v>
      </c>
      <c r="AE817">
        <v>1.5440975704635382</v>
      </c>
      <c r="AF817">
        <v>1.5741700477252341</v>
      </c>
      <c r="AG817">
        <v>3.6763011879049357</v>
      </c>
      <c r="AS817" s="2"/>
      <c r="AT817" s="2"/>
      <c r="AU817" s="2"/>
      <c r="AW817" s="31">
        <v>1948.2500000026901</v>
      </c>
      <c r="AX817" s="2">
        <v>1.625038590442601</v>
      </c>
      <c r="AY817" s="2">
        <v>0.55987246831779702</v>
      </c>
      <c r="AZ817" s="2">
        <v>2.0625335175698845</v>
      </c>
      <c r="BC817" s="2"/>
      <c r="BD817" s="2"/>
      <c r="BE817" s="2"/>
    </row>
    <row r="818" spans="11:57" x14ac:dyDescent="0.3">
      <c r="K818" s="31">
        <v>1948.16666666936</v>
      </c>
      <c r="L818">
        <v>0.90294055524004768</v>
      </c>
      <c r="M818">
        <v>0.15380999999999995</v>
      </c>
      <c r="N818">
        <v>0.12530239591779532</v>
      </c>
      <c r="AD818" s="31">
        <v>1948.16666666936</v>
      </c>
      <c r="AE818">
        <v>0.55745673472608648</v>
      </c>
      <c r="AF818">
        <v>1.5741700477252341</v>
      </c>
      <c r="AG818">
        <v>2.479845623599271</v>
      </c>
      <c r="AS818" s="2"/>
      <c r="AT818" s="2"/>
      <c r="AU818" s="2"/>
      <c r="AW818" s="31">
        <v>1948.16666666936</v>
      </c>
      <c r="AX818" s="2">
        <v>0.72591692459154844</v>
      </c>
      <c r="AY818" s="2">
        <v>0.86490845971521557</v>
      </c>
      <c r="AZ818" s="2">
        <v>1.7945587913236989</v>
      </c>
      <c r="BC818" s="2"/>
      <c r="BD818" s="2"/>
      <c r="BE818" s="2"/>
    </row>
    <row r="819" spans="11:57" x14ac:dyDescent="0.3">
      <c r="K819" s="31">
        <v>1948.0833333360299</v>
      </c>
      <c r="L819">
        <v>0.82298274605412924</v>
      </c>
      <c r="M819">
        <v>0.1230299999999999</v>
      </c>
      <c r="N819">
        <v>7.0353213891504118E-2</v>
      </c>
      <c r="AD819" s="31">
        <v>1948.0833333360299</v>
      </c>
      <c r="AE819">
        <v>8.1647267567215201E-2</v>
      </c>
      <c r="AF819">
        <v>0.82033858713866403</v>
      </c>
      <c r="AG819">
        <v>0.39041339378684414</v>
      </c>
      <c r="AS819" s="2"/>
      <c r="AT819" s="2"/>
      <c r="AU819" s="2"/>
      <c r="AW819" s="31">
        <v>1948.0833333360299</v>
      </c>
      <c r="AX819" s="2">
        <v>0.41246528402925564</v>
      </c>
      <c r="AY819" s="2">
        <v>1.9921056283099188</v>
      </c>
      <c r="AZ819" s="2">
        <v>1.259676848426466</v>
      </c>
      <c r="BC819" s="2"/>
      <c r="BD819" s="2"/>
      <c r="BE819" s="2"/>
    </row>
    <row r="820" spans="11:57" x14ac:dyDescent="0.3">
      <c r="K820" s="31">
        <v>1948.0000000027001</v>
      </c>
      <c r="L820">
        <v>0.86525929500987431</v>
      </c>
      <c r="M820">
        <v>9.2264999999999903E-2</v>
      </c>
      <c r="N820">
        <v>5.3223004765600657E-2</v>
      </c>
      <c r="AD820" s="31">
        <v>1948.0000000027001</v>
      </c>
      <c r="AE820">
        <v>0.33322472368755618</v>
      </c>
      <c r="AF820">
        <v>6.6874490811640125E-2</v>
      </c>
      <c r="AG820">
        <v>-0.26095956084538813</v>
      </c>
      <c r="AS820" s="2"/>
      <c r="AT820" s="2"/>
      <c r="AU820" s="2"/>
      <c r="AW820" s="31">
        <v>1948.0000000027001</v>
      </c>
      <c r="AX820" s="2">
        <v>0.49256248087118804</v>
      </c>
      <c r="AY820" s="2">
        <v>1.4890867686962104</v>
      </c>
      <c r="AZ820" s="2">
        <v>0.40640678008116993</v>
      </c>
      <c r="BC820" s="2"/>
      <c r="BD820" s="2"/>
      <c r="BE820" s="2"/>
    </row>
    <row r="821" spans="11:57" x14ac:dyDescent="0.3">
      <c r="K821" s="31">
        <v>1947.91666666937</v>
      </c>
      <c r="L821">
        <v>0.89718846438008082</v>
      </c>
      <c r="M821">
        <v>9.2264999999999903E-2</v>
      </c>
      <c r="N821">
        <v>5.5186607344700336E-2</v>
      </c>
      <c r="AD821" s="31">
        <v>1947.91666666937</v>
      </c>
      <c r="AE821">
        <v>0.52322744161518608</v>
      </c>
      <c r="AF821">
        <v>6.6874490811640125E-2</v>
      </c>
      <c r="AG821">
        <v>-0.18629394501600913</v>
      </c>
      <c r="AS821" s="2"/>
      <c r="AT821" s="2"/>
      <c r="AU821" s="2"/>
      <c r="AW821" s="31">
        <v>1947.91666666937</v>
      </c>
      <c r="AX821" s="2">
        <v>0.6858423453102761</v>
      </c>
      <c r="AY821" s="2">
        <v>1.05652496446128</v>
      </c>
      <c r="AZ821" s="2">
        <v>0.52439910769219833</v>
      </c>
      <c r="BC821" s="2"/>
      <c r="BD821" s="2"/>
      <c r="BE821" s="2"/>
    </row>
    <row r="822" spans="11:57" x14ac:dyDescent="0.3">
      <c r="K822" s="31">
        <v>1947.8333333360399</v>
      </c>
      <c r="L822">
        <v>0.90851836219849225</v>
      </c>
      <c r="M822">
        <v>9.2264999999999903E-2</v>
      </c>
      <c r="N822">
        <v>5.5883554071811441E-2</v>
      </c>
      <c r="AD822" s="31">
        <v>1947.8333333360399</v>
      </c>
      <c r="AE822">
        <v>0.59064890674572645</v>
      </c>
      <c r="AF822">
        <v>6.6874490811640125E-2</v>
      </c>
      <c r="AG822">
        <v>-0.15979267783806503</v>
      </c>
      <c r="AS822" s="2"/>
      <c r="AT822" s="2"/>
      <c r="AU822" s="2"/>
      <c r="AW822" s="31">
        <v>1947.8333333360399</v>
      </c>
      <c r="AX822" s="2">
        <v>0.53095108952263215</v>
      </c>
      <c r="AY822" s="2">
        <v>1.2550989263438468</v>
      </c>
      <c r="AZ822" s="2">
        <v>0.46385060438111908</v>
      </c>
      <c r="BC822" s="2"/>
      <c r="BD822" s="2"/>
      <c r="BE822" s="2"/>
    </row>
    <row r="823" spans="11:57" x14ac:dyDescent="0.3">
      <c r="K823" s="31">
        <v>1947.7500000027101</v>
      </c>
      <c r="L823">
        <v>0.94231879112287242</v>
      </c>
      <c r="M823">
        <v>9.2264999999999903E-2</v>
      </c>
      <c r="N823">
        <v>5.7962742530583367E-2</v>
      </c>
      <c r="AD823" s="31">
        <v>1947.7500000027101</v>
      </c>
      <c r="AE823">
        <v>0.79178703496601499</v>
      </c>
      <c r="AF823">
        <v>6.6874490811640125E-2</v>
      </c>
      <c r="AG823">
        <v>-8.0731930845807959E-2</v>
      </c>
      <c r="AS823" s="2"/>
      <c r="AT823" s="2"/>
      <c r="AU823" s="2"/>
      <c r="AW823" s="31">
        <v>1947.7500000027101</v>
      </c>
      <c r="AX823" s="2">
        <v>0.96415364606368059</v>
      </c>
      <c r="AY823" s="2">
        <v>0.96231815385189867</v>
      </c>
      <c r="AZ823" s="2">
        <v>0.29527778237146762</v>
      </c>
      <c r="BC823" s="2"/>
      <c r="BD823" s="2"/>
      <c r="BE823" s="2"/>
    </row>
    <row r="824" spans="11:57" x14ac:dyDescent="0.3">
      <c r="K824" s="31">
        <v>1947.66666666938</v>
      </c>
      <c r="L824">
        <v>1.0015257352119487</v>
      </c>
      <c r="M824">
        <v>9.2264999999999903E-2</v>
      </c>
      <c r="N824">
        <v>6.160445374147698E-2</v>
      </c>
      <c r="AD824" s="31">
        <v>1947.66666666938</v>
      </c>
      <c r="AE824">
        <v>1.1441131530269104</v>
      </c>
      <c r="AF824">
        <v>6.6874490811640125E-2</v>
      </c>
      <c r="AG824">
        <v>5.7743447587845019E-2</v>
      </c>
      <c r="AS824" s="2"/>
      <c r="AT824" s="2"/>
      <c r="AU824" s="2"/>
      <c r="AW824" s="31">
        <v>1947.66666666938</v>
      </c>
      <c r="AX824" s="2">
        <v>0.62496150347906587</v>
      </c>
      <c r="AY824" s="2">
        <v>1.1124047876457037</v>
      </c>
      <c r="AZ824" s="2">
        <v>0.60942655726593187</v>
      </c>
      <c r="BC824" s="2"/>
      <c r="BD824" s="2"/>
      <c r="BE824" s="2"/>
    </row>
    <row r="825" spans="11:57" x14ac:dyDescent="0.3">
      <c r="K825" s="31">
        <v>1947.5833333360499</v>
      </c>
      <c r="L825">
        <v>1.0489631311083683</v>
      </c>
      <c r="M825">
        <v>9.2264999999999903E-2</v>
      </c>
      <c r="N825">
        <v>6.4522360862080644E-2</v>
      </c>
      <c r="AD825" s="31">
        <v>1947.5833333360499</v>
      </c>
      <c r="AE825">
        <v>1.4264015535557095</v>
      </c>
      <c r="AF825">
        <v>6.6874490811640125E-2</v>
      </c>
      <c r="AG825">
        <v>0.16869631270003879</v>
      </c>
      <c r="AS825" s="2"/>
      <c r="AT825" s="2"/>
      <c r="AU825" s="2"/>
      <c r="AW825" s="31">
        <v>1947.5833333360499</v>
      </c>
      <c r="AX825" s="2">
        <v>1.3532219765010001</v>
      </c>
      <c r="AY825" s="2">
        <v>1.4455061964040326</v>
      </c>
      <c r="AZ825" s="2">
        <v>1.0153218166003071</v>
      </c>
      <c r="BC825" s="2"/>
      <c r="BD825" s="2"/>
      <c r="BE825" s="2"/>
    </row>
    <row r="826" spans="11:57" x14ac:dyDescent="0.3">
      <c r="K826" s="31">
        <v>1947.5000000027201</v>
      </c>
      <c r="L826">
        <v>1.0687491333510846</v>
      </c>
      <c r="M826">
        <v>6.1514999999999952E-2</v>
      </c>
      <c r="N826">
        <v>6.5739768605377905E-2</v>
      </c>
      <c r="AD826" s="31">
        <v>1947.5000000027201</v>
      </c>
      <c r="AE826">
        <v>1.5441432385788789</v>
      </c>
      <c r="AF826">
        <v>-0.68622224125583742</v>
      </c>
      <c r="AG826">
        <v>0.2149880113544691</v>
      </c>
      <c r="AS826" s="2"/>
      <c r="AT826" s="2"/>
      <c r="AU826" s="2"/>
      <c r="AW826" s="31">
        <v>1947.5000000027201</v>
      </c>
      <c r="AX826" s="2">
        <v>0.40236672549635372</v>
      </c>
      <c r="AY826" s="2">
        <v>-0.10780241638246968</v>
      </c>
      <c r="AZ826" s="2">
        <v>0.40247351880480581</v>
      </c>
      <c r="BC826" s="2"/>
      <c r="BD826" s="2"/>
      <c r="BE826" s="2"/>
    </row>
    <row r="827" spans="11:57" x14ac:dyDescent="0.3">
      <c r="K827" s="31">
        <v>1947.41666666939</v>
      </c>
      <c r="L827">
        <v>1.0909584280198295</v>
      </c>
      <c r="M827">
        <v>0.24605999999999981</v>
      </c>
      <c r="N827">
        <v>0.1491871341079373</v>
      </c>
      <c r="AD827" s="31">
        <v>1947.41666666939</v>
      </c>
      <c r="AE827">
        <v>1.6763053471946676</v>
      </c>
      <c r="AF827">
        <v>3.8334602439276675</v>
      </c>
      <c r="AG827">
        <v>3.388058265440534</v>
      </c>
      <c r="AS827" s="2"/>
      <c r="AT827" s="2"/>
      <c r="AU827" s="2"/>
      <c r="AW827" s="31">
        <v>1947.41666666939</v>
      </c>
      <c r="AX827" s="2">
        <v>1.2611033077368416</v>
      </c>
      <c r="AY827" s="2">
        <v>2.1502583047578154</v>
      </c>
      <c r="AZ827" s="2">
        <v>1.7030365104646215</v>
      </c>
      <c r="BC827" s="2"/>
      <c r="BD827" s="2"/>
      <c r="BE827" s="2"/>
    </row>
    <row r="828" spans="11:57" x14ac:dyDescent="0.3">
      <c r="K828" s="31">
        <v>1947.3333333360599</v>
      </c>
      <c r="L828">
        <v>1.0078312036381252</v>
      </c>
      <c r="M828">
        <v>0.21530999999999986</v>
      </c>
      <c r="N828">
        <v>0.15011744604703336</v>
      </c>
      <c r="AD828" s="31">
        <v>1947.3333333360599</v>
      </c>
      <c r="AE828">
        <v>1.1816354613866862</v>
      </c>
      <c r="AF828">
        <v>3.08036351186019</v>
      </c>
      <c r="AG828">
        <v>3.4234332005650745</v>
      </c>
      <c r="AS828" s="2"/>
      <c r="AT828" s="2"/>
      <c r="AU828" s="2"/>
      <c r="AW828" s="31">
        <v>1947.3333333360599</v>
      </c>
      <c r="AX828" s="2">
        <v>0.97392151703300023</v>
      </c>
      <c r="AY828" s="2">
        <v>2.0626298814565178</v>
      </c>
      <c r="AZ828" s="2">
        <v>2.0973881563887069</v>
      </c>
      <c r="BC828" s="2"/>
      <c r="BD828" s="2"/>
      <c r="BE828" s="2"/>
    </row>
    <row r="829" spans="11:57" x14ac:dyDescent="0.3">
      <c r="K829" s="31">
        <v>1947.2500000027301</v>
      </c>
      <c r="L829">
        <v>0.8275133268890531</v>
      </c>
      <c r="M829">
        <v>0.21530999999999986</v>
      </c>
      <c r="N829">
        <v>0.12287775785488586</v>
      </c>
      <c r="AD829" s="31">
        <v>1947.2500000027301</v>
      </c>
      <c r="AE829">
        <v>0.10860765173648231</v>
      </c>
      <c r="AF829">
        <v>3.08036351186019</v>
      </c>
      <c r="AG829">
        <v>2.3876492208966966</v>
      </c>
      <c r="AS829" s="2"/>
      <c r="AT829" s="2"/>
      <c r="AU829" s="2"/>
      <c r="AW829" s="31">
        <v>1947.2500000027301</v>
      </c>
      <c r="AX829" s="2">
        <v>0.16623605226210178</v>
      </c>
      <c r="AY829" s="2">
        <v>1.9393323217161471</v>
      </c>
      <c r="AZ829" s="2">
        <v>1.1772151212071791</v>
      </c>
      <c r="BC829" s="2"/>
      <c r="BD829" s="2"/>
      <c r="BE829" s="2"/>
    </row>
    <row r="830" spans="11:57" x14ac:dyDescent="0.3">
      <c r="K830" s="31">
        <v>1947.1666666694</v>
      </c>
      <c r="L830">
        <v>0.7248428039990642</v>
      </c>
      <c r="M830">
        <v>0.18454499999999985</v>
      </c>
      <c r="N830">
        <v>8.4553093827716183E-2</v>
      </c>
      <c r="AD830" s="31">
        <v>1947.1666666694</v>
      </c>
      <c r="AE830">
        <v>-0.50235964822565438</v>
      </c>
      <c r="AF830">
        <v>2.3268994155331653</v>
      </c>
      <c r="AG830">
        <v>0.93036113648467789</v>
      </c>
      <c r="AS830" s="2"/>
      <c r="AT830" s="2"/>
      <c r="AU830" s="2"/>
      <c r="AW830" s="31">
        <v>1947.1666666694</v>
      </c>
      <c r="AX830" s="2">
        <v>-0.31289731652615121</v>
      </c>
      <c r="AY830" s="2">
        <v>1.5377003319559404</v>
      </c>
      <c r="AZ830" s="2">
        <v>0.56964404386924872</v>
      </c>
      <c r="BC830" s="2"/>
      <c r="BD830" s="2"/>
      <c r="BE830" s="2"/>
    </row>
    <row r="831" spans="11:57" x14ac:dyDescent="0.3">
      <c r="K831" s="31">
        <v>1947.0833333360699</v>
      </c>
      <c r="L831">
        <v>0.71387738686722979</v>
      </c>
      <c r="M831">
        <v>9.2264999999999903E-2</v>
      </c>
      <c r="N831">
        <v>4.3912738534830548E-2</v>
      </c>
      <c r="AD831" s="31">
        <v>1947.0833333360699</v>
      </c>
      <c r="AE831">
        <v>-0.56761217747568971</v>
      </c>
      <c r="AF831">
        <v>6.6874490811640125E-2</v>
      </c>
      <c r="AG831">
        <v>-0.61498066931971784</v>
      </c>
      <c r="AS831" s="2"/>
      <c r="AT831" s="2"/>
      <c r="AU831" s="2"/>
      <c r="AW831" s="31">
        <v>1947.0833333360699</v>
      </c>
      <c r="AX831" s="2">
        <v>-0.28137990452687223</v>
      </c>
      <c r="AY831" s="2">
        <v>0.56051139147476758</v>
      </c>
      <c r="AZ831" s="2">
        <v>-0.7025490366017777</v>
      </c>
      <c r="BC831" s="2"/>
      <c r="BD831" s="2"/>
      <c r="BE831" s="2"/>
    </row>
    <row r="832" spans="11:57" x14ac:dyDescent="0.3">
      <c r="K832" s="31">
        <v>1947.0000000027401</v>
      </c>
      <c r="L832">
        <v>0.76006587250032609</v>
      </c>
      <c r="M832">
        <v>6.1514999999999952E-2</v>
      </c>
      <c r="N832">
        <v>4.6753654942082369E-2</v>
      </c>
      <c r="AD832" s="31">
        <v>1947.0000000027401</v>
      </c>
      <c r="AE832">
        <v>-0.29275573803951344</v>
      </c>
      <c r="AF832">
        <v>-0.68622224125583742</v>
      </c>
      <c r="AG832">
        <v>-0.50695536148756914</v>
      </c>
      <c r="AS832" s="2"/>
      <c r="AT832" s="2"/>
      <c r="AU832" s="2"/>
      <c r="AW832" s="31">
        <v>1947.0000000027401</v>
      </c>
      <c r="AX832" s="2">
        <v>1.6666995357538909E-2</v>
      </c>
      <c r="AY832" s="2">
        <v>-0.21981065223360952</v>
      </c>
      <c r="AZ832" s="2">
        <v>-5.0756539446263085E-2</v>
      </c>
      <c r="BC832" s="2"/>
      <c r="BD832" s="2"/>
      <c r="BE832" s="2"/>
    </row>
    <row r="833" spans="11:57" x14ac:dyDescent="0.3">
      <c r="K833" s="31">
        <v>1946.91666666941</v>
      </c>
      <c r="L833">
        <v>0.80855390414572903</v>
      </c>
      <c r="M833">
        <v>9.2264999999999903E-2</v>
      </c>
      <c r="N833">
        <v>4.9736001911705678E-2</v>
      </c>
      <c r="AD833" s="31">
        <v>1946.91666666941</v>
      </c>
      <c r="AE833">
        <v>-4.2152598088422196E-3</v>
      </c>
      <c r="AF833">
        <v>6.6874490811640125E-2</v>
      </c>
      <c r="AG833">
        <v>-0.39355218333228997</v>
      </c>
      <c r="AS833" s="2"/>
      <c r="AT833" s="2"/>
      <c r="AU833" s="2"/>
      <c r="AW833" s="31">
        <v>1946.91666666941</v>
      </c>
      <c r="AX833" s="2">
        <v>0.20421327331094266</v>
      </c>
      <c r="AY833" s="2">
        <v>1.05652496446128</v>
      </c>
      <c r="AZ833" s="2">
        <v>6.9173076850606599E-2</v>
      </c>
      <c r="BC833" s="2"/>
      <c r="BD833" s="2"/>
      <c r="BE833" s="2"/>
    </row>
    <row r="834" spans="11:57" x14ac:dyDescent="0.3">
      <c r="K834" s="31">
        <v>1946.8333333360799</v>
      </c>
      <c r="L834">
        <v>0.84029394223750509</v>
      </c>
      <c r="M834">
        <v>6.1514999999999952E-2</v>
      </c>
      <c r="N834">
        <v>5.1688361806796632E-2</v>
      </c>
      <c r="AD834" s="31">
        <v>1946.8333333360799</v>
      </c>
      <c r="AE834">
        <v>0.18466198390020541</v>
      </c>
      <c r="AF834">
        <v>-0.68622224125583742</v>
      </c>
      <c r="AG834">
        <v>-0.31931406843106291</v>
      </c>
      <c r="AS834" s="2"/>
      <c r="AT834" s="2"/>
      <c r="AU834" s="2"/>
      <c r="AW834" s="31">
        <v>1946.8333333360799</v>
      </c>
      <c r="AX834" s="2">
        <v>0.2650058038895447</v>
      </c>
      <c r="AY834" s="2">
        <v>-0.19138401234735175</v>
      </c>
      <c r="AZ834" s="2">
        <v>0.2093491467131508</v>
      </c>
      <c r="BC834" s="2"/>
      <c r="BD834" s="2"/>
      <c r="BE834" s="2"/>
    </row>
    <row r="835" spans="11:57" x14ac:dyDescent="0.3">
      <c r="K835" s="31">
        <v>1946.7500000027501</v>
      </c>
      <c r="L835">
        <v>0.87180863129890618</v>
      </c>
      <c r="M835">
        <v>9.2264999999999903E-2</v>
      </c>
      <c r="N835">
        <v>5.3627081342829445E-2</v>
      </c>
      <c r="AD835" s="31">
        <v>1946.7500000027501</v>
      </c>
      <c r="AE835">
        <v>0.37219823036133987</v>
      </c>
      <c r="AF835">
        <v>6.6874490811640125E-2</v>
      </c>
      <c r="AG835">
        <v>-0.24559462559721357</v>
      </c>
      <c r="AS835" s="2"/>
      <c r="AT835" s="2"/>
      <c r="AU835" s="2"/>
      <c r="AW835" s="31">
        <v>1946.7500000027501</v>
      </c>
      <c r="AX835" s="2">
        <v>0.48785582597162286</v>
      </c>
      <c r="AY835" s="2">
        <v>0.96231815385189867</v>
      </c>
      <c r="AZ835" s="2">
        <v>-4.470071260781127E-2</v>
      </c>
    </row>
    <row r="836" spans="11:57" x14ac:dyDescent="0.3">
      <c r="K836" s="31">
        <v>1946.66666666942</v>
      </c>
      <c r="L836">
        <v>0.91906962741134868</v>
      </c>
      <c r="M836">
        <v>6.1514999999999952E-2</v>
      </c>
      <c r="N836">
        <v>5.6534608096659805E-2</v>
      </c>
      <c r="AD836" s="31">
        <v>1946.66666666942</v>
      </c>
      <c r="AE836">
        <v>0.65343691869722575</v>
      </c>
      <c r="AF836">
        <v>-0.68622224125583742</v>
      </c>
      <c r="AG836">
        <v>-0.13503647196376459</v>
      </c>
      <c r="AS836" s="2"/>
      <c r="AT836" s="2"/>
      <c r="AU836" s="2"/>
      <c r="AW836" s="31">
        <v>1946.66666666942</v>
      </c>
      <c r="AX836" s="2">
        <v>0.32119704770532509</v>
      </c>
      <c r="AY836" s="2">
        <v>-0.23837245449551037</v>
      </c>
      <c r="AZ836" s="2">
        <v>0.30553517781574213</v>
      </c>
    </row>
    <row r="837" spans="11:57" x14ac:dyDescent="0.3">
      <c r="K837" s="31">
        <v>1946.5833333360899</v>
      </c>
      <c r="L837">
        <v>0.98801617702941968</v>
      </c>
      <c r="M837">
        <v>9.2264999999999903E-2</v>
      </c>
      <c r="N837">
        <v>6.0775880371430627E-2</v>
      </c>
      <c r="AD837" s="31">
        <v>1946.5833333360899</v>
      </c>
      <c r="AE837">
        <v>1.0637210594237139</v>
      </c>
      <c r="AF837">
        <v>6.6874490811640125E-2</v>
      </c>
      <c r="AG837">
        <v>2.6237102264800714E-2</v>
      </c>
      <c r="AS837" s="2"/>
      <c r="AT837" s="2"/>
      <c r="AU837" s="2"/>
      <c r="AW837" s="31">
        <v>1946.5833333360899</v>
      </c>
      <c r="AX837" s="2">
        <v>0.94777850555957233</v>
      </c>
      <c r="AY837" s="2">
        <v>1.4455061964040326</v>
      </c>
      <c r="AZ837" s="2">
        <v>0.65298576072336445</v>
      </c>
    </row>
    <row r="838" spans="11:57" x14ac:dyDescent="0.3">
      <c r="K838" s="31">
        <v>1946.5000000027601</v>
      </c>
      <c r="L838">
        <v>1.1885839193291092</v>
      </c>
      <c r="M838">
        <v>6.1499999999999902E-2</v>
      </c>
      <c r="N838">
        <v>7.3097911038740096E-2</v>
      </c>
      <c r="AD838" s="31">
        <v>1946.5000000027601</v>
      </c>
      <c r="AE838">
        <v>2.2572508917753469</v>
      </c>
      <c r="AF838">
        <v>-0.68658960551538373</v>
      </c>
      <c r="AG838">
        <v>0.49477998249721206</v>
      </c>
      <c r="AS838" s="2"/>
      <c r="AT838" s="2"/>
      <c r="AU838" s="2"/>
      <c r="AW838" s="31">
        <v>1946.5000000027601</v>
      </c>
      <c r="AX838" s="2">
        <v>0.68538526263259969</v>
      </c>
      <c r="AY838" s="2">
        <v>-0.1083026392523672</v>
      </c>
      <c r="AZ838" s="2">
        <v>0.68501897698745395</v>
      </c>
    </row>
    <row r="839" spans="11:57" x14ac:dyDescent="0.3">
      <c r="K839" s="31">
        <v>1946.41666666943</v>
      </c>
      <c r="L839">
        <v>1.0748605809330485</v>
      </c>
      <c r="M839">
        <v>0.1537949999999999</v>
      </c>
      <c r="N839">
        <v>0.12462506149821012</v>
      </c>
      <c r="AD839" s="31">
        <v>1946.41666666943</v>
      </c>
      <c r="AE839">
        <v>1.5805109761038301</v>
      </c>
      <c r="AF839">
        <v>1.573802683465688</v>
      </c>
      <c r="AG839">
        <v>2.4540901106970869</v>
      </c>
      <c r="AS839" s="2"/>
      <c r="AT839" s="2"/>
      <c r="AU839" s="2"/>
      <c r="AW839" s="31">
        <v>1946.41666666943</v>
      </c>
      <c r="AX839" s="2">
        <v>1.1649874873454737</v>
      </c>
      <c r="AY839" s="2">
        <v>0.24857417332271592</v>
      </c>
      <c r="AZ839" s="2">
        <v>1.0221391025410376</v>
      </c>
    </row>
    <row r="840" spans="11:57" x14ac:dyDescent="0.3">
      <c r="K840" s="31">
        <v>1946.3333333360999</v>
      </c>
      <c r="L840">
        <v>0.98975714307396512</v>
      </c>
      <c r="M840">
        <v>0.1537949999999999</v>
      </c>
      <c r="N840">
        <v>0.11489478159445976</v>
      </c>
      <c r="AD840" s="31">
        <v>1946.3333333360999</v>
      </c>
      <c r="AE840">
        <v>1.0740811247435469</v>
      </c>
      <c r="AF840">
        <v>1.573802683465688</v>
      </c>
      <c r="AG840">
        <v>2.0840980619298346</v>
      </c>
      <c r="AS840" s="2"/>
      <c r="AT840" s="2"/>
      <c r="AU840" s="2"/>
      <c r="AW840" s="31">
        <v>1946.3333333360999</v>
      </c>
      <c r="AX840" s="2">
        <v>0.87169094616384735</v>
      </c>
      <c r="AY840" s="2">
        <v>0.7296999896209112</v>
      </c>
      <c r="AZ840" s="2">
        <v>1.1351479576998706</v>
      </c>
    </row>
    <row r="841" spans="11:57" x14ac:dyDescent="0.3">
      <c r="K841" s="31">
        <v>1946.2500000027701</v>
      </c>
      <c r="L841">
        <v>0.91978279709424715</v>
      </c>
      <c r="M841">
        <v>0.1537949999999999</v>
      </c>
      <c r="N841">
        <v>0.10798140351411489</v>
      </c>
      <c r="AD841" s="31">
        <v>1946.2500000027701</v>
      </c>
      <c r="AE841">
        <v>0.65768081795195354</v>
      </c>
      <c r="AF841">
        <v>1.573802683465688</v>
      </c>
      <c r="AG841">
        <v>1.8212181709964279</v>
      </c>
      <c r="AS841" s="2"/>
      <c r="AT841" s="2"/>
      <c r="AU841" s="2"/>
      <c r="AW841" s="31">
        <v>1946.2500000027701</v>
      </c>
      <c r="AX841" s="2">
        <v>0.72422626736038886</v>
      </c>
      <c r="AY841" s="2">
        <v>0.5595360146950159</v>
      </c>
      <c r="AZ841" s="2">
        <v>0.78807061859024896</v>
      </c>
    </row>
    <row r="842" spans="11:57" x14ac:dyDescent="0.3">
      <c r="K842" s="31">
        <v>1946.16666666944</v>
      </c>
      <c r="L842">
        <v>0.86395788658961381</v>
      </c>
      <c r="M842">
        <v>0.1537949999999999</v>
      </c>
      <c r="N842">
        <v>0.10420198286959256</v>
      </c>
      <c r="AD842" s="31">
        <v>1946.16666666944</v>
      </c>
      <c r="AE842">
        <v>0.32548035883683357</v>
      </c>
      <c r="AF842">
        <v>1.573802683465688</v>
      </c>
      <c r="AG842">
        <v>1.6775064174546725</v>
      </c>
      <c r="AS842" s="2"/>
      <c r="AT842" s="2"/>
      <c r="AU842" s="2"/>
      <c r="AW842" s="31">
        <v>1946.16666666944</v>
      </c>
      <c r="AX842" s="2">
        <v>0.49853757213667921</v>
      </c>
      <c r="AY842" s="2">
        <v>0.86458010838664423</v>
      </c>
      <c r="AZ842" s="2">
        <v>1.1602851769440208</v>
      </c>
    </row>
    <row r="843" spans="11:57" x14ac:dyDescent="0.3">
      <c r="K843" s="31">
        <v>1946.0833333361099</v>
      </c>
      <c r="L843">
        <v>0.84476646690888169</v>
      </c>
      <c r="M843">
        <v>6.1514999999999952E-2</v>
      </c>
      <c r="N843">
        <v>5.1965756128141527E-2</v>
      </c>
      <c r="AD843" s="31">
        <v>1946.0833333361099</v>
      </c>
      <c r="AE843">
        <v>0.21127688996640842</v>
      </c>
      <c r="AF843">
        <v>-0.68622224125583742</v>
      </c>
      <c r="AG843">
        <v>-0.30876620194767007</v>
      </c>
      <c r="AS843" s="2"/>
      <c r="AT843" s="2"/>
      <c r="AU843" s="2"/>
      <c r="AW843" s="31">
        <v>1946.0833333361099</v>
      </c>
      <c r="AX843" s="2">
        <v>0.55099679170733684</v>
      </c>
      <c r="AY843" s="2">
        <v>-0.87038484719517628</v>
      </c>
      <c r="AZ843" s="2">
        <v>-0.10491078082078728</v>
      </c>
    </row>
    <row r="844" spans="11:57" x14ac:dyDescent="0.3">
      <c r="K844" s="31">
        <v>1946.0000000027801</v>
      </c>
      <c r="L844">
        <v>0.92063266037049174</v>
      </c>
      <c r="M844">
        <v>6.1514999999999952E-2</v>
      </c>
      <c r="N844">
        <v>5.6631697688105262E-2</v>
      </c>
      <c r="AD844" s="31">
        <v>1946.0000000027801</v>
      </c>
      <c r="AE844">
        <v>0.66273814752044613</v>
      </c>
      <c r="AF844">
        <v>-0.68622224125583742</v>
      </c>
      <c r="AG844">
        <v>-0.13134465865436182</v>
      </c>
      <c r="AS844" s="2"/>
      <c r="AT844" s="2"/>
      <c r="AU844" s="2"/>
      <c r="AW844" s="31">
        <v>1946.0000000027801</v>
      </c>
      <c r="AX844" s="2">
        <v>0.74307181847187109</v>
      </c>
      <c r="AY844" s="2">
        <v>-0.21981065223360952</v>
      </c>
      <c r="AZ844" s="2">
        <v>0.64728560317971606</v>
      </c>
    </row>
    <row r="845" spans="11:57" x14ac:dyDescent="0.3">
      <c r="K845" s="31">
        <v>1945.91666666945</v>
      </c>
      <c r="L845">
        <v>1.013880603010473</v>
      </c>
      <c r="M845">
        <v>6.1514999999999952E-2</v>
      </c>
      <c r="N845">
        <v>6.2366784931049635E-2</v>
      </c>
      <c r="AD845" s="31">
        <v>1945.91666666945</v>
      </c>
      <c r="AE845">
        <v>1.2176339651137611</v>
      </c>
      <c r="AF845">
        <v>-0.68622224125583742</v>
      </c>
      <c r="AG845">
        <v>8.6730946555932192E-2</v>
      </c>
      <c r="AS845" s="2"/>
      <c r="AT845" s="2"/>
      <c r="AU845" s="2"/>
      <c r="AW845" s="31">
        <v>1945.91666666945</v>
      </c>
      <c r="AX845" s="2">
        <v>1.3199327756071393</v>
      </c>
      <c r="AY845" s="2">
        <v>-0.51751295497595129</v>
      </c>
      <c r="AZ845" s="2">
        <v>1.1240762965023456</v>
      </c>
    </row>
    <row r="846" spans="11:57" x14ac:dyDescent="0.3">
      <c r="K846" s="31">
        <v>1945.8333333361199</v>
      </c>
      <c r="L846">
        <v>1.1210151852203798</v>
      </c>
      <c r="M846">
        <v>6.1514999999999952E-2</v>
      </c>
      <c r="N846">
        <v>6.895590948125882E-2</v>
      </c>
      <c r="AD846" s="31">
        <v>1945.8333333361199</v>
      </c>
      <c r="AE846">
        <v>1.8551657958953562</v>
      </c>
      <c r="AF846">
        <v>-0.68622224125583742</v>
      </c>
      <c r="AG846">
        <v>0.33728115847479417</v>
      </c>
      <c r="AS846" s="2"/>
      <c r="AT846" s="2"/>
      <c r="AU846" s="2"/>
      <c r="AW846" s="31">
        <v>1945.8333333361199</v>
      </c>
      <c r="AX846" s="2">
        <v>1.3592839405310415</v>
      </c>
      <c r="AY846" s="2">
        <v>-0.19138401234735175</v>
      </c>
      <c r="AZ846" s="2">
        <v>1.2568854158253007</v>
      </c>
    </row>
    <row r="847" spans="11:57" x14ac:dyDescent="0.3">
      <c r="K847" s="31">
        <v>1945.7500000027901</v>
      </c>
      <c r="L847">
        <v>1.2350965520442654</v>
      </c>
      <c r="M847">
        <v>6.1514999999999952E-2</v>
      </c>
      <c r="N847">
        <v>7.5972274489296276E-2</v>
      </c>
      <c r="AD847" s="31">
        <v>1945.7500000027901</v>
      </c>
      <c r="AE847">
        <v>2.5340362516255053</v>
      </c>
      <c r="AF847">
        <v>-0.68622224125583742</v>
      </c>
      <c r="AG847">
        <v>0.60407710781044033</v>
      </c>
      <c r="AS847" s="2"/>
      <c r="AT847" s="2"/>
      <c r="AU847" s="2"/>
      <c r="AW847" s="31">
        <v>1945.7500000027901</v>
      </c>
      <c r="AX847" s="2">
        <v>2.9418744404348565</v>
      </c>
      <c r="AY847" s="2">
        <v>-0.6564669997761764</v>
      </c>
      <c r="AZ847" s="2">
        <v>1.7074853570542969</v>
      </c>
    </row>
    <row r="848" spans="11:57" x14ac:dyDescent="0.3">
      <c r="K848" s="31">
        <v>1945.66666666946</v>
      </c>
      <c r="L848">
        <v>1.2899724126250864</v>
      </c>
      <c r="M848">
        <v>6.1514999999999952E-2</v>
      </c>
      <c r="N848">
        <v>7.9347479794952963E-2</v>
      </c>
      <c r="AD848" s="31">
        <v>1945.66666666946</v>
      </c>
      <c r="AE848">
        <v>2.8605891455665184</v>
      </c>
      <c r="AF848">
        <v>-0.68622224125583742</v>
      </c>
      <c r="AG848">
        <v>0.73241864971908477</v>
      </c>
      <c r="AS848" s="2"/>
      <c r="AT848" s="2"/>
      <c r="AU848" s="2"/>
      <c r="AW848" s="31">
        <v>1945.66666666946</v>
      </c>
      <c r="AX848" s="2">
        <v>1.687585611277518</v>
      </c>
      <c r="AY848" s="2">
        <v>-0.23837245449551037</v>
      </c>
      <c r="AZ848" s="2">
        <v>1.67296044779445</v>
      </c>
    </row>
    <row r="849" spans="11:52" x14ac:dyDescent="0.3">
      <c r="K849" s="31">
        <v>1945.58333333613</v>
      </c>
      <c r="L849">
        <v>1.3461369998335349</v>
      </c>
      <c r="M849">
        <v>6.1514999999999952E-2</v>
      </c>
      <c r="N849">
        <v>8.2801895689091298E-2</v>
      </c>
      <c r="AD849" s="31">
        <v>1945.58333333613</v>
      </c>
      <c r="AE849">
        <v>3.1948109380960235</v>
      </c>
      <c r="AF849">
        <v>-0.68622224125583742</v>
      </c>
      <c r="AG849">
        <v>0.8637721592387626</v>
      </c>
      <c r="AS849" s="2"/>
      <c r="AT849" s="2"/>
      <c r="AU849" s="2"/>
      <c r="AW849" s="31">
        <v>1945.58333333613</v>
      </c>
      <c r="AX849" s="2">
        <v>3.3301411946943946</v>
      </c>
      <c r="AY849" s="2">
        <v>-0.53553372549108424</v>
      </c>
      <c r="AZ849" s="2">
        <v>2.7832035843057348</v>
      </c>
    </row>
    <row r="850" spans="11:52" x14ac:dyDescent="0.3">
      <c r="K850" s="31">
        <v>1945.5000000028001</v>
      </c>
      <c r="L850">
        <v>1.404606622691329</v>
      </c>
      <c r="M850">
        <v>6.1514999999999952E-2</v>
      </c>
      <c r="N850">
        <v>8.6398077344543273E-2</v>
      </c>
      <c r="AD850" s="31">
        <v>1945.5000000028001</v>
      </c>
      <c r="AE850">
        <v>3.5427494369143062</v>
      </c>
      <c r="AF850">
        <v>-0.68622224125583742</v>
      </c>
      <c r="AG850">
        <v>1.0005162849578024</v>
      </c>
      <c r="AS850" s="2"/>
      <c r="AT850" s="2"/>
      <c r="AU850" s="2"/>
      <c r="AW850" s="31">
        <v>1945.5000000028001</v>
      </c>
      <c r="AX850" s="2">
        <v>1.1955745953444235</v>
      </c>
      <c r="AY850" s="2">
        <v>-0.10780241638246968</v>
      </c>
      <c r="AZ850" s="2">
        <v>1.1957323284632371</v>
      </c>
    </row>
    <row r="851" spans="11:52" x14ac:dyDescent="0.3">
      <c r="K851" s="31">
        <v>1945.41666666947</v>
      </c>
      <c r="L851">
        <v>1.3746276142121641</v>
      </c>
      <c r="M851">
        <v>0.15377999999999986</v>
      </c>
      <c r="N851">
        <v>0.11561720280542648</v>
      </c>
      <c r="AD851" s="31">
        <v>1945.41666666947</v>
      </c>
      <c r="AE851">
        <v>3.3643516519367904</v>
      </c>
      <c r="AF851">
        <v>1.5734353192061419</v>
      </c>
      <c r="AG851">
        <v>2.1115679915271808</v>
      </c>
      <c r="AS851" s="2"/>
      <c r="AT851" s="2"/>
      <c r="AU851" s="2"/>
      <c r="AW851" s="31">
        <v>1945.41666666947</v>
      </c>
      <c r="AX851" s="2">
        <v>2.9548140507726082</v>
      </c>
      <c r="AY851" s="2">
        <v>0.24826500666177614</v>
      </c>
      <c r="AZ851" s="2">
        <v>0.77242778003524393</v>
      </c>
    </row>
    <row r="852" spans="11:52" x14ac:dyDescent="0.3">
      <c r="K852" s="31">
        <v>1945.33333333614</v>
      </c>
      <c r="L852">
        <v>1.1866288645299328</v>
      </c>
      <c r="M852">
        <v>0.12301499999999986</v>
      </c>
      <c r="N852">
        <v>7.2992679601967425E-2</v>
      </c>
      <c r="AD852" s="31">
        <v>1945.33333333614</v>
      </c>
      <c r="AE852">
        <v>2.2456168363687068</v>
      </c>
      <c r="AF852">
        <v>0.81997122287911783</v>
      </c>
      <c r="AG852">
        <v>0.49077857706269468</v>
      </c>
      <c r="AS852" s="2"/>
      <c r="AT852" s="2"/>
      <c r="AU852" s="2"/>
      <c r="AW852" s="31">
        <v>1945.33333333614</v>
      </c>
      <c r="AX852" s="2">
        <v>1.9852375341589032</v>
      </c>
      <c r="AY852" s="2">
        <v>6.2747505337402268E-2</v>
      </c>
      <c r="AZ852" s="2">
        <v>-9.5663213980489575E-3</v>
      </c>
    </row>
    <row r="853" spans="11:52" x14ac:dyDescent="0.3">
      <c r="K853" s="31">
        <v>1945.2500000028101</v>
      </c>
      <c r="L853">
        <v>1.140598484705357</v>
      </c>
      <c r="M853">
        <v>0.15377999999999986</v>
      </c>
      <c r="N853">
        <v>0.10031590705922022</v>
      </c>
      <c r="AD853" s="31">
        <v>1945.2500000028101</v>
      </c>
      <c r="AE853">
        <v>1.9717012461287851</v>
      </c>
      <c r="AF853">
        <v>1.5734353192061419</v>
      </c>
      <c r="AG853">
        <v>1.529739121450131</v>
      </c>
      <c r="AS853" s="2"/>
      <c r="AT853" s="2"/>
      <c r="AU853" s="2"/>
      <c r="AW853" s="31">
        <v>1945.2500000028101</v>
      </c>
      <c r="AX853" s="2">
        <v>2.0595866281947073</v>
      </c>
      <c r="AY853" s="2">
        <v>0.5591995610722349</v>
      </c>
      <c r="AZ853" s="2">
        <v>0.58782123293435951</v>
      </c>
    </row>
    <row r="854" spans="11:52" x14ac:dyDescent="0.3">
      <c r="K854" s="31">
        <v>1945.16666666948</v>
      </c>
      <c r="L854">
        <v>1.1110602830375205</v>
      </c>
      <c r="M854">
        <v>0.12301499999999986</v>
      </c>
      <c r="N854">
        <v>6.8344406363873775E-2</v>
      </c>
      <c r="AD854" s="31">
        <v>1945.16666666948</v>
      </c>
      <c r="AE854">
        <v>1.795926595228523</v>
      </c>
      <c r="AF854">
        <v>0.81997122287911783</v>
      </c>
      <c r="AG854">
        <v>0.31402886835910593</v>
      </c>
      <c r="AS854" s="2"/>
      <c r="AT854" s="2"/>
      <c r="AU854" s="2"/>
      <c r="AW854" s="31">
        <v>1945.16666666948</v>
      </c>
      <c r="AX854" s="2">
        <v>1.9398443076555685</v>
      </c>
      <c r="AY854" s="2">
        <v>0.19080318216020514</v>
      </c>
      <c r="AZ854" s="2">
        <v>8.2414587338890885E-2</v>
      </c>
    </row>
    <row r="855" spans="11:52" x14ac:dyDescent="0.3">
      <c r="K855" s="31">
        <v>1945.08333333615</v>
      </c>
      <c r="L855">
        <v>1.0671216526584892</v>
      </c>
      <c r="M855">
        <v>9.2279999999999945E-2</v>
      </c>
      <c r="N855">
        <v>9.2391003460772489E-2</v>
      </c>
      <c r="AD855" s="31">
        <v>1945.08333333615</v>
      </c>
      <c r="AE855">
        <v>1.5344584969752844</v>
      </c>
      <c r="AF855">
        <v>6.7241855071186282E-2</v>
      </c>
      <c r="AG855">
        <v>1.2283961644461394</v>
      </c>
      <c r="AS855" s="2"/>
      <c r="AT855" s="2"/>
      <c r="AU855" s="2"/>
      <c r="AW855" s="31">
        <v>1945.08333333615</v>
      </c>
      <c r="AX855" s="2">
        <v>1.9650435162003539</v>
      </c>
      <c r="AY855" s="2">
        <v>0.56120938963997447</v>
      </c>
      <c r="AZ855" s="2">
        <v>2.8951663983792537</v>
      </c>
    </row>
    <row r="856" spans="11:52" x14ac:dyDescent="0.3">
      <c r="K856" s="31">
        <v>1945.0000000028199</v>
      </c>
      <c r="L856">
        <v>1.0381253952749572</v>
      </c>
      <c r="M856">
        <v>6.1514999999999952E-2</v>
      </c>
      <c r="N856">
        <v>6.385668046640694E-2</v>
      </c>
      <c r="AD856" s="31">
        <v>1945.0000000028199</v>
      </c>
      <c r="AE856">
        <v>1.361908824645222</v>
      </c>
      <c r="AF856">
        <v>-0.68622224125583742</v>
      </c>
      <c r="AG856">
        <v>0.14338394184783151</v>
      </c>
      <c r="AS856" s="2"/>
      <c r="AT856" s="2"/>
      <c r="AU856" s="2"/>
      <c r="AW856" s="31">
        <v>1945.0000000028199</v>
      </c>
      <c r="AX856" s="2">
        <v>1.2746094449485819</v>
      </c>
      <c r="AY856" s="2">
        <v>-0.21981065223360952</v>
      </c>
      <c r="AZ856" s="2">
        <v>1.1578465096945272</v>
      </c>
    </row>
    <row r="857" spans="11:52" x14ac:dyDescent="0.3">
      <c r="K857" s="31">
        <v>1944.91666666949</v>
      </c>
      <c r="L857">
        <v>0.77440608509902953</v>
      </c>
      <c r="M857">
        <v>6.1530000000000001E-2</v>
      </c>
      <c r="N857">
        <v>4.7649206416143286E-2</v>
      </c>
      <c r="AD857" s="31">
        <v>1944.91666666949</v>
      </c>
      <c r="AE857">
        <v>-0.20742062212020848</v>
      </c>
      <c r="AF857">
        <v>-0.68585487699629111</v>
      </c>
      <c r="AG857">
        <v>-0.47290218645643567</v>
      </c>
      <c r="AS857" s="2"/>
      <c r="AT857" s="2"/>
      <c r="AU857" s="2"/>
      <c r="AW857" s="31">
        <v>1944.91666666949</v>
      </c>
      <c r="AX857" s="2">
        <v>1.8658311964286162E-2</v>
      </c>
      <c r="AY857" s="2">
        <v>-0.51674513160061353</v>
      </c>
      <c r="AZ857" s="2">
        <v>-0.10511281529496623</v>
      </c>
    </row>
    <row r="858" spans="11:52" x14ac:dyDescent="0.3">
      <c r="K858" s="31">
        <v>1944.83333333616</v>
      </c>
      <c r="L858">
        <v>0.79354201994427076</v>
      </c>
      <c r="M858">
        <v>6.1530000000000001E-2</v>
      </c>
      <c r="N858">
        <v>4.8826640487170982E-2</v>
      </c>
      <c r="AD858" s="31">
        <v>1944.83333333616</v>
      </c>
      <c r="AE858">
        <v>-9.3547330005238655E-2</v>
      </c>
      <c r="AF858">
        <v>-0.68585487699629111</v>
      </c>
      <c r="AG858">
        <v>-0.42813047911223134</v>
      </c>
      <c r="AS858" s="2"/>
      <c r="AT858" s="2"/>
      <c r="AU858" s="2"/>
      <c r="AW858" s="31">
        <v>1944.83333333616</v>
      </c>
      <c r="AX858" s="2">
        <v>8.2762358869712352E-2</v>
      </c>
      <c r="AY858" s="2">
        <v>-0.19067841091384152</v>
      </c>
      <c r="AZ858" s="2">
        <v>3.5742741743852287E-2</v>
      </c>
    </row>
    <row r="859" spans="11:52" x14ac:dyDescent="0.3">
      <c r="K859" s="31">
        <v>1944.7500000028299</v>
      </c>
      <c r="L859">
        <v>0.82320055034832196</v>
      </c>
      <c r="M859">
        <v>0.12306</v>
      </c>
      <c r="N859">
        <v>0.10130305972586451</v>
      </c>
      <c r="AD859" s="31">
        <v>1944.7500000028299</v>
      </c>
      <c r="AE859">
        <v>8.2943367925890368E-2</v>
      </c>
      <c r="AF859">
        <v>0.82107331565775665</v>
      </c>
      <c r="AG859">
        <v>1.5672754144643741</v>
      </c>
      <c r="AS859" s="2"/>
      <c r="AT859" s="2"/>
      <c r="AU859" s="2"/>
      <c r="AW859" s="31">
        <v>1944.7500000028299</v>
      </c>
      <c r="AX859" s="2">
        <v>0.15950707377162784</v>
      </c>
      <c r="AY859" s="2">
        <v>2.5834722613633399</v>
      </c>
      <c r="AZ859" s="2">
        <v>3.6937849935886709</v>
      </c>
    </row>
    <row r="860" spans="11:52" x14ac:dyDescent="0.3">
      <c r="K860" s="31">
        <v>1944.6666666695</v>
      </c>
      <c r="L860">
        <v>0.85457690094055982</v>
      </c>
      <c r="M860">
        <v>6.1530000000000001E-2</v>
      </c>
      <c r="N860">
        <v>5.2582116714872645E-2</v>
      </c>
      <c r="AD860" s="31">
        <v>1944.6666666695</v>
      </c>
      <c r="AE860">
        <v>0.26965639581750306</v>
      </c>
      <c r="AF860">
        <v>-0.68585487699629111</v>
      </c>
      <c r="AG860">
        <v>-0.28532920748092971</v>
      </c>
      <c r="AS860" s="2"/>
      <c r="AT860" s="2"/>
      <c r="AU860" s="2"/>
      <c r="AW860" s="31">
        <v>1944.6666666695</v>
      </c>
      <c r="AX860" s="2">
        <v>8.3608851023291686E-2</v>
      </c>
      <c r="AY860" s="2">
        <v>-0.23771353876763443</v>
      </c>
      <c r="AZ860" s="2">
        <v>6.8619077716288127E-2</v>
      </c>
    </row>
    <row r="861" spans="11:52" x14ac:dyDescent="0.3">
      <c r="K861" s="31">
        <v>1944.58333333617</v>
      </c>
      <c r="L861">
        <v>0.87772145489933262</v>
      </c>
      <c r="M861">
        <v>6.1530000000000001E-2</v>
      </c>
      <c r="N861">
        <v>5.4006201119955938E-2</v>
      </c>
      <c r="AD861" s="31">
        <v>1944.58333333617</v>
      </c>
      <c r="AE861">
        <v>0.40738400490128029</v>
      </c>
      <c r="AF861">
        <v>-0.68585487699629111</v>
      </c>
      <c r="AG861">
        <v>-0.23117866794185876</v>
      </c>
      <c r="AS861" s="2"/>
      <c r="AT861" s="2"/>
      <c r="AU861" s="2"/>
      <c r="AW861" s="31">
        <v>1944.58333333617</v>
      </c>
      <c r="AX861" s="2">
        <v>0.21405397998252218</v>
      </c>
      <c r="AY861" s="2">
        <v>-0.53456736455357123</v>
      </c>
      <c r="AZ861" s="2">
        <v>-1.7350861228797598E-3</v>
      </c>
    </row>
    <row r="862" spans="11:52" x14ac:dyDescent="0.3">
      <c r="K862" s="31">
        <v>1944.5000000028399</v>
      </c>
      <c r="L862">
        <v>0.90097147132039856</v>
      </c>
      <c r="M862">
        <v>6.1530000000000001E-2</v>
      </c>
      <c r="N862">
        <v>5.5436774630344125E-2</v>
      </c>
      <c r="AD862" s="31">
        <v>1944.5000000028399</v>
      </c>
      <c r="AE862">
        <v>0.54573919543707416</v>
      </c>
      <c r="AF862">
        <v>-0.68585487699629111</v>
      </c>
      <c r="AG862">
        <v>-0.17678138140371136</v>
      </c>
      <c r="AS862" s="2"/>
      <c r="AT862" s="2"/>
      <c r="AU862" s="2"/>
      <c r="AW862" s="31">
        <v>1944.5000000028399</v>
      </c>
      <c r="AX862" s="2">
        <v>6.1196083965502608E-3</v>
      </c>
      <c r="AY862" s="2">
        <v>-0.10730219351257217</v>
      </c>
      <c r="AZ862" s="2">
        <v>6.848647488089968E-3</v>
      </c>
    </row>
    <row r="863" spans="11:52" x14ac:dyDescent="0.3">
      <c r="K863" s="31">
        <v>1944.4166666695101</v>
      </c>
      <c r="L863">
        <v>0.97762323312904242</v>
      </c>
      <c r="M863">
        <v>0.24612000000000001</v>
      </c>
      <c r="N863">
        <v>0.24061263013771991</v>
      </c>
      <c r="AD863" s="31">
        <v>1944.4166666695101</v>
      </c>
      <c r="AE863">
        <v>1.001875179080091</v>
      </c>
      <c r="AF863">
        <v>3.8349297009658518</v>
      </c>
      <c r="AG863">
        <v>6.864495420407029</v>
      </c>
      <c r="AS863" s="2"/>
      <c r="AT863" s="2"/>
      <c r="AU863" s="2"/>
      <c r="AW863" s="31">
        <v>1944.4166666695101</v>
      </c>
      <c r="AX863" s="2">
        <v>0.58441000971882306</v>
      </c>
      <c r="AY863" s="2">
        <v>2.1514949714015752</v>
      </c>
      <c r="AZ863" s="2">
        <v>4.2374880713705121</v>
      </c>
    </row>
    <row r="864" spans="11:52" x14ac:dyDescent="0.3">
      <c r="K864" s="31">
        <v>1944.33333333618</v>
      </c>
      <c r="L864">
        <v>1.0863252452889722</v>
      </c>
      <c r="M864">
        <v>0.24612000000000001</v>
      </c>
      <c r="N864">
        <v>0.26736636937052183</v>
      </c>
      <c r="AD864" s="31">
        <v>1944.33333333618</v>
      </c>
      <c r="AE864">
        <v>1.648734404107759</v>
      </c>
      <c r="AF864">
        <v>3.8349297009658518</v>
      </c>
      <c r="AG864">
        <v>7.8818012830178201</v>
      </c>
      <c r="AS864" s="2"/>
      <c r="AT864" s="2"/>
      <c r="AU864" s="2"/>
      <c r="AW864" s="31">
        <v>1944.33333333618</v>
      </c>
      <c r="AX864" s="2">
        <v>1.4178998172775681</v>
      </c>
      <c r="AY864" s="2">
        <v>2.7302324168943013</v>
      </c>
      <c r="AZ864" s="2">
        <v>5.3004856229860184</v>
      </c>
    </row>
    <row r="865" spans="11:52" x14ac:dyDescent="0.3">
      <c r="K865" s="31">
        <v>1944.2500000028499</v>
      </c>
      <c r="L865">
        <v>1.0459739596985564</v>
      </c>
      <c r="M865">
        <v>0.24612000000000001</v>
      </c>
      <c r="N865">
        <v>0.25743511096100874</v>
      </c>
      <c r="AD865" s="31">
        <v>1944.2500000028499</v>
      </c>
      <c r="AE865">
        <v>1.4086137218200749</v>
      </c>
      <c r="AF865">
        <v>3.8349297009658518</v>
      </c>
      <c r="AG865">
        <v>7.5041670646685112</v>
      </c>
      <c r="AS865" s="2"/>
      <c r="AT865" s="2"/>
      <c r="AU865" s="2"/>
      <c r="AW865" s="31">
        <v>1944.2500000028499</v>
      </c>
      <c r="AX865" s="2">
        <v>1.4873544592584467</v>
      </c>
      <c r="AY865" s="2">
        <v>2.6304080629064464</v>
      </c>
      <c r="AZ865" s="2">
        <v>4.692320431546003</v>
      </c>
    </row>
    <row r="866" spans="11:52" x14ac:dyDescent="0.3">
      <c r="K866" s="31">
        <v>1944.1666666695201</v>
      </c>
      <c r="L866">
        <v>0.99542240809714988</v>
      </c>
      <c r="M866">
        <v>0.24612000000000001</v>
      </c>
      <c r="N866">
        <v>0.24499336308087052</v>
      </c>
      <c r="AD866" s="31">
        <v>1944.1666666695201</v>
      </c>
      <c r="AE866">
        <v>1.1077937384261896</v>
      </c>
      <c r="AF866">
        <v>3.8349297009658518</v>
      </c>
      <c r="AG866">
        <v>7.031071960113124</v>
      </c>
      <c r="AS866" s="2"/>
      <c r="AT866" s="2"/>
      <c r="AU866" s="2"/>
      <c r="AW866" s="31">
        <v>1944.1666666695201</v>
      </c>
      <c r="AX866" s="2">
        <v>1.2653480242179294</v>
      </c>
      <c r="AY866" s="2">
        <v>2.8855825357373903</v>
      </c>
      <c r="AZ866" s="2">
        <v>5.3924420260118149</v>
      </c>
    </row>
    <row r="867" spans="11:52" x14ac:dyDescent="0.3">
      <c r="K867" s="31">
        <v>1944.08333333619</v>
      </c>
      <c r="L867">
        <v>0.90318670582496607</v>
      </c>
      <c r="M867">
        <v>6.1530000000000001E-2</v>
      </c>
      <c r="N867">
        <v>5.5573078009410165E-2</v>
      </c>
      <c r="AD867" s="31">
        <v>1944.08333333619</v>
      </c>
      <c r="AE867">
        <v>0.55892151696366044</v>
      </c>
      <c r="AF867">
        <v>-0.68585487699629111</v>
      </c>
      <c r="AG867">
        <v>-0.17159847125380853</v>
      </c>
      <c r="AS867" s="2"/>
      <c r="AT867" s="2"/>
      <c r="AU867" s="2"/>
      <c r="AW867" s="31">
        <v>1944.08333333619</v>
      </c>
      <c r="AX867" s="2">
        <v>0.92251476285289813</v>
      </c>
      <c r="AY867" s="2">
        <v>-0.86968684902996918</v>
      </c>
      <c r="AZ867" s="2">
        <v>0.16279924615751062</v>
      </c>
    </row>
    <row r="868" spans="11:52" x14ac:dyDescent="0.3">
      <c r="K868" s="31">
        <v>1944.0000000028599</v>
      </c>
      <c r="L868">
        <v>0.8834452264613234</v>
      </c>
      <c r="M868">
        <v>6.1530000000000001E-2</v>
      </c>
      <c r="N868">
        <v>5.4358384784165228E-2</v>
      </c>
      <c r="AD868" s="31">
        <v>1944.0000000028599</v>
      </c>
      <c r="AE868">
        <v>0.44144477676056681</v>
      </c>
      <c r="AF868">
        <v>-0.68585487699629111</v>
      </c>
      <c r="AG868">
        <v>-0.21778695087389141</v>
      </c>
      <c r="AS868" s="2"/>
      <c r="AT868" s="2"/>
      <c r="AU868" s="2"/>
      <c r="AW868" s="31">
        <v>1944.0000000028599</v>
      </c>
      <c r="AX868" s="2">
        <v>0.57483571118480148</v>
      </c>
      <c r="AY868" s="2">
        <v>-0.21897704373559218</v>
      </c>
      <c r="AZ868" s="2">
        <v>0.48663958745311936</v>
      </c>
    </row>
    <row r="869" spans="11:52" x14ac:dyDescent="0.3">
      <c r="K869" s="31">
        <v>1943.9166666695301</v>
      </c>
      <c r="L869">
        <v>0.9059301389612906</v>
      </c>
      <c r="M869">
        <v>6.1530000000000001E-2</v>
      </c>
      <c r="N869">
        <v>5.574188145028821E-2</v>
      </c>
      <c r="AD869" s="31">
        <v>1943.9166666695301</v>
      </c>
      <c r="AE869">
        <v>0.57524702002672401</v>
      </c>
      <c r="AF869">
        <v>-0.68585487699629111</v>
      </c>
      <c r="AG869">
        <v>-0.16517975241455324</v>
      </c>
      <c r="AS869" s="2"/>
      <c r="AT869" s="2"/>
      <c r="AU869" s="2"/>
      <c r="AW869" s="31">
        <v>1943.9166666695301</v>
      </c>
      <c r="AX869" s="2">
        <v>0.73334350744315346</v>
      </c>
      <c r="AY869" s="2">
        <v>-0.51674513160061353</v>
      </c>
      <c r="AZ869" s="2">
        <v>0.5707747315056072</v>
      </c>
    </row>
    <row r="870" spans="11:52" x14ac:dyDescent="0.3">
      <c r="K870" s="31">
        <v>1943.8333333362</v>
      </c>
      <c r="AD870" s="31">
        <v>1943.8333333362</v>
      </c>
      <c r="AS870" s="2"/>
      <c r="AT870" s="2"/>
      <c r="AU870" s="2"/>
      <c r="AW870" s="31">
        <v>1943.8333333362</v>
      </c>
      <c r="AX870" s="2"/>
      <c r="AY870" s="2"/>
      <c r="AZ870" s="2"/>
    </row>
    <row r="871" spans="11:52" x14ac:dyDescent="0.3">
      <c r="K871" s="31">
        <v>1943.7500000028699</v>
      </c>
      <c r="L871">
        <v>0.92818335469092228</v>
      </c>
      <c r="M871">
        <v>6.1530000000000001E-2</v>
      </c>
      <c r="N871">
        <v>5.711112181413245E-2</v>
      </c>
      <c r="AD871" s="31">
        <v>1943.7500000028699</v>
      </c>
      <c r="AE871">
        <v>0.70767049218899269</v>
      </c>
      <c r="AF871">
        <v>-0.68585487699629111</v>
      </c>
      <c r="AG871">
        <v>-0.11311464714679156</v>
      </c>
      <c r="AS871" s="2"/>
      <c r="AT871" s="2"/>
      <c r="AU871" s="2"/>
      <c r="AW871" s="31">
        <v>1943.7500000028699</v>
      </c>
      <c r="AX871" s="2">
        <v>0.86866843406875205</v>
      </c>
      <c r="AY871" s="2">
        <v>-0.6556773484817211</v>
      </c>
      <c r="AZ871" s="2">
        <v>0.22849841079835131</v>
      </c>
    </row>
    <row r="872" spans="11:52" x14ac:dyDescent="0.3">
      <c r="K872" s="31">
        <v>1943.6666666695401</v>
      </c>
      <c r="L872">
        <v>0.95180691491745451</v>
      </c>
      <c r="M872">
        <v>6.1530000000000001E-2</v>
      </c>
      <c r="N872">
        <v>5.8564679474870977E-2</v>
      </c>
      <c r="AD872" s="31">
        <v>1943.6666666695501</v>
      </c>
      <c r="AE872">
        <v>0.84824855102056662</v>
      </c>
      <c r="AF872">
        <v>-0.68585487699629111</v>
      </c>
      <c r="AG872">
        <v>-5.7843392648686591E-2</v>
      </c>
      <c r="AS872" s="2"/>
      <c r="AT872" s="2"/>
      <c r="AU872" s="2"/>
      <c r="AW872" s="31">
        <v>1943.6666666695501</v>
      </c>
      <c r="AX872" s="2">
        <v>0.44179968816525184</v>
      </c>
      <c r="AY872" s="2">
        <v>-0.23771353876763443</v>
      </c>
      <c r="AZ872" s="2">
        <v>0.4272195908584962</v>
      </c>
    </row>
    <row r="873" spans="11:52" x14ac:dyDescent="0.3">
      <c r="K873" s="31">
        <v>1943.58333333621</v>
      </c>
      <c r="L873">
        <v>0.97518704512804488</v>
      </c>
      <c r="M873">
        <v>6.1530000000000001E-2</v>
      </c>
      <c r="N873">
        <v>6.0003258886728604E-2</v>
      </c>
      <c r="AD873" s="31">
        <v>1943.58333333622</v>
      </c>
      <c r="AE873">
        <v>0.98737801705857808</v>
      </c>
      <c r="AF873">
        <v>-0.68585487699629111</v>
      </c>
      <c r="AG873">
        <v>-3.141683224845546E-3</v>
      </c>
      <c r="AS873" s="2"/>
      <c r="AT873" s="2"/>
      <c r="AU873" s="2"/>
      <c r="AW873" s="31">
        <v>1943.58333333622</v>
      </c>
      <c r="AX873" s="2">
        <v>0.86243399826030731</v>
      </c>
      <c r="AY873" s="2">
        <v>-0.53456736455357123</v>
      </c>
      <c r="AZ873" s="2">
        <v>0.57826266469994236</v>
      </c>
    </row>
    <row r="874" spans="11:52" x14ac:dyDescent="0.3">
      <c r="K874" s="31">
        <v>1943.5000000028799</v>
      </c>
      <c r="AD874" s="31">
        <v>1943.5000000028899</v>
      </c>
      <c r="AS874" s="2"/>
      <c r="AT874" s="2"/>
      <c r="AU874" s="2"/>
      <c r="AW874" s="31">
        <v>1943.5000000028899</v>
      </c>
      <c r="AX874" s="2"/>
      <c r="AY874" s="2"/>
      <c r="AZ874" s="2"/>
    </row>
    <row r="875" spans="11:52" x14ac:dyDescent="0.3">
      <c r="K875" s="31">
        <v>1943.4166666695501</v>
      </c>
      <c r="L875">
        <v>1.0219496520671041</v>
      </c>
      <c r="M875">
        <v>0.18459</v>
      </c>
      <c r="N875">
        <v>0.18864168627506675</v>
      </c>
      <c r="AD875" s="31">
        <v>1943.4166666695601</v>
      </c>
      <c r="AE875">
        <v>1.2656509126915416</v>
      </c>
      <c r="AF875">
        <v>2.3280015083118046</v>
      </c>
      <c r="AG875">
        <v>4.888310132181199</v>
      </c>
      <c r="AS875" s="2"/>
      <c r="AT875" s="2"/>
      <c r="AU875" s="2"/>
      <c r="AW875" s="31">
        <v>1943.4166666695601</v>
      </c>
      <c r="AX875" s="2">
        <v>0.84907087388753699</v>
      </c>
      <c r="AY875" s="2">
        <v>0.88329332823025564</v>
      </c>
      <c r="AZ875" s="2">
        <v>2.7967757371268398</v>
      </c>
    </row>
    <row r="876" spans="11:52" x14ac:dyDescent="0.3">
      <c r="K876" s="31">
        <v>1943.33333333622</v>
      </c>
      <c r="L876">
        <v>1.0071642901601345</v>
      </c>
      <c r="M876">
        <v>0.12306</v>
      </c>
      <c r="N876">
        <v>0.12394163754710616</v>
      </c>
      <c r="AD876" s="31">
        <v>1943.33333333623</v>
      </c>
      <c r="AE876">
        <v>1.1776668215523212</v>
      </c>
      <c r="AF876">
        <v>0.82107331565775665</v>
      </c>
      <c r="AG876">
        <v>2.4281030445132963</v>
      </c>
      <c r="AS876" s="2"/>
      <c r="AT876" s="2"/>
      <c r="AU876" s="2"/>
      <c r="AW876" s="31">
        <v>1943.33333333623</v>
      </c>
      <c r="AX876" s="2">
        <v>0.97014931845408703</v>
      </c>
      <c r="AY876" s="2">
        <v>6.3722582068813996E-2</v>
      </c>
      <c r="AZ876" s="2">
        <v>1.3822970193815938</v>
      </c>
    </row>
    <row r="877" spans="11:52" x14ac:dyDescent="0.3">
      <c r="K877" s="31">
        <v>1943.2500000028899</v>
      </c>
      <c r="L877">
        <v>0.84623603363283706</v>
      </c>
      <c r="M877">
        <v>0.18459</v>
      </c>
      <c r="N877">
        <v>0.15620670944828541</v>
      </c>
      <c r="AD877" s="31">
        <v>1943.2500000028999</v>
      </c>
      <c r="AE877">
        <v>0.22002192396619888</v>
      </c>
      <c r="AF877">
        <v>2.3280015083118046</v>
      </c>
      <c r="AG877">
        <v>3.6549762870537088</v>
      </c>
      <c r="AS877" s="2"/>
      <c r="AT877" s="2"/>
      <c r="AU877" s="2"/>
      <c r="AW877" s="31">
        <v>1943.2500000028999</v>
      </c>
      <c r="AX877" s="2">
        <v>0.27945971269879161</v>
      </c>
      <c r="AY877" s="2">
        <v>1.2502753022625344</v>
      </c>
      <c r="AZ877" s="2">
        <v>2.047883070818127</v>
      </c>
    </row>
    <row r="878" spans="11:52" x14ac:dyDescent="0.3">
      <c r="K878" s="31">
        <v>1943.1666666695601</v>
      </c>
      <c r="L878">
        <v>0.73085802097315644</v>
      </c>
      <c r="M878">
        <v>0.12306</v>
      </c>
      <c r="N878">
        <v>8.9939388060956638E-2</v>
      </c>
      <c r="AD878" s="31">
        <v>1943.1666666695701</v>
      </c>
      <c r="AE878">
        <v>-0.46656455563334909</v>
      </c>
      <c r="AF878">
        <v>0.82107331565775665</v>
      </c>
      <c r="AG878">
        <v>1.1351739536218037</v>
      </c>
      <c r="AS878" s="2"/>
      <c r="AT878" s="2"/>
      <c r="AU878" s="2"/>
      <c r="AW878" s="31">
        <v>1943.1666666695701</v>
      </c>
      <c r="AX878" s="2">
        <v>-0.27781156719715017</v>
      </c>
      <c r="AY878" s="2">
        <v>0.19178823614591942</v>
      </c>
      <c r="AZ878" s="2">
        <v>0.7315548227542541</v>
      </c>
    </row>
    <row r="879" spans="11:52" x14ac:dyDescent="0.3">
      <c r="K879" s="31">
        <v>1943.08333333623</v>
      </c>
      <c r="L879">
        <v>0.66272831068498417</v>
      </c>
      <c r="M879">
        <v>0.12306</v>
      </c>
      <c r="N879">
        <v>8.155534591289415E-2</v>
      </c>
      <c r="AD879" s="31">
        <v>1943.08333333624</v>
      </c>
      <c r="AE879">
        <v>-0.87198788426067364</v>
      </c>
      <c r="AF879">
        <v>0.82107331565775665</v>
      </c>
      <c r="AG879">
        <v>0.81637234030778039</v>
      </c>
      <c r="AS879" s="2"/>
      <c r="AT879" s="2"/>
      <c r="AU879" s="2"/>
      <c r="AW879" s="31">
        <v>1943.08333333624</v>
      </c>
      <c r="AX879" s="2">
        <v>-0.60665760557314019</v>
      </c>
      <c r="AY879" s="2">
        <v>1.993501624640333</v>
      </c>
      <c r="AZ879" s="2">
        <v>2.0910202007435892</v>
      </c>
    </row>
    <row r="880" spans="11:52" x14ac:dyDescent="0.3">
      <c r="K880" s="31">
        <v>1943.0000000028999</v>
      </c>
      <c r="L880">
        <v>0.6461051062722285</v>
      </c>
      <c r="M880">
        <v>6.1530000000000001E-2</v>
      </c>
      <c r="N880">
        <v>3.9754847188930222E-2</v>
      </c>
      <c r="AD880" s="31">
        <v>1943.0000000029099</v>
      </c>
      <c r="AE880">
        <v>-0.97090852896862334</v>
      </c>
      <c r="AF880">
        <v>-0.68585487699629111</v>
      </c>
      <c r="AG880">
        <v>-0.77308369953453693</v>
      </c>
      <c r="AS880" s="2"/>
      <c r="AT880" s="2"/>
      <c r="AU880" s="2"/>
      <c r="AW880" s="31">
        <v>1943.0000000029099</v>
      </c>
      <c r="AX880" s="2">
        <v>-0.49889198998401418</v>
      </c>
      <c r="AY880" s="2">
        <v>-0.21897704373559218</v>
      </c>
      <c r="AZ880" s="2">
        <v>-0.54533455307195122</v>
      </c>
    </row>
    <row r="881" spans="11:52" x14ac:dyDescent="0.3">
      <c r="K881" s="31">
        <v>1942.9166666695701</v>
      </c>
      <c r="L881">
        <v>0.6423831893334403</v>
      </c>
      <c r="M881">
        <v>6.1530000000000001E-2</v>
      </c>
      <c r="N881">
        <v>3.9525837639686583E-2</v>
      </c>
      <c r="AD881" s="31">
        <v>1942.9166666695801</v>
      </c>
      <c r="AE881">
        <v>-0.99305675105580715</v>
      </c>
      <c r="AF881">
        <v>-0.68585487699629111</v>
      </c>
      <c r="AG881">
        <v>-0.78179174423109909</v>
      </c>
      <c r="AS881" s="2"/>
      <c r="AT881" s="2"/>
      <c r="AU881" s="2"/>
      <c r="AW881" s="31">
        <v>1942.9166666695801</v>
      </c>
      <c r="AX881" s="2">
        <v>-0.69873752778628595</v>
      </c>
      <c r="AY881" s="2">
        <v>-0.51674513160061353</v>
      </c>
      <c r="AZ881" s="2">
        <v>-0.78356385539110718</v>
      </c>
    </row>
    <row r="882" spans="11:52" x14ac:dyDescent="0.3">
      <c r="K882" s="31">
        <v>1942.83333333624</v>
      </c>
      <c r="L882">
        <v>0.63914368851543157</v>
      </c>
      <c r="M882">
        <v>6.1530000000000001E-2</v>
      </c>
      <c r="N882">
        <v>3.9326511154354503E-2</v>
      </c>
      <c r="AD882" s="31">
        <v>1942.83333333625</v>
      </c>
      <c r="AE882">
        <v>-1.0123342321895563</v>
      </c>
      <c r="AF882">
        <v>-0.68585487699629111</v>
      </c>
      <c r="AG882">
        <v>-0.78937109604945399</v>
      </c>
      <c r="AS882" s="2"/>
      <c r="AT882" s="2"/>
      <c r="AU882" s="2"/>
      <c r="AW882" s="31">
        <v>1942.83333333625</v>
      </c>
      <c r="AX882" s="2">
        <v>-0.5190970395186506</v>
      </c>
      <c r="AY882" s="2">
        <v>-0.19067841091384152</v>
      </c>
      <c r="AZ882" s="2">
        <v>-0.54058287350836831</v>
      </c>
    </row>
    <row r="883" spans="11:52" x14ac:dyDescent="0.3">
      <c r="K883" s="31">
        <v>1942.7500000029099</v>
      </c>
      <c r="L883">
        <v>0.66925290582897634</v>
      </c>
      <c r="M883">
        <v>0.12306</v>
      </c>
      <c r="N883">
        <v>8.2358262591313833E-2</v>
      </c>
      <c r="AD883" s="31">
        <v>1942.7500000029199</v>
      </c>
      <c r="AE883">
        <v>-0.83316160612101431</v>
      </c>
      <c r="AF883">
        <v>0.82107331565775665</v>
      </c>
      <c r="AG883">
        <v>0.84690309479546921</v>
      </c>
      <c r="AS883" s="2"/>
      <c r="AT883" s="2"/>
      <c r="AU883" s="2"/>
      <c r="AW883" s="31">
        <v>1942.7500000029199</v>
      </c>
      <c r="AX883" s="2">
        <v>-0.88041295585151236</v>
      </c>
      <c r="AY883" s="2">
        <v>2.5834722613633399</v>
      </c>
      <c r="AZ883" s="2">
        <v>2.2082391129086014</v>
      </c>
    </row>
    <row r="884" spans="11:52" x14ac:dyDescent="0.3">
      <c r="K884" s="31">
        <v>1942.6666666695801</v>
      </c>
      <c r="L884">
        <v>0.73761196508523408</v>
      </c>
      <c r="M884">
        <v>6.1530000000000001E-2</v>
      </c>
      <c r="N884">
        <v>4.5385264211694455E-2</v>
      </c>
      <c r="AD884" s="31">
        <v>1942.6666666695901</v>
      </c>
      <c r="AE884">
        <v>-0.42637347758972494</v>
      </c>
      <c r="AF884">
        <v>-0.68585487699629111</v>
      </c>
      <c r="AG884">
        <v>-0.55898815960421933</v>
      </c>
      <c r="AS884" s="2"/>
      <c r="AT884" s="2"/>
      <c r="AU884" s="2"/>
      <c r="AW884" s="31">
        <v>1942.6666666695901</v>
      </c>
      <c r="AX884" s="2">
        <v>-0.34728451797520221</v>
      </c>
      <c r="AY884" s="2">
        <v>-0.23771353876763443</v>
      </c>
      <c r="AZ884" s="2">
        <v>-0.36276711983514437</v>
      </c>
    </row>
    <row r="885" spans="11:52" x14ac:dyDescent="0.3">
      <c r="K885" s="31">
        <v>1942.58333333625</v>
      </c>
      <c r="L885">
        <v>0.78726285886900804</v>
      </c>
      <c r="M885">
        <v>6.1530000000000001E-2</v>
      </c>
      <c r="N885">
        <v>4.8440283706210063E-2</v>
      </c>
      <c r="AD885" s="31">
        <v>1942.58333333626</v>
      </c>
      <c r="AE885">
        <v>-0.13091308972082186</v>
      </c>
      <c r="AF885">
        <v>-0.68585487699629111</v>
      </c>
      <c r="AG885">
        <v>-0.44282162246646861</v>
      </c>
      <c r="AS885" s="2"/>
      <c r="AT885" s="2"/>
      <c r="AU885" s="2"/>
      <c r="AW885" s="31">
        <v>1942.58333333626</v>
      </c>
      <c r="AX885" s="2">
        <v>-0.38771271542139629</v>
      </c>
      <c r="AY885" s="2">
        <v>-0.53456736455357123</v>
      </c>
      <c r="AZ885" s="2">
        <v>-0.5400356506304419</v>
      </c>
    </row>
    <row r="886" spans="11:52" x14ac:dyDescent="0.3">
      <c r="K886" s="31">
        <v>1942.5000000029199</v>
      </c>
      <c r="L886">
        <v>0.83132257277709276</v>
      </c>
      <c r="M886">
        <v>6.1530000000000001E-2</v>
      </c>
      <c r="N886">
        <v>5.1151277902974517E-2</v>
      </c>
      <c r="AD886" s="31">
        <v>1942.5000000029299</v>
      </c>
      <c r="AE886">
        <v>0.13127554715181181</v>
      </c>
      <c r="AF886">
        <v>-0.68585487699629111</v>
      </c>
      <c r="AG886">
        <v>-0.33973658205869928</v>
      </c>
      <c r="AS886" s="2"/>
      <c r="AT886" s="2"/>
      <c r="AU886" s="2"/>
      <c r="AW886" s="31">
        <v>1942.5000000029299</v>
      </c>
      <c r="AX886" s="2">
        <v>-0.15837294039051061</v>
      </c>
      <c r="AY886" s="2">
        <v>-0.10730219351257217</v>
      </c>
      <c r="AZ886" s="2">
        <v>-0.15771022689368891</v>
      </c>
    </row>
    <row r="887" spans="11:52" x14ac:dyDescent="0.3">
      <c r="K887" s="31">
        <v>1942.4166666695901</v>
      </c>
      <c r="L887">
        <v>0.86114192988367555</v>
      </c>
      <c r="M887">
        <v>0.12306</v>
      </c>
      <c r="N887">
        <v>0.10597212589148512</v>
      </c>
      <c r="AD887" s="31">
        <v>1942.4166666696001</v>
      </c>
      <c r="AE887">
        <v>0.30872328565740859</v>
      </c>
      <c r="AF887">
        <v>0.82107331565775665</v>
      </c>
      <c r="AG887">
        <v>1.7448157702954525</v>
      </c>
      <c r="AS887" s="2"/>
      <c r="AT887" s="2"/>
      <c r="AU887" s="2"/>
      <c r="AW887" s="31">
        <v>1942.4166666696001</v>
      </c>
      <c r="AX887" s="2">
        <v>-0.11106783656272659</v>
      </c>
      <c r="AY887" s="2">
        <v>-0.38490831494106409</v>
      </c>
      <c r="AZ887" s="2">
        <v>0.50505181489273177</v>
      </c>
    </row>
    <row r="888" spans="11:52" x14ac:dyDescent="0.3">
      <c r="K888" s="31">
        <v>1942.33333333626</v>
      </c>
      <c r="L888">
        <v>0.89139263104344657</v>
      </c>
      <c r="M888">
        <v>6.1530000000000001E-2</v>
      </c>
      <c r="N888">
        <v>5.4847388588103271E-2</v>
      </c>
      <c r="AD888" s="31">
        <v>1942.33333333627</v>
      </c>
      <c r="AE888">
        <v>0.48873784766904238</v>
      </c>
      <c r="AF888">
        <v>-0.68585487699629111</v>
      </c>
      <c r="AG888">
        <v>-0.19919267392978407</v>
      </c>
      <c r="AS888" s="2"/>
      <c r="AT888" s="2"/>
      <c r="AU888" s="2"/>
      <c r="AW888" s="31">
        <v>1942.33333333627</v>
      </c>
      <c r="AX888" s="2">
        <v>0.31532121494330317</v>
      </c>
      <c r="AY888" s="2">
        <v>-1.2695323353439296</v>
      </c>
      <c r="AZ888" s="2">
        <v>-0.50527352304819684</v>
      </c>
    </row>
    <row r="889" spans="11:52" x14ac:dyDescent="0.3">
      <c r="K889" s="31">
        <v>1942.2500000029299</v>
      </c>
      <c r="L889">
        <v>0.90390727851937303</v>
      </c>
      <c r="M889">
        <v>0.12306</v>
      </c>
      <c r="N889">
        <v>0.11123482969459404</v>
      </c>
      <c r="AD889" s="31">
        <v>1942.2500000029399</v>
      </c>
      <c r="AE889">
        <v>0.563209469738577</v>
      </c>
      <c r="AF889">
        <v>0.82107331565775665</v>
      </c>
      <c r="AG889">
        <v>1.9449290847559115</v>
      </c>
      <c r="AS889" s="2"/>
      <c r="AT889" s="2"/>
      <c r="AU889" s="2"/>
      <c r="AW889" s="31">
        <v>1942.2500000029399</v>
      </c>
      <c r="AX889" s="2">
        <v>0.62822068713226908</v>
      </c>
      <c r="AY889" s="2">
        <v>-0.12985745838137772</v>
      </c>
      <c r="AZ889" s="2">
        <v>0.87306140786936137</v>
      </c>
    </row>
    <row r="890" spans="11:52" x14ac:dyDescent="0.3">
      <c r="K890" s="31">
        <v>1942.1666666696001</v>
      </c>
      <c r="L890">
        <v>0.89759403904672452</v>
      </c>
      <c r="M890">
        <v>6.1530000000000001E-2</v>
      </c>
      <c r="N890">
        <v>5.5228961222544962E-2</v>
      </c>
      <c r="AD890" s="31">
        <v>1942.1666666696101</v>
      </c>
      <c r="AE890">
        <v>0.52564091777209487</v>
      </c>
      <c r="AF890">
        <v>-0.68585487699629111</v>
      </c>
      <c r="AG890">
        <v>-0.18468344684000795</v>
      </c>
      <c r="AS890" s="2"/>
      <c r="AT890" s="2"/>
      <c r="AU890" s="2"/>
      <c r="AW890" s="31">
        <v>1942.1666666696101</v>
      </c>
      <c r="AX890" s="2">
        <v>0.69473159449450894</v>
      </c>
      <c r="AY890" s="2">
        <v>-1.155108913649816</v>
      </c>
      <c r="AZ890" s="2">
        <v>-0.31183270891001225</v>
      </c>
    </row>
    <row r="891" spans="11:52" x14ac:dyDescent="0.3">
      <c r="K891" s="31">
        <v>1942.08333333627</v>
      </c>
      <c r="L891">
        <v>0.8931964037961565</v>
      </c>
      <c r="M891">
        <v>6.1530000000000001E-2</v>
      </c>
      <c r="N891">
        <v>5.4958374725577512E-2</v>
      </c>
      <c r="AD891" s="31">
        <v>1942.08333333628</v>
      </c>
      <c r="AE891">
        <v>0.49947166042705565</v>
      </c>
      <c r="AF891">
        <v>-0.68585487699629111</v>
      </c>
      <c r="AG891">
        <v>-0.19497244709201028</v>
      </c>
      <c r="AS891" s="2"/>
      <c r="AT891" s="2"/>
      <c r="AU891" s="2"/>
      <c r="AW891" s="31">
        <v>1942.08333333628</v>
      </c>
      <c r="AX891" s="2">
        <v>0.85898238418176542</v>
      </c>
      <c r="AY891" s="2">
        <v>-0.86968684902996918</v>
      </c>
      <c r="AZ891" s="2">
        <v>0.11718029722118396</v>
      </c>
    </row>
    <row r="892" spans="11:52" x14ac:dyDescent="0.3">
      <c r="K892" s="31">
        <v>1942.0000000029399</v>
      </c>
      <c r="L892">
        <v>0.88280690296953745</v>
      </c>
      <c r="M892">
        <v>6.1530000000000001E-2</v>
      </c>
      <c r="N892">
        <v>5.4319108739715641E-2</v>
      </c>
      <c r="AD892" s="31">
        <v>1942.0000000029499</v>
      </c>
      <c r="AE892">
        <v>0.43764626897760034</v>
      </c>
      <c r="AF892">
        <v>-0.68585487699629111</v>
      </c>
      <c r="AG892">
        <v>-0.21928041501851234</v>
      </c>
      <c r="AS892" s="2"/>
      <c r="AT892" s="2"/>
      <c r="AU892" s="2"/>
      <c r="AW892" s="31">
        <v>1942.0000000029499</v>
      </c>
      <c r="AX892" s="2">
        <v>0.5719479330253765</v>
      </c>
      <c r="AY892" s="2">
        <v>-0.21897704373559218</v>
      </c>
      <c r="AZ892" s="2">
        <v>0.48386410500924132</v>
      </c>
    </row>
    <row r="893" spans="11:52" x14ac:dyDescent="0.3">
      <c r="AS893" s="2"/>
      <c r="AT893" s="2"/>
      <c r="AU893" s="2"/>
      <c r="AX893" s="2"/>
      <c r="AY893" s="2"/>
      <c r="AZ893" s="2"/>
    </row>
    <row r="894" spans="11:52" x14ac:dyDescent="0.3">
      <c r="AS894" s="2"/>
      <c r="AT894" s="2"/>
      <c r="AU894" s="2"/>
      <c r="AX894" s="2"/>
      <c r="AY894" s="2"/>
      <c r="AZ894" s="2"/>
    </row>
    <row r="895" spans="11:52" x14ac:dyDescent="0.3">
      <c r="AS895" s="2"/>
      <c r="AT895" s="2"/>
      <c r="AU895" s="2"/>
      <c r="AX895" s="2"/>
      <c r="AY895" s="2"/>
      <c r="AZ895" s="2"/>
    </row>
    <row r="896" spans="11:52" x14ac:dyDescent="0.3">
      <c r="AS896" s="2"/>
      <c r="AT896" s="2"/>
      <c r="AU896" s="2"/>
      <c r="AX896" s="2"/>
      <c r="AY896" s="2"/>
      <c r="AZ896" s="2"/>
    </row>
    <row r="897" spans="45:52" x14ac:dyDescent="0.3">
      <c r="AS897" s="2"/>
      <c r="AT897" s="2"/>
      <c r="AU897" s="2"/>
      <c r="AX897" s="2"/>
      <c r="AY897" s="2"/>
      <c r="AZ897" s="2"/>
    </row>
    <row r="898" spans="45:52" x14ac:dyDescent="0.3">
      <c r="AS898" s="2"/>
      <c r="AT898" s="2"/>
      <c r="AU898" s="2"/>
      <c r="AX898" s="2"/>
      <c r="AY898" s="2"/>
      <c r="AZ898" s="2"/>
    </row>
    <row r="899" spans="45:52" x14ac:dyDescent="0.3">
      <c r="AS899" s="2"/>
      <c r="AT899" s="2"/>
      <c r="AU899" s="2"/>
      <c r="AX899" s="2"/>
      <c r="AY899" s="2"/>
      <c r="AZ899" s="2"/>
    </row>
    <row r="900" spans="45:52" x14ac:dyDescent="0.3">
      <c r="AS900" s="2"/>
      <c r="AT900" s="2"/>
      <c r="AU900" s="2"/>
      <c r="AX900" s="2"/>
      <c r="AY900" s="2"/>
      <c r="AZ900" s="2"/>
    </row>
    <row r="901" spans="45:52" x14ac:dyDescent="0.3">
      <c r="AS901" s="2"/>
      <c r="AT901" s="2"/>
      <c r="AU901" s="2"/>
      <c r="AX901" s="2"/>
      <c r="AY901" s="2"/>
      <c r="AZ901" s="2"/>
    </row>
    <row r="902" spans="45:52" x14ac:dyDescent="0.3">
      <c r="AS902" s="2"/>
      <c r="AT902" s="2"/>
      <c r="AU902" s="2"/>
      <c r="AX902" s="2"/>
      <c r="AY902" s="2"/>
      <c r="AZ902" s="2"/>
    </row>
    <row r="903" spans="45:52" x14ac:dyDescent="0.3">
      <c r="AS903" s="2"/>
      <c r="AT903" s="2"/>
      <c r="AU903" s="2"/>
      <c r="AX903" s="2"/>
      <c r="AY903" s="2"/>
      <c r="AZ903" s="2"/>
    </row>
    <row r="904" spans="45:52" x14ac:dyDescent="0.3">
      <c r="AS904" s="2"/>
      <c r="AT904" s="2"/>
      <c r="AU904" s="2"/>
      <c r="AX904" s="2"/>
      <c r="AY904" s="2"/>
      <c r="AZ904" s="2"/>
    </row>
    <row r="905" spans="45:52" x14ac:dyDescent="0.3">
      <c r="AS905" s="2"/>
      <c r="AT905" s="2"/>
      <c r="AU905" s="2"/>
      <c r="AX905" s="2"/>
      <c r="AY905" s="2"/>
      <c r="AZ905" s="2"/>
    </row>
    <row r="906" spans="45:52" x14ac:dyDescent="0.3">
      <c r="AS906" s="2"/>
      <c r="AT906" s="2"/>
      <c r="AU906" s="2"/>
      <c r="AX906" s="2"/>
      <c r="AY906" s="2"/>
      <c r="AZ906" s="2"/>
    </row>
    <row r="907" spans="45:52" x14ac:dyDescent="0.3">
      <c r="AS907" s="2"/>
      <c r="AT907" s="2"/>
      <c r="AU907" s="2"/>
      <c r="AX907" s="2"/>
      <c r="AY907" s="2"/>
      <c r="AZ907" s="2"/>
    </row>
    <row r="908" spans="45:52" x14ac:dyDescent="0.3">
      <c r="AS908" s="2"/>
      <c r="AT908" s="2"/>
      <c r="AU908" s="2"/>
      <c r="AX908" s="2"/>
      <c r="AY908" s="2"/>
      <c r="AZ908" s="2"/>
    </row>
    <row r="909" spans="45:52" x14ac:dyDescent="0.3">
      <c r="AS909" s="2"/>
      <c r="AT909" s="2"/>
      <c r="AU909" s="2"/>
      <c r="AX909" s="2"/>
      <c r="AY909" s="2"/>
      <c r="AZ909" s="2"/>
    </row>
    <row r="910" spans="45:52" x14ac:dyDescent="0.3">
      <c r="AS910" s="2"/>
      <c r="AT910" s="2"/>
      <c r="AU910" s="2"/>
      <c r="AX910" s="2"/>
      <c r="AY910" s="2"/>
      <c r="AZ910" s="2"/>
    </row>
    <row r="911" spans="45:52" x14ac:dyDescent="0.3">
      <c r="AS911" s="2"/>
      <c r="AT911" s="2"/>
      <c r="AU911" s="2"/>
      <c r="AX911" s="2"/>
      <c r="AY911" s="2"/>
      <c r="AZ911" s="2"/>
    </row>
    <row r="912" spans="45:52" x14ac:dyDescent="0.3">
      <c r="AS912" s="2"/>
      <c r="AT912" s="2"/>
      <c r="AU912" s="2"/>
      <c r="AX912" s="2"/>
      <c r="AY912" s="2"/>
      <c r="AZ912" s="2"/>
    </row>
    <row r="913" spans="45:52" x14ac:dyDescent="0.3">
      <c r="AS913" s="2"/>
      <c r="AT913" s="2"/>
      <c r="AU913" s="2"/>
      <c r="AX913" s="2"/>
      <c r="AY913" s="2"/>
      <c r="AZ913" s="2"/>
    </row>
    <row r="914" spans="45:52" x14ac:dyDescent="0.3">
      <c r="AS914" s="2"/>
      <c r="AT914" s="2"/>
      <c r="AU914" s="2"/>
      <c r="AX914" s="2"/>
      <c r="AY914" s="2"/>
      <c r="AZ914" s="2"/>
    </row>
    <row r="915" spans="45:52" x14ac:dyDescent="0.3">
      <c r="AS915" s="2"/>
      <c r="AT915" s="2"/>
      <c r="AU915" s="2"/>
      <c r="AX915" s="2"/>
      <c r="AY915" s="2"/>
      <c r="AZ915" s="2"/>
    </row>
    <row r="916" spans="45:52" x14ac:dyDescent="0.3">
      <c r="AS916" s="2"/>
      <c r="AT916" s="2"/>
      <c r="AU916" s="2"/>
      <c r="AX916" s="2"/>
      <c r="AY916" s="2"/>
      <c r="AZ916" s="2"/>
    </row>
    <row r="917" spans="45:52" x14ac:dyDescent="0.3">
      <c r="AS917" s="2"/>
      <c r="AT917" s="2"/>
      <c r="AU917" s="2"/>
      <c r="AX917" s="2"/>
      <c r="AY917" s="2"/>
      <c r="AZ917" s="2"/>
    </row>
    <row r="918" spans="45:52" x14ac:dyDescent="0.3">
      <c r="AS918" s="2"/>
      <c r="AT918" s="2"/>
      <c r="AU918" s="2"/>
      <c r="AX918" s="2"/>
      <c r="AY918" s="2"/>
      <c r="AZ918" s="2"/>
    </row>
    <row r="919" spans="45:52" x14ac:dyDescent="0.3">
      <c r="AS919" s="2"/>
      <c r="AT919" s="2"/>
      <c r="AU919" s="2"/>
      <c r="AX919" s="2"/>
      <c r="AY919" s="2"/>
      <c r="AZ919" s="2"/>
    </row>
    <row r="920" spans="45:52" x14ac:dyDescent="0.3">
      <c r="AS920" s="2"/>
      <c r="AT920" s="2"/>
      <c r="AU920" s="2"/>
      <c r="AX920" s="2"/>
      <c r="AY920" s="2"/>
      <c r="AZ920" s="2"/>
    </row>
    <row r="921" spans="45:52" x14ac:dyDescent="0.3">
      <c r="AS921" s="2"/>
      <c r="AT921" s="2"/>
      <c r="AU921" s="2"/>
      <c r="AX921" s="2"/>
      <c r="AY921" s="2"/>
      <c r="AZ921" s="2"/>
    </row>
    <row r="922" spans="45:52" x14ac:dyDescent="0.3">
      <c r="AS922" s="2"/>
      <c r="AT922" s="2"/>
      <c r="AU922" s="2"/>
      <c r="AX922" s="2"/>
      <c r="AY922" s="2"/>
      <c r="AZ922" s="2"/>
    </row>
    <row r="923" spans="45:52" x14ac:dyDescent="0.3">
      <c r="AS923" s="2"/>
      <c r="AT923" s="2"/>
      <c r="AU923" s="2"/>
      <c r="AX923" s="2"/>
      <c r="AY923" s="2"/>
      <c r="AZ923" s="2"/>
    </row>
    <row r="924" spans="45:52" x14ac:dyDescent="0.3">
      <c r="AS924" s="2"/>
      <c r="AT924" s="2"/>
      <c r="AU924" s="2"/>
      <c r="AX924" s="2"/>
      <c r="AY924" s="2"/>
      <c r="AZ924" s="2"/>
    </row>
    <row r="925" spans="45:52" x14ac:dyDescent="0.3">
      <c r="AS925" s="2"/>
      <c r="AT925" s="2"/>
      <c r="AU925" s="2"/>
      <c r="AX925" s="2"/>
      <c r="AY925" s="2"/>
      <c r="AZ925" s="2"/>
    </row>
    <row r="926" spans="45:52" x14ac:dyDescent="0.3">
      <c r="AS926" s="2"/>
      <c r="AT926" s="2"/>
      <c r="AU926" s="2"/>
      <c r="AX926" s="2"/>
      <c r="AY926" s="2"/>
      <c r="AZ926" s="2"/>
    </row>
    <row r="927" spans="45:52" x14ac:dyDescent="0.3">
      <c r="AS927" s="2"/>
      <c r="AT927" s="2"/>
      <c r="AU927" s="2"/>
      <c r="AX927" s="2"/>
      <c r="AY927" s="2"/>
      <c r="AZ927" s="2"/>
    </row>
    <row r="928" spans="45:52" x14ac:dyDescent="0.3">
      <c r="AS928" s="2"/>
      <c r="AT928" s="2"/>
      <c r="AU928" s="2"/>
      <c r="AX928" s="2"/>
      <c r="AY928" s="2"/>
      <c r="AZ928" s="2"/>
    </row>
    <row r="929" spans="45:52" x14ac:dyDescent="0.3">
      <c r="AS929" s="2"/>
      <c r="AT929" s="2"/>
      <c r="AU929" s="2"/>
      <c r="AX929" s="2"/>
      <c r="AY929" s="2"/>
      <c r="AZ929" s="2"/>
    </row>
    <row r="930" spans="45:52" x14ac:dyDescent="0.3">
      <c r="AS930" s="2"/>
      <c r="AT930" s="2"/>
      <c r="AU930" s="2"/>
      <c r="AX930" s="2"/>
      <c r="AY930" s="2"/>
      <c r="AZ930" s="2"/>
    </row>
    <row r="931" spans="45:52" x14ac:dyDescent="0.3">
      <c r="AS931" s="2"/>
      <c r="AT931" s="2"/>
      <c r="AU931" s="2"/>
      <c r="AX931" s="2"/>
      <c r="AY931" s="2"/>
      <c r="AZ931" s="2"/>
    </row>
    <row r="932" spans="45:52" x14ac:dyDescent="0.3">
      <c r="AS932" s="2"/>
      <c r="AT932" s="2"/>
      <c r="AU932" s="2"/>
      <c r="AX932" s="2"/>
      <c r="AY932" s="2"/>
      <c r="AZ932" s="2"/>
    </row>
    <row r="933" spans="45:52" x14ac:dyDescent="0.3">
      <c r="AS933" s="2"/>
      <c r="AT933" s="2"/>
      <c r="AU933" s="2"/>
      <c r="AX933" s="2"/>
      <c r="AY933" s="2"/>
      <c r="AZ933" s="2"/>
    </row>
    <row r="934" spans="45:52" x14ac:dyDescent="0.3">
      <c r="AS934" s="2"/>
      <c r="AT934" s="2"/>
      <c r="AU934" s="2"/>
      <c r="AX934" s="2"/>
      <c r="AY934" s="2"/>
      <c r="AZ934" s="2"/>
    </row>
    <row r="935" spans="45:52" x14ac:dyDescent="0.3">
      <c r="AS935" s="2"/>
      <c r="AT935" s="2"/>
      <c r="AU935" s="2"/>
      <c r="AX935" s="2"/>
      <c r="AY935" s="2"/>
      <c r="AZ935" s="2"/>
    </row>
    <row r="936" spans="45:52" x14ac:dyDescent="0.3">
      <c r="AS936" s="2"/>
      <c r="AT936" s="2"/>
      <c r="AU936" s="2"/>
      <c r="AX936" s="2"/>
      <c r="AY936" s="2"/>
      <c r="AZ936" s="2"/>
    </row>
    <row r="937" spans="45:52" x14ac:dyDescent="0.3">
      <c r="AS937" s="2"/>
      <c r="AT937" s="2"/>
      <c r="AU937" s="2"/>
      <c r="AX937" s="2"/>
      <c r="AY937" s="2"/>
      <c r="AZ937" s="2"/>
    </row>
    <row r="938" spans="45:52" x14ac:dyDescent="0.3">
      <c r="AS938" s="2"/>
      <c r="AT938" s="2"/>
      <c r="AU938" s="2"/>
      <c r="AX938" s="2"/>
      <c r="AY938" s="2"/>
      <c r="AZ938" s="2"/>
    </row>
    <row r="939" spans="45:52" x14ac:dyDescent="0.3">
      <c r="AS939" s="2"/>
      <c r="AT939" s="2"/>
      <c r="AU939" s="2"/>
      <c r="AX939" s="2"/>
      <c r="AY939" s="2"/>
      <c r="AZ939" s="2"/>
    </row>
    <row r="940" spans="45:52" x14ac:dyDescent="0.3">
      <c r="AS940" s="2"/>
      <c r="AT940" s="2"/>
      <c r="AU940" s="2"/>
      <c r="AX940" s="2"/>
      <c r="AY940" s="2"/>
      <c r="AZ940" s="2"/>
    </row>
    <row r="941" spans="45:52" x14ac:dyDescent="0.3">
      <c r="AS941" s="2"/>
      <c r="AT941" s="2"/>
      <c r="AU941" s="2"/>
      <c r="AX941" s="2"/>
      <c r="AY941" s="2"/>
      <c r="AZ941" s="2"/>
    </row>
    <row r="942" spans="45:52" x14ac:dyDescent="0.3">
      <c r="AS942" s="2"/>
      <c r="AT942" s="2"/>
      <c r="AU942" s="2"/>
      <c r="AX942" s="2"/>
      <c r="AY942" s="2"/>
      <c r="AZ942" s="2"/>
    </row>
    <row r="943" spans="45:52" x14ac:dyDescent="0.3">
      <c r="AS943" s="2"/>
      <c r="AT943" s="2"/>
      <c r="AU943" s="2"/>
      <c r="AX943" s="2"/>
      <c r="AY943" s="2"/>
      <c r="AZ943" s="2"/>
    </row>
    <row r="944" spans="45:52" x14ac:dyDescent="0.3">
      <c r="AS944" s="2"/>
      <c r="AT944" s="2"/>
      <c r="AU944" s="2"/>
      <c r="AX944" s="2"/>
      <c r="AY944" s="2"/>
      <c r="AZ944" s="2"/>
    </row>
    <row r="945" spans="45:52" x14ac:dyDescent="0.3">
      <c r="AS945" s="2"/>
      <c r="AT945" s="2"/>
      <c r="AU945" s="2"/>
      <c r="AX945" s="2"/>
      <c r="AY945" s="2"/>
      <c r="AZ945" s="2"/>
    </row>
    <row r="946" spans="45:52" x14ac:dyDescent="0.3">
      <c r="AS946" s="2"/>
      <c r="AT946" s="2"/>
      <c r="AU946" s="2"/>
      <c r="AX946" s="2"/>
      <c r="AY946" s="2"/>
      <c r="AZ946" s="2"/>
    </row>
    <row r="947" spans="45:52" x14ac:dyDescent="0.3">
      <c r="AS947" s="2"/>
      <c r="AT947" s="2"/>
      <c r="AU947" s="2"/>
      <c r="AX947" s="2"/>
      <c r="AY947" s="2"/>
      <c r="AZ947" s="2"/>
    </row>
    <row r="948" spans="45:52" x14ac:dyDescent="0.3">
      <c r="AS948" s="2"/>
      <c r="AT948" s="2"/>
      <c r="AU948" s="2"/>
      <c r="AX948" s="2"/>
      <c r="AY948" s="2"/>
      <c r="AZ948" s="2"/>
    </row>
    <row r="949" spans="45:52" x14ac:dyDescent="0.3">
      <c r="AS949" s="2"/>
      <c r="AT949" s="2"/>
      <c r="AU949" s="2"/>
      <c r="AX949" s="2"/>
      <c r="AY949" s="2"/>
      <c r="AZ949" s="2"/>
    </row>
    <row r="950" spans="45:52" x14ac:dyDescent="0.3">
      <c r="AS950" s="2"/>
      <c r="AT950" s="2"/>
      <c r="AU950" s="2"/>
      <c r="AX950" s="2"/>
      <c r="AY950" s="2"/>
      <c r="AZ950" s="2"/>
    </row>
    <row r="951" spans="45:52" x14ac:dyDescent="0.3">
      <c r="AS951" s="2"/>
      <c r="AT951" s="2"/>
      <c r="AU951" s="2"/>
      <c r="AX951" s="2"/>
      <c r="AY951" s="2"/>
      <c r="AZ951" s="2"/>
    </row>
    <row r="952" spans="45:52" x14ac:dyDescent="0.3">
      <c r="AS952" s="2"/>
      <c r="AT952" s="2"/>
      <c r="AU952" s="2"/>
      <c r="AX952" s="2"/>
      <c r="AY952" s="2"/>
      <c r="AZ952" s="2"/>
    </row>
    <row r="953" spans="45:52" x14ac:dyDescent="0.3">
      <c r="AS953" s="2"/>
      <c r="AT953" s="2"/>
      <c r="AU953" s="2"/>
      <c r="AX953" s="2"/>
      <c r="AY953" s="2"/>
      <c r="AZ953" s="2"/>
    </row>
    <row r="954" spans="45:52" x14ac:dyDescent="0.3">
      <c r="AS954" s="2"/>
      <c r="AT954" s="2"/>
      <c r="AU954" s="2"/>
      <c r="AX954" s="2"/>
      <c r="AY954" s="2"/>
      <c r="AZ954" s="2"/>
    </row>
    <row r="955" spans="45:52" x14ac:dyDescent="0.3">
      <c r="AS955" s="2"/>
      <c r="AT955" s="2"/>
      <c r="AU955" s="2"/>
      <c r="AX955" s="2"/>
      <c r="AY955" s="2"/>
      <c r="AZ955" s="2"/>
    </row>
    <row r="956" spans="45:52" x14ac:dyDescent="0.3">
      <c r="AS956" s="2"/>
      <c r="AT956" s="2"/>
      <c r="AU956" s="2"/>
      <c r="AX956" s="2"/>
      <c r="AY956" s="2"/>
      <c r="AZ956" s="2"/>
    </row>
    <row r="957" spans="45:52" x14ac:dyDescent="0.3">
      <c r="AS957" s="2"/>
      <c r="AT957" s="2"/>
      <c r="AU957" s="2"/>
      <c r="AX957" s="2"/>
      <c r="AY957" s="2"/>
      <c r="AZ957" s="2"/>
    </row>
    <row r="958" spans="45:52" x14ac:dyDescent="0.3">
      <c r="AS958" s="2"/>
      <c r="AT958" s="2"/>
      <c r="AU958" s="2"/>
      <c r="AX958" s="2"/>
      <c r="AY958" s="2"/>
      <c r="AZ958" s="2"/>
    </row>
    <row r="959" spans="45:52" x14ac:dyDescent="0.3">
      <c r="AS959" s="2"/>
      <c r="AT959" s="2"/>
      <c r="AU959" s="2"/>
      <c r="AX959" s="2"/>
      <c r="AY959" s="2"/>
      <c r="AZ959" s="2"/>
    </row>
    <row r="960" spans="45:52" x14ac:dyDescent="0.3">
      <c r="AS960" s="2"/>
      <c r="AT960" s="2"/>
      <c r="AU960" s="2"/>
      <c r="AX960" s="2"/>
      <c r="AY960" s="2"/>
      <c r="AZ960" s="2"/>
    </row>
    <row r="961" spans="45:52" x14ac:dyDescent="0.3">
      <c r="AS961" s="2"/>
      <c r="AT961" s="2"/>
      <c r="AU961" s="2"/>
      <c r="AX961" s="2"/>
      <c r="AY961" s="2"/>
      <c r="AZ961" s="2"/>
    </row>
    <row r="962" spans="45:52" x14ac:dyDescent="0.3">
      <c r="AS962" s="2"/>
      <c r="AT962" s="2"/>
      <c r="AU962" s="2"/>
      <c r="AX962" s="2"/>
      <c r="AY962" s="2"/>
      <c r="AZ962" s="2"/>
    </row>
    <row r="963" spans="45:52" x14ac:dyDescent="0.3">
      <c r="AS963" s="2"/>
      <c r="AT963" s="2"/>
      <c r="AU963" s="2"/>
      <c r="AX963" s="2"/>
      <c r="AY963" s="2"/>
      <c r="AZ963" s="2"/>
    </row>
    <row r="964" spans="45:52" x14ac:dyDescent="0.3">
      <c r="AS964" s="2"/>
      <c r="AT964" s="2"/>
      <c r="AU964" s="2"/>
      <c r="AX964" s="2"/>
      <c r="AY964" s="2"/>
      <c r="AZ964" s="2"/>
    </row>
    <row r="965" spans="45:52" x14ac:dyDescent="0.3">
      <c r="AS965" s="2"/>
      <c r="AT965" s="2"/>
      <c r="AU965" s="2"/>
      <c r="AX965" s="2"/>
      <c r="AY965" s="2"/>
      <c r="AZ965" s="2"/>
    </row>
    <row r="966" spans="45:52" x14ac:dyDescent="0.3">
      <c r="AS966" s="2"/>
      <c r="AT966" s="2"/>
      <c r="AU966" s="2"/>
      <c r="AX966" s="2"/>
      <c r="AY966" s="2"/>
      <c r="AZ966" s="2"/>
    </row>
    <row r="967" spans="45:52" x14ac:dyDescent="0.3">
      <c r="AS967" s="2"/>
      <c r="AT967" s="2"/>
      <c r="AU967" s="2"/>
      <c r="AX967" s="2"/>
      <c r="AY967" s="2"/>
      <c r="AZ967" s="2"/>
    </row>
    <row r="968" spans="45:52" x14ac:dyDescent="0.3">
      <c r="AS968" s="2"/>
      <c r="AT968" s="2"/>
      <c r="AU968" s="2"/>
      <c r="AX968" s="2"/>
      <c r="AY968" s="2"/>
      <c r="AZ968" s="2"/>
    </row>
    <row r="969" spans="45:52" x14ac:dyDescent="0.3">
      <c r="AS969" s="2"/>
      <c r="AT969" s="2"/>
      <c r="AU969" s="2"/>
      <c r="AX969" s="2"/>
      <c r="AY969" s="2"/>
      <c r="AZ969" s="2"/>
    </row>
    <row r="970" spans="45:52" x14ac:dyDescent="0.3">
      <c r="AS970" s="2"/>
      <c r="AT970" s="2"/>
      <c r="AU970" s="2"/>
      <c r="AX970" s="2"/>
      <c r="AY970" s="2"/>
      <c r="AZ970" s="2"/>
    </row>
    <row r="971" spans="45:52" x14ac:dyDescent="0.3">
      <c r="AS971" s="2"/>
      <c r="AT971" s="2"/>
      <c r="AU971" s="2"/>
      <c r="AX971" s="2"/>
      <c r="AY971" s="2"/>
      <c r="AZ971" s="2"/>
    </row>
    <row r="972" spans="45:52" x14ac:dyDescent="0.3">
      <c r="AS972" s="2"/>
      <c r="AT972" s="2"/>
      <c r="AU972" s="2"/>
      <c r="AX972" s="2"/>
      <c r="AY972" s="2"/>
      <c r="AZ972" s="2"/>
    </row>
    <row r="973" spans="45:52" x14ac:dyDescent="0.3">
      <c r="AS973" s="2"/>
      <c r="AT973" s="2"/>
      <c r="AU973" s="2"/>
      <c r="AX973" s="2"/>
      <c r="AY973" s="2"/>
      <c r="AZ973" s="2"/>
    </row>
    <row r="974" spans="45:52" x14ac:dyDescent="0.3">
      <c r="AS974" s="2"/>
      <c r="AT974" s="2"/>
      <c r="AU974" s="2"/>
      <c r="AX974" s="2"/>
      <c r="AY974" s="2"/>
      <c r="AZ974" s="2"/>
    </row>
    <row r="975" spans="45:52" x14ac:dyDescent="0.3">
      <c r="AS975" s="2"/>
      <c r="AT975" s="2"/>
      <c r="AU975" s="2"/>
      <c r="AX975" s="2"/>
      <c r="AY975" s="2"/>
      <c r="AZ975" s="2"/>
    </row>
    <row r="976" spans="45:52" x14ac:dyDescent="0.3">
      <c r="AS976" s="2"/>
      <c r="AT976" s="2"/>
      <c r="AU976" s="2"/>
      <c r="AX976" s="2"/>
      <c r="AY976" s="2"/>
      <c r="AZ976" s="2"/>
    </row>
    <row r="977" spans="45:52" x14ac:dyDescent="0.3">
      <c r="AS977" s="2"/>
      <c r="AT977" s="2"/>
      <c r="AU977" s="2"/>
      <c r="AX977" s="2"/>
      <c r="AY977" s="2"/>
      <c r="AZ977" s="2"/>
    </row>
    <row r="978" spans="45:52" x14ac:dyDescent="0.3">
      <c r="AS978" s="2"/>
      <c r="AT978" s="2"/>
      <c r="AU978" s="2"/>
      <c r="AX978" s="2"/>
      <c r="AY978" s="2"/>
      <c r="AZ978" s="2"/>
    </row>
    <row r="979" spans="45:52" x14ac:dyDescent="0.3">
      <c r="AS979" s="2"/>
      <c r="AT979" s="2"/>
      <c r="AU979" s="2"/>
      <c r="AX979" s="2"/>
      <c r="AY979" s="2"/>
      <c r="AZ979" s="2"/>
    </row>
    <row r="980" spans="45:52" x14ac:dyDescent="0.3">
      <c r="AS980" s="2"/>
      <c r="AT980" s="2"/>
      <c r="AU980" s="2"/>
      <c r="AX980" s="2"/>
      <c r="AY980" s="2"/>
      <c r="AZ980" s="2"/>
    </row>
    <row r="981" spans="45:52" x14ac:dyDescent="0.3">
      <c r="AS981" s="2"/>
      <c r="AT981" s="2"/>
      <c r="AU981" s="2"/>
      <c r="AX981" s="2"/>
      <c r="AY981" s="2"/>
      <c r="AZ981" s="2"/>
    </row>
    <row r="982" spans="45:52" x14ac:dyDescent="0.3">
      <c r="AS982" s="2"/>
      <c r="AT982" s="2"/>
      <c r="AU982" s="2"/>
      <c r="AX982" s="2"/>
      <c r="AY982" s="2"/>
      <c r="AZ982" s="2"/>
    </row>
    <row r="983" spans="45:52" x14ac:dyDescent="0.3">
      <c r="AS983" s="2"/>
      <c r="AT983" s="2"/>
      <c r="AU983" s="2"/>
      <c r="AX983" s="2"/>
      <c r="AY983" s="2"/>
      <c r="AZ983" s="2"/>
    </row>
    <row r="984" spans="45:52" x14ac:dyDescent="0.3">
      <c r="AS984" s="2"/>
      <c r="AT984" s="2"/>
      <c r="AU984" s="2"/>
      <c r="AX984" s="2"/>
      <c r="AY984" s="2"/>
      <c r="AZ984" s="2"/>
    </row>
    <row r="985" spans="45:52" x14ac:dyDescent="0.3">
      <c r="AS985" s="2"/>
      <c r="AT985" s="2"/>
      <c r="AU985" s="2"/>
      <c r="AX985" s="2"/>
      <c r="AY985" s="2"/>
      <c r="AZ985" s="2"/>
    </row>
    <row r="986" spans="45:52" x14ac:dyDescent="0.3">
      <c r="AS986" s="2"/>
      <c r="AT986" s="2"/>
      <c r="AU986" s="2"/>
      <c r="AX986" s="2"/>
      <c r="AY986" s="2"/>
      <c r="AZ986" s="2"/>
    </row>
    <row r="987" spans="45:52" x14ac:dyDescent="0.3">
      <c r="AS987" s="2"/>
      <c r="AT987" s="2"/>
      <c r="AU987" s="2"/>
      <c r="AX987" s="2"/>
      <c r="AY987" s="2"/>
      <c r="AZ987" s="2"/>
    </row>
    <row r="988" spans="45:52" x14ac:dyDescent="0.3">
      <c r="AS988" s="2"/>
      <c r="AT988" s="2"/>
      <c r="AU988" s="2"/>
      <c r="AX988" s="2"/>
      <c r="AY988" s="2"/>
      <c r="AZ988" s="2"/>
    </row>
    <row r="989" spans="45:52" x14ac:dyDescent="0.3">
      <c r="AS989" s="2"/>
      <c r="AT989" s="2"/>
      <c r="AU989" s="2"/>
      <c r="AX989" s="2"/>
      <c r="AY989" s="2"/>
      <c r="AZ989" s="2"/>
    </row>
    <row r="990" spans="45:52" x14ac:dyDescent="0.3">
      <c r="AS990" s="2"/>
      <c r="AT990" s="2"/>
      <c r="AU990" s="2"/>
      <c r="AX990" s="2"/>
      <c r="AY990" s="2"/>
      <c r="AZ990" s="2"/>
    </row>
    <row r="991" spans="45:52" x14ac:dyDescent="0.3">
      <c r="AS991" s="2"/>
      <c r="AT991" s="2"/>
      <c r="AU991" s="2"/>
      <c r="AX991" s="2"/>
      <c r="AY991" s="2"/>
      <c r="AZ991" s="2"/>
    </row>
    <row r="992" spans="45:52" x14ac:dyDescent="0.3">
      <c r="AS992" s="2"/>
      <c r="AT992" s="2"/>
      <c r="AU992" s="2"/>
      <c r="AX992" s="2"/>
      <c r="AY992" s="2"/>
      <c r="AZ992" s="2"/>
    </row>
    <row r="993" spans="45:52" x14ac:dyDescent="0.3">
      <c r="AS993" s="2"/>
      <c r="AT993" s="2"/>
      <c r="AU993" s="2"/>
      <c r="AX993" s="2"/>
      <c r="AY993" s="2"/>
      <c r="AZ993" s="2"/>
    </row>
    <row r="994" spans="45:52" x14ac:dyDescent="0.3">
      <c r="AS994" s="2"/>
      <c r="AT994" s="2"/>
      <c r="AU994" s="2"/>
      <c r="AX994" s="2"/>
      <c r="AY994" s="2"/>
      <c r="AZ994" s="2"/>
    </row>
    <row r="995" spans="45:52" x14ac:dyDescent="0.3">
      <c r="AS995" s="2"/>
      <c r="AT995" s="2"/>
      <c r="AU995" s="2"/>
      <c r="AX995" s="2"/>
      <c r="AY995" s="2"/>
      <c r="AZ995" s="2"/>
    </row>
    <row r="996" spans="45:52" x14ac:dyDescent="0.3">
      <c r="AS996" s="2"/>
      <c r="AT996" s="2"/>
      <c r="AU996" s="2"/>
      <c r="AX996" s="2"/>
      <c r="AY996" s="2"/>
      <c r="AZ996" s="2"/>
    </row>
    <row r="997" spans="45:52" x14ac:dyDescent="0.3">
      <c r="AS997" s="2"/>
      <c r="AT997" s="2"/>
      <c r="AU997" s="2"/>
      <c r="AX997" s="2"/>
      <c r="AY997" s="2"/>
      <c r="AZ997" s="2"/>
    </row>
    <row r="998" spans="45:52" x14ac:dyDescent="0.3">
      <c r="AS998" s="2"/>
      <c r="AT998" s="2"/>
      <c r="AU998" s="2"/>
      <c r="AX998" s="2"/>
      <c r="AY998" s="2"/>
      <c r="AZ998" s="2"/>
    </row>
    <row r="999" spans="45:52" x14ac:dyDescent="0.3">
      <c r="AS999" s="2"/>
      <c r="AT999" s="2"/>
      <c r="AU999" s="2"/>
      <c r="AX999" s="2"/>
      <c r="AY999" s="2"/>
      <c r="AZ999" s="2"/>
    </row>
    <row r="1000" spans="45:52" x14ac:dyDescent="0.3">
      <c r="AS1000" s="2"/>
      <c r="AT1000" s="2"/>
      <c r="AU1000" s="2"/>
      <c r="AX1000" s="2"/>
      <c r="AY1000" s="2"/>
      <c r="AZ1000" s="2"/>
    </row>
    <row r="1001" spans="45:52" x14ac:dyDescent="0.3">
      <c r="AS1001" s="2"/>
      <c r="AT1001" s="2"/>
      <c r="AU1001" s="2"/>
      <c r="AX1001" s="2"/>
      <c r="AY1001" s="2"/>
      <c r="AZ1001" s="2"/>
    </row>
    <row r="1002" spans="45:52" x14ac:dyDescent="0.3">
      <c r="AS1002" s="2"/>
      <c r="AT1002" s="2"/>
      <c r="AU1002" s="2"/>
      <c r="AX1002" s="2"/>
      <c r="AY1002" s="2"/>
      <c r="AZ1002" s="2"/>
    </row>
    <row r="1003" spans="45:52" x14ac:dyDescent="0.3">
      <c r="AS1003" s="2"/>
      <c r="AT1003" s="2"/>
      <c r="AU1003" s="2"/>
      <c r="AX1003" s="2"/>
      <c r="AY1003" s="2"/>
      <c r="AZ1003" s="2"/>
    </row>
    <row r="1004" spans="45:52" x14ac:dyDescent="0.3">
      <c r="AS1004" s="2"/>
      <c r="AT1004" s="2"/>
      <c r="AU1004" s="2"/>
      <c r="AX1004" s="2"/>
      <c r="AY1004" s="2"/>
      <c r="AZ1004" s="2"/>
    </row>
    <row r="1005" spans="45:52" x14ac:dyDescent="0.3">
      <c r="AS1005" s="2"/>
      <c r="AT1005" s="2"/>
      <c r="AU1005" s="2"/>
      <c r="AX1005" s="2"/>
      <c r="AY1005" s="2"/>
      <c r="AZ1005" s="2"/>
    </row>
    <row r="1006" spans="45:52" x14ac:dyDescent="0.3">
      <c r="AS1006" s="2"/>
      <c r="AT1006" s="2"/>
      <c r="AU1006" s="2"/>
      <c r="AX1006" s="2"/>
      <c r="AY1006" s="2"/>
      <c r="AZ1006" s="2"/>
    </row>
    <row r="1007" spans="45:52" x14ac:dyDescent="0.3">
      <c r="AS1007" s="2"/>
      <c r="AT1007" s="2"/>
      <c r="AU1007" s="2"/>
      <c r="AX1007" s="2"/>
      <c r="AY1007" s="2"/>
      <c r="AZ1007" s="2"/>
    </row>
    <row r="1008" spans="45:52" x14ac:dyDescent="0.3">
      <c r="AS1008" s="2"/>
      <c r="AT1008" s="2"/>
      <c r="AU1008" s="2"/>
      <c r="AX1008" s="2"/>
      <c r="AY1008" s="2"/>
      <c r="AZ1008" s="2"/>
    </row>
    <row r="1009" spans="45:52" x14ac:dyDescent="0.3">
      <c r="AS1009" s="2"/>
      <c r="AT1009" s="2"/>
      <c r="AU1009" s="2"/>
      <c r="AX1009" s="2"/>
      <c r="AY1009" s="2"/>
      <c r="AZ1009" s="2"/>
    </row>
    <row r="1010" spans="45:52" x14ac:dyDescent="0.3">
      <c r="AS1010" s="2"/>
      <c r="AT1010" s="2"/>
      <c r="AU1010" s="2"/>
      <c r="AX1010" s="2"/>
      <c r="AY1010" s="2"/>
      <c r="AZ1010" s="2"/>
    </row>
    <row r="1011" spans="45:52" x14ac:dyDescent="0.3">
      <c r="AS1011" s="2"/>
      <c r="AT1011" s="2"/>
      <c r="AU1011" s="2"/>
      <c r="AX1011" s="2"/>
      <c r="AY1011" s="2"/>
      <c r="AZ1011" s="2"/>
    </row>
    <row r="1012" spans="45:52" x14ac:dyDescent="0.3">
      <c r="AS1012" s="2"/>
      <c r="AT1012" s="2"/>
      <c r="AU1012" s="2"/>
      <c r="AX1012" s="2"/>
      <c r="AY1012" s="2"/>
      <c r="AZ1012" s="2"/>
    </row>
    <row r="1013" spans="45:52" x14ac:dyDescent="0.3">
      <c r="AS1013" s="2"/>
      <c r="AT1013" s="2"/>
      <c r="AU1013" s="2"/>
      <c r="AX1013" s="2"/>
      <c r="AY1013" s="2"/>
      <c r="AZ1013" s="2"/>
    </row>
    <row r="1014" spans="45:52" x14ac:dyDescent="0.3">
      <c r="AS1014" s="2"/>
      <c r="AT1014" s="2"/>
      <c r="AU1014" s="2"/>
      <c r="AX1014" s="2"/>
      <c r="AY1014" s="2"/>
      <c r="AZ1014" s="2"/>
    </row>
    <row r="1015" spans="45:52" x14ac:dyDescent="0.3">
      <c r="AS1015" s="2"/>
      <c r="AT1015" s="2"/>
      <c r="AU1015" s="2"/>
      <c r="AX1015" s="2"/>
      <c r="AY1015" s="2"/>
      <c r="AZ1015" s="2"/>
    </row>
    <row r="1016" spans="45:52" x14ac:dyDescent="0.3">
      <c r="AS1016" s="2"/>
      <c r="AT1016" s="2"/>
      <c r="AU1016" s="2"/>
      <c r="AX1016" s="2"/>
      <c r="AY1016" s="2"/>
      <c r="AZ1016" s="2"/>
    </row>
    <row r="1017" spans="45:52" x14ac:dyDescent="0.3">
      <c r="AS1017" s="2"/>
      <c r="AT1017" s="2"/>
      <c r="AU1017" s="2"/>
      <c r="AX1017" s="2"/>
      <c r="AY1017" s="2"/>
      <c r="AZ1017" s="2"/>
    </row>
    <row r="1018" spans="45:52" x14ac:dyDescent="0.3">
      <c r="AS1018" s="2"/>
      <c r="AT1018" s="2"/>
      <c r="AU1018" s="2"/>
      <c r="AX1018" s="2"/>
      <c r="AY1018" s="2"/>
      <c r="AZ1018" s="2"/>
    </row>
    <row r="1019" spans="45:52" x14ac:dyDescent="0.3">
      <c r="AS1019" s="2"/>
      <c r="AT1019" s="2"/>
      <c r="AU1019" s="2"/>
      <c r="AX1019" s="2"/>
      <c r="AY1019" s="2"/>
      <c r="AZ1019" s="2"/>
    </row>
    <row r="1020" spans="45:52" x14ac:dyDescent="0.3">
      <c r="AS1020" s="2"/>
      <c r="AT1020" s="2"/>
      <c r="AU1020" s="2"/>
      <c r="AX1020" s="2"/>
      <c r="AY1020" s="2"/>
      <c r="AZ1020" s="2"/>
    </row>
    <row r="1021" spans="45:52" x14ac:dyDescent="0.3">
      <c r="AS1021" s="2"/>
      <c r="AT1021" s="2"/>
      <c r="AU1021" s="2"/>
      <c r="AX1021" s="2"/>
      <c r="AY1021" s="2"/>
      <c r="AZ1021" s="2"/>
    </row>
    <row r="1022" spans="45:52" x14ac:dyDescent="0.3">
      <c r="AS1022" s="2"/>
      <c r="AT1022" s="2"/>
      <c r="AU1022" s="2"/>
      <c r="AX1022" s="2"/>
      <c r="AY1022" s="2"/>
      <c r="AZ1022" s="2"/>
    </row>
    <row r="1023" spans="45:52" x14ac:dyDescent="0.3">
      <c r="AS1023" s="2"/>
      <c r="AT1023" s="2"/>
      <c r="AU1023" s="2"/>
      <c r="AX1023" s="2"/>
      <c r="AY1023" s="2"/>
      <c r="AZ1023" s="2"/>
    </row>
    <row r="1024" spans="45:52" x14ac:dyDescent="0.3">
      <c r="AS1024" s="2"/>
      <c r="AT1024" s="2"/>
      <c r="AU1024" s="2"/>
      <c r="AX1024" s="2"/>
      <c r="AY1024" s="2"/>
      <c r="AZ1024" s="2"/>
    </row>
    <row r="1025" spans="45:52" x14ac:dyDescent="0.3">
      <c r="AS1025" s="2"/>
      <c r="AT1025" s="2"/>
      <c r="AU1025" s="2"/>
      <c r="AX1025" s="2"/>
      <c r="AY1025" s="2"/>
      <c r="AZ1025" s="2"/>
    </row>
    <row r="1026" spans="45:52" x14ac:dyDescent="0.3">
      <c r="AS1026" s="2"/>
      <c r="AT1026" s="2"/>
      <c r="AU1026" s="2"/>
      <c r="AX1026" s="2"/>
      <c r="AY1026" s="2"/>
      <c r="AZ1026" s="2"/>
    </row>
    <row r="1027" spans="45:52" x14ac:dyDescent="0.3">
      <c r="AS1027" s="2"/>
      <c r="AT1027" s="2"/>
      <c r="AU1027" s="2"/>
      <c r="AX1027" s="2"/>
      <c r="AY1027" s="2"/>
      <c r="AZ1027" s="2"/>
    </row>
    <row r="1028" spans="45:52" x14ac:dyDescent="0.3">
      <c r="AS1028" s="2"/>
      <c r="AT1028" s="2"/>
      <c r="AU1028" s="2"/>
      <c r="AX1028" s="2"/>
      <c r="AY1028" s="2"/>
      <c r="AZ1028" s="2"/>
    </row>
    <row r="1029" spans="45:52" x14ac:dyDescent="0.3">
      <c r="AS1029" s="2"/>
      <c r="AT1029" s="2"/>
      <c r="AU1029" s="2"/>
      <c r="AX1029" s="2"/>
      <c r="AY1029" s="2"/>
      <c r="AZ1029" s="2"/>
    </row>
    <row r="1030" spans="45:52" x14ac:dyDescent="0.3">
      <c r="AS1030" s="2"/>
      <c r="AT1030" s="2"/>
      <c r="AU1030" s="2"/>
      <c r="AX1030" s="2"/>
      <c r="AY1030" s="2"/>
      <c r="AZ1030" s="2"/>
    </row>
    <row r="1031" spans="45:52" x14ac:dyDescent="0.3">
      <c r="AS1031" s="2"/>
      <c r="AT1031" s="2"/>
      <c r="AU1031" s="2"/>
      <c r="AX1031" s="2"/>
      <c r="AY1031" s="2"/>
      <c r="AZ1031" s="2"/>
    </row>
    <row r="1032" spans="45:52" x14ac:dyDescent="0.3">
      <c r="AS1032" s="2"/>
      <c r="AT1032" s="2"/>
      <c r="AU1032" s="2"/>
      <c r="AX1032" s="2"/>
      <c r="AY1032" s="2"/>
      <c r="AZ1032" s="2"/>
    </row>
    <row r="1033" spans="45:52" x14ac:dyDescent="0.3">
      <c r="AS1033" s="2"/>
      <c r="AT1033" s="2"/>
      <c r="AU1033" s="2"/>
      <c r="AX1033" s="2"/>
      <c r="AY1033" s="2"/>
      <c r="AZ1033" s="2"/>
    </row>
    <row r="1034" spans="45:52" x14ac:dyDescent="0.3">
      <c r="AS1034" s="2"/>
      <c r="AT1034" s="2"/>
      <c r="AU1034" s="2"/>
      <c r="AX1034" s="2"/>
      <c r="AY1034" s="2"/>
      <c r="AZ1034" s="2"/>
    </row>
    <row r="1035" spans="45:52" x14ac:dyDescent="0.3">
      <c r="AS1035" s="2"/>
      <c r="AT1035" s="2"/>
      <c r="AU1035" s="2"/>
      <c r="AX1035" s="2"/>
      <c r="AY1035" s="2"/>
      <c r="AZ1035" s="2"/>
    </row>
    <row r="1036" spans="45:52" x14ac:dyDescent="0.3">
      <c r="AS1036" s="2"/>
      <c r="AT1036" s="2"/>
      <c r="AU1036" s="2"/>
      <c r="AX1036" s="2"/>
      <c r="AY1036" s="2"/>
      <c r="AZ1036" s="2"/>
    </row>
    <row r="1037" spans="45:52" x14ac:dyDescent="0.3">
      <c r="AS1037" s="2"/>
      <c r="AT1037" s="2"/>
      <c r="AU1037" s="2"/>
      <c r="AX1037" s="2"/>
      <c r="AY1037" s="2"/>
      <c r="AZ1037" s="2"/>
    </row>
    <row r="1038" spans="45:52" x14ac:dyDescent="0.3">
      <c r="AS1038" s="2"/>
      <c r="AT1038" s="2"/>
      <c r="AU1038" s="2"/>
      <c r="AX1038" s="2"/>
      <c r="AY1038" s="2"/>
      <c r="AZ1038" s="2"/>
    </row>
    <row r="1039" spans="45:52" x14ac:dyDescent="0.3">
      <c r="AS1039" s="2"/>
      <c r="AT1039" s="2"/>
      <c r="AU1039" s="2"/>
      <c r="AX1039" s="2"/>
      <c r="AY1039" s="2"/>
      <c r="AZ1039" s="2"/>
    </row>
    <row r="1040" spans="45:52" x14ac:dyDescent="0.3">
      <c r="AS1040" s="2"/>
      <c r="AT1040" s="2"/>
      <c r="AU1040" s="2"/>
      <c r="AX1040" s="2"/>
      <c r="AY1040" s="2"/>
      <c r="AZ1040" s="2"/>
    </row>
    <row r="1041" spans="45:52" x14ac:dyDescent="0.3">
      <c r="AS1041" s="2"/>
      <c r="AT1041" s="2"/>
      <c r="AU1041" s="2"/>
      <c r="AX1041" s="2"/>
      <c r="AY1041" s="2"/>
      <c r="AZ1041" s="2"/>
    </row>
    <row r="1042" spans="45:52" x14ac:dyDescent="0.3">
      <c r="AS1042" s="2"/>
      <c r="AT1042" s="2"/>
      <c r="AU1042" s="2"/>
      <c r="AX1042" s="2"/>
      <c r="AY1042" s="2"/>
      <c r="AZ1042" s="2"/>
    </row>
    <row r="1043" spans="45:52" x14ac:dyDescent="0.3">
      <c r="AS1043" s="2"/>
      <c r="AT1043" s="2"/>
      <c r="AU1043" s="2"/>
      <c r="AX1043" s="2"/>
      <c r="AY1043" s="2"/>
      <c r="AZ1043" s="2"/>
    </row>
    <row r="1044" spans="45:52" x14ac:dyDescent="0.3">
      <c r="AS1044" s="2"/>
      <c r="AT1044" s="2"/>
      <c r="AU1044" s="2"/>
      <c r="AX1044" s="2"/>
      <c r="AY1044" s="2"/>
      <c r="AZ1044" s="2"/>
    </row>
    <row r="1045" spans="45:52" x14ac:dyDescent="0.3">
      <c r="AS1045" s="2"/>
      <c r="AT1045" s="2"/>
      <c r="AU1045" s="2"/>
      <c r="AX1045" s="2"/>
      <c r="AY1045" s="2"/>
      <c r="AZ1045" s="2"/>
    </row>
    <row r="1046" spans="45:52" x14ac:dyDescent="0.3">
      <c r="AS1046" s="2"/>
      <c r="AT1046" s="2"/>
      <c r="AU1046" s="2"/>
      <c r="AX1046" s="2"/>
      <c r="AY1046" s="2"/>
      <c r="AZ1046" s="2"/>
    </row>
    <row r="1047" spans="45:52" x14ac:dyDescent="0.3">
      <c r="AS1047" s="2"/>
      <c r="AT1047" s="2"/>
      <c r="AU1047" s="2"/>
      <c r="AX1047" s="2"/>
      <c r="AY1047" s="2"/>
      <c r="AZ1047" s="2"/>
    </row>
    <row r="1048" spans="45:52" x14ac:dyDescent="0.3">
      <c r="AS1048" s="2"/>
      <c r="AT1048" s="2"/>
      <c r="AU1048" s="2"/>
      <c r="AX1048" s="2"/>
      <c r="AY1048" s="2"/>
      <c r="AZ1048" s="2"/>
    </row>
    <row r="1049" spans="45:52" x14ac:dyDescent="0.3">
      <c r="AS1049" s="2"/>
      <c r="AT1049" s="2"/>
      <c r="AU1049" s="2"/>
      <c r="AX1049" s="2"/>
      <c r="AY1049" s="2"/>
      <c r="AZ1049" s="2"/>
    </row>
    <row r="1050" spans="45:52" x14ac:dyDescent="0.3">
      <c r="AS1050" s="2"/>
      <c r="AT1050" s="2"/>
      <c r="AU1050" s="2"/>
      <c r="AX1050" s="2"/>
      <c r="AY1050" s="2"/>
      <c r="AZ1050" s="2"/>
    </row>
    <row r="1051" spans="45:52" x14ac:dyDescent="0.3">
      <c r="AS1051" s="2"/>
      <c r="AT1051" s="2"/>
      <c r="AU1051" s="2"/>
      <c r="AX1051" s="2"/>
      <c r="AY1051" s="2"/>
      <c r="AZ1051" s="2"/>
    </row>
    <row r="1052" spans="45:52" x14ac:dyDescent="0.3">
      <c r="AS1052" s="2"/>
      <c r="AT1052" s="2"/>
      <c r="AU1052" s="2"/>
      <c r="AX1052" s="2"/>
      <c r="AY1052" s="2"/>
      <c r="AZ1052" s="2"/>
    </row>
    <row r="1053" spans="45:52" x14ac:dyDescent="0.3">
      <c r="AS1053" s="2"/>
      <c r="AT1053" s="2"/>
      <c r="AU1053" s="2"/>
      <c r="AX1053" s="2"/>
      <c r="AY1053" s="2"/>
      <c r="AZ1053" s="2"/>
    </row>
    <row r="1054" spans="45:52" x14ac:dyDescent="0.3">
      <c r="AS1054" s="2"/>
      <c r="AT1054" s="2"/>
      <c r="AU1054" s="2"/>
      <c r="AX1054" s="2"/>
      <c r="AY1054" s="2"/>
      <c r="AZ1054" s="2"/>
    </row>
    <row r="1055" spans="45:52" x14ac:dyDescent="0.3">
      <c r="AS1055" s="2"/>
      <c r="AT1055" s="2"/>
      <c r="AU1055" s="2"/>
      <c r="AX1055" s="2"/>
      <c r="AY1055" s="2"/>
      <c r="AZ1055" s="2"/>
    </row>
    <row r="1056" spans="45:52" x14ac:dyDescent="0.3">
      <c r="AS1056" s="2"/>
      <c r="AT1056" s="2"/>
      <c r="AU1056" s="2"/>
      <c r="AX1056" s="2"/>
      <c r="AY1056" s="2"/>
      <c r="AZ1056" s="2"/>
    </row>
    <row r="1057" spans="45:52" x14ac:dyDescent="0.3">
      <c r="AS1057" s="2"/>
      <c r="AT1057" s="2"/>
      <c r="AU1057" s="2"/>
      <c r="AX1057" s="2"/>
      <c r="AY1057" s="2"/>
      <c r="AZ1057" s="2"/>
    </row>
    <row r="1058" spans="45:52" x14ac:dyDescent="0.3">
      <c r="AS1058" s="2"/>
      <c r="AT1058" s="2"/>
      <c r="AU1058" s="2"/>
      <c r="AX1058" s="2"/>
      <c r="AY1058" s="2"/>
      <c r="AZ1058" s="2"/>
    </row>
    <row r="1059" spans="45:52" x14ac:dyDescent="0.3">
      <c r="AS1059" s="2"/>
      <c r="AT1059" s="2"/>
      <c r="AU1059" s="2"/>
      <c r="AX1059" s="2"/>
      <c r="AY1059" s="2"/>
      <c r="AZ1059" s="2"/>
    </row>
    <row r="1060" spans="45:52" x14ac:dyDescent="0.3">
      <c r="AS1060" s="2"/>
      <c r="AT1060" s="2"/>
      <c r="AU1060" s="2"/>
      <c r="AX1060" s="2"/>
      <c r="AY1060" s="2"/>
      <c r="AZ1060" s="2"/>
    </row>
    <row r="1061" spans="45:52" x14ac:dyDescent="0.3">
      <c r="AS1061" s="2"/>
      <c r="AT1061" s="2"/>
      <c r="AU1061" s="2"/>
      <c r="AX1061" s="2"/>
      <c r="AY1061" s="2"/>
      <c r="AZ1061" s="2"/>
    </row>
    <row r="1062" spans="45:52" x14ac:dyDescent="0.3">
      <c r="AS1062" s="2"/>
      <c r="AT1062" s="2"/>
      <c r="AU1062" s="2"/>
      <c r="AX1062" s="2"/>
      <c r="AY1062" s="2"/>
      <c r="AZ1062" s="2"/>
    </row>
    <row r="1063" spans="45:52" x14ac:dyDescent="0.3">
      <c r="AS1063" s="2"/>
      <c r="AT1063" s="2"/>
      <c r="AU1063" s="2"/>
      <c r="AX1063" s="2"/>
      <c r="AY1063" s="2"/>
      <c r="AZ1063" s="2"/>
    </row>
    <row r="1064" spans="45:52" x14ac:dyDescent="0.3">
      <c r="AS1064" s="2"/>
      <c r="AT1064" s="2"/>
      <c r="AU1064" s="2"/>
      <c r="AX1064" s="2"/>
      <c r="AY1064" s="2"/>
      <c r="AZ1064" s="2"/>
    </row>
    <row r="1065" spans="45:52" x14ac:dyDescent="0.3">
      <c r="AS1065" s="2"/>
      <c r="AT1065" s="2"/>
      <c r="AU1065" s="2"/>
      <c r="AX1065" s="2"/>
      <c r="AY1065" s="2"/>
      <c r="AZ1065" s="2"/>
    </row>
    <row r="1066" spans="45:52" x14ac:dyDescent="0.3">
      <c r="AS1066" s="2"/>
      <c r="AT1066" s="2"/>
      <c r="AU1066" s="2"/>
      <c r="AX1066" s="2"/>
      <c r="AY1066" s="2"/>
      <c r="AZ1066" s="2"/>
    </row>
    <row r="1067" spans="45:52" x14ac:dyDescent="0.3">
      <c r="AS1067" s="2"/>
      <c r="AT1067" s="2"/>
      <c r="AU1067" s="2"/>
      <c r="AX1067" s="2"/>
      <c r="AY1067" s="2"/>
      <c r="AZ1067" s="2"/>
    </row>
    <row r="1068" spans="45:52" x14ac:dyDescent="0.3">
      <c r="AS1068" s="2"/>
      <c r="AT1068" s="2"/>
      <c r="AU1068" s="2"/>
      <c r="AX1068" s="2"/>
      <c r="AY1068" s="2"/>
      <c r="AZ1068" s="2"/>
    </row>
    <row r="1069" spans="45:52" x14ac:dyDescent="0.3">
      <c r="AS1069" s="2"/>
      <c r="AT1069" s="2"/>
      <c r="AU1069" s="2"/>
      <c r="AX1069" s="2"/>
      <c r="AY1069" s="2"/>
      <c r="AZ1069" s="2"/>
    </row>
    <row r="1070" spans="45:52" x14ac:dyDescent="0.3">
      <c r="AS1070" s="2"/>
      <c r="AT1070" s="2"/>
      <c r="AU1070" s="2"/>
      <c r="AX1070" s="2"/>
      <c r="AY1070" s="2"/>
      <c r="AZ1070" s="2"/>
    </row>
    <row r="1071" spans="45:52" x14ac:dyDescent="0.3">
      <c r="AS1071" s="2"/>
      <c r="AT1071" s="2"/>
      <c r="AU1071" s="2"/>
      <c r="AX1071" s="2"/>
      <c r="AY1071" s="2"/>
      <c r="AZ1071" s="2"/>
    </row>
    <row r="1072" spans="45:52" x14ac:dyDescent="0.3">
      <c r="AS1072" s="2"/>
      <c r="AT1072" s="2"/>
      <c r="AU1072" s="2"/>
      <c r="AX1072" s="2"/>
      <c r="AY1072" s="2"/>
      <c r="AZ1072" s="2"/>
    </row>
    <row r="1073" spans="45:52" x14ac:dyDescent="0.3">
      <c r="AS1073" s="2"/>
      <c r="AT1073" s="2"/>
      <c r="AU1073" s="2"/>
      <c r="AX1073" s="2"/>
      <c r="AY1073" s="2"/>
      <c r="AZ1073" s="2"/>
    </row>
    <row r="1074" spans="45:52" x14ac:dyDescent="0.3">
      <c r="AS1074" s="2"/>
      <c r="AT1074" s="2"/>
      <c r="AU1074" s="2"/>
      <c r="AX1074" s="2"/>
      <c r="AY1074" s="2"/>
      <c r="AZ1074" s="2"/>
    </row>
    <row r="1075" spans="45:52" x14ac:dyDescent="0.3">
      <c r="AS1075" s="2"/>
      <c r="AT1075" s="2"/>
      <c r="AU1075" s="2"/>
      <c r="AX1075" s="2"/>
      <c r="AY1075" s="2"/>
      <c r="AZ1075" s="2"/>
    </row>
    <row r="1076" spans="45:52" x14ac:dyDescent="0.3">
      <c r="AS1076" s="2"/>
      <c r="AT1076" s="2"/>
      <c r="AU1076" s="2"/>
      <c r="AX1076" s="2"/>
      <c r="AY1076" s="2"/>
      <c r="AZ1076" s="2"/>
    </row>
    <row r="1077" spans="45:52" x14ac:dyDescent="0.3">
      <c r="AS1077" s="2"/>
      <c r="AT1077" s="2"/>
      <c r="AU1077" s="2"/>
      <c r="AX1077" s="2"/>
      <c r="AY1077" s="2"/>
      <c r="AZ1077" s="2"/>
    </row>
    <row r="1078" spans="45:52" x14ac:dyDescent="0.3">
      <c r="AS1078" s="2"/>
      <c r="AT1078" s="2"/>
      <c r="AU1078" s="2"/>
      <c r="AX1078" s="2"/>
      <c r="AY1078" s="2"/>
      <c r="AZ1078" s="2"/>
    </row>
    <row r="1079" spans="45:52" x14ac:dyDescent="0.3">
      <c r="AS1079" s="2"/>
      <c r="AT1079" s="2"/>
      <c r="AU1079" s="2"/>
      <c r="AX1079" s="2"/>
      <c r="AY1079" s="2"/>
      <c r="AZ1079" s="2"/>
    </row>
    <row r="1080" spans="45:52" x14ac:dyDescent="0.3">
      <c r="AS1080" s="2"/>
      <c r="AT1080" s="2"/>
      <c r="AU1080" s="2"/>
      <c r="AX1080" s="2"/>
      <c r="AY1080" s="2"/>
      <c r="AZ1080" s="2"/>
    </row>
    <row r="1081" spans="45:52" x14ac:dyDescent="0.3">
      <c r="AS1081" s="2"/>
      <c r="AT1081" s="2"/>
      <c r="AU1081" s="2"/>
      <c r="AX1081" s="2"/>
      <c r="AY1081" s="2"/>
      <c r="AZ1081" s="2"/>
    </row>
    <row r="1082" spans="45:52" x14ac:dyDescent="0.3">
      <c r="AS1082" s="2"/>
      <c r="AT1082" s="2"/>
      <c r="AU1082" s="2"/>
      <c r="AX1082" s="2"/>
      <c r="AY1082" s="2"/>
      <c r="AZ1082" s="2"/>
    </row>
    <row r="1083" spans="45:52" x14ac:dyDescent="0.3">
      <c r="AS1083" s="2"/>
      <c r="AT1083" s="2"/>
      <c r="AU1083" s="2"/>
      <c r="AX1083" s="2"/>
      <c r="AY1083" s="2"/>
      <c r="AZ1083" s="2"/>
    </row>
    <row r="1084" spans="45:52" x14ac:dyDescent="0.3">
      <c r="AS1084" s="2"/>
      <c r="AT1084" s="2"/>
      <c r="AU1084" s="2"/>
      <c r="AX1084" s="2"/>
      <c r="AY1084" s="2"/>
      <c r="AZ1084" s="2"/>
    </row>
    <row r="1085" spans="45:52" x14ac:dyDescent="0.3">
      <c r="AS1085" s="2"/>
      <c r="AT1085" s="2"/>
      <c r="AU1085" s="2"/>
      <c r="AX1085" s="2"/>
      <c r="AY1085" s="2"/>
      <c r="AZ1085" s="2"/>
    </row>
    <row r="1086" spans="45:52" x14ac:dyDescent="0.3">
      <c r="AS1086" s="2"/>
      <c r="AT1086" s="2"/>
      <c r="AU1086" s="2"/>
      <c r="AX1086" s="2"/>
      <c r="AY1086" s="2"/>
      <c r="AZ1086" s="2"/>
    </row>
    <row r="1087" spans="45:52" x14ac:dyDescent="0.3">
      <c r="AS1087" s="2"/>
      <c r="AT1087" s="2"/>
      <c r="AU1087" s="2"/>
      <c r="AX1087" s="2"/>
      <c r="AY1087" s="2"/>
      <c r="AZ1087" s="2"/>
    </row>
    <row r="1088" spans="45:52" x14ac:dyDescent="0.3">
      <c r="AS1088" s="2"/>
      <c r="AT1088" s="2"/>
      <c r="AU1088" s="2"/>
      <c r="AX1088" s="2"/>
      <c r="AY1088" s="2"/>
      <c r="AZ1088" s="2"/>
    </row>
    <row r="1089" spans="45:52" x14ac:dyDescent="0.3">
      <c r="AS1089" s="2"/>
      <c r="AT1089" s="2"/>
      <c r="AU1089" s="2"/>
      <c r="AX1089" s="2"/>
      <c r="AY1089" s="2"/>
      <c r="AZ1089" s="2"/>
    </row>
    <row r="1090" spans="45:52" x14ac:dyDescent="0.3">
      <c r="AS1090" s="2"/>
      <c r="AT1090" s="2"/>
      <c r="AU1090" s="2"/>
      <c r="AX1090" s="2"/>
      <c r="AY1090" s="2"/>
      <c r="AZ1090" s="2"/>
    </row>
    <row r="1091" spans="45:52" x14ac:dyDescent="0.3">
      <c r="AS1091" s="2"/>
      <c r="AT1091" s="2"/>
      <c r="AU1091" s="2"/>
      <c r="AX1091" s="2"/>
      <c r="AY1091" s="2"/>
      <c r="AZ1091" s="2"/>
    </row>
    <row r="1092" spans="45:52" x14ac:dyDescent="0.3">
      <c r="AS1092" s="2"/>
      <c r="AT1092" s="2"/>
      <c r="AU1092" s="2"/>
      <c r="AX1092" s="2"/>
      <c r="AY1092" s="2"/>
      <c r="AZ1092" s="2"/>
    </row>
    <row r="1093" spans="45:52" x14ac:dyDescent="0.3">
      <c r="AS1093" s="2"/>
      <c r="AT1093" s="2"/>
      <c r="AU1093" s="2"/>
      <c r="AX1093" s="2"/>
      <c r="AY1093" s="2"/>
      <c r="AZ1093" s="2"/>
    </row>
    <row r="1094" spans="45:52" x14ac:dyDescent="0.3">
      <c r="AS1094" s="2"/>
      <c r="AT1094" s="2"/>
      <c r="AU1094" s="2"/>
      <c r="AX1094" s="2"/>
      <c r="AY1094" s="2"/>
      <c r="AZ1094" s="2"/>
    </row>
    <row r="1095" spans="45:52" x14ac:dyDescent="0.3">
      <c r="AS1095" s="2"/>
      <c r="AT1095" s="2"/>
      <c r="AU1095" s="2"/>
      <c r="AX1095" s="2"/>
      <c r="AY1095" s="2"/>
      <c r="AZ1095" s="2"/>
    </row>
    <row r="1096" spans="45:52" x14ac:dyDescent="0.3">
      <c r="AS1096" s="2"/>
      <c r="AT1096" s="2"/>
      <c r="AU1096" s="2"/>
      <c r="AX1096" s="2"/>
      <c r="AY1096" s="2"/>
      <c r="AZ1096" s="2"/>
    </row>
    <row r="1097" spans="45:52" x14ac:dyDescent="0.3">
      <c r="AS1097" s="2"/>
      <c r="AT1097" s="2"/>
      <c r="AU1097" s="2"/>
      <c r="AX1097" s="2"/>
      <c r="AY1097" s="2"/>
      <c r="AZ1097" s="2"/>
    </row>
    <row r="1098" spans="45:52" x14ac:dyDescent="0.3">
      <c r="AS1098" s="2"/>
      <c r="AT1098" s="2"/>
      <c r="AU1098" s="2"/>
      <c r="AX1098" s="2"/>
      <c r="AY1098" s="2"/>
      <c r="AZ1098" s="2"/>
    </row>
    <row r="1099" spans="45:52" x14ac:dyDescent="0.3">
      <c r="AS1099" s="2"/>
      <c r="AT1099" s="2"/>
      <c r="AU1099" s="2"/>
      <c r="AX1099" s="2"/>
      <c r="AY1099" s="2"/>
      <c r="AZ1099" s="2"/>
    </row>
    <row r="1100" spans="45:52" x14ac:dyDescent="0.3">
      <c r="AS1100" s="2"/>
      <c r="AT1100" s="2"/>
      <c r="AU1100" s="2"/>
      <c r="AX1100" s="2"/>
      <c r="AY1100" s="2"/>
      <c r="AZ1100" s="2"/>
    </row>
    <row r="1101" spans="45:52" x14ac:dyDescent="0.3">
      <c r="AS1101" s="2"/>
      <c r="AT1101" s="2"/>
      <c r="AU1101" s="2"/>
      <c r="AX1101" s="2"/>
      <c r="AY1101" s="2"/>
      <c r="AZ1101" s="2"/>
    </row>
    <row r="1102" spans="45:52" x14ac:dyDescent="0.3">
      <c r="AS1102" s="2"/>
      <c r="AT1102" s="2"/>
      <c r="AU1102" s="2"/>
      <c r="AX1102" s="2"/>
      <c r="AY1102" s="2"/>
      <c r="AZ1102" s="2"/>
    </row>
    <row r="1103" spans="45:52" x14ac:dyDescent="0.3">
      <c r="AS1103" s="2"/>
      <c r="AT1103" s="2"/>
      <c r="AU1103" s="2"/>
      <c r="AX1103" s="2"/>
      <c r="AY1103" s="2"/>
      <c r="AZ1103" s="2"/>
    </row>
    <row r="1104" spans="45:52" x14ac:dyDescent="0.3">
      <c r="AS1104" s="2"/>
      <c r="AT1104" s="2"/>
      <c r="AU1104" s="2"/>
      <c r="AX1104" s="2"/>
      <c r="AY1104" s="2"/>
      <c r="AZ1104" s="2"/>
    </row>
    <row r="1105" spans="45:52" x14ac:dyDescent="0.3">
      <c r="AS1105" s="2"/>
      <c r="AT1105" s="2"/>
      <c r="AU1105" s="2"/>
      <c r="AX1105" s="2"/>
      <c r="AY1105" s="2"/>
      <c r="AZ1105" s="2"/>
    </row>
    <row r="1106" spans="45:52" x14ac:dyDescent="0.3">
      <c r="AS1106" s="2"/>
      <c r="AT1106" s="2"/>
      <c r="AU1106" s="2"/>
      <c r="AX1106" s="2"/>
      <c r="AY1106" s="2"/>
      <c r="AZ1106" s="2"/>
    </row>
    <row r="1107" spans="45:52" x14ac:dyDescent="0.3">
      <c r="AS1107" s="2"/>
      <c r="AT1107" s="2"/>
      <c r="AU1107" s="2"/>
      <c r="AX1107" s="2"/>
      <c r="AY1107" s="2"/>
      <c r="AZ1107" s="2"/>
    </row>
    <row r="1108" spans="45:52" x14ac:dyDescent="0.3">
      <c r="AS1108" s="2"/>
      <c r="AT1108" s="2"/>
      <c r="AU1108" s="2"/>
      <c r="AX1108" s="2"/>
      <c r="AY1108" s="2"/>
      <c r="AZ1108" s="2"/>
    </row>
    <row r="1109" spans="45:52" x14ac:dyDescent="0.3">
      <c r="AS1109" s="2"/>
      <c r="AT1109" s="2"/>
      <c r="AU1109" s="2"/>
      <c r="AX1109" s="2"/>
      <c r="AY1109" s="2"/>
      <c r="AZ1109" s="2"/>
    </row>
    <row r="1110" spans="45:52" x14ac:dyDescent="0.3">
      <c r="AS1110" s="2"/>
      <c r="AT1110" s="2"/>
      <c r="AU1110" s="2"/>
      <c r="AX1110" s="2"/>
      <c r="AY1110" s="2"/>
      <c r="AZ1110" s="2"/>
    </row>
    <row r="1111" spans="45:52" x14ac:dyDescent="0.3">
      <c r="AS1111" s="2"/>
      <c r="AT1111" s="2"/>
      <c r="AU1111" s="2"/>
      <c r="AX1111" s="2"/>
      <c r="AY1111" s="2"/>
      <c r="AZ1111" s="2"/>
    </row>
    <row r="1112" spans="45:52" x14ac:dyDescent="0.3">
      <c r="AS1112" s="2"/>
      <c r="AT1112" s="2"/>
      <c r="AU1112" s="2"/>
      <c r="AX1112" s="2"/>
      <c r="AY1112" s="2"/>
      <c r="AZ1112" s="2"/>
    </row>
    <row r="1113" spans="45:52" x14ac:dyDescent="0.3">
      <c r="AS1113" s="2"/>
      <c r="AT1113" s="2"/>
      <c r="AU1113" s="2"/>
      <c r="AX1113" s="2"/>
      <c r="AY1113" s="2"/>
      <c r="AZ1113" s="2"/>
    </row>
    <row r="1114" spans="45:52" x14ac:dyDescent="0.3">
      <c r="AS1114" s="2"/>
      <c r="AT1114" s="2"/>
      <c r="AU1114" s="2"/>
      <c r="AX1114" s="2"/>
      <c r="AY1114" s="2"/>
      <c r="AZ1114" s="2"/>
    </row>
    <row r="1115" spans="45:52" x14ac:dyDescent="0.3">
      <c r="AS1115" s="2"/>
      <c r="AT1115" s="2"/>
      <c r="AU1115" s="2"/>
      <c r="AX1115" s="2"/>
      <c r="AY1115" s="2"/>
      <c r="AZ1115" s="2"/>
    </row>
    <row r="1116" spans="45:52" x14ac:dyDescent="0.3">
      <c r="AS1116" s="2"/>
      <c r="AT1116" s="2"/>
      <c r="AU1116" s="2"/>
      <c r="AX1116" s="2"/>
      <c r="AY1116" s="2"/>
      <c r="AZ1116" s="2"/>
    </row>
    <row r="1117" spans="45:52" x14ac:dyDescent="0.3">
      <c r="AS1117" s="2"/>
      <c r="AT1117" s="2"/>
      <c r="AU1117" s="2"/>
      <c r="AX1117" s="2"/>
      <c r="AY1117" s="2"/>
      <c r="AZ1117" s="2"/>
    </row>
    <row r="1118" spans="45:52" x14ac:dyDescent="0.3">
      <c r="AS1118" s="2"/>
      <c r="AT1118" s="2"/>
      <c r="AU1118" s="2"/>
      <c r="AX1118" s="2"/>
      <c r="AY1118" s="2"/>
      <c r="AZ1118" s="2"/>
    </row>
    <row r="1119" spans="45:52" x14ac:dyDescent="0.3">
      <c r="AS1119" s="2"/>
      <c r="AT1119" s="2"/>
      <c r="AU1119" s="2"/>
      <c r="AX1119" s="2"/>
      <c r="AY1119" s="2"/>
      <c r="AZ1119" s="2"/>
    </row>
    <row r="1120" spans="45:52" x14ac:dyDescent="0.3">
      <c r="AS1120" s="2"/>
      <c r="AT1120" s="2"/>
      <c r="AU1120" s="2"/>
      <c r="AX1120" s="2"/>
      <c r="AY1120" s="2"/>
      <c r="AZ1120" s="2"/>
    </row>
    <row r="1121" spans="45:52" x14ac:dyDescent="0.3">
      <c r="AS1121" s="2"/>
      <c r="AT1121" s="2"/>
      <c r="AU1121" s="2"/>
      <c r="AX1121" s="2"/>
      <c r="AY1121" s="2"/>
      <c r="AZ1121" s="2"/>
    </row>
    <row r="1122" spans="45:52" x14ac:dyDescent="0.3">
      <c r="AS1122" s="2"/>
      <c r="AT1122" s="2"/>
      <c r="AU1122" s="2"/>
      <c r="AX1122" s="2"/>
      <c r="AY1122" s="2"/>
      <c r="AZ1122" s="2"/>
    </row>
    <row r="1123" spans="45:52" x14ac:dyDescent="0.3">
      <c r="AS1123" s="2"/>
      <c r="AT1123" s="2"/>
      <c r="AU1123" s="2"/>
      <c r="AX1123" s="2"/>
      <c r="AY1123" s="2"/>
      <c r="AZ1123" s="2"/>
    </row>
    <row r="1124" spans="45:52" x14ac:dyDescent="0.3">
      <c r="AS1124" s="2"/>
      <c r="AT1124" s="2"/>
      <c r="AU1124" s="2"/>
      <c r="AX1124" s="2"/>
      <c r="AY1124" s="2"/>
      <c r="AZ1124" s="2"/>
    </row>
    <row r="1125" spans="45:52" x14ac:dyDescent="0.3">
      <c r="AS1125" s="2"/>
      <c r="AT1125" s="2"/>
      <c r="AU1125" s="2"/>
      <c r="AX1125" s="2"/>
      <c r="AY1125" s="2"/>
      <c r="AZ1125" s="2"/>
    </row>
    <row r="1126" spans="45:52" x14ac:dyDescent="0.3">
      <c r="AS1126" s="2"/>
      <c r="AT1126" s="2"/>
      <c r="AU1126" s="2"/>
      <c r="AX1126" s="2"/>
      <c r="AY1126" s="2"/>
      <c r="AZ1126" s="2"/>
    </row>
    <row r="1127" spans="45:52" x14ac:dyDescent="0.3">
      <c r="AS1127" s="2"/>
      <c r="AT1127" s="2"/>
      <c r="AU1127" s="2"/>
      <c r="AX1127" s="2"/>
      <c r="AY1127" s="2"/>
      <c r="AZ1127" s="2"/>
    </row>
    <row r="1128" spans="45:52" x14ac:dyDescent="0.3">
      <c r="AS1128" s="2"/>
      <c r="AT1128" s="2"/>
      <c r="AU1128" s="2"/>
      <c r="AX1128" s="2"/>
      <c r="AY1128" s="2"/>
      <c r="AZ1128" s="2"/>
    </row>
    <row r="1129" spans="45:52" x14ac:dyDescent="0.3">
      <c r="AS1129" s="2"/>
      <c r="AT1129" s="2"/>
      <c r="AU1129" s="2"/>
      <c r="AX1129" s="2"/>
      <c r="AY1129" s="2"/>
      <c r="AZ1129" s="2"/>
    </row>
    <row r="1130" spans="45:52" x14ac:dyDescent="0.3">
      <c r="AS1130" s="2"/>
      <c r="AT1130" s="2"/>
      <c r="AU1130" s="2"/>
      <c r="AX1130" s="2"/>
      <c r="AY1130" s="2"/>
      <c r="AZ1130" s="2"/>
    </row>
    <row r="1131" spans="45:52" x14ac:dyDescent="0.3">
      <c r="AS1131" s="2"/>
      <c r="AT1131" s="2"/>
      <c r="AU1131" s="2"/>
      <c r="AX1131" s="2"/>
      <c r="AY1131" s="2"/>
      <c r="AZ1131" s="2"/>
    </row>
    <row r="1132" spans="45:52" x14ac:dyDescent="0.3">
      <c r="AS1132" s="2"/>
      <c r="AT1132" s="2"/>
      <c r="AU1132" s="2"/>
      <c r="AX1132" s="2"/>
      <c r="AY1132" s="2"/>
      <c r="AZ1132" s="2"/>
    </row>
    <row r="1133" spans="45:52" x14ac:dyDescent="0.3">
      <c r="AS1133" s="2"/>
      <c r="AT1133" s="2"/>
      <c r="AU1133" s="2"/>
      <c r="AX1133" s="2"/>
      <c r="AY1133" s="2"/>
      <c r="AZ1133" s="2"/>
    </row>
    <row r="1134" spans="45:52" x14ac:dyDescent="0.3">
      <c r="AS1134" s="2"/>
      <c r="AT1134" s="2"/>
      <c r="AU1134" s="2"/>
      <c r="AX1134" s="2"/>
      <c r="AY1134" s="2"/>
      <c r="AZ1134" s="2"/>
    </row>
    <row r="1135" spans="45:52" x14ac:dyDescent="0.3">
      <c r="AS1135" s="2"/>
      <c r="AT1135" s="2"/>
      <c r="AU1135" s="2"/>
      <c r="AX1135" s="2"/>
      <c r="AY1135" s="2"/>
      <c r="AZ1135" s="2"/>
    </row>
    <row r="1136" spans="45:52" x14ac:dyDescent="0.3">
      <c r="AS1136" s="2"/>
      <c r="AT1136" s="2"/>
      <c r="AU1136" s="2"/>
      <c r="AX1136" s="2"/>
      <c r="AY1136" s="2"/>
      <c r="AZ1136" s="2"/>
    </row>
    <row r="1137" spans="45:52" x14ac:dyDescent="0.3">
      <c r="AS1137" s="2"/>
      <c r="AT1137" s="2"/>
      <c r="AU1137" s="2"/>
      <c r="AX1137" s="2"/>
      <c r="AY1137" s="2"/>
      <c r="AZ1137" s="2"/>
    </row>
    <row r="1138" spans="45:52" x14ac:dyDescent="0.3">
      <c r="AS1138" s="2"/>
      <c r="AT1138" s="2"/>
      <c r="AU1138" s="2"/>
      <c r="AX1138" s="2"/>
      <c r="AY1138" s="2"/>
      <c r="AZ1138" s="2"/>
    </row>
    <row r="1139" spans="45:52" x14ac:dyDescent="0.3">
      <c r="AS1139" s="2"/>
      <c r="AT1139" s="2"/>
      <c r="AU1139" s="2"/>
      <c r="AX1139" s="2"/>
      <c r="AY1139" s="2"/>
      <c r="AZ1139" s="2"/>
    </row>
    <row r="1140" spans="45:52" x14ac:dyDescent="0.3">
      <c r="AS1140" s="2"/>
      <c r="AT1140" s="2"/>
      <c r="AU1140" s="2"/>
      <c r="AX1140" s="2"/>
      <c r="AY1140" s="2"/>
      <c r="AZ1140" s="2"/>
    </row>
    <row r="1141" spans="45:52" x14ac:dyDescent="0.3">
      <c r="AS1141" s="2"/>
      <c r="AT1141" s="2"/>
      <c r="AU1141" s="2"/>
      <c r="AX1141" s="2"/>
      <c r="AY1141" s="2"/>
      <c r="AZ1141" s="2"/>
    </row>
    <row r="1142" spans="45:52" x14ac:dyDescent="0.3">
      <c r="AS1142" s="2"/>
      <c r="AT1142" s="2"/>
      <c r="AU1142" s="2"/>
      <c r="AX1142" s="2"/>
      <c r="AY1142" s="2"/>
      <c r="AZ1142" s="2"/>
    </row>
    <row r="1143" spans="45:52" x14ac:dyDescent="0.3">
      <c r="AS1143" s="2"/>
      <c r="AT1143" s="2"/>
      <c r="AU1143" s="2"/>
      <c r="AX1143" s="2"/>
      <c r="AY1143" s="2"/>
      <c r="AZ1143" s="2"/>
    </row>
    <row r="1144" spans="45:52" x14ac:dyDescent="0.3">
      <c r="AS1144" s="2"/>
      <c r="AT1144" s="2"/>
      <c r="AU1144" s="2"/>
      <c r="AX1144" s="2"/>
      <c r="AY1144" s="2"/>
      <c r="AZ1144" s="2"/>
    </row>
    <row r="1145" spans="45:52" x14ac:dyDescent="0.3">
      <c r="AS1145" s="2"/>
      <c r="AT1145" s="2"/>
      <c r="AU1145" s="2"/>
      <c r="AX1145" s="2"/>
      <c r="AY1145" s="2"/>
      <c r="AZ1145" s="2"/>
    </row>
    <row r="1146" spans="45:52" x14ac:dyDescent="0.3">
      <c r="AS1146" s="2"/>
      <c r="AT1146" s="2"/>
      <c r="AU1146" s="2"/>
      <c r="AX1146" s="2"/>
      <c r="AY1146" s="2"/>
      <c r="AZ1146" s="2"/>
    </row>
    <row r="1147" spans="45:52" x14ac:dyDescent="0.3">
      <c r="AS1147" s="2"/>
      <c r="AT1147" s="2"/>
      <c r="AU1147" s="2"/>
      <c r="AX1147" s="2"/>
      <c r="AY1147" s="2"/>
      <c r="AZ1147" s="2"/>
    </row>
    <row r="1148" spans="45:52" x14ac:dyDescent="0.3">
      <c r="AS1148" s="2"/>
      <c r="AT1148" s="2"/>
      <c r="AU1148" s="2"/>
      <c r="AX1148" s="2"/>
      <c r="AY1148" s="2"/>
      <c r="AZ1148" s="2"/>
    </row>
    <row r="1149" spans="45:52" x14ac:dyDescent="0.3">
      <c r="AS1149" s="2"/>
      <c r="AT1149" s="2"/>
      <c r="AU1149" s="2"/>
      <c r="AX1149" s="2"/>
      <c r="AY1149" s="2"/>
      <c r="AZ1149" s="2"/>
    </row>
    <row r="1150" spans="45:52" x14ac:dyDescent="0.3">
      <c r="AS1150" s="2"/>
      <c r="AT1150" s="2"/>
      <c r="AU1150" s="2"/>
      <c r="AX1150" s="2"/>
      <c r="AY1150" s="2"/>
      <c r="AZ1150" s="2"/>
    </row>
    <row r="1151" spans="45:52" x14ac:dyDescent="0.3">
      <c r="AS1151" s="2"/>
      <c r="AT1151" s="2"/>
      <c r="AU1151" s="2"/>
      <c r="AX1151" s="2"/>
      <c r="AY1151" s="2"/>
      <c r="AZ1151" s="2"/>
    </row>
    <row r="1152" spans="45:52" x14ac:dyDescent="0.3">
      <c r="AS1152" s="2"/>
      <c r="AT1152" s="2"/>
      <c r="AU1152" s="2"/>
      <c r="AX1152" s="2"/>
      <c r="AY1152" s="2"/>
      <c r="AZ1152" s="2"/>
    </row>
    <row r="1153" spans="45:52" x14ac:dyDescent="0.3">
      <c r="AS1153" s="2"/>
      <c r="AT1153" s="2"/>
      <c r="AU1153" s="2"/>
      <c r="AX1153" s="2"/>
      <c r="AY1153" s="2"/>
      <c r="AZ1153" s="2"/>
    </row>
    <row r="1154" spans="45:52" x14ac:dyDescent="0.3">
      <c r="AS1154" s="2"/>
      <c r="AT1154" s="2"/>
      <c r="AU1154" s="2"/>
      <c r="AX1154" s="2"/>
      <c r="AY1154" s="2"/>
      <c r="AZ1154" s="2"/>
    </row>
    <row r="1155" spans="45:52" x14ac:dyDescent="0.3">
      <c r="AS1155" s="2"/>
      <c r="AT1155" s="2"/>
      <c r="AU1155" s="2"/>
      <c r="AX1155" s="2"/>
      <c r="AY1155" s="2"/>
      <c r="AZ1155" s="2"/>
    </row>
    <row r="1156" spans="45:52" x14ac:dyDescent="0.3">
      <c r="AS1156" s="2"/>
      <c r="AT1156" s="2"/>
      <c r="AU1156" s="2"/>
      <c r="AX1156" s="2"/>
      <c r="AY1156" s="2"/>
      <c r="AZ1156" s="2"/>
    </row>
    <row r="1157" spans="45:52" x14ac:dyDescent="0.3">
      <c r="AS1157" s="2"/>
      <c r="AT1157" s="2"/>
      <c r="AU1157" s="2"/>
      <c r="AX1157" s="2"/>
      <c r="AY1157" s="2"/>
      <c r="AZ1157" s="2"/>
    </row>
    <row r="1158" spans="45:52" x14ac:dyDescent="0.3">
      <c r="AS1158" s="2"/>
      <c r="AT1158" s="2"/>
      <c r="AU1158" s="2"/>
      <c r="AX1158" s="2"/>
      <c r="AY1158" s="2"/>
      <c r="AZ1158" s="2"/>
    </row>
    <row r="1159" spans="45:52" x14ac:dyDescent="0.3">
      <c r="AS1159" s="2"/>
      <c r="AT1159" s="2"/>
      <c r="AU1159" s="2"/>
      <c r="AX1159" s="2"/>
      <c r="AY1159" s="2"/>
      <c r="AZ1159" s="2"/>
    </row>
    <row r="1160" spans="45:52" x14ac:dyDescent="0.3">
      <c r="AS1160" s="2"/>
      <c r="AT1160" s="2"/>
      <c r="AU1160" s="2"/>
      <c r="AX1160" s="2"/>
      <c r="AY1160" s="2"/>
      <c r="AZ1160" s="2"/>
    </row>
    <row r="1161" spans="45:52" x14ac:dyDescent="0.3">
      <c r="AS1161" s="2"/>
      <c r="AT1161" s="2"/>
      <c r="AU1161" s="2"/>
      <c r="AX1161" s="2"/>
      <c r="AY1161" s="2"/>
      <c r="AZ1161" s="2"/>
    </row>
    <row r="1162" spans="45:52" x14ac:dyDescent="0.3">
      <c r="AS1162" s="2"/>
      <c r="AT1162" s="2"/>
      <c r="AU1162" s="2"/>
      <c r="AX1162" s="2"/>
      <c r="AY1162" s="2"/>
      <c r="AZ1162" s="2"/>
    </row>
    <row r="1163" spans="45:52" x14ac:dyDescent="0.3">
      <c r="AS1163" s="2"/>
      <c r="AT1163" s="2"/>
      <c r="AU1163" s="2"/>
    </row>
    <row r="1164" spans="45:52" x14ac:dyDescent="0.3">
      <c r="AS1164" s="2"/>
      <c r="AT1164" s="2"/>
      <c r="AU1164" s="2"/>
    </row>
    <row r="1165" spans="45:52" x14ac:dyDescent="0.3">
      <c r="AS1165" s="2"/>
      <c r="AT1165" s="2"/>
      <c r="AU1165" s="2"/>
    </row>
    <row r="1166" spans="45:52" x14ac:dyDescent="0.3">
      <c r="AS1166" s="2"/>
      <c r="AT1166" s="2"/>
      <c r="AU1166" s="2"/>
    </row>
    <row r="1167" spans="45:52" x14ac:dyDescent="0.3">
      <c r="AS1167" s="2"/>
      <c r="AT1167" s="2"/>
      <c r="AU1167" s="2"/>
    </row>
    <row r="1168" spans="45:52" x14ac:dyDescent="0.3">
      <c r="AS1168" s="2"/>
      <c r="AT1168" s="2"/>
      <c r="AU1168" s="2"/>
    </row>
    <row r="1169" spans="45:47" x14ac:dyDescent="0.3">
      <c r="AS1169" s="2"/>
      <c r="AT1169" s="2"/>
      <c r="AU1169" s="2"/>
    </row>
    <row r="1170" spans="45:47" x14ac:dyDescent="0.3">
      <c r="AS1170" s="2"/>
      <c r="AT1170" s="2"/>
      <c r="AU1170" s="2"/>
    </row>
    <row r="1171" spans="45:47" x14ac:dyDescent="0.3">
      <c r="AS1171" s="2"/>
      <c r="AT1171" s="2"/>
      <c r="AU1171" s="2"/>
    </row>
    <row r="1172" spans="45:47" x14ac:dyDescent="0.3">
      <c r="AS1172" s="2"/>
      <c r="AT1172" s="2"/>
      <c r="AU1172" s="2"/>
    </row>
    <row r="1173" spans="45:47" x14ac:dyDescent="0.3">
      <c r="AS1173" s="2"/>
      <c r="AT1173" s="2"/>
      <c r="AU1173" s="2"/>
    </row>
    <row r="1174" spans="45:47" x14ac:dyDescent="0.3">
      <c r="AS1174" s="2"/>
      <c r="AT1174" s="2"/>
      <c r="AU1174" s="2"/>
    </row>
    <row r="1175" spans="45:47" x14ac:dyDescent="0.3">
      <c r="AS1175" s="2"/>
      <c r="AT1175" s="2"/>
      <c r="AU1175" s="2"/>
    </row>
    <row r="1176" spans="45:47" x14ac:dyDescent="0.3">
      <c r="AS1176" s="2"/>
      <c r="AT1176" s="2"/>
      <c r="AU1176" s="2"/>
    </row>
    <row r="1177" spans="45:47" x14ac:dyDescent="0.3">
      <c r="AS1177" s="2"/>
      <c r="AT1177" s="2"/>
      <c r="AU1177" s="2"/>
    </row>
    <row r="1178" spans="45:47" x14ac:dyDescent="0.3">
      <c r="AS1178" s="2"/>
      <c r="AT1178" s="2"/>
      <c r="AU1178" s="2"/>
    </row>
    <row r="1179" spans="45:47" x14ac:dyDescent="0.3">
      <c r="AS1179" s="2"/>
      <c r="AT1179" s="2"/>
      <c r="AU1179" s="2"/>
    </row>
    <row r="1180" spans="45:47" x14ac:dyDescent="0.3">
      <c r="AS1180" s="2"/>
      <c r="AT1180" s="2"/>
      <c r="AU1180" s="2"/>
    </row>
    <row r="1181" spans="45:47" x14ac:dyDescent="0.3">
      <c r="AS1181" s="2"/>
      <c r="AT1181" s="2"/>
      <c r="AU1181" s="2"/>
    </row>
    <row r="1182" spans="45:47" x14ac:dyDescent="0.3">
      <c r="AS1182" s="2"/>
      <c r="AT1182" s="2"/>
      <c r="AU1182" s="2"/>
    </row>
    <row r="1183" spans="45:47" x14ac:dyDescent="0.3">
      <c r="AS1183" s="2"/>
      <c r="AT1183" s="2"/>
      <c r="AU1183" s="2"/>
    </row>
    <row r="1184" spans="45:47" x14ac:dyDescent="0.3">
      <c r="AS1184" s="2"/>
      <c r="AT1184" s="2"/>
      <c r="AU1184" s="2"/>
    </row>
    <row r="1185" spans="45:47" x14ac:dyDescent="0.3">
      <c r="AS1185" s="2"/>
      <c r="AT1185" s="2"/>
      <c r="AU1185" s="2"/>
    </row>
    <row r="1186" spans="45:47" x14ac:dyDescent="0.3">
      <c r="AS1186" s="2"/>
      <c r="AT1186" s="2"/>
      <c r="AU1186" s="2"/>
    </row>
    <row r="1187" spans="45:47" x14ac:dyDescent="0.3">
      <c r="AS1187" s="2"/>
      <c r="AT1187" s="2"/>
      <c r="AU1187" s="2"/>
    </row>
    <row r="1188" spans="45:47" x14ac:dyDescent="0.3">
      <c r="AS1188" s="2"/>
      <c r="AT1188" s="2"/>
      <c r="AU1188" s="2"/>
    </row>
    <row r="1189" spans="45:47" x14ac:dyDescent="0.3">
      <c r="AS1189" s="2"/>
      <c r="AT1189" s="2"/>
      <c r="AU1189" s="2"/>
    </row>
    <row r="1190" spans="45:47" x14ac:dyDescent="0.3">
      <c r="AS1190" s="2"/>
      <c r="AT1190" s="2"/>
      <c r="AU1190" s="2"/>
    </row>
    <row r="1191" spans="45:47" x14ac:dyDescent="0.3">
      <c r="AS1191" s="2"/>
      <c r="AT1191" s="2"/>
      <c r="AU1191" s="2"/>
    </row>
    <row r="1192" spans="45:47" x14ac:dyDescent="0.3">
      <c r="AS1192" s="2"/>
      <c r="AT1192" s="2"/>
      <c r="AU1192" s="2"/>
    </row>
    <row r="1193" spans="45:47" x14ac:dyDescent="0.3">
      <c r="AS1193" s="2"/>
      <c r="AT1193" s="2"/>
      <c r="AU1193" s="2"/>
    </row>
    <row r="1194" spans="45:47" x14ac:dyDescent="0.3">
      <c r="AS1194" s="2"/>
      <c r="AT1194" s="2"/>
      <c r="AU1194" s="2"/>
    </row>
    <row r="1195" spans="45:47" x14ac:dyDescent="0.3">
      <c r="AS1195" s="2"/>
      <c r="AT1195" s="2"/>
      <c r="AU1195" s="2"/>
    </row>
    <row r="1196" spans="45:47" x14ac:dyDescent="0.3">
      <c r="AS1196" s="2"/>
      <c r="AT1196" s="2"/>
      <c r="AU1196" s="2"/>
    </row>
    <row r="1197" spans="45:47" x14ac:dyDescent="0.3">
      <c r="AS1197" s="2"/>
      <c r="AT1197" s="2"/>
      <c r="AU1197" s="2"/>
    </row>
    <row r="1198" spans="45:47" x14ac:dyDescent="0.3">
      <c r="AS1198" s="2"/>
      <c r="AT1198" s="2"/>
      <c r="AU1198" s="2"/>
    </row>
    <row r="1199" spans="45:47" x14ac:dyDescent="0.3">
      <c r="AS1199" s="2"/>
      <c r="AT1199" s="2"/>
      <c r="AU1199" s="2"/>
    </row>
    <row r="1200" spans="45:47" x14ac:dyDescent="0.3">
      <c r="AS1200" s="2"/>
      <c r="AT1200" s="2"/>
      <c r="AU1200" s="2"/>
    </row>
    <row r="1201" spans="45:47" x14ac:dyDescent="0.3">
      <c r="AS1201" s="2"/>
      <c r="AT1201" s="2"/>
      <c r="AU1201" s="2"/>
    </row>
    <row r="1202" spans="45:47" x14ac:dyDescent="0.3">
      <c r="AS1202" s="2"/>
      <c r="AT1202" s="2"/>
      <c r="AU1202" s="2"/>
    </row>
    <row r="1203" spans="45:47" x14ac:dyDescent="0.3">
      <c r="AS1203" s="2"/>
      <c r="AT1203" s="2"/>
      <c r="AU1203" s="2"/>
    </row>
    <row r="1204" spans="45:47" x14ac:dyDescent="0.3">
      <c r="AS1204" s="2"/>
      <c r="AT1204" s="2"/>
      <c r="AU1204" s="2"/>
    </row>
    <row r="1205" spans="45:47" x14ac:dyDescent="0.3">
      <c r="AS1205" s="2"/>
      <c r="AT1205" s="2"/>
      <c r="AU1205" s="2"/>
    </row>
    <row r="1206" spans="45:47" x14ac:dyDescent="0.3">
      <c r="AS1206" s="2"/>
      <c r="AT1206" s="2"/>
      <c r="AU1206" s="2"/>
    </row>
    <row r="1207" spans="45:47" x14ac:dyDescent="0.3">
      <c r="AS1207" s="2"/>
      <c r="AT1207" s="2"/>
      <c r="AU1207" s="2"/>
    </row>
    <row r="1208" spans="45:47" x14ac:dyDescent="0.3">
      <c r="AS1208" s="2"/>
      <c r="AT1208" s="2"/>
      <c r="AU1208" s="2"/>
    </row>
    <row r="1209" spans="45:47" x14ac:dyDescent="0.3">
      <c r="AS1209" s="2"/>
      <c r="AT1209" s="2"/>
      <c r="AU1209" s="2"/>
    </row>
    <row r="1210" spans="45:47" x14ac:dyDescent="0.3">
      <c r="AS1210" s="2"/>
      <c r="AT1210" s="2"/>
      <c r="AU1210" s="2"/>
    </row>
    <row r="1211" spans="45:47" x14ac:dyDescent="0.3">
      <c r="AS1211" s="2"/>
      <c r="AT1211" s="2"/>
      <c r="AU1211" s="2"/>
    </row>
    <row r="1212" spans="45:47" x14ac:dyDescent="0.3">
      <c r="AS1212" s="2"/>
      <c r="AT1212" s="2"/>
      <c r="AU1212" s="2"/>
    </row>
    <row r="1213" spans="45:47" x14ac:dyDescent="0.3">
      <c r="AS1213" s="2"/>
      <c r="AT1213" s="2"/>
      <c r="AU1213" s="2"/>
    </row>
    <row r="1214" spans="45:47" x14ac:dyDescent="0.3">
      <c r="AS1214" s="2"/>
      <c r="AT1214" s="2"/>
      <c r="AU1214" s="2"/>
    </row>
    <row r="1215" spans="45:47" x14ac:dyDescent="0.3">
      <c r="AS1215" s="2"/>
      <c r="AT1215" s="2"/>
      <c r="AU1215" s="2"/>
    </row>
    <row r="1216" spans="45:47" x14ac:dyDescent="0.3">
      <c r="AS1216" s="2"/>
      <c r="AT1216" s="2"/>
      <c r="AU1216" s="2"/>
    </row>
    <row r="1217" spans="45:47" x14ac:dyDescent="0.3">
      <c r="AS1217" s="2"/>
      <c r="AT1217" s="2"/>
      <c r="AU1217" s="2"/>
    </row>
    <row r="1218" spans="45:47" x14ac:dyDescent="0.3">
      <c r="AS1218" s="2"/>
      <c r="AT1218" s="2"/>
      <c r="AU1218" s="2"/>
    </row>
    <row r="1219" spans="45:47" x14ac:dyDescent="0.3">
      <c r="AS1219" s="2"/>
      <c r="AT1219" s="2"/>
      <c r="AU1219" s="2"/>
    </row>
    <row r="1220" spans="45:47" x14ac:dyDescent="0.3">
      <c r="AS1220" s="2"/>
      <c r="AT1220" s="2"/>
      <c r="AU1220" s="2"/>
    </row>
    <row r="1221" spans="45:47" x14ac:dyDescent="0.3">
      <c r="AS1221" s="2"/>
      <c r="AT1221" s="2"/>
      <c r="AU1221" s="2"/>
    </row>
    <row r="1222" spans="45:47" x14ac:dyDescent="0.3">
      <c r="AS1222" s="2"/>
      <c r="AT1222" s="2"/>
      <c r="AU1222" s="2"/>
    </row>
    <row r="1223" spans="45:47" x14ac:dyDescent="0.3">
      <c r="AS1223" s="2"/>
      <c r="AT1223" s="2"/>
      <c r="AU1223" s="2"/>
    </row>
    <row r="1224" spans="45:47" x14ac:dyDescent="0.3">
      <c r="AS1224" s="2"/>
      <c r="AT1224" s="2"/>
      <c r="AU1224" s="2"/>
    </row>
    <row r="1225" spans="45:47" x14ac:dyDescent="0.3">
      <c r="AS1225" s="2"/>
      <c r="AT1225" s="2"/>
      <c r="AU1225" s="2"/>
    </row>
    <row r="1226" spans="45:47" x14ac:dyDescent="0.3">
      <c r="AS1226" s="2"/>
      <c r="AT1226" s="2"/>
      <c r="AU1226" s="2"/>
    </row>
    <row r="1227" spans="45:47" x14ac:dyDescent="0.3">
      <c r="AS1227" s="2"/>
      <c r="AT1227" s="2"/>
      <c r="AU1227" s="2"/>
    </row>
    <row r="1228" spans="45:47" x14ac:dyDescent="0.3">
      <c r="AS1228" s="2"/>
      <c r="AT1228" s="2"/>
      <c r="AU1228" s="2"/>
    </row>
    <row r="1229" spans="45:47" x14ac:dyDescent="0.3">
      <c r="AS1229" s="2"/>
      <c r="AT1229" s="2"/>
      <c r="AU1229" s="2"/>
    </row>
    <row r="1230" spans="45:47" x14ac:dyDescent="0.3">
      <c r="AS1230" s="2"/>
      <c r="AT1230" s="2"/>
      <c r="AU1230" s="2"/>
    </row>
    <row r="1231" spans="45:47" x14ac:dyDescent="0.3">
      <c r="AS1231" s="2"/>
      <c r="AT1231" s="2"/>
      <c r="AU1231" s="2"/>
    </row>
    <row r="1232" spans="45:47" x14ac:dyDescent="0.3">
      <c r="AS1232" s="2"/>
      <c r="AT1232" s="2"/>
      <c r="AU1232" s="2"/>
    </row>
    <row r="1233" spans="45:47" x14ac:dyDescent="0.3">
      <c r="AS1233" s="2"/>
      <c r="AT1233" s="2"/>
      <c r="AU1233" s="2"/>
    </row>
    <row r="1234" spans="45:47" x14ac:dyDescent="0.3">
      <c r="AS1234" s="2"/>
      <c r="AT1234" s="2"/>
      <c r="AU1234" s="2"/>
    </row>
    <row r="1235" spans="45:47" x14ac:dyDescent="0.3">
      <c r="AS1235" s="2"/>
      <c r="AT1235" s="2"/>
      <c r="AU1235" s="2"/>
    </row>
    <row r="1236" spans="45:47" x14ac:dyDescent="0.3">
      <c r="AS1236" s="2"/>
      <c r="AT1236" s="2"/>
      <c r="AU1236" s="2"/>
    </row>
    <row r="1237" spans="45:47" x14ac:dyDescent="0.3">
      <c r="AS1237" s="2"/>
      <c r="AT1237" s="2"/>
      <c r="AU1237" s="2"/>
    </row>
    <row r="1238" spans="45:47" x14ac:dyDescent="0.3">
      <c r="AS1238" s="2"/>
      <c r="AT1238" s="2"/>
      <c r="AU1238" s="2"/>
    </row>
    <row r="1239" spans="45:47" x14ac:dyDescent="0.3">
      <c r="AS1239" s="2"/>
      <c r="AT1239" s="2"/>
      <c r="AU1239" s="2"/>
    </row>
    <row r="1240" spans="45:47" x14ac:dyDescent="0.3">
      <c r="AS1240" s="2"/>
      <c r="AT1240" s="2"/>
      <c r="AU1240" s="2"/>
    </row>
    <row r="1241" spans="45:47" x14ac:dyDescent="0.3">
      <c r="AS1241" s="2"/>
      <c r="AT1241" s="2"/>
      <c r="AU1241" s="2"/>
    </row>
    <row r="1242" spans="45:47" x14ac:dyDescent="0.3">
      <c r="AS1242" s="2"/>
      <c r="AT1242" s="2"/>
      <c r="AU1242" s="2"/>
    </row>
    <row r="1243" spans="45:47" x14ac:dyDescent="0.3">
      <c r="AS1243" s="2"/>
      <c r="AT1243" s="2"/>
      <c r="AU1243" s="2"/>
    </row>
    <row r="1244" spans="45:47" x14ac:dyDescent="0.3">
      <c r="AS1244" s="2"/>
      <c r="AT1244" s="2"/>
      <c r="AU1244" s="2"/>
    </row>
    <row r="1245" spans="45:47" x14ac:dyDescent="0.3">
      <c r="AS1245" s="2"/>
      <c r="AT1245" s="2"/>
      <c r="AU1245" s="2"/>
    </row>
    <row r="1246" spans="45:47" x14ac:dyDescent="0.3">
      <c r="AS1246" s="2"/>
      <c r="AT1246" s="2"/>
      <c r="AU1246" s="2"/>
    </row>
    <row r="1247" spans="45:47" x14ac:dyDescent="0.3">
      <c r="AS1247" s="2"/>
      <c r="AT1247" s="2"/>
      <c r="AU1247" s="2"/>
    </row>
    <row r="1248" spans="45:47" x14ac:dyDescent="0.3">
      <c r="AS1248" s="2"/>
      <c r="AT1248" s="2"/>
      <c r="AU1248" s="2"/>
    </row>
    <row r="1249" spans="45:47" x14ac:dyDescent="0.3">
      <c r="AS1249" s="2"/>
      <c r="AT1249" s="2"/>
      <c r="AU1249" s="2"/>
    </row>
    <row r="1250" spans="45:47" x14ac:dyDescent="0.3">
      <c r="AS1250" s="2"/>
      <c r="AT1250" s="2"/>
      <c r="AU1250" s="2"/>
    </row>
    <row r="1251" spans="45:47" x14ac:dyDescent="0.3">
      <c r="AS1251" s="2"/>
      <c r="AT1251" s="2"/>
      <c r="AU1251" s="2"/>
    </row>
    <row r="1252" spans="45:47" x14ac:dyDescent="0.3">
      <c r="AS1252" s="2"/>
      <c r="AT1252" s="2"/>
      <c r="AU1252" s="2"/>
    </row>
    <row r="1253" spans="45:47" x14ac:dyDescent="0.3">
      <c r="AS1253" s="2"/>
      <c r="AT1253" s="2"/>
      <c r="AU1253" s="2"/>
    </row>
    <row r="1254" spans="45:47" x14ac:dyDescent="0.3">
      <c r="AS1254" s="2"/>
      <c r="AT1254" s="2"/>
      <c r="AU1254" s="2"/>
    </row>
    <row r="1255" spans="45:47" x14ac:dyDescent="0.3">
      <c r="AS1255" s="2"/>
      <c r="AT1255" s="2"/>
      <c r="AU1255" s="2"/>
    </row>
    <row r="1256" spans="45:47" x14ac:dyDescent="0.3">
      <c r="AS1256" s="2"/>
      <c r="AT1256" s="2"/>
      <c r="AU1256" s="2"/>
    </row>
    <row r="1257" spans="45:47" x14ac:dyDescent="0.3">
      <c r="AS1257" s="2"/>
      <c r="AT1257" s="2"/>
      <c r="AU1257" s="2"/>
    </row>
    <row r="1258" spans="45:47" x14ac:dyDescent="0.3">
      <c r="AS1258" s="2"/>
      <c r="AT1258" s="2"/>
      <c r="AU1258" s="2"/>
    </row>
    <row r="1259" spans="45:47" x14ac:dyDescent="0.3">
      <c r="AS1259" s="2"/>
      <c r="AT1259" s="2"/>
      <c r="AU1259" s="2"/>
    </row>
    <row r="1260" spans="45:47" x14ac:dyDescent="0.3">
      <c r="AS1260" s="2"/>
      <c r="AT1260" s="2"/>
      <c r="AU1260" s="2"/>
    </row>
    <row r="1261" spans="45:47" x14ac:dyDescent="0.3">
      <c r="AS1261" s="2"/>
      <c r="AT1261" s="2"/>
      <c r="AU1261" s="2"/>
    </row>
    <row r="1262" spans="45:47" x14ac:dyDescent="0.3">
      <c r="AS1262" s="2"/>
      <c r="AT1262" s="2"/>
      <c r="AU1262" s="2"/>
    </row>
    <row r="1263" spans="45:47" x14ac:dyDescent="0.3">
      <c r="AS1263" s="2"/>
      <c r="AT1263" s="2"/>
      <c r="AU1263" s="2"/>
    </row>
    <row r="1264" spans="45:47" x14ac:dyDescent="0.3">
      <c r="AS1264" s="2"/>
      <c r="AT1264" s="2"/>
      <c r="AU1264" s="2"/>
    </row>
    <row r="1265" spans="45:47" x14ac:dyDescent="0.3">
      <c r="AS1265" s="2"/>
      <c r="AT1265" s="2"/>
      <c r="AU1265" s="2"/>
    </row>
    <row r="1266" spans="45:47" x14ac:dyDescent="0.3">
      <c r="AS1266" s="2"/>
      <c r="AT1266" s="2"/>
      <c r="AU1266" s="2"/>
    </row>
    <row r="1267" spans="45:47" x14ac:dyDescent="0.3">
      <c r="AS1267" s="2"/>
      <c r="AT1267" s="2"/>
      <c r="AU1267" s="2"/>
    </row>
    <row r="1268" spans="45:47" x14ac:dyDescent="0.3">
      <c r="AS1268" s="2"/>
      <c r="AT1268" s="2"/>
      <c r="AU1268" s="2"/>
    </row>
    <row r="1269" spans="45:47" x14ac:dyDescent="0.3">
      <c r="AS1269" s="2"/>
      <c r="AT1269" s="2"/>
      <c r="AU1269" s="2"/>
    </row>
    <row r="1270" spans="45:47" x14ac:dyDescent="0.3">
      <c r="AS1270" s="2"/>
      <c r="AT1270" s="2"/>
      <c r="AU1270" s="2"/>
    </row>
    <row r="1271" spans="45:47" x14ac:dyDescent="0.3">
      <c r="AS1271" s="2"/>
      <c r="AT1271" s="2"/>
      <c r="AU1271" s="2"/>
    </row>
    <row r="1272" spans="45:47" x14ac:dyDescent="0.3">
      <c r="AS1272" s="2"/>
      <c r="AT1272" s="2"/>
      <c r="AU1272" s="2"/>
    </row>
    <row r="1273" spans="45:47" x14ac:dyDescent="0.3">
      <c r="AS1273" s="2"/>
      <c r="AT1273" s="2"/>
      <c r="AU1273" s="2"/>
    </row>
    <row r="1274" spans="45:47" x14ac:dyDescent="0.3">
      <c r="AS1274" s="2"/>
      <c r="AT1274" s="2"/>
      <c r="AU1274" s="2"/>
    </row>
    <row r="1275" spans="45:47" x14ac:dyDescent="0.3">
      <c r="AS1275" s="2"/>
      <c r="AT1275" s="2"/>
      <c r="AU1275" s="2"/>
    </row>
    <row r="1276" spans="45:47" x14ac:dyDescent="0.3">
      <c r="AS1276" s="2"/>
      <c r="AT1276" s="2"/>
      <c r="AU1276" s="2"/>
    </row>
    <row r="1277" spans="45:47" x14ac:dyDescent="0.3">
      <c r="AS1277" s="2"/>
      <c r="AT1277" s="2"/>
      <c r="AU1277" s="2"/>
    </row>
    <row r="1278" spans="45:47" x14ac:dyDescent="0.3">
      <c r="AS1278" s="2"/>
      <c r="AT1278" s="2"/>
      <c r="AU1278" s="2"/>
    </row>
    <row r="1279" spans="45:47" x14ac:dyDescent="0.3">
      <c r="AS1279" s="2"/>
      <c r="AT1279" s="2"/>
      <c r="AU1279" s="2"/>
    </row>
    <row r="1280" spans="45:47" x14ac:dyDescent="0.3">
      <c r="AS1280" s="2"/>
      <c r="AT1280" s="2"/>
      <c r="AU1280" s="2"/>
    </row>
    <row r="1281" spans="45:47" x14ac:dyDescent="0.3">
      <c r="AS1281" s="2"/>
      <c r="AT1281" s="2"/>
      <c r="AU1281" s="2"/>
    </row>
    <row r="1282" spans="45:47" x14ac:dyDescent="0.3">
      <c r="AS1282" s="2"/>
      <c r="AT1282" s="2"/>
      <c r="AU1282" s="2"/>
    </row>
    <row r="1283" spans="45:47" x14ac:dyDescent="0.3">
      <c r="AS1283" s="2"/>
      <c r="AT1283" s="2"/>
      <c r="AU1283" s="2"/>
    </row>
    <row r="1284" spans="45:47" x14ac:dyDescent="0.3">
      <c r="AS1284" s="2"/>
      <c r="AT1284" s="2"/>
      <c r="AU1284" s="2"/>
    </row>
    <row r="1285" spans="45:47" x14ac:dyDescent="0.3">
      <c r="AS1285" s="2"/>
      <c r="AT1285" s="2"/>
      <c r="AU1285" s="2"/>
    </row>
    <row r="1286" spans="45:47" x14ac:dyDescent="0.3">
      <c r="AS1286" s="2"/>
      <c r="AT1286" s="2"/>
      <c r="AU1286" s="2"/>
    </row>
    <row r="1287" spans="45:47" x14ac:dyDescent="0.3">
      <c r="AS1287" s="2"/>
      <c r="AT1287" s="2"/>
      <c r="AU1287" s="2"/>
    </row>
    <row r="1288" spans="45:47" x14ac:dyDescent="0.3">
      <c r="AS1288" s="2"/>
      <c r="AT1288" s="2"/>
      <c r="AU1288" s="2"/>
    </row>
    <row r="1289" spans="45:47" x14ac:dyDescent="0.3">
      <c r="AS1289" s="2"/>
      <c r="AT1289" s="2"/>
      <c r="AU1289" s="2"/>
    </row>
    <row r="1290" spans="45:47" x14ac:dyDescent="0.3">
      <c r="AS1290" s="2"/>
      <c r="AT1290" s="2"/>
      <c r="AU1290" s="2"/>
    </row>
    <row r="1291" spans="45:47" x14ac:dyDescent="0.3">
      <c r="AS1291" s="2"/>
      <c r="AT1291" s="2"/>
      <c r="AU1291" s="2"/>
    </row>
    <row r="1292" spans="45:47" x14ac:dyDescent="0.3">
      <c r="AS1292" s="2"/>
      <c r="AT1292" s="2"/>
      <c r="AU1292" s="2"/>
    </row>
    <row r="1293" spans="45:47" x14ac:dyDescent="0.3">
      <c r="AS1293" s="2"/>
      <c r="AT1293" s="2"/>
      <c r="AU1293" s="2"/>
    </row>
    <row r="1294" spans="45:47" x14ac:dyDescent="0.3">
      <c r="AS1294" s="2"/>
      <c r="AT1294" s="2"/>
      <c r="AU1294" s="2"/>
    </row>
    <row r="1295" spans="45:47" x14ac:dyDescent="0.3">
      <c r="AS1295" s="2"/>
      <c r="AT1295" s="2"/>
      <c r="AU1295" s="2"/>
    </row>
    <row r="1296" spans="45:47" x14ac:dyDescent="0.3">
      <c r="AS1296" s="2"/>
      <c r="AT1296" s="2"/>
      <c r="AU1296" s="2"/>
    </row>
    <row r="1297" spans="45:47" x14ac:dyDescent="0.3">
      <c r="AS1297" s="2"/>
      <c r="AT1297" s="2"/>
      <c r="AU1297" s="2"/>
    </row>
    <row r="1298" spans="45:47" x14ac:dyDescent="0.3">
      <c r="AS1298" s="2"/>
      <c r="AT1298" s="2"/>
      <c r="AU1298" s="2"/>
    </row>
    <row r="1299" spans="45:47" x14ac:dyDescent="0.3">
      <c r="AS1299" s="2"/>
      <c r="AT1299" s="2"/>
      <c r="AU1299" s="2"/>
    </row>
    <row r="1300" spans="45:47" x14ac:dyDescent="0.3">
      <c r="AS1300" s="2"/>
      <c r="AT1300" s="2"/>
      <c r="AU1300" s="2"/>
    </row>
    <row r="1301" spans="45:47" x14ac:dyDescent="0.3">
      <c r="AS1301" s="2"/>
      <c r="AT1301" s="2"/>
      <c r="AU1301" s="2"/>
    </row>
    <row r="1302" spans="45:47" x14ac:dyDescent="0.3">
      <c r="AS1302" s="2"/>
      <c r="AT1302" s="2"/>
      <c r="AU1302" s="2"/>
    </row>
    <row r="1303" spans="45:47" x14ac:dyDescent="0.3">
      <c r="AS1303" s="2"/>
      <c r="AT1303" s="2"/>
      <c r="AU1303" s="2"/>
    </row>
    <row r="1304" spans="45:47" x14ac:dyDescent="0.3">
      <c r="AS1304" s="2"/>
      <c r="AT1304" s="2"/>
      <c r="AU1304" s="2"/>
    </row>
    <row r="1305" spans="45:47" x14ac:dyDescent="0.3">
      <c r="AS1305" s="2"/>
      <c r="AT1305" s="2"/>
      <c r="AU1305" s="2"/>
    </row>
    <row r="1306" spans="45:47" x14ac:dyDescent="0.3">
      <c r="AS1306" s="2"/>
      <c r="AT1306" s="2"/>
      <c r="AU1306" s="2"/>
    </row>
    <row r="1307" spans="45:47" x14ac:dyDescent="0.3">
      <c r="AS1307" s="2"/>
      <c r="AT1307" s="2"/>
      <c r="AU1307" s="2"/>
    </row>
    <row r="1308" spans="45:47" x14ac:dyDescent="0.3">
      <c r="AS1308" s="2"/>
      <c r="AT1308" s="2"/>
      <c r="AU1308" s="2"/>
    </row>
    <row r="1309" spans="45:47" x14ac:dyDescent="0.3">
      <c r="AS1309" s="2"/>
      <c r="AT1309" s="2"/>
      <c r="AU1309" s="2"/>
    </row>
    <row r="1310" spans="45:47" x14ac:dyDescent="0.3">
      <c r="AS1310" s="2"/>
      <c r="AT1310" s="2"/>
      <c r="AU1310" s="2"/>
    </row>
    <row r="1311" spans="45:47" x14ac:dyDescent="0.3">
      <c r="AS1311" s="2"/>
      <c r="AT1311" s="2"/>
      <c r="AU1311" s="2"/>
    </row>
    <row r="1312" spans="45:47" x14ac:dyDescent="0.3">
      <c r="AS1312" s="2"/>
      <c r="AT1312" s="2"/>
      <c r="AU1312" s="2"/>
    </row>
    <row r="1313" spans="45:47" x14ac:dyDescent="0.3">
      <c r="AS1313" s="2"/>
      <c r="AT1313" s="2"/>
      <c r="AU1313" s="2"/>
    </row>
    <row r="1314" spans="45:47" x14ac:dyDescent="0.3">
      <c r="AS1314" s="2"/>
      <c r="AT1314" s="2"/>
      <c r="AU1314" s="2"/>
    </row>
    <row r="1315" spans="45:47" x14ac:dyDescent="0.3">
      <c r="AS1315" s="2"/>
      <c r="AT1315" s="2"/>
      <c r="AU1315" s="2"/>
    </row>
    <row r="1316" spans="45:47" x14ac:dyDescent="0.3">
      <c r="AS1316" s="2"/>
      <c r="AT1316" s="2"/>
      <c r="AU1316" s="2"/>
    </row>
    <row r="1317" spans="45:47" x14ac:dyDescent="0.3">
      <c r="AS1317" s="2"/>
      <c r="AT1317" s="2"/>
      <c r="AU1317" s="2"/>
    </row>
    <row r="1318" spans="45:47" x14ac:dyDescent="0.3">
      <c r="AS1318" s="2"/>
      <c r="AT1318" s="2"/>
      <c r="AU1318" s="2"/>
    </row>
    <row r="1319" spans="45:47" x14ac:dyDescent="0.3">
      <c r="AS1319" s="2"/>
      <c r="AT1319" s="2"/>
      <c r="AU1319" s="2"/>
    </row>
    <row r="1320" spans="45:47" x14ac:dyDescent="0.3">
      <c r="AS1320" s="2"/>
      <c r="AT1320" s="2"/>
      <c r="AU1320" s="2"/>
    </row>
    <row r="1321" spans="45:47" x14ac:dyDescent="0.3">
      <c r="AS1321" s="2"/>
      <c r="AT1321" s="2"/>
      <c r="AU1321" s="2"/>
    </row>
    <row r="1322" spans="45:47" x14ac:dyDescent="0.3">
      <c r="AS1322" s="2"/>
      <c r="AT1322" s="2"/>
      <c r="AU1322" s="2"/>
    </row>
    <row r="1323" spans="45:47" x14ac:dyDescent="0.3">
      <c r="AS1323" s="2"/>
      <c r="AT1323" s="2"/>
      <c r="AU1323" s="2"/>
    </row>
    <row r="1324" spans="45:47" x14ac:dyDescent="0.3">
      <c r="AS1324" s="2"/>
      <c r="AT1324" s="2"/>
      <c r="AU1324" s="2"/>
    </row>
    <row r="1325" spans="45:47" x14ac:dyDescent="0.3">
      <c r="AS1325" s="2"/>
      <c r="AT1325" s="2"/>
      <c r="AU1325" s="2"/>
    </row>
    <row r="1326" spans="45:47" x14ac:dyDescent="0.3">
      <c r="AS1326" s="2"/>
      <c r="AT1326" s="2"/>
      <c r="AU1326" s="2"/>
    </row>
    <row r="1327" spans="45:47" x14ac:dyDescent="0.3">
      <c r="AS1327" s="2"/>
      <c r="AT1327" s="2"/>
      <c r="AU1327" s="2"/>
    </row>
    <row r="1328" spans="45:47" x14ac:dyDescent="0.3">
      <c r="AS1328" s="2"/>
      <c r="AT1328" s="2"/>
      <c r="AU1328" s="2"/>
    </row>
    <row r="1329" spans="45:47" x14ac:dyDescent="0.3">
      <c r="AS1329" s="2"/>
      <c r="AT1329" s="2"/>
      <c r="AU1329" s="2"/>
    </row>
    <row r="1330" spans="45:47" x14ac:dyDescent="0.3">
      <c r="AS1330" s="2"/>
      <c r="AT1330" s="2"/>
      <c r="AU1330" s="2"/>
    </row>
    <row r="1331" spans="45:47" x14ac:dyDescent="0.3">
      <c r="AS1331" s="2"/>
      <c r="AT1331" s="2"/>
      <c r="AU1331" s="2"/>
    </row>
    <row r="1332" spans="45:47" x14ac:dyDescent="0.3">
      <c r="AS1332" s="2"/>
      <c r="AT1332" s="2"/>
      <c r="AU1332" s="2"/>
    </row>
    <row r="1333" spans="45:47" x14ac:dyDescent="0.3">
      <c r="AS1333" s="2"/>
      <c r="AT1333" s="2"/>
      <c r="AU1333" s="2"/>
    </row>
    <row r="1334" spans="45:47" x14ac:dyDescent="0.3">
      <c r="AS1334" s="2"/>
      <c r="AT1334" s="2"/>
      <c r="AU1334" s="2"/>
    </row>
    <row r="1335" spans="45:47" x14ac:dyDescent="0.3">
      <c r="AS1335" s="2"/>
      <c r="AT1335" s="2"/>
      <c r="AU1335" s="2"/>
    </row>
    <row r="1336" spans="45:47" x14ac:dyDescent="0.3">
      <c r="AS1336" s="2"/>
      <c r="AT1336" s="2"/>
      <c r="AU1336" s="2"/>
    </row>
    <row r="1337" spans="45:47" x14ac:dyDescent="0.3">
      <c r="AS1337" s="2"/>
      <c r="AT1337" s="2"/>
      <c r="AU1337" s="2"/>
    </row>
    <row r="1338" spans="45:47" x14ac:dyDescent="0.3">
      <c r="AS1338" s="2"/>
      <c r="AT1338" s="2"/>
      <c r="AU1338" s="2"/>
    </row>
    <row r="1339" spans="45:47" x14ac:dyDescent="0.3">
      <c r="AS1339" s="2"/>
      <c r="AT1339" s="2"/>
      <c r="AU1339" s="2"/>
    </row>
    <row r="1340" spans="45:47" x14ac:dyDescent="0.3">
      <c r="AS1340" s="2"/>
      <c r="AT1340" s="2"/>
      <c r="AU1340" s="2"/>
    </row>
    <row r="1341" spans="45:47" x14ac:dyDescent="0.3">
      <c r="AS1341" s="2"/>
      <c r="AT1341" s="2"/>
      <c r="AU1341" s="2"/>
    </row>
    <row r="1342" spans="45:47" x14ac:dyDescent="0.3">
      <c r="AS1342" s="2"/>
      <c r="AT1342" s="2"/>
      <c r="AU1342" s="2"/>
    </row>
    <row r="1343" spans="45:47" x14ac:dyDescent="0.3">
      <c r="AS1343" s="2"/>
      <c r="AT1343" s="2"/>
      <c r="AU1343" s="2"/>
    </row>
    <row r="1344" spans="45:47" x14ac:dyDescent="0.3">
      <c r="AS1344" s="2"/>
      <c r="AT1344" s="2"/>
      <c r="AU1344" s="2"/>
    </row>
    <row r="1345" spans="45:47" x14ac:dyDescent="0.3">
      <c r="AS1345" s="2"/>
      <c r="AT1345" s="2"/>
      <c r="AU1345" s="2"/>
    </row>
    <row r="1346" spans="45:47" x14ac:dyDescent="0.3">
      <c r="AS1346" s="2"/>
      <c r="AT1346" s="2"/>
      <c r="AU1346" s="2"/>
    </row>
    <row r="1347" spans="45:47" x14ac:dyDescent="0.3">
      <c r="AS1347" s="2"/>
      <c r="AT1347" s="2"/>
      <c r="AU1347" s="2"/>
    </row>
    <row r="1348" spans="45:47" x14ac:dyDescent="0.3">
      <c r="AS1348" s="2"/>
      <c r="AT1348" s="2"/>
      <c r="AU1348" s="2"/>
    </row>
    <row r="1349" spans="45:47" x14ac:dyDescent="0.3">
      <c r="AS1349" s="2"/>
      <c r="AT1349" s="2"/>
      <c r="AU1349" s="2"/>
    </row>
    <row r="1350" spans="45:47" x14ac:dyDescent="0.3">
      <c r="AS1350" s="2"/>
      <c r="AT1350" s="2"/>
      <c r="AU1350" s="2"/>
    </row>
    <row r="1351" spans="45:47" x14ac:dyDescent="0.3">
      <c r="AS1351" s="2"/>
      <c r="AT1351" s="2"/>
      <c r="AU1351" s="2"/>
    </row>
    <row r="1352" spans="45:47" x14ac:dyDescent="0.3">
      <c r="AS1352" s="2"/>
      <c r="AT1352" s="2"/>
      <c r="AU1352" s="2"/>
    </row>
    <row r="1353" spans="45:47" x14ac:dyDescent="0.3">
      <c r="AS1353" s="2"/>
      <c r="AT1353" s="2"/>
      <c r="AU1353" s="2"/>
    </row>
    <row r="1354" spans="45:47" x14ac:dyDescent="0.3">
      <c r="AS1354" s="2"/>
      <c r="AT1354" s="2"/>
      <c r="AU1354" s="2"/>
    </row>
    <row r="1355" spans="45:47" x14ac:dyDescent="0.3">
      <c r="AS1355" s="2"/>
      <c r="AT1355" s="2"/>
      <c r="AU1355" s="2"/>
    </row>
    <row r="1356" spans="45:47" x14ac:dyDescent="0.3">
      <c r="AS1356" s="2"/>
      <c r="AT1356" s="2"/>
      <c r="AU1356" s="2"/>
    </row>
    <row r="1357" spans="45:47" x14ac:dyDescent="0.3">
      <c r="AS1357" s="2"/>
      <c r="AT1357" s="2"/>
      <c r="AU1357" s="2"/>
    </row>
    <row r="1358" spans="45:47" x14ac:dyDescent="0.3">
      <c r="AS1358" s="2"/>
      <c r="AT1358" s="2"/>
      <c r="AU1358" s="2"/>
    </row>
    <row r="1359" spans="45:47" x14ac:dyDescent="0.3">
      <c r="AS1359" s="2"/>
      <c r="AT1359" s="2"/>
      <c r="AU1359" s="2"/>
    </row>
    <row r="1360" spans="45:47" x14ac:dyDescent="0.3">
      <c r="AS1360" s="2"/>
      <c r="AT1360" s="2"/>
      <c r="AU1360" s="2"/>
    </row>
    <row r="1361" spans="45:47" x14ac:dyDescent="0.3">
      <c r="AS1361" s="2"/>
      <c r="AT1361" s="2"/>
      <c r="AU1361" s="2"/>
    </row>
    <row r="1362" spans="45:47" x14ac:dyDescent="0.3">
      <c r="AS1362" s="2"/>
      <c r="AT1362" s="2"/>
      <c r="AU1362" s="2"/>
    </row>
    <row r="1363" spans="45:47" x14ac:dyDescent="0.3">
      <c r="AS1363" s="2"/>
      <c r="AT1363" s="2"/>
      <c r="AU1363" s="2"/>
    </row>
    <row r="1364" spans="45:47" x14ac:dyDescent="0.3">
      <c r="AS1364" s="2"/>
      <c r="AT1364" s="2"/>
      <c r="AU1364" s="2"/>
    </row>
    <row r="1365" spans="45:47" x14ac:dyDescent="0.3">
      <c r="AS1365" s="2"/>
      <c r="AT1365" s="2"/>
      <c r="AU1365" s="2"/>
    </row>
    <row r="1366" spans="45:47" x14ac:dyDescent="0.3">
      <c r="AS1366" s="2"/>
      <c r="AT1366" s="2"/>
      <c r="AU1366" s="2"/>
    </row>
    <row r="1367" spans="45:47" x14ac:dyDescent="0.3">
      <c r="AS1367" s="2"/>
      <c r="AT1367" s="2"/>
      <c r="AU1367" s="2"/>
    </row>
    <row r="1368" spans="45:47" x14ac:dyDescent="0.3">
      <c r="AS1368" s="2"/>
      <c r="AT1368" s="2"/>
      <c r="AU1368" s="2"/>
    </row>
    <row r="1369" spans="45:47" x14ac:dyDescent="0.3">
      <c r="AS1369" s="2"/>
      <c r="AT1369" s="2"/>
      <c r="AU1369" s="2"/>
    </row>
    <row r="1370" spans="45:47" x14ac:dyDescent="0.3">
      <c r="AS1370" s="2"/>
      <c r="AT1370" s="2"/>
      <c r="AU1370" s="2"/>
    </row>
    <row r="1371" spans="45:47" x14ac:dyDescent="0.3">
      <c r="AS1371" s="2"/>
      <c r="AT1371" s="2"/>
      <c r="AU1371" s="2"/>
    </row>
    <row r="1372" spans="45:47" x14ac:dyDescent="0.3">
      <c r="AS1372" s="2"/>
      <c r="AT1372" s="2"/>
      <c r="AU1372" s="2"/>
    </row>
    <row r="1373" spans="45:47" x14ac:dyDescent="0.3">
      <c r="AS1373" s="2"/>
      <c r="AT1373" s="2"/>
      <c r="AU1373" s="2"/>
    </row>
    <row r="1374" spans="45:47" x14ac:dyDescent="0.3">
      <c r="AS1374" s="2"/>
      <c r="AT1374" s="2"/>
      <c r="AU1374" s="2"/>
    </row>
    <row r="1375" spans="45:47" x14ac:dyDescent="0.3">
      <c r="AS1375" s="2"/>
      <c r="AT1375" s="2"/>
      <c r="AU1375" s="2"/>
    </row>
    <row r="1376" spans="45:47" x14ac:dyDescent="0.3">
      <c r="AS1376" s="2"/>
      <c r="AT1376" s="2"/>
      <c r="AU1376" s="2"/>
    </row>
    <row r="1377" spans="45:47" x14ac:dyDescent="0.3">
      <c r="AS1377" s="2"/>
      <c r="AT1377" s="2"/>
      <c r="AU1377" s="2"/>
    </row>
    <row r="1378" spans="45:47" x14ac:dyDescent="0.3">
      <c r="AS1378" s="2"/>
      <c r="AT1378" s="2"/>
      <c r="AU1378" s="2"/>
    </row>
    <row r="1379" spans="45:47" x14ac:dyDescent="0.3">
      <c r="AS1379" s="2"/>
      <c r="AT1379" s="2"/>
      <c r="AU1379" s="2"/>
    </row>
    <row r="1380" spans="45:47" x14ac:dyDescent="0.3">
      <c r="AS1380" s="2"/>
      <c r="AT1380" s="2"/>
      <c r="AU1380" s="2"/>
    </row>
    <row r="1381" spans="45:47" x14ac:dyDescent="0.3">
      <c r="AS1381" s="2"/>
      <c r="AT1381" s="2"/>
      <c r="AU1381" s="2"/>
    </row>
    <row r="1382" spans="45:47" x14ac:dyDescent="0.3">
      <c r="AS1382" s="2"/>
      <c r="AT1382" s="2"/>
      <c r="AU1382" s="2"/>
    </row>
    <row r="1383" spans="45:47" x14ac:dyDescent="0.3">
      <c r="AS1383" s="2"/>
      <c r="AT1383" s="2"/>
      <c r="AU1383" s="2"/>
    </row>
    <row r="1384" spans="45:47" x14ac:dyDescent="0.3">
      <c r="AS1384" s="2"/>
      <c r="AT1384" s="2"/>
      <c r="AU1384" s="2"/>
    </row>
    <row r="1385" spans="45:47" x14ac:dyDescent="0.3">
      <c r="AS1385" s="2"/>
      <c r="AT1385" s="2"/>
      <c r="AU1385" s="2"/>
    </row>
    <row r="1386" spans="45:47" x14ac:dyDescent="0.3">
      <c r="AS1386" s="2"/>
      <c r="AT1386" s="2"/>
      <c r="AU1386" s="2"/>
    </row>
    <row r="1387" spans="45:47" x14ac:dyDescent="0.3">
      <c r="AS1387" s="2"/>
      <c r="AT1387" s="2"/>
      <c r="AU1387" s="2"/>
    </row>
    <row r="1388" spans="45:47" x14ac:dyDescent="0.3">
      <c r="AS1388" s="2"/>
      <c r="AT1388" s="2"/>
      <c r="AU1388" s="2"/>
    </row>
    <row r="1389" spans="45:47" x14ac:dyDescent="0.3">
      <c r="AS1389" s="2"/>
      <c r="AT1389" s="2"/>
      <c r="AU1389" s="2"/>
    </row>
    <row r="1390" spans="45:47" x14ac:dyDescent="0.3">
      <c r="AS1390" s="2"/>
      <c r="AT1390" s="2"/>
      <c r="AU1390" s="2"/>
    </row>
    <row r="1391" spans="45:47" x14ac:dyDescent="0.3">
      <c r="AS1391" s="2"/>
      <c r="AT1391" s="2"/>
      <c r="AU1391" s="2"/>
    </row>
  </sheetData>
  <mergeCells count="13">
    <mergeCell ref="BG3:BI3"/>
    <mergeCell ref="AI3:AL3"/>
    <mergeCell ref="AR3:AU3"/>
    <mergeCell ref="AW3:AZ3"/>
    <mergeCell ref="BB3:BE3"/>
    <mergeCell ref="U3:W3"/>
    <mergeCell ref="AN3:AP3"/>
    <mergeCell ref="F3:I3"/>
    <mergeCell ref="A3:B3"/>
    <mergeCell ref="K3:N3"/>
    <mergeCell ref="P3:S3"/>
    <mergeCell ref="Y3:AB3"/>
    <mergeCell ref="AD3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0D46-AA59-447D-8343-DCD677C7C200}">
  <dimension ref="A1:AG75"/>
  <sheetViews>
    <sheetView topLeftCell="J1" workbookViewId="0">
      <selection activeCell="P30" sqref="P30"/>
    </sheetView>
  </sheetViews>
  <sheetFormatPr baseColWidth="10" defaultRowHeight="14.4" x14ac:dyDescent="0.3"/>
  <cols>
    <col min="1" max="23" width="7.44140625" customWidth="1"/>
    <col min="25" max="28" width="10.33203125" customWidth="1"/>
    <col min="30" max="33" width="10.33203125" customWidth="1"/>
  </cols>
  <sheetData>
    <row r="1" spans="1:33" x14ac:dyDescent="0.3">
      <c r="A1" s="29" t="s">
        <v>97</v>
      </c>
      <c r="B1" s="29" t="s">
        <v>98</v>
      </c>
      <c r="C1" s="29" t="s">
        <v>14</v>
      </c>
      <c r="D1" s="29" t="s">
        <v>2</v>
      </c>
      <c r="E1" s="29" t="s">
        <v>15</v>
      </c>
      <c r="F1" s="29"/>
      <c r="G1" s="29" t="s">
        <v>97</v>
      </c>
      <c r="H1" s="29" t="s">
        <v>98</v>
      </c>
      <c r="I1" s="29" t="s">
        <v>14</v>
      </c>
      <c r="J1" s="29" t="s">
        <v>2</v>
      </c>
      <c r="K1" s="29" t="s">
        <v>15</v>
      </c>
      <c r="L1" s="29"/>
      <c r="M1" s="29" t="s">
        <v>97</v>
      </c>
      <c r="N1" s="29" t="s">
        <v>98</v>
      </c>
      <c r="O1" s="29" t="s">
        <v>14</v>
      </c>
      <c r="P1" s="29" t="s">
        <v>2</v>
      </c>
      <c r="Q1" s="29" t="s">
        <v>15</v>
      </c>
      <c r="R1" s="29"/>
      <c r="S1" s="29" t="s">
        <v>97</v>
      </c>
      <c r="T1" s="29" t="s">
        <v>98</v>
      </c>
      <c r="U1" s="29" t="s">
        <v>14</v>
      </c>
      <c r="V1" s="29" t="s">
        <v>2</v>
      </c>
      <c r="W1" s="29" t="s">
        <v>15</v>
      </c>
      <c r="Y1" s="29" t="s">
        <v>98</v>
      </c>
      <c r="Z1" s="29" t="s">
        <v>14</v>
      </c>
      <c r="AA1" s="29" t="s">
        <v>2</v>
      </c>
      <c r="AB1" s="29" t="s">
        <v>15</v>
      </c>
      <c r="AD1" s="29" t="s">
        <v>98</v>
      </c>
      <c r="AE1" s="29" t="s">
        <v>14</v>
      </c>
      <c r="AF1" s="29" t="s">
        <v>2</v>
      </c>
      <c r="AG1" s="29" t="s">
        <v>15</v>
      </c>
    </row>
    <row r="2" spans="1:33" x14ac:dyDescent="0.3">
      <c r="A2" t="s">
        <v>85</v>
      </c>
      <c r="B2">
        <v>2015</v>
      </c>
      <c r="C2" s="2">
        <v>0.68516075480084349</v>
      </c>
      <c r="D2" s="2">
        <v>1.4472000000000003</v>
      </c>
      <c r="E2" s="2">
        <v>0.99156464434778091</v>
      </c>
      <c r="G2" t="s">
        <v>99</v>
      </c>
      <c r="H2">
        <v>2015</v>
      </c>
      <c r="I2" s="2">
        <v>0.61826624255645168</v>
      </c>
      <c r="J2" s="2">
        <v>0.86139999999999972</v>
      </c>
      <c r="K2" s="2">
        <v>0.53257454133812732</v>
      </c>
      <c r="M2" t="s">
        <v>100</v>
      </c>
      <c r="N2">
        <v>2015</v>
      </c>
      <c r="O2" s="2">
        <v>0.98136432445887689</v>
      </c>
      <c r="P2" s="2">
        <v>0.67683500000000008</v>
      </c>
      <c r="Q2" s="2">
        <v>0.65441332185316936</v>
      </c>
      <c r="S2" t="s">
        <v>101</v>
      </c>
      <c r="T2">
        <v>2015</v>
      </c>
      <c r="U2" s="2">
        <v>0.55545948841630799</v>
      </c>
      <c r="V2" s="2">
        <v>0.93540000000000001</v>
      </c>
      <c r="W2" s="2">
        <v>0.51971936112066075</v>
      </c>
      <c r="Y2">
        <v>2015</v>
      </c>
      <c r="Z2" s="2">
        <f>AVERAGE(U2,O2,I2,C2)</f>
        <v>0.71006270255811998</v>
      </c>
      <c r="AA2" s="2">
        <f t="shared" ref="AA2:AB2" si="0">AVERAGE(V2,P2,J2,D2)</f>
        <v>0.98020875000000007</v>
      </c>
      <c r="AB2" s="2">
        <f t="shared" si="0"/>
        <v>0.67456796716493461</v>
      </c>
      <c r="AD2">
        <v>2015</v>
      </c>
      <c r="AE2" s="2">
        <f>STANDARDIZE(Z2,Z$69,Z$70)</f>
        <v>-0.27510538636611098</v>
      </c>
      <c r="AF2" s="2">
        <f>STANDARDIZE(AA2,AA$69,AA$70)</f>
        <v>-0.35936222331328116</v>
      </c>
      <c r="AG2" s="2">
        <f t="shared" ref="AG2:AG17" si="1">STANDARDIZE(AB2,AB$69,AB$70)</f>
        <v>-0.68532404571708494</v>
      </c>
    </row>
    <row r="3" spans="1:33" x14ac:dyDescent="0.3">
      <c r="A3" t="s">
        <v>85</v>
      </c>
      <c r="B3">
        <v>2014</v>
      </c>
      <c r="C3" s="2">
        <v>0.64420237085499898</v>
      </c>
      <c r="D3" s="2">
        <v>1.6300000000000003</v>
      </c>
      <c r="E3" s="2">
        <v>1.0500498644936485</v>
      </c>
      <c r="G3" t="s">
        <v>99</v>
      </c>
      <c r="H3">
        <v>2014</v>
      </c>
      <c r="I3" s="2">
        <v>0.64569230055696591</v>
      </c>
      <c r="J3" s="2">
        <v>1.5382999999999998</v>
      </c>
      <c r="K3" s="2">
        <v>1.0090895711487804</v>
      </c>
      <c r="M3" t="s">
        <v>100</v>
      </c>
      <c r="N3">
        <v>2014</v>
      </c>
      <c r="O3" s="2">
        <v>0.75258523929622045</v>
      </c>
      <c r="P3" s="2">
        <v>0.9229500000000006</v>
      </c>
      <c r="Q3" s="2">
        <v>0.74916116185465242</v>
      </c>
      <c r="S3" t="s">
        <v>101</v>
      </c>
      <c r="T3">
        <v>2014</v>
      </c>
      <c r="U3" s="2">
        <v>0.65445913739622341</v>
      </c>
      <c r="V3" s="2">
        <v>1.0553500000000002</v>
      </c>
      <c r="W3" s="2">
        <v>0.68813909562464293</v>
      </c>
      <c r="Y3">
        <v>2014</v>
      </c>
      <c r="Z3" s="2">
        <f t="shared" ref="Z3:Z66" si="2">AVERAGE(U3,O3,I3,C3)</f>
        <v>0.67423476202610222</v>
      </c>
      <c r="AA3" s="2">
        <f t="shared" ref="AA3:AA66" si="3">AVERAGE(V3,P3,J3,D3)</f>
        <v>1.2866500000000003</v>
      </c>
      <c r="AB3" s="2">
        <f t="shared" ref="AB3:AB66" si="4">AVERAGE(W3,Q3,K3,E3)</f>
        <v>0.87410992328043102</v>
      </c>
      <c r="AD3">
        <v>2014</v>
      </c>
      <c r="AE3" s="2">
        <f t="shared" ref="AE3:AE66" si="5">STANDARDIZE(Z3,Z$69,Z$70)</f>
        <v>-0.78313099480266501</v>
      </c>
      <c r="AF3" s="2">
        <f t="shared" ref="AF3:AG66" si="6">STANDARDIZE(AA3,AA$69,AA$70)</f>
        <v>1.9385342290446972</v>
      </c>
      <c r="AG3" s="2">
        <f t="shared" si="1"/>
        <v>1.2697419919297377</v>
      </c>
    </row>
    <row r="4" spans="1:33" x14ac:dyDescent="0.3">
      <c r="A4" t="s">
        <v>85</v>
      </c>
      <c r="B4">
        <v>2013</v>
      </c>
      <c r="C4" s="2">
        <v>0.61752516082970488</v>
      </c>
      <c r="D4" s="2">
        <v>1.63</v>
      </c>
      <c r="E4" s="2">
        <v>1.0065660121524189</v>
      </c>
      <c r="G4" t="s">
        <v>99</v>
      </c>
      <c r="H4">
        <v>2013</v>
      </c>
      <c r="I4" s="2">
        <v>0.57526658898284655</v>
      </c>
      <c r="J4" s="2">
        <v>1.3536499999999996</v>
      </c>
      <c r="K4" s="2">
        <v>0.76657250770141994</v>
      </c>
      <c r="M4" t="s">
        <v>100</v>
      </c>
      <c r="N4">
        <v>2013</v>
      </c>
      <c r="O4" s="2">
        <v>0.70528640202187454</v>
      </c>
      <c r="P4" s="2">
        <v>0.52304999999999913</v>
      </c>
      <c r="Q4" s="2">
        <v>0.37217135409926483</v>
      </c>
      <c r="S4" t="s">
        <v>101</v>
      </c>
      <c r="T4">
        <v>2013</v>
      </c>
      <c r="U4" s="2">
        <v>0.68100062934971506</v>
      </c>
      <c r="V4" s="2">
        <v>1.1272500000000005</v>
      </c>
      <c r="W4" s="2">
        <v>0.76503927655859427</v>
      </c>
      <c r="Y4">
        <v>2013</v>
      </c>
      <c r="Z4" s="2">
        <f t="shared" si="2"/>
        <v>0.64476969529603523</v>
      </c>
      <c r="AA4" s="2">
        <f t="shared" si="3"/>
        <v>1.1584874999999997</v>
      </c>
      <c r="AB4" s="2">
        <f t="shared" si="4"/>
        <v>0.72758728762792446</v>
      </c>
      <c r="AD4">
        <v>2013</v>
      </c>
      <c r="AE4" s="2">
        <f t="shared" si="5"/>
        <v>-1.2009336435423781</v>
      </c>
      <c r="AF4" s="2">
        <f t="shared" si="6"/>
        <v>0.97748817510995245</v>
      </c>
      <c r="AG4" s="2">
        <f t="shared" si="1"/>
        <v>-0.16585297910938057</v>
      </c>
    </row>
    <row r="5" spans="1:33" x14ac:dyDescent="0.3">
      <c r="A5" t="s">
        <v>85</v>
      </c>
      <c r="B5">
        <v>2012</v>
      </c>
      <c r="C5" s="2">
        <v>0.61419012154780461</v>
      </c>
      <c r="D5" s="2">
        <v>1.9499999999999993</v>
      </c>
      <c r="E5" s="2">
        <v>1.1976707370182185</v>
      </c>
      <c r="G5" t="s">
        <v>99</v>
      </c>
      <c r="H5">
        <v>2012</v>
      </c>
      <c r="I5" s="2">
        <v>0.51892141838754657</v>
      </c>
      <c r="J5" s="2">
        <v>0.9845000000000006</v>
      </c>
      <c r="K5" s="2">
        <v>0.53274885587988385</v>
      </c>
      <c r="M5" t="s">
        <v>100</v>
      </c>
      <c r="N5">
        <v>2012</v>
      </c>
      <c r="O5" s="2">
        <v>0.83413083069902993</v>
      </c>
      <c r="P5" s="2">
        <v>0.52301999999999893</v>
      </c>
      <c r="Q5" s="2">
        <v>0.43796569425870319</v>
      </c>
      <c r="S5" t="s">
        <v>101</v>
      </c>
      <c r="T5">
        <v>2012</v>
      </c>
      <c r="U5" s="2">
        <v>0.79592002851887123</v>
      </c>
      <c r="V5" s="2">
        <v>0.88745000000000029</v>
      </c>
      <c r="W5" s="2">
        <v>0.70815366988814965</v>
      </c>
      <c r="Y5">
        <v>2012</v>
      </c>
      <c r="Z5" s="2">
        <f t="shared" si="2"/>
        <v>0.69079059978831303</v>
      </c>
      <c r="AA5" s="2">
        <f t="shared" si="3"/>
        <v>1.0862424999999998</v>
      </c>
      <c r="AB5" s="2">
        <f t="shared" si="4"/>
        <v>0.71913473926123883</v>
      </c>
      <c r="AD5">
        <v>2012</v>
      </c>
      <c r="AE5" s="2">
        <f t="shared" si="5"/>
        <v>-0.54837595648814919</v>
      </c>
      <c r="AF5" s="2">
        <f t="shared" si="6"/>
        <v>0.43574802361076037</v>
      </c>
      <c r="AG5" s="2">
        <f t="shared" si="1"/>
        <v>-0.24866909740837748</v>
      </c>
    </row>
    <row r="6" spans="1:33" x14ac:dyDescent="0.3">
      <c r="A6" t="s">
        <v>85</v>
      </c>
      <c r="B6">
        <v>2011</v>
      </c>
      <c r="C6" s="2">
        <v>0.4988369422880844</v>
      </c>
      <c r="D6" s="2">
        <v>1.3711000000000002</v>
      </c>
      <c r="E6" s="2">
        <v>0.68395533157119259</v>
      </c>
      <c r="G6" t="s">
        <v>99</v>
      </c>
      <c r="H6">
        <v>2011</v>
      </c>
      <c r="I6" s="2">
        <v>0.61377614193891739</v>
      </c>
      <c r="J6" s="2">
        <v>0.92300000000000093</v>
      </c>
      <c r="K6" s="2">
        <v>0.54661248434118581</v>
      </c>
      <c r="M6" t="s">
        <v>100</v>
      </c>
      <c r="N6">
        <v>2011</v>
      </c>
      <c r="O6" s="2">
        <v>1.1135077965447886</v>
      </c>
      <c r="P6" s="2">
        <v>0.70760499999999871</v>
      </c>
      <c r="Q6" s="2">
        <v>0.83743763078268463</v>
      </c>
      <c r="S6" t="s">
        <v>101</v>
      </c>
      <c r="T6">
        <v>2011</v>
      </c>
      <c r="U6" s="2">
        <v>0.88550624819667845</v>
      </c>
      <c r="V6" s="2">
        <v>1.0313499999999993</v>
      </c>
      <c r="W6" s="2">
        <v>0.9217594912666478</v>
      </c>
      <c r="Y6">
        <v>2011</v>
      </c>
      <c r="Z6" s="2">
        <f t="shared" si="2"/>
        <v>0.77790678224211718</v>
      </c>
      <c r="AA6" s="2">
        <f t="shared" si="3"/>
        <v>1.0082637499999998</v>
      </c>
      <c r="AB6" s="2">
        <f t="shared" si="4"/>
        <v>0.74744123449042776</v>
      </c>
      <c r="AD6">
        <v>2011</v>
      </c>
      <c r="AE6" s="2">
        <f t="shared" si="5"/>
        <v>0.68689603901527796</v>
      </c>
      <c r="AF6" s="2">
        <f t="shared" si="6"/>
        <v>-0.14898752679020408</v>
      </c>
      <c r="AG6" s="2">
        <f t="shared" si="1"/>
        <v>2.8671410546587464E-2</v>
      </c>
    </row>
    <row r="7" spans="1:33" x14ac:dyDescent="0.3">
      <c r="A7" t="s">
        <v>85</v>
      </c>
      <c r="B7">
        <v>2010</v>
      </c>
      <c r="C7" s="2">
        <v>0.63175884013242101</v>
      </c>
      <c r="D7" s="2">
        <v>1.4930000000000003</v>
      </c>
      <c r="E7" s="2">
        <v>0.94321594831770472</v>
      </c>
      <c r="G7" t="s">
        <v>99</v>
      </c>
      <c r="H7">
        <v>2010</v>
      </c>
      <c r="I7" s="2">
        <v>0.74819628346308675</v>
      </c>
      <c r="J7" s="2">
        <v>0.79985000000000017</v>
      </c>
      <c r="K7" s="2">
        <v>0.59346543125775031</v>
      </c>
      <c r="M7" t="s">
        <v>100</v>
      </c>
      <c r="N7">
        <v>2010</v>
      </c>
      <c r="O7" s="2">
        <v>0.85723376468972545</v>
      </c>
      <c r="P7" s="2">
        <v>0.73837999999999848</v>
      </c>
      <c r="Q7" s="2">
        <v>0.63296342313565024</v>
      </c>
      <c r="S7" t="s">
        <v>101</v>
      </c>
      <c r="T7">
        <v>2010</v>
      </c>
      <c r="U7" s="2">
        <v>0.90363060282439323</v>
      </c>
      <c r="V7" s="2">
        <v>0.91139999999999999</v>
      </c>
      <c r="W7" s="2">
        <v>0.83493968954092179</v>
      </c>
      <c r="Y7">
        <v>2010</v>
      </c>
      <c r="Z7" s="2">
        <f t="shared" si="2"/>
        <v>0.78520487277740658</v>
      </c>
      <c r="AA7" s="2">
        <f t="shared" si="3"/>
        <v>0.98565749999999974</v>
      </c>
      <c r="AB7" s="2">
        <f t="shared" si="4"/>
        <v>0.75114612306300677</v>
      </c>
      <c r="AD7">
        <v>2010</v>
      </c>
      <c r="AE7" s="2">
        <f t="shared" si="5"/>
        <v>0.79037999119227043</v>
      </c>
      <c r="AF7" s="2">
        <f t="shared" si="6"/>
        <v>-0.31850394038046853</v>
      </c>
      <c r="AG7" s="2">
        <f t="shared" si="1"/>
        <v>6.4971053802176992E-2</v>
      </c>
    </row>
    <row r="8" spans="1:33" x14ac:dyDescent="0.3">
      <c r="A8" t="s">
        <v>85</v>
      </c>
      <c r="B8">
        <v>2009</v>
      </c>
      <c r="C8" s="2">
        <v>0.56872467451258357</v>
      </c>
      <c r="D8" s="2">
        <v>1.0968999999999998</v>
      </c>
      <c r="E8" s="2">
        <v>0.62383409547285273</v>
      </c>
      <c r="G8" t="s">
        <v>99</v>
      </c>
      <c r="H8">
        <v>2009</v>
      </c>
      <c r="I8" s="2">
        <v>0.65715558406044816</v>
      </c>
      <c r="J8" s="2">
        <v>0.76909999999999989</v>
      </c>
      <c r="K8" s="2">
        <v>0.50735544257476473</v>
      </c>
      <c r="M8" t="s">
        <v>100</v>
      </c>
      <c r="N8">
        <v>2009</v>
      </c>
      <c r="O8" s="2">
        <v>0.76676624955614425</v>
      </c>
      <c r="P8" s="2">
        <v>0.7383999999999995</v>
      </c>
      <c r="Q8" s="2">
        <v>0.56102507071263863</v>
      </c>
      <c r="S8" t="s">
        <v>101</v>
      </c>
      <c r="T8">
        <v>2009</v>
      </c>
      <c r="U8" s="2">
        <v>0.78769480831402416</v>
      </c>
      <c r="V8" s="2">
        <v>0.98334999999999972</v>
      </c>
      <c r="W8" s="2">
        <v>0.77168920279538111</v>
      </c>
      <c r="Y8">
        <v>2009</v>
      </c>
      <c r="Z8" s="2">
        <f t="shared" si="2"/>
        <v>0.69508532911080001</v>
      </c>
      <c r="AA8" s="2">
        <f t="shared" si="3"/>
        <v>0.89693749999999972</v>
      </c>
      <c r="AB8" s="2">
        <f t="shared" si="4"/>
        <v>0.61597595288890927</v>
      </c>
      <c r="AD8">
        <v>2009</v>
      </c>
      <c r="AE8" s="2">
        <f t="shared" si="5"/>
        <v>-0.48747844340957985</v>
      </c>
      <c r="AF8" s="2">
        <f t="shared" si="6"/>
        <v>-0.9837843921903987</v>
      </c>
      <c r="AG8" s="2">
        <f t="shared" si="1"/>
        <v>-1.2593950802922487</v>
      </c>
    </row>
    <row r="9" spans="1:33" x14ac:dyDescent="0.3">
      <c r="A9" t="s">
        <v>85</v>
      </c>
      <c r="B9">
        <v>2008</v>
      </c>
      <c r="C9" s="2">
        <v>0.66884488872990155</v>
      </c>
      <c r="D9" s="2">
        <v>1.234</v>
      </c>
      <c r="E9" s="2">
        <v>0.82535459269269851</v>
      </c>
      <c r="G9" t="s">
        <v>99</v>
      </c>
      <c r="H9">
        <v>2008</v>
      </c>
      <c r="I9" s="2">
        <v>0.67840809448974282</v>
      </c>
      <c r="J9" s="2">
        <v>1.2613999999999992</v>
      </c>
      <c r="K9" s="2">
        <v>0.86982506766241463</v>
      </c>
      <c r="M9" t="s">
        <v>100</v>
      </c>
      <c r="N9">
        <v>2008</v>
      </c>
      <c r="O9" s="2">
        <v>0.69914532912846994</v>
      </c>
      <c r="P9" s="2">
        <v>0.49223500000000175</v>
      </c>
      <c r="Q9" s="2">
        <v>0.34560138505290883</v>
      </c>
      <c r="S9" t="s">
        <v>101</v>
      </c>
      <c r="T9">
        <v>2008</v>
      </c>
      <c r="U9" s="2">
        <v>0.66617916260694521</v>
      </c>
      <c r="V9" s="2">
        <v>1.2471500000000004</v>
      </c>
      <c r="W9" s="2">
        <v>0.83082184919761337</v>
      </c>
      <c r="Y9">
        <v>2008</v>
      </c>
      <c r="Z9" s="2">
        <f t="shared" si="2"/>
        <v>0.67814436873876494</v>
      </c>
      <c r="AA9" s="2">
        <f t="shared" si="3"/>
        <v>1.0586962500000003</v>
      </c>
      <c r="AB9" s="2">
        <f t="shared" si="4"/>
        <v>0.71790072365140878</v>
      </c>
      <c r="AD9">
        <v>2008</v>
      </c>
      <c r="AE9" s="2">
        <f t="shared" si="5"/>
        <v>-0.727694363518398</v>
      </c>
      <c r="AF9" s="2">
        <f t="shared" si="6"/>
        <v>0.22918826655858601</v>
      </c>
      <c r="AG9" s="2">
        <f t="shared" si="1"/>
        <v>-0.2607596975792425</v>
      </c>
    </row>
    <row r="10" spans="1:33" x14ac:dyDescent="0.3">
      <c r="A10" t="s">
        <v>85</v>
      </c>
      <c r="B10">
        <v>2007</v>
      </c>
      <c r="C10" s="2">
        <v>0.64346527424406053</v>
      </c>
      <c r="D10" s="2">
        <v>1.4473000000000003</v>
      </c>
      <c r="E10" s="2">
        <v>0.93128729141342892</v>
      </c>
      <c r="G10" t="s">
        <v>99</v>
      </c>
      <c r="H10">
        <v>2007</v>
      </c>
      <c r="I10" s="2">
        <v>0.65501788309176101</v>
      </c>
      <c r="J10" s="2">
        <v>1.0460499999999993</v>
      </c>
      <c r="K10" s="2">
        <v>0.67909473902468953</v>
      </c>
      <c r="M10" t="s">
        <v>100</v>
      </c>
      <c r="N10">
        <v>2007</v>
      </c>
      <c r="O10" s="2">
        <v>0.68436046820977614</v>
      </c>
      <c r="P10" s="2">
        <v>0.86147000000000196</v>
      </c>
      <c r="Q10" s="2">
        <v>0.58907401639327017</v>
      </c>
      <c r="S10" t="s">
        <v>101</v>
      </c>
      <c r="T10">
        <v>2007</v>
      </c>
      <c r="U10" s="2">
        <v>0.60854636673088081</v>
      </c>
      <c r="V10" s="2">
        <v>1.2234500000000033</v>
      </c>
      <c r="W10" s="2">
        <v>0.74452574273583549</v>
      </c>
      <c r="Y10">
        <v>2007</v>
      </c>
      <c r="Z10" s="2">
        <f t="shared" si="2"/>
        <v>0.64784749806911957</v>
      </c>
      <c r="AA10" s="2">
        <f t="shared" si="3"/>
        <v>1.1445675000000013</v>
      </c>
      <c r="AB10" s="2">
        <f t="shared" si="4"/>
        <v>0.735995447391806</v>
      </c>
      <c r="AD10">
        <v>2007</v>
      </c>
      <c r="AE10" s="2">
        <f t="shared" si="5"/>
        <v>-1.1572916534300364</v>
      </c>
      <c r="AF10" s="2">
        <f t="shared" si="6"/>
        <v>0.87310693199461042</v>
      </c>
      <c r="AG10" s="2">
        <f t="shared" si="1"/>
        <v>-8.3471770097083467E-2</v>
      </c>
    </row>
    <row r="11" spans="1:33" x14ac:dyDescent="0.3">
      <c r="A11" t="s">
        <v>85</v>
      </c>
      <c r="B11">
        <v>2006</v>
      </c>
      <c r="C11" s="2">
        <v>0.70462818863201526</v>
      </c>
      <c r="D11" s="2">
        <v>0.79219999999999935</v>
      </c>
      <c r="E11" s="2">
        <v>0.55820645103428201</v>
      </c>
      <c r="G11" t="s">
        <v>99</v>
      </c>
      <c r="H11">
        <v>2006</v>
      </c>
      <c r="I11" s="2">
        <v>0.6845389978120936</v>
      </c>
      <c r="J11" s="2">
        <v>1.1690500000000004</v>
      </c>
      <c r="K11" s="2">
        <v>0.80458147587201401</v>
      </c>
      <c r="M11" t="s">
        <v>100</v>
      </c>
      <c r="N11">
        <v>2006</v>
      </c>
      <c r="O11" s="2">
        <v>0.83323335261291043</v>
      </c>
      <c r="P11" s="2">
        <v>0.67681500000000216</v>
      </c>
      <c r="Q11" s="2">
        <v>0.56394255406246652</v>
      </c>
      <c r="S11" t="s">
        <v>101</v>
      </c>
      <c r="T11">
        <v>2006</v>
      </c>
      <c r="U11" s="2">
        <v>0.48509186900103768</v>
      </c>
      <c r="V11" s="2">
        <v>0.93565000000000254</v>
      </c>
      <c r="W11" s="2">
        <v>0.45935561016002968</v>
      </c>
      <c r="Y11">
        <v>2006</v>
      </c>
      <c r="Z11" s="2">
        <f t="shared" si="2"/>
        <v>0.67687310201451423</v>
      </c>
      <c r="AA11" s="2">
        <f t="shared" si="3"/>
        <v>0.8934287500000011</v>
      </c>
      <c r="AB11" s="2">
        <f t="shared" si="4"/>
        <v>0.59652152278219805</v>
      </c>
      <c r="AD11">
        <v>2006</v>
      </c>
      <c r="AE11" s="2">
        <f t="shared" si="5"/>
        <v>-0.74572040803791084</v>
      </c>
      <c r="AF11" s="2">
        <f t="shared" si="6"/>
        <v>-1.0100952892292532</v>
      </c>
      <c r="AG11" s="2">
        <f t="shared" si="1"/>
        <v>-1.450005096971599</v>
      </c>
    </row>
    <row r="12" spans="1:33" x14ac:dyDescent="0.3">
      <c r="A12" t="s">
        <v>85</v>
      </c>
      <c r="B12">
        <v>2005</v>
      </c>
      <c r="C12" s="2">
        <v>0.64314227048131334</v>
      </c>
      <c r="D12" s="2">
        <v>2.011000000000001</v>
      </c>
      <c r="E12" s="2">
        <v>1.2933591059379217</v>
      </c>
      <c r="G12" t="s">
        <v>99</v>
      </c>
      <c r="H12">
        <v>2005</v>
      </c>
      <c r="I12" s="2">
        <v>0.71589704733561366</v>
      </c>
      <c r="J12" s="2">
        <v>1.1075500000000007</v>
      </c>
      <c r="K12" s="2">
        <v>0.78300006651697984</v>
      </c>
      <c r="M12" t="s">
        <v>100</v>
      </c>
      <c r="N12">
        <v>2005</v>
      </c>
      <c r="O12" s="2">
        <v>0.77716948677305542</v>
      </c>
      <c r="P12" s="2">
        <v>1.2305900000000047</v>
      </c>
      <c r="Q12" s="2">
        <v>0.90700774724120892</v>
      </c>
      <c r="S12" t="s">
        <v>101</v>
      </c>
      <c r="T12">
        <v>2005</v>
      </c>
      <c r="U12" s="2">
        <v>0.7628341476145335</v>
      </c>
      <c r="V12" s="2">
        <v>1.0556499999999955</v>
      </c>
      <c r="W12" s="2">
        <v>0.8087212856736179</v>
      </c>
      <c r="Y12">
        <v>2005</v>
      </c>
      <c r="Z12" s="2">
        <f t="shared" si="2"/>
        <v>0.72476073805112906</v>
      </c>
      <c r="AA12" s="2">
        <f t="shared" si="3"/>
        <v>1.3511975000000005</v>
      </c>
      <c r="AB12" s="2">
        <f t="shared" si="4"/>
        <v>0.94802205134243211</v>
      </c>
      <c r="AD12">
        <v>2005</v>
      </c>
      <c r="AE12" s="2">
        <f t="shared" si="5"/>
        <v>-6.6693227774826308E-2</v>
      </c>
      <c r="AF12" s="2">
        <f t="shared" si="6"/>
        <v>2.4225535027507568</v>
      </c>
      <c r="AG12" s="2">
        <f t="shared" si="1"/>
        <v>1.9939159659514292</v>
      </c>
    </row>
    <row r="13" spans="1:33" x14ac:dyDescent="0.3">
      <c r="A13" t="s">
        <v>85</v>
      </c>
      <c r="B13">
        <v>2004</v>
      </c>
      <c r="C13" s="2">
        <v>0.61592095412051839</v>
      </c>
      <c r="D13" s="2">
        <v>1.2491999999999983</v>
      </c>
      <c r="E13" s="2">
        <v>0.76940845588735052</v>
      </c>
      <c r="G13" t="s">
        <v>99</v>
      </c>
      <c r="H13">
        <v>2004</v>
      </c>
      <c r="I13" s="2">
        <v>0.62225655958704973</v>
      </c>
      <c r="J13" s="2">
        <v>0.95375000000000032</v>
      </c>
      <c r="K13" s="2">
        <v>0.57665741130969561</v>
      </c>
      <c r="M13" t="s">
        <v>100</v>
      </c>
      <c r="N13">
        <v>2004</v>
      </c>
      <c r="O13" s="2">
        <v>0.69959442626080459</v>
      </c>
      <c r="P13" s="2">
        <v>0.52301000000000109</v>
      </c>
      <c r="Q13" s="2">
        <v>0.32511268607341032</v>
      </c>
      <c r="S13" t="s">
        <v>101</v>
      </c>
      <c r="T13">
        <v>2004</v>
      </c>
      <c r="U13" s="2">
        <v>0.67256910381285739</v>
      </c>
      <c r="V13" s="2">
        <v>1.1515999999999895</v>
      </c>
      <c r="W13" s="2">
        <v>0.77846852288785928</v>
      </c>
      <c r="Y13">
        <v>2004</v>
      </c>
      <c r="Z13" s="2">
        <f t="shared" si="2"/>
        <v>0.65258526094530755</v>
      </c>
      <c r="AA13" s="2">
        <f t="shared" si="3"/>
        <v>0.96938999999999731</v>
      </c>
      <c r="AB13" s="2">
        <f t="shared" si="4"/>
        <v>0.61241176903957895</v>
      </c>
      <c r="AD13">
        <v>2004</v>
      </c>
      <c r="AE13" s="2">
        <f t="shared" si="5"/>
        <v>-1.0901121049529874</v>
      </c>
      <c r="AF13" s="2">
        <f t="shared" si="6"/>
        <v>-0.44048827029277304</v>
      </c>
      <c r="AG13" s="2">
        <f t="shared" si="1"/>
        <v>-1.2943161311399298</v>
      </c>
    </row>
    <row r="14" spans="1:33" x14ac:dyDescent="0.3">
      <c r="A14" t="s">
        <v>85</v>
      </c>
      <c r="B14">
        <v>2003</v>
      </c>
      <c r="C14" s="2">
        <v>0.63199033945172534</v>
      </c>
      <c r="D14" s="2">
        <v>1.1730000000000018</v>
      </c>
      <c r="E14" s="2">
        <v>0.74132466817687492</v>
      </c>
      <c r="G14" t="s">
        <v>99</v>
      </c>
      <c r="H14">
        <v>2003</v>
      </c>
      <c r="I14" s="2">
        <v>0.54959937264975833</v>
      </c>
      <c r="J14" s="2">
        <v>1.2306500000000025</v>
      </c>
      <c r="K14" s="2">
        <v>0.68592308708048333</v>
      </c>
      <c r="M14" t="s">
        <v>100</v>
      </c>
      <c r="N14">
        <v>2003</v>
      </c>
      <c r="O14" s="2">
        <v>0.59065026346580529</v>
      </c>
      <c r="P14" s="2">
        <v>0.7691400000000046</v>
      </c>
      <c r="Q14" s="2">
        <v>0.44785491776285613</v>
      </c>
      <c r="S14" t="s">
        <v>101</v>
      </c>
      <c r="T14">
        <v>2003</v>
      </c>
      <c r="U14" s="2">
        <v>0.62556349342787754</v>
      </c>
      <c r="V14" s="2">
        <v>1.0316499999999884</v>
      </c>
      <c r="W14" s="2">
        <v>0.64509022494682711</v>
      </c>
      <c r="Y14">
        <v>2003</v>
      </c>
      <c r="Z14" s="2">
        <f t="shared" si="2"/>
        <v>0.5994508672487916</v>
      </c>
      <c r="AA14" s="2">
        <f t="shared" si="3"/>
        <v>1.0511099999999993</v>
      </c>
      <c r="AB14" s="2">
        <f t="shared" si="4"/>
        <v>0.63004822449176034</v>
      </c>
      <c r="AD14">
        <v>2003</v>
      </c>
      <c r="AE14" s="2">
        <f t="shared" si="5"/>
        <v>-1.8435361724752879</v>
      </c>
      <c r="AF14" s="2">
        <f t="shared" si="6"/>
        <v>0.17230161385858875</v>
      </c>
      <c r="AG14" s="2">
        <f t="shared" si="1"/>
        <v>-1.1215182105909629</v>
      </c>
    </row>
    <row r="15" spans="1:33" x14ac:dyDescent="0.3">
      <c r="A15" t="s">
        <v>85</v>
      </c>
      <c r="B15">
        <v>2002</v>
      </c>
      <c r="C15" s="2">
        <v>0.67841986217550831</v>
      </c>
      <c r="D15" s="2">
        <v>1.3101999999999983</v>
      </c>
      <c r="E15" s="2">
        <v>0.88886570342234983</v>
      </c>
      <c r="G15" t="s">
        <v>99</v>
      </c>
      <c r="H15">
        <v>2002</v>
      </c>
      <c r="I15" s="2">
        <v>0.47976431786340634</v>
      </c>
      <c r="J15" s="2">
        <v>1.3537000000000008</v>
      </c>
      <c r="K15" s="2">
        <v>0.64512452118904084</v>
      </c>
      <c r="M15" t="s">
        <v>100</v>
      </c>
      <c r="N15">
        <v>2002</v>
      </c>
      <c r="O15" s="2">
        <v>0.64487084620311697</v>
      </c>
      <c r="P15" s="2">
        <v>0.98450000000000415</v>
      </c>
      <c r="Q15" s="2">
        <v>0.59870257471001875</v>
      </c>
      <c r="S15" t="s">
        <v>101</v>
      </c>
      <c r="T15">
        <v>2002</v>
      </c>
      <c r="U15" s="2">
        <v>0.62438978366932751</v>
      </c>
      <c r="V15" s="2">
        <v>1.2475499999999879</v>
      </c>
      <c r="W15" s="2">
        <v>0.77754714557630633</v>
      </c>
      <c r="Y15">
        <v>2002</v>
      </c>
      <c r="Z15" s="2">
        <f t="shared" si="2"/>
        <v>0.60686120247783981</v>
      </c>
      <c r="AA15" s="2">
        <f t="shared" si="3"/>
        <v>1.2239874999999978</v>
      </c>
      <c r="AB15" s="2">
        <f t="shared" si="4"/>
        <v>0.72755998622442886</v>
      </c>
      <c r="AD15">
        <v>2002</v>
      </c>
      <c r="AE15" s="2">
        <f t="shared" si="5"/>
        <v>-1.7384606362442347</v>
      </c>
      <c r="AF15" s="2">
        <f t="shared" si="6"/>
        <v>1.4686499153438248</v>
      </c>
      <c r="AG15" s="2">
        <f t="shared" si="1"/>
        <v>-0.16612047196047527</v>
      </c>
    </row>
    <row r="16" spans="1:33" x14ac:dyDescent="0.3">
      <c r="A16" t="s">
        <v>85</v>
      </c>
      <c r="B16">
        <v>2001</v>
      </c>
      <c r="C16" s="2">
        <v>0.68850185521429286</v>
      </c>
      <c r="D16" s="2">
        <v>1.9194999999999993</v>
      </c>
      <c r="E16" s="2">
        <v>1.3215793110838348</v>
      </c>
      <c r="G16" t="s">
        <v>99</v>
      </c>
      <c r="H16">
        <v>2001</v>
      </c>
      <c r="I16" s="2">
        <v>0.59815422903421167</v>
      </c>
      <c r="J16" s="2">
        <v>0.76914999999999978</v>
      </c>
      <c r="K16" s="2">
        <v>0.45457392439469047</v>
      </c>
      <c r="M16" t="s">
        <v>100</v>
      </c>
      <c r="N16">
        <v>2001</v>
      </c>
      <c r="O16" s="2">
        <v>0.56453557684710165</v>
      </c>
      <c r="P16" s="2">
        <v>0.79991500000000215</v>
      </c>
      <c r="Q16" s="2">
        <v>0.45753407319870842</v>
      </c>
      <c r="S16" t="s">
        <v>101</v>
      </c>
      <c r="T16">
        <v>2001</v>
      </c>
      <c r="U16" s="2">
        <v>0.66204059902045431</v>
      </c>
      <c r="V16" s="2">
        <v>1.2235999999999869</v>
      </c>
      <c r="W16" s="2">
        <v>0.80796899489248741</v>
      </c>
      <c r="Y16">
        <v>2001</v>
      </c>
      <c r="Z16" s="2">
        <f t="shared" si="2"/>
        <v>0.62830806502901515</v>
      </c>
      <c r="AA16" s="2">
        <f t="shared" si="3"/>
        <v>1.178041249999997</v>
      </c>
      <c r="AB16" s="2">
        <f t="shared" si="4"/>
        <v>0.76041407589243026</v>
      </c>
      <c r="AD16">
        <v>2001</v>
      </c>
      <c r="AE16" s="2">
        <f t="shared" si="5"/>
        <v>-1.4343528579341991</v>
      </c>
      <c r="AF16" s="2">
        <f t="shared" si="6"/>
        <v>1.1241149518747933</v>
      </c>
      <c r="AG16" s="2">
        <f t="shared" si="1"/>
        <v>0.15577631685588272</v>
      </c>
    </row>
    <row r="17" spans="1:33" x14ac:dyDescent="0.3">
      <c r="A17" t="s">
        <v>85</v>
      </c>
      <c r="B17">
        <v>2000</v>
      </c>
      <c r="C17" s="2">
        <v>0.62470719277071884</v>
      </c>
      <c r="D17" s="2">
        <v>1.5234000000000023</v>
      </c>
      <c r="E17" s="2">
        <v>0.95167893746691457</v>
      </c>
      <c r="G17" t="s">
        <v>99</v>
      </c>
      <c r="H17">
        <v>2000</v>
      </c>
      <c r="I17" s="2">
        <v>0.69591070088890672</v>
      </c>
      <c r="J17" s="2">
        <v>1.3229500000000005</v>
      </c>
      <c r="K17" s="2">
        <v>0.98044872201187827</v>
      </c>
      <c r="M17" t="s">
        <v>100</v>
      </c>
      <c r="N17">
        <v>2000</v>
      </c>
      <c r="O17" s="2">
        <v>0.69488594934551751</v>
      </c>
      <c r="P17" s="2">
        <v>0.83067999999999831</v>
      </c>
      <c r="Q17" s="2">
        <v>0.57158629616924994</v>
      </c>
      <c r="S17" t="s">
        <v>101</v>
      </c>
      <c r="T17">
        <v>2000</v>
      </c>
      <c r="U17" s="2">
        <v>0.58567046773718134</v>
      </c>
      <c r="V17" s="2">
        <v>1.0076499999999893</v>
      </c>
      <c r="W17" s="2">
        <v>0.58769286841148904</v>
      </c>
      <c r="Y17">
        <v>2000</v>
      </c>
      <c r="Z17" s="2">
        <f t="shared" si="2"/>
        <v>0.65029357768558116</v>
      </c>
      <c r="AA17" s="2">
        <f t="shared" si="3"/>
        <v>1.1711699999999976</v>
      </c>
      <c r="AB17" s="2">
        <f t="shared" si="4"/>
        <v>0.77285170601488296</v>
      </c>
      <c r="AD17">
        <v>2000</v>
      </c>
      <c r="AE17" s="2">
        <f t="shared" si="5"/>
        <v>-1.1226072404555694</v>
      </c>
      <c r="AF17" s="2">
        <f t="shared" si="6"/>
        <v>1.072589835728506</v>
      </c>
      <c r="AG17" s="2">
        <f t="shared" si="1"/>
        <v>0.27763734655905875</v>
      </c>
    </row>
    <row r="18" spans="1:33" x14ac:dyDescent="0.3">
      <c r="A18" t="s">
        <v>85</v>
      </c>
      <c r="B18">
        <v>1999</v>
      </c>
      <c r="C18" s="2">
        <v>0.70055476321953836</v>
      </c>
      <c r="D18" s="2">
        <v>1.7061999999999991</v>
      </c>
      <c r="E18" s="2">
        <v>1.1952865370051757</v>
      </c>
      <c r="G18" t="s">
        <v>99</v>
      </c>
      <c r="H18">
        <v>1999</v>
      </c>
      <c r="I18" s="2">
        <v>0.60405952334951984</v>
      </c>
      <c r="J18" s="2">
        <v>0.92295000000000016</v>
      </c>
      <c r="K18" s="2">
        <v>0.5688426062547991</v>
      </c>
      <c r="M18" t="s">
        <v>100</v>
      </c>
      <c r="N18">
        <v>1999</v>
      </c>
      <c r="O18" s="2">
        <v>0.7674605222316635</v>
      </c>
      <c r="P18" s="2">
        <v>0.98446999999999196</v>
      </c>
      <c r="Q18" s="2">
        <v>0.75513241099696948</v>
      </c>
      <c r="S18" t="s">
        <v>101</v>
      </c>
      <c r="T18">
        <v>1999</v>
      </c>
      <c r="U18" s="2">
        <v>0.59094072054112046</v>
      </c>
      <c r="V18" s="2">
        <v>1.2475999999999878</v>
      </c>
      <c r="W18" s="2">
        <v>0.73730121727828324</v>
      </c>
      <c r="Y18">
        <v>1999</v>
      </c>
      <c r="Z18" s="2">
        <f t="shared" si="2"/>
        <v>0.66575388233546051</v>
      </c>
      <c r="AA18" s="2">
        <f t="shared" si="3"/>
        <v>1.2153049999999948</v>
      </c>
      <c r="AB18" s="2">
        <f t="shared" si="4"/>
        <v>0.81414069288380686</v>
      </c>
      <c r="AD18">
        <v>1999</v>
      </c>
      <c r="AE18" s="2">
        <f t="shared" si="5"/>
        <v>-0.90338641559820743</v>
      </c>
      <c r="AF18" s="2">
        <f t="shared" si="6"/>
        <v>1.4035428648158521</v>
      </c>
      <c r="AG18" s="2">
        <f t="shared" si="6"/>
        <v>0.68217731162563267</v>
      </c>
    </row>
    <row r="19" spans="1:33" x14ac:dyDescent="0.3">
      <c r="A19" t="s">
        <v>85</v>
      </c>
      <c r="B19">
        <v>1998</v>
      </c>
      <c r="C19" s="2">
        <v>0.6600458248145854</v>
      </c>
      <c r="D19" s="2">
        <v>1.4316299999999167</v>
      </c>
      <c r="E19" s="2">
        <v>0.94494140417924988</v>
      </c>
      <c r="G19" t="s">
        <v>99</v>
      </c>
      <c r="H19">
        <v>1998</v>
      </c>
      <c r="I19" s="2">
        <v>0.53454276195179018</v>
      </c>
      <c r="J19" s="2">
        <v>1.3229500000000005</v>
      </c>
      <c r="K19" s="2">
        <v>0.7079827845566643</v>
      </c>
      <c r="M19" t="s">
        <v>100</v>
      </c>
      <c r="N19">
        <v>1998</v>
      </c>
      <c r="O19" s="2">
        <v>0.85946627769751083</v>
      </c>
      <c r="P19" s="2">
        <v>0.61528499999999564</v>
      </c>
      <c r="Q19" s="2">
        <v>0.54200702788059651</v>
      </c>
      <c r="S19" t="s">
        <v>101</v>
      </c>
      <c r="T19">
        <v>1998</v>
      </c>
      <c r="U19" s="2">
        <v>0.6208799621334633</v>
      </c>
      <c r="V19" s="2">
        <v>1.4634499999999875</v>
      </c>
      <c r="W19" s="2">
        <v>0.90050092826068207</v>
      </c>
      <c r="Y19">
        <v>1998</v>
      </c>
      <c r="Z19" s="2">
        <f t="shared" si="2"/>
        <v>0.6687337066493374</v>
      </c>
      <c r="AA19" s="2">
        <f t="shared" si="3"/>
        <v>1.2083287499999751</v>
      </c>
      <c r="AB19" s="2">
        <f t="shared" si="4"/>
        <v>0.77385803621929816</v>
      </c>
      <c r="AD19">
        <v>1998</v>
      </c>
      <c r="AE19" s="2">
        <f t="shared" si="5"/>
        <v>-0.86113372014286849</v>
      </c>
      <c r="AF19" s="2">
        <f t="shared" si="6"/>
        <v>1.3512303901545344</v>
      </c>
      <c r="AG19" s="2">
        <f t="shared" si="6"/>
        <v>0.28749713767071639</v>
      </c>
    </row>
    <row r="20" spans="1:33" x14ac:dyDescent="0.3">
      <c r="A20" t="s">
        <v>85</v>
      </c>
      <c r="B20">
        <v>1997</v>
      </c>
      <c r="C20" s="2">
        <v>0.65863837292458283</v>
      </c>
      <c r="D20" s="2">
        <v>0.92902999999993696</v>
      </c>
      <c r="E20" s="2">
        <v>0.61189480759808368</v>
      </c>
      <c r="G20" t="s">
        <v>99</v>
      </c>
      <c r="H20">
        <v>1997</v>
      </c>
      <c r="I20" s="2">
        <v>0.55737698402762337</v>
      </c>
      <c r="J20" s="2">
        <v>1.0152999999999981</v>
      </c>
      <c r="K20" s="2">
        <v>0.56754457843994666</v>
      </c>
      <c r="M20" t="s">
        <v>100</v>
      </c>
      <c r="N20">
        <v>1997</v>
      </c>
      <c r="O20" s="2">
        <v>0.91925493779757161</v>
      </c>
      <c r="P20" s="2">
        <v>0.86138499999999141</v>
      </c>
      <c r="Q20" s="2">
        <v>0.73503447410960221</v>
      </c>
      <c r="S20" t="s">
        <v>101</v>
      </c>
      <c r="T20">
        <v>1997</v>
      </c>
      <c r="U20" s="2">
        <v>0.63852599810655675</v>
      </c>
      <c r="V20" s="2">
        <v>1.1276499999999867</v>
      </c>
      <c r="W20" s="2">
        <v>0.72395124412462386</v>
      </c>
      <c r="Y20">
        <v>1997</v>
      </c>
      <c r="Z20" s="2">
        <f t="shared" si="2"/>
        <v>0.69344907321408367</v>
      </c>
      <c r="AA20" s="2">
        <f t="shared" si="3"/>
        <v>0.9833412499999783</v>
      </c>
      <c r="AB20" s="2">
        <f t="shared" si="4"/>
        <v>0.6596062760680641</v>
      </c>
      <c r="AD20">
        <v>1997</v>
      </c>
      <c r="AE20" s="2">
        <f t="shared" si="5"/>
        <v>-0.51067988577951906</v>
      </c>
      <c r="AF20" s="2">
        <f t="shared" si="6"/>
        <v>-0.33587269428622846</v>
      </c>
      <c r="AG20" s="2">
        <f t="shared" si="6"/>
        <v>-0.83191524236909942</v>
      </c>
    </row>
    <row r="21" spans="1:33" x14ac:dyDescent="0.3">
      <c r="A21" t="s">
        <v>85</v>
      </c>
      <c r="B21">
        <v>1996</v>
      </c>
      <c r="C21" s="2">
        <v>0.62495721684407146</v>
      </c>
      <c r="D21" s="2">
        <v>1.4620799999999008</v>
      </c>
      <c r="E21" s="2">
        <v>0.91373744760331799</v>
      </c>
      <c r="G21" t="s">
        <v>99</v>
      </c>
      <c r="H21">
        <v>1996</v>
      </c>
      <c r="I21" s="2">
        <v>0.60248732314532139</v>
      </c>
      <c r="J21" s="2">
        <v>1.1998499999999996</v>
      </c>
      <c r="K21" s="2">
        <v>0.73042642307553118</v>
      </c>
      <c r="M21" t="s">
        <v>100</v>
      </c>
      <c r="N21">
        <v>1996</v>
      </c>
      <c r="O21" s="2">
        <v>0.93880927219406818</v>
      </c>
      <c r="P21" s="2">
        <v>0.70759999999999579</v>
      </c>
      <c r="Q21" s="2">
        <v>0.67054371679209213</v>
      </c>
      <c r="S21" t="s">
        <v>101</v>
      </c>
      <c r="T21">
        <v>1996</v>
      </c>
      <c r="U21" s="2">
        <v>0.67461606427977427</v>
      </c>
      <c r="V21" s="2">
        <v>1.2475499999999879</v>
      </c>
      <c r="W21" s="2">
        <v>0.84192875872363571</v>
      </c>
      <c r="Y21">
        <v>1996</v>
      </c>
      <c r="Z21" s="2">
        <f t="shared" si="2"/>
        <v>0.71021746911580885</v>
      </c>
      <c r="AA21" s="2">
        <f t="shared" si="3"/>
        <v>1.154269999999971</v>
      </c>
      <c r="AB21" s="2">
        <f t="shared" si="4"/>
        <v>0.7891590865486442</v>
      </c>
      <c r="AD21">
        <v>1996</v>
      </c>
      <c r="AE21" s="2">
        <f t="shared" si="5"/>
        <v>-0.27291085959544004</v>
      </c>
      <c r="AF21" s="2">
        <f t="shared" si="6"/>
        <v>0.94586260809544132</v>
      </c>
      <c r="AG21" s="2">
        <f t="shared" si="6"/>
        <v>0.43741329776846738</v>
      </c>
    </row>
    <row r="22" spans="1:33" x14ac:dyDescent="0.3">
      <c r="A22" t="s">
        <v>85</v>
      </c>
      <c r="B22">
        <v>1995</v>
      </c>
      <c r="C22" s="2">
        <v>0.76493760761763485</v>
      </c>
      <c r="D22" s="2">
        <v>1.0813299999999266</v>
      </c>
      <c r="E22" s="2">
        <v>0.82714998324512101</v>
      </c>
      <c r="G22" t="s">
        <v>99</v>
      </c>
      <c r="H22">
        <v>1995</v>
      </c>
      <c r="I22" s="2">
        <v>0.74133274128759408</v>
      </c>
      <c r="J22" s="2">
        <v>1.01525</v>
      </c>
      <c r="K22" s="2">
        <v>0.74221923116165744</v>
      </c>
      <c r="M22" t="s">
        <v>100</v>
      </c>
      <c r="N22">
        <v>1995</v>
      </c>
      <c r="O22" s="2">
        <v>0.90711328540909153</v>
      </c>
      <c r="P22" s="2">
        <v>0.86144999999999605</v>
      </c>
      <c r="Q22" s="2">
        <v>0.79198828243394515</v>
      </c>
      <c r="S22" t="s">
        <v>101</v>
      </c>
      <c r="T22">
        <v>1995</v>
      </c>
      <c r="U22" s="2">
        <v>0.61754767834362578</v>
      </c>
      <c r="V22" s="2">
        <v>1.1035999999999895</v>
      </c>
      <c r="W22" s="2">
        <v>0.67895298448969155</v>
      </c>
      <c r="Y22">
        <v>1995</v>
      </c>
      <c r="Z22" s="2">
        <f t="shared" si="2"/>
        <v>0.75773282816448662</v>
      </c>
      <c r="AA22" s="2">
        <f t="shared" si="3"/>
        <v>1.015407499999978</v>
      </c>
      <c r="AB22" s="2">
        <f t="shared" si="4"/>
        <v>0.76007762033260384</v>
      </c>
      <c r="AD22">
        <v>1995</v>
      </c>
      <c r="AE22" s="2">
        <f t="shared" si="5"/>
        <v>0.40083758456126284</v>
      </c>
      <c r="AF22" s="2">
        <f t="shared" si="6"/>
        <v>-9.5419027831652306E-2</v>
      </c>
      <c r="AG22" s="2">
        <f t="shared" si="6"/>
        <v>0.15247980292468047</v>
      </c>
    </row>
    <row r="23" spans="1:33" x14ac:dyDescent="0.3">
      <c r="A23" t="s">
        <v>85</v>
      </c>
      <c r="B23">
        <v>1994</v>
      </c>
      <c r="C23" s="2">
        <v>0.76138875784810711</v>
      </c>
      <c r="D23" s="2">
        <v>1.2793200000001228</v>
      </c>
      <c r="E23" s="2">
        <v>0.97405986569033387</v>
      </c>
      <c r="G23" t="s">
        <v>99</v>
      </c>
      <c r="H23">
        <v>1994</v>
      </c>
      <c r="I23" s="2">
        <v>0.91691216473193526</v>
      </c>
      <c r="J23" s="2">
        <v>0.98449999999999704</v>
      </c>
      <c r="K23" s="2">
        <v>0.88079251201418152</v>
      </c>
      <c r="M23" t="s">
        <v>100</v>
      </c>
      <c r="N23">
        <v>1994</v>
      </c>
      <c r="O23" s="2">
        <v>0.83303200428471746</v>
      </c>
      <c r="P23" s="2">
        <v>0.6768499999999964</v>
      </c>
      <c r="Q23" s="2">
        <v>0.56269101811651479</v>
      </c>
      <c r="S23" t="s">
        <v>101</v>
      </c>
      <c r="T23">
        <v>1994</v>
      </c>
      <c r="U23" s="2">
        <v>0.57822936016515047</v>
      </c>
      <c r="V23" s="2">
        <v>1.3435000000000041</v>
      </c>
      <c r="W23" s="2">
        <v>0.77524186302464149</v>
      </c>
      <c r="Y23">
        <v>1994</v>
      </c>
      <c r="Z23" s="2">
        <f t="shared" si="2"/>
        <v>0.77239057175747761</v>
      </c>
      <c r="AA23" s="2">
        <f t="shared" si="3"/>
        <v>1.0710425000000301</v>
      </c>
      <c r="AB23" s="2">
        <f t="shared" si="4"/>
        <v>0.79819631471141794</v>
      </c>
      <c r="AD23">
        <v>1994</v>
      </c>
      <c r="AE23" s="2">
        <f t="shared" si="5"/>
        <v>0.60867842041621945</v>
      </c>
      <c r="AF23" s="2">
        <f t="shared" si="6"/>
        <v>0.32176850526663542</v>
      </c>
      <c r="AG23" s="2">
        <f t="shared" si="6"/>
        <v>0.52595797378275755</v>
      </c>
    </row>
    <row r="24" spans="1:33" x14ac:dyDescent="0.3">
      <c r="A24" t="s">
        <v>85</v>
      </c>
      <c r="B24">
        <v>1993</v>
      </c>
      <c r="C24" s="2">
        <v>0.70068539995430679</v>
      </c>
      <c r="D24" s="2">
        <v>1.3554700000002242</v>
      </c>
      <c r="E24" s="2">
        <v>0.94975803907622136</v>
      </c>
      <c r="G24" t="s">
        <v>99</v>
      </c>
      <c r="H24">
        <v>1993</v>
      </c>
      <c r="I24" s="2">
        <v>0.76749040592229756</v>
      </c>
      <c r="J24" s="2">
        <v>0.83070000000000199</v>
      </c>
      <c r="K24" s="2">
        <v>0.63955688640168196</v>
      </c>
      <c r="M24" t="s">
        <v>100</v>
      </c>
      <c r="N24">
        <v>1993</v>
      </c>
      <c r="O24" s="2">
        <v>0.8035022160852332</v>
      </c>
      <c r="P24" s="2">
        <v>0.83067999999999564</v>
      </c>
      <c r="Q24" s="2">
        <v>0.65195686299293909</v>
      </c>
      <c r="S24" t="s">
        <v>101</v>
      </c>
      <c r="T24">
        <v>1993</v>
      </c>
      <c r="U24" s="2">
        <v>0.70093456805769794</v>
      </c>
      <c r="V24" s="2">
        <v>1.1756000000000242</v>
      </c>
      <c r="W24" s="2">
        <v>0.82525854095007656</v>
      </c>
      <c r="Y24">
        <v>1993</v>
      </c>
      <c r="Z24" s="2">
        <f t="shared" si="2"/>
        <v>0.74315314750488382</v>
      </c>
      <c r="AA24" s="2">
        <f t="shared" si="3"/>
        <v>1.0481125000000615</v>
      </c>
      <c r="AB24" s="2">
        <f t="shared" si="4"/>
        <v>0.7666325823552298</v>
      </c>
      <c r="AD24">
        <v>1993</v>
      </c>
      <c r="AE24" s="2">
        <f t="shared" si="5"/>
        <v>0.19410364931633259</v>
      </c>
      <c r="AF24" s="2">
        <f t="shared" si="6"/>
        <v>0.14982440292239743</v>
      </c>
      <c r="AG24" s="2">
        <f t="shared" si="6"/>
        <v>0.21670380813130019</v>
      </c>
    </row>
    <row r="25" spans="1:33" x14ac:dyDescent="0.3">
      <c r="A25" t="s">
        <v>85</v>
      </c>
      <c r="B25">
        <v>1992</v>
      </c>
      <c r="C25" s="2">
        <v>0.72845399828482826</v>
      </c>
      <c r="D25" s="2">
        <v>1.3707000000002267</v>
      </c>
      <c r="E25" s="2">
        <v>0.99849189544917927</v>
      </c>
      <c r="G25" t="s">
        <v>99</v>
      </c>
      <c r="H25">
        <v>1992</v>
      </c>
      <c r="I25" s="2">
        <v>0.64267102207842819</v>
      </c>
      <c r="J25" s="2">
        <v>0.67684999999999995</v>
      </c>
      <c r="K25" s="2">
        <v>0.43499455444849533</v>
      </c>
      <c r="M25" t="s">
        <v>100</v>
      </c>
      <c r="N25">
        <v>1992</v>
      </c>
      <c r="O25" s="2">
        <v>0.74408103673432935</v>
      </c>
      <c r="P25" s="2">
        <v>1.3229049999999933</v>
      </c>
      <c r="Q25" s="2">
        <v>0.95768095321105662</v>
      </c>
      <c r="S25" t="s">
        <v>101</v>
      </c>
      <c r="T25">
        <v>1992</v>
      </c>
      <c r="U25" s="2">
        <v>0.69496403613835533</v>
      </c>
      <c r="V25" s="2">
        <v>0.88770000000001481</v>
      </c>
      <c r="W25" s="2">
        <v>0.61253289793530064</v>
      </c>
      <c r="Y25">
        <v>1992</v>
      </c>
      <c r="Z25" s="2">
        <f t="shared" si="2"/>
        <v>0.70254252330898526</v>
      </c>
      <c r="AA25" s="2">
        <f t="shared" si="3"/>
        <v>1.0645387500000587</v>
      </c>
      <c r="AB25" s="2">
        <f t="shared" si="4"/>
        <v>0.75092507526100793</v>
      </c>
      <c r="AD25">
        <v>1992</v>
      </c>
      <c r="AE25" s="2">
        <f t="shared" si="5"/>
        <v>-0.38173846607605033</v>
      </c>
      <c r="AF25" s="2">
        <f t="shared" si="6"/>
        <v>0.27299914392263414</v>
      </c>
      <c r="AG25" s="2">
        <f t="shared" si="6"/>
        <v>6.2805278449477461E-2</v>
      </c>
    </row>
    <row r="26" spans="1:33" x14ac:dyDescent="0.3">
      <c r="A26" t="s">
        <v>85</v>
      </c>
      <c r="B26">
        <v>1991</v>
      </c>
      <c r="C26" s="2">
        <v>0.78127200406874742</v>
      </c>
      <c r="D26" s="2">
        <v>1.1574800000001915</v>
      </c>
      <c r="E26" s="2">
        <v>0.90430671926964334</v>
      </c>
      <c r="G26" t="s">
        <v>99</v>
      </c>
      <c r="H26">
        <v>1991</v>
      </c>
      <c r="I26" s="2">
        <v>0.60191129171930791</v>
      </c>
      <c r="J26" s="2">
        <v>0.67684999999999818</v>
      </c>
      <c r="K26" s="2">
        <v>0.42087791896779247</v>
      </c>
      <c r="M26" t="s">
        <v>100</v>
      </c>
      <c r="N26">
        <v>1991</v>
      </c>
      <c r="O26" s="2">
        <v>0.68514359122933222</v>
      </c>
      <c r="P26" s="2">
        <v>0.52304999999999779</v>
      </c>
      <c r="Q26" s="2">
        <v>0.34584230521997494</v>
      </c>
      <c r="S26" t="s">
        <v>101</v>
      </c>
      <c r="T26">
        <v>1991</v>
      </c>
      <c r="U26" s="2">
        <v>0.68503408800727894</v>
      </c>
      <c r="V26" s="2">
        <v>1.1249000000000073</v>
      </c>
      <c r="W26" s="2">
        <v>0.75948914728710315</v>
      </c>
      <c r="Y26">
        <v>1991</v>
      </c>
      <c r="Z26" s="2">
        <f t="shared" si="2"/>
        <v>0.68834024375616665</v>
      </c>
      <c r="AA26" s="2">
        <f t="shared" si="3"/>
        <v>0.87057000000004869</v>
      </c>
      <c r="AB26" s="2">
        <f t="shared" si="4"/>
        <v>0.60762902268612851</v>
      </c>
      <c r="AD26">
        <v>1991</v>
      </c>
      <c r="AE26" s="2">
        <f t="shared" si="5"/>
        <v>-0.58312100729576921</v>
      </c>
      <c r="AF26" s="2">
        <f t="shared" si="6"/>
        <v>-1.1815051125811307</v>
      </c>
      <c r="AG26" s="2">
        <f t="shared" si="6"/>
        <v>-1.3411763761948494</v>
      </c>
    </row>
    <row r="27" spans="1:33" x14ac:dyDescent="0.3">
      <c r="A27" t="s">
        <v>85</v>
      </c>
      <c r="B27">
        <v>1990</v>
      </c>
      <c r="C27" s="2">
        <v>0.75557288227660302</v>
      </c>
      <c r="D27" s="2">
        <v>1.1422500000001889</v>
      </c>
      <c r="E27" s="2">
        <v>0.8630531247805926</v>
      </c>
      <c r="G27" t="s">
        <v>99</v>
      </c>
      <c r="H27">
        <v>1990</v>
      </c>
      <c r="I27" s="2">
        <v>0.60608975170053259</v>
      </c>
      <c r="J27" s="2">
        <v>1.1691000000000003</v>
      </c>
      <c r="K27" s="2">
        <v>0.70857952871309249</v>
      </c>
      <c r="M27" t="s">
        <v>100</v>
      </c>
      <c r="N27">
        <v>1990</v>
      </c>
      <c r="O27" s="2">
        <v>0.69938998179210543</v>
      </c>
      <c r="P27" s="2">
        <v>0.70757499999999318</v>
      </c>
      <c r="Q27" s="2">
        <v>0.47937877193109041</v>
      </c>
      <c r="S27" t="s">
        <v>101</v>
      </c>
      <c r="T27">
        <v>1990</v>
      </c>
      <c r="U27" s="2">
        <v>0.66456299593276691</v>
      </c>
      <c r="V27" s="2">
        <v>1.0589999999999993</v>
      </c>
      <c r="W27" s="2">
        <v>0.64697158367906105</v>
      </c>
      <c r="Y27">
        <v>1990</v>
      </c>
      <c r="Z27" s="2">
        <f t="shared" si="2"/>
        <v>0.68140390292550201</v>
      </c>
      <c r="AA27" s="2">
        <f t="shared" si="3"/>
        <v>1.0194812500000454</v>
      </c>
      <c r="AB27" s="2">
        <f t="shared" si="4"/>
        <v>0.67449575227595915</v>
      </c>
      <c r="AD27">
        <v>1990</v>
      </c>
      <c r="AE27" s="2">
        <f t="shared" si="5"/>
        <v>-0.68147549595728252</v>
      </c>
      <c r="AF27" s="2">
        <f t="shared" si="6"/>
        <v>-6.4871392116982243E-2</v>
      </c>
      <c r="AG27" s="2">
        <f t="shared" si="6"/>
        <v>-0.68603159053420926</v>
      </c>
    </row>
    <row r="28" spans="1:33" x14ac:dyDescent="0.3">
      <c r="A28" t="s">
        <v>85</v>
      </c>
      <c r="B28">
        <v>1989</v>
      </c>
      <c r="C28" s="2">
        <v>0.60147413784412451</v>
      </c>
      <c r="D28" s="2">
        <v>0.80719000000013352</v>
      </c>
      <c r="E28" s="2">
        <v>0.48550390932647919</v>
      </c>
      <c r="G28" t="s">
        <v>99</v>
      </c>
      <c r="H28">
        <v>1989</v>
      </c>
      <c r="I28" s="2">
        <v>0.58451913989618953</v>
      </c>
      <c r="J28" s="2">
        <v>0.70754999999999946</v>
      </c>
      <c r="K28" s="2">
        <v>0.38331467622569965</v>
      </c>
      <c r="M28" t="s">
        <v>100</v>
      </c>
      <c r="N28">
        <v>1989</v>
      </c>
      <c r="O28" s="2">
        <v>0.73355211509103979</v>
      </c>
      <c r="P28" s="2">
        <v>0.9537249999999915</v>
      </c>
      <c r="Q28" s="2">
        <v>0.70007696249356188</v>
      </c>
      <c r="S28" t="s">
        <v>101</v>
      </c>
      <c r="T28">
        <v>1989</v>
      </c>
      <c r="U28" s="2">
        <v>0.62747453478736492</v>
      </c>
      <c r="V28" s="2">
        <v>0.71699999999999875</v>
      </c>
      <c r="W28" s="2">
        <v>0.44428778360791243</v>
      </c>
      <c r="Y28">
        <v>1989</v>
      </c>
      <c r="Z28" s="2">
        <f t="shared" si="2"/>
        <v>0.63675498190467972</v>
      </c>
      <c r="AA28" s="2">
        <f t="shared" si="3"/>
        <v>0.79636625000003081</v>
      </c>
      <c r="AB28" s="2">
        <f t="shared" si="4"/>
        <v>0.50329583291341329</v>
      </c>
      <c r="AD28">
        <v>1989</v>
      </c>
      <c r="AE28" s="2">
        <f t="shared" si="5"/>
        <v>-1.314579016026161</v>
      </c>
      <c r="AF28" s="2">
        <f t="shared" si="6"/>
        <v>-1.7379332497092077</v>
      </c>
      <c r="AG28" s="2">
        <f t="shared" si="6"/>
        <v>-2.3634088925781813</v>
      </c>
    </row>
    <row r="29" spans="1:33" x14ac:dyDescent="0.3">
      <c r="A29" t="s">
        <v>85</v>
      </c>
      <c r="B29">
        <v>1988</v>
      </c>
      <c r="C29" s="2">
        <v>0.76226637929128449</v>
      </c>
      <c r="D29" s="2">
        <v>1.7362200000002872</v>
      </c>
      <c r="E29" s="2">
        <v>1.3234621330533329</v>
      </c>
      <c r="G29" t="s">
        <v>99</v>
      </c>
      <c r="H29">
        <v>1988</v>
      </c>
      <c r="I29" s="2">
        <v>0.52261711218186346</v>
      </c>
      <c r="J29" s="2">
        <v>0.92295000000000194</v>
      </c>
      <c r="K29" s="2">
        <v>0.49827720647785534</v>
      </c>
      <c r="M29" t="s">
        <v>100</v>
      </c>
      <c r="N29">
        <v>1988</v>
      </c>
      <c r="O29" s="2">
        <v>0.76363453006684723</v>
      </c>
      <c r="P29" s="2">
        <v>1.0460049999999939</v>
      </c>
      <c r="Q29" s="2">
        <v>0.79876554570727154</v>
      </c>
      <c r="S29" t="s">
        <v>101</v>
      </c>
      <c r="T29">
        <v>1988</v>
      </c>
      <c r="U29" s="2">
        <v>0.52044910550995083</v>
      </c>
      <c r="V29" s="2">
        <v>0.87299999999999756</v>
      </c>
      <c r="W29" s="2">
        <v>0.45512263536595449</v>
      </c>
      <c r="Y29">
        <v>1988</v>
      </c>
      <c r="Z29" s="2">
        <f t="shared" si="2"/>
        <v>0.64224178176248659</v>
      </c>
      <c r="AA29" s="2">
        <f t="shared" si="3"/>
        <v>1.1445437500000701</v>
      </c>
      <c r="AB29" s="2">
        <f t="shared" si="4"/>
        <v>0.76890688015110364</v>
      </c>
      <c r="AD29">
        <v>1988</v>
      </c>
      <c r="AE29" s="2">
        <f t="shared" si="5"/>
        <v>-1.2367784281402643</v>
      </c>
      <c r="AF29" s="2">
        <f t="shared" si="6"/>
        <v>0.87292883899771356</v>
      </c>
      <c r="AG29" s="2">
        <f t="shared" si="6"/>
        <v>0.23898685309470816</v>
      </c>
    </row>
    <row r="30" spans="1:33" x14ac:dyDescent="0.3">
      <c r="A30" t="s">
        <v>85</v>
      </c>
      <c r="B30">
        <v>1987</v>
      </c>
      <c r="C30" s="2">
        <v>0.79306361067364506</v>
      </c>
      <c r="D30" s="2">
        <v>0.62443000000010329</v>
      </c>
      <c r="E30" s="2">
        <v>0.49521271041302611</v>
      </c>
      <c r="G30" t="s">
        <v>99</v>
      </c>
      <c r="H30">
        <v>1987</v>
      </c>
      <c r="I30" s="2">
        <v>0.55030689828165269</v>
      </c>
      <c r="J30" s="2">
        <v>1.076400000000012</v>
      </c>
      <c r="K30" s="2">
        <v>0.59154951805883338</v>
      </c>
      <c r="M30" t="s">
        <v>100</v>
      </c>
      <c r="N30">
        <v>1987</v>
      </c>
      <c r="O30" s="2">
        <v>0.66273684177769732</v>
      </c>
      <c r="P30" s="2">
        <v>0.83064499999999164</v>
      </c>
      <c r="Q30" s="2">
        <v>0.54622775138995339</v>
      </c>
      <c r="S30" t="s">
        <v>101</v>
      </c>
      <c r="T30">
        <v>1987</v>
      </c>
      <c r="U30" s="2">
        <v>0.6778318997724857</v>
      </c>
      <c r="V30" s="2">
        <v>0.91200000000001324</v>
      </c>
      <c r="W30" s="2">
        <v>0.6100965623128447</v>
      </c>
      <c r="Y30">
        <v>1987</v>
      </c>
      <c r="Z30" s="2">
        <f t="shared" si="2"/>
        <v>0.67098481262637022</v>
      </c>
      <c r="AA30" s="2">
        <f t="shared" si="3"/>
        <v>0.86086875000003005</v>
      </c>
      <c r="AB30" s="2">
        <f t="shared" si="4"/>
        <v>0.56077163554366438</v>
      </c>
      <c r="AD30">
        <v>1987</v>
      </c>
      <c r="AE30" s="2">
        <f t="shared" si="5"/>
        <v>-0.8292139539867518</v>
      </c>
      <c r="AF30" s="2">
        <f t="shared" si="6"/>
        <v>-1.2542514153666751</v>
      </c>
      <c r="AG30" s="2">
        <f t="shared" si="6"/>
        <v>-1.8002742421197295</v>
      </c>
    </row>
    <row r="31" spans="1:33" x14ac:dyDescent="0.3">
      <c r="A31" t="s">
        <v>85</v>
      </c>
      <c r="B31">
        <v>1986</v>
      </c>
      <c r="C31" s="2">
        <v>0.74093721810166024</v>
      </c>
      <c r="D31" s="2">
        <v>1.8428300000003048</v>
      </c>
      <c r="E31" s="2">
        <v>1.3654213336345085</v>
      </c>
      <c r="G31" t="s">
        <v>99</v>
      </c>
      <c r="H31">
        <v>1986</v>
      </c>
      <c r="I31" s="2">
        <v>0.69572265011782086</v>
      </c>
      <c r="J31" s="2">
        <v>0.67670000000000385</v>
      </c>
      <c r="K31" s="2">
        <v>0.48589332175633448</v>
      </c>
      <c r="M31" t="s">
        <v>100</v>
      </c>
      <c r="N31">
        <v>1986</v>
      </c>
      <c r="O31" s="2">
        <v>0.75845133175404156</v>
      </c>
      <c r="P31" s="2">
        <v>1.3229199999999945</v>
      </c>
      <c r="Q31" s="2">
        <v>1.0067575850170489</v>
      </c>
      <c r="S31" t="s">
        <v>101</v>
      </c>
      <c r="T31">
        <v>1986</v>
      </c>
      <c r="U31" s="2">
        <v>0.72365518784288763</v>
      </c>
      <c r="V31" s="2">
        <v>0.96899999999999764</v>
      </c>
      <c r="W31" s="2">
        <v>0.69989224020522955</v>
      </c>
      <c r="Y31">
        <v>1986</v>
      </c>
      <c r="Z31" s="2">
        <f t="shared" si="2"/>
        <v>0.72969159695410246</v>
      </c>
      <c r="AA31" s="2">
        <f t="shared" si="3"/>
        <v>1.2028625000000752</v>
      </c>
      <c r="AB31" s="2">
        <f t="shared" si="4"/>
        <v>0.88949112015328036</v>
      </c>
      <c r="AD31">
        <v>1986</v>
      </c>
      <c r="AE31" s="2">
        <f t="shared" si="5"/>
        <v>3.2243437378107901E-3</v>
      </c>
      <c r="AF31" s="2">
        <f t="shared" si="6"/>
        <v>1.3102408808033237</v>
      </c>
      <c r="AG31" s="2">
        <f t="shared" si="6"/>
        <v>1.4204434093652858</v>
      </c>
    </row>
    <row r="32" spans="1:33" x14ac:dyDescent="0.3">
      <c r="A32" t="s">
        <v>85</v>
      </c>
      <c r="B32">
        <v>1985</v>
      </c>
      <c r="C32" s="2">
        <v>0.91683388290840029</v>
      </c>
      <c r="D32" s="2">
        <v>1.2945500000002141</v>
      </c>
      <c r="E32" s="2">
        <v>1.1868873031192659</v>
      </c>
      <c r="G32" t="s">
        <v>99</v>
      </c>
      <c r="H32">
        <v>1985</v>
      </c>
      <c r="I32" s="2">
        <v>0.79392222727547201</v>
      </c>
      <c r="J32" s="2">
        <v>0.83050000000000779</v>
      </c>
      <c r="K32" s="2">
        <v>0.77540454762132394</v>
      </c>
      <c r="M32" t="s">
        <v>100</v>
      </c>
      <c r="N32">
        <v>1985</v>
      </c>
      <c r="O32" s="2">
        <v>0.80393918859991575</v>
      </c>
      <c r="P32" s="2">
        <v>0.79991499999999505</v>
      </c>
      <c r="Q32" s="2">
        <v>0.65445316097142492</v>
      </c>
      <c r="S32" t="s">
        <v>101</v>
      </c>
      <c r="T32">
        <v>1985</v>
      </c>
      <c r="U32" s="2">
        <v>0.73157209507536214</v>
      </c>
      <c r="V32" s="2">
        <v>0.97800000000000864</v>
      </c>
      <c r="W32" s="2">
        <v>0.71287772200133492</v>
      </c>
      <c r="Y32">
        <v>1985</v>
      </c>
      <c r="Z32" s="2">
        <f t="shared" si="2"/>
        <v>0.81156684846478755</v>
      </c>
      <c r="AA32" s="2">
        <f t="shared" si="3"/>
        <v>0.9757412500000564</v>
      </c>
      <c r="AB32" s="2">
        <f t="shared" si="4"/>
        <v>0.83240568342833732</v>
      </c>
      <c r="AD32">
        <v>1985</v>
      </c>
      <c r="AE32" s="2">
        <f t="shared" si="5"/>
        <v>1.1641820724534875</v>
      </c>
      <c r="AF32" s="2">
        <f t="shared" si="6"/>
        <v>-0.39286245345781889</v>
      </c>
      <c r="AG32" s="2">
        <f t="shared" si="6"/>
        <v>0.86113347396215423</v>
      </c>
    </row>
    <row r="33" spans="1:33" x14ac:dyDescent="0.3">
      <c r="A33" t="s">
        <v>85</v>
      </c>
      <c r="B33">
        <v>1984</v>
      </c>
      <c r="C33" s="2">
        <v>0.80486669348556328</v>
      </c>
      <c r="D33" s="2">
        <v>1.0965600000001814</v>
      </c>
      <c r="E33" s="2">
        <v>0.88258462140867522</v>
      </c>
      <c r="G33" t="s">
        <v>99</v>
      </c>
      <c r="H33">
        <v>1984</v>
      </c>
      <c r="I33" s="2">
        <v>0.6654122051999436</v>
      </c>
      <c r="J33" s="2">
        <v>0.79970000000000496</v>
      </c>
      <c r="K33" s="2">
        <v>0.55387888685753328</v>
      </c>
      <c r="M33" t="s">
        <v>100</v>
      </c>
      <c r="N33">
        <v>1984</v>
      </c>
      <c r="O33" s="2">
        <v>0.7949313838316765</v>
      </c>
      <c r="P33" s="2">
        <v>0.92295499999998931</v>
      </c>
      <c r="Q33" s="2">
        <v>0.73689512794068857</v>
      </c>
      <c r="S33" t="s">
        <v>101</v>
      </c>
      <c r="T33">
        <v>1984</v>
      </c>
      <c r="U33" s="2">
        <v>0.58664555348139491</v>
      </c>
      <c r="V33" s="2">
        <v>0.81000000000000227</v>
      </c>
      <c r="W33" s="2">
        <v>0.47252452577739829</v>
      </c>
      <c r="Y33">
        <v>1984</v>
      </c>
      <c r="Z33" s="2">
        <f t="shared" si="2"/>
        <v>0.7129639589996446</v>
      </c>
      <c r="AA33" s="2">
        <f t="shared" si="3"/>
        <v>0.90730375000004448</v>
      </c>
      <c r="AB33" s="2">
        <f t="shared" si="4"/>
        <v>0.66147079049607382</v>
      </c>
      <c r="AD33">
        <v>1984</v>
      </c>
      <c r="AE33" s="2">
        <f t="shared" si="5"/>
        <v>-0.23396675134970957</v>
      </c>
      <c r="AF33" s="2">
        <f t="shared" si="6"/>
        <v>-0.90605148547709313</v>
      </c>
      <c r="AG33" s="2">
        <f t="shared" si="6"/>
        <v>-0.81364716027816109</v>
      </c>
    </row>
    <row r="34" spans="1:33" x14ac:dyDescent="0.3">
      <c r="A34" t="s">
        <v>85</v>
      </c>
      <c r="B34">
        <v>1983</v>
      </c>
      <c r="C34" s="2">
        <v>0.80811610157442026</v>
      </c>
      <c r="D34" s="2">
        <v>0.8681100000001436</v>
      </c>
      <c r="E34" s="2">
        <v>0.70153366893788605</v>
      </c>
      <c r="G34" t="s">
        <v>99</v>
      </c>
      <c r="H34">
        <v>1983</v>
      </c>
      <c r="I34" s="2">
        <v>0.76866075058219063</v>
      </c>
      <c r="J34" s="2">
        <v>0.8612500000000054</v>
      </c>
      <c r="K34" s="2">
        <v>0.71133204241418713</v>
      </c>
      <c r="M34" t="s">
        <v>100</v>
      </c>
      <c r="N34">
        <v>1983</v>
      </c>
      <c r="O34" s="2">
        <v>0.67211766622200797</v>
      </c>
      <c r="P34" s="2">
        <v>1.3844099999999884</v>
      </c>
      <c r="Q34" s="2">
        <v>0.93305099141129466</v>
      </c>
      <c r="S34" t="s">
        <v>101</v>
      </c>
      <c r="T34">
        <v>1983</v>
      </c>
      <c r="U34" s="2">
        <v>0.53867836047303785</v>
      </c>
      <c r="V34" s="2">
        <v>0.90300000000000225</v>
      </c>
      <c r="W34" s="2">
        <v>0.4805649378875454</v>
      </c>
      <c r="Y34">
        <v>1983</v>
      </c>
      <c r="Z34" s="2">
        <f t="shared" si="2"/>
        <v>0.69689321971291429</v>
      </c>
      <c r="AA34" s="2">
        <f t="shared" si="3"/>
        <v>1.0041925000000349</v>
      </c>
      <c r="AB34" s="2">
        <f t="shared" si="4"/>
        <v>0.70662041016272825</v>
      </c>
      <c r="AD34">
        <v>1983</v>
      </c>
      <c r="AE34" s="2">
        <f t="shared" si="5"/>
        <v>-0.46184329080277409</v>
      </c>
      <c r="AF34" s="2">
        <f t="shared" si="6"/>
        <v>-0.17951641587279896</v>
      </c>
      <c r="AG34" s="2">
        <f t="shared" si="6"/>
        <v>-0.37128160597911686</v>
      </c>
    </row>
    <row r="35" spans="1:33" x14ac:dyDescent="0.3">
      <c r="A35" t="s">
        <v>85</v>
      </c>
      <c r="B35">
        <v>1982</v>
      </c>
      <c r="C35" s="2">
        <v>0.80287254435759992</v>
      </c>
      <c r="D35" s="2">
        <v>0.83765000000013856</v>
      </c>
      <c r="E35" s="2">
        <v>0.67252618678125486</v>
      </c>
      <c r="G35" t="s">
        <v>99</v>
      </c>
      <c r="H35">
        <v>1982</v>
      </c>
      <c r="I35" s="2">
        <v>0.76802462183885967</v>
      </c>
      <c r="J35" s="2">
        <v>0.83050000000000423</v>
      </c>
      <c r="K35" s="2">
        <v>0.65622899000483037</v>
      </c>
      <c r="M35" t="s">
        <v>100</v>
      </c>
      <c r="N35">
        <v>1982</v>
      </c>
      <c r="O35" s="2">
        <v>0.65438801788124312</v>
      </c>
      <c r="P35" s="2">
        <v>0.83062999999999398</v>
      </c>
      <c r="Q35" s="2">
        <v>0.54349438390657245</v>
      </c>
      <c r="S35" t="s">
        <v>101</v>
      </c>
      <c r="T35">
        <v>1982</v>
      </c>
      <c r="U35" s="2">
        <v>0.60253899400198085</v>
      </c>
      <c r="V35" s="2">
        <v>0.81300000000000594</v>
      </c>
      <c r="W35" s="2">
        <v>0.49007968469289165</v>
      </c>
      <c r="Y35">
        <v>1982</v>
      </c>
      <c r="Z35" s="2">
        <f t="shared" si="2"/>
        <v>0.70695604451992078</v>
      </c>
      <c r="AA35" s="2">
        <f t="shared" si="3"/>
        <v>0.82794500000003568</v>
      </c>
      <c r="AB35" s="2">
        <f t="shared" si="4"/>
        <v>0.59058231134638728</v>
      </c>
      <c r="AD35">
        <v>1982</v>
      </c>
      <c r="AE35" s="2">
        <f t="shared" si="5"/>
        <v>-0.31915653238858588</v>
      </c>
      <c r="AF35" s="2">
        <f t="shared" si="6"/>
        <v>-1.5011351763593872</v>
      </c>
      <c r="AG35" s="2">
        <f t="shared" si="6"/>
        <v>-1.5081961200255998</v>
      </c>
    </row>
    <row r="36" spans="1:33" x14ac:dyDescent="0.3">
      <c r="G36" t="s">
        <v>99</v>
      </c>
      <c r="H36">
        <v>1981</v>
      </c>
      <c r="I36" s="2">
        <v>0.88238869918918783</v>
      </c>
      <c r="J36" s="2">
        <v>1.4764500000000069</v>
      </c>
      <c r="K36" s="2">
        <v>1.4046179247433019</v>
      </c>
      <c r="M36" t="s">
        <v>100</v>
      </c>
      <c r="N36">
        <v>1981</v>
      </c>
      <c r="O36" s="2">
        <v>0.6847385738730456</v>
      </c>
      <c r="P36" s="2">
        <v>1.1382799999999893</v>
      </c>
      <c r="Q36" s="2">
        <v>0.7516982528092635</v>
      </c>
      <c r="S36" t="s">
        <v>101</v>
      </c>
      <c r="T36">
        <v>1981</v>
      </c>
      <c r="U36" s="2">
        <v>0.69661565492151656</v>
      </c>
      <c r="V36" s="2">
        <v>0.92400000000000304</v>
      </c>
      <c r="W36" s="2">
        <v>0.64297162754635051</v>
      </c>
      <c r="Y36">
        <v>1981</v>
      </c>
      <c r="Z36" s="2">
        <f t="shared" si="2"/>
        <v>0.75458097599458329</v>
      </c>
      <c r="AA36" s="2">
        <f t="shared" si="3"/>
        <v>1.1795766666666665</v>
      </c>
      <c r="AB36" s="2">
        <f t="shared" si="4"/>
        <v>0.93309593503297206</v>
      </c>
      <c r="AD36">
        <v>1981</v>
      </c>
      <c r="AE36" s="2">
        <f t="shared" si="5"/>
        <v>0.35614560415322705</v>
      </c>
      <c r="AF36" s="2">
        <f t="shared" si="6"/>
        <v>1.1356285079356403</v>
      </c>
      <c r="AG36" s="2">
        <f t="shared" si="6"/>
        <v>1.8476733228568551</v>
      </c>
    </row>
    <row r="37" spans="1:33" x14ac:dyDescent="0.3">
      <c r="G37" t="s">
        <v>99</v>
      </c>
      <c r="H37">
        <v>1980</v>
      </c>
      <c r="I37" s="2">
        <v>0.86423416700091316</v>
      </c>
      <c r="J37" s="2">
        <v>1.0457000000000072</v>
      </c>
      <c r="K37" s="2">
        <v>0.87109419079340533</v>
      </c>
      <c r="M37" t="s">
        <v>100</v>
      </c>
      <c r="N37">
        <v>1980</v>
      </c>
      <c r="O37" s="2">
        <v>0.56449663890079316</v>
      </c>
      <c r="P37" s="2">
        <v>0.79986499999999339</v>
      </c>
      <c r="Q37" s="2">
        <v>0.45787698340543753</v>
      </c>
      <c r="S37" t="s">
        <v>101</v>
      </c>
      <c r="T37">
        <v>1980</v>
      </c>
      <c r="U37" s="2">
        <v>0.87436333332389715</v>
      </c>
      <c r="V37" s="2">
        <v>0.81600000000000605</v>
      </c>
      <c r="W37" s="2">
        <v>0.71711933046518106</v>
      </c>
      <c r="Y37">
        <v>1980</v>
      </c>
      <c r="Z37" s="2">
        <f t="shared" si="2"/>
        <v>0.76769804640853456</v>
      </c>
      <c r="AA37" s="2">
        <f t="shared" si="3"/>
        <v>0.88718833333333558</v>
      </c>
      <c r="AB37" s="2">
        <f t="shared" si="4"/>
        <v>0.68203016822134133</v>
      </c>
      <c r="AD37">
        <v>1980</v>
      </c>
      <c r="AE37" s="2">
        <f t="shared" si="5"/>
        <v>0.54214032165583037</v>
      </c>
      <c r="AF37" s="2">
        <f t="shared" si="6"/>
        <v>-1.0568900054091614</v>
      </c>
      <c r="AG37" s="2">
        <f t="shared" si="6"/>
        <v>-0.61221112182137694</v>
      </c>
    </row>
    <row r="38" spans="1:33" x14ac:dyDescent="0.3">
      <c r="G38" t="s">
        <v>99</v>
      </c>
      <c r="H38">
        <v>1979</v>
      </c>
      <c r="I38" s="2">
        <v>0.81659445928667063</v>
      </c>
      <c r="J38" s="2">
        <v>1.0457000000000107</v>
      </c>
      <c r="K38" s="2">
        <v>0.82147586323326416</v>
      </c>
      <c r="M38" t="s">
        <v>100</v>
      </c>
      <c r="N38">
        <v>1979</v>
      </c>
      <c r="O38" s="2">
        <v>0.92992168505407169</v>
      </c>
      <c r="P38" s="2">
        <v>0.79987999999999104</v>
      </c>
      <c r="Q38" s="2">
        <v>0.73492364598253013</v>
      </c>
      <c r="S38" t="s">
        <v>101</v>
      </c>
      <c r="T38">
        <v>1979</v>
      </c>
      <c r="U38" s="2">
        <v>0.93513870643507579</v>
      </c>
      <c r="V38" s="2">
        <v>0.66900000000000048</v>
      </c>
      <c r="W38" s="2">
        <v>0.61682615565643784</v>
      </c>
      <c r="Y38">
        <v>1979</v>
      </c>
      <c r="Z38" s="2">
        <f t="shared" si="2"/>
        <v>0.89388495025860604</v>
      </c>
      <c r="AA38" s="2">
        <f t="shared" si="3"/>
        <v>0.83819333333333412</v>
      </c>
      <c r="AB38" s="2">
        <f t="shared" si="4"/>
        <v>0.72440855495741074</v>
      </c>
      <c r="AD38">
        <v>1979</v>
      </c>
      <c r="AE38" s="2">
        <f t="shared" si="5"/>
        <v>2.3314192378656191</v>
      </c>
      <c r="AF38" s="2">
        <f t="shared" si="6"/>
        <v>-1.4242864857566422</v>
      </c>
      <c r="AG38" s="2">
        <f t="shared" si="6"/>
        <v>-0.19699746825773129</v>
      </c>
    </row>
    <row r="39" spans="1:33" x14ac:dyDescent="0.3">
      <c r="G39" t="s">
        <v>99</v>
      </c>
      <c r="H39">
        <v>1978</v>
      </c>
      <c r="I39" s="2">
        <v>0.96573299560200943</v>
      </c>
      <c r="J39" s="2">
        <v>1.1996000000000038</v>
      </c>
      <c r="K39" s="2">
        <v>1.1607863406363363</v>
      </c>
      <c r="M39" t="s">
        <v>100</v>
      </c>
      <c r="N39">
        <v>1978</v>
      </c>
      <c r="O39" s="2">
        <v>0.63486834357831101</v>
      </c>
      <c r="P39" s="2">
        <v>0.79978999999999445</v>
      </c>
      <c r="Q39" s="2">
        <v>0.50104432127205834</v>
      </c>
      <c r="S39" t="s">
        <v>101</v>
      </c>
      <c r="T39">
        <v>1978</v>
      </c>
      <c r="U39" s="2">
        <v>0.81085027897922046</v>
      </c>
      <c r="V39" s="2">
        <v>0.882000000000005</v>
      </c>
      <c r="W39" s="2">
        <v>0.71539332769310904</v>
      </c>
      <c r="Y39">
        <v>1978</v>
      </c>
      <c r="Z39" s="2">
        <f t="shared" si="2"/>
        <v>0.8038172060531803</v>
      </c>
      <c r="AA39" s="2">
        <f t="shared" si="3"/>
        <v>0.96046333333333445</v>
      </c>
      <c r="AB39" s="2">
        <f t="shared" si="4"/>
        <v>0.79240799653383454</v>
      </c>
      <c r="AD39">
        <v>1978</v>
      </c>
      <c r="AE39" s="2">
        <f t="shared" si="5"/>
        <v>1.0542952985317722</v>
      </c>
      <c r="AF39" s="2">
        <f t="shared" si="6"/>
        <v>-0.50742624181164264</v>
      </c>
      <c r="AG39" s="2">
        <f t="shared" si="6"/>
        <v>0.46924536805117417</v>
      </c>
    </row>
    <row r="40" spans="1:33" x14ac:dyDescent="0.3">
      <c r="G40" t="s">
        <v>99</v>
      </c>
      <c r="H40">
        <v>1977</v>
      </c>
      <c r="I40" s="2">
        <v>0.91029411115037995</v>
      </c>
      <c r="J40" s="2">
        <v>0.83030000000001181</v>
      </c>
      <c r="K40" s="2">
        <v>0.74969729524898088</v>
      </c>
      <c r="M40" t="s">
        <v>100</v>
      </c>
      <c r="N40">
        <v>1977</v>
      </c>
      <c r="O40" s="2">
        <v>0.68270065846960881</v>
      </c>
      <c r="P40" s="2">
        <v>0.9534599999999962</v>
      </c>
      <c r="Q40" s="2">
        <v>0.64565079040701323</v>
      </c>
      <c r="S40" t="s">
        <v>101</v>
      </c>
      <c r="T40">
        <v>1977</v>
      </c>
      <c r="U40" s="2">
        <v>0.88955839152745009</v>
      </c>
      <c r="V40" s="2">
        <v>0.92700000000000315</v>
      </c>
      <c r="W40" s="2">
        <v>0.82429500887704732</v>
      </c>
      <c r="Y40">
        <v>1977</v>
      </c>
      <c r="Z40" s="2">
        <f t="shared" si="2"/>
        <v>0.82751772038247962</v>
      </c>
      <c r="AA40" s="2">
        <f t="shared" si="3"/>
        <v>0.90358666666667042</v>
      </c>
      <c r="AB40" s="2">
        <f t="shared" si="4"/>
        <v>0.73988103151101381</v>
      </c>
      <c r="AD40">
        <v>1977</v>
      </c>
      <c r="AE40" s="2">
        <f t="shared" si="5"/>
        <v>1.390358941420806</v>
      </c>
      <c r="AF40" s="2">
        <f t="shared" si="6"/>
        <v>-0.93392460179181647</v>
      </c>
      <c r="AG40" s="2">
        <f t="shared" si="6"/>
        <v>-4.5401713574804645E-2</v>
      </c>
    </row>
    <row r="41" spans="1:33" x14ac:dyDescent="0.3">
      <c r="G41" t="s">
        <v>99</v>
      </c>
      <c r="H41">
        <v>1976</v>
      </c>
      <c r="I41" s="2">
        <v>0.88349843161035846</v>
      </c>
      <c r="J41" s="2">
        <v>1.0762500000000159</v>
      </c>
      <c r="K41" s="2">
        <v>0.94675935240949616</v>
      </c>
      <c r="M41" t="s">
        <v>100</v>
      </c>
      <c r="N41">
        <v>1976</v>
      </c>
      <c r="O41" s="2">
        <v>0.58831317527807658</v>
      </c>
      <c r="P41" s="2">
        <v>0.67670999999999637</v>
      </c>
      <c r="Q41" s="2">
        <v>0.3976662866611963</v>
      </c>
      <c r="S41" t="s">
        <v>101</v>
      </c>
      <c r="T41">
        <v>1976</v>
      </c>
      <c r="U41" s="2">
        <v>0.86043838413177187</v>
      </c>
      <c r="V41" s="2">
        <v>0.74400000000000688</v>
      </c>
      <c r="W41" s="2">
        <v>0.64084515941028364</v>
      </c>
      <c r="Y41">
        <v>1976</v>
      </c>
      <c r="Z41" s="2">
        <f t="shared" si="2"/>
        <v>0.77741666367340223</v>
      </c>
      <c r="AA41" s="2">
        <f t="shared" si="3"/>
        <v>0.83232000000000639</v>
      </c>
      <c r="AB41" s="2">
        <f t="shared" si="4"/>
        <v>0.66175693282699199</v>
      </c>
      <c r="AD41">
        <v>1976</v>
      </c>
      <c r="AE41" s="2">
        <f t="shared" si="5"/>
        <v>0.67994635727582797</v>
      </c>
      <c r="AF41" s="2">
        <f t="shared" si="6"/>
        <v>-1.4683285715729923</v>
      </c>
      <c r="AG41" s="2">
        <f t="shared" si="6"/>
        <v>-0.81084360375299902</v>
      </c>
    </row>
    <row r="42" spans="1:33" x14ac:dyDescent="0.3">
      <c r="G42" t="s">
        <v>99</v>
      </c>
      <c r="H42">
        <v>1975</v>
      </c>
      <c r="I42" s="2">
        <v>0.86893447809268709</v>
      </c>
      <c r="J42" s="2">
        <v>1.0455000000000148</v>
      </c>
      <c r="K42" s="2">
        <v>0.90847099684591759</v>
      </c>
      <c r="M42" t="s">
        <v>100</v>
      </c>
      <c r="N42">
        <v>1975</v>
      </c>
      <c r="O42" s="2">
        <v>0.66679296929709775</v>
      </c>
      <c r="P42" s="2">
        <v>0.9534450000000021</v>
      </c>
      <c r="Q42" s="2">
        <v>0.64363840931412941</v>
      </c>
      <c r="S42" t="s">
        <v>101</v>
      </c>
      <c r="T42">
        <v>1975</v>
      </c>
      <c r="U42" s="2">
        <v>0.78331551987894321</v>
      </c>
      <c r="V42" s="2">
        <v>0.83400000000000318</v>
      </c>
      <c r="W42" s="2">
        <v>0.65386051088814034</v>
      </c>
      <c r="Y42">
        <v>1975</v>
      </c>
      <c r="Z42" s="2">
        <f t="shared" si="2"/>
        <v>0.77301432242290924</v>
      </c>
      <c r="AA42" s="2">
        <f t="shared" si="3"/>
        <v>0.94431500000000668</v>
      </c>
      <c r="AB42" s="2">
        <f t="shared" si="4"/>
        <v>0.73532330568272908</v>
      </c>
      <c r="AD42">
        <v>1975</v>
      </c>
      <c r="AE42" s="2">
        <f t="shared" si="5"/>
        <v>0.61752295087521769</v>
      </c>
      <c r="AF42" s="2">
        <f t="shared" si="6"/>
        <v>-0.6285169822982708</v>
      </c>
      <c r="AG42" s="2">
        <f t="shared" si="6"/>
        <v>-9.0057259452222316E-2</v>
      </c>
    </row>
    <row r="43" spans="1:33" x14ac:dyDescent="0.3">
      <c r="G43" t="s">
        <v>99</v>
      </c>
      <c r="H43">
        <v>1974</v>
      </c>
      <c r="I43" s="2">
        <v>1.0419176981666902</v>
      </c>
      <c r="J43" s="2">
        <v>1.0455000000000148</v>
      </c>
      <c r="K43" s="2">
        <v>1.192919919935111</v>
      </c>
      <c r="M43" t="s">
        <v>100</v>
      </c>
      <c r="N43">
        <v>1974</v>
      </c>
      <c r="O43" s="2">
        <v>0.61905547409085315</v>
      </c>
      <c r="P43" s="2">
        <v>0.70741500000000102</v>
      </c>
      <c r="Q43" s="2">
        <v>0.438082736609826</v>
      </c>
      <c r="S43" t="s">
        <v>101</v>
      </c>
      <c r="T43">
        <v>1974</v>
      </c>
      <c r="U43" s="2">
        <v>0.79851921298945161</v>
      </c>
      <c r="V43" s="2">
        <v>0.74400000000000333</v>
      </c>
      <c r="W43" s="2">
        <v>0.59392322017999333</v>
      </c>
      <c r="Y43">
        <v>1974</v>
      </c>
      <c r="Z43" s="2">
        <f t="shared" si="2"/>
        <v>0.8198307950823317</v>
      </c>
      <c r="AA43" s="2">
        <f t="shared" si="3"/>
        <v>0.8323050000000064</v>
      </c>
      <c r="AB43" s="2">
        <f t="shared" si="4"/>
        <v>0.74164195890831008</v>
      </c>
      <c r="AD43">
        <v>1974</v>
      </c>
      <c r="AE43" s="2">
        <f t="shared" si="5"/>
        <v>1.2813614706026288</v>
      </c>
      <c r="AF43" s="2">
        <f t="shared" si="6"/>
        <v>-1.4684410513608321</v>
      </c>
      <c r="AG43" s="2">
        <f t="shared" si="6"/>
        <v>-2.8148553305978367E-2</v>
      </c>
    </row>
    <row r="44" spans="1:33" x14ac:dyDescent="0.3">
      <c r="G44" t="s">
        <v>99</v>
      </c>
      <c r="H44">
        <v>1973</v>
      </c>
      <c r="I44" s="2">
        <v>1.1644081362741523</v>
      </c>
      <c r="J44" s="2">
        <v>0.98400000000001242</v>
      </c>
      <c r="K44" s="2">
        <v>1.1457776060937812</v>
      </c>
      <c r="M44" t="s">
        <v>100</v>
      </c>
      <c r="N44">
        <v>1973</v>
      </c>
      <c r="O44" s="2">
        <v>0.71876760429952524</v>
      </c>
      <c r="P44" s="2">
        <v>0.92271000000000214</v>
      </c>
      <c r="Q44" s="2">
        <v>0.65955143692389551</v>
      </c>
      <c r="S44" t="s">
        <v>101</v>
      </c>
      <c r="T44">
        <v>1973</v>
      </c>
      <c r="U44" s="2">
        <v>0.83935429425653374</v>
      </c>
      <c r="V44" s="2">
        <v>0.78600000000000136</v>
      </c>
      <c r="W44" s="2">
        <v>0.66900874605575567</v>
      </c>
      <c r="Y44">
        <v>1973</v>
      </c>
      <c r="Z44" s="2">
        <f t="shared" si="2"/>
        <v>0.9075100116100705</v>
      </c>
      <c r="AA44" s="2">
        <f t="shared" si="3"/>
        <v>0.89757000000000531</v>
      </c>
      <c r="AB44" s="2">
        <f t="shared" si="4"/>
        <v>0.82477926302447757</v>
      </c>
      <c r="AD44">
        <v>1973</v>
      </c>
      <c r="AE44" s="2">
        <f t="shared" si="5"/>
        <v>2.5246170600200166</v>
      </c>
      <c r="AF44" s="2">
        <f t="shared" si="6"/>
        <v>-0.97904149446977762</v>
      </c>
      <c r="AG44" s="2">
        <f t="shared" si="6"/>
        <v>0.78641156679706237</v>
      </c>
    </row>
    <row r="45" spans="1:33" x14ac:dyDescent="0.3">
      <c r="G45" t="s">
        <v>99</v>
      </c>
      <c r="H45">
        <v>1972</v>
      </c>
      <c r="I45" s="2">
        <v>0.90072847875662587</v>
      </c>
      <c r="J45" s="2">
        <v>0.8302500000000137</v>
      </c>
      <c r="K45" s="2">
        <v>0.75003110122727135</v>
      </c>
      <c r="M45" t="s">
        <v>100</v>
      </c>
      <c r="N45">
        <v>1972</v>
      </c>
      <c r="O45" s="2">
        <v>0.73801605942126369</v>
      </c>
      <c r="P45" s="2">
        <v>0.83044499999999744</v>
      </c>
      <c r="Q45" s="2">
        <v>0.61218207386467816</v>
      </c>
      <c r="S45" t="s">
        <v>101</v>
      </c>
      <c r="T45">
        <v>1972</v>
      </c>
      <c r="U45" s="2">
        <v>0.54809607973734431</v>
      </c>
      <c r="V45" s="2">
        <v>0.9030000000000058</v>
      </c>
      <c r="W45" s="2">
        <v>0.50076820221187712</v>
      </c>
      <c r="Y45">
        <v>1972</v>
      </c>
      <c r="Z45" s="2">
        <f t="shared" si="2"/>
        <v>0.72894687263841129</v>
      </c>
      <c r="AA45" s="2">
        <f t="shared" si="3"/>
        <v>0.85456500000000568</v>
      </c>
      <c r="AB45" s="2">
        <f t="shared" si="4"/>
        <v>0.62099379243460884</v>
      </c>
      <c r="AD45">
        <v>1972</v>
      </c>
      <c r="AE45" s="2">
        <f t="shared" si="5"/>
        <v>-7.3355438241996165E-3</v>
      </c>
      <c r="AF45" s="2">
        <f t="shared" si="6"/>
        <v>-1.3015210462065425</v>
      </c>
      <c r="AG45" s="2">
        <f t="shared" si="6"/>
        <v>-1.2102314463922172</v>
      </c>
    </row>
    <row r="46" spans="1:33" x14ac:dyDescent="0.3">
      <c r="G46" t="s">
        <v>99</v>
      </c>
      <c r="H46">
        <v>1971</v>
      </c>
      <c r="I46" s="2">
        <v>0.85406953566278654</v>
      </c>
      <c r="J46" s="2">
        <v>1.0455000000000148</v>
      </c>
      <c r="K46" s="2">
        <v>0.90411069035289593</v>
      </c>
      <c r="M46" t="s">
        <v>100</v>
      </c>
      <c r="N46">
        <v>1971</v>
      </c>
      <c r="O46" s="2">
        <v>0.73971504261531584</v>
      </c>
      <c r="P46" s="2">
        <v>0.76890000000000214</v>
      </c>
      <c r="Q46" s="2">
        <v>0.59089972439817984</v>
      </c>
      <c r="S46" t="s">
        <v>101</v>
      </c>
      <c r="T46">
        <v>1971</v>
      </c>
      <c r="U46" s="2">
        <v>0.55860915785508714</v>
      </c>
      <c r="V46" s="2">
        <v>0.99600000000000222</v>
      </c>
      <c r="W46" s="2">
        <v>0.54834573192326141</v>
      </c>
      <c r="Y46">
        <v>1971</v>
      </c>
      <c r="Z46" s="2">
        <f t="shared" si="2"/>
        <v>0.71746457871106317</v>
      </c>
      <c r="AA46" s="2">
        <f t="shared" si="3"/>
        <v>0.93680000000000641</v>
      </c>
      <c r="AB46" s="2">
        <f t="shared" si="4"/>
        <v>0.68111871555811243</v>
      </c>
      <c r="AD46">
        <v>1971</v>
      </c>
      <c r="AE46" s="2">
        <f t="shared" si="5"/>
        <v>-0.17014979638988725</v>
      </c>
      <c r="AF46" s="2">
        <f t="shared" si="6"/>
        <v>-0.68486935600602328</v>
      </c>
      <c r="AG46" s="2">
        <f t="shared" si="6"/>
        <v>-0.62114132467941718</v>
      </c>
    </row>
    <row r="47" spans="1:33" x14ac:dyDescent="0.3">
      <c r="G47" t="s">
        <v>99</v>
      </c>
      <c r="H47">
        <v>1970</v>
      </c>
      <c r="I47" s="2">
        <v>0.86759741578529048</v>
      </c>
      <c r="J47" s="2">
        <v>1.2300000000000182</v>
      </c>
      <c r="K47" s="2">
        <v>1.037037551615986</v>
      </c>
      <c r="M47" t="s">
        <v>100</v>
      </c>
      <c r="N47">
        <v>1970</v>
      </c>
      <c r="O47" s="2">
        <v>0.96548514009767428</v>
      </c>
      <c r="P47" s="2">
        <v>0.98419500000000326</v>
      </c>
      <c r="Q47" s="2">
        <v>0.96287366209233327</v>
      </c>
      <c r="S47" t="s">
        <v>101</v>
      </c>
      <c r="T47">
        <v>1970</v>
      </c>
      <c r="U47" s="2">
        <v>0.63934340549484836</v>
      </c>
      <c r="V47" s="2">
        <v>0.81300000000000594</v>
      </c>
      <c r="W47" s="2">
        <v>0.52013220011643191</v>
      </c>
      <c r="Y47">
        <v>1970</v>
      </c>
      <c r="Z47" s="2">
        <f t="shared" si="2"/>
        <v>0.82414198712593778</v>
      </c>
      <c r="AA47" s="2">
        <f t="shared" si="3"/>
        <v>1.0090650000000092</v>
      </c>
      <c r="AB47" s="2">
        <f t="shared" si="4"/>
        <v>0.84001447127491702</v>
      </c>
      <c r="AD47">
        <v>1970</v>
      </c>
      <c r="AE47" s="2">
        <f t="shared" si="5"/>
        <v>1.3424924183634284</v>
      </c>
      <c r="AF47" s="2">
        <f t="shared" si="6"/>
        <v>-0.14297923145635638</v>
      </c>
      <c r="AG47" s="2">
        <f t="shared" si="6"/>
        <v>0.93568262140008818</v>
      </c>
    </row>
    <row r="48" spans="1:33" x14ac:dyDescent="0.3">
      <c r="G48" t="s">
        <v>99</v>
      </c>
      <c r="H48">
        <v>1969</v>
      </c>
      <c r="I48" s="2">
        <v>0.78282949437071014</v>
      </c>
      <c r="J48" s="2">
        <v>0.92250000000001364</v>
      </c>
      <c r="K48" s="2">
        <v>0.74573948547449986</v>
      </c>
      <c r="M48" t="s">
        <v>100</v>
      </c>
      <c r="N48">
        <v>1969</v>
      </c>
      <c r="O48" s="2">
        <v>0.93063242310900285</v>
      </c>
      <c r="P48" s="2">
        <v>0.70737000000000094</v>
      </c>
      <c r="Q48" s="2">
        <v>0.6460444809696152</v>
      </c>
      <c r="S48" t="s">
        <v>101</v>
      </c>
      <c r="T48">
        <v>1969</v>
      </c>
      <c r="U48" s="2">
        <v>0.59192658669474341</v>
      </c>
      <c r="V48" s="2">
        <v>0.81900000000000972</v>
      </c>
      <c r="W48" s="2">
        <v>0.50256831132925828</v>
      </c>
      <c r="Y48">
        <v>1969</v>
      </c>
      <c r="Z48" s="2">
        <f t="shared" si="2"/>
        <v>0.76846283472481891</v>
      </c>
      <c r="AA48" s="2">
        <f t="shared" si="3"/>
        <v>0.81629000000000806</v>
      </c>
      <c r="AB48" s="2">
        <f t="shared" si="4"/>
        <v>0.63145075925779115</v>
      </c>
      <c r="AD48">
        <v>1969</v>
      </c>
      <c r="AE48" s="2">
        <f t="shared" si="5"/>
        <v>0.55298470857665583</v>
      </c>
      <c r="AF48" s="2">
        <f t="shared" si="6"/>
        <v>-1.5885319715111355</v>
      </c>
      <c r="AG48" s="2">
        <f t="shared" si="6"/>
        <v>-1.1077764986168726</v>
      </c>
    </row>
    <row r="49" spans="7:33" x14ac:dyDescent="0.3">
      <c r="G49" t="s">
        <v>99</v>
      </c>
      <c r="H49">
        <v>1968</v>
      </c>
      <c r="I49" s="2">
        <v>0.81240493154126869</v>
      </c>
      <c r="J49" s="2">
        <v>0.92250000000001009</v>
      </c>
      <c r="K49" s="2">
        <v>0.72350098338134983</v>
      </c>
      <c r="M49" t="s">
        <v>100</v>
      </c>
      <c r="N49">
        <v>1968</v>
      </c>
      <c r="O49" s="2">
        <v>0.81718745684031524</v>
      </c>
      <c r="P49" s="2">
        <v>0.98422500000000213</v>
      </c>
      <c r="Q49" s="2">
        <v>0.79595377962792591</v>
      </c>
      <c r="S49" t="s">
        <v>101</v>
      </c>
      <c r="T49">
        <v>1968</v>
      </c>
      <c r="U49" s="2">
        <v>0.58915491439020806</v>
      </c>
      <c r="V49" s="2">
        <v>0.60300000000000509</v>
      </c>
      <c r="W49" s="2">
        <v>0.35235879157460787</v>
      </c>
      <c r="Y49">
        <v>1968</v>
      </c>
      <c r="Z49" s="2">
        <f t="shared" si="2"/>
        <v>0.739582434257264</v>
      </c>
      <c r="AA49" s="2">
        <f t="shared" si="3"/>
        <v>0.83657500000000573</v>
      </c>
      <c r="AB49" s="2">
        <f t="shared" si="4"/>
        <v>0.62393785152796122</v>
      </c>
      <c r="AD49">
        <v>1968</v>
      </c>
      <c r="AE49" s="2">
        <f t="shared" si="5"/>
        <v>0.1434723893768052</v>
      </c>
      <c r="AF49" s="2">
        <f t="shared" si="6"/>
        <v>-1.4364218050891013</v>
      </c>
      <c r="AG49" s="2">
        <f t="shared" si="6"/>
        <v>-1.1813862347971831</v>
      </c>
    </row>
    <row r="50" spans="7:33" x14ac:dyDescent="0.3">
      <c r="G50" t="s">
        <v>99</v>
      </c>
      <c r="H50">
        <v>1967</v>
      </c>
      <c r="I50" s="2">
        <v>0.77752196143556551</v>
      </c>
      <c r="J50" s="2">
        <v>0.95325000000001125</v>
      </c>
      <c r="K50" s="2">
        <v>0.71777299533270855</v>
      </c>
      <c r="M50" t="s">
        <v>100</v>
      </c>
      <c r="N50">
        <v>1967</v>
      </c>
      <c r="O50" s="2">
        <v>0.8115642167424677</v>
      </c>
      <c r="P50" s="2">
        <v>0.92265000000000441</v>
      </c>
      <c r="Q50" s="2">
        <v>0.72599641756665489</v>
      </c>
      <c r="S50" t="s">
        <v>101</v>
      </c>
      <c r="T50">
        <v>1967</v>
      </c>
      <c r="U50" s="2">
        <v>0.47615773436473596</v>
      </c>
      <c r="V50" s="2">
        <v>1.0710000000000086</v>
      </c>
      <c r="W50" s="2">
        <v>0.51685325514213232</v>
      </c>
      <c r="Y50">
        <v>1967</v>
      </c>
      <c r="Z50" s="2">
        <f t="shared" si="2"/>
        <v>0.68841463751425636</v>
      </c>
      <c r="AA50" s="2">
        <f t="shared" si="3"/>
        <v>0.98230000000000806</v>
      </c>
      <c r="AB50" s="2">
        <f t="shared" si="4"/>
        <v>0.65354088934716525</v>
      </c>
      <c r="AD50">
        <v>1967</v>
      </c>
      <c r="AE50" s="2">
        <f t="shared" si="5"/>
        <v>-0.58206613409747221</v>
      </c>
      <c r="AF50" s="2">
        <f t="shared" si="6"/>
        <v>-0.34368066622521953</v>
      </c>
      <c r="AG50" s="2">
        <f t="shared" si="6"/>
        <v>-0.89134250174887486</v>
      </c>
    </row>
    <row r="51" spans="7:33" x14ac:dyDescent="0.3">
      <c r="G51" t="s">
        <v>99</v>
      </c>
      <c r="H51">
        <v>1966</v>
      </c>
      <c r="I51" s="2">
        <v>0.73307292893477238</v>
      </c>
      <c r="J51" s="2">
        <v>1.1377500000000147</v>
      </c>
      <c r="K51" s="2">
        <v>0.8122184116684158</v>
      </c>
      <c r="M51" t="s">
        <v>100</v>
      </c>
      <c r="N51">
        <v>1966</v>
      </c>
      <c r="O51" s="2">
        <v>0.80276375510684062</v>
      </c>
      <c r="P51" s="2">
        <v>0.70744499999999633</v>
      </c>
      <c r="Q51" s="2">
        <v>0.57798759521371823</v>
      </c>
      <c r="S51" t="s">
        <v>101</v>
      </c>
      <c r="T51">
        <v>1966</v>
      </c>
      <c r="U51" s="2">
        <v>0.44380618587520609</v>
      </c>
      <c r="V51" s="2">
        <v>1.4040000000000141</v>
      </c>
      <c r="W51" s="2">
        <v>0.61653250879711241</v>
      </c>
      <c r="Y51">
        <v>1966</v>
      </c>
      <c r="Z51" s="2">
        <f t="shared" si="2"/>
        <v>0.65988095663893975</v>
      </c>
      <c r="AA51" s="2">
        <f t="shared" si="3"/>
        <v>1.0830650000000084</v>
      </c>
      <c r="AB51" s="2">
        <f t="shared" si="4"/>
        <v>0.66891283855974881</v>
      </c>
      <c r="AD51">
        <v>1966</v>
      </c>
      <c r="AE51" s="2">
        <f t="shared" si="5"/>
        <v>-0.98666211065556997</v>
      </c>
      <c r="AF51" s="2">
        <f t="shared" si="6"/>
        <v>0.41192105522008943</v>
      </c>
      <c r="AG51" s="2">
        <f t="shared" si="6"/>
        <v>-0.74073169075452472</v>
      </c>
    </row>
    <row r="52" spans="7:33" x14ac:dyDescent="0.3">
      <c r="G52" t="s">
        <v>99</v>
      </c>
      <c r="H52">
        <v>1965</v>
      </c>
      <c r="I52" s="2">
        <v>0.66013972589681447</v>
      </c>
      <c r="J52" s="2">
        <v>0.92250000000001364</v>
      </c>
      <c r="K52" s="2">
        <v>0.60274765421289689</v>
      </c>
      <c r="M52" t="s">
        <v>100</v>
      </c>
      <c r="N52">
        <v>1965</v>
      </c>
      <c r="O52" s="2">
        <v>0.83098388153580605</v>
      </c>
      <c r="P52" s="2">
        <v>1.3839750000000066</v>
      </c>
      <c r="Q52" s="2">
        <v>1.2128962554912723</v>
      </c>
      <c r="S52" t="s">
        <v>101</v>
      </c>
      <c r="T52">
        <v>1965</v>
      </c>
      <c r="U52" s="2">
        <v>0.28112860320317806</v>
      </c>
      <c r="V52" s="2">
        <v>1.0589999999999975</v>
      </c>
      <c r="W52" s="2">
        <v>0.30825662027811385</v>
      </c>
      <c r="Y52">
        <v>1965</v>
      </c>
      <c r="Z52" s="2">
        <f t="shared" si="2"/>
        <v>0.59075073687859947</v>
      </c>
      <c r="AA52" s="2">
        <f t="shared" si="3"/>
        <v>1.1218250000000058</v>
      </c>
      <c r="AB52" s="2">
        <f t="shared" si="4"/>
        <v>0.70796684332742765</v>
      </c>
      <c r="AD52">
        <v>1965</v>
      </c>
      <c r="AE52" s="2">
        <f t="shared" si="5"/>
        <v>-1.9669004786330573</v>
      </c>
      <c r="AF52" s="2">
        <f t="shared" si="6"/>
        <v>0.70256882699816869</v>
      </c>
      <c r="AG52" s="2">
        <f t="shared" si="6"/>
        <v>-0.35808956454828367</v>
      </c>
    </row>
    <row r="53" spans="7:33" x14ac:dyDescent="0.3">
      <c r="G53" t="s">
        <v>99</v>
      </c>
      <c r="H53">
        <v>1964</v>
      </c>
      <c r="I53" s="2">
        <v>0.65033474771932753</v>
      </c>
      <c r="J53" s="2">
        <v>1.0147500000000136</v>
      </c>
      <c r="K53" s="2">
        <v>0.64401216249822357</v>
      </c>
      <c r="M53" t="s">
        <v>100</v>
      </c>
      <c r="N53">
        <v>1964</v>
      </c>
      <c r="O53" s="2">
        <v>0.76801464378326711</v>
      </c>
      <c r="P53" s="2">
        <v>1.0456650000000032</v>
      </c>
      <c r="Q53" s="2">
        <v>0.83963958282464224</v>
      </c>
      <c r="S53" t="s">
        <v>101</v>
      </c>
      <c r="T53">
        <v>1964</v>
      </c>
      <c r="U53" s="2">
        <v>0.417642721229531</v>
      </c>
      <c r="V53" s="2">
        <v>1.3020000000000103</v>
      </c>
      <c r="W53" s="2">
        <v>0.54409422535000496</v>
      </c>
      <c r="Y53">
        <v>1964</v>
      </c>
      <c r="Z53" s="2">
        <f t="shared" si="2"/>
        <v>0.6119973709107086</v>
      </c>
      <c r="AA53" s="2">
        <f t="shared" si="3"/>
        <v>1.1208050000000089</v>
      </c>
      <c r="AB53" s="2">
        <f t="shared" si="4"/>
        <v>0.67591532355762352</v>
      </c>
      <c r="AD53">
        <v>1964</v>
      </c>
      <c r="AE53" s="2">
        <f t="shared" si="5"/>
        <v>-1.6656318591949657</v>
      </c>
      <c r="AF53" s="2">
        <f t="shared" si="6"/>
        <v>0.69492020142508404</v>
      </c>
      <c r="AG53" s="2">
        <f t="shared" si="6"/>
        <v>-0.67212295871146432</v>
      </c>
    </row>
    <row r="54" spans="7:33" x14ac:dyDescent="0.3">
      <c r="G54" t="s">
        <v>99</v>
      </c>
      <c r="H54">
        <v>1963</v>
      </c>
      <c r="I54" s="2">
        <v>0.81664784671890667</v>
      </c>
      <c r="J54" s="2">
        <v>1.0762500000000159</v>
      </c>
      <c r="K54" s="2">
        <v>0.8660029562787448</v>
      </c>
      <c r="M54" t="s">
        <v>100</v>
      </c>
      <c r="N54">
        <v>1963</v>
      </c>
      <c r="O54" s="2">
        <v>0.78095047549143115</v>
      </c>
      <c r="P54" s="2">
        <v>0.89197499999999863</v>
      </c>
      <c r="Q54" s="2">
        <v>0.69698866273518978</v>
      </c>
      <c r="S54" t="s">
        <v>101</v>
      </c>
      <c r="T54">
        <v>1963</v>
      </c>
      <c r="U54" s="2">
        <v>0.58341846345771198</v>
      </c>
      <c r="V54" s="2">
        <v>0.97500000000000497</v>
      </c>
      <c r="W54" s="2">
        <v>0.56926065346343879</v>
      </c>
      <c r="Y54">
        <v>1963</v>
      </c>
      <c r="Z54" s="2">
        <f t="shared" si="2"/>
        <v>0.72700559522268327</v>
      </c>
      <c r="AA54" s="2">
        <f t="shared" si="3"/>
        <v>0.98107500000000647</v>
      </c>
      <c r="AB54" s="2">
        <f t="shared" si="4"/>
        <v>0.71075075749245775</v>
      </c>
      <c r="AD54">
        <v>1963</v>
      </c>
      <c r="AE54" s="2">
        <f t="shared" si="5"/>
        <v>-3.4862067136027554E-2</v>
      </c>
      <c r="AF54" s="2">
        <f t="shared" si="6"/>
        <v>-0.35286651556548349</v>
      </c>
      <c r="AG54" s="2">
        <f t="shared" si="6"/>
        <v>-0.33081341600424535</v>
      </c>
    </row>
    <row r="55" spans="7:33" x14ac:dyDescent="0.3">
      <c r="G55" t="s">
        <v>99</v>
      </c>
      <c r="H55">
        <v>1962</v>
      </c>
      <c r="I55" s="2">
        <v>0.94816725294691451</v>
      </c>
      <c r="J55" s="2">
        <v>1.1685000000000194</v>
      </c>
      <c r="K55" s="2">
        <v>1.0802203862631958</v>
      </c>
      <c r="M55" t="s">
        <v>100</v>
      </c>
      <c r="N55">
        <v>1962</v>
      </c>
      <c r="O55" s="2">
        <v>0.87719373054173344</v>
      </c>
      <c r="P55" s="2">
        <v>1.2302400000000056</v>
      </c>
      <c r="Q55" s="2">
        <v>1.0599998289656454</v>
      </c>
      <c r="S55" t="s">
        <v>101</v>
      </c>
      <c r="T55">
        <v>1962</v>
      </c>
      <c r="U55" s="2">
        <v>0.57349927481547502</v>
      </c>
      <c r="V55" s="2">
        <v>1.1700000000000159</v>
      </c>
      <c r="W55" s="2">
        <v>0.67471393689268599</v>
      </c>
      <c r="Y55">
        <v>1962</v>
      </c>
      <c r="Z55" s="2">
        <f t="shared" si="2"/>
        <v>0.79962008610137436</v>
      </c>
      <c r="AA55" s="2">
        <f t="shared" si="3"/>
        <v>1.1895800000000136</v>
      </c>
      <c r="AB55" s="2">
        <f t="shared" si="4"/>
        <v>0.93831138404050896</v>
      </c>
      <c r="AD55">
        <v>1962</v>
      </c>
      <c r="AE55" s="2">
        <f t="shared" si="5"/>
        <v>0.99478184658518531</v>
      </c>
      <c r="AF55" s="2">
        <f t="shared" si="6"/>
        <v>1.2106400286707002</v>
      </c>
      <c r="AG55" s="2">
        <f t="shared" si="6"/>
        <v>1.8987730886615584</v>
      </c>
    </row>
    <row r="56" spans="7:33" x14ac:dyDescent="0.3">
      <c r="G56" t="s">
        <v>99</v>
      </c>
      <c r="H56">
        <v>1961</v>
      </c>
      <c r="I56" s="2">
        <v>0.9509120386641845</v>
      </c>
      <c r="J56" s="2">
        <v>1.3530000000000157</v>
      </c>
      <c r="K56" s="2">
        <v>1.2911927538522496</v>
      </c>
      <c r="M56" t="s">
        <v>100</v>
      </c>
      <c r="N56">
        <v>1961</v>
      </c>
      <c r="O56" s="2">
        <v>0.85396015962383931</v>
      </c>
      <c r="P56" s="2">
        <v>0.95337000000000671</v>
      </c>
      <c r="Q56" s="2">
        <v>0.77721212159669184</v>
      </c>
      <c r="S56" t="s">
        <v>101</v>
      </c>
      <c r="T56">
        <v>1961</v>
      </c>
      <c r="U56" s="2">
        <v>0.4898228594031282</v>
      </c>
      <c r="V56" s="2">
        <v>0.67200000000000415</v>
      </c>
      <c r="W56" s="2">
        <v>0.32595007696960615</v>
      </c>
      <c r="Y56">
        <v>1961</v>
      </c>
      <c r="Z56" s="2">
        <f t="shared" si="2"/>
        <v>0.76489835256371741</v>
      </c>
      <c r="AA56" s="2">
        <f t="shared" si="3"/>
        <v>0.99279000000000883</v>
      </c>
      <c r="AB56" s="2">
        <f t="shared" si="4"/>
        <v>0.79811831747284911</v>
      </c>
      <c r="AD56">
        <v>1961</v>
      </c>
      <c r="AE56" s="2">
        <f t="shared" si="5"/>
        <v>0.50244180290680396</v>
      </c>
      <c r="AF56" s="2">
        <f t="shared" si="6"/>
        <v>-0.2650198012625653</v>
      </c>
      <c r="AG56" s="2">
        <f t="shared" si="6"/>
        <v>0.52519377483871255</v>
      </c>
    </row>
    <row r="57" spans="7:33" x14ac:dyDescent="0.3">
      <c r="G57" t="s">
        <v>99</v>
      </c>
      <c r="H57">
        <v>1960</v>
      </c>
      <c r="I57" s="2">
        <v>0.7756487813045071</v>
      </c>
      <c r="J57" s="2">
        <v>1.1685000000000194</v>
      </c>
      <c r="K57" s="2">
        <v>0.88995711927943022</v>
      </c>
      <c r="M57" t="s">
        <v>100</v>
      </c>
      <c r="N57">
        <v>1960</v>
      </c>
      <c r="O57" s="2">
        <v>0.87489686900135655</v>
      </c>
      <c r="P57" s="2">
        <v>0.98425499999999744</v>
      </c>
      <c r="Q57" s="2">
        <v>0.86759416676917733</v>
      </c>
      <c r="S57" t="s">
        <v>101</v>
      </c>
      <c r="T57">
        <v>1960</v>
      </c>
      <c r="U57" s="2">
        <v>0.64848086299801588</v>
      </c>
      <c r="V57" s="2">
        <v>1.0650000000000013</v>
      </c>
      <c r="W57" s="2">
        <v>0.69074407537933336</v>
      </c>
      <c r="Y57">
        <v>1960</v>
      </c>
      <c r="Z57" s="2">
        <f t="shared" si="2"/>
        <v>0.7663421711012931</v>
      </c>
      <c r="AA57" s="2">
        <f t="shared" si="3"/>
        <v>1.0725850000000061</v>
      </c>
      <c r="AB57" s="2">
        <f t="shared" si="4"/>
        <v>0.81609845380931356</v>
      </c>
      <c r="AD57">
        <v>1960</v>
      </c>
      <c r="AE57" s="2">
        <f t="shared" si="5"/>
        <v>0.52291456188016372</v>
      </c>
      <c r="AF57" s="2">
        <f t="shared" si="6"/>
        <v>0.33333517678265057</v>
      </c>
      <c r="AG57" s="2">
        <f t="shared" si="6"/>
        <v>0.70135900138051688</v>
      </c>
    </row>
    <row r="58" spans="7:33" x14ac:dyDescent="0.3">
      <c r="G58" t="s">
        <v>99</v>
      </c>
      <c r="H58">
        <v>1959</v>
      </c>
      <c r="I58" s="2">
        <v>0.85931304920909435</v>
      </c>
      <c r="J58" s="2">
        <v>1.3530000000000157</v>
      </c>
      <c r="K58" s="2">
        <v>1.1685352906170372</v>
      </c>
      <c r="M58" t="s">
        <v>100</v>
      </c>
      <c r="N58">
        <v>1959</v>
      </c>
      <c r="O58" s="2">
        <v>0.83879661924689264</v>
      </c>
      <c r="P58" s="2">
        <v>0.98423999999999978</v>
      </c>
      <c r="Q58" s="2">
        <v>0.8255620122862859</v>
      </c>
      <c r="S58" t="s">
        <v>101</v>
      </c>
      <c r="T58">
        <v>1959</v>
      </c>
      <c r="U58" s="2">
        <v>0.74625623989301526</v>
      </c>
      <c r="V58" s="2">
        <v>1.0200000000000067</v>
      </c>
      <c r="W58" s="2">
        <v>0.7641488106687564</v>
      </c>
      <c r="Y58">
        <v>1959</v>
      </c>
      <c r="Z58" s="2">
        <f t="shared" si="2"/>
        <v>0.81478863611633401</v>
      </c>
      <c r="AA58" s="2">
        <f t="shared" si="3"/>
        <v>1.1190800000000074</v>
      </c>
      <c r="AB58" s="2">
        <f t="shared" si="4"/>
        <v>0.91941537119069316</v>
      </c>
      <c r="AD58">
        <v>1959</v>
      </c>
      <c r="AE58" s="2">
        <f t="shared" si="5"/>
        <v>1.2098657095151149</v>
      </c>
      <c r="AF58" s="2">
        <f t="shared" si="6"/>
        <v>0.68198502582349307</v>
      </c>
      <c r="AG58" s="2">
        <f t="shared" si="6"/>
        <v>1.7136343153991074</v>
      </c>
    </row>
    <row r="59" spans="7:33" x14ac:dyDescent="0.3">
      <c r="G59" t="s">
        <v>99</v>
      </c>
      <c r="H59">
        <v>1958</v>
      </c>
      <c r="I59" s="2">
        <v>0.69495741568664182</v>
      </c>
      <c r="J59" s="2">
        <v>0.98400000000001242</v>
      </c>
      <c r="K59" s="2">
        <v>0.68383809703566412</v>
      </c>
      <c r="M59" t="s">
        <v>100</v>
      </c>
      <c r="N59">
        <v>1958</v>
      </c>
      <c r="O59" s="2">
        <v>0.81823885646940808</v>
      </c>
      <c r="P59" s="2">
        <v>1.1687400000000174</v>
      </c>
      <c r="Q59" s="2">
        <v>0.96819532342135539</v>
      </c>
      <c r="S59" t="s">
        <v>101</v>
      </c>
      <c r="T59">
        <v>1958</v>
      </c>
      <c r="U59" s="2">
        <v>0.75725395541499707</v>
      </c>
      <c r="V59" s="2">
        <v>0.81000000000000227</v>
      </c>
      <c r="W59" s="2">
        <v>0.62159327478167803</v>
      </c>
      <c r="Y59">
        <v>1958</v>
      </c>
      <c r="Z59" s="2">
        <f t="shared" si="2"/>
        <v>0.75681674252368225</v>
      </c>
      <c r="AA59" s="2">
        <f t="shared" si="3"/>
        <v>0.98758000000001067</v>
      </c>
      <c r="AB59" s="2">
        <f t="shared" si="4"/>
        <v>0.75787556507956577</v>
      </c>
      <c r="AD59">
        <v>1958</v>
      </c>
      <c r="AE59" s="2">
        <f t="shared" si="5"/>
        <v>0.38784786318350944</v>
      </c>
      <c r="AF59" s="2">
        <f t="shared" si="6"/>
        <v>-0.30408778090558281</v>
      </c>
      <c r="AG59" s="2">
        <f t="shared" si="6"/>
        <v>0.13090457372453845</v>
      </c>
    </row>
    <row r="60" spans="7:33" x14ac:dyDescent="0.3">
      <c r="G60" t="s">
        <v>99</v>
      </c>
      <c r="H60">
        <v>1957</v>
      </c>
      <c r="I60" s="2">
        <v>0.75476225833748178</v>
      </c>
      <c r="J60" s="2">
        <v>0.86100000000001842</v>
      </c>
      <c r="K60" s="2">
        <v>0.64985030442858571</v>
      </c>
      <c r="M60" t="s">
        <v>100</v>
      </c>
      <c r="N60">
        <v>1957</v>
      </c>
      <c r="O60" s="2">
        <v>0.92907506628621195</v>
      </c>
      <c r="P60" s="2">
        <v>0.98419500000003879</v>
      </c>
      <c r="Q60" s="2">
        <v>0.91670585955369266</v>
      </c>
      <c r="S60" t="s">
        <v>101</v>
      </c>
      <c r="T60">
        <v>1957</v>
      </c>
      <c r="U60" s="2">
        <v>0.78916390132854619</v>
      </c>
      <c r="V60" s="2">
        <v>1.1430000000000113</v>
      </c>
      <c r="W60" s="2">
        <v>0.8885526067235745</v>
      </c>
      <c r="Y60">
        <v>1957</v>
      </c>
      <c r="Z60" s="2">
        <f t="shared" si="2"/>
        <v>0.82433374198408005</v>
      </c>
      <c r="AA60" s="2">
        <f t="shared" si="3"/>
        <v>0.99606500000002285</v>
      </c>
      <c r="AB60" s="2">
        <f t="shared" si="4"/>
        <v>0.81836959023528433</v>
      </c>
      <c r="AD60">
        <v>1957</v>
      </c>
      <c r="AE60" s="2">
        <f t="shared" si="5"/>
        <v>1.3452114241737494</v>
      </c>
      <c r="AF60" s="2">
        <f t="shared" si="6"/>
        <v>-0.2404617142507659</v>
      </c>
      <c r="AG60" s="2">
        <f t="shared" si="6"/>
        <v>0.72361107197116492</v>
      </c>
    </row>
    <row r="61" spans="7:33" x14ac:dyDescent="0.3">
      <c r="G61" t="s">
        <v>99</v>
      </c>
      <c r="H61">
        <v>1956</v>
      </c>
      <c r="I61" s="2">
        <v>0.71651219800935206</v>
      </c>
      <c r="J61" s="2">
        <v>1.1377500000000182</v>
      </c>
      <c r="K61" s="2">
        <v>0.83399752085881196</v>
      </c>
      <c r="M61" t="s">
        <v>100</v>
      </c>
      <c r="N61">
        <v>1956</v>
      </c>
      <c r="O61" s="2">
        <v>0.93992863671281024</v>
      </c>
      <c r="P61" s="2">
        <v>0.95343000000003642</v>
      </c>
      <c r="Q61" s="2">
        <v>0.86608986898230622</v>
      </c>
      <c r="S61" t="s">
        <v>101</v>
      </c>
      <c r="T61">
        <v>1956</v>
      </c>
      <c r="U61" s="2">
        <v>0.80860861816664831</v>
      </c>
      <c r="V61" s="2">
        <v>1.0470000000000113</v>
      </c>
      <c r="W61" s="2">
        <v>0.84167309549947444</v>
      </c>
      <c r="Y61">
        <v>1956</v>
      </c>
      <c r="Z61" s="2">
        <f t="shared" si="2"/>
        <v>0.82168315096293687</v>
      </c>
      <c r="AA61" s="2">
        <f t="shared" si="3"/>
        <v>1.046060000000022</v>
      </c>
      <c r="AB61" s="2">
        <f t="shared" si="4"/>
        <v>0.84725349511353087</v>
      </c>
      <c r="AD61">
        <v>1956</v>
      </c>
      <c r="AE61" s="2">
        <f t="shared" si="5"/>
        <v>1.3076271227532041</v>
      </c>
      <c r="AF61" s="2">
        <f t="shared" si="6"/>
        <v>0.13443341861935207</v>
      </c>
      <c r="AG61" s="2">
        <f t="shared" si="6"/>
        <v>1.0066089064185528</v>
      </c>
    </row>
    <row r="62" spans="7:33" x14ac:dyDescent="0.3">
      <c r="G62" t="s">
        <v>99</v>
      </c>
      <c r="H62">
        <v>1955</v>
      </c>
      <c r="I62" s="2">
        <v>0.736849402933895</v>
      </c>
      <c r="J62" s="2">
        <v>1.1377500000000111</v>
      </c>
      <c r="K62" s="2">
        <v>0.83453064234348162</v>
      </c>
      <c r="M62" t="s">
        <v>100</v>
      </c>
      <c r="N62">
        <v>1955</v>
      </c>
      <c r="O62" s="2">
        <v>0.83345942720909516</v>
      </c>
      <c r="P62" s="2">
        <v>1.0149600000000412</v>
      </c>
      <c r="Q62" s="2">
        <v>0.84027558640079725</v>
      </c>
      <c r="S62" t="s">
        <v>101</v>
      </c>
      <c r="T62">
        <v>1955</v>
      </c>
      <c r="U62" s="2">
        <v>0.78672267976606236</v>
      </c>
      <c r="V62" s="2">
        <v>0.92399999999999949</v>
      </c>
      <c r="W62" s="2">
        <v>0.72773176433040099</v>
      </c>
      <c r="Y62">
        <v>1955</v>
      </c>
      <c r="Z62" s="2">
        <f t="shared" si="2"/>
        <v>0.78567716996968417</v>
      </c>
      <c r="AA62" s="2">
        <f t="shared" si="3"/>
        <v>1.0255700000000172</v>
      </c>
      <c r="AB62" s="2">
        <f t="shared" si="4"/>
        <v>0.80084599769155995</v>
      </c>
      <c r="AD62">
        <v>1955</v>
      </c>
      <c r="AE62" s="2">
        <f t="shared" si="5"/>
        <v>0.79707697307029035</v>
      </c>
      <c r="AF62" s="2">
        <f t="shared" si="6"/>
        <v>-1.921397156987974E-2</v>
      </c>
      <c r="AG62" s="2">
        <f t="shared" si="6"/>
        <v>0.55191895615384379</v>
      </c>
    </row>
    <row r="63" spans="7:33" x14ac:dyDescent="0.3">
      <c r="G63" t="s">
        <v>99</v>
      </c>
      <c r="H63">
        <v>1954</v>
      </c>
      <c r="I63" s="2">
        <v>0.73111334533416827</v>
      </c>
      <c r="J63" s="2">
        <v>1.3837500000000134</v>
      </c>
      <c r="K63" s="2">
        <v>1.0117887869063482</v>
      </c>
      <c r="M63" t="s">
        <v>100</v>
      </c>
      <c r="N63">
        <v>1954</v>
      </c>
      <c r="O63" s="2">
        <v>0.91755253757478616</v>
      </c>
      <c r="P63" s="2">
        <v>0.89194500000003885</v>
      </c>
      <c r="Q63" s="2">
        <v>0.81083647002811743</v>
      </c>
      <c r="S63" t="s">
        <v>101</v>
      </c>
      <c r="T63">
        <v>1954</v>
      </c>
      <c r="U63" s="2">
        <v>0.78572216149049345</v>
      </c>
      <c r="V63" s="2">
        <v>1.1640000000000121</v>
      </c>
      <c r="W63" s="2">
        <v>0.91361391031421468</v>
      </c>
      <c r="Y63">
        <v>1954</v>
      </c>
      <c r="Z63" s="2">
        <f t="shared" si="2"/>
        <v>0.81146268146648259</v>
      </c>
      <c r="AA63" s="2">
        <f t="shared" si="3"/>
        <v>1.1465650000000214</v>
      </c>
      <c r="AB63" s="2">
        <f t="shared" si="4"/>
        <v>0.9120797224162267</v>
      </c>
      <c r="AD63">
        <v>1954</v>
      </c>
      <c r="AE63" s="2">
        <f t="shared" si="5"/>
        <v>1.1627050268319121</v>
      </c>
      <c r="AF63" s="2">
        <f t="shared" si="6"/>
        <v>0.88808549040876383</v>
      </c>
      <c r="AG63" s="2">
        <f t="shared" si="6"/>
        <v>1.6417613215573319</v>
      </c>
    </row>
    <row r="64" spans="7:33" x14ac:dyDescent="0.3">
      <c r="G64" t="s">
        <v>99</v>
      </c>
      <c r="H64">
        <v>1953</v>
      </c>
      <c r="I64" s="2">
        <v>0.73017901647306982</v>
      </c>
      <c r="J64" s="2">
        <v>0.8302500000000137</v>
      </c>
      <c r="K64" s="2">
        <v>0.59257348872642435</v>
      </c>
      <c r="M64" t="s">
        <v>100</v>
      </c>
      <c r="N64">
        <v>1953</v>
      </c>
      <c r="O64" s="2">
        <v>0.93200888481251898</v>
      </c>
      <c r="P64" s="2">
        <v>0.98419500000004234</v>
      </c>
      <c r="Q64" s="2">
        <v>0.91256501451424299</v>
      </c>
      <c r="S64" t="s">
        <v>101</v>
      </c>
      <c r="T64">
        <v>1953</v>
      </c>
      <c r="U64" s="2">
        <v>0.67392918913190525</v>
      </c>
      <c r="V64" s="2">
        <v>0.73799999999999955</v>
      </c>
      <c r="W64" s="2">
        <v>0.50692138166268363</v>
      </c>
      <c r="Y64">
        <v>1953</v>
      </c>
      <c r="Z64" s="2">
        <f t="shared" si="2"/>
        <v>0.77870569680583135</v>
      </c>
      <c r="AA64" s="2">
        <f t="shared" si="3"/>
        <v>0.85081500000001853</v>
      </c>
      <c r="AB64" s="2">
        <f t="shared" si="4"/>
        <v>0.67068662830111692</v>
      </c>
      <c r="AD64">
        <v>1953</v>
      </c>
      <c r="AE64" s="2">
        <f t="shared" si="5"/>
        <v>0.6982243222292408</v>
      </c>
      <c r="AF64" s="2">
        <f t="shared" si="6"/>
        <v>-1.3296409931664017</v>
      </c>
      <c r="AG64" s="2">
        <f t="shared" si="6"/>
        <v>-0.72335250820673069</v>
      </c>
    </row>
    <row r="65" spans="7:33" x14ac:dyDescent="0.3">
      <c r="G65" t="s">
        <v>99</v>
      </c>
      <c r="H65">
        <v>1952</v>
      </c>
      <c r="I65" s="2">
        <v>0.75909951924347085</v>
      </c>
      <c r="J65" s="2">
        <v>1.2300000000000182</v>
      </c>
      <c r="K65" s="2">
        <v>0.933692408669483</v>
      </c>
      <c r="M65" t="s">
        <v>100</v>
      </c>
      <c r="N65">
        <v>1952</v>
      </c>
      <c r="O65" s="2">
        <v>0.99821742013451953</v>
      </c>
      <c r="P65" s="2">
        <v>1.0456800000000399</v>
      </c>
      <c r="Q65" s="2">
        <v>1.0387596048907513</v>
      </c>
      <c r="S65" t="s">
        <v>101</v>
      </c>
      <c r="T65">
        <v>1952</v>
      </c>
      <c r="U65" s="2">
        <v>0.71088883796394242</v>
      </c>
      <c r="V65" s="2">
        <v>1.416000000000011</v>
      </c>
      <c r="W65" s="2">
        <v>1.0077806288470732</v>
      </c>
      <c r="Y65">
        <v>1952</v>
      </c>
      <c r="Z65" s="2">
        <f t="shared" si="2"/>
        <v>0.8227352591139776</v>
      </c>
      <c r="AA65" s="2">
        <f t="shared" si="3"/>
        <v>1.230560000000023</v>
      </c>
      <c r="AB65" s="2">
        <f t="shared" si="4"/>
        <v>0.99341088080243578</v>
      </c>
      <c r="AD65">
        <v>1952</v>
      </c>
      <c r="AE65" s="2">
        <f t="shared" si="5"/>
        <v>1.3225455879408938</v>
      </c>
      <c r="AF65" s="2">
        <f t="shared" si="6"/>
        <v>1.517934809049162</v>
      </c>
      <c r="AG65" s="2">
        <f t="shared" si="6"/>
        <v>2.4386252426031745</v>
      </c>
    </row>
    <row r="66" spans="7:33" x14ac:dyDescent="0.3">
      <c r="G66" t="s">
        <v>99</v>
      </c>
      <c r="H66">
        <v>1951</v>
      </c>
      <c r="I66" s="2">
        <v>0.87268085566399811</v>
      </c>
      <c r="J66" s="2">
        <v>0.92250000000001364</v>
      </c>
      <c r="K66" s="2">
        <v>0.80504808935005012</v>
      </c>
      <c r="M66" t="s">
        <v>100</v>
      </c>
      <c r="N66">
        <v>1951</v>
      </c>
      <c r="O66" s="2">
        <v>0.84044659015571122</v>
      </c>
      <c r="P66" s="2">
        <v>1.2303150000000542</v>
      </c>
      <c r="Q66" s="2">
        <v>1.0348842731671186</v>
      </c>
      <c r="S66" t="s">
        <v>101</v>
      </c>
      <c r="T66">
        <v>1951</v>
      </c>
      <c r="U66" s="2">
        <v>0.50949876238108016</v>
      </c>
      <c r="V66" s="2">
        <v>1.2239999999999966</v>
      </c>
      <c r="W66" s="2">
        <v>0.61837626455376382</v>
      </c>
      <c r="Y66">
        <v>1951</v>
      </c>
      <c r="Z66" s="2">
        <f t="shared" si="2"/>
        <v>0.74087540273359653</v>
      </c>
      <c r="AA66" s="2">
        <f t="shared" si="3"/>
        <v>1.1256050000000215</v>
      </c>
      <c r="AB66" s="2">
        <f t="shared" si="4"/>
        <v>0.81943620902364422</v>
      </c>
      <c r="AD66">
        <v>1951</v>
      </c>
      <c r="AE66" s="2">
        <f t="shared" si="5"/>
        <v>0.1618061559043876</v>
      </c>
      <c r="AF66" s="2">
        <f t="shared" si="6"/>
        <v>0.73091373353392119</v>
      </c>
      <c r="AG66" s="2">
        <f t="shared" si="6"/>
        <v>0.73406155671549334</v>
      </c>
    </row>
    <row r="67" spans="7:33" x14ac:dyDescent="0.3">
      <c r="M67" t="s">
        <v>100</v>
      </c>
      <c r="N67">
        <v>1950</v>
      </c>
      <c r="O67" s="2">
        <v>0.8848849364320206</v>
      </c>
      <c r="P67" s="2">
        <v>0.95347500000004004</v>
      </c>
      <c r="Q67" s="2">
        <v>0.8423982130758958</v>
      </c>
      <c r="S67" t="s">
        <v>101</v>
      </c>
      <c r="T67">
        <v>1950</v>
      </c>
      <c r="U67" s="2">
        <v>0.5947743407421936</v>
      </c>
      <c r="V67" s="2">
        <v>1.5299999999999585</v>
      </c>
      <c r="W67" s="2">
        <v>0.91000474133553155</v>
      </c>
      <c r="Y67">
        <v>1950</v>
      </c>
      <c r="Z67" s="2">
        <f t="shared" ref="Z67" si="7">AVERAGE(U67,O67,I67,C67)</f>
        <v>0.73982963858710704</v>
      </c>
      <c r="AA67" s="2">
        <f t="shared" ref="AA67" si="8">AVERAGE(V67,P67,J67,D67)</f>
        <v>1.2417374999999993</v>
      </c>
      <c r="AB67" s="2">
        <f t="shared" ref="AB67" si="9">AVERAGE(W67,Q67,K67,E67)</f>
        <v>0.87620147720571362</v>
      </c>
      <c r="AD67">
        <v>1950</v>
      </c>
      <c r="AE67" s="2">
        <f t="shared" ref="AE67:AG67" si="10">STANDARDIZE(Z67,Z$69,Z$70)</f>
        <v>0.14697764611810274</v>
      </c>
      <c r="AF67" s="2">
        <f t="shared" si="10"/>
        <v>1.6017509976209579</v>
      </c>
      <c r="AG67" s="2">
        <f t="shared" si="10"/>
        <v>1.2902345546209648</v>
      </c>
    </row>
    <row r="68" spans="7:33" x14ac:dyDescent="0.3">
      <c r="M68" t="s">
        <v>100</v>
      </c>
      <c r="N68">
        <v>1949</v>
      </c>
      <c r="O68" s="2">
        <v>1.0014247663805045</v>
      </c>
      <c r="P68" s="2">
        <v>1.1380500000000566</v>
      </c>
      <c r="Q68" s="2">
        <v>1.1289284348276989</v>
      </c>
    </row>
    <row r="69" spans="7:33" x14ac:dyDescent="0.3">
      <c r="M69" t="s">
        <v>100</v>
      </c>
      <c r="N69">
        <v>1948</v>
      </c>
      <c r="O69" s="2">
        <v>0.87466406634850857</v>
      </c>
      <c r="P69" s="2">
        <v>1.0150950000000591</v>
      </c>
      <c r="Q69" s="2">
        <v>0.7714386738361283</v>
      </c>
      <c r="Z69" s="2">
        <f>AVERAGE(Z2:Z67)</f>
        <v>0.72946420370113518</v>
      </c>
      <c r="AA69" s="2">
        <f t="shared" ref="AA69:AB69" si="11">AVERAGE(AA2:AA67)</f>
        <v>1.0281323232323354</v>
      </c>
      <c r="AB69" s="2">
        <f t="shared" si="11"/>
        <v>0.74451491423582261</v>
      </c>
    </row>
    <row r="70" spans="7:33" x14ac:dyDescent="0.3">
      <c r="M70" t="s">
        <v>100</v>
      </c>
      <c r="N70">
        <v>1947</v>
      </c>
      <c r="O70" s="2">
        <v>0.93133758659755439</v>
      </c>
      <c r="P70" s="2">
        <v>1.4763300000000612</v>
      </c>
      <c r="Q70" s="2">
        <v>1.3952818412629302</v>
      </c>
      <c r="Z70" s="2">
        <f>_xlfn.STDEV.S(Z2:Z67)</f>
        <v>7.0523886861290422E-2</v>
      </c>
      <c r="AA70" s="2">
        <f t="shared" ref="AA70:AB70" si="12">_xlfn.STDEV.S(AA2:AA67)</f>
        <v>0.13335729279078115</v>
      </c>
      <c r="AB70" s="2">
        <f t="shared" si="12"/>
        <v>0.10206404912832061</v>
      </c>
    </row>
    <row r="71" spans="7:33" x14ac:dyDescent="0.3">
      <c r="M71" t="s">
        <v>100</v>
      </c>
      <c r="N71">
        <v>1946</v>
      </c>
      <c r="O71" s="2">
        <v>0.87919146665251557</v>
      </c>
      <c r="P71" s="2">
        <v>1.1072700000000495</v>
      </c>
      <c r="Q71" s="2">
        <v>0.97346034106202994</v>
      </c>
    </row>
    <row r="72" spans="7:33" x14ac:dyDescent="0.3">
      <c r="M72" t="s">
        <v>100</v>
      </c>
      <c r="N72">
        <v>1945</v>
      </c>
      <c r="O72" s="2">
        <v>1.1099069751228996</v>
      </c>
      <c r="P72" s="2">
        <v>1.0149600000000447</v>
      </c>
      <c r="Q72" s="2">
        <v>1.17751159188895</v>
      </c>
    </row>
    <row r="73" spans="7:33" x14ac:dyDescent="0.3">
      <c r="M73" t="s">
        <v>100</v>
      </c>
      <c r="N73">
        <v>1944</v>
      </c>
      <c r="O73" s="2">
        <v>0.87975866457987895</v>
      </c>
      <c r="P73" s="2">
        <v>1.4767200000001139</v>
      </c>
      <c r="Q73" s="2">
        <v>1.2991572151584991</v>
      </c>
    </row>
    <row r="74" spans="7:33" x14ac:dyDescent="0.3">
      <c r="M74" t="s">
        <v>100</v>
      </c>
      <c r="N74">
        <v>1943</v>
      </c>
      <c r="O74" s="2">
        <v>0.75242970373173423</v>
      </c>
      <c r="P74" s="2">
        <v>0.98448000000007596</v>
      </c>
      <c r="Q74" s="2">
        <v>0.74075199472987485</v>
      </c>
    </row>
    <row r="75" spans="7:33" x14ac:dyDescent="0.3">
      <c r="M75" t="s">
        <v>100</v>
      </c>
      <c r="N75">
        <v>1942</v>
      </c>
      <c r="O75" s="2">
        <v>0.95169760789997115</v>
      </c>
      <c r="P75" s="2">
        <v>0.86142000000006647</v>
      </c>
      <c r="Q75" s="2">
        <v>0.81981135339725641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E36B-B310-4C0C-93EC-317AAF810BD2}">
  <dimension ref="A1:B35"/>
  <sheetViews>
    <sheetView workbookViewId="0"/>
  </sheetViews>
  <sheetFormatPr baseColWidth="10" defaultRowHeight="14.4" x14ac:dyDescent="0.3"/>
  <sheetData>
    <row r="1" spans="1:2" x14ac:dyDescent="0.3">
      <c r="A1" s="20" t="s">
        <v>19</v>
      </c>
      <c r="B1" s="6" t="s">
        <v>1</v>
      </c>
    </row>
    <row r="2" spans="1:2" x14ac:dyDescent="0.3">
      <c r="A2" s="20">
        <v>1982</v>
      </c>
      <c r="B2" s="7">
        <v>1.4385294445904668</v>
      </c>
    </row>
    <row r="3" spans="1:2" x14ac:dyDescent="0.3">
      <c r="A3" s="20">
        <v>1983</v>
      </c>
      <c r="B3" s="7">
        <v>1.2209074377559095</v>
      </c>
    </row>
    <row r="4" spans="1:2" x14ac:dyDescent="0.3">
      <c r="A4" s="20">
        <v>1984</v>
      </c>
      <c r="B4" s="7">
        <v>1.3468505733257641</v>
      </c>
    </row>
    <row r="5" spans="1:2" x14ac:dyDescent="0.3">
      <c r="A5" s="20">
        <v>1985</v>
      </c>
      <c r="B5" s="7">
        <v>2.5773200614264202</v>
      </c>
    </row>
    <row r="6" spans="1:2" x14ac:dyDescent="0.3">
      <c r="A6" s="20">
        <v>1986</v>
      </c>
      <c r="B6" s="7">
        <v>0.72989077196936658</v>
      </c>
    </row>
    <row r="7" spans="1:2" x14ac:dyDescent="0.3">
      <c r="A7" s="20">
        <v>1987</v>
      </c>
      <c r="B7" s="7">
        <v>0.89615536713955868</v>
      </c>
    </row>
    <row r="8" spans="1:2" x14ac:dyDescent="0.3">
      <c r="A8" s="20">
        <v>1988</v>
      </c>
      <c r="B8" s="7">
        <v>1.0972552154863469</v>
      </c>
    </row>
    <row r="9" spans="1:2" x14ac:dyDescent="0.3">
      <c r="A9" s="20">
        <v>1989</v>
      </c>
      <c r="B9" s="7">
        <v>-1.2111304585335601</v>
      </c>
    </row>
    <row r="10" spans="1:2" x14ac:dyDescent="0.3">
      <c r="A10" s="20">
        <v>1990</v>
      </c>
      <c r="B10" s="7">
        <v>0.72365729708100268</v>
      </c>
    </row>
    <row r="11" spans="1:2" x14ac:dyDescent="0.3">
      <c r="A11" s="20">
        <v>1991</v>
      </c>
      <c r="B11" s="7">
        <v>1.0200340834912134</v>
      </c>
    </row>
    <row r="12" spans="1:2" x14ac:dyDescent="0.3">
      <c r="A12" s="20">
        <v>1992</v>
      </c>
      <c r="B12" s="7">
        <v>0.60080247400685438</v>
      </c>
    </row>
    <row r="13" spans="1:2" x14ac:dyDescent="0.3">
      <c r="A13" s="20">
        <v>1993</v>
      </c>
      <c r="B13" s="7">
        <v>1.8722975643110477E-2</v>
      </c>
    </row>
    <row r="14" spans="1:2" x14ac:dyDescent="0.3">
      <c r="A14" s="20">
        <v>1994</v>
      </c>
      <c r="B14" s="7">
        <v>0.68795485960717484</v>
      </c>
    </row>
    <row r="15" spans="1:2" x14ac:dyDescent="0.3">
      <c r="A15" s="20">
        <v>1995</v>
      </c>
      <c r="B15" s="7">
        <v>1.0155921762796838</v>
      </c>
    </row>
    <row r="16" spans="1:2" x14ac:dyDescent="0.3">
      <c r="A16" s="20">
        <v>1996</v>
      </c>
      <c r="B16" s="7">
        <v>-0.84596021882002814</v>
      </c>
    </row>
    <row r="17" spans="1:2" x14ac:dyDescent="0.3">
      <c r="A17" s="20">
        <v>1997</v>
      </c>
      <c r="B17" s="7">
        <v>-0.44484889743420208</v>
      </c>
    </row>
    <row r="18" spans="1:2" x14ac:dyDescent="0.3">
      <c r="A18" s="20">
        <v>1998</v>
      </c>
      <c r="B18" s="7">
        <v>-0.36028281959191244</v>
      </c>
    </row>
    <row r="19" spans="1:2" x14ac:dyDescent="0.3">
      <c r="A19" s="20">
        <v>1999</v>
      </c>
      <c r="B19" s="7">
        <v>8.920511051668753E-2</v>
      </c>
    </row>
    <row r="20" spans="1:2" x14ac:dyDescent="0.3">
      <c r="A20" s="20">
        <v>2000</v>
      </c>
      <c r="B20" s="7">
        <v>-0.63564307207762005</v>
      </c>
    </row>
    <row r="21" spans="1:2" x14ac:dyDescent="0.3">
      <c r="A21" s="20">
        <v>2001</v>
      </c>
      <c r="B21" s="7">
        <v>-0.10948210281746965</v>
      </c>
    </row>
    <row r="22" spans="1:2" x14ac:dyDescent="0.3">
      <c r="A22" s="20">
        <v>2002</v>
      </c>
      <c r="B22" s="7">
        <v>-8.4573452356591264E-2</v>
      </c>
    </row>
    <row r="23" spans="1:2" x14ac:dyDescent="0.3">
      <c r="A23" s="20">
        <v>2003</v>
      </c>
      <c r="B23" s="7">
        <v>-0.68547064015986714</v>
      </c>
    </row>
    <row r="24" spans="1:2" x14ac:dyDescent="0.3">
      <c r="A24" s="20">
        <v>2004</v>
      </c>
      <c r="B24" s="7">
        <v>-0.83028530106550047</v>
      </c>
    </row>
    <row r="25" spans="1:2" x14ac:dyDescent="0.3">
      <c r="A25" s="20">
        <v>2005</v>
      </c>
      <c r="B25" s="7">
        <v>-0.71899394846035691</v>
      </c>
    </row>
    <row r="26" spans="1:2" x14ac:dyDescent="0.3">
      <c r="A26" s="20">
        <v>2006</v>
      </c>
      <c r="B26" s="7">
        <v>0.41261052885798355</v>
      </c>
    </row>
    <row r="27" spans="1:2" x14ac:dyDescent="0.3">
      <c r="A27" s="20">
        <v>2007</v>
      </c>
      <c r="B27" s="7">
        <v>-0.59637649861785735</v>
      </c>
    </row>
    <row r="28" spans="1:2" x14ac:dyDescent="0.3">
      <c r="A28" s="20">
        <v>2008</v>
      </c>
      <c r="B28" s="7">
        <v>-0.24054230213124855</v>
      </c>
    </row>
    <row r="29" spans="1:2" x14ac:dyDescent="0.3">
      <c r="A29" s="20">
        <v>2009</v>
      </c>
      <c r="B29" s="7">
        <v>-1.514699710992595</v>
      </c>
    </row>
    <row r="30" spans="1:2" x14ac:dyDescent="0.3">
      <c r="A30" s="20">
        <v>2010</v>
      </c>
      <c r="B30" s="7">
        <v>-0.65247630177873295</v>
      </c>
    </row>
    <row r="31" spans="1:2" x14ac:dyDescent="0.3">
      <c r="A31" s="20">
        <v>2011</v>
      </c>
      <c r="B31" s="7">
        <v>-2.251426543764278</v>
      </c>
    </row>
    <row r="32" spans="1:2" x14ac:dyDescent="0.3">
      <c r="A32" s="20">
        <v>2012</v>
      </c>
      <c r="B32" s="7">
        <v>-0.82114818909047049</v>
      </c>
    </row>
    <row r="33" spans="1:2" x14ac:dyDescent="0.3">
      <c r="A33" s="20">
        <v>2013</v>
      </c>
      <c r="B33" s="7">
        <v>-0.9418433976758892</v>
      </c>
    </row>
    <row r="34" spans="1:2" x14ac:dyDescent="0.3">
      <c r="A34" s="20">
        <v>2014</v>
      </c>
      <c r="B34" s="7">
        <v>-0.5858167087644145</v>
      </c>
    </row>
    <row r="35" spans="1:2" x14ac:dyDescent="0.3">
      <c r="A35" s="20">
        <v>2015</v>
      </c>
      <c r="B35" s="7">
        <v>-0.34448781304490744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E3BC-94E4-4E29-9CD4-329D5AE78B9B}">
  <sheetPr>
    <tabColor rgb="FF007800"/>
  </sheetPr>
  <dimension ref="B1:J244"/>
  <sheetViews>
    <sheetView topLeftCell="A61" zoomScaleNormal="100" workbookViewId="0"/>
  </sheetViews>
  <sheetFormatPr baseColWidth="10" defaultRowHeight="14.4" x14ac:dyDescent="0.3"/>
  <cols>
    <col min="1" max="1" width="6.21875" customWidth="1"/>
    <col min="2" max="2" width="11.5546875" customWidth="1"/>
  </cols>
  <sheetData>
    <row r="1" spans="2:9" x14ac:dyDescent="0.3">
      <c r="B1" t="s">
        <v>46</v>
      </c>
    </row>
    <row r="2" spans="2:9" x14ac:dyDescent="0.3">
      <c r="B2" t="s">
        <v>47</v>
      </c>
    </row>
    <row r="3" spans="2:9" x14ac:dyDescent="0.3">
      <c r="B3" t="s">
        <v>48</v>
      </c>
    </row>
    <row r="4" spans="2:9" x14ac:dyDescent="0.3">
      <c r="B4" t="s">
        <v>33</v>
      </c>
    </row>
    <row r="5" spans="2:9" x14ac:dyDescent="0.3">
      <c r="B5" t="s">
        <v>34</v>
      </c>
    </row>
    <row r="6" spans="2:9" x14ac:dyDescent="0.3">
      <c r="B6" t="s">
        <v>35</v>
      </c>
    </row>
    <row r="7" spans="2:9" x14ac:dyDescent="0.3">
      <c r="B7" t="s">
        <v>51</v>
      </c>
    </row>
    <row r="11" spans="2:9" x14ac:dyDescent="0.3">
      <c r="B11" t="s">
        <v>17</v>
      </c>
    </row>
    <row r="12" spans="2:9" ht="15" thickBot="1" x14ac:dyDescent="0.35"/>
    <row r="13" spans="2:9" x14ac:dyDescent="0.3">
      <c r="B13" s="9" t="s">
        <v>18</v>
      </c>
      <c r="C13" s="10" t="s">
        <v>19</v>
      </c>
      <c r="D13" s="10" t="s">
        <v>20</v>
      </c>
      <c r="E13" s="10" t="s">
        <v>21</v>
      </c>
      <c r="F13" s="10" t="s">
        <v>22</v>
      </c>
      <c r="G13" s="10" t="s">
        <v>23</v>
      </c>
      <c r="H13" s="10" t="s">
        <v>24</v>
      </c>
      <c r="I13" s="10" t="s">
        <v>25</v>
      </c>
    </row>
    <row r="14" spans="2:9" x14ac:dyDescent="0.3">
      <c r="B14" s="11" t="s">
        <v>1</v>
      </c>
      <c r="C14" s="26">
        <v>34</v>
      </c>
      <c r="D14" s="26">
        <v>0</v>
      </c>
      <c r="E14" s="26">
        <v>34</v>
      </c>
      <c r="F14" s="22">
        <v>0.50114973812441388</v>
      </c>
      <c r="G14" s="22">
        <v>0.91252430713230026</v>
      </c>
      <c r="H14" s="22">
        <v>0.69295512776700596</v>
      </c>
      <c r="I14" s="22">
        <v>8.5192825932440971E-2</v>
      </c>
    </row>
    <row r="15" spans="2:9" x14ac:dyDescent="0.3">
      <c r="B15" s="8" t="s">
        <v>2</v>
      </c>
      <c r="C15" s="27">
        <v>34</v>
      </c>
      <c r="D15" s="27">
        <v>0</v>
      </c>
      <c r="E15" s="27">
        <v>34</v>
      </c>
      <c r="F15" s="23">
        <v>0.70058000000011589</v>
      </c>
      <c r="G15" s="23">
        <v>1.980500000000001</v>
      </c>
      <c r="H15" s="23">
        <v>1.3458252941177111</v>
      </c>
      <c r="I15" s="23">
        <v>0.32176457522245022</v>
      </c>
    </row>
    <row r="16" spans="2:9" ht="15" thickBot="1" x14ac:dyDescent="0.35">
      <c r="B16" s="13" t="s">
        <v>3</v>
      </c>
      <c r="C16" s="28">
        <v>34</v>
      </c>
      <c r="D16" s="28">
        <v>0</v>
      </c>
      <c r="E16" s="28">
        <v>34</v>
      </c>
      <c r="F16" s="24">
        <v>0.5389569898366563</v>
      </c>
      <c r="G16" s="24">
        <v>1.4030890835955858</v>
      </c>
      <c r="H16" s="24">
        <v>0.92396405210254717</v>
      </c>
      <c r="I16" s="24">
        <v>0.21665797740669987</v>
      </c>
    </row>
    <row r="19" spans="2:3" x14ac:dyDescent="0.3">
      <c r="B19" s="29" t="s">
        <v>36</v>
      </c>
    </row>
    <row r="20" spans="2:3" ht="15" thickBot="1" x14ac:dyDescent="0.35"/>
    <row r="21" spans="2:3" x14ac:dyDescent="0.3">
      <c r="B21" s="12" t="s">
        <v>37</v>
      </c>
      <c r="C21" s="14">
        <v>17.962617070109744</v>
      </c>
    </row>
    <row r="22" spans="2:3" x14ac:dyDescent="0.3">
      <c r="B22" s="8" t="s">
        <v>38</v>
      </c>
      <c r="C22" s="21">
        <v>1995</v>
      </c>
    </row>
    <row r="23" spans="2:3" x14ac:dyDescent="0.3">
      <c r="B23" s="8" t="s">
        <v>26</v>
      </c>
      <c r="C23" s="15" t="s">
        <v>28</v>
      </c>
    </row>
    <row r="24" spans="2:3" ht="15" thickBot="1" x14ac:dyDescent="0.35">
      <c r="B24" s="13" t="s">
        <v>27</v>
      </c>
      <c r="C24" s="16">
        <v>0.05</v>
      </c>
    </row>
    <row r="25" spans="2:3" x14ac:dyDescent="0.3">
      <c r="B25" s="17" t="s">
        <v>39</v>
      </c>
    </row>
    <row r="26" spans="2:3" x14ac:dyDescent="0.3">
      <c r="B26" s="17" t="s">
        <v>40</v>
      </c>
    </row>
    <row r="27" spans="2:3" x14ac:dyDescent="0.3">
      <c r="B27" s="18">
        <v>0</v>
      </c>
      <c r="C27" s="19">
        <v>0</v>
      </c>
    </row>
    <row r="30" spans="2:3" x14ac:dyDescent="0.3">
      <c r="B30" s="17" t="s">
        <v>29</v>
      </c>
    </row>
    <row r="31" spans="2:3" x14ac:dyDescent="0.3">
      <c r="B31" s="17" t="s">
        <v>41</v>
      </c>
    </row>
    <row r="32" spans="2:3" x14ac:dyDescent="0.3">
      <c r="B32" s="17" t="s">
        <v>42</v>
      </c>
    </row>
    <row r="33" spans="2:10" ht="14.4" customHeight="1" x14ac:dyDescent="0.3">
      <c r="B33" s="42" t="s">
        <v>30</v>
      </c>
      <c r="C33" s="42"/>
      <c r="D33" s="42"/>
      <c r="E33" s="42"/>
      <c r="F33" s="42"/>
      <c r="G33" s="42"/>
      <c r="H33" s="42"/>
      <c r="I33" s="42"/>
      <c r="J33" s="42"/>
    </row>
    <row r="34" spans="2:10" x14ac:dyDescent="0.3">
      <c r="B34" s="42"/>
      <c r="C34" s="42"/>
      <c r="D34" s="42"/>
      <c r="E34" s="42"/>
      <c r="F34" s="42"/>
      <c r="G34" s="42"/>
      <c r="H34" s="42"/>
      <c r="I34" s="42"/>
      <c r="J34" s="42"/>
    </row>
    <row r="35" spans="2:10" x14ac:dyDescent="0.3">
      <c r="B35" s="17" t="s">
        <v>31</v>
      </c>
    </row>
    <row r="37" spans="2:10" ht="15" thickBot="1" x14ac:dyDescent="0.35"/>
    <row r="38" spans="2:10" x14ac:dyDescent="0.3">
      <c r="B38" s="25" t="s">
        <v>0</v>
      </c>
      <c r="C38" s="10" t="s">
        <v>1</v>
      </c>
    </row>
    <row r="39" spans="2:10" x14ac:dyDescent="0.3">
      <c r="B39" s="26">
        <v>1982</v>
      </c>
      <c r="C39" s="22">
        <v>0.81550751633869545</v>
      </c>
    </row>
    <row r="40" spans="2:10" x14ac:dyDescent="0.3">
      <c r="B40" s="27">
        <v>1983</v>
      </c>
      <c r="C40" s="23">
        <v>0.79696768259137007</v>
      </c>
    </row>
    <row r="41" spans="2:10" x14ac:dyDescent="0.3">
      <c r="B41" s="27">
        <v>1984</v>
      </c>
      <c r="C41" s="23">
        <v>0.80769713421735878</v>
      </c>
    </row>
    <row r="42" spans="2:10" x14ac:dyDescent="0.3">
      <c r="B42" s="27">
        <v>1985</v>
      </c>
      <c r="C42" s="23">
        <v>0.91252430713230026</v>
      </c>
    </row>
    <row r="43" spans="2:10" x14ac:dyDescent="0.3">
      <c r="B43" s="27">
        <v>1986</v>
      </c>
      <c r="C43" s="23">
        <v>0.75513658525308858</v>
      </c>
    </row>
    <row r="44" spans="2:10" x14ac:dyDescent="0.3">
      <c r="B44" s="27">
        <v>1987</v>
      </c>
      <c r="C44" s="23">
        <v>0.76930113596815086</v>
      </c>
    </row>
    <row r="45" spans="2:10" x14ac:dyDescent="0.3">
      <c r="B45" s="27">
        <v>1988</v>
      </c>
      <c r="C45" s="23">
        <v>0.78643340034339948</v>
      </c>
    </row>
    <row r="46" spans="2:10" x14ac:dyDescent="0.3">
      <c r="B46" s="27">
        <v>1989</v>
      </c>
      <c r="C46" s="23">
        <v>0.58977550143167634</v>
      </c>
    </row>
    <row r="47" spans="2:10" x14ac:dyDescent="0.3">
      <c r="B47" s="27">
        <v>1990</v>
      </c>
      <c r="C47" s="23">
        <v>0.75460553791196994</v>
      </c>
    </row>
    <row r="48" spans="2:10" x14ac:dyDescent="0.3">
      <c r="B48" s="27">
        <v>1991</v>
      </c>
      <c r="C48" s="23">
        <v>0.77985471388703187</v>
      </c>
    </row>
    <row r="49" spans="2:3" x14ac:dyDescent="0.3">
      <c r="B49" s="27">
        <v>1992</v>
      </c>
      <c r="C49" s="23">
        <v>0.74413918835485293</v>
      </c>
    </row>
    <row r="50" spans="2:3" x14ac:dyDescent="0.3">
      <c r="B50" s="27">
        <v>1993</v>
      </c>
      <c r="C50" s="23">
        <v>0.69455019097190673</v>
      </c>
    </row>
    <row r="51" spans="2:3" x14ac:dyDescent="0.3">
      <c r="B51" s="27">
        <v>1994</v>
      </c>
      <c r="C51" s="23">
        <v>0.75156394637089818</v>
      </c>
    </row>
    <row r="52" spans="2:3" x14ac:dyDescent="0.3">
      <c r="B52" s="27">
        <v>1995</v>
      </c>
      <c r="C52" s="23">
        <v>0.77947629525915196</v>
      </c>
    </row>
    <row r="53" spans="2:3" x14ac:dyDescent="0.3">
      <c r="B53" s="27">
        <v>1996</v>
      </c>
      <c r="C53" s="23">
        <v>0.62088538609929977</v>
      </c>
    </row>
    <row r="54" spans="2:3" x14ac:dyDescent="0.3">
      <c r="B54" s="27">
        <v>1997</v>
      </c>
      <c r="C54" s="23">
        <v>0.65505719308165467</v>
      </c>
    </row>
    <row r="55" spans="2:3" x14ac:dyDescent="0.3">
      <c r="B55" s="27">
        <v>1998</v>
      </c>
      <c r="C55" s="23">
        <v>0.66226161623106228</v>
      </c>
    </row>
    <row r="56" spans="2:3" x14ac:dyDescent="0.3">
      <c r="B56" s="27">
        <v>1999</v>
      </c>
      <c r="C56" s="23">
        <v>0.70055476321953836</v>
      </c>
    </row>
    <row r="57" spans="2:3" x14ac:dyDescent="0.3">
      <c r="B57" s="27">
        <v>2000</v>
      </c>
      <c r="C57" s="23">
        <v>0.63880289817233382</v>
      </c>
    </row>
    <row r="58" spans="2:3" x14ac:dyDescent="0.3">
      <c r="B58" s="27">
        <v>2001</v>
      </c>
      <c r="C58" s="23">
        <v>0.68362803803895933</v>
      </c>
    </row>
    <row r="59" spans="2:3" x14ac:dyDescent="0.3">
      <c r="B59" s="27">
        <v>2002</v>
      </c>
      <c r="C59" s="23">
        <v>0.68575007636188501</v>
      </c>
    </row>
    <row r="60" spans="2:3" x14ac:dyDescent="0.3">
      <c r="B60" s="27">
        <v>2003</v>
      </c>
      <c r="C60" s="23">
        <v>0.63455794683806599</v>
      </c>
    </row>
    <row r="61" spans="2:3" x14ac:dyDescent="0.3">
      <c r="B61" s="27">
        <v>2004</v>
      </c>
      <c r="C61" s="23">
        <v>0.62222077663906661</v>
      </c>
    </row>
    <row r="62" spans="2:3" x14ac:dyDescent="0.3">
      <c r="B62" s="27">
        <v>2005</v>
      </c>
      <c r="C62" s="23">
        <v>0.63170200146934274</v>
      </c>
    </row>
    <row r="63" spans="2:3" x14ac:dyDescent="0.3">
      <c r="B63" s="27">
        <v>2006</v>
      </c>
      <c r="C63" s="23">
        <v>0.72810658472989731</v>
      </c>
    </row>
    <row r="64" spans="2:3" x14ac:dyDescent="0.3">
      <c r="B64" s="27">
        <v>2007</v>
      </c>
      <c r="C64" s="23">
        <v>0.64214812853005487</v>
      </c>
    </row>
    <row r="65" spans="2:3" x14ac:dyDescent="0.3">
      <c r="B65" s="27">
        <v>2008</v>
      </c>
      <c r="C65" s="23">
        <v>0.67246264929214927</v>
      </c>
    </row>
    <row r="66" spans="2:3" x14ac:dyDescent="0.3">
      <c r="B66" s="27">
        <v>2009</v>
      </c>
      <c r="C66" s="23">
        <v>0.56391357894849192</v>
      </c>
    </row>
    <row r="67" spans="2:3" x14ac:dyDescent="0.3">
      <c r="B67" s="27">
        <v>2010</v>
      </c>
      <c r="C67" s="23">
        <v>0.63736882776452608</v>
      </c>
    </row>
    <row r="68" spans="2:3" x14ac:dyDescent="0.3">
      <c r="B68" s="27">
        <v>2011</v>
      </c>
      <c r="C68" s="23">
        <v>0.50114973812441388</v>
      </c>
    </row>
    <row r="69" spans="2:3" x14ac:dyDescent="0.3">
      <c r="B69" s="27">
        <v>2012</v>
      </c>
      <c r="C69" s="23">
        <v>0.62299919302908058</v>
      </c>
    </row>
    <row r="70" spans="2:3" x14ac:dyDescent="0.3">
      <c r="B70" s="27">
        <v>2013</v>
      </c>
      <c r="C70" s="23">
        <v>0.6127168271331831</v>
      </c>
    </row>
    <row r="71" spans="2:3" x14ac:dyDescent="0.3">
      <c r="B71" s="27">
        <v>2014</v>
      </c>
      <c r="C71" s="23">
        <v>0.64304774686892241</v>
      </c>
    </row>
    <row r="72" spans="2:3" ht="15" thickBot="1" x14ac:dyDescent="0.35">
      <c r="B72" s="28">
        <v>2015</v>
      </c>
      <c r="C72" s="24">
        <v>0.66360723747442307</v>
      </c>
    </row>
    <row r="92" spans="2:6" x14ac:dyDescent="0.3">
      <c r="F92" t="s">
        <v>32</v>
      </c>
    </row>
    <row r="95" spans="2:6" x14ac:dyDescent="0.3">
      <c r="B95" s="29" t="s">
        <v>43</v>
      </c>
    </row>
    <row r="96" spans="2:6" ht="15" thickBot="1" x14ac:dyDescent="0.35"/>
    <row r="97" spans="2:10" x14ac:dyDescent="0.3">
      <c r="B97" s="12" t="s">
        <v>37</v>
      </c>
      <c r="C97" s="14">
        <v>6.5916814319720363</v>
      </c>
    </row>
    <row r="98" spans="2:10" x14ac:dyDescent="0.3">
      <c r="B98" s="8" t="s">
        <v>38</v>
      </c>
      <c r="C98" s="21">
        <v>1997</v>
      </c>
    </row>
    <row r="99" spans="2:10" x14ac:dyDescent="0.3">
      <c r="B99" s="8" t="s">
        <v>26</v>
      </c>
      <c r="C99" s="15">
        <v>9.1499999999999998E-2</v>
      </c>
    </row>
    <row r="100" spans="2:10" ht="15" thickBot="1" x14ac:dyDescent="0.35">
      <c r="B100" s="13" t="s">
        <v>27</v>
      </c>
      <c r="C100" s="16">
        <v>0.05</v>
      </c>
    </row>
    <row r="101" spans="2:10" x14ac:dyDescent="0.3">
      <c r="B101" s="17" t="s">
        <v>39</v>
      </c>
    </row>
    <row r="102" spans="2:10" x14ac:dyDescent="0.3">
      <c r="B102" s="17" t="s">
        <v>40</v>
      </c>
    </row>
    <row r="103" spans="2:10" x14ac:dyDescent="0.3">
      <c r="B103" s="18">
        <v>8.4073398987924958E-2</v>
      </c>
      <c r="C103" s="19">
        <v>9.8926601012075038E-2</v>
      </c>
    </row>
    <row r="106" spans="2:10" x14ac:dyDescent="0.3">
      <c r="B106" s="17" t="s">
        <v>29</v>
      </c>
    </row>
    <row r="107" spans="2:10" x14ac:dyDescent="0.3">
      <c r="B107" s="17" t="s">
        <v>41</v>
      </c>
    </row>
    <row r="108" spans="2:10" x14ac:dyDescent="0.3">
      <c r="B108" s="17" t="s">
        <v>42</v>
      </c>
    </row>
    <row r="109" spans="2:10" ht="14.4" customHeight="1" x14ac:dyDescent="0.3">
      <c r="B109" s="42" t="s">
        <v>44</v>
      </c>
      <c r="C109" s="42"/>
      <c r="D109" s="42"/>
      <c r="E109" s="42"/>
      <c r="F109" s="42"/>
      <c r="G109" s="42"/>
      <c r="H109" s="42"/>
      <c r="I109" s="42"/>
      <c r="J109" s="42"/>
    </row>
    <row r="110" spans="2:10" x14ac:dyDescent="0.3">
      <c r="B110" s="42"/>
      <c r="C110" s="42"/>
      <c r="D110" s="42"/>
      <c r="E110" s="42"/>
      <c r="F110" s="42"/>
      <c r="G110" s="42"/>
      <c r="H110" s="42"/>
      <c r="I110" s="42"/>
      <c r="J110" s="42"/>
    </row>
    <row r="111" spans="2:10" x14ac:dyDescent="0.3">
      <c r="B111" s="17" t="s">
        <v>49</v>
      </c>
    </row>
    <row r="113" spans="2:3" ht="15" thickBot="1" x14ac:dyDescent="0.35"/>
    <row r="114" spans="2:3" x14ac:dyDescent="0.3">
      <c r="B114" s="25" t="s">
        <v>0</v>
      </c>
      <c r="C114" s="10" t="s">
        <v>2</v>
      </c>
    </row>
    <row r="115" spans="2:3" x14ac:dyDescent="0.3">
      <c r="B115" s="26">
        <v>1982</v>
      </c>
      <c r="C115" s="22">
        <v>0.83765000000013856</v>
      </c>
    </row>
    <row r="116" spans="2:3" x14ac:dyDescent="0.3">
      <c r="B116" s="27">
        <v>1983</v>
      </c>
      <c r="C116" s="23">
        <v>0.91380000000015116</v>
      </c>
    </row>
    <row r="117" spans="2:3" x14ac:dyDescent="0.3">
      <c r="B117" s="27">
        <v>1984</v>
      </c>
      <c r="C117" s="23">
        <v>1.0965600000001814</v>
      </c>
    </row>
    <row r="118" spans="2:3" x14ac:dyDescent="0.3">
      <c r="B118" s="27">
        <v>1985</v>
      </c>
      <c r="C118" s="23">
        <v>1.2793200000002116</v>
      </c>
    </row>
    <row r="119" spans="2:3" x14ac:dyDescent="0.3">
      <c r="B119" s="27">
        <v>1986</v>
      </c>
      <c r="C119" s="23">
        <v>1.8580600000003074</v>
      </c>
    </row>
    <row r="120" spans="2:3" x14ac:dyDescent="0.3">
      <c r="B120" s="27">
        <v>1987</v>
      </c>
      <c r="C120" s="23">
        <v>0.70058000000011589</v>
      </c>
    </row>
    <row r="121" spans="2:3" x14ac:dyDescent="0.3">
      <c r="B121" s="27">
        <v>1988</v>
      </c>
      <c r="C121" s="23">
        <v>1.5991500000002645</v>
      </c>
    </row>
    <row r="122" spans="2:3" x14ac:dyDescent="0.3">
      <c r="B122" s="27">
        <v>1989</v>
      </c>
      <c r="C122" s="23">
        <v>0.95949000000015872</v>
      </c>
    </row>
    <row r="123" spans="2:3" x14ac:dyDescent="0.3">
      <c r="B123" s="27">
        <v>1990</v>
      </c>
      <c r="C123" s="23">
        <v>1.1422500000001889</v>
      </c>
    </row>
    <row r="124" spans="2:3" x14ac:dyDescent="0.3">
      <c r="B124" s="27">
        <v>1991</v>
      </c>
      <c r="C124" s="23">
        <v>1.1879400000001965</v>
      </c>
    </row>
    <row r="125" spans="2:3" x14ac:dyDescent="0.3">
      <c r="B125" s="27">
        <v>1992</v>
      </c>
      <c r="C125" s="23">
        <v>1.3097800000002167</v>
      </c>
    </row>
    <row r="126" spans="2:3" x14ac:dyDescent="0.3">
      <c r="B126" s="27">
        <v>1993</v>
      </c>
      <c r="C126" s="23">
        <v>1.4011600000002318</v>
      </c>
    </row>
    <row r="127" spans="2:3" x14ac:dyDescent="0.3">
      <c r="B127" s="27">
        <v>1994</v>
      </c>
      <c r="C127" s="23">
        <v>1.3250100000001446</v>
      </c>
    </row>
    <row r="128" spans="2:3" x14ac:dyDescent="0.3">
      <c r="B128" s="27">
        <v>1995</v>
      </c>
      <c r="C128" s="23">
        <v>1.0813299999999266</v>
      </c>
    </row>
    <row r="129" spans="2:3" x14ac:dyDescent="0.3">
      <c r="B129" s="27">
        <v>1996</v>
      </c>
      <c r="C129" s="23">
        <v>1.4316199999999029</v>
      </c>
    </row>
    <row r="130" spans="2:3" x14ac:dyDescent="0.3">
      <c r="B130" s="27">
        <v>1997</v>
      </c>
      <c r="C130" s="23">
        <v>1.0051799999999318</v>
      </c>
    </row>
    <row r="131" spans="2:3" x14ac:dyDescent="0.3">
      <c r="B131" s="27">
        <v>1998</v>
      </c>
      <c r="C131" s="23">
        <v>1.4316799999999112</v>
      </c>
    </row>
    <row r="132" spans="2:3" x14ac:dyDescent="0.3">
      <c r="B132" s="27">
        <v>1999</v>
      </c>
      <c r="C132" s="23">
        <v>1.7061999999999991</v>
      </c>
    </row>
    <row r="133" spans="2:3" x14ac:dyDescent="0.3">
      <c r="B133" s="27">
        <v>2000</v>
      </c>
      <c r="C133" s="23">
        <v>1.5844000000000023</v>
      </c>
    </row>
    <row r="134" spans="2:3" x14ac:dyDescent="0.3">
      <c r="B134" s="27">
        <v>2001</v>
      </c>
      <c r="C134" s="23">
        <v>1.9194999999999993</v>
      </c>
    </row>
    <row r="135" spans="2:3" x14ac:dyDescent="0.3">
      <c r="B135" s="27">
        <v>2002</v>
      </c>
      <c r="C135" s="23">
        <v>1.2491999999999983</v>
      </c>
    </row>
    <row r="136" spans="2:3" x14ac:dyDescent="0.3">
      <c r="B136" s="27">
        <v>2003</v>
      </c>
      <c r="C136" s="23">
        <v>1.2949000000000019</v>
      </c>
    </row>
    <row r="137" spans="2:3" x14ac:dyDescent="0.3">
      <c r="B137" s="27">
        <v>2004</v>
      </c>
      <c r="C137" s="23">
        <v>1.2339999999999982</v>
      </c>
    </row>
    <row r="138" spans="2:3" x14ac:dyDescent="0.3">
      <c r="B138" s="27">
        <v>2005</v>
      </c>
      <c r="C138" s="23">
        <v>1.980500000000001</v>
      </c>
    </row>
    <row r="139" spans="2:3" x14ac:dyDescent="0.3">
      <c r="B139" s="27">
        <v>2006</v>
      </c>
      <c r="C139" s="23">
        <v>0.85309999999999953</v>
      </c>
    </row>
    <row r="140" spans="2:3" x14ac:dyDescent="0.3">
      <c r="B140" s="27">
        <v>2007</v>
      </c>
      <c r="C140" s="23">
        <v>1.4168000000000003</v>
      </c>
    </row>
    <row r="141" spans="2:3" x14ac:dyDescent="0.3">
      <c r="B141" s="27">
        <v>2008</v>
      </c>
      <c r="C141" s="23">
        <v>1.2492000000000001</v>
      </c>
    </row>
    <row r="142" spans="2:3" x14ac:dyDescent="0.3">
      <c r="B142" s="27">
        <v>2009</v>
      </c>
      <c r="C142" s="23">
        <v>1.1425999999999998</v>
      </c>
    </row>
    <row r="143" spans="2:3" x14ac:dyDescent="0.3">
      <c r="B143" s="27">
        <v>2010</v>
      </c>
      <c r="C143" s="23">
        <v>1.4472000000000005</v>
      </c>
    </row>
    <row r="144" spans="2:3" x14ac:dyDescent="0.3">
      <c r="B144" s="27">
        <v>2011</v>
      </c>
      <c r="C144" s="23">
        <v>1.4321000000000002</v>
      </c>
    </row>
    <row r="145" spans="2:3" x14ac:dyDescent="0.3">
      <c r="B145" s="27">
        <v>2012</v>
      </c>
      <c r="C145" s="23">
        <v>1.8129</v>
      </c>
    </row>
    <row r="146" spans="2:3" x14ac:dyDescent="0.3">
      <c r="B146" s="27">
        <v>2013</v>
      </c>
      <c r="C146" s="23">
        <v>1.7519</v>
      </c>
    </row>
    <row r="147" spans="2:3" x14ac:dyDescent="0.3">
      <c r="B147" s="27">
        <v>2014</v>
      </c>
      <c r="C147" s="23">
        <v>1.6147999999999998</v>
      </c>
    </row>
    <row r="148" spans="2:3" ht="15" thickBot="1" x14ac:dyDescent="0.35">
      <c r="B148" s="28">
        <v>2015</v>
      </c>
      <c r="C148" s="24">
        <v>1.5082</v>
      </c>
    </row>
    <row r="168" spans="2:6" x14ac:dyDescent="0.3">
      <c r="F168" t="s">
        <v>32</v>
      </c>
    </row>
    <row r="171" spans="2:6" x14ac:dyDescent="0.3">
      <c r="B171" s="29" t="s">
        <v>45</v>
      </c>
    </row>
    <row r="172" spans="2:6" ht="15" thickBot="1" x14ac:dyDescent="0.35"/>
    <row r="173" spans="2:6" x14ac:dyDescent="0.3">
      <c r="B173" s="12" t="s">
        <v>37</v>
      </c>
      <c r="C173" s="14">
        <v>2.1568299092988505</v>
      </c>
    </row>
    <row r="174" spans="2:6" x14ac:dyDescent="0.3">
      <c r="B174" s="8" t="s">
        <v>38</v>
      </c>
      <c r="C174" s="21">
        <v>1983</v>
      </c>
    </row>
    <row r="175" spans="2:6" x14ac:dyDescent="0.3">
      <c r="B175" s="8" t="s">
        <v>26</v>
      </c>
      <c r="C175" s="15">
        <v>0.8286</v>
      </c>
    </row>
    <row r="176" spans="2:6" ht="15" thickBot="1" x14ac:dyDescent="0.35">
      <c r="B176" s="13" t="s">
        <v>27</v>
      </c>
      <c r="C176" s="16">
        <v>0.05</v>
      </c>
    </row>
    <row r="177" spans="2:10" x14ac:dyDescent="0.3">
      <c r="B177" s="17" t="s">
        <v>39</v>
      </c>
    </row>
    <row r="178" spans="2:10" x14ac:dyDescent="0.3">
      <c r="B178" s="17" t="s">
        <v>40</v>
      </c>
    </row>
    <row r="179" spans="2:10" x14ac:dyDescent="0.3">
      <c r="B179" s="18">
        <v>0.81889277820143114</v>
      </c>
      <c r="C179" s="19">
        <v>0.83830722179856887</v>
      </c>
    </row>
    <row r="182" spans="2:10" x14ac:dyDescent="0.3">
      <c r="B182" s="17" t="s">
        <v>29</v>
      </c>
    </row>
    <row r="183" spans="2:10" x14ac:dyDescent="0.3">
      <c r="B183" s="17" t="s">
        <v>41</v>
      </c>
    </row>
    <row r="184" spans="2:10" x14ac:dyDescent="0.3">
      <c r="B184" s="17" t="s">
        <v>42</v>
      </c>
    </row>
    <row r="185" spans="2:10" ht="14.4" customHeight="1" x14ac:dyDescent="0.3">
      <c r="B185" s="42" t="s">
        <v>44</v>
      </c>
      <c r="C185" s="42"/>
      <c r="D185" s="42"/>
      <c r="E185" s="42"/>
      <c r="F185" s="42"/>
      <c r="G185" s="42"/>
      <c r="H185" s="42"/>
      <c r="I185" s="42"/>
      <c r="J185" s="42"/>
    </row>
    <row r="186" spans="2:10" x14ac:dyDescent="0.3">
      <c r="B186" s="42"/>
      <c r="C186" s="42"/>
      <c r="D186" s="42"/>
      <c r="E186" s="42"/>
      <c r="F186" s="42"/>
      <c r="G186" s="42"/>
      <c r="H186" s="42"/>
      <c r="I186" s="42"/>
      <c r="J186" s="42"/>
    </row>
    <row r="187" spans="2:10" x14ac:dyDescent="0.3">
      <c r="B187" s="17" t="s">
        <v>50</v>
      </c>
    </row>
    <row r="189" spans="2:10" ht="15" thickBot="1" x14ac:dyDescent="0.35"/>
    <row r="190" spans="2:10" x14ac:dyDescent="0.3">
      <c r="B190" s="25" t="s">
        <v>0</v>
      </c>
      <c r="C190" s="10" t="s">
        <v>3</v>
      </c>
    </row>
    <row r="191" spans="2:10" x14ac:dyDescent="0.3">
      <c r="B191" s="26">
        <v>1982</v>
      </c>
      <c r="C191" s="22">
        <v>0.68310987106122123</v>
      </c>
    </row>
    <row r="192" spans="2:10" x14ac:dyDescent="0.3">
      <c r="B192" s="27">
        <v>1983</v>
      </c>
      <c r="C192" s="23">
        <v>0.72826906835211447</v>
      </c>
    </row>
    <row r="193" spans="2:3" x14ac:dyDescent="0.3">
      <c r="B193" s="27">
        <v>1984</v>
      </c>
      <c r="C193" s="23">
        <v>0.88568836949753349</v>
      </c>
    </row>
    <row r="194" spans="2:3" x14ac:dyDescent="0.3">
      <c r="B194" s="27">
        <v>1985</v>
      </c>
      <c r="C194" s="23">
        <v>1.1674105966006876</v>
      </c>
    </row>
    <row r="195" spans="2:3" x14ac:dyDescent="0.3">
      <c r="B195" s="27">
        <v>1986</v>
      </c>
      <c r="C195" s="23">
        <v>1.4030890835955858</v>
      </c>
    </row>
    <row r="196" spans="2:3" x14ac:dyDescent="0.3">
      <c r="B196" s="27">
        <v>1987</v>
      </c>
      <c r="C196" s="23">
        <v>0.5389569898366563</v>
      </c>
    </row>
    <row r="197" spans="2:3" x14ac:dyDescent="0.3">
      <c r="B197" s="27">
        <v>1988</v>
      </c>
      <c r="C197" s="23">
        <v>1.2576249721593553</v>
      </c>
    </row>
    <row r="198" spans="2:3" x14ac:dyDescent="0.3">
      <c r="B198" s="27">
        <v>1989</v>
      </c>
      <c r="C198" s="23">
        <v>0.56588369586877274</v>
      </c>
    </row>
    <row r="199" spans="2:3" x14ac:dyDescent="0.3">
      <c r="B199" s="27">
        <v>1990</v>
      </c>
      <c r="C199" s="23">
        <v>0.86194817568009019</v>
      </c>
    </row>
    <row r="200" spans="2:3" x14ac:dyDescent="0.3">
      <c r="B200" s="27">
        <v>1991</v>
      </c>
      <c r="C200" s="23">
        <v>0.9264206088151139</v>
      </c>
    </row>
    <row r="201" spans="2:3" x14ac:dyDescent="0.3">
      <c r="B201" s="27">
        <v>1992</v>
      </c>
      <c r="C201" s="23">
        <v>0.97465862612358045</v>
      </c>
    </row>
    <row r="202" spans="2:3" x14ac:dyDescent="0.3">
      <c r="B202" s="27">
        <v>1993</v>
      </c>
      <c r="C202" s="23">
        <v>0.97317594558235787</v>
      </c>
    </row>
    <row r="203" spans="2:3" x14ac:dyDescent="0.3">
      <c r="B203" s="27">
        <v>1994</v>
      </c>
      <c r="C203" s="23">
        <v>0.99582974458101248</v>
      </c>
    </row>
    <row r="204" spans="2:3" x14ac:dyDescent="0.3">
      <c r="B204" s="27">
        <v>1995</v>
      </c>
      <c r="C204" s="23">
        <v>0.84287110235252161</v>
      </c>
    </row>
    <row r="205" spans="2:3" x14ac:dyDescent="0.3">
      <c r="B205" s="27">
        <v>1996</v>
      </c>
      <c r="C205" s="23">
        <v>0.88887193644741924</v>
      </c>
    </row>
    <row r="206" spans="2:3" x14ac:dyDescent="0.3">
      <c r="B206" s="27">
        <v>1997</v>
      </c>
      <c r="C206" s="23">
        <v>0.65845038934177291</v>
      </c>
    </row>
    <row r="207" spans="2:3" x14ac:dyDescent="0.3">
      <c r="B207" s="27">
        <v>1998</v>
      </c>
      <c r="C207" s="23">
        <v>0.94814671072562851</v>
      </c>
    </row>
    <row r="208" spans="2:3" x14ac:dyDescent="0.3">
      <c r="B208" s="27">
        <v>1999</v>
      </c>
      <c r="C208" s="23">
        <v>1.1952865370051757</v>
      </c>
    </row>
    <row r="209" spans="2:3" x14ac:dyDescent="0.3">
      <c r="B209" s="27">
        <v>2000</v>
      </c>
      <c r="C209" s="23">
        <v>1.0121193118642471</v>
      </c>
    </row>
    <row r="210" spans="2:3" x14ac:dyDescent="0.3">
      <c r="B210" s="27">
        <v>2001</v>
      </c>
      <c r="C210" s="23">
        <v>1.3122240190157819</v>
      </c>
    </row>
    <row r="211" spans="2:3" x14ac:dyDescent="0.3">
      <c r="B211" s="27">
        <v>2002</v>
      </c>
      <c r="C211" s="23">
        <v>0.85663899539126565</v>
      </c>
    </row>
    <row r="212" spans="2:3" x14ac:dyDescent="0.3">
      <c r="B212" s="27">
        <v>2003</v>
      </c>
      <c r="C212" s="23">
        <v>0.82168908536061291</v>
      </c>
    </row>
    <row r="213" spans="2:3" x14ac:dyDescent="0.3">
      <c r="B213" s="27">
        <v>2004</v>
      </c>
      <c r="C213" s="23">
        <v>0.76782043837260705</v>
      </c>
    </row>
    <row r="214" spans="2:3" x14ac:dyDescent="0.3">
      <c r="B214" s="27">
        <v>2005</v>
      </c>
      <c r="C214" s="23">
        <v>1.251085813910034</v>
      </c>
    </row>
    <row r="215" spans="2:3" x14ac:dyDescent="0.3">
      <c r="B215" s="27">
        <v>2006</v>
      </c>
      <c r="C215" s="23">
        <v>0.621147727433075</v>
      </c>
    </row>
    <row r="216" spans="2:3" x14ac:dyDescent="0.3">
      <c r="B216" s="27">
        <v>2007</v>
      </c>
      <c r="C216" s="23">
        <v>0.90979546850138193</v>
      </c>
    </row>
    <row r="217" spans="2:3" x14ac:dyDescent="0.3">
      <c r="B217" s="27">
        <v>2008</v>
      </c>
      <c r="C217" s="23">
        <v>0.84004034149575291</v>
      </c>
    </row>
    <row r="218" spans="2:3" x14ac:dyDescent="0.3">
      <c r="B218" s="27">
        <v>2009</v>
      </c>
      <c r="C218" s="23">
        <v>0.64432765530654679</v>
      </c>
    </row>
    <row r="219" spans="2:3" x14ac:dyDescent="0.3">
      <c r="B219" s="27">
        <v>2010</v>
      </c>
      <c r="C219" s="23">
        <v>0.92240016754082244</v>
      </c>
    </row>
    <row r="220" spans="2:3" x14ac:dyDescent="0.3">
      <c r="B220" s="27">
        <v>2011</v>
      </c>
      <c r="C220" s="23">
        <v>0.71769653996797322</v>
      </c>
    </row>
    <row r="221" spans="2:3" x14ac:dyDescent="0.3">
      <c r="B221" s="27">
        <v>2012</v>
      </c>
      <c r="C221" s="23">
        <v>1.1294352370424201</v>
      </c>
    </row>
    <row r="222" spans="2:3" x14ac:dyDescent="0.3">
      <c r="B222" s="27">
        <v>2013</v>
      </c>
      <c r="C222" s="23">
        <v>1.0734186094546234</v>
      </c>
    </row>
    <row r="223" spans="2:3" x14ac:dyDescent="0.3">
      <c r="B223" s="27">
        <v>2014</v>
      </c>
      <c r="C223" s="23">
        <v>1.0383935016439358</v>
      </c>
    </row>
    <row r="224" spans="2:3" ht="15" thickBot="1" x14ac:dyDescent="0.35">
      <c r="B224" s="28">
        <v>2015</v>
      </c>
      <c r="C224" s="24">
        <v>1.0008524355589248</v>
      </c>
    </row>
    <row r="244" spans="6:6" x14ac:dyDescent="0.3">
      <c r="F244" t="s">
        <v>32</v>
      </c>
    </row>
  </sheetData>
  <mergeCells count="3">
    <mergeCell ref="B33:J34"/>
    <mergeCell ref="B109:J110"/>
    <mergeCell ref="B185:J186"/>
  </mergeCells>
  <pageMargins left="0.7" right="0.7" top="0.75" bottom="0.75" header="0.3" footer="0.3"/>
  <ignoredErrors>
    <ignoredError sqref="A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B608-DC52-4DB7-9DC4-E0178A7CF0CF}">
  <sheetPr>
    <tabColor rgb="FF007800"/>
  </sheetPr>
  <dimension ref="B1:J337"/>
  <sheetViews>
    <sheetView topLeftCell="A99" zoomScaleNormal="100" workbookViewId="0">
      <selection activeCell="F18" sqref="F18"/>
    </sheetView>
  </sheetViews>
  <sheetFormatPr baseColWidth="10" defaultRowHeight="14.4" x14ac:dyDescent="0.3"/>
  <cols>
    <col min="1" max="1" width="6.21875" customWidth="1"/>
    <col min="2" max="2" width="11.5546875" customWidth="1"/>
  </cols>
  <sheetData>
    <row r="1" spans="2:9" x14ac:dyDescent="0.3">
      <c r="B1" t="s">
        <v>52</v>
      </c>
    </row>
    <row r="2" spans="2:9" x14ac:dyDescent="0.3">
      <c r="B2" t="s">
        <v>53</v>
      </c>
    </row>
    <row r="3" spans="2:9" x14ac:dyDescent="0.3">
      <c r="B3" t="s">
        <v>54</v>
      </c>
    </row>
    <row r="4" spans="2:9" x14ac:dyDescent="0.3">
      <c r="B4" t="s">
        <v>33</v>
      </c>
    </row>
    <row r="5" spans="2:9" x14ac:dyDescent="0.3">
      <c r="B5" t="s">
        <v>34</v>
      </c>
    </row>
    <row r="6" spans="2:9" x14ac:dyDescent="0.3">
      <c r="B6" t="s">
        <v>35</v>
      </c>
    </row>
    <row r="7" spans="2:9" x14ac:dyDescent="0.3">
      <c r="B7" t="s">
        <v>56</v>
      </c>
    </row>
    <row r="11" spans="2:9" x14ac:dyDescent="0.3">
      <c r="B11" t="s">
        <v>17</v>
      </c>
    </row>
    <row r="12" spans="2:9" ht="15" thickBot="1" x14ac:dyDescent="0.35"/>
    <row r="13" spans="2:9" x14ac:dyDescent="0.3">
      <c r="B13" s="9" t="s">
        <v>18</v>
      </c>
      <c r="C13" s="10" t="s">
        <v>19</v>
      </c>
      <c r="D13" s="10" t="s">
        <v>20</v>
      </c>
      <c r="E13" s="10" t="s">
        <v>21</v>
      </c>
      <c r="F13" s="10" t="s">
        <v>22</v>
      </c>
      <c r="G13" s="10" t="s">
        <v>23</v>
      </c>
      <c r="H13" s="10" t="s">
        <v>24</v>
      </c>
      <c r="I13" s="10" t="s">
        <v>25</v>
      </c>
    </row>
    <row r="14" spans="2:9" x14ac:dyDescent="0.3">
      <c r="B14" s="11" t="s">
        <v>1</v>
      </c>
      <c r="C14" s="26">
        <v>65</v>
      </c>
      <c r="D14" s="26">
        <v>0</v>
      </c>
      <c r="E14" s="26">
        <v>65</v>
      </c>
      <c r="F14" s="22">
        <v>0.48742451916175678</v>
      </c>
      <c r="G14" s="22">
        <v>1.14852263409818</v>
      </c>
      <c r="H14" s="22">
        <v>0.73816235344868164</v>
      </c>
      <c r="I14" s="22">
        <v>0.13885382169924668</v>
      </c>
    </row>
    <row r="15" spans="2:9" x14ac:dyDescent="0.3">
      <c r="B15" s="8" t="s">
        <v>2</v>
      </c>
      <c r="C15" s="27">
        <v>65</v>
      </c>
      <c r="D15" s="27">
        <v>0</v>
      </c>
      <c r="E15" s="27">
        <v>65</v>
      </c>
      <c r="F15" s="23">
        <v>0.70745000000000857</v>
      </c>
      <c r="G15" s="23">
        <v>1.6613499999999999</v>
      </c>
      <c r="H15" s="23">
        <v>1.0949807692307771</v>
      </c>
      <c r="I15" s="23">
        <v>0.19052121471692374</v>
      </c>
    </row>
    <row r="16" spans="2:9" ht="15" thickBot="1" x14ac:dyDescent="0.35">
      <c r="B16" s="13" t="s">
        <v>3</v>
      </c>
      <c r="C16" s="28">
        <v>65</v>
      </c>
      <c r="D16" s="28">
        <v>0</v>
      </c>
      <c r="E16" s="28">
        <v>65</v>
      </c>
      <c r="F16" s="24">
        <v>0.42651678705360857</v>
      </c>
      <c r="G16" s="24">
        <v>1.3286855951720937</v>
      </c>
      <c r="H16" s="24">
        <v>0.81143473261414545</v>
      </c>
      <c r="I16" s="24">
        <v>0.21071299038334659</v>
      </c>
    </row>
    <row r="19" spans="2:3" x14ac:dyDescent="0.3">
      <c r="B19" s="29" t="s">
        <v>36</v>
      </c>
    </row>
    <row r="20" spans="2:3" ht="15" thickBot="1" x14ac:dyDescent="0.35"/>
    <row r="21" spans="2:3" x14ac:dyDescent="0.3">
      <c r="B21" s="12" t="s">
        <v>37</v>
      </c>
      <c r="C21" s="14">
        <v>31.067308810706763</v>
      </c>
    </row>
    <row r="22" spans="2:3" x14ac:dyDescent="0.3">
      <c r="B22" s="8" t="s">
        <v>38</v>
      </c>
      <c r="C22" s="21">
        <v>1986</v>
      </c>
    </row>
    <row r="23" spans="2:3" x14ac:dyDescent="0.3">
      <c r="B23" s="8" t="s">
        <v>26</v>
      </c>
      <c r="C23" s="15" t="s">
        <v>28</v>
      </c>
    </row>
    <row r="24" spans="2:3" ht="15" thickBot="1" x14ac:dyDescent="0.35">
      <c r="B24" s="13" t="s">
        <v>27</v>
      </c>
      <c r="C24" s="16">
        <v>0.05</v>
      </c>
    </row>
    <row r="25" spans="2:3" x14ac:dyDescent="0.3">
      <c r="B25" s="17" t="s">
        <v>39</v>
      </c>
    </row>
    <row r="26" spans="2:3" x14ac:dyDescent="0.3">
      <c r="B26" s="17" t="s">
        <v>40</v>
      </c>
    </row>
    <row r="27" spans="2:3" x14ac:dyDescent="0.3">
      <c r="B27" s="18">
        <v>0</v>
      </c>
      <c r="C27" s="19">
        <v>0</v>
      </c>
    </row>
    <row r="30" spans="2:3" x14ac:dyDescent="0.3">
      <c r="B30" s="17" t="s">
        <v>29</v>
      </c>
    </row>
    <row r="31" spans="2:3" x14ac:dyDescent="0.3">
      <c r="B31" s="17" t="s">
        <v>41</v>
      </c>
    </row>
    <row r="32" spans="2:3" x14ac:dyDescent="0.3">
      <c r="B32" s="17" t="s">
        <v>42</v>
      </c>
    </row>
    <row r="33" spans="2:10" ht="14.4" customHeight="1" x14ac:dyDescent="0.3">
      <c r="B33" s="42" t="s">
        <v>30</v>
      </c>
      <c r="C33" s="42"/>
      <c r="D33" s="42"/>
      <c r="E33" s="42"/>
      <c r="F33" s="42"/>
      <c r="G33" s="42"/>
      <c r="H33" s="42"/>
      <c r="I33" s="42"/>
      <c r="J33" s="42"/>
    </row>
    <row r="34" spans="2:10" x14ac:dyDescent="0.3">
      <c r="B34" s="42"/>
      <c r="C34" s="42"/>
      <c r="D34" s="42"/>
      <c r="E34" s="42"/>
      <c r="F34" s="42"/>
      <c r="G34" s="42"/>
      <c r="H34" s="42"/>
      <c r="I34" s="42"/>
      <c r="J34" s="42"/>
    </row>
    <row r="35" spans="2:10" x14ac:dyDescent="0.3">
      <c r="B35" s="17" t="s">
        <v>31</v>
      </c>
    </row>
    <row r="37" spans="2:10" ht="15" thickBot="1" x14ac:dyDescent="0.35"/>
    <row r="38" spans="2:10" x14ac:dyDescent="0.3">
      <c r="B38" s="25" t="s">
        <v>0</v>
      </c>
      <c r="C38" s="10" t="s">
        <v>1</v>
      </c>
    </row>
    <row r="39" spans="2:10" x14ac:dyDescent="0.3">
      <c r="B39" s="26">
        <v>1951</v>
      </c>
      <c r="C39" s="22">
        <v>0.8840593156021278</v>
      </c>
    </row>
    <row r="40" spans="2:10" x14ac:dyDescent="0.3">
      <c r="B40" s="27">
        <v>1952</v>
      </c>
      <c r="C40" s="23">
        <v>0.79436286427064873</v>
      </c>
    </row>
    <row r="41" spans="2:10" x14ac:dyDescent="0.3">
      <c r="B41" s="27">
        <v>1953</v>
      </c>
      <c r="C41" s="23">
        <v>0.73597317448817812</v>
      </c>
    </row>
    <row r="42" spans="2:10" x14ac:dyDescent="0.3">
      <c r="B42" s="27">
        <v>1954</v>
      </c>
      <c r="C42" s="23">
        <v>0.73710362281210862</v>
      </c>
    </row>
    <row r="43" spans="2:10" x14ac:dyDescent="0.3">
      <c r="B43" s="27">
        <v>1955</v>
      </c>
      <c r="C43" s="23">
        <v>0.74330277007338164</v>
      </c>
    </row>
    <row r="44" spans="2:10" x14ac:dyDescent="0.3">
      <c r="B44" s="27">
        <v>1956</v>
      </c>
      <c r="C44" s="23">
        <v>0.70946068030296328</v>
      </c>
    </row>
    <row r="45" spans="2:10" x14ac:dyDescent="0.3">
      <c r="B45" s="27">
        <v>1957</v>
      </c>
      <c r="C45" s="23">
        <v>0.75992428640024401</v>
      </c>
    </row>
    <row r="46" spans="2:10" x14ac:dyDescent="0.3">
      <c r="B46" s="27">
        <v>1958</v>
      </c>
      <c r="C46" s="23">
        <v>0.69201293904788752</v>
      </c>
    </row>
    <row r="47" spans="2:10" x14ac:dyDescent="0.3">
      <c r="B47" s="27">
        <v>1959</v>
      </c>
      <c r="C47" s="23">
        <v>0.87291380798157425</v>
      </c>
    </row>
    <row r="48" spans="2:10" x14ac:dyDescent="0.3">
      <c r="B48" s="27">
        <v>1960</v>
      </c>
      <c r="C48" s="23">
        <v>0.76617173703511665</v>
      </c>
    </row>
    <row r="49" spans="2:3" x14ac:dyDescent="0.3">
      <c r="B49" s="27">
        <v>1961</v>
      </c>
      <c r="C49" s="23">
        <v>0.93128588043147176</v>
      </c>
    </row>
    <row r="50" spans="2:3" x14ac:dyDescent="0.3">
      <c r="B50" s="27">
        <v>1962</v>
      </c>
      <c r="C50" s="23">
        <v>0.97069644014368572</v>
      </c>
    </row>
    <row r="51" spans="2:3" x14ac:dyDescent="0.3">
      <c r="B51" s="27">
        <v>1963</v>
      </c>
      <c r="C51" s="23">
        <v>0.83939595241303389</v>
      </c>
    </row>
    <row r="52" spans="2:3" x14ac:dyDescent="0.3">
      <c r="B52" s="27">
        <v>1964</v>
      </c>
      <c r="C52" s="23">
        <v>0.67956555718654232</v>
      </c>
    </row>
    <row r="53" spans="2:3" x14ac:dyDescent="0.3">
      <c r="B53" s="27">
        <v>1965</v>
      </c>
      <c r="C53" s="23">
        <v>0.64331767435975162</v>
      </c>
    </row>
    <row r="54" spans="2:3" x14ac:dyDescent="0.3">
      <c r="B54" s="27">
        <v>1966</v>
      </c>
      <c r="C54" s="23">
        <v>0.73602325490666343</v>
      </c>
    </row>
    <row r="55" spans="2:3" x14ac:dyDescent="0.3">
      <c r="B55" s="27">
        <v>1967</v>
      </c>
      <c r="C55" s="23">
        <v>0.77106668049929805</v>
      </c>
    </row>
    <row r="56" spans="2:3" x14ac:dyDescent="0.3">
      <c r="B56" s="27">
        <v>1968</v>
      </c>
      <c r="C56" s="23">
        <v>0.80596840063187669</v>
      </c>
    </row>
    <row r="57" spans="2:3" x14ac:dyDescent="0.3">
      <c r="B57" s="27">
        <v>1969</v>
      </c>
      <c r="C57" s="23">
        <v>0.78928831408450084</v>
      </c>
    </row>
    <row r="58" spans="2:3" x14ac:dyDescent="0.3">
      <c r="B58" s="27">
        <v>1970</v>
      </c>
      <c r="C58" s="23">
        <v>0.86926447850477984</v>
      </c>
    </row>
    <row r="59" spans="2:3" x14ac:dyDescent="0.3">
      <c r="B59" s="27">
        <v>1971</v>
      </c>
      <c r="C59" s="23">
        <v>0.86006293352650398</v>
      </c>
    </row>
    <row r="60" spans="2:3" x14ac:dyDescent="0.3">
      <c r="B60" s="27">
        <v>1972</v>
      </c>
      <c r="C60" s="23">
        <v>0.85798613598789975</v>
      </c>
    </row>
    <row r="61" spans="2:3" x14ac:dyDescent="0.3">
      <c r="B61" s="27">
        <v>1973</v>
      </c>
      <c r="C61" s="23">
        <v>1.14852263409818</v>
      </c>
    </row>
    <row r="62" spans="2:3" x14ac:dyDescent="0.3">
      <c r="B62" s="27">
        <v>1974</v>
      </c>
      <c r="C62" s="23">
        <v>1.0672407384702209</v>
      </c>
    </row>
    <row r="63" spans="2:3" x14ac:dyDescent="0.3">
      <c r="B63" s="27">
        <v>1975</v>
      </c>
      <c r="C63" s="23">
        <v>0.89822413356091457</v>
      </c>
    </row>
    <row r="64" spans="2:3" x14ac:dyDescent="0.3">
      <c r="B64" s="27">
        <v>1976</v>
      </c>
      <c r="C64" s="23">
        <v>0.85404013161630354</v>
      </c>
    </row>
    <row r="65" spans="2:3" x14ac:dyDescent="0.3">
      <c r="B65" s="27">
        <v>1977</v>
      </c>
      <c r="C65" s="23">
        <v>0.91516845475343067</v>
      </c>
    </row>
    <row r="66" spans="2:3" x14ac:dyDescent="0.3">
      <c r="B66" s="27">
        <v>1978</v>
      </c>
      <c r="C66" s="23">
        <v>0.9895689464205436</v>
      </c>
    </row>
    <row r="67" spans="2:3" x14ac:dyDescent="0.3">
      <c r="B67" s="27">
        <v>1979</v>
      </c>
      <c r="C67" s="23">
        <v>0.82012318739592382</v>
      </c>
    </row>
    <row r="68" spans="2:3" x14ac:dyDescent="0.3">
      <c r="B68" s="27">
        <v>1980</v>
      </c>
      <c r="C68" s="23">
        <v>0.85337161306901299</v>
      </c>
    </row>
    <row r="69" spans="2:3" x14ac:dyDescent="0.3">
      <c r="B69" s="27">
        <v>1981</v>
      </c>
      <c r="C69" s="23">
        <v>0.93029318572324948</v>
      </c>
    </row>
    <row r="70" spans="2:3" x14ac:dyDescent="0.3">
      <c r="B70" s="27">
        <v>1982</v>
      </c>
      <c r="C70" s="23">
        <v>0.74777002756884015</v>
      </c>
    </row>
    <row r="71" spans="2:3" x14ac:dyDescent="0.3">
      <c r="B71" s="27">
        <v>1983</v>
      </c>
      <c r="C71" s="23">
        <v>0.78033679487186247</v>
      </c>
    </row>
    <row r="72" spans="2:3" x14ac:dyDescent="0.3">
      <c r="B72" s="27">
        <v>1984</v>
      </c>
      <c r="C72" s="23">
        <v>0.6711455359921854</v>
      </c>
    </row>
    <row r="73" spans="2:3" x14ac:dyDescent="0.3">
      <c r="B73" s="27">
        <v>1985</v>
      </c>
      <c r="C73" s="23">
        <v>0.77746703677571294</v>
      </c>
    </row>
    <row r="74" spans="2:3" x14ac:dyDescent="0.3">
      <c r="B74" s="27">
        <v>1986</v>
      </c>
      <c r="C74" s="23">
        <v>0.77308993976563956</v>
      </c>
    </row>
    <row r="75" spans="2:3" x14ac:dyDescent="0.3">
      <c r="B75" s="27">
        <v>1987</v>
      </c>
      <c r="C75" s="23">
        <v>0.56424657468312156</v>
      </c>
    </row>
    <row r="76" spans="2:3" x14ac:dyDescent="0.3">
      <c r="B76" s="27">
        <v>1988</v>
      </c>
      <c r="C76" s="23">
        <v>0.52716806175559072</v>
      </c>
    </row>
    <row r="77" spans="2:3" x14ac:dyDescent="0.3">
      <c r="B77" s="27">
        <v>1989</v>
      </c>
      <c r="C77" s="23">
        <v>0.57305042588842547</v>
      </c>
    </row>
    <row r="78" spans="2:3" x14ac:dyDescent="0.3">
      <c r="B78" s="27">
        <v>1990</v>
      </c>
      <c r="C78" s="23">
        <v>0.60682863482004068</v>
      </c>
    </row>
    <row r="79" spans="2:3" x14ac:dyDescent="0.3">
      <c r="B79" s="27">
        <v>1991</v>
      </c>
      <c r="C79" s="23">
        <v>0.60051194166138622</v>
      </c>
    </row>
    <row r="80" spans="2:3" x14ac:dyDescent="0.3">
      <c r="B80" s="27">
        <v>1992</v>
      </c>
      <c r="C80" s="23">
        <v>0.63733925213484843</v>
      </c>
    </row>
    <row r="81" spans="2:3" x14ac:dyDescent="0.3">
      <c r="B81" s="27">
        <v>1993</v>
      </c>
      <c r="C81" s="23">
        <v>0.73340451505927184</v>
      </c>
    </row>
    <row r="82" spans="2:3" x14ac:dyDescent="0.3">
      <c r="B82" s="27">
        <v>1994</v>
      </c>
      <c r="C82" s="23">
        <v>0.89485913084837687</v>
      </c>
    </row>
    <row r="83" spans="2:3" x14ac:dyDescent="0.3">
      <c r="B83" s="27">
        <v>1995</v>
      </c>
      <c r="C83" s="23">
        <v>0.77288175141005988</v>
      </c>
    </row>
    <row r="84" spans="2:3" x14ac:dyDescent="0.3">
      <c r="B84" s="27">
        <v>1996</v>
      </c>
      <c r="C84" s="23">
        <v>0.60864243427221498</v>
      </c>
    </row>
    <row r="85" spans="2:3" x14ac:dyDescent="0.3">
      <c r="B85" s="27">
        <v>1997</v>
      </c>
      <c r="C85" s="23">
        <v>0.57386193314575706</v>
      </c>
    </row>
    <row r="86" spans="2:3" x14ac:dyDescent="0.3">
      <c r="B86" s="27">
        <v>1998</v>
      </c>
      <c r="C86" s="23">
        <v>0.52908184724585228</v>
      </c>
    </row>
    <row r="87" spans="2:3" x14ac:dyDescent="0.3">
      <c r="B87" s="27">
        <v>1999</v>
      </c>
      <c r="C87" s="23">
        <v>0.59948203148410917</v>
      </c>
    </row>
    <row r="88" spans="2:3" x14ac:dyDescent="0.3">
      <c r="B88" s="27">
        <v>2000</v>
      </c>
      <c r="C88" s="23">
        <v>0.7008806818208736</v>
      </c>
    </row>
    <row r="89" spans="2:3" x14ac:dyDescent="0.3">
      <c r="B89" s="27">
        <v>2001</v>
      </c>
      <c r="C89" s="23">
        <v>0.62380953543353201</v>
      </c>
    </row>
    <row r="90" spans="2:3" x14ac:dyDescent="0.3">
      <c r="B90" s="27">
        <v>2002</v>
      </c>
      <c r="C90" s="23">
        <v>0.48742451916175678</v>
      </c>
    </row>
    <row r="91" spans="2:3" x14ac:dyDescent="0.3">
      <c r="B91" s="27">
        <v>2003</v>
      </c>
      <c r="C91" s="23">
        <v>0.53957047445624007</v>
      </c>
    </row>
    <row r="92" spans="2:3" x14ac:dyDescent="0.3">
      <c r="B92" s="27">
        <v>2004</v>
      </c>
      <c r="C92" s="23">
        <v>0.61407763404099669</v>
      </c>
    </row>
    <row r="93" spans="2:3" x14ac:dyDescent="0.3">
      <c r="B93" s="27">
        <v>2005</v>
      </c>
      <c r="C93" s="23">
        <v>0.71016198852487178</v>
      </c>
    </row>
    <row r="94" spans="2:3" x14ac:dyDescent="0.3">
      <c r="B94" s="27">
        <v>2006</v>
      </c>
      <c r="C94" s="23">
        <v>0.68828896411449936</v>
      </c>
    </row>
    <row r="95" spans="2:3" x14ac:dyDescent="0.3">
      <c r="B95" s="27">
        <v>2007</v>
      </c>
      <c r="C95" s="23">
        <v>0.66820878270452211</v>
      </c>
    </row>
    <row r="96" spans="2:3" x14ac:dyDescent="0.3">
      <c r="B96" s="27">
        <v>2008</v>
      </c>
      <c r="C96" s="23">
        <v>0.66878828682890168</v>
      </c>
    </row>
    <row r="97" spans="2:3" x14ac:dyDescent="0.3">
      <c r="B97" s="27">
        <v>2009</v>
      </c>
      <c r="C97" s="23">
        <v>0.64925692520316236</v>
      </c>
    </row>
    <row r="98" spans="2:3" x14ac:dyDescent="0.3">
      <c r="B98" s="27">
        <v>2010</v>
      </c>
      <c r="C98" s="23">
        <v>0.74676148601992631</v>
      </c>
    </row>
    <row r="99" spans="2:3" x14ac:dyDescent="0.3">
      <c r="B99" s="27">
        <v>2011</v>
      </c>
      <c r="C99" s="23">
        <v>0.62489176601921459</v>
      </c>
    </row>
    <row r="100" spans="2:3" x14ac:dyDescent="0.3">
      <c r="B100" s="27">
        <v>2012</v>
      </c>
      <c r="C100" s="23">
        <v>0.52600275868127733</v>
      </c>
    </row>
    <row r="101" spans="2:3" x14ac:dyDescent="0.3">
      <c r="B101" s="27">
        <v>2013</v>
      </c>
      <c r="C101" s="23">
        <v>0.57414765617912422</v>
      </c>
    </row>
    <row r="102" spans="2:3" x14ac:dyDescent="0.3">
      <c r="B102" s="27">
        <v>2014</v>
      </c>
      <c r="C102" s="23">
        <v>0.64016044547260831</v>
      </c>
    </row>
    <row r="103" spans="2:3" ht="15" thickBot="1" x14ac:dyDescent="0.35">
      <c r="B103" s="28">
        <v>2015</v>
      </c>
      <c r="C103" s="24">
        <v>0.6211932743214883</v>
      </c>
    </row>
    <row r="123" spans="2:6" x14ac:dyDescent="0.3">
      <c r="F123" t="s">
        <v>32</v>
      </c>
    </row>
    <row r="126" spans="2:6" x14ac:dyDescent="0.3">
      <c r="B126" s="29" t="s">
        <v>43</v>
      </c>
    </row>
    <row r="127" spans="2:6" ht="15" thickBot="1" x14ac:dyDescent="0.35"/>
    <row r="128" spans="2:6" x14ac:dyDescent="0.3">
      <c r="B128" s="12" t="s">
        <v>37</v>
      </c>
      <c r="C128" s="14">
        <v>2.7450659321187163</v>
      </c>
    </row>
    <row r="129" spans="2:10" x14ac:dyDescent="0.3">
      <c r="B129" s="8" t="s">
        <v>38</v>
      </c>
      <c r="C129" s="21">
        <v>1995</v>
      </c>
    </row>
    <row r="130" spans="2:10" x14ac:dyDescent="0.3">
      <c r="B130" s="8" t="s">
        <v>26</v>
      </c>
      <c r="C130" s="15">
        <v>0.77539999999999998</v>
      </c>
    </row>
    <row r="131" spans="2:10" ht="15" thickBot="1" x14ac:dyDescent="0.35">
      <c r="B131" s="13" t="s">
        <v>27</v>
      </c>
      <c r="C131" s="16">
        <v>0.05</v>
      </c>
    </row>
    <row r="132" spans="2:10" x14ac:dyDescent="0.3">
      <c r="B132" s="17" t="s">
        <v>39</v>
      </c>
    </row>
    <row r="133" spans="2:10" x14ac:dyDescent="0.3">
      <c r="B133" s="17" t="s">
        <v>40</v>
      </c>
    </row>
    <row r="134" spans="2:10" x14ac:dyDescent="0.3">
      <c r="B134" s="18">
        <v>0.7646505844067345</v>
      </c>
      <c r="C134" s="19">
        <v>0.78614941559326545</v>
      </c>
    </row>
    <row r="137" spans="2:10" x14ac:dyDescent="0.3">
      <c r="B137" s="17" t="s">
        <v>29</v>
      </c>
    </row>
    <row r="138" spans="2:10" x14ac:dyDescent="0.3">
      <c r="B138" s="17" t="s">
        <v>41</v>
      </c>
    </row>
    <row r="139" spans="2:10" x14ac:dyDescent="0.3">
      <c r="B139" s="17" t="s">
        <v>42</v>
      </c>
    </row>
    <row r="140" spans="2:10" ht="14.4" customHeight="1" x14ac:dyDescent="0.3">
      <c r="B140" s="42" t="s">
        <v>44</v>
      </c>
      <c r="C140" s="42"/>
      <c r="D140" s="42"/>
      <c r="E140" s="42"/>
      <c r="F140" s="42"/>
      <c r="G140" s="42"/>
      <c r="H140" s="42"/>
      <c r="I140" s="42"/>
      <c r="J140" s="42"/>
    </row>
    <row r="141" spans="2:10" x14ac:dyDescent="0.3">
      <c r="B141" s="42"/>
      <c r="C141" s="42"/>
      <c r="D141" s="42"/>
      <c r="E141" s="42"/>
      <c r="F141" s="42"/>
      <c r="G141" s="42"/>
      <c r="H141" s="42"/>
      <c r="I141" s="42"/>
      <c r="J141" s="42"/>
    </row>
    <row r="142" spans="2:10" x14ac:dyDescent="0.3">
      <c r="B142" s="17" t="s">
        <v>55</v>
      </c>
    </row>
    <row r="144" spans="2:10" ht="15" thickBot="1" x14ac:dyDescent="0.35"/>
    <row r="145" spans="2:3" x14ac:dyDescent="0.3">
      <c r="B145" s="25" t="s">
        <v>0</v>
      </c>
      <c r="C145" s="10" t="s">
        <v>2</v>
      </c>
    </row>
    <row r="146" spans="2:3" x14ac:dyDescent="0.3">
      <c r="B146" s="26">
        <v>1951</v>
      </c>
      <c r="C146" s="22">
        <v>0.92250000000001364</v>
      </c>
    </row>
    <row r="147" spans="2:3" x14ac:dyDescent="0.3">
      <c r="B147" s="27">
        <v>1952</v>
      </c>
      <c r="C147" s="23">
        <v>1.2300000000000182</v>
      </c>
    </row>
    <row r="148" spans="2:3" x14ac:dyDescent="0.3">
      <c r="B148" s="27">
        <v>1953</v>
      </c>
      <c r="C148" s="23">
        <v>0.95325000000001125</v>
      </c>
    </row>
    <row r="149" spans="2:3" x14ac:dyDescent="0.3">
      <c r="B149" s="27">
        <v>1954</v>
      </c>
      <c r="C149" s="23">
        <v>1.4145000000000181</v>
      </c>
    </row>
    <row r="150" spans="2:3" x14ac:dyDescent="0.3">
      <c r="B150" s="27">
        <v>1955</v>
      </c>
      <c r="C150" s="23">
        <v>1.1992500000000206</v>
      </c>
    </row>
    <row r="151" spans="2:3" x14ac:dyDescent="0.3">
      <c r="B151" s="27">
        <v>1956</v>
      </c>
      <c r="C151" s="23">
        <v>1.1992500000000206</v>
      </c>
    </row>
    <row r="152" spans="2:3" x14ac:dyDescent="0.3">
      <c r="B152" s="27">
        <v>1957</v>
      </c>
      <c r="C152" s="23">
        <v>0.92250000000001364</v>
      </c>
    </row>
    <row r="153" spans="2:3" x14ac:dyDescent="0.3">
      <c r="B153" s="27">
        <v>1958</v>
      </c>
      <c r="C153" s="23">
        <v>1.1070000000000135</v>
      </c>
    </row>
    <row r="154" spans="2:3" x14ac:dyDescent="0.3">
      <c r="B154" s="27">
        <v>1959</v>
      </c>
      <c r="C154" s="23">
        <v>1.2915000000000205</v>
      </c>
    </row>
    <row r="155" spans="2:3" x14ac:dyDescent="0.3">
      <c r="B155" s="27">
        <v>1960</v>
      </c>
      <c r="C155" s="23">
        <v>1.291500000000017</v>
      </c>
    </row>
    <row r="156" spans="2:3" x14ac:dyDescent="0.3">
      <c r="B156" s="27">
        <v>1961</v>
      </c>
      <c r="C156" s="23">
        <v>1.4145000000000252</v>
      </c>
    </row>
    <row r="157" spans="2:3" x14ac:dyDescent="0.3">
      <c r="B157" s="27">
        <v>1962</v>
      </c>
      <c r="C157" s="23">
        <v>1.1685000000000159</v>
      </c>
    </row>
    <row r="158" spans="2:3" x14ac:dyDescent="0.3">
      <c r="B158" s="27">
        <v>1963</v>
      </c>
      <c r="C158" s="23">
        <v>1.1377500000000182</v>
      </c>
    </row>
    <row r="159" spans="2:3" x14ac:dyDescent="0.3">
      <c r="B159" s="27">
        <v>1964</v>
      </c>
      <c r="C159" s="23">
        <v>1.1070000000000135</v>
      </c>
    </row>
    <row r="160" spans="2:3" x14ac:dyDescent="0.3">
      <c r="B160" s="27">
        <v>1965</v>
      </c>
      <c r="C160" s="23">
        <v>1.0455000000000148</v>
      </c>
    </row>
    <row r="161" spans="2:3" x14ac:dyDescent="0.3">
      <c r="B161" s="27">
        <v>1966</v>
      </c>
      <c r="C161" s="23">
        <v>1.1377500000000182</v>
      </c>
    </row>
    <row r="162" spans="2:3" x14ac:dyDescent="0.3">
      <c r="B162" s="27">
        <v>1967</v>
      </c>
      <c r="C162" s="23">
        <v>1.0762500000000159</v>
      </c>
    </row>
    <row r="163" spans="2:3" x14ac:dyDescent="0.3">
      <c r="B163" s="27">
        <v>1968</v>
      </c>
      <c r="C163" s="23">
        <v>0.98400000000000887</v>
      </c>
    </row>
    <row r="164" spans="2:3" x14ac:dyDescent="0.3">
      <c r="B164" s="27">
        <v>1969</v>
      </c>
      <c r="C164" s="23">
        <v>1.0147500000000171</v>
      </c>
    </row>
    <row r="165" spans="2:3" x14ac:dyDescent="0.3">
      <c r="B165" s="27">
        <v>1970</v>
      </c>
      <c r="C165" s="23">
        <v>1.2607500000000194</v>
      </c>
    </row>
    <row r="166" spans="2:3" x14ac:dyDescent="0.3">
      <c r="B166" s="27">
        <v>1971</v>
      </c>
      <c r="C166" s="23">
        <v>1.0762500000000159</v>
      </c>
    </row>
    <row r="167" spans="2:3" x14ac:dyDescent="0.3">
      <c r="B167" s="27">
        <v>1972</v>
      </c>
      <c r="C167" s="23">
        <v>0.95325000000001481</v>
      </c>
    </row>
    <row r="168" spans="2:3" x14ac:dyDescent="0.3">
      <c r="B168" s="27">
        <v>1973</v>
      </c>
      <c r="C168" s="23">
        <v>1.0455000000000148</v>
      </c>
    </row>
    <row r="169" spans="2:3" x14ac:dyDescent="0.3">
      <c r="B169" s="27">
        <v>1974</v>
      </c>
      <c r="C169" s="23">
        <v>1.0762500000000159</v>
      </c>
    </row>
    <row r="170" spans="2:3" x14ac:dyDescent="0.3">
      <c r="B170" s="27">
        <v>1975</v>
      </c>
      <c r="C170" s="23">
        <v>1.0762500000000159</v>
      </c>
    </row>
    <row r="171" spans="2:3" x14ac:dyDescent="0.3">
      <c r="B171" s="27">
        <v>1976</v>
      </c>
      <c r="C171" s="23">
        <v>1.1377500000000182</v>
      </c>
    </row>
    <row r="172" spans="2:3" x14ac:dyDescent="0.3">
      <c r="B172" s="27">
        <v>1977</v>
      </c>
      <c r="C172" s="23">
        <v>0.92255000000001175</v>
      </c>
    </row>
    <row r="173" spans="2:3" x14ac:dyDescent="0.3">
      <c r="B173" s="27">
        <v>1978</v>
      </c>
      <c r="C173" s="23">
        <v>1.1688000000000045</v>
      </c>
    </row>
    <row r="174" spans="2:3" x14ac:dyDescent="0.3">
      <c r="B174" s="27">
        <v>1979</v>
      </c>
      <c r="C174" s="23">
        <v>1.2302500000000123</v>
      </c>
    </row>
    <row r="175" spans="2:3" x14ac:dyDescent="0.3">
      <c r="B175" s="27">
        <v>1980</v>
      </c>
      <c r="C175" s="23">
        <v>1.1072500000000076</v>
      </c>
    </row>
    <row r="176" spans="2:3" x14ac:dyDescent="0.3">
      <c r="B176" s="27">
        <v>1981</v>
      </c>
      <c r="C176" s="23">
        <v>1.3533500000000096</v>
      </c>
    </row>
    <row r="177" spans="2:3" x14ac:dyDescent="0.3">
      <c r="B177" s="27">
        <v>1982</v>
      </c>
      <c r="C177" s="23">
        <v>1.0458500000000086</v>
      </c>
    </row>
    <row r="178" spans="2:3" x14ac:dyDescent="0.3">
      <c r="B178" s="27">
        <v>1983</v>
      </c>
      <c r="C178" s="23">
        <v>0.95355000000000345</v>
      </c>
    </row>
    <row r="179" spans="2:3" x14ac:dyDescent="0.3">
      <c r="B179" s="27">
        <v>1984</v>
      </c>
      <c r="C179" s="23">
        <v>0.86125000000000895</v>
      </c>
    </row>
    <row r="180" spans="2:3" x14ac:dyDescent="0.3">
      <c r="B180" s="27">
        <v>1985</v>
      </c>
      <c r="C180" s="23">
        <v>0.89205000000000112</v>
      </c>
    </row>
    <row r="181" spans="2:3" x14ac:dyDescent="0.3">
      <c r="B181" s="27">
        <v>1986</v>
      </c>
      <c r="C181" s="23">
        <v>0.70745000000000857</v>
      </c>
    </row>
    <row r="182" spans="2:3" x14ac:dyDescent="0.3">
      <c r="B182" s="27">
        <v>1987</v>
      </c>
      <c r="C182" s="23">
        <v>1.1994500000000112</v>
      </c>
    </row>
    <row r="183" spans="2:3" x14ac:dyDescent="0.3">
      <c r="B183" s="27">
        <v>1988</v>
      </c>
      <c r="C183" s="23">
        <v>0.95374999999999766</v>
      </c>
    </row>
    <row r="184" spans="2:3" x14ac:dyDescent="0.3">
      <c r="B184" s="27">
        <v>1989</v>
      </c>
      <c r="C184" s="23">
        <v>0.79984999999999928</v>
      </c>
    </row>
    <row r="185" spans="2:3" x14ac:dyDescent="0.3">
      <c r="B185" s="27">
        <v>1990</v>
      </c>
      <c r="C185" s="23">
        <v>1.2306500000000025</v>
      </c>
    </row>
    <row r="186" spans="2:3" x14ac:dyDescent="0.3">
      <c r="B186" s="27">
        <v>1991</v>
      </c>
      <c r="C186" s="23">
        <v>0.73840000000000217</v>
      </c>
    </row>
    <row r="187" spans="2:3" x14ac:dyDescent="0.3">
      <c r="B187" s="27">
        <v>1992</v>
      </c>
      <c r="C187" s="23">
        <v>0.73834999999999695</v>
      </c>
    </row>
    <row r="188" spans="2:3" x14ac:dyDescent="0.3">
      <c r="B188" s="27">
        <v>1993</v>
      </c>
      <c r="C188" s="23">
        <v>0.76910000000000167</v>
      </c>
    </row>
    <row r="189" spans="2:3" x14ac:dyDescent="0.3">
      <c r="B189" s="27">
        <v>1994</v>
      </c>
      <c r="C189" s="23">
        <v>1.1383500000000009</v>
      </c>
    </row>
    <row r="190" spans="2:3" x14ac:dyDescent="0.3">
      <c r="B190" s="27">
        <v>1995</v>
      </c>
      <c r="C190" s="23">
        <v>1.0460499999999993</v>
      </c>
    </row>
    <row r="191" spans="2:3" x14ac:dyDescent="0.3">
      <c r="B191" s="27">
        <v>1996</v>
      </c>
      <c r="C191" s="23">
        <v>1.2922000000000011</v>
      </c>
    </row>
    <row r="192" spans="2:3" x14ac:dyDescent="0.3">
      <c r="B192" s="27">
        <v>1997</v>
      </c>
      <c r="C192" s="23">
        <v>1.0459999999999958</v>
      </c>
    </row>
    <row r="193" spans="2:3" x14ac:dyDescent="0.3">
      <c r="B193" s="27">
        <v>1998</v>
      </c>
      <c r="C193" s="23">
        <v>1.4152000000000005</v>
      </c>
    </row>
    <row r="194" spans="2:3" x14ac:dyDescent="0.3">
      <c r="B194" s="27">
        <v>1999</v>
      </c>
      <c r="C194" s="23">
        <v>0.98450000000000237</v>
      </c>
    </row>
    <row r="195" spans="2:3" x14ac:dyDescent="0.3">
      <c r="B195" s="27">
        <v>2000</v>
      </c>
      <c r="C195" s="23">
        <v>1.2921499999999995</v>
      </c>
    </row>
    <row r="196" spans="2:3" x14ac:dyDescent="0.3">
      <c r="B196" s="27">
        <v>2001</v>
      </c>
      <c r="C196" s="23">
        <v>0.92295000000000016</v>
      </c>
    </row>
    <row r="197" spans="2:3" x14ac:dyDescent="0.3">
      <c r="B197" s="27">
        <v>2002</v>
      </c>
      <c r="C197" s="23">
        <v>1.4152500000000003</v>
      </c>
    </row>
    <row r="198" spans="2:3" x14ac:dyDescent="0.3">
      <c r="B198" s="27">
        <v>2003</v>
      </c>
      <c r="C198" s="23">
        <v>1.2613499999999984</v>
      </c>
    </row>
    <row r="199" spans="2:3" x14ac:dyDescent="0.3">
      <c r="B199" s="27">
        <v>2004</v>
      </c>
      <c r="C199" s="23">
        <v>0.95379999999999932</v>
      </c>
    </row>
    <row r="200" spans="2:3" x14ac:dyDescent="0.3">
      <c r="B200" s="27">
        <v>2005</v>
      </c>
      <c r="C200" s="23">
        <v>1.1998500000000023</v>
      </c>
    </row>
    <row r="201" spans="2:3" x14ac:dyDescent="0.3">
      <c r="B201" s="27">
        <v>2006</v>
      </c>
      <c r="C201" s="23">
        <v>1.230599999999999</v>
      </c>
    </row>
    <row r="202" spans="2:3" x14ac:dyDescent="0.3">
      <c r="B202" s="27">
        <v>2007</v>
      </c>
      <c r="C202" s="23">
        <v>1.1075499999999998</v>
      </c>
    </row>
    <row r="203" spans="2:3" x14ac:dyDescent="0.3">
      <c r="B203" s="27">
        <v>2008</v>
      </c>
      <c r="C203" s="23">
        <v>1.2921500000000004</v>
      </c>
    </row>
    <row r="204" spans="2:3" x14ac:dyDescent="0.3">
      <c r="B204" s="27">
        <v>2009</v>
      </c>
      <c r="C204" s="23">
        <v>0.92299999999999915</v>
      </c>
    </row>
    <row r="205" spans="2:3" x14ac:dyDescent="0.3">
      <c r="B205" s="27">
        <v>2010</v>
      </c>
      <c r="C205" s="23">
        <v>0.89220000000000121</v>
      </c>
    </row>
    <row r="206" spans="2:3" x14ac:dyDescent="0.3">
      <c r="B206" s="27">
        <v>2011</v>
      </c>
      <c r="C206" s="23">
        <v>0.95369999999999955</v>
      </c>
    </row>
    <row r="207" spans="2:3" x14ac:dyDescent="0.3">
      <c r="B207" s="27">
        <v>2012</v>
      </c>
      <c r="C207" s="23">
        <v>1.0768</v>
      </c>
    </row>
    <row r="208" spans="2:3" x14ac:dyDescent="0.3">
      <c r="B208" s="27">
        <v>2013</v>
      </c>
      <c r="C208" s="23">
        <v>1.2922000000000002</v>
      </c>
    </row>
    <row r="209" spans="2:3" x14ac:dyDescent="0.3">
      <c r="B209" s="27">
        <v>2014</v>
      </c>
      <c r="C209" s="23">
        <v>1.6613499999999999</v>
      </c>
    </row>
    <row r="210" spans="2:3" ht="15" thickBot="1" x14ac:dyDescent="0.35">
      <c r="B210" s="28">
        <v>2015</v>
      </c>
      <c r="C210" s="24">
        <v>0.86139999999999983</v>
      </c>
    </row>
    <row r="230" spans="2:6" x14ac:dyDescent="0.3">
      <c r="F230" t="s">
        <v>32</v>
      </c>
    </row>
    <row r="233" spans="2:6" x14ac:dyDescent="0.3">
      <c r="B233" s="29" t="s">
        <v>45</v>
      </c>
    </row>
    <row r="234" spans="2:6" ht="15" thickBot="1" x14ac:dyDescent="0.35"/>
    <row r="235" spans="2:6" x14ac:dyDescent="0.3">
      <c r="B235" s="12" t="s">
        <v>37</v>
      </c>
      <c r="C235" s="14">
        <v>23.172626969716784</v>
      </c>
    </row>
    <row r="236" spans="2:6" x14ac:dyDescent="0.3">
      <c r="B236" s="8" t="s">
        <v>38</v>
      </c>
      <c r="C236" s="21">
        <v>1983</v>
      </c>
    </row>
    <row r="237" spans="2:6" x14ac:dyDescent="0.3">
      <c r="B237" s="8" t="s">
        <v>26</v>
      </c>
      <c r="C237" s="15" t="s">
        <v>28</v>
      </c>
    </row>
    <row r="238" spans="2:6" ht="15" thickBot="1" x14ac:dyDescent="0.35">
      <c r="B238" s="13" t="s">
        <v>27</v>
      </c>
      <c r="C238" s="16">
        <v>0.05</v>
      </c>
    </row>
    <row r="239" spans="2:6" x14ac:dyDescent="0.3">
      <c r="B239" s="17" t="s">
        <v>39</v>
      </c>
    </row>
    <row r="240" spans="2:6" x14ac:dyDescent="0.3">
      <c r="B240" s="17" t="s">
        <v>40</v>
      </c>
    </row>
    <row r="241" spans="2:10" x14ac:dyDescent="0.3">
      <c r="B241" s="18">
        <v>0</v>
      </c>
      <c r="C241" s="19">
        <v>0</v>
      </c>
    </row>
    <row r="244" spans="2:10" x14ac:dyDescent="0.3">
      <c r="B244" s="17" t="s">
        <v>29</v>
      </c>
    </row>
    <row r="245" spans="2:10" x14ac:dyDescent="0.3">
      <c r="B245" s="17" t="s">
        <v>41</v>
      </c>
    </row>
    <row r="246" spans="2:10" x14ac:dyDescent="0.3">
      <c r="B246" s="17" t="s">
        <v>42</v>
      </c>
    </row>
    <row r="247" spans="2:10" ht="14.4" customHeight="1" x14ac:dyDescent="0.3">
      <c r="B247" s="42" t="s">
        <v>30</v>
      </c>
      <c r="C247" s="42"/>
      <c r="D247" s="42"/>
      <c r="E247" s="42"/>
      <c r="F247" s="42"/>
      <c r="G247" s="42"/>
      <c r="H247" s="42"/>
      <c r="I247" s="42"/>
      <c r="J247" s="42"/>
    </row>
    <row r="248" spans="2:10" x14ac:dyDescent="0.3">
      <c r="B248" s="42"/>
      <c r="C248" s="42"/>
      <c r="D248" s="42"/>
      <c r="E248" s="42"/>
      <c r="F248" s="42"/>
      <c r="G248" s="42"/>
      <c r="H248" s="42"/>
      <c r="I248" s="42"/>
      <c r="J248" s="42"/>
    </row>
    <row r="249" spans="2:10" x14ac:dyDescent="0.3">
      <c r="B249" s="17" t="s">
        <v>31</v>
      </c>
    </row>
    <row r="251" spans="2:10" ht="15" thickBot="1" x14ac:dyDescent="0.35"/>
    <row r="252" spans="2:10" x14ac:dyDescent="0.3">
      <c r="B252" s="25" t="s">
        <v>0</v>
      </c>
      <c r="C252" s="10" t="s">
        <v>3</v>
      </c>
    </row>
    <row r="253" spans="2:10" x14ac:dyDescent="0.3">
      <c r="B253" s="26">
        <v>1951</v>
      </c>
      <c r="C253" s="22">
        <v>0.81554471864297495</v>
      </c>
    </row>
    <row r="254" spans="2:10" x14ac:dyDescent="0.3">
      <c r="B254" s="27">
        <v>1952</v>
      </c>
      <c r="C254" s="23">
        <v>0.97706632305291241</v>
      </c>
    </row>
    <row r="255" spans="2:10" x14ac:dyDescent="0.3">
      <c r="B255" s="27">
        <v>1953</v>
      </c>
      <c r="C255" s="23">
        <v>0.67776853917132118</v>
      </c>
    </row>
    <row r="256" spans="2:10" x14ac:dyDescent="0.3">
      <c r="B256" s="27">
        <v>1954</v>
      </c>
      <c r="C256" s="23">
        <v>1.0416869359712728</v>
      </c>
    </row>
    <row r="257" spans="2:3" x14ac:dyDescent="0.3">
      <c r="B257" s="27">
        <v>1955</v>
      </c>
      <c r="C257" s="23">
        <v>0.8875642512814399</v>
      </c>
    </row>
    <row r="258" spans="2:3" x14ac:dyDescent="0.3">
      <c r="B258" s="27">
        <v>1956</v>
      </c>
      <c r="C258" s="23">
        <v>0.86444872940372286</v>
      </c>
    </row>
    <row r="259" spans="2:3" x14ac:dyDescent="0.3">
      <c r="B259" s="27">
        <v>1957</v>
      </c>
      <c r="C259" s="23">
        <v>0.70103015420423542</v>
      </c>
    </row>
    <row r="260" spans="2:3" x14ac:dyDescent="0.3">
      <c r="B260" s="27">
        <v>1958</v>
      </c>
      <c r="C260" s="23">
        <v>0.76605832352602077</v>
      </c>
    </row>
    <row r="261" spans="2:3" x14ac:dyDescent="0.3">
      <c r="B261" s="27">
        <v>1959</v>
      </c>
      <c r="C261" s="23">
        <v>1.1286541718233529</v>
      </c>
    </row>
    <row r="262" spans="2:3" x14ac:dyDescent="0.3">
      <c r="B262" s="27">
        <v>1960</v>
      </c>
      <c r="C262" s="23">
        <v>0.97497523955496601</v>
      </c>
    </row>
    <row r="263" spans="2:3" x14ac:dyDescent="0.3">
      <c r="B263" s="27">
        <v>1961</v>
      </c>
      <c r="C263" s="23">
        <v>1.3286855951720937</v>
      </c>
    </row>
    <row r="264" spans="2:3" x14ac:dyDescent="0.3">
      <c r="B264" s="27">
        <v>1962</v>
      </c>
      <c r="C264" s="23">
        <v>1.1129723658102828</v>
      </c>
    </row>
    <row r="265" spans="2:3" x14ac:dyDescent="0.3">
      <c r="B265" s="27">
        <v>1963</v>
      </c>
      <c r="C265" s="23">
        <v>0.93600494211824947</v>
      </c>
    </row>
    <row r="266" spans="2:3" x14ac:dyDescent="0.3">
      <c r="B266" s="27">
        <v>1964</v>
      </c>
      <c r="C266" s="23">
        <v>0.73914905190428082</v>
      </c>
    </row>
    <row r="267" spans="2:3" x14ac:dyDescent="0.3">
      <c r="B267" s="27">
        <v>1965</v>
      </c>
      <c r="C267" s="23">
        <v>0.65666893258770243</v>
      </c>
    </row>
    <row r="268" spans="2:3" x14ac:dyDescent="0.3">
      <c r="B268" s="27">
        <v>1966</v>
      </c>
      <c r="C268" s="23">
        <v>0.82547989892099372</v>
      </c>
    </row>
    <row r="269" spans="2:3" x14ac:dyDescent="0.3">
      <c r="B269" s="27">
        <v>1967</v>
      </c>
      <c r="C269" s="23">
        <v>0.80674068460658444</v>
      </c>
    </row>
    <row r="270" spans="2:3" x14ac:dyDescent="0.3">
      <c r="B270" s="27">
        <v>1968</v>
      </c>
      <c r="C270" s="23">
        <v>0.76708603436549416</v>
      </c>
    </row>
    <row r="271" spans="2:3" x14ac:dyDescent="0.3">
      <c r="B271" s="27">
        <v>1969</v>
      </c>
      <c r="C271" s="23">
        <v>0.80664215934946937</v>
      </c>
    </row>
    <row r="272" spans="2:3" x14ac:dyDescent="0.3">
      <c r="B272" s="27">
        <v>1970</v>
      </c>
      <c r="C272" s="23">
        <v>1.0670397011655373</v>
      </c>
    </row>
    <row r="273" spans="2:3" x14ac:dyDescent="0.3">
      <c r="B273" s="27">
        <v>1971</v>
      </c>
      <c r="C273" s="23">
        <v>0.93425005249656412</v>
      </c>
    </row>
    <row r="274" spans="2:3" x14ac:dyDescent="0.3">
      <c r="B274" s="27">
        <v>1972</v>
      </c>
      <c r="C274" s="23">
        <v>0.81968863550018189</v>
      </c>
    </row>
    <row r="275" spans="2:3" x14ac:dyDescent="0.3">
      <c r="B275" s="27">
        <v>1973</v>
      </c>
      <c r="C275" s="23">
        <v>1.2007804139496634</v>
      </c>
    </row>
    <row r="276" spans="2:3" x14ac:dyDescent="0.3">
      <c r="B276" s="27">
        <v>1974</v>
      </c>
      <c r="C276" s="23">
        <v>1.2456628726409276</v>
      </c>
    </row>
    <row r="277" spans="2:3" x14ac:dyDescent="0.3">
      <c r="B277" s="27">
        <v>1975</v>
      </c>
      <c r="C277" s="23">
        <v>0.97974578802897239</v>
      </c>
    </row>
    <row r="278" spans="2:3" x14ac:dyDescent="0.3">
      <c r="B278" s="27">
        <v>1976</v>
      </c>
      <c r="C278" s="23">
        <v>0.96829987095576286</v>
      </c>
    </row>
    <row r="279" spans="2:3" x14ac:dyDescent="0.3">
      <c r="B279" s="27">
        <v>1977</v>
      </c>
      <c r="C279" s="23">
        <v>0.84070675809853523</v>
      </c>
    </row>
    <row r="280" spans="2:3" x14ac:dyDescent="0.3">
      <c r="B280" s="27">
        <v>1978</v>
      </c>
      <c r="C280" s="23">
        <v>1.1586644851100418</v>
      </c>
    </row>
    <row r="281" spans="2:3" x14ac:dyDescent="0.3">
      <c r="B281" s="27">
        <v>1979</v>
      </c>
      <c r="C281" s="23">
        <v>0.98323202488688777</v>
      </c>
    </row>
    <row r="282" spans="2:3" x14ac:dyDescent="0.3">
      <c r="B282" s="27">
        <v>1980</v>
      </c>
      <c r="C282" s="23">
        <v>0.91452633287095164</v>
      </c>
    </row>
    <row r="283" spans="2:3" x14ac:dyDescent="0.3">
      <c r="B283" s="27">
        <v>1981</v>
      </c>
      <c r="C283" s="23">
        <v>1.3046115979613848</v>
      </c>
    </row>
    <row r="284" spans="2:3" x14ac:dyDescent="0.3">
      <c r="B284" s="27">
        <v>1982</v>
      </c>
      <c r="C284" s="23">
        <v>0.81981085639979945</v>
      </c>
    </row>
    <row r="285" spans="2:3" x14ac:dyDescent="0.3">
      <c r="B285" s="27">
        <v>1983</v>
      </c>
      <c r="C285" s="23">
        <v>0.81450770768202641</v>
      </c>
    </row>
    <row r="286" spans="2:3" x14ac:dyDescent="0.3">
      <c r="B286" s="27">
        <v>1984</v>
      </c>
      <c r="C286" s="23">
        <v>0.60069712483454496</v>
      </c>
    </row>
    <row r="287" spans="2:3" x14ac:dyDescent="0.3">
      <c r="B287" s="27">
        <v>1985</v>
      </c>
      <c r="C287" s="23">
        <v>0.78144572922296007</v>
      </c>
    </row>
    <row r="288" spans="2:3" x14ac:dyDescent="0.3">
      <c r="B288" s="27">
        <v>1986</v>
      </c>
      <c r="C288" s="23">
        <v>0.55675474827985494</v>
      </c>
    </row>
    <row r="289" spans="2:3" x14ac:dyDescent="0.3">
      <c r="B289" s="27">
        <v>1987</v>
      </c>
      <c r="C289" s="23">
        <v>0.66795130760748378</v>
      </c>
    </row>
    <row r="290" spans="2:3" x14ac:dyDescent="0.3">
      <c r="B290" s="27">
        <v>1988</v>
      </c>
      <c r="C290" s="23">
        <v>0.51919709233718891</v>
      </c>
    </row>
    <row r="291" spans="2:3" x14ac:dyDescent="0.3">
      <c r="B291" s="27">
        <v>1989</v>
      </c>
      <c r="C291" s="23">
        <v>0.42651678705360857</v>
      </c>
    </row>
    <row r="292" spans="2:3" x14ac:dyDescent="0.3">
      <c r="B292" s="27">
        <v>1990</v>
      </c>
      <c r="C292" s="23">
        <v>0.74679819294960936</v>
      </c>
    </row>
    <row r="293" spans="2:3" x14ac:dyDescent="0.3">
      <c r="B293" s="27">
        <v>1991</v>
      </c>
      <c r="C293" s="23">
        <v>0.45723833644729583</v>
      </c>
    </row>
    <row r="294" spans="2:3" x14ac:dyDescent="0.3">
      <c r="B294" s="27">
        <v>1992</v>
      </c>
      <c r="C294" s="23">
        <v>0.47057667544607579</v>
      </c>
    </row>
    <row r="295" spans="2:3" x14ac:dyDescent="0.3">
      <c r="B295" s="27">
        <v>1993</v>
      </c>
      <c r="C295" s="23">
        <v>0.57455076794984894</v>
      </c>
    </row>
    <row r="296" spans="2:3" x14ac:dyDescent="0.3">
      <c r="B296" s="27">
        <v>1994</v>
      </c>
      <c r="C296" s="23">
        <v>1.0130280950080974</v>
      </c>
    </row>
    <row r="297" spans="2:3" x14ac:dyDescent="0.3">
      <c r="B297" s="27">
        <v>1995</v>
      </c>
      <c r="C297" s="23">
        <v>0.78622843797023045</v>
      </c>
    </row>
    <row r="298" spans="2:3" x14ac:dyDescent="0.3">
      <c r="B298" s="27">
        <v>1996</v>
      </c>
      <c r="C298" s="23">
        <v>0.79120339990616539</v>
      </c>
    </row>
    <row r="299" spans="2:3" x14ac:dyDescent="0.3">
      <c r="B299" s="27">
        <v>1997</v>
      </c>
      <c r="C299" s="23">
        <v>0.60289639981529231</v>
      </c>
    </row>
    <row r="300" spans="2:3" x14ac:dyDescent="0.3">
      <c r="B300" s="27">
        <v>1998</v>
      </c>
      <c r="C300" s="23">
        <v>0.74921562145335474</v>
      </c>
    </row>
    <row r="301" spans="2:3" x14ac:dyDescent="0.3">
      <c r="B301" s="27">
        <v>1999</v>
      </c>
      <c r="C301" s="23">
        <v>0.5990667066578822</v>
      </c>
    </row>
    <row r="302" spans="2:3" x14ac:dyDescent="0.3">
      <c r="B302" s="27">
        <v>2000</v>
      </c>
      <c r="C302" s="23">
        <v>0.95516296848436011</v>
      </c>
    </row>
    <row r="303" spans="2:3" x14ac:dyDescent="0.3">
      <c r="B303" s="27">
        <v>2001</v>
      </c>
      <c r="C303" s="23">
        <v>0.57250079151618039</v>
      </c>
    </row>
    <row r="304" spans="2:3" x14ac:dyDescent="0.3">
      <c r="B304" s="27">
        <v>2002</v>
      </c>
      <c r="C304" s="23">
        <v>0.68549348102283114</v>
      </c>
    </row>
    <row r="305" spans="2:3" x14ac:dyDescent="0.3">
      <c r="B305" s="27">
        <v>2003</v>
      </c>
      <c r="C305" s="23">
        <v>0.68729686357868069</v>
      </c>
    </row>
    <row r="306" spans="2:3" x14ac:dyDescent="0.3">
      <c r="B306" s="27">
        <v>2004</v>
      </c>
      <c r="C306" s="23">
        <v>0.56230553024880203</v>
      </c>
    </row>
    <row r="307" spans="2:3" x14ac:dyDescent="0.3">
      <c r="B307" s="27">
        <v>2005</v>
      </c>
      <c r="C307" s="23">
        <v>0.84455712695417406</v>
      </c>
    </row>
    <row r="308" spans="2:3" x14ac:dyDescent="0.3">
      <c r="B308" s="27">
        <v>2006</v>
      </c>
      <c r="C308" s="23">
        <v>0.84950836220993464</v>
      </c>
    </row>
    <row r="309" spans="2:3" x14ac:dyDescent="0.3">
      <c r="B309" s="27">
        <v>2007</v>
      </c>
      <c r="C309" s="23">
        <v>0.7343547747957766</v>
      </c>
    </row>
    <row r="310" spans="2:3" x14ac:dyDescent="0.3">
      <c r="B310" s="27">
        <v>2008</v>
      </c>
      <c r="C310" s="23">
        <v>0.8783075602746081</v>
      </c>
    </row>
    <row r="311" spans="2:3" x14ac:dyDescent="0.3">
      <c r="B311" s="27">
        <v>2009</v>
      </c>
      <c r="C311" s="23">
        <v>0.5992641419625182</v>
      </c>
    </row>
    <row r="312" spans="2:3" x14ac:dyDescent="0.3">
      <c r="B312" s="27">
        <v>2010</v>
      </c>
      <c r="C312" s="23">
        <v>0.66344322330202021</v>
      </c>
    </row>
    <row r="313" spans="2:3" x14ac:dyDescent="0.3">
      <c r="B313" s="27">
        <v>2011</v>
      </c>
      <c r="C313" s="23">
        <v>0.57115761037816193</v>
      </c>
    </row>
    <row r="314" spans="2:3" x14ac:dyDescent="0.3">
      <c r="B314" s="27">
        <v>2012</v>
      </c>
      <c r="C314" s="23">
        <v>0.59076554657097979</v>
      </c>
    </row>
    <row r="315" spans="2:3" x14ac:dyDescent="0.3">
      <c r="B315" s="27">
        <v>2013</v>
      </c>
      <c r="C315" s="23">
        <v>0.73143770914895678</v>
      </c>
    </row>
    <row r="316" spans="2:3" x14ac:dyDescent="0.3">
      <c r="B316" s="27">
        <v>2014</v>
      </c>
      <c r="C316" s="23">
        <v>1.0734864708168383</v>
      </c>
    </row>
    <row r="317" spans="2:3" ht="15" thickBot="1" x14ac:dyDescent="0.35">
      <c r="B317" s="28">
        <v>2015</v>
      </c>
      <c r="C317" s="24">
        <v>0.53509588650052986</v>
      </c>
    </row>
    <row r="337" spans="6:6" x14ac:dyDescent="0.3">
      <c r="F337" t="s">
        <v>32</v>
      </c>
    </row>
  </sheetData>
  <mergeCells count="3">
    <mergeCell ref="B33:J34"/>
    <mergeCell ref="B140:J141"/>
    <mergeCell ref="B247:J248"/>
  </mergeCells>
  <pageMargins left="0.7" right="0.7" top="0.75" bottom="0.75" header="0.3" footer="0.3"/>
  <ignoredErrors>
    <ignoredError sqref="A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45C0-3549-4E32-B936-17600B085F43}">
  <sheetPr>
    <tabColor rgb="FF007800"/>
  </sheetPr>
  <dimension ref="B1:J337"/>
  <sheetViews>
    <sheetView zoomScaleNormal="100" workbookViewId="0">
      <selection activeCell="F170" sqref="F170"/>
    </sheetView>
  </sheetViews>
  <sheetFormatPr baseColWidth="10" defaultRowHeight="14.4" x14ac:dyDescent="0.3"/>
  <cols>
    <col min="1" max="1" width="6.21875" customWidth="1"/>
    <col min="2" max="2" width="11.5546875" customWidth="1"/>
  </cols>
  <sheetData>
    <row r="1" spans="2:9" x14ac:dyDescent="0.3">
      <c r="B1" t="s">
        <v>57</v>
      </c>
    </row>
    <row r="2" spans="2:9" x14ac:dyDescent="0.3">
      <c r="B2" t="s">
        <v>58</v>
      </c>
    </row>
    <row r="3" spans="2:9" x14ac:dyDescent="0.3">
      <c r="B3" t="s">
        <v>59</v>
      </c>
    </row>
    <row r="4" spans="2:9" x14ac:dyDescent="0.3">
      <c r="B4" t="s">
        <v>33</v>
      </c>
    </row>
    <row r="5" spans="2:9" x14ac:dyDescent="0.3">
      <c r="B5" t="s">
        <v>34</v>
      </c>
    </row>
    <row r="6" spans="2:9" x14ac:dyDescent="0.3">
      <c r="B6" t="s">
        <v>35</v>
      </c>
    </row>
    <row r="7" spans="2:9" x14ac:dyDescent="0.3">
      <c r="B7" t="s">
        <v>69</v>
      </c>
    </row>
    <row r="11" spans="2:9" x14ac:dyDescent="0.3">
      <c r="B11" t="s">
        <v>17</v>
      </c>
    </row>
    <row r="12" spans="2:9" ht="15" thickBot="1" x14ac:dyDescent="0.35"/>
    <row r="13" spans="2:9" x14ac:dyDescent="0.3">
      <c r="B13" s="9" t="s">
        <v>18</v>
      </c>
      <c r="C13" s="10" t="s">
        <v>19</v>
      </c>
      <c r="D13" s="10" t="s">
        <v>20</v>
      </c>
      <c r="E13" s="10" t="s">
        <v>21</v>
      </c>
      <c r="F13" s="10" t="s">
        <v>22</v>
      </c>
      <c r="G13" s="10" t="s">
        <v>23</v>
      </c>
      <c r="H13" s="10" t="s">
        <v>24</v>
      </c>
      <c r="I13" s="10" t="s">
        <v>25</v>
      </c>
    </row>
    <row r="14" spans="2:9" x14ac:dyDescent="0.3">
      <c r="B14" s="11" t="s">
        <v>60</v>
      </c>
      <c r="C14" s="26">
        <v>65</v>
      </c>
      <c r="D14" s="26">
        <v>0</v>
      </c>
      <c r="E14" s="26">
        <v>65</v>
      </c>
      <c r="F14" s="22">
        <v>0.55921950833705458</v>
      </c>
      <c r="G14" s="22">
        <v>1.1571420690941947</v>
      </c>
      <c r="H14" s="22">
        <v>0.79006009749959594</v>
      </c>
      <c r="I14" s="22">
        <v>0.12000571730685972</v>
      </c>
    </row>
    <row r="15" spans="2:9" x14ac:dyDescent="0.3">
      <c r="B15" s="8" t="s">
        <v>61</v>
      </c>
      <c r="C15" s="27">
        <v>65</v>
      </c>
      <c r="D15" s="27">
        <v>0</v>
      </c>
      <c r="E15" s="27">
        <v>65</v>
      </c>
      <c r="F15" s="23">
        <v>0.55374999999999885</v>
      </c>
      <c r="G15" s="23">
        <v>1.3839900000000078</v>
      </c>
      <c r="H15" s="23">
        <v>0.94697423076923437</v>
      </c>
      <c r="I15" s="23">
        <v>0.19621606858582125</v>
      </c>
    </row>
    <row r="16" spans="2:9" ht="15" thickBot="1" x14ac:dyDescent="0.35">
      <c r="B16" s="13" t="s">
        <v>62</v>
      </c>
      <c r="C16" s="28">
        <v>65</v>
      </c>
      <c r="D16" s="28">
        <v>0</v>
      </c>
      <c r="E16" s="28">
        <v>65</v>
      </c>
      <c r="F16" s="24">
        <v>0.3861398246573936</v>
      </c>
      <c r="G16" s="24">
        <v>1.2168493738058528</v>
      </c>
      <c r="H16" s="24">
        <v>0.74440934138072079</v>
      </c>
      <c r="I16" s="24">
        <v>0.18800868544726854</v>
      </c>
    </row>
    <row r="19" spans="2:3" x14ac:dyDescent="0.3">
      <c r="B19" s="29" t="s">
        <v>63</v>
      </c>
    </row>
    <row r="20" spans="2:3" ht="15" thickBot="1" x14ac:dyDescent="0.35"/>
    <row r="21" spans="2:3" x14ac:dyDescent="0.3">
      <c r="B21" s="12" t="s">
        <v>37</v>
      </c>
      <c r="C21" s="14">
        <v>13.513124676271939</v>
      </c>
    </row>
    <row r="22" spans="2:3" x14ac:dyDescent="0.3">
      <c r="B22" s="8" t="s">
        <v>38</v>
      </c>
      <c r="C22" s="21">
        <v>1970</v>
      </c>
    </row>
    <row r="23" spans="2:3" x14ac:dyDescent="0.3">
      <c r="B23" s="8" t="s">
        <v>26</v>
      </c>
      <c r="C23" s="15">
        <v>2.8E-3</v>
      </c>
    </row>
    <row r="24" spans="2:3" ht="15" thickBot="1" x14ac:dyDescent="0.35">
      <c r="B24" s="13" t="s">
        <v>27</v>
      </c>
      <c r="C24" s="16">
        <v>0.05</v>
      </c>
    </row>
    <row r="25" spans="2:3" x14ac:dyDescent="0.3">
      <c r="B25" s="17" t="s">
        <v>39</v>
      </c>
    </row>
    <row r="26" spans="2:3" x14ac:dyDescent="0.3">
      <c r="B26" s="17" t="s">
        <v>40</v>
      </c>
    </row>
    <row r="27" spans="2:3" x14ac:dyDescent="0.3">
      <c r="B27" s="18">
        <v>1.4389087872773776E-3</v>
      </c>
      <c r="C27" s="19">
        <v>4.1610912127226221E-3</v>
      </c>
    </row>
    <row r="30" spans="2:3" x14ac:dyDescent="0.3">
      <c r="B30" s="17" t="s">
        <v>29</v>
      </c>
    </row>
    <row r="31" spans="2:3" x14ac:dyDescent="0.3">
      <c r="B31" s="17" t="s">
        <v>41</v>
      </c>
    </row>
    <row r="32" spans="2:3" x14ac:dyDescent="0.3">
      <c r="B32" s="17" t="s">
        <v>42</v>
      </c>
    </row>
    <row r="33" spans="2:10" ht="14.4" customHeight="1" x14ac:dyDescent="0.3">
      <c r="B33" s="42" t="s">
        <v>30</v>
      </c>
      <c r="C33" s="42"/>
      <c r="D33" s="42"/>
      <c r="E33" s="42"/>
      <c r="F33" s="42"/>
      <c r="G33" s="42"/>
      <c r="H33" s="42"/>
      <c r="I33" s="42"/>
      <c r="J33" s="42"/>
    </row>
    <row r="34" spans="2:10" x14ac:dyDescent="0.3">
      <c r="B34" s="42"/>
      <c r="C34" s="42"/>
      <c r="D34" s="42"/>
      <c r="E34" s="42"/>
      <c r="F34" s="42"/>
      <c r="G34" s="42"/>
      <c r="H34" s="42"/>
      <c r="I34" s="42"/>
      <c r="J34" s="42"/>
    </row>
    <row r="35" spans="2:10" x14ac:dyDescent="0.3">
      <c r="B35" s="17" t="s">
        <v>64</v>
      </c>
    </row>
    <row r="37" spans="2:10" ht="15" thickBot="1" x14ac:dyDescent="0.35"/>
    <row r="38" spans="2:10" x14ac:dyDescent="0.3">
      <c r="B38" s="25" t="s">
        <v>65</v>
      </c>
      <c r="C38" s="10" t="s">
        <v>60</v>
      </c>
    </row>
    <row r="39" spans="2:10" x14ac:dyDescent="0.3">
      <c r="B39" s="26">
        <v>1951</v>
      </c>
      <c r="C39" s="22">
        <v>0.82382176492747328</v>
      </c>
    </row>
    <row r="40" spans="2:10" x14ac:dyDescent="0.3">
      <c r="B40" s="27">
        <v>1952</v>
      </c>
      <c r="C40" s="23">
        <v>0.99935069030124746</v>
      </c>
    </row>
    <row r="41" spans="2:10" x14ac:dyDescent="0.3">
      <c r="B41" s="27">
        <v>1953</v>
      </c>
      <c r="C41" s="23">
        <v>0.92836792152646264</v>
      </c>
    </row>
    <row r="42" spans="2:10" x14ac:dyDescent="0.3">
      <c r="B42" s="27">
        <v>1954</v>
      </c>
      <c r="C42" s="23">
        <v>0.95252946662586591</v>
      </c>
    </row>
    <row r="43" spans="2:10" x14ac:dyDescent="0.3">
      <c r="B43" s="27">
        <v>1955</v>
      </c>
      <c r="C43" s="23">
        <v>0.81724860190439597</v>
      </c>
    </row>
    <row r="44" spans="2:10" x14ac:dyDescent="0.3">
      <c r="B44" s="27">
        <v>1956</v>
      </c>
      <c r="C44" s="23">
        <v>0.94143153684461511</v>
      </c>
    </row>
    <row r="45" spans="2:10" x14ac:dyDescent="0.3">
      <c r="B45" s="27">
        <v>1957</v>
      </c>
      <c r="C45" s="23">
        <v>0.93022634301734897</v>
      </c>
    </row>
    <row r="46" spans="2:10" x14ac:dyDescent="0.3">
      <c r="B46" s="27">
        <v>1958</v>
      </c>
      <c r="C46" s="23">
        <v>0.83317542328973249</v>
      </c>
    </row>
    <row r="47" spans="2:10" x14ac:dyDescent="0.3">
      <c r="B47" s="27">
        <v>1959</v>
      </c>
      <c r="C47" s="23">
        <v>0.83035521688795821</v>
      </c>
    </row>
    <row r="48" spans="2:10" x14ac:dyDescent="0.3">
      <c r="B48" s="27">
        <v>1960</v>
      </c>
      <c r="C48" s="23">
        <v>0.87734873654828371</v>
      </c>
    </row>
    <row r="49" spans="2:3" x14ac:dyDescent="0.3">
      <c r="B49" s="27">
        <v>1961</v>
      </c>
      <c r="C49" s="23">
        <v>0.85833821831563029</v>
      </c>
    </row>
    <row r="50" spans="2:3" x14ac:dyDescent="0.3">
      <c r="B50" s="27">
        <v>1962</v>
      </c>
      <c r="C50" s="23">
        <v>0.87478177247717248</v>
      </c>
    </row>
    <row r="51" spans="2:3" x14ac:dyDescent="0.3">
      <c r="B51" s="27">
        <v>1963</v>
      </c>
      <c r="C51" s="23">
        <v>0.80878178592437378</v>
      </c>
    </row>
    <row r="52" spans="2:3" x14ac:dyDescent="0.3">
      <c r="B52" s="27">
        <v>1964</v>
      </c>
      <c r="C52" s="23">
        <v>0.76381904641653642</v>
      </c>
    </row>
    <row r="53" spans="2:3" x14ac:dyDescent="0.3">
      <c r="B53" s="27">
        <v>1965</v>
      </c>
      <c r="C53" s="23">
        <v>0.8355585291121167</v>
      </c>
    </row>
    <row r="54" spans="2:3" x14ac:dyDescent="0.3">
      <c r="B54" s="27">
        <v>1966</v>
      </c>
      <c r="C54" s="23">
        <v>0.81070761023016269</v>
      </c>
    </row>
    <row r="55" spans="2:3" x14ac:dyDescent="0.3">
      <c r="B55" s="27">
        <v>1967</v>
      </c>
      <c r="C55" s="23">
        <v>0.83339101809092442</v>
      </c>
    </row>
    <row r="56" spans="2:3" x14ac:dyDescent="0.3">
      <c r="B56" s="27">
        <v>1968</v>
      </c>
      <c r="C56" s="23">
        <v>0.79998842210400412</v>
      </c>
    </row>
    <row r="57" spans="2:3" x14ac:dyDescent="0.3">
      <c r="B57" s="27">
        <v>1969</v>
      </c>
      <c r="C57" s="23">
        <v>0.92779852290412601</v>
      </c>
    </row>
    <row r="58" spans="2:3" x14ac:dyDescent="0.3">
      <c r="B58" s="27">
        <v>1970</v>
      </c>
      <c r="C58" s="23">
        <v>0.99569462095956263</v>
      </c>
    </row>
    <row r="59" spans="2:3" x14ac:dyDescent="0.3">
      <c r="B59" s="27">
        <v>1971</v>
      </c>
      <c r="C59" s="23">
        <v>0.75128274208852364</v>
      </c>
    </row>
    <row r="60" spans="2:3" x14ac:dyDescent="0.3">
      <c r="B60" s="27">
        <v>1972</v>
      </c>
      <c r="C60" s="23">
        <v>0.75856741738393207</v>
      </c>
    </row>
    <row r="61" spans="2:3" x14ac:dyDescent="0.3">
      <c r="B61" s="27">
        <v>1973</v>
      </c>
      <c r="C61" s="23">
        <v>0.71200347713312007</v>
      </c>
    </row>
    <row r="62" spans="2:3" x14ac:dyDescent="0.3">
      <c r="B62" s="27">
        <v>1974</v>
      </c>
      <c r="C62" s="23">
        <v>0.63046331522771881</v>
      </c>
    </row>
    <row r="63" spans="2:3" x14ac:dyDescent="0.3">
      <c r="B63" s="27">
        <v>1975</v>
      </c>
      <c r="C63" s="23">
        <v>0.66688544810036199</v>
      </c>
    </row>
    <row r="64" spans="2:3" x14ac:dyDescent="0.3">
      <c r="B64" s="27">
        <v>1976</v>
      </c>
      <c r="C64" s="23">
        <v>0.58990273393689596</v>
      </c>
    </row>
    <row r="65" spans="2:3" x14ac:dyDescent="0.3">
      <c r="B65" s="27">
        <v>1977</v>
      </c>
      <c r="C65" s="23">
        <v>0.6949071979868533</v>
      </c>
    </row>
    <row r="66" spans="2:3" x14ac:dyDescent="0.3">
      <c r="B66" s="27">
        <v>1978</v>
      </c>
      <c r="C66" s="23">
        <v>0.58396358572640739</v>
      </c>
    </row>
    <row r="67" spans="2:3" x14ac:dyDescent="0.3">
      <c r="B67" s="27">
        <v>1979</v>
      </c>
      <c r="C67" s="23">
        <v>0.94102333078191425</v>
      </c>
    </row>
    <row r="68" spans="2:3" x14ac:dyDescent="0.3">
      <c r="B68" s="27">
        <v>1980</v>
      </c>
      <c r="C68" s="23">
        <v>0.62270223021697901</v>
      </c>
    </row>
    <row r="69" spans="2:3" x14ac:dyDescent="0.3">
      <c r="B69" s="27">
        <v>1981</v>
      </c>
      <c r="C69" s="23">
        <v>0.67817969424034652</v>
      </c>
    </row>
    <row r="70" spans="2:3" x14ac:dyDescent="0.3">
      <c r="B70" s="27">
        <v>1982</v>
      </c>
      <c r="C70" s="23">
        <v>0.66076015791343479</v>
      </c>
    </row>
    <row r="71" spans="2:3" x14ac:dyDescent="0.3">
      <c r="B71" s="27">
        <v>1983</v>
      </c>
      <c r="C71" s="23">
        <v>0.66536298599220101</v>
      </c>
    </row>
    <row r="72" spans="2:3" x14ac:dyDescent="0.3">
      <c r="B72" s="27">
        <v>1984</v>
      </c>
      <c r="C72" s="23">
        <v>0.767450460620835</v>
      </c>
    </row>
    <row r="73" spans="2:3" x14ac:dyDescent="0.3">
      <c r="B73" s="27">
        <v>1985</v>
      </c>
      <c r="C73" s="23">
        <v>0.80699207711055865</v>
      </c>
    </row>
    <row r="74" spans="2:3" x14ac:dyDescent="0.3">
      <c r="B74" s="27">
        <v>1986</v>
      </c>
      <c r="C74" s="23">
        <v>0.78319910724484387</v>
      </c>
    </row>
    <row r="75" spans="2:3" x14ac:dyDescent="0.3">
      <c r="B75" s="27">
        <v>1987</v>
      </c>
      <c r="C75" s="23">
        <v>0.66275702259992308</v>
      </c>
    </row>
    <row r="76" spans="2:3" x14ac:dyDescent="0.3">
      <c r="B76" s="27">
        <v>1988</v>
      </c>
      <c r="C76" s="23">
        <v>0.75722308165373586</v>
      </c>
    </row>
    <row r="77" spans="2:3" x14ac:dyDescent="0.3">
      <c r="B77" s="27">
        <v>1989</v>
      </c>
      <c r="C77" s="23">
        <v>0.73716266196337643</v>
      </c>
    </row>
    <row r="78" spans="2:3" x14ac:dyDescent="0.3">
      <c r="B78" s="27">
        <v>1990</v>
      </c>
      <c r="C78" s="23">
        <v>0.71726364179987789</v>
      </c>
    </row>
    <row r="79" spans="2:3" x14ac:dyDescent="0.3">
      <c r="B79" s="27">
        <v>1991</v>
      </c>
      <c r="C79" s="23">
        <v>0.67807066578332076</v>
      </c>
    </row>
    <row r="80" spans="2:3" x14ac:dyDescent="0.3">
      <c r="B80" s="27">
        <v>1992</v>
      </c>
      <c r="C80" s="23">
        <v>0.73397240666837393</v>
      </c>
    </row>
    <row r="81" spans="2:3" x14ac:dyDescent="0.3">
      <c r="B81" s="27">
        <v>1993</v>
      </c>
      <c r="C81" s="23">
        <v>0.7951994346568938</v>
      </c>
    </row>
    <row r="82" spans="2:3" x14ac:dyDescent="0.3">
      <c r="B82" s="27">
        <v>1994</v>
      </c>
      <c r="C82" s="23">
        <v>0.83442382931871206</v>
      </c>
    </row>
    <row r="83" spans="2:3" x14ac:dyDescent="0.3">
      <c r="B83" s="27">
        <v>1995</v>
      </c>
      <c r="C83" s="23">
        <v>0.89821092981784645</v>
      </c>
    </row>
    <row r="84" spans="2:3" x14ac:dyDescent="0.3">
      <c r="B84" s="27">
        <v>1996</v>
      </c>
      <c r="C84" s="23">
        <v>0.93248217281424917</v>
      </c>
    </row>
    <row r="85" spans="2:3" x14ac:dyDescent="0.3">
      <c r="B85" s="27">
        <v>1997</v>
      </c>
      <c r="C85" s="23">
        <v>0.92425463709827382</v>
      </c>
    </row>
    <row r="86" spans="2:3" x14ac:dyDescent="0.3">
      <c r="B86" s="27">
        <v>1998</v>
      </c>
      <c r="C86" s="23">
        <v>0.88970843637835006</v>
      </c>
    </row>
    <row r="87" spans="2:3" x14ac:dyDescent="0.3">
      <c r="B87" s="27">
        <v>1999</v>
      </c>
      <c r="C87" s="23">
        <v>0.76988592132089084</v>
      </c>
    </row>
    <row r="88" spans="2:3" x14ac:dyDescent="0.3">
      <c r="B88" s="27">
        <v>2000</v>
      </c>
      <c r="C88" s="23">
        <v>0.7458976377903157</v>
      </c>
    </row>
    <row r="89" spans="2:3" x14ac:dyDescent="0.3">
      <c r="B89" s="27">
        <v>2001</v>
      </c>
      <c r="C89" s="23">
        <v>0.55921950833705458</v>
      </c>
    </row>
    <row r="90" spans="2:3" x14ac:dyDescent="0.3">
      <c r="B90" s="27">
        <v>2002</v>
      </c>
      <c r="C90" s="23">
        <v>0.63824346727065517</v>
      </c>
    </row>
    <row r="91" spans="2:3" x14ac:dyDescent="0.3">
      <c r="B91" s="27">
        <v>2003</v>
      </c>
      <c r="C91" s="23">
        <v>0.57355839221412375</v>
      </c>
    </row>
    <row r="92" spans="2:3" x14ac:dyDescent="0.3">
      <c r="B92" s="27">
        <v>2004</v>
      </c>
      <c r="C92" s="23">
        <v>0.66640379250559534</v>
      </c>
    </row>
    <row r="93" spans="2:3" x14ac:dyDescent="0.3">
      <c r="B93" s="27">
        <v>2005</v>
      </c>
      <c r="C93" s="23">
        <v>0.77179205309270993</v>
      </c>
    </row>
    <row r="94" spans="2:3" x14ac:dyDescent="0.3">
      <c r="B94" s="27">
        <v>2006</v>
      </c>
      <c r="C94" s="23">
        <v>0.80800203012841554</v>
      </c>
    </row>
    <row r="95" spans="2:3" x14ac:dyDescent="0.3">
      <c r="B95" s="27">
        <v>2007</v>
      </c>
      <c r="C95" s="23">
        <v>0.6976166506065884</v>
      </c>
    </row>
    <row r="96" spans="2:3" x14ac:dyDescent="0.3">
      <c r="B96" s="27">
        <v>2008</v>
      </c>
      <c r="C96" s="23">
        <v>0.69483669452694241</v>
      </c>
    </row>
    <row r="97" spans="2:3" x14ac:dyDescent="0.3">
      <c r="B97" s="27">
        <v>2009</v>
      </c>
      <c r="C97" s="23">
        <v>0.76428239312599699</v>
      </c>
    </row>
    <row r="98" spans="2:3" x14ac:dyDescent="0.3">
      <c r="B98" s="27">
        <v>2010</v>
      </c>
      <c r="C98" s="23">
        <v>0.800878820130699</v>
      </c>
    </row>
    <row r="99" spans="2:3" x14ac:dyDescent="0.3">
      <c r="B99" s="27">
        <v>2011</v>
      </c>
      <c r="C99" s="23">
        <v>1.1571420690941947</v>
      </c>
    </row>
    <row r="100" spans="2:3" x14ac:dyDescent="0.3">
      <c r="B100" s="27">
        <v>2012</v>
      </c>
      <c r="C100" s="23">
        <v>0.87570355164583891</v>
      </c>
    </row>
    <row r="101" spans="2:3" x14ac:dyDescent="0.3">
      <c r="B101" s="27">
        <v>2013</v>
      </c>
      <c r="C101" s="23">
        <v>0.79106191531897641</v>
      </c>
    </row>
    <row r="102" spans="2:3" x14ac:dyDescent="0.3">
      <c r="B102" s="27">
        <v>2014</v>
      </c>
      <c r="C102" s="23">
        <v>0.70969203905973333</v>
      </c>
    </row>
    <row r="103" spans="2:3" ht="15" thickBot="1" x14ac:dyDescent="0.35">
      <c r="B103" s="28">
        <v>2015</v>
      </c>
      <c r="C103" s="24">
        <v>1.0125992706391531</v>
      </c>
    </row>
    <row r="123" spans="2:6" x14ac:dyDescent="0.3">
      <c r="F123" t="s">
        <v>32</v>
      </c>
    </row>
    <row r="126" spans="2:6" x14ac:dyDescent="0.3">
      <c r="B126" s="29" t="s">
        <v>66</v>
      </c>
    </row>
    <row r="127" spans="2:6" ht="15" thickBot="1" x14ac:dyDescent="0.35"/>
    <row r="128" spans="2:6" x14ac:dyDescent="0.3">
      <c r="B128" s="12" t="s">
        <v>37</v>
      </c>
      <c r="C128" s="14">
        <v>14.311114669850095</v>
      </c>
    </row>
    <row r="129" spans="2:10" x14ac:dyDescent="0.3">
      <c r="B129" s="8" t="s">
        <v>38</v>
      </c>
      <c r="C129" s="21">
        <v>1989</v>
      </c>
    </row>
    <row r="130" spans="2:10" x14ac:dyDescent="0.3">
      <c r="B130" s="8" t="s">
        <v>26</v>
      </c>
      <c r="C130" s="15">
        <v>2.0999999999999999E-3</v>
      </c>
    </row>
    <row r="131" spans="2:10" ht="15" thickBot="1" x14ac:dyDescent="0.35">
      <c r="B131" s="13" t="s">
        <v>27</v>
      </c>
      <c r="C131" s="16">
        <v>0.05</v>
      </c>
    </row>
    <row r="132" spans="2:10" x14ac:dyDescent="0.3">
      <c r="B132" s="17" t="s">
        <v>39</v>
      </c>
    </row>
    <row r="133" spans="2:10" x14ac:dyDescent="0.3">
      <c r="B133" s="17" t="s">
        <v>40</v>
      </c>
    </row>
    <row r="134" spans="2:10" x14ac:dyDescent="0.3">
      <c r="B134" s="18">
        <v>9.2084678823597965E-4</v>
      </c>
      <c r="C134" s="19">
        <v>3.2791532117640203E-3</v>
      </c>
    </row>
    <row r="137" spans="2:10" x14ac:dyDescent="0.3">
      <c r="B137" s="17" t="s">
        <v>29</v>
      </c>
    </row>
    <row r="138" spans="2:10" x14ac:dyDescent="0.3">
      <c r="B138" s="17" t="s">
        <v>41</v>
      </c>
    </row>
    <row r="139" spans="2:10" x14ac:dyDescent="0.3">
      <c r="B139" s="17" t="s">
        <v>42</v>
      </c>
    </row>
    <row r="140" spans="2:10" ht="14.4" customHeight="1" x14ac:dyDescent="0.3">
      <c r="B140" s="42" t="s">
        <v>30</v>
      </c>
      <c r="C140" s="42"/>
      <c r="D140" s="42"/>
      <c r="E140" s="42"/>
      <c r="F140" s="42"/>
      <c r="G140" s="42"/>
      <c r="H140" s="42"/>
      <c r="I140" s="42"/>
      <c r="J140" s="42"/>
    </row>
    <row r="141" spans="2:10" x14ac:dyDescent="0.3">
      <c r="B141" s="42"/>
      <c r="C141" s="42"/>
      <c r="D141" s="42"/>
      <c r="E141" s="42"/>
      <c r="F141" s="42"/>
      <c r="G141" s="42"/>
      <c r="H141" s="42"/>
      <c r="I141" s="42"/>
      <c r="J141" s="42"/>
    </row>
    <row r="142" spans="2:10" x14ac:dyDescent="0.3">
      <c r="B142" s="17" t="s">
        <v>67</v>
      </c>
    </row>
    <row r="144" spans="2:10" ht="15" thickBot="1" x14ac:dyDescent="0.35"/>
    <row r="145" spans="2:3" x14ac:dyDescent="0.3">
      <c r="B145" s="25" t="s">
        <v>65</v>
      </c>
      <c r="C145" s="10" t="s">
        <v>61</v>
      </c>
    </row>
    <row r="146" spans="2:3" x14ac:dyDescent="0.3">
      <c r="B146" s="26">
        <v>1951</v>
      </c>
      <c r="C146" s="22">
        <v>1.3225950000000637</v>
      </c>
    </row>
    <row r="147" spans="2:3" x14ac:dyDescent="0.3">
      <c r="B147" s="27">
        <v>1952</v>
      </c>
      <c r="C147" s="23">
        <v>1.0456800000000328</v>
      </c>
    </row>
    <row r="148" spans="2:3" x14ac:dyDescent="0.3">
      <c r="B148" s="27">
        <v>1953</v>
      </c>
      <c r="C148" s="23">
        <v>1.0457100000000423</v>
      </c>
    </row>
    <row r="149" spans="2:3" x14ac:dyDescent="0.3">
      <c r="B149" s="27">
        <v>1954</v>
      </c>
      <c r="C149" s="23">
        <v>0.95344500000004118</v>
      </c>
    </row>
    <row r="150" spans="2:3" x14ac:dyDescent="0.3">
      <c r="B150" s="27">
        <v>1955</v>
      </c>
      <c r="C150" s="23">
        <v>1.0764900000000459</v>
      </c>
    </row>
    <row r="151" spans="2:3" x14ac:dyDescent="0.3">
      <c r="B151" s="27">
        <v>1956</v>
      </c>
      <c r="C151" s="23">
        <v>1.0456950000000411</v>
      </c>
    </row>
    <row r="152" spans="2:3" x14ac:dyDescent="0.3">
      <c r="B152" s="27">
        <v>1957</v>
      </c>
      <c r="C152" s="23">
        <v>1.01494500000004</v>
      </c>
    </row>
    <row r="153" spans="2:3" x14ac:dyDescent="0.3">
      <c r="B153" s="27">
        <v>1958</v>
      </c>
      <c r="C153" s="23">
        <v>1.1995050000000305</v>
      </c>
    </row>
    <row r="154" spans="2:3" x14ac:dyDescent="0.3">
      <c r="B154" s="27">
        <v>1959</v>
      </c>
      <c r="C154" s="23">
        <v>1.0765049999999974</v>
      </c>
    </row>
    <row r="155" spans="2:3" x14ac:dyDescent="0.3">
      <c r="B155" s="27">
        <v>1960</v>
      </c>
      <c r="C155" s="23">
        <v>1.0765349999999998</v>
      </c>
    </row>
    <row r="156" spans="2:3" x14ac:dyDescent="0.3">
      <c r="B156" s="27">
        <v>1961</v>
      </c>
      <c r="C156" s="23">
        <v>1.0148850000000067</v>
      </c>
    </row>
    <row r="157" spans="2:3" x14ac:dyDescent="0.3">
      <c r="B157" s="27">
        <v>1962</v>
      </c>
      <c r="C157" s="23">
        <v>1.2609900000000032</v>
      </c>
    </row>
    <row r="158" spans="2:3" x14ac:dyDescent="0.3">
      <c r="B158" s="27">
        <v>1963</v>
      </c>
      <c r="C158" s="23">
        <v>0.9227249999999998</v>
      </c>
    </row>
    <row r="159" spans="2:3" x14ac:dyDescent="0.3">
      <c r="B159" s="27">
        <v>1964</v>
      </c>
      <c r="C159" s="23">
        <v>1.1687100000000044</v>
      </c>
    </row>
    <row r="160" spans="2:3" x14ac:dyDescent="0.3">
      <c r="B160" s="27">
        <v>1965</v>
      </c>
      <c r="C160" s="23">
        <v>1.3839900000000078</v>
      </c>
    </row>
    <row r="161" spans="2:3" x14ac:dyDescent="0.3">
      <c r="B161" s="27">
        <v>1966</v>
      </c>
      <c r="C161" s="23">
        <v>0.86120999999999981</v>
      </c>
    </row>
    <row r="162" spans="2:3" x14ac:dyDescent="0.3">
      <c r="B162" s="27">
        <v>1967</v>
      </c>
      <c r="C162" s="23">
        <v>0.8919150000000009</v>
      </c>
    </row>
    <row r="163" spans="2:3" x14ac:dyDescent="0.3">
      <c r="B163" s="27">
        <v>1968</v>
      </c>
      <c r="C163" s="23">
        <v>1.1379900000000021</v>
      </c>
    </row>
    <row r="164" spans="2:3" x14ac:dyDescent="0.3">
      <c r="B164" s="27">
        <v>1969</v>
      </c>
      <c r="C164" s="23">
        <v>0.73813500000000332</v>
      </c>
    </row>
    <row r="165" spans="2:3" x14ac:dyDescent="0.3">
      <c r="B165" s="27">
        <v>1970</v>
      </c>
      <c r="C165" s="23">
        <v>1.0149450000000044</v>
      </c>
    </row>
    <row r="166" spans="2:3" x14ac:dyDescent="0.3">
      <c r="B166" s="27">
        <v>1971</v>
      </c>
      <c r="C166" s="23">
        <v>0.86118000000000094</v>
      </c>
    </row>
    <row r="167" spans="2:3" x14ac:dyDescent="0.3">
      <c r="B167" s="27">
        <v>1972</v>
      </c>
      <c r="C167" s="23">
        <v>0.86119500000000215</v>
      </c>
    </row>
    <row r="168" spans="2:3" x14ac:dyDescent="0.3">
      <c r="B168" s="27">
        <v>1973</v>
      </c>
      <c r="C168" s="23">
        <v>0.98422499999999857</v>
      </c>
    </row>
    <row r="169" spans="2:3" x14ac:dyDescent="0.3">
      <c r="B169" s="27">
        <v>1974</v>
      </c>
      <c r="C169" s="23">
        <v>0.79968000000000217</v>
      </c>
    </row>
    <row r="170" spans="2:3" x14ac:dyDescent="0.3">
      <c r="B170" s="27">
        <v>1975</v>
      </c>
      <c r="C170" s="23">
        <v>1.0149749999999997</v>
      </c>
    </row>
    <row r="171" spans="2:3" x14ac:dyDescent="0.3">
      <c r="B171" s="27">
        <v>1976</v>
      </c>
      <c r="C171" s="23">
        <v>0.76897499999999752</v>
      </c>
    </row>
    <row r="172" spans="2:3" x14ac:dyDescent="0.3">
      <c r="B172" s="27">
        <v>1977</v>
      </c>
      <c r="C172" s="23">
        <v>0.92271000000000214</v>
      </c>
    </row>
    <row r="173" spans="2:3" x14ac:dyDescent="0.3">
      <c r="B173" s="27">
        <v>1978</v>
      </c>
      <c r="C173" s="23">
        <v>0.86122499999999746</v>
      </c>
    </row>
    <row r="174" spans="2:3" x14ac:dyDescent="0.3">
      <c r="B174" s="27">
        <v>1979</v>
      </c>
      <c r="C174" s="23">
        <v>0.7999299999999927</v>
      </c>
    </row>
    <row r="175" spans="2:3" x14ac:dyDescent="0.3">
      <c r="B175" s="27">
        <v>1980</v>
      </c>
      <c r="C175" s="23">
        <v>0.98448999999999209</v>
      </c>
    </row>
    <row r="176" spans="2:3" x14ac:dyDescent="0.3">
      <c r="B176" s="27">
        <v>1981</v>
      </c>
      <c r="C176" s="23">
        <v>1.1998449999999909</v>
      </c>
    </row>
    <row r="177" spans="2:3" x14ac:dyDescent="0.3">
      <c r="B177" s="27">
        <v>1982</v>
      </c>
      <c r="C177" s="23">
        <v>0.89219499999999385</v>
      </c>
    </row>
    <row r="178" spans="2:3" x14ac:dyDescent="0.3">
      <c r="B178" s="27">
        <v>1983</v>
      </c>
      <c r="C178" s="23">
        <v>1.3228949999999919</v>
      </c>
    </row>
    <row r="179" spans="2:3" x14ac:dyDescent="0.3">
      <c r="B179" s="27">
        <v>1984</v>
      </c>
      <c r="C179" s="23">
        <v>1.0767849999999886</v>
      </c>
    </row>
    <row r="180" spans="2:3" x14ac:dyDescent="0.3">
      <c r="B180" s="27">
        <v>1985</v>
      </c>
      <c r="C180" s="23">
        <v>0.86142999999999503</v>
      </c>
    </row>
    <row r="181" spans="2:3" x14ac:dyDescent="0.3">
      <c r="B181" s="27">
        <v>1986</v>
      </c>
      <c r="C181" s="23">
        <v>1.3228849999999941</v>
      </c>
    </row>
    <row r="182" spans="2:3" x14ac:dyDescent="0.3">
      <c r="B182" s="27">
        <v>1987</v>
      </c>
      <c r="C182" s="23">
        <v>0.98450999999999134</v>
      </c>
    </row>
    <row r="183" spans="2:3" x14ac:dyDescent="0.3">
      <c r="B183" s="27">
        <v>1988</v>
      </c>
      <c r="C183" s="23">
        <v>1.0152549999999927</v>
      </c>
    </row>
    <row r="184" spans="2:3" x14ac:dyDescent="0.3">
      <c r="B184" s="27">
        <v>1989</v>
      </c>
      <c r="C184" s="23">
        <v>1.0768049999999931</v>
      </c>
    </row>
    <row r="185" spans="2:3" x14ac:dyDescent="0.3">
      <c r="B185" s="27">
        <v>1990</v>
      </c>
      <c r="C185" s="23">
        <v>0.76912499999999184</v>
      </c>
    </row>
    <row r="186" spans="2:3" x14ac:dyDescent="0.3">
      <c r="B186" s="27">
        <v>1991</v>
      </c>
      <c r="C186" s="23">
        <v>0.64604499999999376</v>
      </c>
    </row>
    <row r="187" spans="2:3" x14ac:dyDescent="0.3">
      <c r="B187" s="27">
        <v>1992</v>
      </c>
      <c r="C187" s="23">
        <v>1.3229049999999933</v>
      </c>
    </row>
    <row r="188" spans="2:3" x14ac:dyDescent="0.3">
      <c r="B188" s="27">
        <v>1993</v>
      </c>
      <c r="C188" s="23">
        <v>0.89219499999999385</v>
      </c>
    </row>
    <row r="189" spans="2:3" x14ac:dyDescent="0.3">
      <c r="B189" s="27">
        <v>1994</v>
      </c>
      <c r="C189" s="23">
        <v>0.76916499999999211</v>
      </c>
    </row>
    <row r="190" spans="2:3" x14ac:dyDescent="0.3">
      <c r="B190" s="27">
        <v>1995</v>
      </c>
      <c r="C190" s="23">
        <v>0.92292999999999559</v>
      </c>
    </row>
    <row r="191" spans="2:3" x14ac:dyDescent="0.3">
      <c r="B191" s="27">
        <v>1996</v>
      </c>
      <c r="C191" s="23">
        <v>0.79991499999999505</v>
      </c>
    </row>
    <row r="192" spans="2:3" x14ac:dyDescent="0.3">
      <c r="B192" s="27">
        <v>1997</v>
      </c>
      <c r="C192" s="23">
        <v>0.86143499999999129</v>
      </c>
    </row>
    <row r="193" spans="2:3" x14ac:dyDescent="0.3">
      <c r="B193" s="27">
        <v>1998</v>
      </c>
      <c r="C193" s="23">
        <v>0.67684999999999462</v>
      </c>
    </row>
    <row r="194" spans="2:3" x14ac:dyDescent="0.3">
      <c r="B194" s="27">
        <v>1999</v>
      </c>
      <c r="C194" s="23">
        <v>1.0459999999999905</v>
      </c>
    </row>
    <row r="195" spans="2:3" x14ac:dyDescent="0.3">
      <c r="B195" s="27">
        <v>2000</v>
      </c>
      <c r="C195" s="23">
        <v>0.83066499999999621</v>
      </c>
    </row>
    <row r="196" spans="2:3" x14ac:dyDescent="0.3">
      <c r="B196" s="27">
        <v>2001</v>
      </c>
      <c r="C196" s="23">
        <v>0.83064500000000319</v>
      </c>
    </row>
    <row r="197" spans="2:3" x14ac:dyDescent="0.3">
      <c r="B197" s="27">
        <v>2002</v>
      </c>
      <c r="C197" s="23">
        <v>1.1075500000000051</v>
      </c>
    </row>
    <row r="198" spans="2:3" x14ac:dyDescent="0.3">
      <c r="B198" s="27">
        <v>2003</v>
      </c>
      <c r="C198" s="23">
        <v>0.86145500000000386</v>
      </c>
    </row>
    <row r="199" spans="2:3" x14ac:dyDescent="0.3">
      <c r="B199" s="27">
        <v>2004</v>
      </c>
      <c r="C199" s="23">
        <v>0.64607000000000259</v>
      </c>
    </row>
    <row r="200" spans="2:3" x14ac:dyDescent="0.3">
      <c r="B200" s="27">
        <v>2005</v>
      </c>
      <c r="C200" s="23">
        <v>1.230590000000003</v>
      </c>
    </row>
    <row r="201" spans="2:3" x14ac:dyDescent="0.3">
      <c r="B201" s="27">
        <v>2006</v>
      </c>
      <c r="C201" s="23">
        <v>0.7383650000000026</v>
      </c>
    </row>
    <row r="202" spans="2:3" x14ac:dyDescent="0.3">
      <c r="B202" s="27">
        <v>2007</v>
      </c>
      <c r="C202" s="23">
        <v>0.98450000000000237</v>
      </c>
    </row>
    <row r="203" spans="2:3" x14ac:dyDescent="0.3">
      <c r="B203" s="27">
        <v>2008</v>
      </c>
      <c r="C203" s="23">
        <v>0.55380000000000251</v>
      </c>
    </row>
    <row r="204" spans="2:3" x14ac:dyDescent="0.3">
      <c r="B204" s="27">
        <v>2009</v>
      </c>
      <c r="C204" s="23">
        <v>0.76911499999999844</v>
      </c>
    </row>
    <row r="205" spans="2:3" x14ac:dyDescent="0.3">
      <c r="B205" s="27">
        <v>2010</v>
      </c>
      <c r="C205" s="23">
        <v>0.76912999999999876</v>
      </c>
    </row>
    <row r="206" spans="2:3" x14ac:dyDescent="0.3">
      <c r="B206" s="27">
        <v>2011</v>
      </c>
      <c r="C206" s="23">
        <v>0.70761999999999947</v>
      </c>
    </row>
    <row r="207" spans="2:3" x14ac:dyDescent="0.3">
      <c r="B207" s="27">
        <v>2012</v>
      </c>
      <c r="C207" s="23">
        <v>0.6768499999999984</v>
      </c>
    </row>
    <row r="208" spans="2:3" x14ac:dyDescent="0.3">
      <c r="B208" s="27">
        <v>2013</v>
      </c>
      <c r="C208" s="23">
        <v>0.55374999999999885</v>
      </c>
    </row>
    <row r="209" spans="2:3" x14ac:dyDescent="0.3">
      <c r="B209" s="27">
        <v>2014</v>
      </c>
      <c r="C209" s="23">
        <v>0.98448000000000069</v>
      </c>
    </row>
    <row r="210" spans="2:3" ht="15" thickBot="1" x14ac:dyDescent="0.35">
      <c r="B210" s="28">
        <v>2015</v>
      </c>
      <c r="C210" s="24">
        <v>0.73838500000000062</v>
      </c>
    </row>
    <row r="230" spans="2:6" x14ac:dyDescent="0.3">
      <c r="F230" t="s">
        <v>32</v>
      </c>
    </row>
    <row r="233" spans="2:6" x14ac:dyDescent="0.3">
      <c r="B233" s="29" t="s">
        <v>68</v>
      </c>
    </row>
    <row r="234" spans="2:6" ht="15" thickBot="1" x14ac:dyDescent="0.35"/>
    <row r="235" spans="2:6" x14ac:dyDescent="0.3">
      <c r="B235" s="12" t="s">
        <v>37</v>
      </c>
      <c r="C235" s="14">
        <v>25.816906912530246</v>
      </c>
    </row>
    <row r="236" spans="2:6" x14ac:dyDescent="0.3">
      <c r="B236" s="8" t="s">
        <v>38</v>
      </c>
      <c r="C236" s="21">
        <v>1965</v>
      </c>
    </row>
    <row r="237" spans="2:6" x14ac:dyDescent="0.3">
      <c r="B237" s="8" t="s">
        <v>26</v>
      </c>
      <c r="C237" s="15" t="s">
        <v>28</v>
      </c>
    </row>
    <row r="238" spans="2:6" ht="15" thickBot="1" x14ac:dyDescent="0.35">
      <c r="B238" s="13" t="s">
        <v>27</v>
      </c>
      <c r="C238" s="16">
        <v>0.05</v>
      </c>
    </row>
    <row r="239" spans="2:6" x14ac:dyDescent="0.3">
      <c r="B239" s="17" t="s">
        <v>39</v>
      </c>
    </row>
    <row r="240" spans="2:6" x14ac:dyDescent="0.3">
      <c r="B240" s="17" t="s">
        <v>40</v>
      </c>
    </row>
    <row r="241" spans="2:10" x14ac:dyDescent="0.3">
      <c r="B241" s="18">
        <v>0</v>
      </c>
      <c r="C241" s="19">
        <v>0</v>
      </c>
    </row>
    <row r="244" spans="2:10" x14ac:dyDescent="0.3">
      <c r="B244" s="17" t="s">
        <v>29</v>
      </c>
    </row>
    <row r="245" spans="2:10" x14ac:dyDescent="0.3">
      <c r="B245" s="17" t="s">
        <v>41</v>
      </c>
    </row>
    <row r="246" spans="2:10" x14ac:dyDescent="0.3">
      <c r="B246" s="17" t="s">
        <v>42</v>
      </c>
    </row>
    <row r="247" spans="2:10" ht="14.4" customHeight="1" x14ac:dyDescent="0.3">
      <c r="B247" s="42" t="s">
        <v>30</v>
      </c>
      <c r="C247" s="42"/>
      <c r="D247" s="42"/>
      <c r="E247" s="42"/>
      <c r="F247" s="42"/>
      <c r="G247" s="42"/>
      <c r="H247" s="42"/>
      <c r="I247" s="42"/>
      <c r="J247" s="42"/>
    </row>
    <row r="248" spans="2:10" x14ac:dyDescent="0.3">
      <c r="B248" s="42"/>
      <c r="C248" s="42"/>
      <c r="D248" s="42"/>
      <c r="E248" s="42"/>
      <c r="F248" s="42"/>
      <c r="G248" s="42"/>
      <c r="H248" s="42"/>
      <c r="I248" s="42"/>
      <c r="J248" s="42"/>
    </row>
    <row r="249" spans="2:10" x14ac:dyDescent="0.3">
      <c r="B249" s="17" t="s">
        <v>31</v>
      </c>
    </row>
    <row r="251" spans="2:10" ht="15" thickBot="1" x14ac:dyDescent="0.35"/>
    <row r="252" spans="2:10" x14ac:dyDescent="0.3">
      <c r="B252" s="25" t="s">
        <v>65</v>
      </c>
      <c r="C252" s="10" t="s">
        <v>62</v>
      </c>
    </row>
    <row r="253" spans="2:10" x14ac:dyDescent="0.3">
      <c r="B253" s="26">
        <v>1951</v>
      </c>
      <c r="C253" s="22">
        <v>1.0908906787482013</v>
      </c>
    </row>
    <row r="254" spans="2:10" x14ac:dyDescent="0.3">
      <c r="B254" s="27">
        <v>1952</v>
      </c>
      <c r="C254" s="23">
        <v>1.0434647553960963</v>
      </c>
    </row>
    <row r="255" spans="2:10" x14ac:dyDescent="0.3">
      <c r="B255" s="27">
        <v>1953</v>
      </c>
      <c r="C255" s="23">
        <v>0.96668411986550884</v>
      </c>
    </row>
    <row r="256" spans="2:10" x14ac:dyDescent="0.3">
      <c r="B256" s="27">
        <v>1954</v>
      </c>
      <c r="C256" s="23">
        <v>0.89381247865645308</v>
      </c>
    </row>
    <row r="257" spans="2:3" x14ac:dyDescent="0.3">
      <c r="B257" s="27">
        <v>1955</v>
      </c>
      <c r="C257" s="23">
        <v>0.87713599293962607</v>
      </c>
    </row>
    <row r="258" spans="2:3" x14ac:dyDescent="0.3">
      <c r="B258" s="27">
        <v>1956</v>
      </c>
      <c r="C258" s="23">
        <v>0.94915060274267704</v>
      </c>
    </row>
    <row r="259" spans="2:3" x14ac:dyDescent="0.3">
      <c r="B259" s="27">
        <v>1957</v>
      </c>
      <c r="C259" s="23">
        <v>0.94171082115941984</v>
      </c>
    </row>
    <row r="260" spans="2:3" x14ac:dyDescent="0.3">
      <c r="B260" s="27">
        <v>1958</v>
      </c>
      <c r="C260" s="23">
        <v>1.0099910079924499</v>
      </c>
    </row>
    <row r="261" spans="2:3" x14ac:dyDescent="0.3">
      <c r="B261" s="27">
        <v>1959</v>
      </c>
      <c r="C261" s="23">
        <v>0.89571931377933445</v>
      </c>
    </row>
    <row r="262" spans="2:3" x14ac:dyDescent="0.3">
      <c r="B262" s="27">
        <v>1960</v>
      </c>
      <c r="C262" s="23">
        <v>0.95198198166607595</v>
      </c>
    </row>
    <row r="263" spans="2:3" x14ac:dyDescent="0.3">
      <c r="B263" s="27">
        <v>1961</v>
      </c>
      <c r="C263" s="23">
        <v>0.82625431420923423</v>
      </c>
    </row>
    <row r="264" spans="2:3" x14ac:dyDescent="0.3">
      <c r="B264" s="27">
        <v>1962</v>
      </c>
      <c r="C264" s="23">
        <v>1.0816424748159748</v>
      </c>
    </row>
    <row r="265" spans="2:3" x14ac:dyDescent="0.3">
      <c r="B265" s="27">
        <v>1963</v>
      </c>
      <c r="C265" s="23">
        <v>0.74628942123734443</v>
      </c>
    </row>
    <row r="266" spans="2:3" x14ac:dyDescent="0.3">
      <c r="B266" s="27">
        <v>1964</v>
      </c>
      <c r="C266" s="23">
        <v>0.91948260763958412</v>
      </c>
    </row>
    <row r="267" spans="2:3" x14ac:dyDescent="0.3">
      <c r="B267" s="27">
        <v>1965</v>
      </c>
      <c r="C267" s="23">
        <v>1.2168493738058528</v>
      </c>
    </row>
    <row r="268" spans="2:3" x14ac:dyDescent="0.3">
      <c r="B268" s="27">
        <v>1966</v>
      </c>
      <c r="C268" s="23">
        <v>0.69820667159594074</v>
      </c>
    </row>
    <row r="269" spans="2:3" x14ac:dyDescent="0.3">
      <c r="B269" s="27">
        <v>1967</v>
      </c>
      <c r="C269" s="23">
        <v>0.72849599383080332</v>
      </c>
    </row>
    <row r="270" spans="2:3" x14ac:dyDescent="0.3">
      <c r="B270" s="27">
        <v>1968</v>
      </c>
      <c r="C270" s="23">
        <v>0.88941273418498468</v>
      </c>
    </row>
    <row r="271" spans="2:3" x14ac:dyDescent="0.3">
      <c r="B271" s="27">
        <v>1969</v>
      </c>
      <c r="C271" s="23">
        <v>0.66940443360427415</v>
      </c>
    </row>
    <row r="272" spans="2:3" x14ac:dyDescent="0.3">
      <c r="B272" s="27">
        <v>1970</v>
      </c>
      <c r="C272" s="23">
        <v>1.023181335455865</v>
      </c>
    </row>
    <row r="273" spans="2:3" x14ac:dyDescent="0.3">
      <c r="B273" s="27">
        <v>1971</v>
      </c>
      <c r="C273" s="23">
        <v>0.66326874486604059</v>
      </c>
    </row>
    <row r="274" spans="2:3" x14ac:dyDescent="0.3">
      <c r="B274" s="27">
        <v>1972</v>
      </c>
      <c r="C274" s="23">
        <v>0.65343001643443488</v>
      </c>
    </row>
    <row r="275" spans="2:3" x14ac:dyDescent="0.3">
      <c r="B275" s="27">
        <v>1973</v>
      </c>
      <c r="C275" s="23">
        <v>0.69673135474760839</v>
      </c>
    </row>
    <row r="276" spans="2:3" x14ac:dyDescent="0.3">
      <c r="B276" s="27">
        <v>1974</v>
      </c>
      <c r="C276" s="23">
        <v>0.50356561583088877</v>
      </c>
    </row>
    <row r="277" spans="2:3" x14ac:dyDescent="0.3">
      <c r="B277" s="27">
        <v>1975</v>
      </c>
      <c r="C277" s="23">
        <v>0.6817840371234688</v>
      </c>
    </row>
    <row r="278" spans="2:3" x14ac:dyDescent="0.3">
      <c r="B278" s="27">
        <v>1976</v>
      </c>
      <c r="C278" s="23">
        <v>0.45169534367231928</v>
      </c>
    </row>
    <row r="279" spans="2:3" x14ac:dyDescent="0.3">
      <c r="B279" s="27">
        <v>1977</v>
      </c>
      <c r="C279" s="23">
        <v>0.63740937276119392</v>
      </c>
    </row>
    <row r="280" spans="2:3" x14ac:dyDescent="0.3">
      <c r="B280" s="27">
        <v>1978</v>
      </c>
      <c r="C280" s="23">
        <v>0.50061300155262867</v>
      </c>
    </row>
    <row r="281" spans="2:3" x14ac:dyDescent="0.3">
      <c r="B281" s="27">
        <v>1979</v>
      </c>
      <c r="C281" s="23">
        <v>0.74575634970463023</v>
      </c>
    </row>
    <row r="282" spans="2:3" x14ac:dyDescent="0.3">
      <c r="B282" s="27">
        <v>1980</v>
      </c>
      <c r="C282" s="23">
        <v>0.61304392582567535</v>
      </c>
    </row>
    <row r="283" spans="2:3" x14ac:dyDescent="0.3">
      <c r="B283" s="27">
        <v>1981</v>
      </c>
      <c r="C283" s="23">
        <v>0.78488313733350923</v>
      </c>
    </row>
    <row r="284" spans="2:3" x14ac:dyDescent="0.3">
      <c r="B284" s="27">
        <v>1982</v>
      </c>
      <c r="C284" s="23">
        <v>0.58965696231728137</v>
      </c>
    </row>
    <row r="285" spans="2:3" x14ac:dyDescent="0.3">
      <c r="B285" s="27">
        <v>1983</v>
      </c>
      <c r="C285" s="23">
        <v>0.88282402665577842</v>
      </c>
    </row>
    <row r="286" spans="2:3" x14ac:dyDescent="0.3">
      <c r="B286" s="27">
        <v>1984</v>
      </c>
      <c r="C286" s="23">
        <v>0.82951931499231246</v>
      </c>
    </row>
    <row r="287" spans="2:3" x14ac:dyDescent="0.3">
      <c r="B287" s="27">
        <v>1985</v>
      </c>
      <c r="C287" s="23">
        <v>0.703406215282397</v>
      </c>
    </row>
    <row r="288" spans="2:3" x14ac:dyDescent="0.3">
      <c r="B288" s="27">
        <v>1986</v>
      </c>
      <c r="C288" s="23">
        <v>1.0434160876062517</v>
      </c>
    </row>
    <row r="289" spans="2:3" x14ac:dyDescent="0.3">
      <c r="B289" s="27">
        <v>1987</v>
      </c>
      <c r="C289" s="23">
        <v>0.63683172569335844</v>
      </c>
    </row>
    <row r="290" spans="2:3" x14ac:dyDescent="0.3">
      <c r="B290" s="27">
        <v>1988</v>
      </c>
      <c r="C290" s="23">
        <v>0.76925528541902533</v>
      </c>
    </row>
    <row r="291" spans="2:3" x14ac:dyDescent="0.3">
      <c r="B291" s="27">
        <v>1989</v>
      </c>
      <c r="C291" s="23">
        <v>0.79402770664940436</v>
      </c>
    </row>
    <row r="292" spans="2:3" x14ac:dyDescent="0.3">
      <c r="B292" s="27">
        <v>1990</v>
      </c>
      <c r="C292" s="23">
        <v>0.54206162644762446</v>
      </c>
    </row>
    <row r="293" spans="2:3" x14ac:dyDescent="0.3">
      <c r="B293" s="27">
        <v>1991</v>
      </c>
      <c r="C293" s="23">
        <v>0.4179670843583041</v>
      </c>
    </row>
    <row r="294" spans="2:3" x14ac:dyDescent="0.3">
      <c r="B294" s="27">
        <v>1992</v>
      </c>
      <c r="C294" s="23">
        <v>0.95252981733793385</v>
      </c>
    </row>
    <row r="295" spans="2:3" x14ac:dyDescent="0.3">
      <c r="B295" s="27">
        <v>1993</v>
      </c>
      <c r="C295" s="23">
        <v>0.69254222979469859</v>
      </c>
    </row>
    <row r="296" spans="2:3" x14ac:dyDescent="0.3">
      <c r="B296" s="27">
        <v>1994</v>
      </c>
      <c r="C296" s="23">
        <v>0.63748879392704572</v>
      </c>
    </row>
    <row r="297" spans="2:3" x14ac:dyDescent="0.3">
      <c r="B297" s="27">
        <v>1995</v>
      </c>
      <c r="C297" s="23">
        <v>0.83918389470895627</v>
      </c>
    </row>
    <row r="298" spans="2:3" x14ac:dyDescent="0.3">
      <c r="B298" s="27">
        <v>1996</v>
      </c>
      <c r="C298" s="23">
        <v>0.7515839672923621</v>
      </c>
    </row>
    <row r="299" spans="2:3" x14ac:dyDescent="0.3">
      <c r="B299" s="27">
        <v>1997</v>
      </c>
      <c r="C299" s="23">
        <v>0.74016234589913432</v>
      </c>
    </row>
    <row r="300" spans="2:3" x14ac:dyDescent="0.3">
      <c r="B300" s="27">
        <v>1998</v>
      </c>
      <c r="C300" s="23">
        <v>0.61555175104352811</v>
      </c>
    </row>
    <row r="301" spans="2:3" x14ac:dyDescent="0.3">
      <c r="B301" s="27">
        <v>1999</v>
      </c>
      <c r="C301" s="23">
        <v>0.79896581383635323</v>
      </c>
    </row>
    <row r="302" spans="2:3" x14ac:dyDescent="0.3">
      <c r="B302" s="27">
        <v>2000</v>
      </c>
      <c r="C302" s="23">
        <v>0.60869180207901241</v>
      </c>
    </row>
    <row r="303" spans="2:3" x14ac:dyDescent="0.3">
      <c r="B303" s="27">
        <v>2001</v>
      </c>
      <c r="C303" s="23">
        <v>0.46487505860880418</v>
      </c>
    </row>
    <row r="304" spans="2:3" x14ac:dyDescent="0.3">
      <c r="B304" s="27">
        <v>2002</v>
      </c>
      <c r="C304" s="23">
        <v>0.68993728343819227</v>
      </c>
    </row>
    <row r="305" spans="2:3" x14ac:dyDescent="0.3">
      <c r="B305" s="27">
        <v>2003</v>
      </c>
      <c r="C305" s="23">
        <v>0.48394386405730438</v>
      </c>
    </row>
    <row r="306" spans="2:3" x14ac:dyDescent="0.3">
      <c r="B306" s="27">
        <v>2004</v>
      </c>
      <c r="C306" s="23">
        <v>0.41388145793266212</v>
      </c>
    </row>
    <row r="307" spans="2:3" x14ac:dyDescent="0.3">
      <c r="B307" s="27">
        <v>2005</v>
      </c>
      <c r="C307" s="23">
        <v>0.89528306928747248</v>
      </c>
    </row>
    <row r="308" spans="2:3" x14ac:dyDescent="0.3">
      <c r="B308" s="27">
        <v>2006</v>
      </c>
      <c r="C308" s="23">
        <v>0.60450574529205836</v>
      </c>
    </row>
    <row r="309" spans="2:3" x14ac:dyDescent="0.3">
      <c r="B309" s="27">
        <v>2007</v>
      </c>
      <c r="C309" s="23">
        <v>0.68999357550681195</v>
      </c>
    </row>
    <row r="310" spans="2:3" x14ac:dyDescent="0.3">
      <c r="B310" s="27">
        <v>2008</v>
      </c>
      <c r="C310" s="23">
        <v>0.3861398246573936</v>
      </c>
    </row>
    <row r="311" spans="2:3" x14ac:dyDescent="0.3">
      <c r="B311" s="27">
        <v>2009</v>
      </c>
      <c r="C311" s="23">
        <v>0.58352026927277212</v>
      </c>
    </row>
    <row r="312" spans="2:3" x14ac:dyDescent="0.3">
      <c r="B312" s="27">
        <v>2010</v>
      </c>
      <c r="C312" s="23">
        <v>0.61447358754057646</v>
      </c>
    </row>
    <row r="313" spans="2:3" x14ac:dyDescent="0.3">
      <c r="B313" s="27">
        <v>2011</v>
      </c>
      <c r="C313" s="23">
        <v>0.85115901872641309</v>
      </c>
    </row>
    <row r="314" spans="2:3" x14ac:dyDescent="0.3">
      <c r="B314" s="27">
        <v>2012</v>
      </c>
      <c r="C314" s="23">
        <v>0.59760797188018988</v>
      </c>
    </row>
    <row r="315" spans="2:3" x14ac:dyDescent="0.3">
      <c r="B315" s="27">
        <v>2013</v>
      </c>
      <c r="C315" s="23">
        <v>0.43686880931474409</v>
      </c>
    </row>
    <row r="316" spans="2:3" x14ac:dyDescent="0.3">
      <c r="B316" s="27">
        <v>2014</v>
      </c>
      <c r="C316" s="23">
        <v>0.72911794367672156</v>
      </c>
    </row>
    <row r="317" spans="2:3" ht="15" thickBot="1" x14ac:dyDescent="0.35">
      <c r="B317" s="28">
        <v>2015</v>
      </c>
      <c r="C317" s="24">
        <v>0.74769124603587001</v>
      </c>
    </row>
    <row r="337" spans="6:6" x14ac:dyDescent="0.3">
      <c r="F337" t="s">
        <v>32</v>
      </c>
    </row>
  </sheetData>
  <mergeCells count="3">
    <mergeCell ref="B33:J34"/>
    <mergeCell ref="B140:J141"/>
    <mergeCell ref="B247:J248"/>
  </mergeCells>
  <pageMargins left="0.7" right="0.7" top="0.75" bottom="0.75" header="0.3" footer="0.3"/>
  <ignoredErrors>
    <ignoredError sqref="A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EFFF-A067-4887-A734-66DB869A06B8}">
  <sheetPr>
    <tabColor rgb="FF007800"/>
  </sheetPr>
  <dimension ref="B1:J337"/>
  <sheetViews>
    <sheetView topLeftCell="A100" zoomScaleNormal="100" workbookViewId="0">
      <selection activeCell="F344" sqref="F344"/>
    </sheetView>
  </sheetViews>
  <sheetFormatPr baseColWidth="10" defaultRowHeight="14.4" x14ac:dyDescent="0.3"/>
  <cols>
    <col min="1" max="1" width="6.21875" customWidth="1"/>
    <col min="2" max="2" width="11.5546875" customWidth="1"/>
  </cols>
  <sheetData>
    <row r="1" spans="2:9" x14ac:dyDescent="0.3">
      <c r="B1" t="s">
        <v>70</v>
      </c>
    </row>
    <row r="2" spans="2:9" x14ac:dyDescent="0.3">
      <c r="B2" t="s">
        <v>71</v>
      </c>
    </row>
    <row r="3" spans="2:9" x14ac:dyDescent="0.3">
      <c r="B3" t="s">
        <v>72</v>
      </c>
    </row>
    <row r="4" spans="2:9" x14ac:dyDescent="0.3">
      <c r="B4" t="s">
        <v>33</v>
      </c>
    </row>
    <row r="5" spans="2:9" x14ac:dyDescent="0.3">
      <c r="B5" t="s">
        <v>34</v>
      </c>
    </row>
    <row r="6" spans="2:9" x14ac:dyDescent="0.3">
      <c r="B6" t="s">
        <v>35</v>
      </c>
    </row>
    <row r="7" spans="2:9" x14ac:dyDescent="0.3">
      <c r="B7" t="s">
        <v>76</v>
      </c>
    </row>
    <row r="11" spans="2:9" x14ac:dyDescent="0.3">
      <c r="B11" t="s">
        <v>17</v>
      </c>
    </row>
    <row r="12" spans="2:9" ht="15" thickBot="1" x14ac:dyDescent="0.35"/>
    <row r="13" spans="2:9" x14ac:dyDescent="0.3">
      <c r="B13" s="9" t="s">
        <v>18</v>
      </c>
      <c r="C13" s="10" t="s">
        <v>19</v>
      </c>
      <c r="D13" s="10" t="s">
        <v>20</v>
      </c>
      <c r="E13" s="10" t="s">
        <v>21</v>
      </c>
      <c r="F13" s="10" t="s">
        <v>22</v>
      </c>
      <c r="G13" s="10" t="s">
        <v>23</v>
      </c>
      <c r="H13" s="10" t="s">
        <v>24</v>
      </c>
      <c r="I13" s="10" t="s">
        <v>25</v>
      </c>
    </row>
    <row r="14" spans="2:9" x14ac:dyDescent="0.3">
      <c r="B14" s="11" t="s">
        <v>1</v>
      </c>
      <c r="C14" s="26">
        <v>65</v>
      </c>
      <c r="D14" s="26">
        <v>0</v>
      </c>
      <c r="E14" s="26">
        <v>65</v>
      </c>
      <c r="F14" s="22">
        <v>0.2952666627398528</v>
      </c>
      <c r="G14" s="22">
        <v>0.90963101077115072</v>
      </c>
      <c r="H14" s="22">
        <v>0.6680309082401743</v>
      </c>
      <c r="I14" s="22">
        <v>0.12658385600199487</v>
      </c>
    </row>
    <row r="15" spans="2:9" x14ac:dyDescent="0.3">
      <c r="B15" s="8" t="s">
        <v>2</v>
      </c>
      <c r="C15" s="27">
        <v>65</v>
      </c>
      <c r="D15" s="27">
        <v>0</v>
      </c>
      <c r="E15" s="27">
        <v>65</v>
      </c>
      <c r="F15" s="23">
        <v>0.57900000000000418</v>
      </c>
      <c r="G15" s="23">
        <v>1.5114499999999875</v>
      </c>
      <c r="H15" s="23">
        <v>1.0324138461538488</v>
      </c>
      <c r="I15" s="23">
        <v>0.1903320713474555</v>
      </c>
    </row>
    <row r="16" spans="2:9" ht="15" thickBot="1" x14ac:dyDescent="0.35">
      <c r="B16" s="13" t="s">
        <v>3</v>
      </c>
      <c r="C16" s="28">
        <v>65</v>
      </c>
      <c r="D16" s="28">
        <v>0</v>
      </c>
      <c r="E16" s="28">
        <v>65</v>
      </c>
      <c r="F16" s="24">
        <v>0.34533991835577238</v>
      </c>
      <c r="G16" s="24">
        <v>0.95589615237272119</v>
      </c>
      <c r="H16" s="24">
        <v>0.68080316366237847</v>
      </c>
      <c r="I16" s="24">
        <v>0.14428290195448104</v>
      </c>
    </row>
    <row r="19" spans="2:3" x14ac:dyDescent="0.3">
      <c r="B19" s="29" t="s">
        <v>36</v>
      </c>
    </row>
    <row r="20" spans="2:3" ht="15" thickBot="1" x14ac:dyDescent="0.35"/>
    <row r="21" spans="2:3" x14ac:dyDescent="0.3">
      <c r="B21" s="12" t="s">
        <v>37</v>
      </c>
      <c r="C21" s="14">
        <v>6.2298068713773729</v>
      </c>
    </row>
    <row r="22" spans="2:3" x14ac:dyDescent="0.3">
      <c r="B22" s="8" t="s">
        <v>38</v>
      </c>
      <c r="C22" s="21">
        <v>1972</v>
      </c>
    </row>
    <row r="23" spans="2:3" x14ac:dyDescent="0.3">
      <c r="B23" s="8" t="s">
        <v>26</v>
      </c>
      <c r="C23" s="15">
        <v>0.18659999999999999</v>
      </c>
    </row>
    <row r="24" spans="2:3" ht="15" thickBot="1" x14ac:dyDescent="0.35">
      <c r="B24" s="13" t="s">
        <v>27</v>
      </c>
      <c r="C24" s="16">
        <v>0.05</v>
      </c>
    </row>
    <row r="25" spans="2:3" x14ac:dyDescent="0.3">
      <c r="B25" s="17" t="s">
        <v>39</v>
      </c>
    </row>
    <row r="26" spans="2:3" x14ac:dyDescent="0.3">
      <c r="B26" s="17" t="s">
        <v>40</v>
      </c>
    </row>
    <row r="27" spans="2:3" x14ac:dyDescent="0.3">
      <c r="B27" s="18">
        <v>0.17656482423941908</v>
      </c>
      <c r="C27" s="19">
        <v>0.1966351757605809</v>
      </c>
    </row>
    <row r="30" spans="2:3" x14ac:dyDescent="0.3">
      <c r="B30" s="17" t="s">
        <v>29</v>
      </c>
    </row>
    <row r="31" spans="2:3" x14ac:dyDescent="0.3">
      <c r="B31" s="17" t="s">
        <v>41</v>
      </c>
    </row>
    <row r="32" spans="2:3" x14ac:dyDescent="0.3">
      <c r="B32" s="17" t="s">
        <v>42</v>
      </c>
    </row>
    <row r="33" spans="2:10" ht="14.4" customHeight="1" x14ac:dyDescent="0.3">
      <c r="B33" s="42" t="s">
        <v>44</v>
      </c>
      <c r="C33" s="42"/>
      <c r="D33" s="42"/>
      <c r="E33" s="42"/>
      <c r="F33" s="42"/>
      <c r="G33" s="42"/>
      <c r="H33" s="42"/>
      <c r="I33" s="42"/>
      <c r="J33" s="42"/>
    </row>
    <row r="34" spans="2:10" x14ac:dyDescent="0.3">
      <c r="B34" s="42"/>
      <c r="C34" s="42"/>
      <c r="D34" s="42"/>
      <c r="E34" s="42"/>
      <c r="F34" s="42"/>
      <c r="G34" s="42"/>
      <c r="H34" s="42"/>
      <c r="I34" s="42"/>
      <c r="J34" s="42"/>
    </row>
    <row r="35" spans="2:10" x14ac:dyDescent="0.3">
      <c r="B35" s="17" t="s">
        <v>73</v>
      </c>
    </row>
    <row r="37" spans="2:10" ht="15" thickBot="1" x14ac:dyDescent="0.35"/>
    <row r="38" spans="2:10" x14ac:dyDescent="0.3">
      <c r="B38" s="25" t="s">
        <v>0</v>
      </c>
      <c r="C38" s="10" t="s">
        <v>1</v>
      </c>
    </row>
    <row r="39" spans="2:10" x14ac:dyDescent="0.3">
      <c r="B39" s="26">
        <v>1951</v>
      </c>
      <c r="C39" s="22">
        <v>0.51351744124259158</v>
      </c>
    </row>
    <row r="40" spans="2:10" x14ac:dyDescent="0.3">
      <c r="B40" s="27">
        <v>1952</v>
      </c>
      <c r="C40" s="23">
        <v>0.69539047312418112</v>
      </c>
    </row>
    <row r="41" spans="2:10" x14ac:dyDescent="0.3">
      <c r="B41" s="27">
        <v>1953</v>
      </c>
      <c r="C41" s="23">
        <v>0.68994119646482943</v>
      </c>
    </row>
    <row r="42" spans="2:10" x14ac:dyDescent="0.3">
      <c r="B42" s="27">
        <v>1954</v>
      </c>
      <c r="C42" s="23">
        <v>0.77776588381632716</v>
      </c>
    </row>
    <row r="43" spans="2:10" x14ac:dyDescent="0.3">
      <c r="B43" s="27">
        <v>1955</v>
      </c>
      <c r="C43" s="23">
        <v>0.79626087929069644</v>
      </c>
    </row>
    <row r="44" spans="2:10" x14ac:dyDescent="0.3">
      <c r="B44" s="27">
        <v>1956</v>
      </c>
      <c r="C44" s="23">
        <v>0.81179865688327302</v>
      </c>
    </row>
    <row r="45" spans="2:10" x14ac:dyDescent="0.3">
      <c r="B45" s="27">
        <v>1957</v>
      </c>
      <c r="C45" s="23">
        <v>0.79021060603461424</v>
      </c>
    </row>
    <row r="46" spans="2:10" x14ac:dyDescent="0.3">
      <c r="B46" s="27">
        <v>1958</v>
      </c>
      <c r="C46" s="23">
        <v>0.76023920803179224</v>
      </c>
    </row>
    <row r="47" spans="2:10" x14ac:dyDescent="0.3">
      <c r="B47" s="27">
        <v>1959</v>
      </c>
      <c r="C47" s="23">
        <v>0.74147591975231064</v>
      </c>
    </row>
    <row r="48" spans="2:10" x14ac:dyDescent="0.3">
      <c r="B48" s="27">
        <v>1960</v>
      </c>
      <c r="C48" s="23">
        <v>0.6546286432681816</v>
      </c>
    </row>
    <row r="49" spans="2:3" x14ac:dyDescent="0.3">
      <c r="B49" s="27">
        <v>1961</v>
      </c>
      <c r="C49" s="23">
        <v>0.50806891727469961</v>
      </c>
    </row>
    <row r="50" spans="2:3" x14ac:dyDescent="0.3">
      <c r="B50" s="27">
        <v>1962</v>
      </c>
      <c r="C50" s="23">
        <v>0.5682564106044169</v>
      </c>
    </row>
    <row r="51" spans="2:3" x14ac:dyDescent="0.3">
      <c r="B51" s="27">
        <v>1963</v>
      </c>
      <c r="C51" s="23">
        <v>0.59760319061078238</v>
      </c>
    </row>
    <row r="52" spans="2:3" x14ac:dyDescent="0.3">
      <c r="B52" s="27">
        <v>1964</v>
      </c>
      <c r="C52" s="23">
        <v>0.42788612018341732</v>
      </c>
    </row>
    <row r="53" spans="2:3" x14ac:dyDescent="0.3">
      <c r="B53" s="27">
        <v>1965</v>
      </c>
      <c r="C53" s="23">
        <v>0.2952666627398528</v>
      </c>
    </row>
    <row r="54" spans="2:3" x14ac:dyDescent="0.3">
      <c r="B54" s="27">
        <v>1966</v>
      </c>
      <c r="C54" s="23">
        <v>0.44310650123246753</v>
      </c>
    </row>
    <row r="55" spans="2:3" x14ac:dyDescent="0.3">
      <c r="B55" s="27">
        <v>1967</v>
      </c>
      <c r="C55" s="23">
        <v>0.45673324284023353</v>
      </c>
    </row>
    <row r="56" spans="2:3" x14ac:dyDescent="0.3">
      <c r="B56" s="27">
        <v>1968</v>
      </c>
      <c r="C56" s="23">
        <v>0.6151197557920649</v>
      </c>
    </row>
    <row r="57" spans="2:3" x14ac:dyDescent="0.3">
      <c r="B57" s="27">
        <v>1969</v>
      </c>
      <c r="C57" s="23">
        <v>0.5773347216552891</v>
      </c>
    </row>
    <row r="58" spans="2:3" x14ac:dyDescent="0.3">
      <c r="B58" s="27">
        <v>1970</v>
      </c>
      <c r="C58" s="23">
        <v>0.6468045266738256</v>
      </c>
    </row>
    <row r="59" spans="2:3" x14ac:dyDescent="0.3">
      <c r="B59" s="27">
        <v>1971</v>
      </c>
      <c r="C59" s="23">
        <v>0.5761617043441265</v>
      </c>
    </row>
    <row r="60" spans="2:3" x14ac:dyDescent="0.3">
      <c r="B60" s="27">
        <v>1972</v>
      </c>
      <c r="C60" s="23">
        <v>0.54778338096695889</v>
      </c>
    </row>
    <row r="61" spans="2:3" x14ac:dyDescent="0.3">
      <c r="B61" s="27">
        <v>1973</v>
      </c>
      <c r="C61" s="23">
        <v>0.82623385027551632</v>
      </c>
    </row>
    <row r="62" spans="2:3" x14ac:dyDescent="0.3">
      <c r="B62" s="27">
        <v>1974</v>
      </c>
      <c r="C62" s="23">
        <v>0.80884510620716243</v>
      </c>
    </row>
    <row r="63" spans="2:3" x14ac:dyDescent="0.3">
      <c r="B63" s="27">
        <v>1975</v>
      </c>
      <c r="C63" s="23">
        <v>0.77929609978813352</v>
      </c>
    </row>
    <row r="64" spans="2:3" x14ac:dyDescent="0.3">
      <c r="B64" s="27">
        <v>1976</v>
      </c>
      <c r="C64" s="23">
        <v>0.85699678792268497</v>
      </c>
    </row>
    <row r="65" spans="2:3" x14ac:dyDescent="0.3">
      <c r="B65" s="27">
        <v>1977</v>
      </c>
      <c r="C65" s="23">
        <v>0.89431009363676717</v>
      </c>
    </row>
    <row r="66" spans="2:3" x14ac:dyDescent="0.3">
      <c r="B66" s="27">
        <v>1978</v>
      </c>
      <c r="C66" s="23">
        <v>0.80159334194226006</v>
      </c>
    </row>
    <row r="67" spans="2:3" x14ac:dyDescent="0.3">
      <c r="B67" s="27">
        <v>1979</v>
      </c>
      <c r="C67" s="23">
        <v>0.90963101077115072</v>
      </c>
    </row>
    <row r="68" spans="2:3" x14ac:dyDescent="0.3">
      <c r="B68" s="27">
        <v>1980</v>
      </c>
      <c r="C68" s="23">
        <v>0.89039353245495834</v>
      </c>
    </row>
    <row r="69" spans="2:3" x14ac:dyDescent="0.3">
      <c r="B69" s="27">
        <v>1981</v>
      </c>
      <c r="C69" s="23">
        <v>0.69449600397336675</v>
      </c>
    </row>
    <row r="70" spans="2:3" x14ac:dyDescent="0.3">
      <c r="B70" s="27">
        <v>1982</v>
      </c>
      <c r="C70" s="23">
        <v>0.61020537473973224</v>
      </c>
    </row>
    <row r="71" spans="2:3" x14ac:dyDescent="0.3">
      <c r="B71" s="27">
        <v>1983</v>
      </c>
      <c r="C71" s="23">
        <v>0.53763329283502936</v>
      </c>
    </row>
    <row r="72" spans="2:3" x14ac:dyDescent="0.3">
      <c r="B72" s="27">
        <v>1984</v>
      </c>
      <c r="C72" s="23">
        <v>0.58660047407673177</v>
      </c>
    </row>
    <row r="73" spans="2:3" x14ac:dyDescent="0.3">
      <c r="B73" s="27">
        <v>1985</v>
      </c>
      <c r="C73" s="23">
        <v>0.73203931506742381</v>
      </c>
    </row>
    <row r="74" spans="2:3" x14ac:dyDescent="0.3">
      <c r="B74" s="27">
        <v>1986</v>
      </c>
      <c r="C74" s="23">
        <v>0.71920155873373504</v>
      </c>
    </row>
    <row r="75" spans="2:3" x14ac:dyDescent="0.3">
      <c r="B75" s="27">
        <v>1987</v>
      </c>
      <c r="C75" s="23">
        <v>0.69222194439247486</v>
      </c>
    </row>
    <row r="76" spans="2:3" x14ac:dyDescent="0.3">
      <c r="B76" s="27">
        <v>1988</v>
      </c>
      <c r="C76" s="23">
        <v>0.51458256390804591</v>
      </c>
    </row>
    <row r="77" spans="2:3" x14ac:dyDescent="0.3">
      <c r="B77" s="27">
        <v>1989</v>
      </c>
      <c r="C77" s="23">
        <v>0.61801030748080499</v>
      </c>
    </row>
    <row r="78" spans="2:3" x14ac:dyDescent="0.3">
      <c r="B78" s="27">
        <v>1990</v>
      </c>
      <c r="C78" s="23">
        <v>0.65612063454261005</v>
      </c>
    </row>
    <row r="79" spans="2:3" x14ac:dyDescent="0.3">
      <c r="B79" s="27">
        <v>1991</v>
      </c>
      <c r="C79" s="23">
        <v>0.69062458573055774</v>
      </c>
    </row>
    <row r="80" spans="2:3" x14ac:dyDescent="0.3">
      <c r="B80" s="27">
        <v>1992</v>
      </c>
      <c r="C80" s="23">
        <v>0.696114013318891</v>
      </c>
    </row>
    <row r="81" spans="2:3" x14ac:dyDescent="0.3">
      <c r="B81" s="27">
        <v>1993</v>
      </c>
      <c r="C81" s="23">
        <v>0.71008642432951685</v>
      </c>
    </row>
    <row r="82" spans="2:3" x14ac:dyDescent="0.3">
      <c r="B82" s="27">
        <v>1994</v>
      </c>
      <c r="C82" s="23">
        <v>0.58168746946499805</v>
      </c>
    </row>
    <row r="83" spans="2:3" x14ac:dyDescent="0.3">
      <c r="B83" s="27">
        <v>1995</v>
      </c>
      <c r="C83" s="23">
        <v>0.61099528959601646</v>
      </c>
    </row>
    <row r="84" spans="2:3" x14ac:dyDescent="0.3">
      <c r="B84" s="27">
        <v>1996</v>
      </c>
      <c r="C84" s="23">
        <v>0.67847662948526399</v>
      </c>
    </row>
    <row r="85" spans="2:3" x14ac:dyDescent="0.3">
      <c r="B85" s="27">
        <v>1997</v>
      </c>
      <c r="C85" s="23">
        <v>0.63222931534719606</v>
      </c>
    </row>
    <row r="86" spans="2:3" x14ac:dyDescent="0.3">
      <c r="B86" s="27">
        <v>1998</v>
      </c>
      <c r="C86" s="23">
        <v>0.62401770500127918</v>
      </c>
    </row>
    <row r="87" spans="2:3" x14ac:dyDescent="0.3">
      <c r="B87" s="27">
        <v>1999</v>
      </c>
      <c r="C87" s="23">
        <v>0.59344571135751201</v>
      </c>
    </row>
    <row r="88" spans="2:3" x14ac:dyDescent="0.3">
      <c r="B88" s="27">
        <v>2000</v>
      </c>
      <c r="C88" s="23">
        <v>0.58441029209961781</v>
      </c>
    </row>
    <row r="89" spans="2:3" x14ac:dyDescent="0.3">
      <c r="B89" s="27">
        <v>2001</v>
      </c>
      <c r="C89" s="23">
        <v>0.65815546901621802</v>
      </c>
    </row>
    <row r="90" spans="2:3" x14ac:dyDescent="0.3">
      <c r="B90" s="27">
        <v>2002</v>
      </c>
      <c r="C90" s="23">
        <v>0.6337686664119806</v>
      </c>
    </row>
    <row r="91" spans="2:3" x14ac:dyDescent="0.3">
      <c r="B91" s="27">
        <v>2003</v>
      </c>
      <c r="C91" s="23">
        <v>0.62307428228363904</v>
      </c>
    </row>
    <row r="92" spans="2:3" x14ac:dyDescent="0.3">
      <c r="B92" s="27">
        <v>2004</v>
      </c>
      <c r="C92" s="23">
        <v>0.66970273199329577</v>
      </c>
    </row>
    <row r="93" spans="2:3" x14ac:dyDescent="0.3">
      <c r="B93" s="27">
        <v>2005</v>
      </c>
      <c r="C93" s="23">
        <v>0.77793406015117639</v>
      </c>
    </row>
    <row r="94" spans="2:3" x14ac:dyDescent="0.3">
      <c r="B94" s="27">
        <v>2006</v>
      </c>
      <c r="C94" s="23">
        <v>0.49762252465903345</v>
      </c>
    </row>
    <row r="95" spans="2:3" x14ac:dyDescent="0.3">
      <c r="B95" s="27">
        <v>2007</v>
      </c>
      <c r="C95" s="23">
        <v>0.59938447286610241</v>
      </c>
    </row>
    <row r="96" spans="2:3" x14ac:dyDescent="0.3">
      <c r="B96" s="27">
        <v>2008</v>
      </c>
      <c r="C96" s="23">
        <v>0.66820373847957271</v>
      </c>
    </row>
    <row r="97" spans="2:3" x14ac:dyDescent="0.3">
      <c r="B97" s="27">
        <v>2009</v>
      </c>
      <c r="C97" s="23">
        <v>0.77777580124600243</v>
      </c>
    </row>
    <row r="98" spans="2:3" x14ac:dyDescent="0.3">
      <c r="B98" s="27">
        <v>2010</v>
      </c>
      <c r="C98" s="23">
        <v>0.90217622539549125</v>
      </c>
    </row>
    <row r="99" spans="2:3" x14ac:dyDescent="0.3">
      <c r="B99" s="27">
        <v>2011</v>
      </c>
      <c r="C99" s="23">
        <v>0.87813464862065171</v>
      </c>
    </row>
    <row r="100" spans="2:3" x14ac:dyDescent="0.3">
      <c r="B100" s="27">
        <v>2012</v>
      </c>
      <c r="C100" s="23">
        <v>0.8139976531699179</v>
      </c>
    </row>
    <row r="101" spans="2:3" x14ac:dyDescent="0.3">
      <c r="B101" s="27">
        <v>2013</v>
      </c>
      <c r="C101" s="23">
        <v>0.67404673033737983</v>
      </c>
    </row>
    <row r="102" spans="2:3" x14ac:dyDescent="0.3">
      <c r="B102" s="27">
        <v>2014</v>
      </c>
      <c r="C102" s="23">
        <v>0.67373320339800391</v>
      </c>
    </row>
    <row r="103" spans="2:3" ht="15" thickBot="1" x14ac:dyDescent="0.35">
      <c r="B103" s="28">
        <v>2015</v>
      </c>
      <c r="C103" s="24">
        <v>0.55244605627649401</v>
      </c>
    </row>
    <row r="123" spans="2:6" x14ac:dyDescent="0.3">
      <c r="F123" t="s">
        <v>32</v>
      </c>
    </row>
    <row r="126" spans="2:6" x14ac:dyDescent="0.3">
      <c r="B126" s="29" t="s">
        <v>43</v>
      </c>
    </row>
    <row r="127" spans="2:6" ht="15" thickBot="1" x14ac:dyDescent="0.35"/>
    <row r="128" spans="2:6" x14ac:dyDescent="0.3">
      <c r="B128" s="12" t="s">
        <v>37</v>
      </c>
      <c r="C128" s="14">
        <v>12.50586916776277</v>
      </c>
    </row>
    <row r="129" spans="2:10" x14ac:dyDescent="0.3">
      <c r="B129" s="8" t="s">
        <v>38</v>
      </c>
      <c r="C129" s="21">
        <v>1992</v>
      </c>
    </row>
    <row r="130" spans="2:10" x14ac:dyDescent="0.3">
      <c r="B130" s="8" t="s">
        <v>26</v>
      </c>
      <c r="C130" s="15">
        <v>4.0000000000000001E-3</v>
      </c>
    </row>
    <row r="131" spans="2:10" ht="15" thickBot="1" x14ac:dyDescent="0.35">
      <c r="B131" s="13" t="s">
        <v>27</v>
      </c>
      <c r="C131" s="16">
        <v>0.05</v>
      </c>
    </row>
    <row r="132" spans="2:10" x14ac:dyDescent="0.3">
      <c r="B132" s="17" t="s">
        <v>39</v>
      </c>
    </row>
    <row r="133" spans="2:10" x14ac:dyDescent="0.3">
      <c r="B133" s="17" t="s">
        <v>40</v>
      </c>
    </row>
    <row r="134" spans="2:10" x14ac:dyDescent="0.3">
      <c r="B134" s="18">
        <v>2.3741639671089674E-3</v>
      </c>
      <c r="C134" s="19">
        <v>5.6258360328910323E-3</v>
      </c>
    </row>
    <row r="137" spans="2:10" x14ac:dyDescent="0.3">
      <c r="B137" s="17" t="s">
        <v>29</v>
      </c>
    </row>
    <row r="138" spans="2:10" x14ac:dyDescent="0.3">
      <c r="B138" s="17" t="s">
        <v>41</v>
      </c>
    </row>
    <row r="139" spans="2:10" x14ac:dyDescent="0.3">
      <c r="B139" s="17" t="s">
        <v>42</v>
      </c>
    </row>
    <row r="140" spans="2:10" ht="14.4" customHeight="1" x14ac:dyDescent="0.3">
      <c r="B140" s="42" t="s">
        <v>30</v>
      </c>
      <c r="C140" s="42"/>
      <c r="D140" s="42"/>
      <c r="E140" s="42"/>
      <c r="F140" s="42"/>
      <c r="G140" s="42"/>
      <c r="H140" s="42"/>
      <c r="I140" s="42"/>
      <c r="J140" s="42"/>
    </row>
    <row r="141" spans="2:10" x14ac:dyDescent="0.3">
      <c r="B141" s="42"/>
      <c r="C141" s="42"/>
      <c r="D141" s="42"/>
      <c r="E141" s="42"/>
      <c r="F141" s="42"/>
      <c r="G141" s="42"/>
      <c r="H141" s="42"/>
      <c r="I141" s="42"/>
      <c r="J141" s="42"/>
    </row>
    <row r="142" spans="2:10" x14ac:dyDescent="0.3">
      <c r="B142" s="17" t="s">
        <v>74</v>
      </c>
    </row>
    <row r="144" spans="2:10" ht="15" thickBot="1" x14ac:dyDescent="0.35"/>
    <row r="145" spans="2:3" x14ac:dyDescent="0.3">
      <c r="B145" s="25" t="s">
        <v>0</v>
      </c>
      <c r="C145" s="10" t="s">
        <v>2</v>
      </c>
    </row>
    <row r="146" spans="2:3" x14ac:dyDescent="0.3">
      <c r="B146" s="26">
        <v>1951</v>
      </c>
      <c r="C146" s="22">
        <v>1.2959999999999994</v>
      </c>
    </row>
    <row r="147" spans="2:3" x14ac:dyDescent="0.3">
      <c r="B147" s="27">
        <v>1952</v>
      </c>
      <c r="C147" s="23">
        <v>1.3680000000000092</v>
      </c>
    </row>
    <row r="148" spans="2:3" x14ac:dyDescent="0.3">
      <c r="B148" s="27">
        <v>1953</v>
      </c>
      <c r="C148" s="23">
        <v>0.85800000000000409</v>
      </c>
    </row>
    <row r="149" spans="2:3" x14ac:dyDescent="0.3">
      <c r="B149" s="27">
        <v>1954</v>
      </c>
      <c r="C149" s="23">
        <v>1.1400000000000112</v>
      </c>
    </row>
    <row r="150" spans="2:3" x14ac:dyDescent="0.3">
      <c r="B150" s="27">
        <v>1955</v>
      </c>
      <c r="C150" s="23">
        <v>0.9480000000000004</v>
      </c>
    </row>
    <row r="151" spans="2:3" x14ac:dyDescent="0.3">
      <c r="B151" s="27">
        <v>1956</v>
      </c>
      <c r="C151" s="23">
        <v>1.0950000000000131</v>
      </c>
    </row>
    <row r="152" spans="2:3" x14ac:dyDescent="0.3">
      <c r="B152" s="27">
        <v>1957</v>
      </c>
      <c r="C152" s="23">
        <v>1.1190000000000104</v>
      </c>
    </row>
    <row r="153" spans="2:3" x14ac:dyDescent="0.3">
      <c r="B153" s="27">
        <v>1958</v>
      </c>
      <c r="C153" s="23">
        <v>0.882000000000005</v>
      </c>
    </row>
    <row r="154" spans="2:3" x14ac:dyDescent="0.3">
      <c r="B154" s="27">
        <v>1959</v>
      </c>
      <c r="C154" s="23">
        <v>1.0440000000000076</v>
      </c>
    </row>
    <row r="155" spans="2:3" x14ac:dyDescent="0.3">
      <c r="B155" s="27">
        <v>1960</v>
      </c>
      <c r="C155" s="23">
        <v>1.0410000000000004</v>
      </c>
    </row>
    <row r="156" spans="2:3" x14ac:dyDescent="0.3">
      <c r="B156" s="27">
        <v>1961</v>
      </c>
      <c r="C156" s="23">
        <v>0.72000000000000597</v>
      </c>
    </row>
    <row r="157" spans="2:3" x14ac:dyDescent="0.3">
      <c r="B157" s="27">
        <v>1962</v>
      </c>
      <c r="C157" s="23">
        <v>1.2420000000000186</v>
      </c>
    </row>
    <row r="158" spans="2:3" x14ac:dyDescent="0.3">
      <c r="B158" s="27">
        <v>1963</v>
      </c>
      <c r="C158" s="23">
        <v>0.90300000000000225</v>
      </c>
    </row>
    <row r="159" spans="2:3" x14ac:dyDescent="0.3">
      <c r="B159" s="27">
        <v>1964</v>
      </c>
      <c r="C159" s="23">
        <v>1.3500000000000121</v>
      </c>
    </row>
    <row r="160" spans="2:3" x14ac:dyDescent="0.3">
      <c r="B160" s="27">
        <v>1965</v>
      </c>
      <c r="C160" s="23">
        <v>1.1550000000000011</v>
      </c>
    </row>
    <row r="161" spans="2:3" x14ac:dyDescent="0.3">
      <c r="B161" s="27">
        <v>1966</v>
      </c>
      <c r="C161" s="23">
        <v>1.3560000000000123</v>
      </c>
    </row>
    <row r="162" spans="2:3" x14ac:dyDescent="0.3">
      <c r="B162" s="27">
        <v>1967</v>
      </c>
      <c r="C162" s="23">
        <v>1.1670000000000122</v>
      </c>
    </row>
    <row r="163" spans="2:3" x14ac:dyDescent="0.3">
      <c r="B163" s="27">
        <v>1968</v>
      </c>
      <c r="C163" s="23">
        <v>0.57900000000000418</v>
      </c>
    </row>
    <row r="164" spans="2:3" x14ac:dyDescent="0.3">
      <c r="B164" s="27">
        <v>1969</v>
      </c>
      <c r="C164" s="23">
        <v>0.86700000000001154</v>
      </c>
    </row>
    <row r="165" spans="2:3" x14ac:dyDescent="0.3">
      <c r="B165" s="27">
        <v>1970</v>
      </c>
      <c r="C165" s="23">
        <v>0.81300000000000594</v>
      </c>
    </row>
    <row r="166" spans="2:3" x14ac:dyDescent="0.3">
      <c r="B166" s="27">
        <v>1971</v>
      </c>
      <c r="C166" s="23">
        <v>1.0200000000000031</v>
      </c>
    </row>
    <row r="167" spans="2:3" x14ac:dyDescent="0.3">
      <c r="B167" s="27">
        <v>1972</v>
      </c>
      <c r="C167" s="23">
        <v>0.97500000000000853</v>
      </c>
    </row>
    <row r="168" spans="2:3" x14ac:dyDescent="0.3">
      <c r="B168" s="27">
        <v>1973</v>
      </c>
      <c r="C168" s="23">
        <v>0.81000000000000227</v>
      </c>
    </row>
    <row r="169" spans="2:3" x14ac:dyDescent="0.3">
      <c r="B169" s="27">
        <v>1974</v>
      </c>
      <c r="C169" s="23">
        <v>0.72000000000000242</v>
      </c>
    </row>
    <row r="170" spans="2:3" x14ac:dyDescent="0.3">
      <c r="B170" s="27">
        <v>1975</v>
      </c>
      <c r="C170" s="23">
        <v>0.90600000000000591</v>
      </c>
    </row>
    <row r="171" spans="2:3" x14ac:dyDescent="0.3">
      <c r="B171" s="27">
        <v>1976</v>
      </c>
      <c r="C171" s="23">
        <v>0.74400000000000688</v>
      </c>
    </row>
    <row r="172" spans="2:3" x14ac:dyDescent="0.3">
      <c r="B172" s="27">
        <v>1977</v>
      </c>
      <c r="C172" s="23">
        <v>0.92700000000000315</v>
      </c>
    </row>
    <row r="173" spans="2:3" x14ac:dyDescent="0.3">
      <c r="B173" s="27">
        <v>1978</v>
      </c>
      <c r="C173" s="23">
        <v>0.83400000000000318</v>
      </c>
    </row>
    <row r="174" spans="2:3" x14ac:dyDescent="0.3">
      <c r="B174" s="27">
        <v>1979</v>
      </c>
      <c r="C174" s="23">
        <v>0.81300000000000594</v>
      </c>
    </row>
    <row r="175" spans="2:3" x14ac:dyDescent="0.3">
      <c r="B175" s="27">
        <v>1980</v>
      </c>
      <c r="C175" s="23">
        <v>0.81600000000000605</v>
      </c>
    </row>
    <row r="176" spans="2:3" x14ac:dyDescent="0.3">
      <c r="B176" s="27">
        <v>1981</v>
      </c>
      <c r="C176" s="23">
        <v>0.92400000000000304</v>
      </c>
    </row>
    <row r="177" spans="2:3" x14ac:dyDescent="0.3">
      <c r="B177" s="27">
        <v>1982</v>
      </c>
      <c r="C177" s="23">
        <v>0.86100000000000776</v>
      </c>
    </row>
    <row r="178" spans="2:3" x14ac:dyDescent="0.3">
      <c r="B178" s="27">
        <v>1983</v>
      </c>
      <c r="C178" s="23">
        <v>0.90300000000000225</v>
      </c>
    </row>
    <row r="179" spans="2:3" x14ac:dyDescent="0.3">
      <c r="B179" s="27">
        <v>1984</v>
      </c>
      <c r="C179" s="23">
        <v>0.85800000000000409</v>
      </c>
    </row>
    <row r="180" spans="2:3" x14ac:dyDescent="0.3">
      <c r="B180" s="27">
        <v>1985</v>
      </c>
      <c r="C180" s="23">
        <v>1.0020000000000095</v>
      </c>
    </row>
    <row r="181" spans="2:3" x14ac:dyDescent="0.3">
      <c r="B181" s="27">
        <v>1986</v>
      </c>
      <c r="C181" s="23">
        <v>0.99299999999999855</v>
      </c>
    </row>
    <row r="182" spans="2:3" x14ac:dyDescent="0.3">
      <c r="B182" s="27">
        <v>1987</v>
      </c>
      <c r="C182" s="23">
        <v>0.91200000000001324</v>
      </c>
    </row>
    <row r="183" spans="2:3" x14ac:dyDescent="0.3">
      <c r="B183" s="27">
        <v>1988</v>
      </c>
      <c r="C183" s="23">
        <v>0.94500000000000028</v>
      </c>
    </row>
    <row r="184" spans="2:3" x14ac:dyDescent="0.3">
      <c r="B184" s="27">
        <v>1989</v>
      </c>
      <c r="C184" s="23">
        <v>0.71699999999999875</v>
      </c>
    </row>
    <row r="185" spans="2:3" x14ac:dyDescent="0.3">
      <c r="B185" s="27">
        <v>1990</v>
      </c>
      <c r="C185" s="23">
        <v>1.0830000000000002</v>
      </c>
    </row>
    <row r="186" spans="2:3" x14ac:dyDescent="0.3">
      <c r="B186" s="27">
        <v>1991</v>
      </c>
      <c r="C186" s="23">
        <v>1.1249000000000073</v>
      </c>
    </row>
    <row r="187" spans="2:3" x14ac:dyDescent="0.3">
      <c r="B187" s="27">
        <v>1992</v>
      </c>
      <c r="C187" s="23">
        <v>0.93570000000001663</v>
      </c>
    </row>
    <row r="188" spans="2:3" x14ac:dyDescent="0.3">
      <c r="B188" s="27">
        <v>1993</v>
      </c>
      <c r="C188" s="23">
        <v>1.1516000000000233</v>
      </c>
    </row>
    <row r="189" spans="2:3" x14ac:dyDescent="0.3">
      <c r="B189" s="27">
        <v>1994</v>
      </c>
      <c r="C189" s="23">
        <v>1.3675000000000122</v>
      </c>
    </row>
    <row r="190" spans="2:3" x14ac:dyDescent="0.3">
      <c r="B190" s="27">
        <v>1995</v>
      </c>
      <c r="C190" s="23">
        <v>1.1515999999999877</v>
      </c>
    </row>
    <row r="191" spans="2:3" x14ac:dyDescent="0.3">
      <c r="B191" s="27">
        <v>1996</v>
      </c>
      <c r="C191" s="23">
        <v>1.2715499999999871</v>
      </c>
    </row>
    <row r="192" spans="2:3" x14ac:dyDescent="0.3">
      <c r="B192" s="27">
        <v>1997</v>
      </c>
      <c r="C192" s="23">
        <v>1.1516499999999859</v>
      </c>
    </row>
    <row r="193" spans="2:3" x14ac:dyDescent="0.3">
      <c r="B193" s="27">
        <v>1998</v>
      </c>
      <c r="C193" s="23">
        <v>1.5114499999999875</v>
      </c>
    </row>
    <row r="194" spans="2:3" x14ac:dyDescent="0.3">
      <c r="B194" s="27">
        <v>1999</v>
      </c>
      <c r="C194" s="23">
        <v>1.2475999999999878</v>
      </c>
    </row>
    <row r="195" spans="2:3" x14ac:dyDescent="0.3">
      <c r="B195" s="27">
        <v>2000</v>
      </c>
      <c r="C195" s="23">
        <v>1.0556499999999875</v>
      </c>
    </row>
    <row r="196" spans="2:3" x14ac:dyDescent="0.3">
      <c r="B196" s="27">
        <v>2001</v>
      </c>
      <c r="C196" s="23">
        <v>1.2475999999999861</v>
      </c>
    </row>
    <row r="197" spans="2:3" x14ac:dyDescent="0.3">
      <c r="B197" s="27">
        <v>2002</v>
      </c>
      <c r="C197" s="23">
        <v>1.2235499999999888</v>
      </c>
    </row>
    <row r="198" spans="2:3" x14ac:dyDescent="0.3">
      <c r="B198" s="27">
        <v>2003</v>
      </c>
      <c r="C198" s="23">
        <v>1.1036499999999876</v>
      </c>
    </row>
    <row r="199" spans="2:3" x14ac:dyDescent="0.3">
      <c r="B199" s="27">
        <v>2004</v>
      </c>
      <c r="C199" s="23">
        <v>1.1995999999999878</v>
      </c>
    </row>
    <row r="200" spans="2:3" x14ac:dyDescent="0.3">
      <c r="B200" s="27">
        <v>2005</v>
      </c>
      <c r="C200" s="23">
        <v>1.0316499999999946</v>
      </c>
    </row>
    <row r="201" spans="2:3" x14ac:dyDescent="0.3">
      <c r="B201" s="27">
        <v>2006</v>
      </c>
      <c r="C201" s="23">
        <v>0.98365000000000347</v>
      </c>
    </row>
    <row r="202" spans="2:3" x14ac:dyDescent="0.3">
      <c r="B202" s="27">
        <v>2007</v>
      </c>
      <c r="C202" s="23">
        <v>1.2235000000000031</v>
      </c>
    </row>
    <row r="203" spans="2:3" x14ac:dyDescent="0.3">
      <c r="B203" s="27">
        <v>2008</v>
      </c>
      <c r="C203" s="23">
        <v>1.2471500000000013</v>
      </c>
    </row>
    <row r="204" spans="2:3" x14ac:dyDescent="0.3">
      <c r="B204" s="27">
        <v>2009</v>
      </c>
      <c r="C204" s="23">
        <v>1.0553499999999998</v>
      </c>
    </row>
    <row r="205" spans="2:3" x14ac:dyDescent="0.3">
      <c r="B205" s="27">
        <v>2010</v>
      </c>
      <c r="C205" s="23">
        <v>0.93534999999999968</v>
      </c>
    </row>
    <row r="206" spans="2:3" x14ac:dyDescent="0.3">
      <c r="B206" s="27">
        <v>2011</v>
      </c>
      <c r="C206" s="23">
        <v>1.0793499999999998</v>
      </c>
    </row>
    <row r="207" spans="2:3" x14ac:dyDescent="0.3">
      <c r="B207" s="27">
        <v>2012</v>
      </c>
      <c r="C207" s="23">
        <v>0.86345000000000027</v>
      </c>
    </row>
    <row r="208" spans="2:3" x14ac:dyDescent="0.3">
      <c r="B208" s="27">
        <v>2013</v>
      </c>
      <c r="C208" s="23">
        <v>1.1512000000000002</v>
      </c>
    </row>
    <row r="209" spans="2:3" x14ac:dyDescent="0.3">
      <c r="B209" s="27">
        <v>2014</v>
      </c>
      <c r="C209" s="23">
        <v>1.0793499999999998</v>
      </c>
    </row>
    <row r="210" spans="2:3" ht="15" thickBot="1" x14ac:dyDescent="0.35">
      <c r="B210" s="28">
        <v>2015</v>
      </c>
      <c r="C210" s="24">
        <v>1.0072999999999999</v>
      </c>
    </row>
    <row r="230" spans="2:6" x14ac:dyDescent="0.3">
      <c r="F230" t="s">
        <v>32</v>
      </c>
    </row>
    <row r="233" spans="2:6" x14ac:dyDescent="0.3">
      <c r="B233" s="29" t="s">
        <v>45</v>
      </c>
    </row>
    <row r="234" spans="2:6" ht="15" thickBot="1" x14ac:dyDescent="0.35"/>
    <row r="235" spans="2:6" x14ac:dyDescent="0.3">
      <c r="B235" s="12" t="s">
        <v>37</v>
      </c>
      <c r="C235" s="14">
        <v>11.566339935435112</v>
      </c>
    </row>
    <row r="236" spans="2:6" x14ac:dyDescent="0.3">
      <c r="B236" s="8" t="s">
        <v>38</v>
      </c>
      <c r="C236" s="21">
        <v>1990</v>
      </c>
    </row>
    <row r="237" spans="2:6" x14ac:dyDescent="0.3">
      <c r="B237" s="8" t="s">
        <v>26</v>
      </c>
      <c r="C237" s="15">
        <v>8.5000000000000006E-3</v>
      </c>
    </row>
    <row r="238" spans="2:6" ht="15" thickBot="1" x14ac:dyDescent="0.35">
      <c r="B238" s="13" t="s">
        <v>27</v>
      </c>
      <c r="C238" s="16">
        <v>0.05</v>
      </c>
    </row>
    <row r="239" spans="2:6" x14ac:dyDescent="0.3">
      <c r="B239" s="17" t="s">
        <v>39</v>
      </c>
    </row>
    <row r="240" spans="2:6" x14ac:dyDescent="0.3">
      <c r="B240" s="17" t="s">
        <v>40</v>
      </c>
    </row>
    <row r="241" spans="2:10" x14ac:dyDescent="0.3">
      <c r="B241" s="18">
        <v>6.1353171496106185E-3</v>
      </c>
      <c r="C241" s="19">
        <v>1.0864682850389383E-2</v>
      </c>
    </row>
    <row r="244" spans="2:10" x14ac:dyDescent="0.3">
      <c r="B244" s="17" t="s">
        <v>29</v>
      </c>
    </row>
    <row r="245" spans="2:10" x14ac:dyDescent="0.3">
      <c r="B245" s="17" t="s">
        <v>41</v>
      </c>
    </row>
    <row r="246" spans="2:10" x14ac:dyDescent="0.3">
      <c r="B246" s="17" t="s">
        <v>42</v>
      </c>
    </row>
    <row r="247" spans="2:10" ht="14.4" customHeight="1" x14ac:dyDescent="0.3">
      <c r="B247" s="42" t="s">
        <v>30</v>
      </c>
      <c r="C247" s="42"/>
      <c r="D247" s="42"/>
      <c r="E247" s="42"/>
      <c r="F247" s="42"/>
      <c r="G247" s="42"/>
      <c r="H247" s="42"/>
      <c r="I247" s="42"/>
      <c r="J247" s="42"/>
    </row>
    <row r="248" spans="2:10" x14ac:dyDescent="0.3">
      <c r="B248" s="42"/>
      <c r="C248" s="42"/>
      <c r="D248" s="42"/>
      <c r="E248" s="42"/>
      <c r="F248" s="42"/>
      <c r="G248" s="42"/>
      <c r="H248" s="42"/>
      <c r="I248" s="42"/>
      <c r="J248" s="42"/>
    </row>
    <row r="249" spans="2:10" x14ac:dyDescent="0.3">
      <c r="B249" s="17" t="s">
        <v>75</v>
      </c>
    </row>
    <row r="251" spans="2:10" ht="15" thickBot="1" x14ac:dyDescent="0.35"/>
    <row r="252" spans="2:10" x14ac:dyDescent="0.3">
      <c r="B252" s="25" t="s">
        <v>0</v>
      </c>
      <c r="C252" s="10" t="s">
        <v>3</v>
      </c>
    </row>
    <row r="253" spans="2:10" x14ac:dyDescent="0.3">
      <c r="B253" s="26">
        <v>1951</v>
      </c>
      <c r="C253" s="22">
        <v>0.66143976702722362</v>
      </c>
    </row>
    <row r="254" spans="2:10" x14ac:dyDescent="0.3">
      <c r="B254" s="27">
        <v>1952</v>
      </c>
      <c r="C254" s="23">
        <v>0.95589615237272119</v>
      </c>
    </row>
    <row r="255" spans="2:10" x14ac:dyDescent="0.3">
      <c r="B255" s="27">
        <v>1953</v>
      </c>
      <c r="C255" s="23">
        <v>0.59377598598415271</v>
      </c>
    </row>
    <row r="256" spans="2:10" x14ac:dyDescent="0.3">
      <c r="B256" s="27">
        <v>1954</v>
      </c>
      <c r="C256" s="23">
        <v>0.88548524113250748</v>
      </c>
    </row>
    <row r="257" spans="2:3" x14ac:dyDescent="0.3">
      <c r="B257" s="27">
        <v>1955</v>
      </c>
      <c r="C257" s="23">
        <v>0.75427320126818742</v>
      </c>
    </row>
    <row r="258" spans="2:3" x14ac:dyDescent="0.3">
      <c r="B258" s="27">
        <v>1956</v>
      </c>
      <c r="C258" s="23">
        <v>0.88015424807688747</v>
      </c>
    </row>
    <row r="259" spans="2:3" x14ac:dyDescent="0.3">
      <c r="B259" s="27">
        <v>1957</v>
      </c>
      <c r="C259" s="23">
        <v>0.8730306048777966</v>
      </c>
    </row>
    <row r="260" spans="2:3" x14ac:dyDescent="0.3">
      <c r="B260" s="27">
        <v>1958</v>
      </c>
      <c r="C260" s="23">
        <v>0.67212076111604602</v>
      </c>
    </row>
    <row r="261" spans="2:3" x14ac:dyDescent="0.3">
      <c r="B261" s="27">
        <v>1959</v>
      </c>
      <c r="C261" s="23">
        <v>0.77605341933320804</v>
      </c>
    </row>
    <row r="262" spans="2:3" x14ac:dyDescent="0.3">
      <c r="B262" s="27">
        <v>1960</v>
      </c>
      <c r="C262" s="23">
        <v>0.68081290028210217</v>
      </c>
    </row>
    <row r="263" spans="2:3" x14ac:dyDescent="0.3">
      <c r="B263" s="27">
        <v>1961</v>
      </c>
      <c r="C263" s="23">
        <v>0.36580962043778859</v>
      </c>
    </row>
    <row r="264" spans="2:3" x14ac:dyDescent="0.3">
      <c r="B264" s="27">
        <v>1962</v>
      </c>
      <c r="C264" s="23">
        <v>0.70869313053137106</v>
      </c>
    </row>
    <row r="265" spans="2:3" x14ac:dyDescent="0.3">
      <c r="B265" s="27">
        <v>1963</v>
      </c>
      <c r="C265" s="23">
        <v>0.5408819890937917</v>
      </c>
    </row>
    <row r="266" spans="2:3" x14ac:dyDescent="0.3">
      <c r="B266" s="27">
        <v>1964</v>
      </c>
      <c r="C266" s="23">
        <v>0.57926117310164982</v>
      </c>
    </row>
    <row r="267" spans="2:3" x14ac:dyDescent="0.3">
      <c r="B267" s="27">
        <v>1965</v>
      </c>
      <c r="C267" s="23">
        <v>0.34533991835577238</v>
      </c>
    </row>
    <row r="268" spans="2:3" x14ac:dyDescent="0.3">
      <c r="B268" s="27">
        <v>1966</v>
      </c>
      <c r="C268" s="23">
        <v>0.595061463748772</v>
      </c>
    </row>
    <row r="269" spans="2:3" x14ac:dyDescent="0.3">
      <c r="B269" s="27">
        <v>1967</v>
      </c>
      <c r="C269" s="23">
        <v>0.54462181778776408</v>
      </c>
    </row>
    <row r="270" spans="2:3" x14ac:dyDescent="0.3">
      <c r="B270" s="27">
        <v>1968</v>
      </c>
      <c r="C270" s="23">
        <v>0.34934929050925223</v>
      </c>
    </row>
    <row r="271" spans="2:3" x14ac:dyDescent="0.3">
      <c r="B271" s="27">
        <v>1969</v>
      </c>
      <c r="C271" s="23">
        <v>0.51938703498260574</v>
      </c>
    </row>
    <row r="272" spans="2:3" x14ac:dyDescent="0.3">
      <c r="B272" s="27">
        <v>1970</v>
      </c>
      <c r="C272" s="23">
        <v>0.52622047499847757</v>
      </c>
    </row>
    <row r="273" spans="2:3" x14ac:dyDescent="0.3">
      <c r="B273" s="27">
        <v>1971</v>
      </c>
      <c r="C273" s="23">
        <v>0.5808967932842366</v>
      </c>
    </row>
    <row r="274" spans="2:3" x14ac:dyDescent="0.3">
      <c r="B274" s="27">
        <v>1972</v>
      </c>
      <c r="C274" s="23">
        <v>0.5350999424776286</v>
      </c>
    </row>
    <row r="275" spans="2:3" x14ac:dyDescent="0.3">
      <c r="B275" s="27">
        <v>1973</v>
      </c>
      <c r="C275" s="23">
        <v>0.67775363034208125</v>
      </c>
    </row>
    <row r="276" spans="2:3" x14ac:dyDescent="0.3">
      <c r="B276" s="27">
        <v>1974</v>
      </c>
      <c r="C276" s="23">
        <v>0.58236847646915901</v>
      </c>
    </row>
    <row r="277" spans="2:3" x14ac:dyDescent="0.3">
      <c r="B277" s="27">
        <v>1975</v>
      </c>
      <c r="C277" s="23">
        <v>0.70596584376849925</v>
      </c>
    </row>
    <row r="278" spans="2:3" x14ac:dyDescent="0.3">
      <c r="B278" s="27">
        <v>1976</v>
      </c>
      <c r="C278" s="23">
        <v>0.6382020135217048</v>
      </c>
    </row>
    <row r="279" spans="2:3" x14ac:dyDescent="0.3">
      <c r="B279" s="27">
        <v>1977</v>
      </c>
      <c r="C279" s="23">
        <v>0.82840047949949747</v>
      </c>
    </row>
    <row r="280" spans="2:3" x14ac:dyDescent="0.3">
      <c r="B280" s="27">
        <v>1978</v>
      </c>
      <c r="C280" s="23">
        <v>0.66995887101354046</v>
      </c>
    </row>
    <row r="281" spans="2:3" x14ac:dyDescent="0.3">
      <c r="B281" s="27">
        <v>1979</v>
      </c>
      <c r="C281" s="23">
        <v>0.73964033205184576</v>
      </c>
    </row>
    <row r="282" spans="2:3" x14ac:dyDescent="0.3">
      <c r="B282" s="27">
        <v>1980</v>
      </c>
      <c r="C282" s="23">
        <v>0.73173887207270949</v>
      </c>
    </row>
    <row r="283" spans="2:3" x14ac:dyDescent="0.3">
      <c r="B283" s="27">
        <v>1981</v>
      </c>
      <c r="C283" s="23">
        <v>0.64134373561817148</v>
      </c>
    </row>
    <row r="284" spans="2:3" x14ac:dyDescent="0.3">
      <c r="B284" s="27">
        <v>1982</v>
      </c>
      <c r="C284" s="23">
        <v>0.52944101674623034</v>
      </c>
    </row>
    <row r="285" spans="2:3" x14ac:dyDescent="0.3">
      <c r="B285" s="27">
        <v>1983</v>
      </c>
      <c r="C285" s="23">
        <v>0.47971216269493039</v>
      </c>
    </row>
    <row r="286" spans="2:3" x14ac:dyDescent="0.3">
      <c r="B286" s="27">
        <v>1984</v>
      </c>
      <c r="C286" s="23">
        <v>0.50206452623965259</v>
      </c>
    </row>
    <row r="287" spans="2:3" x14ac:dyDescent="0.3">
      <c r="B287" s="27">
        <v>1985</v>
      </c>
      <c r="C287" s="23">
        <v>0.73015132869826527</v>
      </c>
    </row>
    <row r="288" spans="2:3" x14ac:dyDescent="0.3">
      <c r="B288" s="27">
        <v>1986</v>
      </c>
      <c r="C288" s="23">
        <v>0.71378456596511053</v>
      </c>
    </row>
    <row r="289" spans="2:3" x14ac:dyDescent="0.3">
      <c r="B289" s="27">
        <v>1987</v>
      </c>
      <c r="C289" s="23">
        <v>0.62598317157331329</v>
      </c>
    </row>
    <row r="290" spans="2:3" x14ac:dyDescent="0.3">
      <c r="B290" s="27">
        <v>1988</v>
      </c>
      <c r="C290" s="23">
        <v>0.48818425706850832</v>
      </c>
    </row>
    <row r="291" spans="2:3" x14ac:dyDescent="0.3">
      <c r="B291" s="27">
        <v>1989</v>
      </c>
      <c r="C291" s="23">
        <v>0.43838210576861875</v>
      </c>
    </row>
    <row r="292" spans="2:3" x14ac:dyDescent="0.3">
      <c r="B292" s="27">
        <v>1990</v>
      </c>
      <c r="C292" s="23">
        <v>0.66071671664697651</v>
      </c>
    </row>
    <row r="293" spans="2:3" x14ac:dyDescent="0.3">
      <c r="B293" s="27">
        <v>1991</v>
      </c>
      <c r="C293" s="23">
        <v>0.76539271288288591</v>
      </c>
    </row>
    <row r="294" spans="2:3" x14ac:dyDescent="0.3">
      <c r="B294" s="27">
        <v>1992</v>
      </c>
      <c r="C294" s="23">
        <v>0.6498766383529706</v>
      </c>
    </row>
    <row r="295" spans="2:3" x14ac:dyDescent="0.3">
      <c r="B295" s="27">
        <v>1993</v>
      </c>
      <c r="C295" s="23">
        <v>0.81775951261910995</v>
      </c>
    </row>
    <row r="296" spans="2:3" x14ac:dyDescent="0.3">
      <c r="B296" s="27">
        <v>1994</v>
      </c>
      <c r="C296" s="23">
        <v>0.79347078434578355</v>
      </c>
    </row>
    <row r="297" spans="2:3" x14ac:dyDescent="0.3">
      <c r="B297" s="27">
        <v>1995</v>
      </c>
      <c r="C297" s="23">
        <v>0.70253588367933661</v>
      </c>
    </row>
    <row r="298" spans="2:3" x14ac:dyDescent="0.3">
      <c r="B298" s="27">
        <v>1996</v>
      </c>
      <c r="C298" s="23">
        <v>0.86267398383628779</v>
      </c>
    </row>
    <row r="299" spans="2:3" x14ac:dyDescent="0.3">
      <c r="B299" s="27">
        <v>1997</v>
      </c>
      <c r="C299" s="23">
        <v>0.73271709184670231</v>
      </c>
    </row>
    <row r="300" spans="2:3" x14ac:dyDescent="0.3">
      <c r="B300" s="27">
        <v>1998</v>
      </c>
      <c r="C300" s="23">
        <v>0.93585019329516306</v>
      </c>
    </row>
    <row r="301" spans="2:3" x14ac:dyDescent="0.3">
      <c r="B301" s="27">
        <v>1999</v>
      </c>
      <c r="C301" s="23">
        <v>0.74042744581713982</v>
      </c>
    </row>
    <row r="302" spans="2:3" x14ac:dyDescent="0.3">
      <c r="B302" s="27">
        <v>2000</v>
      </c>
      <c r="C302" s="23">
        <v>0.61695033819938527</v>
      </c>
    </row>
    <row r="303" spans="2:3" x14ac:dyDescent="0.3">
      <c r="B303" s="27">
        <v>2001</v>
      </c>
      <c r="C303" s="23">
        <v>0.82114886811073906</v>
      </c>
    </row>
    <row r="304" spans="2:3" x14ac:dyDescent="0.3">
      <c r="B304" s="27">
        <v>2002</v>
      </c>
      <c r="C304" s="23">
        <v>0.77256183454304428</v>
      </c>
    </row>
    <row r="305" spans="2:3" x14ac:dyDescent="0.3">
      <c r="B305" s="27">
        <v>2003</v>
      </c>
      <c r="C305" s="23">
        <v>0.6880923761639508</v>
      </c>
    </row>
    <row r="306" spans="2:3" x14ac:dyDescent="0.3">
      <c r="B306" s="27">
        <v>2004</v>
      </c>
      <c r="C306" s="23">
        <v>0.80547256969190562</v>
      </c>
    </row>
    <row r="307" spans="2:3" x14ac:dyDescent="0.3">
      <c r="B307" s="27">
        <v>2005</v>
      </c>
      <c r="C307" s="23">
        <v>0.80504638349825564</v>
      </c>
    </row>
    <row r="308" spans="2:3" x14ac:dyDescent="0.3">
      <c r="B308" s="27">
        <v>2006</v>
      </c>
      <c r="C308" s="23">
        <v>0.49186980532400687</v>
      </c>
    </row>
    <row r="309" spans="2:3" x14ac:dyDescent="0.3">
      <c r="B309" s="27">
        <v>2007</v>
      </c>
      <c r="C309" s="23">
        <v>0.73356373044708678</v>
      </c>
    </row>
    <row r="310" spans="2:3" x14ac:dyDescent="0.3">
      <c r="B310" s="27">
        <v>2008</v>
      </c>
      <c r="C310" s="23">
        <v>0.83334690022595492</v>
      </c>
    </row>
    <row r="311" spans="2:3" x14ac:dyDescent="0.3">
      <c r="B311" s="27">
        <v>2009</v>
      </c>
      <c r="C311" s="23">
        <v>0.80829391201731071</v>
      </c>
    </row>
    <row r="312" spans="2:3" x14ac:dyDescent="0.3">
      <c r="B312" s="27">
        <v>2010</v>
      </c>
      <c r="C312" s="23">
        <v>0.85350325071764555</v>
      </c>
    </row>
    <row r="313" spans="2:3" x14ac:dyDescent="0.3">
      <c r="B313" s="27">
        <v>2011</v>
      </c>
      <c r="C313" s="23">
        <v>0.95343917686455504</v>
      </c>
    </row>
    <row r="314" spans="2:3" x14ac:dyDescent="0.3">
      <c r="B314" s="27">
        <v>2012</v>
      </c>
      <c r="C314" s="23">
        <v>0.70353139995100311</v>
      </c>
    </row>
    <row r="315" spans="2:3" x14ac:dyDescent="0.3">
      <c r="B315" s="27">
        <v>2013</v>
      </c>
      <c r="C315" s="23">
        <v>0.77596259596439188</v>
      </c>
    </row>
    <row r="316" spans="2:3" x14ac:dyDescent="0.3">
      <c r="B316" s="27">
        <v>2014</v>
      </c>
      <c r="C316" s="23">
        <v>0.72389922923782857</v>
      </c>
    </row>
    <row r="317" spans="2:3" ht="15" thickBot="1" x14ac:dyDescent="0.35">
      <c r="B317" s="28">
        <v>2015</v>
      </c>
      <c r="C317" s="24">
        <v>0.55736198388340186</v>
      </c>
    </row>
    <row r="337" spans="6:6" x14ac:dyDescent="0.3">
      <c r="F337" t="s">
        <v>32</v>
      </c>
    </row>
  </sheetData>
  <mergeCells count="3">
    <mergeCell ref="B33:J34"/>
    <mergeCell ref="B140:J141"/>
    <mergeCell ref="B247:J248"/>
  </mergeCells>
  <pageMargins left="0.7" right="0.7" top="0.75" bottom="0.75" header="0.3" footer="0.3"/>
  <ignoredErrors>
    <ignoredError sqref="A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85" zoomScaleNormal="85" workbookViewId="0">
      <selection activeCell="I49" sqref="I49"/>
    </sheetView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02A8-8E02-4DE0-8F3E-25518BAC96DD}">
  <dimension ref="A1:E781"/>
  <sheetViews>
    <sheetView workbookViewId="0">
      <selection activeCell="G29" sqref="G28:G29"/>
    </sheetView>
  </sheetViews>
  <sheetFormatPr baseColWidth="10" defaultRowHeight="14.4" x14ac:dyDescent="0.3"/>
  <sheetData>
    <row r="1" spans="1:5" x14ac:dyDescent="0.3">
      <c r="A1" t="s">
        <v>102</v>
      </c>
      <c r="B1" t="s">
        <v>1</v>
      </c>
      <c r="C1" t="s">
        <v>2</v>
      </c>
      <c r="D1" t="s">
        <v>3</v>
      </c>
      <c r="E1" t="s">
        <v>103</v>
      </c>
    </row>
    <row r="2" spans="1:5" x14ac:dyDescent="0.3">
      <c r="A2" s="31">
        <v>1951.00000000257</v>
      </c>
      <c r="B2" s="2">
        <v>0.68677583610148629</v>
      </c>
      <c r="C2" s="2">
        <v>7.2955000000000075E-2</v>
      </c>
      <c r="D2" s="2">
        <v>4.1292246851688766E-2</v>
      </c>
      <c r="E2" s="2">
        <v>1.0773752039683002</v>
      </c>
    </row>
    <row r="3" spans="1:5" x14ac:dyDescent="0.3">
      <c r="A3" s="31">
        <v>1951.0833333359001</v>
      </c>
      <c r="B3" s="2">
        <v>0.63676223685005506</v>
      </c>
      <c r="C3" s="2">
        <v>0.10944333333333343</v>
      </c>
      <c r="D3" s="2">
        <v>4.7207299365053607E-2</v>
      </c>
      <c r="E3" s="2">
        <v>1.0443279107761181</v>
      </c>
    </row>
    <row r="4" spans="1:5" x14ac:dyDescent="0.3">
      <c r="A4" s="31">
        <v>1951.1666666692299</v>
      </c>
      <c r="B4" s="2">
        <v>0.66164158308415078</v>
      </c>
      <c r="C4" s="2">
        <v>0.15843166666666672</v>
      </c>
      <c r="D4" s="2">
        <v>7.6675057103331487E-2</v>
      </c>
      <c r="E4" s="2">
        <v>1.027721670789326</v>
      </c>
    </row>
    <row r="5" spans="1:5" x14ac:dyDescent="0.3">
      <c r="A5" s="31">
        <v>1951.25000000256</v>
      </c>
      <c r="B5" s="2">
        <v>0.70226389433554015</v>
      </c>
      <c r="C5" s="2">
        <v>0.15843166666666672</v>
      </c>
      <c r="D5" s="2">
        <v>8.323493849513465E-2</v>
      </c>
      <c r="E5" s="2">
        <v>1.0236859994585727</v>
      </c>
    </row>
    <row r="6" spans="1:5" x14ac:dyDescent="0.3">
      <c r="A6" s="31">
        <v>1951.3333333358901</v>
      </c>
      <c r="B6" s="2">
        <v>0.74334052834137687</v>
      </c>
      <c r="C6" s="2">
        <v>0.15843166666666672</v>
      </c>
      <c r="D6" s="2">
        <v>8.7313294876263478E-2</v>
      </c>
      <c r="E6" s="2">
        <v>1.0330444885866399</v>
      </c>
    </row>
    <row r="7" spans="1:5" x14ac:dyDescent="0.3">
      <c r="A7" s="31">
        <v>1951.4166666692199</v>
      </c>
      <c r="B7" s="2">
        <v>0.81648326651238323</v>
      </c>
      <c r="C7" s="2">
        <v>0.19491500000000003</v>
      </c>
      <c r="D7" s="2">
        <v>0.11299308306635758</v>
      </c>
      <c r="E7" s="2">
        <v>1.0358484644742121</v>
      </c>
    </row>
    <row r="8" spans="1:5" x14ac:dyDescent="0.3">
      <c r="A8" s="31">
        <v>1951.50000000255</v>
      </c>
      <c r="B8" s="2">
        <v>0.67320909569905241</v>
      </c>
      <c r="C8" s="2">
        <v>5.4715000000000152E-2</v>
      </c>
      <c r="D8" s="2">
        <v>3.9037021610948588E-2</v>
      </c>
      <c r="E8" s="2">
        <v>1.0362225522575867</v>
      </c>
    </row>
    <row r="9" spans="1:5" x14ac:dyDescent="0.3">
      <c r="A9" s="31">
        <v>1951.5833333358801</v>
      </c>
      <c r="B9" s="2">
        <v>0.83347170584311792</v>
      </c>
      <c r="C9" s="2">
        <v>6.4971666666666691E-2</v>
      </c>
      <c r="D9" s="2">
        <v>5.4228320900824106E-2</v>
      </c>
      <c r="E9" s="2">
        <v>1.0389485418143578</v>
      </c>
    </row>
    <row r="10" spans="1:5" x14ac:dyDescent="0.3">
      <c r="A10" s="31">
        <v>1951.6666666692099</v>
      </c>
      <c r="B10" s="2">
        <v>0.81410911339543623</v>
      </c>
      <c r="C10" s="2">
        <v>5.6971666666666691E-2</v>
      </c>
      <c r="D10" s="2">
        <v>4.6531492890477304E-2</v>
      </c>
      <c r="E10" s="2">
        <v>1.0556130323043882</v>
      </c>
    </row>
    <row r="11" spans="1:5" x14ac:dyDescent="0.3">
      <c r="A11" s="31">
        <v>1951.75000000254</v>
      </c>
      <c r="B11" s="2">
        <v>0.7923978371856123</v>
      </c>
      <c r="C11" s="2">
        <v>7.5226666666666678E-2</v>
      </c>
      <c r="D11" s="2">
        <v>5.7511102219830024E-2</v>
      </c>
      <c r="E11" s="2">
        <v>1.069998289389787</v>
      </c>
    </row>
    <row r="12" spans="1:5" x14ac:dyDescent="0.3">
      <c r="A12" s="31">
        <v>1951.8333333358701</v>
      </c>
      <c r="B12" s="2">
        <v>0.76331604843935741</v>
      </c>
      <c r="C12" s="2">
        <v>5.6971666666666691E-2</v>
      </c>
      <c r="D12" s="2">
        <v>4.1816273714084508E-2</v>
      </c>
      <c r="E12" s="2">
        <v>1.0808453001883942</v>
      </c>
    </row>
    <row r="13" spans="1:5" x14ac:dyDescent="0.3">
      <c r="A13" s="31">
        <v>1951.9166666691999</v>
      </c>
      <c r="B13" s="2">
        <v>0.72380902223564503</v>
      </c>
      <c r="C13" s="2">
        <v>6.4971666666666691E-2</v>
      </c>
      <c r="D13" s="2">
        <v>4.5341545224471654E-2</v>
      </c>
      <c r="E13" s="2">
        <v>1.0855438620061388</v>
      </c>
    </row>
    <row r="14" spans="1:5" x14ac:dyDescent="0.3">
      <c r="A14" s="31">
        <v>1952.00000000253</v>
      </c>
      <c r="B14" s="2">
        <v>0.69055156005393148</v>
      </c>
      <c r="C14" s="2">
        <v>5.6971666666666691E-2</v>
      </c>
      <c r="D14" s="2">
        <v>3.9053113217382668E-2</v>
      </c>
      <c r="E14" s="2">
        <v>1.0764664074097243</v>
      </c>
    </row>
    <row r="15" spans="1:5" x14ac:dyDescent="0.3">
      <c r="A15" s="31">
        <v>1952.0833333358601</v>
      </c>
      <c r="B15" s="2">
        <v>0.67603560998370515</v>
      </c>
      <c r="C15" s="2">
        <v>7.5226666666666678E-2</v>
      </c>
      <c r="D15" s="2">
        <v>5.2085453046349039E-2</v>
      </c>
      <c r="E15" s="2">
        <v>1.0286544370722854</v>
      </c>
    </row>
    <row r="16" spans="1:5" x14ac:dyDescent="0.3">
      <c r="A16" s="31">
        <v>1952.1666666691899</v>
      </c>
      <c r="B16" s="2">
        <v>0.6973089834612588</v>
      </c>
      <c r="C16" s="2">
        <v>0.13792166666666675</v>
      </c>
      <c r="D16" s="2">
        <v>6.0390911286632286E-2</v>
      </c>
      <c r="E16" s="2">
        <v>0.99253316507424838</v>
      </c>
    </row>
    <row r="17" spans="1:5" x14ac:dyDescent="0.3">
      <c r="A17" s="31">
        <v>1952.25000000252</v>
      </c>
      <c r="B17" s="2">
        <v>0.73749098799551582</v>
      </c>
      <c r="C17" s="2">
        <v>0.18466000000000005</v>
      </c>
      <c r="D17" s="2">
        <v>9.0074470842400986E-2</v>
      </c>
      <c r="E17" s="2">
        <v>0.98767559260324866</v>
      </c>
    </row>
    <row r="18" spans="1:5" x14ac:dyDescent="0.3">
      <c r="A18" s="31">
        <v>1952.3333333358501</v>
      </c>
      <c r="B18" s="2">
        <v>0.75134644184143184</v>
      </c>
      <c r="C18" s="2">
        <v>0.15842166666666666</v>
      </c>
      <c r="D18" s="2">
        <v>8.8468306309958542E-2</v>
      </c>
      <c r="E18" s="2">
        <v>0.99639157653818988</v>
      </c>
    </row>
    <row r="19" spans="1:5" x14ac:dyDescent="0.3">
      <c r="A19" s="31">
        <v>1952.4166666691799</v>
      </c>
      <c r="B19" s="2">
        <v>0.77911948841509571</v>
      </c>
      <c r="C19" s="2">
        <v>0.19264333333333342</v>
      </c>
      <c r="D19" s="2">
        <v>0.10360397447255386</v>
      </c>
      <c r="E19" s="2">
        <v>1.0101812258506908</v>
      </c>
    </row>
    <row r="20" spans="1:5" x14ac:dyDescent="0.3">
      <c r="A20" s="31">
        <v>1952.50000000251</v>
      </c>
      <c r="B20" s="2">
        <v>0.87700188504278087</v>
      </c>
      <c r="C20" s="2">
        <v>7.2950000000000056E-2</v>
      </c>
      <c r="D20" s="2">
        <v>6.2518711848228783E-2</v>
      </c>
      <c r="E20" s="2">
        <v>1.022055933047209</v>
      </c>
    </row>
    <row r="21" spans="1:5" x14ac:dyDescent="0.3">
      <c r="A21" s="31">
        <v>1952.5833333358401</v>
      </c>
      <c r="B21" s="2">
        <v>0.8055351234005369</v>
      </c>
      <c r="C21" s="2">
        <v>9.1188333333333427E-2</v>
      </c>
      <c r="D21" s="2">
        <v>5.3311301101466417E-2</v>
      </c>
      <c r="E21" s="2">
        <v>1.0370327900566003</v>
      </c>
    </row>
    <row r="22" spans="1:5" x14ac:dyDescent="0.3">
      <c r="A22" s="31">
        <v>1952.6666666691699</v>
      </c>
      <c r="B22" s="2">
        <v>0.79270416411276567</v>
      </c>
      <c r="C22" s="2">
        <v>9.345500000000001E-2</v>
      </c>
      <c r="D22" s="2">
        <v>6.2790104807795455E-2</v>
      </c>
      <c r="E22" s="2">
        <v>1.0556955148981437</v>
      </c>
    </row>
    <row r="23" spans="1:5" x14ac:dyDescent="0.3">
      <c r="A23" s="31">
        <v>1952.7500000025</v>
      </c>
      <c r="B23" s="2">
        <v>0.78885133743824787</v>
      </c>
      <c r="C23" s="2">
        <v>9.1188333333333427E-2</v>
      </c>
      <c r="D23" s="2">
        <v>4.6404600191736263E-2</v>
      </c>
      <c r="E23" s="2">
        <v>1.0694857270942171</v>
      </c>
    </row>
    <row r="24" spans="1:5" x14ac:dyDescent="0.3">
      <c r="A24" s="31">
        <v>1952.83333333583</v>
      </c>
      <c r="B24" s="2">
        <v>0.77750066879251845</v>
      </c>
      <c r="C24" s="2">
        <v>7.2950000000000056E-2</v>
      </c>
      <c r="D24" s="2">
        <v>4.7837488188244313E-2</v>
      </c>
      <c r="E24" s="2">
        <v>1.0729086794671856</v>
      </c>
    </row>
    <row r="25" spans="1:5" x14ac:dyDescent="0.3">
      <c r="A25" s="31">
        <v>1952.9166666691599</v>
      </c>
      <c r="B25" s="2">
        <v>0.68618948162367233</v>
      </c>
      <c r="C25" s="2">
        <v>0.11168833333333338</v>
      </c>
      <c r="D25" s="2">
        <v>5.5293043953158906E-2</v>
      </c>
      <c r="E25" s="2">
        <v>1.079351968571634</v>
      </c>
    </row>
    <row r="26" spans="1:5" x14ac:dyDescent="0.3">
      <c r="A26" s="31">
        <v>1953.00000000249</v>
      </c>
      <c r="B26" s="2">
        <v>0.70498259417461151</v>
      </c>
      <c r="C26" s="2">
        <v>7.2955000000000089E-2</v>
      </c>
      <c r="D26" s="2">
        <v>4.4999819975514332E-2</v>
      </c>
      <c r="E26" s="2">
        <v>1.061200017434818</v>
      </c>
    </row>
    <row r="27" spans="1:5" x14ac:dyDescent="0.3">
      <c r="A27" s="31">
        <v>1953.08333333582</v>
      </c>
      <c r="B27" s="2">
        <v>0.67063101685923332</v>
      </c>
      <c r="C27" s="2">
        <v>0.12767166666666677</v>
      </c>
      <c r="D27" s="2">
        <v>5.6854505810383767E-2</v>
      </c>
      <c r="E27" s="2">
        <v>1.0112263166283073</v>
      </c>
    </row>
    <row r="28" spans="1:5" x14ac:dyDescent="0.3">
      <c r="A28" s="31">
        <v>1953.1666666691499</v>
      </c>
      <c r="B28" s="2">
        <v>0.70234221314048295</v>
      </c>
      <c r="C28" s="2">
        <v>8.7726666666666661E-2</v>
      </c>
      <c r="D28" s="2">
        <v>5.0232118568736682E-2</v>
      </c>
      <c r="E28" s="2">
        <v>1.0060490883061017</v>
      </c>
    </row>
    <row r="29" spans="1:5" x14ac:dyDescent="0.3">
      <c r="A29" s="31">
        <v>1953.25000000248</v>
      </c>
      <c r="B29" s="2">
        <v>0.69765671644936822</v>
      </c>
      <c r="C29" s="2">
        <v>0.11395999999999999</v>
      </c>
      <c r="D29" s="2">
        <v>6.5647693363987902E-2</v>
      </c>
      <c r="E29" s="2">
        <v>1.0015326977803856</v>
      </c>
    </row>
    <row r="30" spans="1:5" x14ac:dyDescent="0.3">
      <c r="A30" s="31">
        <v>1953.33333333581</v>
      </c>
      <c r="B30" s="2">
        <v>0.75252081647739377</v>
      </c>
      <c r="C30" s="2">
        <v>9.5726666666666668E-2</v>
      </c>
      <c r="D30" s="2">
        <v>6.3130149255250692E-2</v>
      </c>
      <c r="E30" s="2">
        <v>1.0085512999010149</v>
      </c>
    </row>
    <row r="31" spans="1:5" x14ac:dyDescent="0.3">
      <c r="A31" s="31">
        <v>1953.4166666691401</v>
      </c>
      <c r="B31" s="2">
        <v>0.78779866011925981</v>
      </c>
      <c r="C31" s="2">
        <v>0.13446499999999997</v>
      </c>
      <c r="D31" s="2">
        <v>9.4151153815001984E-2</v>
      </c>
      <c r="E31" s="2">
        <v>1.0096355697298174</v>
      </c>
    </row>
    <row r="32" spans="1:5" x14ac:dyDescent="0.3">
      <c r="A32" s="31">
        <v>1953.50000000247</v>
      </c>
      <c r="B32" s="2">
        <v>1.0052204943131848</v>
      </c>
      <c r="C32" s="2">
        <v>6.1499999999999902E-2</v>
      </c>
      <c r="D32" s="2">
        <v>6.1821060400260766E-2</v>
      </c>
      <c r="E32" s="2">
        <v>1.0056861619171817</v>
      </c>
    </row>
    <row r="33" spans="1:5" x14ac:dyDescent="0.3">
      <c r="A33" s="31">
        <v>1953.5833333358</v>
      </c>
      <c r="B33" s="2">
        <v>0.82476613970196488</v>
      </c>
      <c r="C33" s="2">
        <v>8.322166666666668E-2</v>
      </c>
      <c r="D33" s="2">
        <v>6.1541986374202162E-2</v>
      </c>
      <c r="E33" s="2">
        <v>1.0161547271572229</v>
      </c>
    </row>
    <row r="34" spans="1:5" x14ac:dyDescent="0.3">
      <c r="A34" s="31">
        <v>1953.6666666691301</v>
      </c>
      <c r="B34" s="2">
        <v>0.85125871133469511</v>
      </c>
      <c r="C34" s="2">
        <v>5.69666666666667E-2</v>
      </c>
      <c r="D34" s="2">
        <v>4.950949762621195E-2</v>
      </c>
      <c r="E34" s="2">
        <v>1.030144031025908</v>
      </c>
    </row>
    <row r="35" spans="1:5" x14ac:dyDescent="0.3">
      <c r="A35" s="31">
        <v>1953.75000000246</v>
      </c>
      <c r="B35" s="2">
        <v>0.79210208368541701</v>
      </c>
      <c r="C35" s="2">
        <v>8.322166666666668E-2</v>
      </c>
      <c r="D35" s="2">
        <v>5.8456108401301811E-2</v>
      </c>
      <c r="E35" s="2">
        <v>1.0474574289976739</v>
      </c>
    </row>
    <row r="36" spans="1:5" x14ac:dyDescent="0.3">
      <c r="A36" s="31">
        <v>1953.83333333579</v>
      </c>
      <c r="B36" s="2">
        <v>0.78214492600569907</v>
      </c>
      <c r="C36" s="2">
        <v>6.1499999999999874E-2</v>
      </c>
      <c r="D36" s="2">
        <v>4.8304968011767077E-2</v>
      </c>
      <c r="E36" s="2">
        <v>1.0610827212128708</v>
      </c>
    </row>
    <row r="37" spans="1:5" x14ac:dyDescent="0.3">
      <c r="A37" s="31">
        <v>1953.9166666691201</v>
      </c>
      <c r="B37" s="2">
        <v>0.77036514364481867</v>
      </c>
      <c r="C37" s="2">
        <v>7.5221666666666701E-2</v>
      </c>
      <c r="D37" s="2">
        <v>4.9866425086271315E-2</v>
      </c>
      <c r="E37" s="2">
        <v>1.0633350146717344</v>
      </c>
    </row>
    <row r="38" spans="1:5" x14ac:dyDescent="0.3">
      <c r="A38" s="31">
        <v>1954.00000000245</v>
      </c>
      <c r="B38" s="2">
        <v>0.71833322087492923</v>
      </c>
      <c r="C38" s="2">
        <v>6.1499999999999874E-2</v>
      </c>
      <c r="D38" s="2">
        <v>4.5104888596969872E-2</v>
      </c>
      <c r="E38" s="2">
        <v>1.0396169345970381</v>
      </c>
    </row>
    <row r="39" spans="1:5" x14ac:dyDescent="0.3">
      <c r="A39" s="31">
        <v>1954.08333333578</v>
      </c>
      <c r="B39" s="2">
        <v>0.73472135334681665</v>
      </c>
      <c r="C39" s="2">
        <v>7.5221666666666687E-2</v>
      </c>
      <c r="D39" s="2">
        <v>4.7913267750279376E-2</v>
      </c>
      <c r="E39" s="2">
        <v>1.0131476682220095</v>
      </c>
    </row>
    <row r="40" spans="1:5" x14ac:dyDescent="0.3">
      <c r="A40" s="31">
        <v>1954.1666666691101</v>
      </c>
      <c r="B40" s="2">
        <v>0.74572316338174061</v>
      </c>
      <c r="C40" s="2">
        <v>0.16640500000000008</v>
      </c>
      <c r="D40" s="2">
        <v>8.1625949672554265E-2</v>
      </c>
      <c r="E40" s="2">
        <v>1.0023874101893335</v>
      </c>
    </row>
    <row r="41" spans="1:5" x14ac:dyDescent="0.3">
      <c r="A41" s="31">
        <v>1954.2500000024399</v>
      </c>
      <c r="B41" s="2">
        <v>0.75949761623750256</v>
      </c>
      <c r="C41" s="2">
        <v>0.18691000000000005</v>
      </c>
      <c r="D41" s="2">
        <v>0.10197117745563468</v>
      </c>
      <c r="E41" s="2">
        <v>1.0007231903341174</v>
      </c>
    </row>
    <row r="42" spans="1:5" x14ac:dyDescent="0.3">
      <c r="A42" s="31">
        <v>1954.33333333577</v>
      </c>
      <c r="B42" s="2">
        <v>0.78136307552000661</v>
      </c>
      <c r="C42" s="2">
        <v>0.17665500000000003</v>
      </c>
      <c r="D42" s="2">
        <v>9.8826833291507279E-2</v>
      </c>
      <c r="E42" s="2">
        <v>1.019560439607595</v>
      </c>
    </row>
    <row r="43" spans="1:5" x14ac:dyDescent="0.3">
      <c r="A43" s="31">
        <v>1954.4166666691001</v>
      </c>
      <c r="B43" s="2">
        <v>0.82293955876367531</v>
      </c>
      <c r="C43" s="2">
        <v>0.20514333333333343</v>
      </c>
      <c r="D43" s="2">
        <v>0.1253641648630506</v>
      </c>
      <c r="E43" s="2">
        <v>1.027189546879647</v>
      </c>
    </row>
    <row r="44" spans="1:5" x14ac:dyDescent="0.3">
      <c r="A44" s="31">
        <v>1954.5000000024299</v>
      </c>
      <c r="B44" s="2">
        <v>0.81627527961119029</v>
      </c>
      <c r="C44" s="2">
        <v>5.6971666666666719E-2</v>
      </c>
      <c r="D44" s="2">
        <v>4.7848627212067091E-2</v>
      </c>
      <c r="E44" s="2">
        <v>1.0298260910949175</v>
      </c>
    </row>
    <row r="45" spans="1:5" x14ac:dyDescent="0.3">
      <c r="A45" s="31">
        <v>1954.58333333576</v>
      </c>
      <c r="B45" s="2">
        <v>0.80766122755253422</v>
      </c>
      <c r="C45" s="2">
        <v>7.2955000000000089E-2</v>
      </c>
      <c r="D45" s="2">
        <v>5.2854744606487668E-2</v>
      </c>
      <c r="E45" s="2">
        <v>1.0467022276500684</v>
      </c>
    </row>
    <row r="46" spans="1:5" x14ac:dyDescent="0.3">
      <c r="A46" s="31">
        <v>1954.6666666690901</v>
      </c>
      <c r="B46" s="2">
        <v>0.75861240613496361</v>
      </c>
      <c r="C46" s="2">
        <v>7.7471666666666689E-2</v>
      </c>
      <c r="D46" s="2">
        <v>5.6568148822415704E-2</v>
      </c>
      <c r="E46" s="2">
        <v>1.0591557388295476</v>
      </c>
    </row>
    <row r="47" spans="1:5" x14ac:dyDescent="0.3">
      <c r="A47" s="31">
        <v>1954.7500000024199</v>
      </c>
      <c r="B47" s="2">
        <v>0.77454572380658648</v>
      </c>
      <c r="C47" s="2">
        <v>8.3210000000000076E-2</v>
      </c>
      <c r="D47" s="2">
        <v>5.5066489920675997E-2</v>
      </c>
      <c r="E47" s="2">
        <v>1.0682451683882339</v>
      </c>
    </row>
    <row r="48" spans="1:5" x14ac:dyDescent="0.3">
      <c r="A48" s="31">
        <v>1954.83333333575</v>
      </c>
      <c r="B48" s="2">
        <v>0.75144045776055746</v>
      </c>
      <c r="C48" s="2">
        <v>7.2955000000000089E-2</v>
      </c>
      <c r="D48" s="2">
        <v>4.7187602857634368E-2</v>
      </c>
      <c r="E48" s="2">
        <v>1.0785040999514568</v>
      </c>
    </row>
    <row r="49" spans="1:5" x14ac:dyDescent="0.3">
      <c r="A49" s="31">
        <v>1954.9166666690801</v>
      </c>
      <c r="B49" s="2">
        <v>0.68359439130848632</v>
      </c>
      <c r="C49" s="2">
        <v>7.7471666666666689E-2</v>
      </c>
      <c r="D49" s="2">
        <v>5.0945563802421996E-2</v>
      </c>
      <c r="E49" s="2">
        <v>1.087617798187515</v>
      </c>
    </row>
    <row r="50" spans="1:5" x14ac:dyDescent="0.3">
      <c r="A50" s="31">
        <v>1955.0000000024099</v>
      </c>
      <c r="B50" s="2">
        <v>0.71693575693144496</v>
      </c>
      <c r="C50" s="2">
        <v>7.2955000000000089E-2</v>
      </c>
      <c r="D50" s="2">
        <v>4.6209622939887784E-2</v>
      </c>
      <c r="E50" s="2">
        <v>1.0720515362890601</v>
      </c>
    </row>
    <row r="51" spans="1:5" x14ac:dyDescent="0.3">
      <c r="A51" s="31">
        <v>1955.08333333575</v>
      </c>
      <c r="B51" s="2">
        <v>0.71199607261685982</v>
      </c>
      <c r="C51" s="2">
        <v>9.3460000000000057E-2</v>
      </c>
      <c r="D51" s="2">
        <v>5.9534989357291145E-2</v>
      </c>
      <c r="E51" s="2">
        <v>1.0298469459616377</v>
      </c>
    </row>
    <row r="52" spans="1:5" x14ac:dyDescent="0.3">
      <c r="A52" s="31">
        <v>1955.1666666690801</v>
      </c>
      <c r="B52" s="2">
        <v>0.71668011429817136</v>
      </c>
      <c r="C52" s="2">
        <v>0.1162266666666666</v>
      </c>
      <c r="D52" s="2">
        <v>7.8967867802690619E-2</v>
      </c>
      <c r="E52" s="2">
        <v>0.99801848866058318</v>
      </c>
    </row>
    <row r="53" spans="1:5" x14ac:dyDescent="0.3">
      <c r="A53" s="31">
        <v>1955.2500000024099</v>
      </c>
      <c r="B53" s="2">
        <v>0.76028765967641643</v>
      </c>
      <c r="C53" s="2">
        <v>0.14245999999999995</v>
      </c>
      <c r="D53" s="2">
        <v>9.1862392670918558E-2</v>
      </c>
      <c r="E53" s="2">
        <v>0.99977971789632114</v>
      </c>
    </row>
    <row r="54" spans="1:5" x14ac:dyDescent="0.3">
      <c r="A54" s="31">
        <v>1955.33333333574</v>
      </c>
      <c r="B54" s="2">
        <v>0.78688558000395503</v>
      </c>
      <c r="C54" s="2">
        <v>0.13220999999999999</v>
      </c>
      <c r="D54" s="2">
        <v>8.744629789664167E-2</v>
      </c>
      <c r="E54" s="2">
        <v>1.0126879387562837</v>
      </c>
    </row>
    <row r="55" spans="1:5" x14ac:dyDescent="0.3">
      <c r="A55" s="31">
        <v>1955.4166666690701</v>
      </c>
      <c r="B55" s="2">
        <v>0.84832962798906586</v>
      </c>
      <c r="C55" s="2">
        <v>0.16296499999999994</v>
      </c>
      <c r="D55" s="2">
        <v>0.11156804882463078</v>
      </c>
      <c r="E55" s="2">
        <v>1.0195778858804128</v>
      </c>
    </row>
    <row r="56" spans="1:5" x14ac:dyDescent="0.3">
      <c r="A56" s="31">
        <v>1955.5000000023999</v>
      </c>
      <c r="B56" s="2">
        <v>0.82885403594036333</v>
      </c>
      <c r="C56" s="2">
        <v>5.69666666666667E-2</v>
      </c>
      <c r="D56" s="2">
        <v>4.7070756419639891E-2</v>
      </c>
      <c r="E56" s="2">
        <v>1.0310337558455058</v>
      </c>
    </row>
    <row r="57" spans="1:5" x14ac:dyDescent="0.3">
      <c r="A57" s="31">
        <v>1955.58333333573</v>
      </c>
      <c r="B57" s="2">
        <v>0.83590104272792409</v>
      </c>
      <c r="C57" s="2">
        <v>9.3455000000000066E-2</v>
      </c>
      <c r="D57" s="2">
        <v>6.0352029107912597E-2</v>
      </c>
      <c r="E57" s="2">
        <v>1.0467378026531253</v>
      </c>
    </row>
    <row r="58" spans="1:5" x14ac:dyDescent="0.3">
      <c r="A58" s="31">
        <v>1955.6666666690601</v>
      </c>
      <c r="B58" s="2">
        <v>0.81475754723617333</v>
      </c>
      <c r="C58" s="2">
        <v>5.69666666666667E-2</v>
      </c>
      <c r="D58" s="2">
        <v>4.3730893330387405E-2</v>
      </c>
      <c r="E58" s="2">
        <v>1.0555097457397258</v>
      </c>
    </row>
    <row r="59" spans="1:5" x14ac:dyDescent="0.3">
      <c r="A59" s="31">
        <v>1955.7500000023899</v>
      </c>
      <c r="B59" s="2">
        <v>0.80700685476898004</v>
      </c>
      <c r="C59" s="2">
        <v>9.3455000000000066E-2</v>
      </c>
      <c r="D59" s="2">
        <v>5.6346686389426533E-2</v>
      </c>
      <c r="E59" s="2">
        <v>1.0715408439378622</v>
      </c>
    </row>
    <row r="60" spans="1:5" x14ac:dyDescent="0.3">
      <c r="A60" s="31">
        <v>1955.83333333572</v>
      </c>
      <c r="B60" s="2">
        <v>0.74766851387502398</v>
      </c>
      <c r="C60" s="2">
        <v>7.2938333333333494E-2</v>
      </c>
      <c r="D60" s="2">
        <v>4.0978187147310476E-2</v>
      </c>
      <c r="E60" s="2">
        <v>1.0814676752381123</v>
      </c>
    </row>
    <row r="61" spans="1:5" x14ac:dyDescent="0.3">
      <c r="A61" s="31">
        <v>1955.9166666690501</v>
      </c>
      <c r="B61" s="2">
        <v>0.70682042985316507</v>
      </c>
      <c r="C61" s="2">
        <v>9.571666666666663E-2</v>
      </c>
      <c r="D61" s="2">
        <v>5.0722481414227659E-2</v>
      </c>
      <c r="E61" s="2">
        <v>1.0880348814932401</v>
      </c>
    </row>
    <row r="62" spans="1:5" x14ac:dyDescent="0.3">
      <c r="A62" s="31">
        <v>1956.0000000023799</v>
      </c>
      <c r="B62" s="2">
        <v>0.67047086883479434</v>
      </c>
      <c r="C62" s="2">
        <v>7.2938333333333494E-2</v>
      </c>
      <c r="D62" s="2">
        <v>3.7226230886497118E-2</v>
      </c>
      <c r="E62" s="2">
        <v>1.0780416404238222</v>
      </c>
    </row>
    <row r="63" spans="1:5" x14ac:dyDescent="0.3">
      <c r="A63" s="31">
        <v>1956.08333333571</v>
      </c>
      <c r="B63" s="2">
        <v>0.6719856108896578</v>
      </c>
      <c r="C63" s="2">
        <v>9.3455000000000066E-2</v>
      </c>
      <c r="D63" s="2">
        <v>4.9175819496776928E-2</v>
      </c>
      <c r="E63" s="2">
        <v>1.0477540453903325</v>
      </c>
    </row>
    <row r="64" spans="1:5" x14ac:dyDescent="0.3">
      <c r="A64" s="31">
        <v>1956.1666666690401</v>
      </c>
      <c r="B64" s="2">
        <v>0.6569832869029163</v>
      </c>
      <c r="C64" s="2">
        <v>0.13218833333333332</v>
      </c>
      <c r="D64" s="2">
        <v>7.2656121602184653E-2</v>
      </c>
      <c r="E64" s="2">
        <v>1.017041235413654</v>
      </c>
    </row>
    <row r="65" spans="1:5" x14ac:dyDescent="0.3">
      <c r="A65" s="31">
        <v>1956.2500000023699</v>
      </c>
      <c r="B65" s="2">
        <v>0.67674116016041763</v>
      </c>
      <c r="C65" s="2">
        <v>0.17666000000000012</v>
      </c>
      <c r="D65" s="2">
        <v>8.1011467685903837E-2</v>
      </c>
      <c r="E65" s="2">
        <v>1.0129350355055029</v>
      </c>
    </row>
    <row r="66" spans="1:5" x14ac:dyDescent="0.3">
      <c r="A66" s="31">
        <v>1956.3333333357</v>
      </c>
      <c r="B66" s="2">
        <v>0.74916197539608997</v>
      </c>
      <c r="C66" s="2">
        <v>0.16867666666666672</v>
      </c>
      <c r="D66" s="2">
        <v>9.0381953199967738E-2</v>
      </c>
      <c r="E66" s="2">
        <v>1.0185609640520901</v>
      </c>
    </row>
    <row r="67" spans="1:5" x14ac:dyDescent="0.3">
      <c r="A67" s="31">
        <v>1956.4166666690301</v>
      </c>
      <c r="B67" s="2">
        <v>0.83463380478189142</v>
      </c>
      <c r="C67" s="2">
        <v>0.18691000000000005</v>
      </c>
      <c r="D67" s="2">
        <v>0.11235064714999932</v>
      </c>
      <c r="E67" s="2">
        <v>1.0330496124105255</v>
      </c>
    </row>
    <row r="68" spans="1:5" x14ac:dyDescent="0.3">
      <c r="A68" s="31">
        <v>1956.5000000023599</v>
      </c>
      <c r="B68" s="2">
        <v>0.93647491514191961</v>
      </c>
      <c r="C68" s="2">
        <v>5.4700000000000103E-2</v>
      </c>
      <c r="D68" s="2">
        <v>5.2256148519616068E-2</v>
      </c>
      <c r="E68" s="2">
        <v>1.0450382915533305</v>
      </c>
    </row>
    <row r="69" spans="1:5" x14ac:dyDescent="0.3">
      <c r="A69" s="31">
        <v>1956.58333333569</v>
      </c>
      <c r="B69" s="2">
        <v>0.86571446805392893</v>
      </c>
      <c r="C69" s="2">
        <v>6.4971666666666705E-2</v>
      </c>
      <c r="D69" s="2">
        <v>5.8719488282886055E-2</v>
      </c>
      <c r="E69" s="2">
        <v>1.0580379461087883</v>
      </c>
    </row>
    <row r="70" spans="1:5" x14ac:dyDescent="0.3">
      <c r="A70" s="31">
        <v>1956.6666666690201</v>
      </c>
      <c r="B70" s="2">
        <v>0.86795922243673473</v>
      </c>
      <c r="C70" s="2">
        <v>5.6971666666666698E-2</v>
      </c>
      <c r="D70" s="2">
        <v>4.6311794371463745E-2</v>
      </c>
      <c r="E70" s="2">
        <v>1.0660428963395774</v>
      </c>
    </row>
    <row r="71" spans="1:5" x14ac:dyDescent="0.3">
      <c r="A71" s="31">
        <v>1956.7500000023499</v>
      </c>
      <c r="B71" s="2">
        <v>0.86133191858176872</v>
      </c>
      <c r="C71" s="2">
        <v>6.4971666666666705E-2</v>
      </c>
      <c r="D71" s="2">
        <v>5.3744252243455692E-2</v>
      </c>
      <c r="E71" s="2">
        <v>1.0626647947728636</v>
      </c>
    </row>
    <row r="72" spans="1:5" x14ac:dyDescent="0.3">
      <c r="A72" s="31">
        <v>1956.83333333568</v>
      </c>
      <c r="B72" s="2">
        <v>0.80792800333411918</v>
      </c>
      <c r="C72" s="2">
        <v>5.6966666666666686E-2</v>
      </c>
      <c r="D72" s="2">
        <v>4.0890348659762085E-2</v>
      </c>
      <c r="E72" s="2">
        <v>1.063541155312449</v>
      </c>
    </row>
    <row r="73" spans="1:5" x14ac:dyDescent="0.3">
      <c r="A73" s="31">
        <v>1956.9166666690101</v>
      </c>
      <c r="B73" s="2">
        <v>0.78320024069102223</v>
      </c>
      <c r="C73" s="2">
        <v>6.4971666666666705E-2</v>
      </c>
      <c r="D73" s="2">
        <v>4.9436034394323584E-2</v>
      </c>
      <c r="E73" s="2">
        <v>1.0712620075996313</v>
      </c>
    </row>
    <row r="74" spans="1:5" x14ac:dyDescent="0.3">
      <c r="A74" s="31">
        <v>1957.0000000023399</v>
      </c>
      <c r="B74" s="2">
        <v>0.7335808705524145</v>
      </c>
      <c r="C74" s="2">
        <v>5.6971666666666698E-2</v>
      </c>
      <c r="D74" s="2">
        <v>3.9377246428691552E-2</v>
      </c>
      <c r="E74" s="2">
        <v>1.0660448970694845</v>
      </c>
    </row>
    <row r="75" spans="1:5" x14ac:dyDescent="0.3">
      <c r="A75" s="31">
        <v>1957.08333333567</v>
      </c>
      <c r="B75" s="2">
        <v>0.70860800454635786</v>
      </c>
      <c r="C75" s="2">
        <v>6.4971666666666705E-2</v>
      </c>
      <c r="D75" s="2">
        <v>4.6882360784431233E-2</v>
      </c>
      <c r="E75" s="2">
        <v>1.0328063280749091</v>
      </c>
    </row>
    <row r="76" spans="1:5" x14ac:dyDescent="0.3">
      <c r="A76" s="31">
        <v>1957.1666666690001</v>
      </c>
      <c r="B76" s="2">
        <v>0.67655561111616602</v>
      </c>
      <c r="C76" s="2">
        <v>0.12193833333333337</v>
      </c>
      <c r="D76" s="2">
        <v>6.1517571192736563E-2</v>
      </c>
      <c r="E76" s="2">
        <v>1.0035097171818048</v>
      </c>
    </row>
    <row r="77" spans="1:5" x14ac:dyDescent="0.3">
      <c r="A77" s="31">
        <v>1957.2500000023299</v>
      </c>
      <c r="B77" s="2">
        <v>0.75378280492717498</v>
      </c>
      <c r="C77" s="2">
        <v>0.15616000000000016</v>
      </c>
      <c r="D77" s="2">
        <v>7.338699921027747E-2</v>
      </c>
      <c r="E77" s="2">
        <v>0.99249883392880311</v>
      </c>
    </row>
    <row r="78" spans="1:5" x14ac:dyDescent="0.3">
      <c r="A78" s="31">
        <v>1957.33333333566</v>
      </c>
      <c r="B78" s="2">
        <v>0.81678254051550325</v>
      </c>
      <c r="C78" s="2">
        <v>0.13792166666666675</v>
      </c>
      <c r="D78" s="2">
        <v>7.1458766982841079E-2</v>
      </c>
      <c r="E78" s="2">
        <v>0.99585372870703559</v>
      </c>
    </row>
    <row r="79" spans="1:5" x14ac:dyDescent="0.3">
      <c r="A79" s="31">
        <v>1957.41666666899</v>
      </c>
      <c r="B79" s="2">
        <v>0.8677184804470407</v>
      </c>
      <c r="C79" s="2">
        <v>0.15616000000000016</v>
      </c>
      <c r="D79" s="2">
        <v>8.3258981197712426E-2</v>
      </c>
      <c r="E79" s="2">
        <v>0.99506992353021417</v>
      </c>
    </row>
    <row r="80" spans="1:5" x14ac:dyDescent="0.3">
      <c r="A80" s="31">
        <v>1957.5000000023199</v>
      </c>
      <c r="B80" s="2">
        <v>0.88015324945520501</v>
      </c>
      <c r="C80" s="2">
        <v>7.8657500000000283E-2</v>
      </c>
      <c r="D80" s="2">
        <v>4.7442250046471755E-2</v>
      </c>
      <c r="E80" s="2">
        <v>1.0028671714073598</v>
      </c>
    </row>
    <row r="81" spans="1:5" x14ac:dyDescent="0.3">
      <c r="A81" s="31">
        <v>1957.58333333565</v>
      </c>
      <c r="B81" s="2">
        <v>0.88399415050365182</v>
      </c>
      <c r="C81" s="2">
        <v>7.2955000000000089E-2</v>
      </c>
      <c r="D81" s="2">
        <v>5.6669090155597623E-2</v>
      </c>
      <c r="E81" s="2">
        <v>1.0123369022132112</v>
      </c>
    </row>
    <row r="82" spans="1:5" x14ac:dyDescent="0.3">
      <c r="A82" s="31">
        <v>1957.66666666898</v>
      </c>
      <c r="B82" s="2">
        <v>0.87151589483917435</v>
      </c>
      <c r="C82" s="2">
        <v>7.293833333333348E-2</v>
      </c>
      <c r="D82" s="2">
        <v>4.7031896639086239E-2</v>
      </c>
      <c r="E82" s="2">
        <v>1.0235154624605169</v>
      </c>
    </row>
    <row r="83" spans="1:5" x14ac:dyDescent="0.3">
      <c r="A83" s="31">
        <v>1957.7500000023099</v>
      </c>
      <c r="B83" s="2">
        <v>0.84348713234779027</v>
      </c>
      <c r="C83" s="2">
        <v>7.2955000000000089E-2</v>
      </c>
      <c r="D83" s="2">
        <v>5.2526872740228769E-2</v>
      </c>
      <c r="E83" s="2">
        <v>1.0273227102132403</v>
      </c>
    </row>
    <row r="84" spans="1:5" x14ac:dyDescent="0.3">
      <c r="A84" s="31">
        <v>1957.83333333564</v>
      </c>
      <c r="B84" s="2">
        <v>0.79257186947122893</v>
      </c>
      <c r="C84" s="2">
        <v>7.293833333333348E-2</v>
      </c>
      <c r="D84" s="2">
        <v>4.2946037135671584E-2</v>
      </c>
      <c r="E84" s="2">
        <v>1.0341584363340666</v>
      </c>
    </row>
    <row r="85" spans="1:5" x14ac:dyDescent="0.3">
      <c r="A85" s="31">
        <v>1957.91666666897</v>
      </c>
      <c r="B85" s="2">
        <v>0.73937450376217573</v>
      </c>
      <c r="C85" s="2">
        <v>7.2955000000000089E-2</v>
      </c>
      <c r="D85" s="2">
        <v>4.779127610174605E-2</v>
      </c>
      <c r="E85" s="2">
        <v>1.0445357598010234</v>
      </c>
    </row>
    <row r="86" spans="1:5" x14ac:dyDescent="0.3">
      <c r="A86" s="31">
        <v>1958.0000000023001</v>
      </c>
      <c r="B86" s="2">
        <v>0.70957023386654861</v>
      </c>
      <c r="C86" s="2">
        <v>7.293833333333348E-2</v>
      </c>
      <c r="D86" s="2">
        <v>3.9328962595231005E-2</v>
      </c>
      <c r="E86" s="2">
        <v>1.0462902534786032</v>
      </c>
    </row>
    <row r="87" spans="1:5" x14ac:dyDescent="0.3">
      <c r="A87" s="31">
        <v>1958.08333333563</v>
      </c>
      <c r="B87" s="2">
        <v>0.69738713304086153</v>
      </c>
      <c r="C87" s="2">
        <v>9.3460000000000057E-2</v>
      </c>
      <c r="D87" s="2">
        <v>5.4245632931491601E-2</v>
      </c>
      <c r="E87" s="2">
        <v>1.0243257317389101</v>
      </c>
    </row>
    <row r="88" spans="1:5" x14ac:dyDescent="0.3">
      <c r="A88" s="31">
        <v>1958.16666666896</v>
      </c>
      <c r="B88" s="2">
        <v>0.72274930555641204</v>
      </c>
      <c r="C88" s="2">
        <v>0.13672666666666658</v>
      </c>
      <c r="D88" s="2">
        <v>8.1224633661743775E-2</v>
      </c>
      <c r="E88" s="2">
        <v>1.0055138763048932</v>
      </c>
    </row>
    <row r="89" spans="1:5" x14ac:dyDescent="0.3">
      <c r="A89" s="31">
        <v>1958.2500000022901</v>
      </c>
      <c r="B89" s="2">
        <v>0.74353199827947647</v>
      </c>
      <c r="C89" s="2">
        <v>0.16069333333333333</v>
      </c>
      <c r="D89" s="2">
        <v>8.5392898102122763E-2</v>
      </c>
      <c r="E89" s="2">
        <v>1.003853397615371</v>
      </c>
    </row>
    <row r="90" spans="1:5" x14ac:dyDescent="0.3">
      <c r="A90" s="31">
        <v>1958.33333333562</v>
      </c>
      <c r="B90" s="2">
        <v>0.79874242380540394</v>
      </c>
      <c r="C90" s="2">
        <v>0.14470999999999998</v>
      </c>
      <c r="D90" s="2">
        <v>9.30361539240699E-2</v>
      </c>
      <c r="E90" s="2">
        <v>1.0095089895673801</v>
      </c>
    </row>
    <row r="91" spans="1:5" x14ac:dyDescent="0.3">
      <c r="A91" s="31">
        <v>1958.41666666895</v>
      </c>
      <c r="B91" s="2">
        <v>0.87831863745178274</v>
      </c>
      <c r="C91" s="2">
        <v>0.17094333333333331</v>
      </c>
      <c r="D91" s="2">
        <v>0.11248461808411218</v>
      </c>
      <c r="E91" s="2">
        <v>1.0068536737856035</v>
      </c>
    </row>
    <row r="92" spans="1:5" x14ac:dyDescent="0.3">
      <c r="A92" s="31">
        <v>1958.5000000022801</v>
      </c>
      <c r="B92" s="2">
        <v>0.84673835717476165</v>
      </c>
      <c r="C92" s="2">
        <v>6.1514999999999952E-2</v>
      </c>
      <c r="D92" s="2">
        <v>6.183494573414372E-2</v>
      </c>
      <c r="E92" s="2">
        <v>1.0170178351308972</v>
      </c>
    </row>
    <row r="93" spans="1:5" x14ac:dyDescent="0.3">
      <c r="A93" s="31">
        <v>1958.58333333561</v>
      </c>
      <c r="B93" s="2">
        <v>0.83766371033257581</v>
      </c>
      <c r="C93" s="2">
        <v>6.4971666666666691E-2</v>
      </c>
      <c r="D93" s="2">
        <v>5.5360356112665127E-2</v>
      </c>
      <c r="E93" s="2">
        <v>1.0086118433900431</v>
      </c>
    </row>
    <row r="94" spans="1:5" x14ac:dyDescent="0.3">
      <c r="A94" s="31">
        <v>1958.66666666894</v>
      </c>
      <c r="B94" s="2">
        <v>0.87920150209254511</v>
      </c>
      <c r="C94" s="2">
        <v>6.7221666666666693E-2</v>
      </c>
      <c r="D94" s="2">
        <v>4.794160928297999E-2</v>
      </c>
      <c r="E94" s="2">
        <v>1.0179465111243926</v>
      </c>
    </row>
    <row r="95" spans="1:5" x14ac:dyDescent="0.3">
      <c r="A95" s="31">
        <v>1958.7500000022701</v>
      </c>
      <c r="B95" s="2">
        <v>0.81230785846961828</v>
      </c>
      <c r="C95" s="2">
        <v>6.4971666666666691E-2</v>
      </c>
      <c r="D95" s="2">
        <v>5.108272471730612E-2</v>
      </c>
      <c r="E95" s="2">
        <v>1.0345943236724811</v>
      </c>
    </row>
    <row r="96" spans="1:5" x14ac:dyDescent="0.3">
      <c r="A96" s="31">
        <v>1958.8333333355999</v>
      </c>
      <c r="B96" s="2">
        <v>0.83132370296310576</v>
      </c>
      <c r="C96" s="2">
        <v>6.6707500000000128E-2</v>
      </c>
      <c r="D96" s="2">
        <v>5.1559625757595276E-2</v>
      </c>
      <c r="E96" s="2">
        <v>1.0527299412667304</v>
      </c>
    </row>
    <row r="97" spans="1:5" x14ac:dyDescent="0.3">
      <c r="A97" s="31">
        <v>1958.91666666893</v>
      </c>
      <c r="B97" s="2">
        <v>0.78250186107405983</v>
      </c>
      <c r="C97" s="2">
        <v>6.722166666666668E-2</v>
      </c>
      <c r="D97" s="2">
        <v>4.2190447424637234E-2</v>
      </c>
      <c r="E97" s="2">
        <v>1.0604243236848221</v>
      </c>
    </row>
    <row r="98" spans="1:5" x14ac:dyDescent="0.3">
      <c r="A98" s="31">
        <v>1959.0000000022601</v>
      </c>
      <c r="B98" s="2">
        <v>0.74945708306202974</v>
      </c>
      <c r="C98" s="2">
        <v>6.6707500000000128E-2</v>
      </c>
      <c r="D98" s="2">
        <v>4.9370579731542769E-2</v>
      </c>
      <c r="E98" s="2">
        <v>1.0545911320644572</v>
      </c>
    </row>
    <row r="99" spans="1:5" x14ac:dyDescent="0.3">
      <c r="A99" s="31">
        <v>1959.0833333355899</v>
      </c>
      <c r="B99" s="2">
        <v>0.74594803213662064</v>
      </c>
      <c r="C99" s="2">
        <v>8.5476666666666687E-2</v>
      </c>
      <c r="D99" s="2">
        <v>5.7999256862498939E-2</v>
      </c>
      <c r="E99" s="2">
        <v>1.023829371625901</v>
      </c>
    </row>
    <row r="100" spans="1:5" x14ac:dyDescent="0.3">
      <c r="A100" s="31">
        <v>1959.16666666892</v>
      </c>
      <c r="B100" s="2">
        <v>0.75102061030871725</v>
      </c>
      <c r="C100" s="2">
        <v>0.14244333333333334</v>
      </c>
      <c r="D100" s="2">
        <v>9.2223477755175823E-2</v>
      </c>
      <c r="E100" s="2">
        <v>1.002836503125589</v>
      </c>
    </row>
    <row r="101" spans="1:5" x14ac:dyDescent="0.3">
      <c r="A101" s="31">
        <v>1959.2500000022501</v>
      </c>
      <c r="B101" s="2">
        <v>0.80349572527471524</v>
      </c>
      <c r="C101" s="2">
        <v>0.15042666666666674</v>
      </c>
      <c r="D101" s="2">
        <v>9.509285399290586E-2</v>
      </c>
      <c r="E101" s="2">
        <v>0.99723232765420688</v>
      </c>
    </row>
    <row r="102" spans="1:5" x14ac:dyDescent="0.3">
      <c r="A102" s="31">
        <v>1959.3333333355799</v>
      </c>
      <c r="B102" s="2">
        <v>0.8109770684818739</v>
      </c>
      <c r="C102" s="2">
        <v>0.14244333333333334</v>
      </c>
      <c r="D102" s="2">
        <v>9.8196790933020361E-2</v>
      </c>
      <c r="E102" s="2">
        <v>1.0078015867573287</v>
      </c>
    </row>
    <row r="103" spans="1:5" x14ac:dyDescent="0.3">
      <c r="A103" s="31">
        <v>1959.41666666891</v>
      </c>
      <c r="B103" s="2">
        <v>0.91506421688008632</v>
      </c>
      <c r="C103" s="2">
        <v>0.18118166666666669</v>
      </c>
      <c r="D103" s="2">
        <v>0.14307549529493713</v>
      </c>
      <c r="E103" s="2">
        <v>1.0160350760918286</v>
      </c>
    </row>
    <row r="104" spans="1:5" x14ac:dyDescent="0.3">
      <c r="A104" s="31">
        <v>1959.5000000022401</v>
      </c>
      <c r="B104" s="2">
        <v>0.92882806465995849</v>
      </c>
      <c r="C104" s="2">
        <v>7.296666666666668E-2</v>
      </c>
      <c r="D104" s="2">
        <v>6.9395872950558948E-2</v>
      </c>
      <c r="E104" s="2">
        <v>1.0100808698742128</v>
      </c>
    </row>
    <row r="105" spans="1:5" x14ac:dyDescent="0.3">
      <c r="A105" s="31">
        <v>1959.5833333355699</v>
      </c>
      <c r="B105" s="2">
        <v>0.92977718669090781</v>
      </c>
      <c r="C105" s="2">
        <v>8.5471666666666654E-2</v>
      </c>
      <c r="D105" s="2">
        <v>8.0437534044356676E-2</v>
      </c>
      <c r="E105" s="2">
        <v>1.01309046334</v>
      </c>
    </row>
    <row r="106" spans="1:5" x14ac:dyDescent="0.3">
      <c r="A106" s="31">
        <v>1959.6666666689</v>
      </c>
      <c r="B106" s="2">
        <v>0.89942161882574057</v>
      </c>
      <c r="C106" s="2">
        <v>8.0955000000000096E-2</v>
      </c>
      <c r="D106" s="2">
        <v>5.8597435911873975E-2</v>
      </c>
      <c r="E106" s="2">
        <v>1.027554976047987</v>
      </c>
    </row>
    <row r="107" spans="1:5" x14ac:dyDescent="0.3">
      <c r="A107" s="31">
        <v>1959.7500000022301</v>
      </c>
      <c r="B107" s="2">
        <v>0.88935962015522607</v>
      </c>
      <c r="C107" s="2">
        <v>8.5471666666666654E-2</v>
      </c>
      <c r="D107" s="2">
        <v>7.3775011539137292E-2</v>
      </c>
      <c r="E107" s="2">
        <v>1.0428707421002692</v>
      </c>
    </row>
    <row r="108" spans="1:5" x14ac:dyDescent="0.3">
      <c r="A108" s="31">
        <v>1959.8333333355599</v>
      </c>
      <c r="B108" s="2">
        <v>0.86229618676128139</v>
      </c>
      <c r="C108" s="2">
        <v>7.5221666666666673E-2</v>
      </c>
      <c r="D108" s="2">
        <v>6.2820154714657392E-2</v>
      </c>
      <c r="E108" s="2">
        <v>1.0482710164564855</v>
      </c>
    </row>
    <row r="109" spans="1:5" x14ac:dyDescent="0.3">
      <c r="A109" s="31">
        <v>1959.91666666889</v>
      </c>
      <c r="B109" s="2">
        <v>0.83206535501805146</v>
      </c>
      <c r="C109" s="2">
        <v>9.1205000000000078E-2</v>
      </c>
      <c r="D109" s="2">
        <v>5.9008231954474487E-2</v>
      </c>
      <c r="E109" s="2">
        <v>1.0524587606259115</v>
      </c>
    </row>
    <row r="110" spans="1:5" x14ac:dyDescent="0.3">
      <c r="A110" s="31">
        <v>1960.0000000022201</v>
      </c>
      <c r="B110" s="2">
        <v>0.79204908317653544</v>
      </c>
      <c r="C110" s="2">
        <v>7.5221666666666673E-2</v>
      </c>
      <c r="D110" s="2">
        <v>5.7913649547483258E-2</v>
      </c>
      <c r="E110" s="2">
        <v>1.0464251448145421</v>
      </c>
    </row>
    <row r="111" spans="1:5" x14ac:dyDescent="0.3">
      <c r="A111" s="31">
        <v>1960.0833333355499</v>
      </c>
      <c r="B111" s="2">
        <v>0.75980525181397596</v>
      </c>
      <c r="C111" s="2">
        <v>0.11170500000000001</v>
      </c>
      <c r="D111" s="2">
        <v>6.2203639003733179E-2</v>
      </c>
      <c r="E111" s="2">
        <v>1.0209831813028187</v>
      </c>
    </row>
    <row r="112" spans="1:5" x14ac:dyDescent="0.3">
      <c r="A112" s="31">
        <v>1960.16666666888</v>
      </c>
      <c r="B112" s="2">
        <v>0.75492540680537434</v>
      </c>
      <c r="C112" s="2">
        <v>0.14016500000000018</v>
      </c>
      <c r="D112" s="2">
        <v>8.5093394093056704E-2</v>
      </c>
      <c r="E112" s="2">
        <v>0.9991223252696102</v>
      </c>
    </row>
    <row r="113" spans="1:5" x14ac:dyDescent="0.3">
      <c r="A113" s="31">
        <v>1960.2500000022101</v>
      </c>
      <c r="B113" s="2">
        <v>0.75326508060977526</v>
      </c>
      <c r="C113" s="2">
        <v>0.15043166666666677</v>
      </c>
      <c r="D113" s="2">
        <v>8.8839879312852268E-2</v>
      </c>
      <c r="E113" s="2">
        <v>0.99470576203240013</v>
      </c>
    </row>
    <row r="114" spans="1:5" x14ac:dyDescent="0.3">
      <c r="A114" s="31">
        <v>1960.3333333355399</v>
      </c>
      <c r="B114" s="2">
        <v>0.74074812617820929</v>
      </c>
      <c r="C114" s="2">
        <v>0.15041500000000016</v>
      </c>
      <c r="D114" s="2">
        <v>8.0004630122227249E-2</v>
      </c>
      <c r="E114" s="2">
        <v>1.0088777631969148</v>
      </c>
    </row>
    <row r="115" spans="1:5" x14ac:dyDescent="0.3">
      <c r="A115" s="31">
        <v>1960.41666666887</v>
      </c>
      <c r="B115" s="2">
        <v>0.76892649261574453</v>
      </c>
      <c r="C115" s="2">
        <v>0.1709316666666667</v>
      </c>
      <c r="D115" s="2">
        <v>0.1080042600748139</v>
      </c>
      <c r="E115" s="2">
        <v>1.0123967203154476</v>
      </c>
    </row>
    <row r="116" spans="1:5" x14ac:dyDescent="0.3">
      <c r="A116" s="31">
        <v>1960.5000000022001</v>
      </c>
      <c r="B116" s="2">
        <v>0.73596751357511225</v>
      </c>
      <c r="C116" s="2">
        <v>7.2966666666666694E-2</v>
      </c>
      <c r="D116" s="2">
        <v>5.244498612742244E-2</v>
      </c>
      <c r="E116" s="2">
        <v>1.0337689185489565</v>
      </c>
    </row>
    <row r="117" spans="1:5" x14ac:dyDescent="0.3">
      <c r="A117" s="31">
        <v>1960.5833333355299</v>
      </c>
      <c r="B117" s="2">
        <v>0.75025896008985438</v>
      </c>
      <c r="C117" s="2">
        <v>6.4971666666666705E-2</v>
      </c>
      <c r="D117" s="2">
        <v>4.7819948448101897E-2</v>
      </c>
      <c r="E117" s="2">
        <v>1.0459773034140749</v>
      </c>
    </row>
    <row r="118" spans="1:5" x14ac:dyDescent="0.3">
      <c r="A118" s="31">
        <v>1960.66666666886</v>
      </c>
      <c r="B118" s="2">
        <v>0.73652848630515455</v>
      </c>
      <c r="C118" s="2">
        <v>6.4971666666666705E-2</v>
      </c>
      <c r="D118" s="2">
        <v>4.6034475673425501E-2</v>
      </c>
      <c r="E118" s="2">
        <v>1.0581946200868488</v>
      </c>
    </row>
    <row r="119" spans="1:5" x14ac:dyDescent="0.3">
      <c r="A119" s="31">
        <v>1960.7500000021901</v>
      </c>
      <c r="B119" s="2">
        <v>0.7278173925268</v>
      </c>
      <c r="C119" s="2">
        <v>8.0955000000000096E-2</v>
      </c>
      <c r="D119" s="2">
        <v>4.4808245091025156E-2</v>
      </c>
      <c r="E119" s="2">
        <v>1.0605449940221743</v>
      </c>
    </row>
    <row r="120" spans="1:5" x14ac:dyDescent="0.3">
      <c r="A120" s="31">
        <v>1960.8333333355199</v>
      </c>
      <c r="B120" s="2">
        <v>0.69551374494763785</v>
      </c>
      <c r="C120" s="2">
        <v>6.4966666666666673E-2</v>
      </c>
      <c r="D120" s="2">
        <v>4.3259660526776343E-2</v>
      </c>
      <c r="E120" s="2">
        <v>1.0470843600944331</v>
      </c>
    </row>
    <row r="121" spans="1:5" x14ac:dyDescent="0.3">
      <c r="A121" s="31">
        <v>1960.91666666885</v>
      </c>
      <c r="B121" s="2">
        <v>0.69746330085971397</v>
      </c>
      <c r="C121" s="2">
        <v>6.4971666666666705E-2</v>
      </c>
      <c r="D121" s="2">
        <v>4.2697941715582888E-2</v>
      </c>
      <c r="E121" s="2">
        <v>1.0577245171745329</v>
      </c>
    </row>
    <row r="122" spans="1:5" x14ac:dyDescent="0.3">
      <c r="A122" s="31">
        <v>1961.0000000021801</v>
      </c>
      <c r="B122" s="2">
        <v>0.68602399474835385</v>
      </c>
      <c r="C122" s="2">
        <v>6.4971666666666705E-2</v>
      </c>
      <c r="D122" s="2">
        <v>4.1935144876084206E-2</v>
      </c>
      <c r="E122" s="2">
        <v>1.0452788208122101</v>
      </c>
    </row>
    <row r="123" spans="1:5" x14ac:dyDescent="0.3">
      <c r="A123" s="31">
        <v>1961.0833333355099</v>
      </c>
      <c r="B123" s="2">
        <v>0.66863309458740261</v>
      </c>
      <c r="C123" s="2">
        <v>8.0955000000000096E-2</v>
      </c>
      <c r="D123" s="2">
        <v>4.1200462356266072E-2</v>
      </c>
      <c r="E123" s="2">
        <v>1.0139687549803589</v>
      </c>
    </row>
    <row r="124" spans="1:5" x14ac:dyDescent="0.3">
      <c r="A124" s="31">
        <v>1961.16666666884</v>
      </c>
      <c r="B124" s="2">
        <v>0.70939218701194628</v>
      </c>
      <c r="C124" s="2">
        <v>0.16971666666666643</v>
      </c>
      <c r="D124" s="2">
        <v>9.0155000047190362E-2</v>
      </c>
      <c r="E124" s="2">
        <v>0.99977121466413743</v>
      </c>
    </row>
    <row r="125" spans="1:5" x14ac:dyDescent="0.3">
      <c r="A125" s="31">
        <v>1961.2500000021701</v>
      </c>
      <c r="B125" s="2">
        <v>0.72671202634248289</v>
      </c>
      <c r="C125" s="2">
        <v>0.15722166666666648</v>
      </c>
      <c r="D125" s="2">
        <v>9.7244167435448226E-2</v>
      </c>
      <c r="E125" s="2">
        <v>0.99587607017446478</v>
      </c>
    </row>
    <row r="126" spans="1:5" x14ac:dyDescent="0.3">
      <c r="A126" s="31">
        <v>1961.3333333354999</v>
      </c>
      <c r="B126" s="2">
        <v>0.75249371974531998</v>
      </c>
      <c r="C126" s="2">
        <v>0.15947166666666646</v>
      </c>
      <c r="D126" s="2">
        <v>0.10416918055726504</v>
      </c>
      <c r="E126" s="2">
        <v>1.0026757957533121</v>
      </c>
    </row>
    <row r="127" spans="1:5" x14ac:dyDescent="0.3">
      <c r="A127" s="31">
        <v>1961.41666666883</v>
      </c>
      <c r="B127" s="2">
        <v>0.81593690752872028</v>
      </c>
      <c r="C127" s="2">
        <v>0.15722166666666648</v>
      </c>
      <c r="D127" s="2">
        <v>0.11917383293710164</v>
      </c>
      <c r="E127" s="2">
        <v>1.0035411715767466</v>
      </c>
    </row>
    <row r="128" spans="1:5" x14ac:dyDescent="0.3">
      <c r="A128" s="31">
        <v>1961.50000000216</v>
      </c>
      <c r="B128" s="2">
        <v>0.78024655427261913</v>
      </c>
      <c r="C128" s="2">
        <v>5.4700000000000103E-2</v>
      </c>
      <c r="D128" s="2">
        <v>4.3941812846591863E-2</v>
      </c>
      <c r="E128" s="2">
        <v>1.0160222648128363</v>
      </c>
    </row>
    <row r="129" spans="1:5" x14ac:dyDescent="0.3">
      <c r="A129" s="31">
        <v>1961.5833333354899</v>
      </c>
      <c r="B129" s="2">
        <v>0.85439376596995142</v>
      </c>
      <c r="C129" s="2">
        <v>5.6971666666666698E-2</v>
      </c>
      <c r="D129" s="2">
        <v>4.9742260605680488E-2</v>
      </c>
      <c r="E129" s="2">
        <v>1.0300546261859524</v>
      </c>
    </row>
    <row r="130" spans="1:5" x14ac:dyDescent="0.3">
      <c r="A130" s="31">
        <v>1961.66666666882</v>
      </c>
      <c r="B130" s="2">
        <v>0.82976786615554443</v>
      </c>
      <c r="C130" s="2">
        <v>7.2955000000000089E-2</v>
      </c>
      <c r="D130" s="2">
        <v>5.0303944171770427E-2</v>
      </c>
      <c r="E130" s="2">
        <v>1.0307550528198073</v>
      </c>
    </row>
    <row r="131" spans="1:5" x14ac:dyDescent="0.3">
      <c r="A131" s="31">
        <v>1961.75000000215</v>
      </c>
      <c r="B131" s="2">
        <v>0.77462159264187536</v>
      </c>
      <c r="C131" s="2">
        <v>5.6971666666666698E-2</v>
      </c>
      <c r="D131" s="2">
        <v>4.5764165985029137E-2</v>
      </c>
      <c r="E131" s="2">
        <v>1.0407671744303455</v>
      </c>
    </row>
    <row r="132" spans="1:5" x14ac:dyDescent="0.3">
      <c r="A132" s="31">
        <v>1961.8333333354799</v>
      </c>
      <c r="B132" s="2">
        <v>0.77966917832951121</v>
      </c>
      <c r="C132" s="2">
        <v>5.6966666666666686E-2</v>
      </c>
      <c r="D132" s="2">
        <v>4.4233228905531462E-2</v>
      </c>
      <c r="E132" s="2">
        <v>1.0582090744373513</v>
      </c>
    </row>
    <row r="133" spans="1:5" x14ac:dyDescent="0.3">
      <c r="A133" s="31">
        <v>1961.91666666881</v>
      </c>
      <c r="B133" s="2">
        <v>0.72693409348674265</v>
      </c>
      <c r="C133" s="2">
        <v>7.2955000000000089E-2</v>
      </c>
      <c r="D133" s="2">
        <v>4.5239587597643377E-2</v>
      </c>
      <c r="E133" s="2">
        <v>1.0710141964192241</v>
      </c>
    </row>
    <row r="134" spans="1:5" x14ac:dyDescent="0.3">
      <c r="A134" s="31">
        <v>1962.00000000214</v>
      </c>
      <c r="B134" s="2">
        <v>0.70362789425531014</v>
      </c>
      <c r="C134" s="2">
        <v>5.6971666666666698E-2</v>
      </c>
      <c r="D134" s="2">
        <v>4.1354178821972877E-2</v>
      </c>
      <c r="E134" s="2">
        <v>1.0457448818960304</v>
      </c>
    </row>
    <row r="135" spans="1:5" x14ac:dyDescent="0.3">
      <c r="A135" s="31">
        <v>1962.0833333354699</v>
      </c>
      <c r="B135" s="2">
        <v>0.69138291784641714</v>
      </c>
      <c r="C135" s="2">
        <v>8.3205000000000071E-2</v>
      </c>
      <c r="D135" s="2">
        <v>4.3773532960906684E-2</v>
      </c>
      <c r="E135" s="2">
        <v>1.0106472509129647</v>
      </c>
    </row>
    <row r="136" spans="1:5" x14ac:dyDescent="0.3">
      <c r="A136" s="31">
        <v>1962.1666666688</v>
      </c>
      <c r="B136" s="2">
        <v>0.72550800671394666</v>
      </c>
      <c r="C136" s="2">
        <v>0.1663933333333335</v>
      </c>
      <c r="D136" s="2">
        <v>7.5238247682938075E-2</v>
      </c>
      <c r="E136" s="2">
        <v>0.99457103834878113</v>
      </c>
    </row>
    <row r="137" spans="1:5" x14ac:dyDescent="0.3">
      <c r="A137" s="31">
        <v>1962.25000000213</v>
      </c>
      <c r="B137" s="2">
        <v>0.74907426193449578</v>
      </c>
      <c r="C137" s="2">
        <v>0.19262666666666686</v>
      </c>
      <c r="D137" s="2">
        <v>8.7125325244370999E-2</v>
      </c>
      <c r="E137" s="2">
        <v>0.98941282590883795</v>
      </c>
    </row>
    <row r="138" spans="1:5" x14ac:dyDescent="0.3">
      <c r="A138" s="31">
        <v>1962.3333333354601</v>
      </c>
      <c r="B138" s="2">
        <v>0.74127016226489229</v>
      </c>
      <c r="C138" s="2">
        <v>0.19262666666666686</v>
      </c>
      <c r="D138" s="2">
        <v>8.3164932024861096E-2</v>
      </c>
      <c r="E138" s="2">
        <v>0.9977721510534433</v>
      </c>
    </row>
    <row r="139" spans="1:5" x14ac:dyDescent="0.3">
      <c r="A139" s="31">
        <v>1962.41666666879</v>
      </c>
      <c r="B139" s="2">
        <v>0.80145312332918872</v>
      </c>
      <c r="C139" s="2">
        <v>0.20287666666666682</v>
      </c>
      <c r="D139" s="2">
        <v>9.9610539064268519E-2</v>
      </c>
      <c r="E139" s="2">
        <v>0.99634955750298904</v>
      </c>
    </row>
    <row r="140" spans="1:5" x14ac:dyDescent="0.3">
      <c r="A140" s="31">
        <v>1962.50000000212</v>
      </c>
      <c r="B140" s="2">
        <v>0.82812897470586744</v>
      </c>
      <c r="C140" s="2">
        <v>6.1507499999999896E-2</v>
      </c>
      <c r="D140" s="2">
        <v>5.8111925322109001E-2</v>
      </c>
      <c r="E140" s="2">
        <v>0.99715878368552868</v>
      </c>
    </row>
    <row r="141" spans="1:5" x14ac:dyDescent="0.3">
      <c r="A141" s="31">
        <v>1962.5833333354501</v>
      </c>
      <c r="B141" s="2">
        <v>0.81749208457987876</v>
      </c>
      <c r="C141" s="2">
        <v>6.4971666666666705E-2</v>
      </c>
      <c r="D141" s="2">
        <v>5.5612121478627922E-2</v>
      </c>
      <c r="E141" s="2">
        <v>1.0062756508385107</v>
      </c>
    </row>
    <row r="142" spans="1:5" x14ac:dyDescent="0.3">
      <c r="A142" s="31">
        <v>1962.66666666878</v>
      </c>
      <c r="B142" s="2">
        <v>0.80691346780436046</v>
      </c>
      <c r="C142" s="2">
        <v>8.5471666666666654E-2</v>
      </c>
      <c r="D142" s="2">
        <v>7.2438585811387485E-2</v>
      </c>
      <c r="E142" s="2">
        <v>1.0251143625348285</v>
      </c>
    </row>
    <row r="143" spans="1:5" x14ac:dyDescent="0.3">
      <c r="A143" s="31">
        <v>1962.75000000211</v>
      </c>
      <c r="B143" s="2">
        <v>0.80142360562387216</v>
      </c>
      <c r="C143" s="2">
        <v>6.7226666666666698E-2</v>
      </c>
      <c r="D143" s="2">
        <v>5.0231843742650079E-2</v>
      </c>
      <c r="E143" s="2">
        <v>1.0529465415452013</v>
      </c>
    </row>
    <row r="144" spans="1:5" x14ac:dyDescent="0.3">
      <c r="A144" s="31">
        <v>1962.8333333354401</v>
      </c>
      <c r="B144" s="2">
        <v>0.75757488067565271</v>
      </c>
      <c r="C144" s="2">
        <v>7.2971666666666699E-2</v>
      </c>
      <c r="D144" s="2">
        <v>5.4245018917777006E-2</v>
      </c>
      <c r="E144" s="2">
        <v>1.0627905786102338</v>
      </c>
    </row>
    <row r="145" spans="1:5" x14ac:dyDescent="0.3">
      <c r="A145" s="31">
        <v>1962.9166666687699</v>
      </c>
      <c r="B145" s="2">
        <v>0.72442965553972616</v>
      </c>
      <c r="C145" s="2">
        <v>8.5471666666666654E-2</v>
      </c>
      <c r="D145" s="2">
        <v>6.1340021917299405E-2</v>
      </c>
      <c r="E145" s="2">
        <v>1.0648137145011498</v>
      </c>
    </row>
    <row r="146" spans="1:5" x14ac:dyDescent="0.3">
      <c r="A146" s="31">
        <v>1963.0000000021</v>
      </c>
      <c r="B146" s="2">
        <v>0.67795020321530719</v>
      </c>
      <c r="C146" s="2">
        <v>5.6971666666666698E-2</v>
      </c>
      <c r="D146" s="2">
        <v>3.7426776952037506E-2</v>
      </c>
      <c r="E146" s="2">
        <v>1.0509948004421097</v>
      </c>
    </row>
    <row r="147" spans="1:5" x14ac:dyDescent="0.3">
      <c r="A147" s="31">
        <v>1963.0833333354301</v>
      </c>
      <c r="B147" s="2">
        <v>0.63405455206005013</v>
      </c>
      <c r="C147" s="2">
        <v>9.572666666666664E-2</v>
      </c>
      <c r="D147" s="2">
        <v>6.1575940797990246E-2</v>
      </c>
      <c r="E147" s="2">
        <v>1.0213712337164313</v>
      </c>
    </row>
    <row r="148" spans="1:5" x14ac:dyDescent="0.3">
      <c r="A148" s="31">
        <v>1963.1666666687599</v>
      </c>
      <c r="B148" s="2">
        <v>0.67689350259621273</v>
      </c>
      <c r="C148" s="2">
        <v>8.5471666666666654E-2</v>
      </c>
      <c r="D148" s="2">
        <v>4.7992464762384446E-2</v>
      </c>
      <c r="E148" s="2">
        <v>0.98581289023830754</v>
      </c>
    </row>
    <row r="149" spans="1:5" x14ac:dyDescent="0.3">
      <c r="A149" s="31">
        <v>1963.25000000209</v>
      </c>
      <c r="B149" s="2">
        <v>0.6789468958435626</v>
      </c>
      <c r="C149" s="2">
        <v>7.7471666666666647E-2</v>
      </c>
      <c r="D149" s="2">
        <v>4.6398933187397483E-2</v>
      </c>
      <c r="E149" s="2">
        <v>0.98440219160771225</v>
      </c>
    </row>
    <row r="150" spans="1:5" x14ac:dyDescent="0.3">
      <c r="A150" s="31">
        <v>1963.3333333354201</v>
      </c>
      <c r="B150" s="2">
        <v>0.7388568546994323</v>
      </c>
      <c r="C150" s="2">
        <v>8.5471666666666654E-2</v>
      </c>
      <c r="D150" s="2">
        <v>5.4641670005402328E-2</v>
      </c>
      <c r="E150" s="2">
        <v>0.98932458411019164</v>
      </c>
    </row>
    <row r="151" spans="1:5" x14ac:dyDescent="0.3">
      <c r="A151" s="31">
        <v>1963.4166666687499</v>
      </c>
      <c r="B151" s="2">
        <v>0.75834344852997149</v>
      </c>
      <c r="C151" s="2">
        <v>9.5721666666666608E-2</v>
      </c>
      <c r="D151" s="2">
        <v>6.7121351743593974E-2</v>
      </c>
      <c r="E151" s="2">
        <v>1.0009330387328481</v>
      </c>
    </row>
    <row r="152" spans="1:5" x14ac:dyDescent="0.3">
      <c r="A152" s="31">
        <v>1963.50000000208</v>
      </c>
      <c r="B152" s="2">
        <v>0.68338443070001487</v>
      </c>
      <c r="C152" s="2">
        <v>7.2960000000000094E-2</v>
      </c>
      <c r="D152" s="2">
        <v>4.3206306251327577E-2</v>
      </c>
      <c r="E152" s="2">
        <v>1.0059299243891129</v>
      </c>
    </row>
    <row r="153" spans="1:5" x14ac:dyDescent="0.3">
      <c r="A153" s="31">
        <v>1963.5833333354101</v>
      </c>
      <c r="B153" s="2">
        <v>0.7491200912453877</v>
      </c>
      <c r="C153" s="2">
        <v>0.10144333333333344</v>
      </c>
      <c r="D153" s="2">
        <v>6.2764483950381353E-2</v>
      </c>
      <c r="E153" s="2">
        <v>1.0135886085499324</v>
      </c>
    </row>
    <row r="154" spans="1:5" x14ac:dyDescent="0.3">
      <c r="A154" s="31">
        <v>1963.6666666687399</v>
      </c>
      <c r="B154" s="2">
        <v>0.75024511129853411</v>
      </c>
      <c r="C154" s="2">
        <v>8.3205000000000057E-2</v>
      </c>
      <c r="D154" s="2">
        <v>5.5515182980632939E-2</v>
      </c>
      <c r="E154" s="2">
        <v>1.0315718203130322</v>
      </c>
    </row>
    <row r="155" spans="1:5" x14ac:dyDescent="0.3">
      <c r="A155" s="31">
        <v>1963.75000000207</v>
      </c>
      <c r="B155" s="2">
        <v>0.74644909536594695</v>
      </c>
      <c r="C155" s="2">
        <v>0.11169333333333342</v>
      </c>
      <c r="D155" s="2">
        <v>7.1161602581556863E-2</v>
      </c>
      <c r="E155" s="2">
        <v>1.0436775175860369</v>
      </c>
    </row>
    <row r="156" spans="1:5" x14ac:dyDescent="0.3">
      <c r="A156" s="31">
        <v>1963.8333333354001</v>
      </c>
      <c r="B156" s="2">
        <v>0.71528326052911939</v>
      </c>
      <c r="C156" s="2">
        <v>9.3460000000000057E-2</v>
      </c>
      <c r="D156" s="2">
        <v>5.9828620071449866E-2</v>
      </c>
      <c r="E156" s="2">
        <v>1.0479389901432501</v>
      </c>
    </row>
    <row r="157" spans="1:5" x14ac:dyDescent="0.3">
      <c r="A157" s="31">
        <v>1963.9166666687299</v>
      </c>
      <c r="B157" s="2">
        <v>0.67252380516593158</v>
      </c>
      <c r="C157" s="2">
        <v>9.1188333333333427E-2</v>
      </c>
      <c r="D157" s="2">
        <v>4.6610753932288744E-2</v>
      </c>
      <c r="E157" s="2">
        <v>1.0495659734428424</v>
      </c>
    </row>
    <row r="158" spans="1:5" x14ac:dyDescent="0.3">
      <c r="A158" s="31">
        <v>1964.00000000206</v>
      </c>
      <c r="B158" s="2">
        <v>0.60503048425588013</v>
      </c>
      <c r="C158" s="2">
        <v>9.3460000000000057E-2</v>
      </c>
      <c r="D158" s="2">
        <v>5.0323735441885592E-2</v>
      </c>
      <c r="E158" s="2">
        <v>1.0330697961230133</v>
      </c>
    </row>
    <row r="159" spans="1:5" x14ac:dyDescent="0.3">
      <c r="A159" s="31">
        <v>1964.0833333353901</v>
      </c>
      <c r="B159" s="2">
        <v>0.53453774434126244</v>
      </c>
      <c r="C159" s="2">
        <v>0.11169333333333342</v>
      </c>
      <c r="D159" s="2">
        <v>5.2849519168891669E-2</v>
      </c>
      <c r="E159" s="2">
        <v>0.99498546180250325</v>
      </c>
    </row>
    <row r="160" spans="1:5" x14ac:dyDescent="0.3">
      <c r="A160" s="31">
        <v>1964.1666666687199</v>
      </c>
      <c r="B160" s="2">
        <v>0.53910880589103904</v>
      </c>
      <c r="C160" s="2">
        <v>0.11395500000000001</v>
      </c>
      <c r="D160" s="2">
        <v>4.0302370226426097E-2</v>
      </c>
      <c r="E160" s="2">
        <v>0.97800968457588977</v>
      </c>
    </row>
    <row r="161" spans="1:5" x14ac:dyDescent="0.3">
      <c r="A161" s="31">
        <v>1964.25000000205</v>
      </c>
      <c r="B161" s="2">
        <v>0.57012105351125342</v>
      </c>
      <c r="C161" s="2">
        <v>0.13792166666666675</v>
      </c>
      <c r="D161" s="2">
        <v>4.3645216405841181E-2</v>
      </c>
      <c r="E161" s="2">
        <v>0.98123332504394511</v>
      </c>
    </row>
    <row r="162" spans="1:5" x14ac:dyDescent="0.3">
      <c r="A162" s="31">
        <v>1964.3333333353801</v>
      </c>
      <c r="B162" s="2">
        <v>0.60010985546249407</v>
      </c>
      <c r="C162" s="2">
        <v>0.12193833333333337</v>
      </c>
      <c r="D162" s="2">
        <v>4.7179845846918873E-2</v>
      </c>
      <c r="E162" s="2">
        <v>0.98303947217140208</v>
      </c>
    </row>
    <row r="163" spans="1:5" x14ac:dyDescent="0.3">
      <c r="A163" s="31">
        <v>1964.4166666687099</v>
      </c>
      <c r="B163" s="2">
        <v>0.65132135165782545</v>
      </c>
      <c r="C163" s="2">
        <v>0.16867166666666669</v>
      </c>
      <c r="D163" s="2">
        <v>6.5874215265920466E-2</v>
      </c>
      <c r="E163" s="2">
        <v>0.98500704342622469</v>
      </c>
    </row>
    <row r="164" spans="1:5" x14ac:dyDescent="0.3">
      <c r="A164" s="31">
        <v>1964.50000000204</v>
      </c>
      <c r="B164" s="2">
        <v>0.54784652108791598</v>
      </c>
      <c r="C164" s="2">
        <v>7.8675000000000134E-2</v>
      </c>
      <c r="D164" s="2">
        <v>3.922061450231501E-2</v>
      </c>
      <c r="E164" s="2">
        <v>0.99587426606473783</v>
      </c>
    </row>
    <row r="165" spans="1:5" x14ac:dyDescent="0.3">
      <c r="A165" s="31">
        <v>1964.5833333353701</v>
      </c>
      <c r="B165" s="2">
        <v>0.68880765342179673</v>
      </c>
      <c r="C165" s="2">
        <v>8.3205000000000057E-2</v>
      </c>
      <c r="D165" s="2">
        <v>5.1431805417389058E-2</v>
      </c>
      <c r="E165" s="2">
        <v>1.0014056687295632</v>
      </c>
    </row>
    <row r="166" spans="1:5" x14ac:dyDescent="0.3">
      <c r="A166" s="31">
        <v>1964.6666666686999</v>
      </c>
      <c r="B166" s="2">
        <v>0.69555747332025286</v>
      </c>
      <c r="C166" s="2">
        <v>9.345500000000001E-2</v>
      </c>
      <c r="D166" s="2">
        <v>5.6476904613578793E-2</v>
      </c>
      <c r="E166" s="2">
        <v>1.0118436965062121</v>
      </c>
    </row>
    <row r="167" spans="1:5" x14ac:dyDescent="0.3">
      <c r="A167" s="31">
        <v>1964.75000000203</v>
      </c>
      <c r="B167" s="2">
        <v>0.71638514115768526</v>
      </c>
      <c r="C167" s="2">
        <v>9.1188333333333427E-2</v>
      </c>
      <c r="D167" s="2">
        <v>4.964875542198418E-2</v>
      </c>
      <c r="E167" s="2">
        <v>1.0258188718463954</v>
      </c>
    </row>
    <row r="168" spans="1:5" x14ac:dyDescent="0.3">
      <c r="A168" s="31">
        <v>1964.8333333353601</v>
      </c>
      <c r="B168" s="2">
        <v>0.6702759274340776</v>
      </c>
      <c r="C168" s="2">
        <v>8.3200000000000038E-2</v>
      </c>
      <c r="D168" s="2">
        <v>4.5946105353728173E-2</v>
      </c>
      <c r="E168" s="2">
        <v>1.0405986574760842</v>
      </c>
    </row>
    <row r="169" spans="1:5" x14ac:dyDescent="0.3">
      <c r="A169" s="31">
        <v>1964.9166666686899</v>
      </c>
      <c r="B169" s="2">
        <v>0.64413313414528928</v>
      </c>
      <c r="C169" s="2">
        <v>9.345500000000001E-2</v>
      </c>
      <c r="D169" s="2">
        <v>4.8730040058779074E-2</v>
      </c>
      <c r="E169" s="2">
        <v>1.0594436797654663</v>
      </c>
    </row>
    <row r="170" spans="1:5" x14ac:dyDescent="0.3">
      <c r="A170" s="31">
        <v>1965.00000000202</v>
      </c>
      <c r="B170" s="2">
        <v>0.61789969952983603</v>
      </c>
      <c r="C170" s="2">
        <v>8.3205000000000057E-2</v>
      </c>
      <c r="D170" s="2">
        <v>4.1609701878339143E-2</v>
      </c>
      <c r="E170" s="2">
        <v>1.0718102200604289</v>
      </c>
    </row>
    <row r="171" spans="1:5" x14ac:dyDescent="0.3">
      <c r="A171" s="31">
        <v>1965.0833333353501</v>
      </c>
      <c r="B171" s="2">
        <v>0.55834361391283982</v>
      </c>
      <c r="C171" s="2">
        <v>0.10717166666666682</v>
      </c>
      <c r="D171" s="2">
        <v>3.9039564775448822E-2</v>
      </c>
      <c r="E171" s="2">
        <v>0.99322731131721875</v>
      </c>
    </row>
    <row r="172" spans="1:5" x14ac:dyDescent="0.3">
      <c r="A172" s="31">
        <v>1965.1666666686799</v>
      </c>
      <c r="B172" s="2">
        <v>0.55807855994822131</v>
      </c>
      <c r="C172" s="2">
        <v>0.14019333333333339</v>
      </c>
      <c r="D172" s="2">
        <v>5.0521276718070461E-2</v>
      </c>
      <c r="E172" s="2">
        <v>0.97158884604625018</v>
      </c>
    </row>
    <row r="173" spans="1:5" x14ac:dyDescent="0.3">
      <c r="A173" s="31">
        <v>1965.25000000201</v>
      </c>
      <c r="B173" s="2">
        <v>0.58278288155938851</v>
      </c>
      <c r="C173" s="2">
        <v>0.17094833333333334</v>
      </c>
      <c r="D173" s="2">
        <v>7.6497474869526599E-2</v>
      </c>
      <c r="E173" s="2">
        <v>0.9728592445693055</v>
      </c>
    </row>
    <row r="174" spans="1:5" x14ac:dyDescent="0.3">
      <c r="A174" s="31">
        <v>1965.3333333353401</v>
      </c>
      <c r="B174" s="2">
        <v>0.62237227380805171</v>
      </c>
      <c r="C174" s="2">
        <v>0.15044833333333338</v>
      </c>
      <c r="D174" s="2">
        <v>6.8510872321647584E-2</v>
      </c>
      <c r="E174" s="2">
        <v>0.98129839975889344</v>
      </c>
    </row>
    <row r="175" spans="1:5" x14ac:dyDescent="0.3">
      <c r="A175" s="31">
        <v>1965.4166666686699</v>
      </c>
      <c r="B175" s="2">
        <v>0.71171176354695698</v>
      </c>
      <c r="C175" s="2">
        <v>0.20516500000000007</v>
      </c>
      <c r="D175" s="2">
        <v>9.1178294647997163E-2</v>
      </c>
      <c r="E175" s="2">
        <v>0.98598669926106774</v>
      </c>
    </row>
    <row r="176" spans="1:5" x14ac:dyDescent="0.3">
      <c r="A176" s="31">
        <v>1965.500000002</v>
      </c>
      <c r="B176" s="2">
        <v>0.78307420046241916</v>
      </c>
      <c r="C176" s="2">
        <v>9.224999999999986E-2</v>
      </c>
      <c r="D176" s="2">
        <v>6.2961380382375892E-2</v>
      </c>
      <c r="E176" s="2">
        <v>0.99323948510137472</v>
      </c>
    </row>
    <row r="177" spans="1:5" x14ac:dyDescent="0.3">
      <c r="A177" s="31">
        <v>1965.5833333353301</v>
      </c>
      <c r="B177" s="2">
        <v>0.72160383255965888</v>
      </c>
      <c r="C177" s="2">
        <v>6.722166666666668E-2</v>
      </c>
      <c r="D177" s="2">
        <v>4.2687097398012942E-2</v>
      </c>
      <c r="E177" s="2">
        <v>0.99952909177231886</v>
      </c>
    </row>
    <row r="178" spans="1:5" x14ac:dyDescent="0.3">
      <c r="A178" s="31">
        <v>1965.6666666686599</v>
      </c>
      <c r="B178" s="2">
        <v>0.73626571799612572</v>
      </c>
      <c r="C178" s="2">
        <v>0.11396666666666662</v>
      </c>
      <c r="D178" s="2">
        <v>6.8329195965120118E-2</v>
      </c>
      <c r="E178" s="2">
        <v>1.010388831721307</v>
      </c>
    </row>
    <row r="179" spans="1:5" x14ac:dyDescent="0.3">
      <c r="A179" s="31">
        <v>1965.75000000199</v>
      </c>
      <c r="B179" s="2">
        <v>0.69939938264683221</v>
      </c>
      <c r="C179" s="2">
        <v>6.722166666666668E-2</v>
      </c>
      <c r="D179" s="2">
        <v>4.0612669327149388E-2</v>
      </c>
      <c r="E179" s="2">
        <v>1.0211507506328248</v>
      </c>
    </row>
    <row r="180" spans="1:5" x14ac:dyDescent="0.3">
      <c r="A180" s="31">
        <v>1965.83333333532</v>
      </c>
      <c r="B180" s="2">
        <v>0.69139814422211876</v>
      </c>
      <c r="C180" s="2">
        <v>7.6882499999999909E-2</v>
      </c>
      <c r="D180" s="2">
        <v>5.4474006025169469E-2</v>
      </c>
      <c r="E180" s="2">
        <v>1.0256523294290576</v>
      </c>
    </row>
    <row r="181" spans="1:5" x14ac:dyDescent="0.3">
      <c r="A181" s="31">
        <v>1965.9166666686499</v>
      </c>
      <c r="B181" s="2">
        <v>0.57623778517417235</v>
      </c>
      <c r="C181" s="2">
        <v>9.571666666666663E-2</v>
      </c>
      <c r="D181" s="2">
        <v>4.4897965031891605E-2</v>
      </c>
      <c r="E181" s="2">
        <v>1.0353842482094457</v>
      </c>
    </row>
    <row r="182" spans="1:5" x14ac:dyDescent="0.3">
      <c r="A182" s="31">
        <v>1966.00000000198</v>
      </c>
      <c r="B182" s="2">
        <v>0.64493570127097855</v>
      </c>
      <c r="C182" s="2">
        <v>7.6882499999999909E-2</v>
      </c>
      <c r="D182" s="2">
        <v>4.919417415850405E-2</v>
      </c>
      <c r="E182" s="2">
        <v>1.0325472054380402</v>
      </c>
    </row>
    <row r="183" spans="1:5" x14ac:dyDescent="0.3">
      <c r="A183" s="31">
        <v>1966.08333333531</v>
      </c>
      <c r="B183" s="2">
        <v>0.61613667736710831</v>
      </c>
      <c r="C183" s="2">
        <v>8.5471666666666668E-2</v>
      </c>
      <c r="D183" s="2">
        <v>4.648717665532786E-2</v>
      </c>
      <c r="E183" s="2">
        <v>1.0083799909677673</v>
      </c>
    </row>
    <row r="184" spans="1:5" x14ac:dyDescent="0.3">
      <c r="A184" s="31">
        <v>1966.1666666686399</v>
      </c>
      <c r="B184" s="2">
        <v>0.62162081511258116</v>
      </c>
      <c r="C184" s="2">
        <v>0.13564333333333356</v>
      </c>
      <c r="D184" s="2">
        <v>6.5806381134450156E-2</v>
      </c>
      <c r="E184" s="2">
        <v>0.99042331568596775</v>
      </c>
    </row>
    <row r="185" spans="1:5" x14ac:dyDescent="0.3">
      <c r="A185" s="31">
        <v>1966.25000000197</v>
      </c>
      <c r="B185" s="2">
        <v>0.64014246519337548</v>
      </c>
      <c r="C185" s="2">
        <v>0.16187666666666692</v>
      </c>
      <c r="D185" s="2">
        <v>7.3020834201064463E-2</v>
      </c>
      <c r="E185" s="2">
        <v>0.98605903198091038</v>
      </c>
    </row>
    <row r="186" spans="1:5" x14ac:dyDescent="0.3">
      <c r="A186" s="31">
        <v>1966.33333333531</v>
      </c>
      <c r="B186" s="2">
        <v>0.64360320676002092</v>
      </c>
      <c r="C186" s="2">
        <v>0.15162666666666694</v>
      </c>
      <c r="D186" s="2">
        <v>6.5774827196261598E-2</v>
      </c>
      <c r="E186" s="2">
        <v>0.99640840271891218</v>
      </c>
    </row>
    <row r="187" spans="1:5" x14ac:dyDescent="0.3">
      <c r="A187" s="31">
        <v>1966.4166666686399</v>
      </c>
      <c r="B187" s="2">
        <v>0.68018981092615771</v>
      </c>
      <c r="C187" s="2">
        <v>0.16187666666666692</v>
      </c>
      <c r="D187" s="2">
        <v>8.0646551000016678E-2</v>
      </c>
      <c r="E187" s="2">
        <v>1.0031719024955292</v>
      </c>
    </row>
    <row r="188" spans="1:5" x14ac:dyDescent="0.3">
      <c r="A188" s="31">
        <v>1966.50000000197</v>
      </c>
      <c r="B188" s="2">
        <v>0.65885952206601095</v>
      </c>
      <c r="C188" s="2">
        <v>7.865000000000022E-2</v>
      </c>
      <c r="D188" s="2">
        <v>4.2735138870098055E-2</v>
      </c>
      <c r="E188" s="2">
        <v>1.0053088319387264</v>
      </c>
    </row>
    <row r="189" spans="1:5" x14ac:dyDescent="0.3">
      <c r="A189" s="31">
        <v>1966.5833333353</v>
      </c>
      <c r="B189" s="2">
        <v>0.69291420784312796</v>
      </c>
      <c r="C189" s="2">
        <v>8.3205000000000057E-2</v>
      </c>
      <c r="D189" s="2">
        <v>5.2993898620291059E-2</v>
      </c>
      <c r="E189" s="2">
        <v>1.0122754214388141</v>
      </c>
    </row>
    <row r="190" spans="1:5" x14ac:dyDescent="0.3">
      <c r="A190" s="31">
        <v>1966.6666666686299</v>
      </c>
      <c r="B190" s="2">
        <v>0.68692204418816838</v>
      </c>
      <c r="C190" s="2">
        <v>8.3210000000000076E-2</v>
      </c>
      <c r="D190" s="2">
        <v>4.9867275395384499E-2</v>
      </c>
      <c r="E190" s="2">
        <v>1.0301799423992637</v>
      </c>
    </row>
    <row r="191" spans="1:5" x14ac:dyDescent="0.3">
      <c r="A191" s="31">
        <v>1966.75000000196</v>
      </c>
      <c r="B191" s="2">
        <v>0.69113488386925992</v>
      </c>
      <c r="C191" s="2">
        <v>8.3205000000000057E-2</v>
      </c>
      <c r="D191" s="2">
        <v>4.7128707729918749E-2</v>
      </c>
      <c r="E191" s="2">
        <v>1.0534317666441293</v>
      </c>
    </row>
    <row r="192" spans="1:5" x14ac:dyDescent="0.3">
      <c r="A192" s="31">
        <v>1966.83333333529</v>
      </c>
      <c r="B192" s="2">
        <v>0.64821287391725924</v>
      </c>
      <c r="C192" s="2">
        <v>9.4025000000000178E-2</v>
      </c>
      <c r="D192" s="2">
        <v>4.0507979299778021E-2</v>
      </c>
      <c r="E192" s="2">
        <v>1.0717556237797166</v>
      </c>
    </row>
    <row r="193" spans="1:5" x14ac:dyDescent="0.3">
      <c r="A193" s="31">
        <v>1966.9166666686201</v>
      </c>
      <c r="B193" s="2">
        <v>0.63761614847017978</v>
      </c>
      <c r="C193" s="2">
        <v>8.3205000000000057E-2</v>
      </c>
      <c r="D193" s="2">
        <v>4.4403373581302079E-2</v>
      </c>
      <c r="E193" s="2">
        <v>1.0651382115689316</v>
      </c>
    </row>
    <row r="194" spans="1:5" x14ac:dyDescent="0.3">
      <c r="A194" s="31">
        <v>1967.00000000195</v>
      </c>
      <c r="B194" s="2">
        <v>0.61907949947977048</v>
      </c>
      <c r="C194" s="2">
        <v>8.3210000000000076E-2</v>
      </c>
      <c r="D194" s="2">
        <v>4.4431758303979607E-2</v>
      </c>
      <c r="E194" s="2">
        <v>1.0544652832584875</v>
      </c>
    </row>
    <row r="195" spans="1:5" x14ac:dyDescent="0.3">
      <c r="A195" s="31">
        <v>1967.08333333528</v>
      </c>
      <c r="B195" s="2">
        <v>0.59015697808521661</v>
      </c>
      <c r="C195" s="2">
        <v>8.3205000000000057E-2</v>
      </c>
      <c r="D195" s="2">
        <v>4.2991948199705789E-2</v>
      </c>
      <c r="E195" s="2">
        <v>1.0247132315230012</v>
      </c>
    </row>
    <row r="196" spans="1:5" x14ac:dyDescent="0.3">
      <c r="A196" s="31">
        <v>1967.1666666686101</v>
      </c>
      <c r="B196" s="2">
        <v>0.60325586917467267</v>
      </c>
      <c r="C196" s="2">
        <v>0.10942166666666681</v>
      </c>
      <c r="D196" s="2">
        <v>4.4637446031877026E-2</v>
      </c>
      <c r="E196" s="2">
        <v>0.99686416941299083</v>
      </c>
    </row>
    <row r="197" spans="1:5" x14ac:dyDescent="0.3">
      <c r="A197" s="31">
        <v>1967.25000000194</v>
      </c>
      <c r="B197" s="2">
        <v>0.64938874898476473</v>
      </c>
      <c r="C197" s="2">
        <v>0.14363833333333353</v>
      </c>
      <c r="D197" s="2">
        <v>5.7867960633181136E-2</v>
      </c>
      <c r="E197" s="2">
        <v>0.99349645377804752</v>
      </c>
    </row>
    <row r="198" spans="1:5" x14ac:dyDescent="0.3">
      <c r="A198" s="31">
        <v>1967.33333333527</v>
      </c>
      <c r="B198" s="2">
        <v>0.72878524778530807</v>
      </c>
      <c r="C198" s="2">
        <v>0.13338833333333355</v>
      </c>
      <c r="D198" s="2">
        <v>5.5372832062731192E-2</v>
      </c>
      <c r="E198" s="2">
        <v>1.0018800468195463</v>
      </c>
    </row>
    <row r="199" spans="1:5" x14ac:dyDescent="0.3">
      <c r="A199" s="31">
        <v>1967.4166666686001</v>
      </c>
      <c r="B199" s="2">
        <v>0.80312780886289092</v>
      </c>
      <c r="C199" s="2">
        <v>0.16414333333333353</v>
      </c>
      <c r="D199" s="2">
        <v>9.2805620058215813E-2</v>
      </c>
      <c r="E199" s="2">
        <v>1.0069688413082136</v>
      </c>
    </row>
    <row r="200" spans="1:5" x14ac:dyDescent="0.3">
      <c r="A200" s="31">
        <v>1967.5000000019299</v>
      </c>
      <c r="B200" s="2">
        <v>0.74581293841509799</v>
      </c>
      <c r="C200" s="2">
        <v>9.2249999999999804E-2</v>
      </c>
      <c r="D200" s="2">
        <v>5.2895816905653571E-2</v>
      </c>
      <c r="E200" s="2">
        <v>1.0104076170845879</v>
      </c>
    </row>
    <row r="201" spans="1:5" x14ac:dyDescent="0.3">
      <c r="A201" s="31">
        <v>1967.58333333526</v>
      </c>
      <c r="B201" s="2">
        <v>0.76085059999396298</v>
      </c>
      <c r="C201" s="2">
        <v>7.6882499999999881E-2</v>
      </c>
      <c r="D201" s="2">
        <v>5.3090394945038338E-2</v>
      </c>
      <c r="E201" s="2">
        <v>1.0157956594561321</v>
      </c>
    </row>
    <row r="202" spans="1:5" x14ac:dyDescent="0.3">
      <c r="A202" s="31">
        <v>1967.6666666685901</v>
      </c>
      <c r="B202" s="2">
        <v>0.74117652100536391</v>
      </c>
      <c r="C202" s="2">
        <v>8.5471666666666654E-2</v>
      </c>
      <c r="D202" s="2">
        <v>5.4335805180075157E-2</v>
      </c>
      <c r="E202" s="2">
        <v>1.0264697245981385</v>
      </c>
    </row>
    <row r="203" spans="1:5" x14ac:dyDescent="0.3">
      <c r="A203" s="31">
        <v>1967.7500000019199</v>
      </c>
      <c r="B203" s="2">
        <v>0.722985767047294</v>
      </c>
      <c r="C203" s="2">
        <v>7.6882499999999881E-2</v>
      </c>
      <c r="D203" s="2">
        <v>4.7236974248317215E-2</v>
      </c>
      <c r="E203" s="2">
        <v>1.0270187459109639</v>
      </c>
    </row>
    <row r="204" spans="1:5" x14ac:dyDescent="0.3">
      <c r="A204" s="31">
        <v>1967.83333333525</v>
      </c>
      <c r="B204" s="2">
        <v>0.62428943014522609</v>
      </c>
      <c r="C204" s="2">
        <v>9.2249999999999804E-2</v>
      </c>
      <c r="D204" s="2">
        <v>3.8393799953931315E-2</v>
      </c>
      <c r="E204" s="2">
        <v>1.0387032519092849</v>
      </c>
    </row>
    <row r="205" spans="1:5" x14ac:dyDescent="0.3">
      <c r="A205" s="31">
        <v>1967.9166666685801</v>
      </c>
      <c r="B205" s="2">
        <v>0.68365901084548886</v>
      </c>
      <c r="C205" s="2">
        <v>8.5471666666666654E-2</v>
      </c>
      <c r="D205" s="2">
        <v>4.880173617884357E-2</v>
      </c>
      <c r="E205" s="2">
        <v>1.0487835118762749</v>
      </c>
    </row>
    <row r="206" spans="1:5" x14ac:dyDescent="0.3">
      <c r="A206" s="31">
        <v>1968.0000000019099</v>
      </c>
      <c r="B206" s="2">
        <v>0.65272538061251051</v>
      </c>
      <c r="C206" s="2">
        <v>7.6882499999999881E-2</v>
      </c>
      <c r="D206" s="2">
        <v>4.130927016207657E-2</v>
      </c>
      <c r="E206" s="2">
        <v>1.0400377752654684</v>
      </c>
    </row>
    <row r="207" spans="1:5" x14ac:dyDescent="0.3">
      <c r="A207" s="31">
        <v>1968.08333333524</v>
      </c>
      <c r="B207" s="2">
        <v>0.62947764180502108</v>
      </c>
      <c r="C207" s="2">
        <v>8.5471666666666654E-2</v>
      </c>
      <c r="D207" s="2">
        <v>4.5524446374222788E-2</v>
      </c>
      <c r="E207" s="2">
        <v>1.0122134668463449</v>
      </c>
    </row>
    <row r="208" spans="1:5" x14ac:dyDescent="0.3">
      <c r="A208" s="31">
        <v>1968.1666666685701</v>
      </c>
      <c r="B208" s="2">
        <v>0.63616670055409053</v>
      </c>
      <c r="C208" s="2">
        <v>8.7726666666666661E-2</v>
      </c>
      <c r="D208" s="2">
        <v>5.1215311683335339E-2</v>
      </c>
      <c r="E208" s="2">
        <v>0.98494024627860721</v>
      </c>
    </row>
    <row r="209" spans="1:5" x14ac:dyDescent="0.3">
      <c r="A209" s="31">
        <v>1968.2500000018999</v>
      </c>
      <c r="B209" s="2">
        <v>0.71284282766243334</v>
      </c>
      <c r="C209" s="2">
        <v>0.11623166666666662</v>
      </c>
      <c r="D209" s="2">
        <v>6.4327946291765872E-2</v>
      </c>
      <c r="E209" s="2">
        <v>0.98413912761725308</v>
      </c>
    </row>
    <row r="210" spans="1:5" x14ac:dyDescent="0.3">
      <c r="A210" s="31">
        <v>1968.33333333523</v>
      </c>
      <c r="B210" s="2">
        <v>0.69654490138079728</v>
      </c>
      <c r="C210" s="2">
        <v>0.11623166666666662</v>
      </c>
      <c r="D210" s="2">
        <v>7.1618315490272075E-2</v>
      </c>
      <c r="E210" s="2">
        <v>0.99044084052602221</v>
      </c>
    </row>
    <row r="211" spans="1:5" x14ac:dyDescent="0.3">
      <c r="A211" s="31">
        <v>1968.4166666685601</v>
      </c>
      <c r="B211" s="2">
        <v>0.85471134837833029</v>
      </c>
      <c r="C211" s="2">
        <v>0.13673166666666658</v>
      </c>
      <c r="D211" s="2">
        <v>9.6304201282802079E-2</v>
      </c>
      <c r="E211" s="2">
        <v>0.99504712483753188</v>
      </c>
    </row>
    <row r="212" spans="1:5" x14ac:dyDescent="0.3">
      <c r="A212" s="31">
        <v>1968.5000000018899</v>
      </c>
      <c r="B212" s="2">
        <v>0.96231389705311832</v>
      </c>
      <c r="C212" s="2">
        <v>5.4700000000000054E-2</v>
      </c>
      <c r="D212" s="2">
        <v>4.8299317815545598E-2</v>
      </c>
      <c r="E212" s="2">
        <v>1.0037566251219856</v>
      </c>
    </row>
    <row r="213" spans="1:5" x14ac:dyDescent="0.3">
      <c r="A213" s="31">
        <v>1968.58333333522</v>
      </c>
      <c r="B213" s="2">
        <v>0.77596773960621312</v>
      </c>
      <c r="C213" s="2">
        <v>7.5221666666666673E-2</v>
      </c>
      <c r="D213" s="2">
        <v>5.752165772376213E-2</v>
      </c>
      <c r="E213" s="2">
        <v>1.0240160544616914</v>
      </c>
    </row>
    <row r="214" spans="1:5" x14ac:dyDescent="0.3">
      <c r="A214" s="31">
        <v>1968.6666666685501</v>
      </c>
      <c r="B214" s="2">
        <v>0.89168158302080691</v>
      </c>
      <c r="C214" s="2">
        <v>7.865000000000022E-2</v>
      </c>
      <c r="D214" s="2">
        <v>4.4341643131416392E-2</v>
      </c>
      <c r="E214" s="2">
        <v>1.0283532390962542</v>
      </c>
    </row>
    <row r="215" spans="1:5" x14ac:dyDescent="0.3">
      <c r="A215" s="31">
        <v>1968.7500000018799</v>
      </c>
      <c r="B215" s="2">
        <v>0.71480388636777581</v>
      </c>
      <c r="C215" s="2">
        <v>7.5221666666666673E-2</v>
      </c>
      <c r="D215" s="2">
        <v>5.0666636322071079E-2</v>
      </c>
      <c r="E215" s="2">
        <v>1.0410121430321766</v>
      </c>
    </row>
    <row r="216" spans="1:5" x14ac:dyDescent="0.3">
      <c r="A216" s="31">
        <v>1968.83333333521</v>
      </c>
      <c r="B216" s="2">
        <v>0.64203735893926062</v>
      </c>
      <c r="C216" s="2">
        <v>5.6971666666666691E-2</v>
      </c>
      <c r="D216" s="2">
        <v>3.589688531081231E-2</v>
      </c>
      <c r="E216" s="2">
        <v>1.0502927999829057</v>
      </c>
    </row>
    <row r="217" spans="1:5" x14ac:dyDescent="0.3">
      <c r="A217" s="31">
        <v>1968.9166666685401</v>
      </c>
      <c r="B217" s="2">
        <v>0.66126222094341447</v>
      </c>
      <c r="C217" s="2">
        <v>9.4050000000000106E-2</v>
      </c>
      <c r="D217" s="2">
        <v>4.9028477678905232E-2</v>
      </c>
      <c r="E217" s="2">
        <v>1.0729937420728481</v>
      </c>
    </row>
    <row r="218" spans="1:5" x14ac:dyDescent="0.3">
      <c r="A218" s="31">
        <v>1969.0000000018699</v>
      </c>
      <c r="B218" s="2">
        <v>0.59933648873746614</v>
      </c>
      <c r="C218" s="2">
        <v>5.6971666666666698E-2</v>
      </c>
      <c r="D218" s="2">
        <v>3.4273695378187079E-2</v>
      </c>
      <c r="E218" s="2">
        <v>1.0702545686056277</v>
      </c>
    </row>
    <row r="219" spans="1:5" x14ac:dyDescent="0.3">
      <c r="A219" s="31">
        <v>1969.0833333352</v>
      </c>
      <c r="B219" s="2">
        <v>0.56896384758929119</v>
      </c>
      <c r="C219" s="2">
        <v>8.3205000000000057E-2</v>
      </c>
      <c r="D219" s="2">
        <v>4.1591260967191339E-2</v>
      </c>
      <c r="E219" s="2">
        <v>1.0303604760668938</v>
      </c>
    </row>
    <row r="220" spans="1:5" x14ac:dyDescent="0.3">
      <c r="A220" s="31">
        <v>1969.1666666685301</v>
      </c>
      <c r="B220" s="2">
        <v>0.58197014968482774</v>
      </c>
      <c r="C220" s="2">
        <v>0.11965500000000018</v>
      </c>
      <c r="D220" s="2">
        <v>4.8707159133796328E-2</v>
      </c>
      <c r="E220" s="2">
        <v>1.0087337885711307</v>
      </c>
    </row>
    <row r="221" spans="1:5" x14ac:dyDescent="0.3">
      <c r="A221" s="31">
        <v>1969.2500000018599</v>
      </c>
      <c r="B221" s="2">
        <v>0.62173038585856144</v>
      </c>
      <c r="C221" s="2">
        <v>0.12193833333333338</v>
      </c>
      <c r="D221" s="2">
        <v>6.5756352991631684E-2</v>
      </c>
      <c r="E221" s="2">
        <v>1.0071308113873594</v>
      </c>
    </row>
    <row r="222" spans="1:5" x14ac:dyDescent="0.3">
      <c r="A222" s="31">
        <v>1969.33333333519</v>
      </c>
      <c r="B222" s="2">
        <v>0.67974263961866133</v>
      </c>
      <c r="C222" s="2">
        <v>0.11168833333333339</v>
      </c>
      <c r="D222" s="2">
        <v>6.277670874181196E-2</v>
      </c>
      <c r="E222" s="2">
        <v>1.0179949566277939</v>
      </c>
    </row>
    <row r="223" spans="1:5" x14ac:dyDescent="0.3">
      <c r="A223" s="31">
        <v>1969.4166666685201</v>
      </c>
      <c r="B223" s="2">
        <v>0.78559499060606042</v>
      </c>
      <c r="C223" s="2">
        <v>0.12193833333333338</v>
      </c>
      <c r="D223" s="2">
        <v>8.0842129713622757E-2</v>
      </c>
      <c r="E223" s="2">
        <v>1.02314610736426</v>
      </c>
    </row>
    <row r="224" spans="1:5" x14ac:dyDescent="0.3">
      <c r="A224" s="31">
        <v>1969.5000000018499</v>
      </c>
      <c r="B224" s="2">
        <v>0.95366518140565815</v>
      </c>
      <c r="C224" s="2">
        <v>5.69666666666667E-2</v>
      </c>
      <c r="D224" s="2">
        <v>5.763204138965259E-2</v>
      </c>
      <c r="E224" s="2">
        <v>1.0265983419214049</v>
      </c>
    </row>
    <row r="225" spans="1:5" x14ac:dyDescent="0.3">
      <c r="A225" s="31">
        <v>1969.58333333518</v>
      </c>
      <c r="B225" s="2">
        <v>0.79132655063305002</v>
      </c>
      <c r="C225" s="2">
        <v>6.4971666666666705E-2</v>
      </c>
      <c r="D225" s="2">
        <v>5.0922511279205822E-2</v>
      </c>
      <c r="E225" s="2">
        <v>1.0288415985688977</v>
      </c>
    </row>
    <row r="226" spans="1:5" x14ac:dyDescent="0.3">
      <c r="A226" s="31">
        <v>1969.6666666685101</v>
      </c>
      <c r="B226" s="2">
        <v>0.94542611351784478</v>
      </c>
      <c r="C226" s="2">
        <v>5.69666666666667E-2</v>
      </c>
      <c r="D226" s="2">
        <v>5.4474421350663681E-2</v>
      </c>
      <c r="E226" s="2">
        <v>1.0327050558323043</v>
      </c>
    </row>
    <row r="227" spans="1:5" x14ac:dyDescent="0.3">
      <c r="A227" s="31">
        <v>1969.7500000018399</v>
      </c>
      <c r="B227" s="2">
        <v>0.79516603315833256</v>
      </c>
      <c r="C227" s="2">
        <v>7.2955000000000089E-2</v>
      </c>
      <c r="D227" s="2">
        <v>4.8413144596527458E-2</v>
      </c>
      <c r="E227" s="2">
        <v>1.0362021869627662</v>
      </c>
    </row>
    <row r="228" spans="1:5" x14ac:dyDescent="0.3">
      <c r="A228" s="31">
        <v>1969.83333333517</v>
      </c>
      <c r="B228" s="2">
        <v>0.84021294854896666</v>
      </c>
      <c r="C228" s="2">
        <v>5.6971666666666719E-2</v>
      </c>
      <c r="D228" s="2">
        <v>4.9804733416352852E-2</v>
      </c>
      <c r="E228" s="2">
        <v>1.0325180545922814</v>
      </c>
    </row>
    <row r="229" spans="1:5" x14ac:dyDescent="0.3">
      <c r="A229" s="31">
        <v>1969.9166666685001</v>
      </c>
      <c r="B229" s="2">
        <v>0.80450882497510623</v>
      </c>
      <c r="C229" s="2">
        <v>6.4966666666666673E-2</v>
      </c>
      <c r="D229" s="2">
        <v>4.9432084985664815E-2</v>
      </c>
      <c r="E229" s="2">
        <v>1.0305042183544406</v>
      </c>
    </row>
    <row r="230" spans="1:5" x14ac:dyDescent="0.3">
      <c r="A230" s="31">
        <v>1970.0000000018299</v>
      </c>
      <c r="B230" s="2">
        <v>0.81168462467375724</v>
      </c>
      <c r="C230" s="2">
        <v>5.6971666666666719E-2</v>
      </c>
      <c r="D230" s="2">
        <v>4.9640423200744792E-2</v>
      </c>
      <c r="E230" s="2">
        <v>1.0213598097459504</v>
      </c>
    </row>
    <row r="231" spans="1:5" x14ac:dyDescent="0.3">
      <c r="A231" s="31">
        <v>1970.08333333516</v>
      </c>
      <c r="B231" s="2">
        <v>0.75693014704875428</v>
      </c>
      <c r="C231" s="2">
        <v>8.3205000000000071E-2</v>
      </c>
      <c r="D231" s="2">
        <v>5.6500928297102203E-2</v>
      </c>
      <c r="E231" s="2">
        <v>1.003376703765408</v>
      </c>
    </row>
    <row r="232" spans="1:5" x14ac:dyDescent="0.3">
      <c r="A232" s="31">
        <v>1970.1666666684901</v>
      </c>
      <c r="B232" s="2">
        <v>0.84408711533714031</v>
      </c>
      <c r="C232" s="2">
        <v>0.12647166666666657</v>
      </c>
      <c r="D232" s="2">
        <v>7.5835163493939928E-2</v>
      </c>
      <c r="E232" s="2">
        <v>0.98741334055373386</v>
      </c>
    </row>
    <row r="233" spans="1:5" x14ac:dyDescent="0.3">
      <c r="A233" s="31">
        <v>1970.2500000018199</v>
      </c>
      <c r="B233" s="2">
        <v>0.76252800489418249</v>
      </c>
      <c r="C233" s="2">
        <v>0.14470499999999989</v>
      </c>
      <c r="D233" s="2">
        <v>8.3511177659412753E-2</v>
      </c>
      <c r="E233" s="2">
        <v>0.98449157342029769</v>
      </c>
    </row>
    <row r="234" spans="1:5" x14ac:dyDescent="0.3">
      <c r="A234" s="31">
        <v>1970.33333333515</v>
      </c>
      <c r="B234" s="2">
        <v>0.8420298736290025</v>
      </c>
      <c r="C234" s="2">
        <v>0.13672166666666652</v>
      </c>
      <c r="D234" s="2">
        <v>9.4240575753385E-2</v>
      </c>
      <c r="E234" s="2">
        <v>0.98911727051523401</v>
      </c>
    </row>
    <row r="235" spans="1:5" x14ac:dyDescent="0.3">
      <c r="A235" s="31">
        <v>1970.41666666848</v>
      </c>
      <c r="B235" s="2">
        <v>0.86834282891472681</v>
      </c>
      <c r="C235" s="2">
        <v>0.1549599999999999</v>
      </c>
      <c r="D235" s="2">
        <v>0.11582999821542379</v>
      </c>
      <c r="E235" s="2">
        <v>1.0018758423613061</v>
      </c>
    </row>
    <row r="236" spans="1:5" x14ac:dyDescent="0.3">
      <c r="A236" s="31">
        <v>1970.5000000018099</v>
      </c>
      <c r="B236" s="2">
        <v>0.95979947806201027</v>
      </c>
      <c r="C236" s="2">
        <v>5.6971666666666691E-2</v>
      </c>
      <c r="D236" s="2">
        <v>5.2096274848475475E-2</v>
      </c>
      <c r="E236" s="2">
        <v>1.0230662593228861</v>
      </c>
    </row>
    <row r="237" spans="1:5" x14ac:dyDescent="0.3">
      <c r="A237" s="31">
        <v>1970.58333333514</v>
      </c>
      <c r="B237" s="2">
        <v>0.83458347292680146</v>
      </c>
      <c r="C237" s="2">
        <v>7.2955000000000089E-2</v>
      </c>
      <c r="D237" s="2">
        <v>5.3565201071027885E-2</v>
      </c>
      <c r="E237" s="2">
        <v>1.0332704667854997</v>
      </c>
    </row>
    <row r="238" spans="1:5" x14ac:dyDescent="0.3">
      <c r="A238" s="31">
        <v>1970.66666666847</v>
      </c>
      <c r="B238" s="2">
        <v>0.82123687839521986</v>
      </c>
      <c r="C238" s="2">
        <v>6.4971666666666705E-2</v>
      </c>
      <c r="D238" s="2">
        <v>4.9611812881325136E-2</v>
      </c>
      <c r="E238" s="2">
        <v>1.0444782034855142</v>
      </c>
    </row>
    <row r="239" spans="1:5" x14ac:dyDescent="0.3">
      <c r="A239" s="31">
        <v>1970.7500000017999</v>
      </c>
      <c r="B239" s="2">
        <v>0.75681030942463501</v>
      </c>
      <c r="C239" s="2">
        <v>8.3210000000000076E-2</v>
      </c>
      <c r="D239" s="2">
        <v>5.2137677066873868E-2</v>
      </c>
      <c r="E239" s="2">
        <v>1.0553201232633962</v>
      </c>
    </row>
    <row r="240" spans="1:5" x14ac:dyDescent="0.3">
      <c r="A240" s="31">
        <v>1970.83333333513</v>
      </c>
      <c r="B240" s="2">
        <v>0.73209265275906032</v>
      </c>
      <c r="C240" s="2">
        <v>7.293833333333348E-2</v>
      </c>
      <c r="D240" s="2">
        <v>4.1882561374189727E-2</v>
      </c>
      <c r="E240" s="2">
        <v>1.0640891129674508</v>
      </c>
    </row>
    <row r="241" spans="1:5" x14ac:dyDescent="0.3">
      <c r="A241" s="31">
        <v>1970.91666666846</v>
      </c>
      <c r="B241" s="2">
        <v>0.69934220370895961</v>
      </c>
      <c r="C241" s="2">
        <v>6.4971666666666705E-2</v>
      </c>
      <c r="D241" s="2">
        <v>4.2663323330610736E-2</v>
      </c>
      <c r="E241" s="2">
        <v>1.0659758207063035</v>
      </c>
    </row>
    <row r="242" spans="1:5" x14ac:dyDescent="0.3">
      <c r="A242" s="31">
        <v>1971.0000000017901</v>
      </c>
      <c r="B242" s="2">
        <v>0.66460724280948824</v>
      </c>
      <c r="C242" s="2">
        <v>7.2955000000000089E-2</v>
      </c>
      <c r="D242" s="2">
        <v>4.1050784171611981E-2</v>
      </c>
      <c r="E242" s="2">
        <v>1.0551435335802168</v>
      </c>
    </row>
    <row r="243" spans="1:5" x14ac:dyDescent="0.3">
      <c r="A243" s="31">
        <v>1971.08333333512</v>
      </c>
      <c r="B243" s="2">
        <v>0.64489476183174976</v>
      </c>
      <c r="C243" s="2">
        <v>9.3460000000000057E-2</v>
      </c>
      <c r="D243" s="2">
        <v>5.3428796721058214E-2</v>
      </c>
      <c r="E243" s="2">
        <v>1.0175649230260231</v>
      </c>
    </row>
    <row r="244" spans="1:5" x14ac:dyDescent="0.3">
      <c r="A244" s="31">
        <v>1971.16666666845</v>
      </c>
      <c r="B244" s="2">
        <v>0.74370395715278814</v>
      </c>
      <c r="C244" s="2">
        <v>9.5721666666666635E-2</v>
      </c>
      <c r="D244" s="2">
        <v>5.7566052569115872E-2</v>
      </c>
      <c r="E244" s="2">
        <v>0.99275452407419085</v>
      </c>
    </row>
    <row r="245" spans="1:5" x14ac:dyDescent="0.3">
      <c r="A245" s="31">
        <v>1971.2500000017801</v>
      </c>
      <c r="B245" s="2">
        <v>0.71843324314382373</v>
      </c>
      <c r="C245" s="2">
        <v>0.12994333333333341</v>
      </c>
      <c r="D245" s="2">
        <v>6.9961134638228104E-2</v>
      </c>
      <c r="E245" s="2">
        <v>0.98178451208088191</v>
      </c>
    </row>
    <row r="246" spans="1:5" x14ac:dyDescent="0.3">
      <c r="A246" s="31">
        <v>1971.33333333511</v>
      </c>
      <c r="B246" s="2">
        <v>0.76551361307962662</v>
      </c>
      <c r="C246" s="2">
        <v>0.1196883333333334</v>
      </c>
      <c r="D246" s="2">
        <v>6.9206113334407141E-2</v>
      </c>
      <c r="E246" s="2">
        <v>0.99052807934023601</v>
      </c>
    </row>
    <row r="247" spans="1:5" x14ac:dyDescent="0.3">
      <c r="A247" s="31">
        <v>1971.41666666844</v>
      </c>
      <c r="B247" s="2">
        <v>0.80876569184097258</v>
      </c>
      <c r="C247" s="2">
        <v>0.14019333333333339</v>
      </c>
      <c r="D247" s="2">
        <v>9.1672118903353972E-2</v>
      </c>
      <c r="E247" s="2">
        <v>1.0011163283023323</v>
      </c>
    </row>
    <row r="248" spans="1:5" x14ac:dyDescent="0.3">
      <c r="A248" s="31">
        <v>1971.5000000017701</v>
      </c>
      <c r="B248" s="2">
        <v>0.91330058326203056</v>
      </c>
      <c r="C248" s="2">
        <v>5.69666666666667E-2</v>
      </c>
      <c r="D248" s="2">
        <v>5.5956171983846691E-2</v>
      </c>
      <c r="E248" s="2">
        <v>1.0092429501907254</v>
      </c>
    </row>
    <row r="249" spans="1:5" x14ac:dyDescent="0.3">
      <c r="A249" s="31">
        <v>1971.5833333351</v>
      </c>
      <c r="B249" s="2">
        <v>0.84032366570308481</v>
      </c>
      <c r="C249" s="2">
        <v>8.3200000000000066E-2</v>
      </c>
      <c r="D249" s="2">
        <v>6.3234457161836122E-2</v>
      </c>
      <c r="E249" s="2">
        <v>1.0129069365189529</v>
      </c>
    </row>
    <row r="250" spans="1:5" x14ac:dyDescent="0.3">
      <c r="A250" s="31">
        <v>1971.66666666843</v>
      </c>
      <c r="B250" s="2">
        <v>0.74526490233581022</v>
      </c>
      <c r="C250" s="2">
        <v>5.6971666666666698E-2</v>
      </c>
      <c r="D250" s="2">
        <v>4.3495042657001777E-2</v>
      </c>
      <c r="E250" s="2">
        <v>1.0211998145098617</v>
      </c>
    </row>
    <row r="251" spans="1:5" x14ac:dyDescent="0.3">
      <c r="A251" s="31">
        <v>1971.7500000017601</v>
      </c>
      <c r="B251" s="2">
        <v>0.77347256587553603</v>
      </c>
      <c r="C251" s="2">
        <v>8.3200000000000066E-2</v>
      </c>
      <c r="D251" s="2">
        <v>5.6056031868650186E-2</v>
      </c>
      <c r="E251" s="2">
        <v>1.0273674061461242</v>
      </c>
    </row>
    <row r="252" spans="1:5" x14ac:dyDescent="0.3">
      <c r="A252" s="31">
        <v>1971.8333333350899</v>
      </c>
      <c r="B252" s="2">
        <v>0.72850935491916469</v>
      </c>
      <c r="C252" s="2">
        <v>7.295000000000007E-2</v>
      </c>
      <c r="D252" s="2">
        <v>4.3468118428424525E-2</v>
      </c>
      <c r="E252" s="2">
        <v>1.0351672568990276</v>
      </c>
    </row>
    <row r="253" spans="1:5" x14ac:dyDescent="0.3">
      <c r="A253" s="31">
        <v>1971.91666666842</v>
      </c>
      <c r="B253" s="2">
        <v>0.63823964319498983</v>
      </c>
      <c r="C253" s="2">
        <v>6.7221666666666693E-2</v>
      </c>
      <c r="D253" s="2">
        <v>4.3034865600537466E-2</v>
      </c>
      <c r="E253" s="2">
        <v>1.0422454867908966</v>
      </c>
    </row>
    <row r="254" spans="1:5" x14ac:dyDescent="0.3">
      <c r="A254" s="31">
        <v>1972.0000000017501</v>
      </c>
      <c r="B254" s="2">
        <v>0.60745383194089209</v>
      </c>
      <c r="C254" s="2">
        <v>7.295000000000007E-2</v>
      </c>
      <c r="D254" s="2">
        <v>3.816247215285868E-2</v>
      </c>
      <c r="E254" s="2">
        <v>1.0342914821067579</v>
      </c>
    </row>
    <row r="255" spans="1:5" x14ac:dyDescent="0.3">
      <c r="A255" s="31">
        <v>1972.0833333350799</v>
      </c>
      <c r="B255" s="2">
        <v>0.5539437537685038</v>
      </c>
      <c r="C255" s="2">
        <v>8.3205000000000071E-2</v>
      </c>
      <c r="D255" s="2">
        <v>4.2266952859616867E-2</v>
      </c>
      <c r="E255" s="2">
        <v>1.0124102086176667</v>
      </c>
    </row>
    <row r="256" spans="1:5" x14ac:dyDescent="0.3">
      <c r="A256" s="31">
        <v>1972.16666666841</v>
      </c>
      <c r="B256" s="2">
        <v>0.56432350912946594</v>
      </c>
      <c r="C256" s="2">
        <v>9.3455000000000024E-2</v>
      </c>
      <c r="D256" s="2">
        <v>4.4242923107615878E-2</v>
      </c>
      <c r="E256" s="2">
        <v>0.99232221156325551</v>
      </c>
    </row>
    <row r="257" spans="1:5" x14ac:dyDescent="0.3">
      <c r="A257" s="31">
        <v>1972.2500000017401</v>
      </c>
      <c r="B257" s="2">
        <v>0.63974796537658107</v>
      </c>
      <c r="C257" s="2">
        <v>0.13792666666666678</v>
      </c>
      <c r="D257" s="2">
        <v>6.5351233353813251E-2</v>
      </c>
      <c r="E257" s="2">
        <v>0.98376541831074382</v>
      </c>
    </row>
    <row r="258" spans="1:5" x14ac:dyDescent="0.3">
      <c r="A258" s="31">
        <v>1972.3333333350699</v>
      </c>
      <c r="B258" s="2">
        <v>0.7291165441038191</v>
      </c>
      <c r="C258" s="2">
        <v>0.12994333333333341</v>
      </c>
      <c r="D258" s="2">
        <v>7.9612554243784162E-2</v>
      </c>
      <c r="E258" s="2">
        <v>0.99530874523029489</v>
      </c>
    </row>
    <row r="259" spans="1:5" x14ac:dyDescent="0.3">
      <c r="A259" s="31">
        <v>1972.4166666684</v>
      </c>
      <c r="B259" s="2">
        <v>0.82611208766197874</v>
      </c>
      <c r="C259" s="2">
        <v>0.14817666666666676</v>
      </c>
      <c r="D259" s="2">
        <v>0.10378168113446878</v>
      </c>
      <c r="E259" s="2">
        <v>1.0001646986238437</v>
      </c>
    </row>
    <row r="260" spans="1:5" x14ac:dyDescent="0.3">
      <c r="A260" s="31">
        <v>1972.5000000017301</v>
      </c>
      <c r="B260" s="2">
        <v>0.80122808405831702</v>
      </c>
      <c r="C260" s="2">
        <v>6.1530000000000001E-2</v>
      </c>
      <c r="D260" s="2">
        <v>6.401454195048574E-2</v>
      </c>
      <c r="E260" s="2">
        <v>1.0035616979832307</v>
      </c>
    </row>
    <row r="261" spans="1:5" x14ac:dyDescent="0.3">
      <c r="A261" s="31">
        <v>1972.5833333350599</v>
      </c>
      <c r="B261" s="2">
        <v>0.86423747118959504</v>
      </c>
      <c r="C261" s="2">
        <v>5.6971666666666698E-2</v>
      </c>
      <c r="D261" s="2">
        <v>4.9834543253942577E-2</v>
      </c>
      <c r="E261" s="2">
        <v>1.0103967217732173</v>
      </c>
    </row>
    <row r="262" spans="1:5" x14ac:dyDescent="0.3">
      <c r="A262" s="31">
        <v>1972.66666666839</v>
      </c>
      <c r="B262" s="2">
        <v>0.88992212754457023</v>
      </c>
      <c r="C262" s="2">
        <v>6.4971666666666719E-2</v>
      </c>
      <c r="D262" s="2">
        <v>5.8298400390896586E-2</v>
      </c>
      <c r="E262" s="2">
        <v>1.0239019013318587</v>
      </c>
    </row>
    <row r="263" spans="1:5" x14ac:dyDescent="0.3">
      <c r="A263" s="31">
        <v>1972.7500000017201</v>
      </c>
      <c r="B263" s="2">
        <v>0.81835004999891525</v>
      </c>
      <c r="C263" s="2">
        <v>5.6971666666666698E-2</v>
      </c>
      <c r="D263" s="2">
        <v>4.3822638855471295E-2</v>
      </c>
      <c r="E263" s="2">
        <v>1.020725621625586</v>
      </c>
    </row>
    <row r="264" spans="1:5" x14ac:dyDescent="0.3">
      <c r="A264" s="31">
        <v>1972.8333333350499</v>
      </c>
      <c r="B264" s="2">
        <v>0.7858700868341737</v>
      </c>
      <c r="C264" s="2">
        <v>6.1507499999999923E-2</v>
      </c>
      <c r="D264" s="2">
        <v>5.2708072606257136E-2</v>
      </c>
      <c r="E264" s="2">
        <v>1.0209955045700518</v>
      </c>
    </row>
    <row r="265" spans="1:5" x14ac:dyDescent="0.3">
      <c r="A265" s="31">
        <v>1972.91666666838</v>
      </c>
      <c r="B265" s="2">
        <v>0.75896413366296456</v>
      </c>
      <c r="C265" s="2">
        <v>6.4971666666666705E-2</v>
      </c>
      <c r="D265" s="2">
        <v>4.9174740509366911E-2</v>
      </c>
      <c r="E265" s="2">
        <v>1.023913214255135</v>
      </c>
    </row>
    <row r="266" spans="1:5" x14ac:dyDescent="0.3">
      <c r="A266" s="31">
        <v>1973.0000000017101</v>
      </c>
      <c r="B266" s="2">
        <v>0.78529789002365746</v>
      </c>
      <c r="C266" s="2">
        <v>5.6971666666666719E-2</v>
      </c>
      <c r="D266" s="2">
        <v>4.2940290379271391E-2</v>
      </c>
      <c r="E266" s="2">
        <v>1.0212150496300494</v>
      </c>
    </row>
    <row r="267" spans="1:5" x14ac:dyDescent="0.3">
      <c r="A267" s="31">
        <v>1973.0833333350399</v>
      </c>
      <c r="B267" s="2">
        <v>0.72241702659139939</v>
      </c>
      <c r="C267" s="2">
        <v>6.4971666666666705E-2</v>
      </c>
      <c r="D267" s="2">
        <v>4.7788322160324269E-2</v>
      </c>
      <c r="E267" s="2">
        <v>1.0037855761605312</v>
      </c>
    </row>
    <row r="268" spans="1:5" x14ac:dyDescent="0.3">
      <c r="A268" s="31">
        <v>1973.16666666837</v>
      </c>
      <c r="B268" s="2">
        <v>0.69846713797388327</v>
      </c>
      <c r="C268" s="2">
        <v>0.11395499999999999</v>
      </c>
      <c r="D268" s="2">
        <v>7.8311071770229446E-2</v>
      </c>
      <c r="E268" s="2">
        <v>0.99069184155995182</v>
      </c>
    </row>
    <row r="269" spans="1:5" x14ac:dyDescent="0.3">
      <c r="A269" s="31">
        <v>1973.2500000017001</v>
      </c>
      <c r="B269" s="2">
        <v>0.81690099060381716</v>
      </c>
      <c r="C269" s="2">
        <v>0.13445999999999997</v>
      </c>
      <c r="D269" s="2">
        <v>0.10782152643813679</v>
      </c>
      <c r="E269" s="2">
        <v>0.99164151624963648</v>
      </c>
    </row>
    <row r="270" spans="1:5" x14ac:dyDescent="0.3">
      <c r="A270" s="31">
        <v>1973.3333333350299</v>
      </c>
      <c r="B270" s="2">
        <v>0.84757425429301436</v>
      </c>
      <c r="C270" s="2">
        <v>0.12420999999999999</v>
      </c>
      <c r="D270" s="2">
        <v>0.103613615060046</v>
      </c>
      <c r="E270" s="2">
        <v>1.0027604643493115</v>
      </c>
    </row>
    <row r="271" spans="1:5" x14ac:dyDescent="0.3">
      <c r="A271" s="31">
        <v>1973.41666666836</v>
      </c>
      <c r="B271" s="2">
        <v>0.94510238649636646</v>
      </c>
      <c r="C271" s="2">
        <v>0.16867666666666672</v>
      </c>
      <c r="D271" s="2">
        <v>0.12732794343417622</v>
      </c>
      <c r="E271" s="2">
        <v>1.0047404468423651</v>
      </c>
    </row>
    <row r="272" spans="1:5" x14ac:dyDescent="0.3">
      <c r="A272" s="31">
        <v>1973.5000000016901</v>
      </c>
      <c r="B272" s="2">
        <v>0.73759951671750446</v>
      </c>
      <c r="C272" s="2">
        <v>6.1514999999999952E-2</v>
      </c>
      <c r="D272" s="2">
        <v>3.9517512283294177E-2</v>
      </c>
      <c r="E272" s="2">
        <v>1.0067193074246263</v>
      </c>
    </row>
    <row r="273" spans="1:5" x14ac:dyDescent="0.3">
      <c r="A273" s="31">
        <v>1973.5833333350199</v>
      </c>
      <c r="B273" s="2">
        <v>0.88982887911885655</v>
      </c>
      <c r="C273" s="2">
        <v>6.4971666666666705E-2</v>
      </c>
      <c r="D273" s="2">
        <v>6.2407841046630393E-2</v>
      </c>
      <c r="E273" s="2">
        <v>1.0204066671766396</v>
      </c>
    </row>
    <row r="274" spans="1:5" x14ac:dyDescent="0.3">
      <c r="A274" s="31">
        <v>1973.66666666835</v>
      </c>
      <c r="B274" s="2">
        <v>0.91399172361068215</v>
      </c>
      <c r="C274" s="2">
        <v>6.4971666666666705E-2</v>
      </c>
      <c r="D274" s="2">
        <v>5.987654716002825E-2</v>
      </c>
      <c r="E274" s="2">
        <v>1.0310905054893416</v>
      </c>
    </row>
    <row r="275" spans="1:5" x14ac:dyDescent="0.3">
      <c r="A275" s="31">
        <v>1973.7500000016801</v>
      </c>
      <c r="B275" s="2">
        <v>0.90085095744439181</v>
      </c>
      <c r="C275" s="2">
        <v>6.4971666666666705E-2</v>
      </c>
      <c r="D275" s="2">
        <v>5.6687717864370081E-2</v>
      </c>
      <c r="E275" s="2">
        <v>1.0399739160107597</v>
      </c>
    </row>
    <row r="276" spans="1:5" x14ac:dyDescent="0.3">
      <c r="A276" s="31">
        <v>1973.8333333350099</v>
      </c>
      <c r="B276" s="2">
        <v>0.96057378018873052</v>
      </c>
      <c r="C276" s="2">
        <v>7.2971666666666712E-2</v>
      </c>
      <c r="D276" s="2">
        <v>6.6347063718370305E-2</v>
      </c>
      <c r="E276" s="2">
        <v>1.0513929026824433</v>
      </c>
    </row>
    <row r="277" spans="1:5" x14ac:dyDescent="0.3">
      <c r="A277" s="31">
        <v>1973.91666666834</v>
      </c>
      <c r="B277" s="2">
        <v>0.83602221067095528</v>
      </c>
      <c r="C277" s="2">
        <v>6.4971666666666705E-2</v>
      </c>
      <c r="D277" s="2">
        <v>5.1982562637401385E-2</v>
      </c>
      <c r="E277" s="2">
        <v>1.0630855357310995</v>
      </c>
    </row>
    <row r="278" spans="1:5" x14ac:dyDescent="0.3">
      <c r="A278" s="31">
        <v>1974.0000000016701</v>
      </c>
      <c r="B278" s="2">
        <v>0.79566940111724183</v>
      </c>
      <c r="C278" s="2">
        <v>6.4971666666666705E-2</v>
      </c>
      <c r="D278" s="2">
        <v>5.0505831284012703E-2</v>
      </c>
      <c r="E278" s="2">
        <v>1.043619296366515</v>
      </c>
    </row>
    <row r="279" spans="1:5" x14ac:dyDescent="0.3">
      <c r="A279" s="31">
        <v>1974.0833333349999</v>
      </c>
      <c r="B279" s="2">
        <v>0.78058640364495047</v>
      </c>
      <c r="C279" s="2">
        <v>6.4971666666666705E-2</v>
      </c>
      <c r="D279" s="2">
        <v>5.0447707130028607E-2</v>
      </c>
      <c r="E279" s="2">
        <v>1.0092772734767668</v>
      </c>
    </row>
    <row r="280" spans="1:5" x14ac:dyDescent="0.3">
      <c r="A280" s="31">
        <v>1974.16666666833</v>
      </c>
      <c r="B280" s="2">
        <v>0.81593079616520314</v>
      </c>
      <c r="C280" s="2">
        <v>8.7721666666666656E-2</v>
      </c>
      <c r="D280" s="2">
        <v>7.1902959277494877E-2</v>
      </c>
      <c r="E280" s="2">
        <v>0.98347984094021113</v>
      </c>
    </row>
    <row r="281" spans="1:5" x14ac:dyDescent="0.3">
      <c r="A281" s="31">
        <v>1974.2500000016601</v>
      </c>
      <c r="B281" s="2">
        <v>0.85257639076872704</v>
      </c>
      <c r="C281" s="2">
        <v>0.11395500000000001</v>
      </c>
      <c r="D281" s="2">
        <v>8.7783881163592661E-2</v>
      </c>
      <c r="E281" s="2">
        <v>0.98331446990096583</v>
      </c>
    </row>
    <row r="282" spans="1:5" x14ac:dyDescent="0.3">
      <c r="A282" s="31">
        <v>1974.3333333349899</v>
      </c>
      <c r="B282" s="2">
        <v>0.87178401588690735</v>
      </c>
      <c r="C282" s="2">
        <v>9.7971666666666624E-2</v>
      </c>
      <c r="D282" s="2">
        <v>8.4376744024428851E-2</v>
      </c>
      <c r="E282" s="2">
        <v>0.98613637575082569</v>
      </c>
    </row>
    <row r="283" spans="1:5" x14ac:dyDescent="0.3">
      <c r="A283" s="31">
        <v>1974.41666666832</v>
      </c>
      <c r="B283" s="2">
        <v>0.91364259654618518</v>
      </c>
      <c r="C283" s="2">
        <v>0.13446</v>
      </c>
      <c r="D283" s="2">
        <v>0.12329099297494774</v>
      </c>
      <c r="E283" s="2">
        <v>0.99193676043765378</v>
      </c>
    </row>
    <row r="284" spans="1:5" x14ac:dyDescent="0.3">
      <c r="A284" s="31">
        <v>1974.5000000016501</v>
      </c>
      <c r="B284" s="2">
        <v>1.5686903743192029</v>
      </c>
      <c r="C284" s="2">
        <v>5.4700000000000103E-2</v>
      </c>
      <c r="D284" s="2">
        <v>6.7702792288290445E-2</v>
      </c>
      <c r="E284" s="2">
        <v>1.0029783936264449</v>
      </c>
    </row>
    <row r="285" spans="1:5" x14ac:dyDescent="0.3">
      <c r="A285" s="31">
        <v>1974.5833333349799</v>
      </c>
      <c r="B285" s="2">
        <v>0.89767864553370591</v>
      </c>
      <c r="C285" s="2">
        <v>8.3205000000000071E-2</v>
      </c>
      <c r="D285" s="2">
        <v>7.2985457945681911E-2</v>
      </c>
      <c r="E285" s="2">
        <v>1.0130919140398444</v>
      </c>
    </row>
    <row r="286" spans="1:5" x14ac:dyDescent="0.3">
      <c r="A286" s="31">
        <v>1974.66666666831</v>
      </c>
      <c r="B286" s="2">
        <v>0.96297625163122957</v>
      </c>
      <c r="C286" s="2">
        <v>5.6976666666666731E-2</v>
      </c>
      <c r="D286" s="2">
        <v>5.5177505473553289E-2</v>
      </c>
      <c r="E286" s="2">
        <v>1.0228294170121981</v>
      </c>
    </row>
    <row r="287" spans="1:5" x14ac:dyDescent="0.3">
      <c r="A287" s="31">
        <v>1974.75000000164</v>
      </c>
      <c r="B287" s="2">
        <v>0.81583026021288996</v>
      </c>
      <c r="C287" s="2">
        <v>8.3205000000000071E-2</v>
      </c>
      <c r="D287" s="2">
        <v>6.5478952752903774E-2</v>
      </c>
      <c r="E287" s="2">
        <v>1.0286358490521972</v>
      </c>
    </row>
    <row r="288" spans="1:5" x14ac:dyDescent="0.3">
      <c r="A288" s="31">
        <v>1974.8333333349699</v>
      </c>
      <c r="B288" s="2">
        <v>0.84089183860326477</v>
      </c>
      <c r="C288" s="2">
        <v>6.4976666666666738E-2</v>
      </c>
      <c r="D288" s="2">
        <v>5.3372044462603845E-2</v>
      </c>
      <c r="E288" s="2">
        <v>1.0329852930250965</v>
      </c>
    </row>
    <row r="289" spans="1:5" x14ac:dyDescent="0.3">
      <c r="A289" s="31">
        <v>1974.9166666683</v>
      </c>
      <c r="B289" s="2">
        <v>0.73700127231099744</v>
      </c>
      <c r="C289" s="2">
        <v>8.3188333333333461E-2</v>
      </c>
      <c r="D289" s="2">
        <v>5.1540745576845466E-2</v>
      </c>
      <c r="E289" s="2">
        <v>1.0383382112250226</v>
      </c>
    </row>
    <row r="290" spans="1:5" x14ac:dyDescent="0.3">
      <c r="A290" s="31">
        <v>1975.00000000163</v>
      </c>
      <c r="B290" s="2">
        <v>0.73594821642885966</v>
      </c>
      <c r="C290" s="2">
        <v>6.4976666666666738E-2</v>
      </c>
      <c r="D290" s="2">
        <v>4.6970389960992176E-2</v>
      </c>
      <c r="E290" s="2">
        <v>1.0310800438800793</v>
      </c>
    </row>
    <row r="291" spans="1:5" x14ac:dyDescent="0.3">
      <c r="A291" s="31">
        <v>1975.0833333349599</v>
      </c>
      <c r="B291" s="2">
        <v>0.67096856866679033</v>
      </c>
      <c r="C291" s="2">
        <v>8.3205000000000071E-2</v>
      </c>
      <c r="D291" s="2">
        <v>5.3489603683407431E-2</v>
      </c>
      <c r="E291" s="2">
        <v>1.0127962567801463</v>
      </c>
    </row>
    <row r="292" spans="1:5" x14ac:dyDescent="0.3">
      <c r="A292" s="31">
        <v>1975.16666666829</v>
      </c>
      <c r="B292" s="2">
        <v>0.66874331788379726</v>
      </c>
      <c r="C292" s="2">
        <v>0.12421</v>
      </c>
      <c r="D292" s="2">
        <v>6.6281777286961843E-2</v>
      </c>
      <c r="E292" s="2">
        <v>1.0002977346134361</v>
      </c>
    </row>
    <row r="293" spans="1:5" x14ac:dyDescent="0.3">
      <c r="A293" s="31">
        <v>1975.25000000162</v>
      </c>
      <c r="B293" s="2">
        <v>0.71476190062054779</v>
      </c>
      <c r="C293" s="2">
        <v>0.13219333333333338</v>
      </c>
      <c r="D293" s="2">
        <v>7.1253866021860277E-2</v>
      </c>
      <c r="E293" s="2">
        <v>0.99394680018664772</v>
      </c>
    </row>
    <row r="294" spans="1:5" x14ac:dyDescent="0.3">
      <c r="A294" s="31">
        <v>1975.3333333349501</v>
      </c>
      <c r="B294" s="2">
        <v>0.76900384893875628</v>
      </c>
      <c r="C294" s="2">
        <v>0.12421</v>
      </c>
      <c r="D294" s="2">
        <v>7.7022924323614031E-2</v>
      </c>
      <c r="E294" s="2">
        <v>1.0033241428275133</v>
      </c>
    </row>
    <row r="295" spans="1:5" x14ac:dyDescent="0.3">
      <c r="A295" s="31">
        <v>1975.41666666828</v>
      </c>
      <c r="B295" s="2">
        <v>0.93219368486150955</v>
      </c>
      <c r="C295" s="2">
        <v>0.15842666666666677</v>
      </c>
      <c r="D295" s="2">
        <v>0.10538688237725886</v>
      </c>
      <c r="E295" s="2">
        <v>1.0110150950632686</v>
      </c>
    </row>
    <row r="296" spans="1:5" x14ac:dyDescent="0.3">
      <c r="A296" s="31">
        <v>1975.50000000161</v>
      </c>
      <c r="B296" s="2">
        <v>0.89590065536536745</v>
      </c>
      <c r="C296" s="2">
        <v>6.1499999999999874E-2</v>
      </c>
      <c r="D296" s="2">
        <v>5.7066966846043315E-2</v>
      </c>
      <c r="E296" s="2">
        <v>1.0235901105708363</v>
      </c>
    </row>
    <row r="297" spans="1:5" x14ac:dyDescent="0.3">
      <c r="A297" s="31">
        <v>1975.5833333349401</v>
      </c>
      <c r="B297" s="2">
        <v>0.86972431859975174</v>
      </c>
      <c r="C297" s="2">
        <v>7.5221666666666673E-2</v>
      </c>
      <c r="D297" s="2">
        <v>6.4614227415718248E-2</v>
      </c>
      <c r="E297" s="2">
        <v>1.0349026423408247</v>
      </c>
    </row>
    <row r="298" spans="1:5" x14ac:dyDescent="0.3">
      <c r="A298" s="31">
        <v>1975.66666666827</v>
      </c>
      <c r="B298" s="2">
        <v>0.8164423837449416</v>
      </c>
      <c r="C298" s="2">
        <v>5.6971666666666698E-2</v>
      </c>
      <c r="D298" s="2">
        <v>4.5766294524182217E-2</v>
      </c>
      <c r="E298" s="2">
        <v>1.0431957778687901</v>
      </c>
    </row>
    <row r="299" spans="1:5" x14ac:dyDescent="0.3">
      <c r="A299" s="31">
        <v>1975.7500000016</v>
      </c>
      <c r="B299" s="2">
        <v>0.77231092453471273</v>
      </c>
      <c r="C299" s="2">
        <v>7.5221666666666673E-2</v>
      </c>
      <c r="D299" s="2">
        <v>5.6194071156881714E-2</v>
      </c>
      <c r="E299" s="2">
        <v>1.0665938997477409</v>
      </c>
    </row>
    <row r="300" spans="1:5" x14ac:dyDescent="0.3">
      <c r="A300" s="31">
        <v>1975.8333333349301</v>
      </c>
      <c r="B300" s="2">
        <v>0.7335355694906095</v>
      </c>
      <c r="C300" s="2">
        <v>6.1499999999999874E-2</v>
      </c>
      <c r="D300" s="2">
        <v>4.1051765235521009E-2</v>
      </c>
      <c r="E300" s="2">
        <v>1.0833870674423272</v>
      </c>
    </row>
    <row r="301" spans="1:5" x14ac:dyDescent="0.3">
      <c r="A301" s="31">
        <v>1975.9166666682599</v>
      </c>
      <c r="B301" s="2">
        <v>0.72478591488845401</v>
      </c>
      <c r="C301" s="2">
        <v>7.5221666666666673E-2</v>
      </c>
      <c r="D301" s="2">
        <v>5.3522502345743184E-2</v>
      </c>
      <c r="E301" s="2">
        <v>1.0918355911249522</v>
      </c>
    </row>
    <row r="302" spans="1:5" x14ac:dyDescent="0.3">
      <c r="A302" s="31">
        <v>1976.00000000159</v>
      </c>
      <c r="B302" s="2">
        <v>0.69641279778406107</v>
      </c>
      <c r="C302" s="2">
        <v>5.6971666666666698E-2</v>
      </c>
      <c r="D302" s="2">
        <v>3.9412866202124468E-2</v>
      </c>
      <c r="E302" s="2">
        <v>1.0788717402565891</v>
      </c>
    </row>
    <row r="303" spans="1:5" x14ac:dyDescent="0.3">
      <c r="A303" s="31">
        <v>1976.0833333349201</v>
      </c>
      <c r="B303" s="2">
        <v>0.68250150421922129</v>
      </c>
      <c r="C303" s="2">
        <v>7.5221666666666673E-2</v>
      </c>
      <c r="D303" s="2">
        <v>5.1283797119493539E-2</v>
      </c>
      <c r="E303" s="2">
        <v>1.0365837738689683</v>
      </c>
    </row>
    <row r="304" spans="1:5" x14ac:dyDescent="0.3">
      <c r="A304" s="31">
        <v>1976.1666666682499</v>
      </c>
      <c r="B304" s="2">
        <v>0.71403507425473178</v>
      </c>
      <c r="C304" s="2">
        <v>0.10371000000000004</v>
      </c>
      <c r="D304" s="2">
        <v>6.8568920666004451E-2</v>
      </c>
      <c r="E304" s="2">
        <v>1.0080679099398049</v>
      </c>
    </row>
    <row r="305" spans="1:5" x14ac:dyDescent="0.3">
      <c r="A305" s="31">
        <v>1976.25000000158</v>
      </c>
      <c r="B305" s="2">
        <v>0.74782938781028385</v>
      </c>
      <c r="C305" s="2">
        <v>0.11396500000000004</v>
      </c>
      <c r="D305" s="2">
        <v>8.4536582755536174E-2</v>
      </c>
      <c r="E305" s="2">
        <v>1.0061774803240822</v>
      </c>
    </row>
    <row r="306" spans="1:5" x14ac:dyDescent="0.3">
      <c r="A306" s="31">
        <v>1976.3333333349101</v>
      </c>
      <c r="B306" s="2">
        <v>0.80945550073169326</v>
      </c>
      <c r="C306" s="2">
        <v>0.10371000000000004</v>
      </c>
      <c r="D306" s="2">
        <v>8.2345651703390352E-2</v>
      </c>
      <c r="E306" s="2">
        <v>1.0184497290063177</v>
      </c>
    </row>
    <row r="307" spans="1:5" x14ac:dyDescent="0.3">
      <c r="A307" s="31">
        <v>1976.4166666682399</v>
      </c>
      <c r="B307" s="2">
        <v>0.84299599340923859</v>
      </c>
      <c r="C307" s="2">
        <v>0.12421500000000003</v>
      </c>
      <c r="D307" s="2">
        <v>0.10615328002775316</v>
      </c>
      <c r="E307" s="2">
        <v>1.0327320202656056</v>
      </c>
    </row>
    <row r="308" spans="1:5" x14ac:dyDescent="0.3">
      <c r="A308" s="31">
        <v>1976.50000000157</v>
      </c>
      <c r="B308" s="2">
        <v>0.99461900590194108</v>
      </c>
      <c r="C308" s="2">
        <v>5.4700000000000075E-2</v>
      </c>
      <c r="D308" s="2">
        <v>5.8086327797189752E-2</v>
      </c>
      <c r="E308" s="2">
        <v>1.0418889245891065</v>
      </c>
    </row>
    <row r="309" spans="1:5" x14ac:dyDescent="0.3">
      <c r="A309" s="31">
        <v>1976.5833333349001</v>
      </c>
      <c r="B309" s="2">
        <v>0.85497539748934182</v>
      </c>
      <c r="C309" s="2">
        <v>7.5221666666666673E-2</v>
      </c>
      <c r="D309" s="2">
        <v>6.6925716740077135E-2</v>
      </c>
      <c r="E309" s="2">
        <v>1.0364907188736197</v>
      </c>
    </row>
    <row r="310" spans="1:5" x14ac:dyDescent="0.3">
      <c r="A310" s="31">
        <v>1976.6666666682299</v>
      </c>
      <c r="B310" s="2">
        <v>1.0318819241548649</v>
      </c>
      <c r="C310" s="2">
        <v>5.4700000000000075E-2</v>
      </c>
      <c r="D310" s="2">
        <v>5.4419018788373782E-2</v>
      </c>
      <c r="E310" s="2">
        <v>1.0336881407582965</v>
      </c>
    </row>
    <row r="311" spans="1:5" x14ac:dyDescent="0.3">
      <c r="A311" s="31">
        <v>1976.75000000156</v>
      </c>
      <c r="B311" s="2">
        <v>0.84911961876162756</v>
      </c>
      <c r="C311" s="2">
        <v>8.3205000000000057E-2</v>
      </c>
      <c r="D311" s="2">
        <v>6.2279118669920384E-2</v>
      </c>
      <c r="E311" s="2">
        <v>1.0317751229217318</v>
      </c>
    </row>
    <row r="312" spans="1:5" x14ac:dyDescent="0.3">
      <c r="A312" s="31">
        <v>1976.8333333348901</v>
      </c>
      <c r="B312" s="2">
        <v>0.98265390104608363</v>
      </c>
      <c r="C312" s="2">
        <v>6.6700000000000065E-2</v>
      </c>
      <c r="D312" s="2">
        <v>5.9023833069678906E-2</v>
      </c>
      <c r="E312" s="2">
        <v>1.0334701220148206</v>
      </c>
    </row>
    <row r="313" spans="1:5" x14ac:dyDescent="0.3">
      <c r="A313" s="31">
        <v>1976.9166666682199</v>
      </c>
      <c r="B313" s="2">
        <v>0.75928195222405837</v>
      </c>
      <c r="C313" s="2">
        <v>6.7221666666666666E-2</v>
      </c>
      <c r="D313" s="2">
        <v>5.0442259592334088E-2</v>
      </c>
      <c r="E313" s="2">
        <v>1.0402157221132908</v>
      </c>
    </row>
    <row r="314" spans="1:5" x14ac:dyDescent="0.3">
      <c r="A314" s="31">
        <v>1977.00000000155</v>
      </c>
      <c r="B314" s="2">
        <v>0.81819391896189653</v>
      </c>
      <c r="C314" s="2">
        <v>6.6700000000000065E-2</v>
      </c>
      <c r="D314" s="2">
        <v>5.294297871818595E-2</v>
      </c>
      <c r="E314" s="2">
        <v>1.0308301850178401</v>
      </c>
    </row>
    <row r="315" spans="1:5" x14ac:dyDescent="0.3">
      <c r="A315" s="31">
        <v>1977.0833333348801</v>
      </c>
      <c r="B315" s="2">
        <v>0.66311647904073412</v>
      </c>
      <c r="C315" s="2">
        <v>9.3455000000000024E-2</v>
      </c>
      <c r="D315" s="2">
        <v>5.8453483447147438E-2</v>
      </c>
      <c r="E315" s="2">
        <v>1.0184921159745115</v>
      </c>
    </row>
    <row r="316" spans="1:5" x14ac:dyDescent="0.3">
      <c r="A316" s="31">
        <v>1977.1666666682099</v>
      </c>
      <c r="B316" s="2">
        <v>0.47420930377612341</v>
      </c>
      <c r="C316" s="2">
        <v>8.20825000000001E-2</v>
      </c>
      <c r="D316" s="2">
        <v>4.3084655913372412E-2</v>
      </c>
      <c r="E316" s="2">
        <v>1.0044364079798862</v>
      </c>
    </row>
    <row r="317" spans="1:5" x14ac:dyDescent="0.3">
      <c r="A317" s="31">
        <v>1977.25000000154</v>
      </c>
      <c r="B317" s="2">
        <v>0.71453122195451868</v>
      </c>
      <c r="C317" s="2">
        <v>0.11969333333333343</v>
      </c>
      <c r="D317" s="2">
        <v>6.2367206066096269E-2</v>
      </c>
      <c r="E317" s="2">
        <v>1.0058854898327336</v>
      </c>
    </row>
    <row r="318" spans="1:5" x14ac:dyDescent="0.3">
      <c r="A318" s="31">
        <v>1977.3333333348701</v>
      </c>
      <c r="B318" s="2">
        <v>0.79372423723587493</v>
      </c>
      <c r="C318" s="2">
        <v>0.10371000000000004</v>
      </c>
      <c r="D318" s="2">
        <v>7.1658935224752612E-2</v>
      </c>
      <c r="E318" s="2">
        <v>1.0122571421080446</v>
      </c>
    </row>
    <row r="319" spans="1:5" x14ac:dyDescent="0.3">
      <c r="A319" s="31">
        <v>1977.4166666681999</v>
      </c>
      <c r="B319" s="2">
        <v>0.90327413013780833</v>
      </c>
      <c r="C319" s="2">
        <v>0.11969333333333343</v>
      </c>
      <c r="D319" s="2">
        <v>8.1920531748307046E-2</v>
      </c>
      <c r="E319" s="2">
        <v>1.017605669815322</v>
      </c>
    </row>
    <row r="320" spans="1:5" x14ac:dyDescent="0.3">
      <c r="A320" s="31">
        <v>1977.50000000153</v>
      </c>
      <c r="B320" s="2">
        <v>0.87943905036563186</v>
      </c>
      <c r="C320" s="2">
        <v>5.6971666666666691E-2</v>
      </c>
      <c r="D320" s="2">
        <v>5.1146965258509501E-2</v>
      </c>
      <c r="E320" s="2">
        <v>1.0227975938641578</v>
      </c>
    </row>
    <row r="321" spans="1:5" x14ac:dyDescent="0.3">
      <c r="A321" s="31">
        <v>1977.5833333348701</v>
      </c>
      <c r="B321" s="2">
        <v>0.93877642926733351</v>
      </c>
      <c r="C321" s="2">
        <v>9.3455000000000024E-2</v>
      </c>
      <c r="D321" s="2">
        <v>7.0061818709883927E-2</v>
      </c>
      <c r="E321" s="2">
        <v>1.0283012519720025</v>
      </c>
    </row>
    <row r="322" spans="1:5" x14ac:dyDescent="0.3">
      <c r="A322" s="31">
        <v>1977.6666666681999</v>
      </c>
      <c r="B322" s="2">
        <v>0.89405864571368154</v>
      </c>
      <c r="C322" s="2">
        <v>5.6971666666666691E-2</v>
      </c>
      <c r="D322" s="2">
        <v>4.8942158438138046E-2</v>
      </c>
      <c r="E322" s="2">
        <v>1.0390977173114782</v>
      </c>
    </row>
    <row r="323" spans="1:5" x14ac:dyDescent="0.3">
      <c r="A323" s="31">
        <v>1977.75000000153</v>
      </c>
      <c r="B323" s="2">
        <v>0.90338733855125153</v>
      </c>
      <c r="C323" s="2">
        <v>0.10371000000000004</v>
      </c>
      <c r="D323" s="2">
        <v>7.1141644016958952E-2</v>
      </c>
      <c r="E323" s="2">
        <v>1.0451572640354678</v>
      </c>
    </row>
    <row r="324" spans="1:5" x14ac:dyDescent="0.3">
      <c r="A324" s="31">
        <v>1977.8333333348601</v>
      </c>
      <c r="B324" s="2">
        <v>0.81346831623615934</v>
      </c>
      <c r="C324" s="2">
        <v>5.6971666666666691E-2</v>
      </c>
      <c r="D324" s="2">
        <v>4.325710872871117E-2</v>
      </c>
      <c r="E324" s="2">
        <v>1.0520889873221753</v>
      </c>
    </row>
    <row r="325" spans="1:5" x14ac:dyDescent="0.3">
      <c r="A325" s="31">
        <v>1977.9166666681899</v>
      </c>
      <c r="B325" s="2">
        <v>0.79086447961154394</v>
      </c>
      <c r="C325" s="2">
        <v>9.3455000000000024E-2</v>
      </c>
      <c r="D325" s="2">
        <v>5.7785389948136423E-2</v>
      </c>
      <c r="E325" s="2">
        <v>1.0598818434392083</v>
      </c>
    </row>
    <row r="326" spans="1:5" x14ac:dyDescent="0.3">
      <c r="A326" s="31">
        <v>1978.00000000152</v>
      </c>
      <c r="B326" s="2">
        <v>0.71625316125505911</v>
      </c>
      <c r="C326" s="2">
        <v>5.6971666666666691E-2</v>
      </c>
      <c r="D326" s="2">
        <v>4.0029814014241216E-2</v>
      </c>
      <c r="E326" s="2">
        <v>1.0523556768250169</v>
      </c>
    </row>
    <row r="327" spans="1:5" x14ac:dyDescent="0.3">
      <c r="A327" s="31">
        <v>1978.0833333348501</v>
      </c>
      <c r="B327" s="2">
        <v>0.73413109290346446</v>
      </c>
      <c r="C327" s="2">
        <v>0.10371000000000004</v>
      </c>
      <c r="D327" s="2">
        <v>6.3092260352967874E-2</v>
      </c>
      <c r="E327" s="2">
        <v>1.0295834247525755</v>
      </c>
    </row>
    <row r="328" spans="1:5" x14ac:dyDescent="0.3">
      <c r="A328" s="31">
        <v>1978.1666666681799</v>
      </c>
      <c r="B328" s="2">
        <v>0.77320872266858209</v>
      </c>
      <c r="C328" s="2">
        <v>0.10371000000000007</v>
      </c>
      <c r="D328" s="2">
        <v>7.920905457426751E-2</v>
      </c>
      <c r="E328" s="2">
        <v>1.0160536087405516</v>
      </c>
    </row>
    <row r="329" spans="1:5" x14ac:dyDescent="0.3">
      <c r="A329" s="31">
        <v>1978.25000000151</v>
      </c>
      <c r="B329" s="2">
        <v>0.82098887591257474</v>
      </c>
      <c r="C329" s="2">
        <v>0.11969333333333343</v>
      </c>
      <c r="D329" s="2">
        <v>8.4773714022516836E-2</v>
      </c>
      <c r="E329" s="2">
        <v>1.0138937130317347</v>
      </c>
    </row>
    <row r="330" spans="1:5" x14ac:dyDescent="0.3">
      <c r="A330" s="31">
        <v>1978.3333333348401</v>
      </c>
      <c r="B330" s="2">
        <v>0.87128699958855138</v>
      </c>
      <c r="C330" s="2">
        <v>0.10371000000000007</v>
      </c>
      <c r="D330" s="2">
        <v>9.0334722890940453E-2</v>
      </c>
      <c r="E330" s="2">
        <v>1.0226198780366198</v>
      </c>
    </row>
    <row r="331" spans="1:5" x14ac:dyDescent="0.3">
      <c r="A331" s="31">
        <v>1978.4166666681699</v>
      </c>
      <c r="B331" s="2">
        <v>0.9366261703357841</v>
      </c>
      <c r="C331" s="2">
        <v>0.12994333333333344</v>
      </c>
      <c r="D331" s="2">
        <v>9.537520699774997E-2</v>
      </c>
      <c r="E331" s="2">
        <v>1.0289304091066118</v>
      </c>
    </row>
    <row r="332" spans="1:5" x14ac:dyDescent="0.3">
      <c r="A332" s="31">
        <v>1978.5000000015</v>
      </c>
      <c r="B332" s="2">
        <v>0.87369257351912932</v>
      </c>
      <c r="C332" s="2">
        <v>6.7226666666666685E-2</v>
      </c>
      <c r="D332" s="2">
        <v>6.2964792087157787E-2</v>
      </c>
      <c r="E332" s="2">
        <v>1.0422068455861879</v>
      </c>
    </row>
    <row r="333" spans="1:5" x14ac:dyDescent="0.3">
      <c r="A333" s="31">
        <v>1978.5833333348301</v>
      </c>
      <c r="B333" s="2">
        <v>0.90415872882739379</v>
      </c>
      <c r="C333" s="2">
        <v>8.5471666666666654E-2</v>
      </c>
      <c r="D333" s="2">
        <v>8.1951209489738885E-2</v>
      </c>
      <c r="E333" s="2">
        <v>1.0484713263775387</v>
      </c>
    </row>
    <row r="334" spans="1:5" x14ac:dyDescent="0.3">
      <c r="A334" s="31">
        <v>1978.6666666681599</v>
      </c>
      <c r="B334" s="2">
        <v>0.81247690025959562</v>
      </c>
      <c r="C334" s="2">
        <v>8.3193333333333452E-2</v>
      </c>
      <c r="D334" s="2">
        <v>5.6857056210211282E-2</v>
      </c>
      <c r="E334" s="2">
        <v>1.0606540680912511</v>
      </c>
    </row>
    <row r="335" spans="1:5" x14ac:dyDescent="0.3">
      <c r="A335" s="31">
        <v>1978.75000000149</v>
      </c>
      <c r="B335" s="2">
        <v>0.84566693928127601</v>
      </c>
      <c r="C335" s="2">
        <v>8.5471666666666654E-2</v>
      </c>
      <c r="D335" s="2">
        <v>7.314940633578694E-2</v>
      </c>
      <c r="E335" s="2">
        <v>1.062354120840336</v>
      </c>
    </row>
    <row r="336" spans="1:5" x14ac:dyDescent="0.3">
      <c r="A336" s="31">
        <v>1978.8333333348201</v>
      </c>
      <c r="B336" s="2">
        <v>0.77645788248205172</v>
      </c>
      <c r="C336" s="2">
        <v>6.7226666666666685E-2</v>
      </c>
      <c r="D336" s="2">
        <v>5.2049004878108346E-2</v>
      </c>
      <c r="E336" s="2">
        <v>1.0613523742995741</v>
      </c>
    </row>
    <row r="337" spans="1:5" x14ac:dyDescent="0.3">
      <c r="A337" s="31">
        <v>1978.9166666681499</v>
      </c>
      <c r="B337" s="2">
        <v>0.78096122836928605</v>
      </c>
      <c r="C337" s="2">
        <v>9.3455000000000024E-2</v>
      </c>
      <c r="D337" s="2">
        <v>6.6454095557690163E-2</v>
      </c>
      <c r="E337" s="2">
        <v>1.0628123159277909</v>
      </c>
    </row>
    <row r="338" spans="1:5" x14ac:dyDescent="0.3">
      <c r="A338" s="31">
        <v>1979.00000000148</v>
      </c>
      <c r="B338" s="2">
        <v>0.73632787489944229</v>
      </c>
      <c r="C338" s="2">
        <v>6.7226666666666685E-2</v>
      </c>
      <c r="D338" s="2">
        <v>4.9903171460216444E-2</v>
      </c>
      <c r="E338" s="2">
        <v>1.0588525056907068</v>
      </c>
    </row>
    <row r="339" spans="1:5" x14ac:dyDescent="0.3">
      <c r="A339" s="31">
        <v>1979.08333333481</v>
      </c>
      <c r="B339" s="2">
        <v>0.74013335024108029</v>
      </c>
      <c r="C339" s="2">
        <v>8.5471666666666654E-2</v>
      </c>
      <c r="D339" s="2">
        <v>6.3420745760721167E-2</v>
      </c>
      <c r="E339" s="2">
        <v>1.0240591285620375</v>
      </c>
    </row>
    <row r="340" spans="1:5" x14ac:dyDescent="0.3">
      <c r="A340" s="31">
        <v>1979.1666666681399</v>
      </c>
      <c r="B340" s="2">
        <v>0.78384551658667101</v>
      </c>
      <c r="C340" s="2">
        <v>0.11395499999999999</v>
      </c>
      <c r="D340" s="2">
        <v>7.3626935572577892E-2</v>
      </c>
      <c r="E340" s="2">
        <v>1.008953314137611</v>
      </c>
    </row>
    <row r="341" spans="1:5" x14ac:dyDescent="0.3">
      <c r="A341" s="31">
        <v>1979.25000000147</v>
      </c>
      <c r="B341" s="2">
        <v>0.81518350503154646</v>
      </c>
      <c r="C341" s="2">
        <v>0.10597166666666662</v>
      </c>
      <c r="D341" s="2">
        <v>7.8431398402471222E-2</v>
      </c>
      <c r="E341" s="2">
        <v>1.0051287086804743</v>
      </c>
    </row>
    <row r="342" spans="1:5" x14ac:dyDescent="0.3">
      <c r="A342" s="31">
        <v>1979.3333333348</v>
      </c>
      <c r="B342" s="2">
        <v>0.85670975224886536</v>
      </c>
      <c r="C342" s="2">
        <v>0.10597166666666662</v>
      </c>
      <c r="D342" s="2">
        <v>8.1626189700727381E-2</v>
      </c>
      <c r="E342" s="2">
        <v>1.0142095157367079</v>
      </c>
    </row>
    <row r="343" spans="1:5" x14ac:dyDescent="0.3">
      <c r="A343" s="31">
        <v>1979.4166666681299</v>
      </c>
      <c r="B343" s="2">
        <v>0.88143026371850419</v>
      </c>
      <c r="C343" s="2">
        <v>0.12993833333333338</v>
      </c>
      <c r="D343" s="2">
        <v>8.7539859560768249E-2</v>
      </c>
      <c r="E343" s="2">
        <v>1.0146415041960306</v>
      </c>
    </row>
    <row r="344" spans="1:5" x14ac:dyDescent="0.3">
      <c r="A344" s="31">
        <v>1979.50000000146</v>
      </c>
      <c r="B344" s="2">
        <v>0.80695789972810827</v>
      </c>
      <c r="C344" s="2">
        <v>6.1507499999999875E-2</v>
      </c>
      <c r="D344" s="2">
        <v>4.6082833515767294E-2</v>
      </c>
      <c r="E344" s="2">
        <v>1.021518575467284</v>
      </c>
    </row>
    <row r="345" spans="1:5" x14ac:dyDescent="0.3">
      <c r="A345" s="31">
        <v>1979.58333333479</v>
      </c>
      <c r="B345" s="2">
        <v>0.8754763166023336</v>
      </c>
      <c r="C345" s="2">
        <v>6.4971666666666705E-2</v>
      </c>
      <c r="D345" s="2">
        <v>5.6932198525855265E-2</v>
      </c>
      <c r="E345" s="2">
        <v>1.0380595569817361</v>
      </c>
    </row>
    <row r="346" spans="1:5" x14ac:dyDescent="0.3">
      <c r="A346" s="31">
        <v>1979.6666666681199</v>
      </c>
      <c r="B346" s="2">
        <v>0.78349284709801703</v>
      </c>
      <c r="C346" s="2">
        <v>5.6971666666666691E-2</v>
      </c>
      <c r="D346" s="2">
        <v>4.4144088240793578E-2</v>
      </c>
      <c r="E346" s="2">
        <v>1.0518101065736785</v>
      </c>
    </row>
    <row r="347" spans="1:5" x14ac:dyDescent="0.3">
      <c r="A347" s="31">
        <v>1979.75000000145</v>
      </c>
      <c r="B347" s="2">
        <v>0.8220557124596154</v>
      </c>
      <c r="C347" s="2">
        <v>7.5226666666666706E-2</v>
      </c>
      <c r="D347" s="2">
        <v>5.7688457017893768E-2</v>
      </c>
      <c r="E347" s="2">
        <v>1.0621783209321201</v>
      </c>
    </row>
    <row r="348" spans="1:5" x14ac:dyDescent="0.3">
      <c r="A348" s="31">
        <v>1979.83333333478</v>
      </c>
      <c r="B348" s="2">
        <v>0.73523356529927142</v>
      </c>
      <c r="C348" s="2">
        <v>6.1507499999999875E-2</v>
      </c>
      <c r="D348" s="2">
        <v>3.6748415611959823E-2</v>
      </c>
      <c r="E348" s="2">
        <v>1.0676953394146096</v>
      </c>
    </row>
    <row r="349" spans="1:5" x14ac:dyDescent="0.3">
      <c r="A349" s="31">
        <v>1979.9166666681101</v>
      </c>
      <c r="B349" s="2">
        <v>0.74487742822327385</v>
      </c>
      <c r="C349" s="2">
        <v>6.4971666666666705E-2</v>
      </c>
      <c r="D349" s="2">
        <v>4.7127964700702185E-2</v>
      </c>
      <c r="E349" s="2">
        <v>1.0734913045874623</v>
      </c>
    </row>
    <row r="350" spans="1:5" x14ac:dyDescent="0.3">
      <c r="A350" s="31">
        <v>1980.00000000144</v>
      </c>
      <c r="B350" s="2">
        <v>0.65898648024639372</v>
      </c>
      <c r="C350" s="2">
        <v>5.6971666666666691E-2</v>
      </c>
      <c r="D350" s="2">
        <v>3.6830273440191651E-2</v>
      </c>
      <c r="E350" s="2">
        <v>1.0592473210925839</v>
      </c>
    </row>
    <row r="351" spans="1:5" x14ac:dyDescent="0.3">
      <c r="A351" s="31">
        <v>1980.08333333477</v>
      </c>
      <c r="B351" s="2">
        <v>0.6789354293412323</v>
      </c>
      <c r="C351" s="2">
        <v>7.5226666666666706E-2</v>
      </c>
      <c r="D351" s="2">
        <v>4.994161580878051E-2</v>
      </c>
      <c r="E351" s="2">
        <v>1.0267602876467952</v>
      </c>
    </row>
    <row r="352" spans="1:5" x14ac:dyDescent="0.3">
      <c r="A352" s="31">
        <v>1980.1666666681001</v>
      </c>
      <c r="B352" s="2">
        <v>0.71537641385109563</v>
      </c>
      <c r="C352" s="2">
        <v>0.13218833333333335</v>
      </c>
      <c r="D352" s="2">
        <v>7.7580469581681813E-2</v>
      </c>
      <c r="E352" s="2">
        <v>1.0043456277029179</v>
      </c>
    </row>
    <row r="353" spans="1:5" x14ac:dyDescent="0.3">
      <c r="A353" s="31">
        <v>1980.25000000143</v>
      </c>
      <c r="B353" s="2">
        <v>0.75156083573587251</v>
      </c>
      <c r="C353" s="2">
        <v>0.13218833333333335</v>
      </c>
      <c r="D353" s="2">
        <v>8.4503729531408542E-2</v>
      </c>
      <c r="E353" s="2">
        <v>1.0011654971900621</v>
      </c>
    </row>
    <row r="354" spans="1:5" x14ac:dyDescent="0.3">
      <c r="A354" s="31">
        <v>1980.33333333476</v>
      </c>
      <c r="B354" s="2">
        <v>0.80542013669421397</v>
      </c>
      <c r="C354" s="2">
        <v>0.13218833333333335</v>
      </c>
      <c r="D354" s="2">
        <v>8.7490423014778163E-2</v>
      </c>
      <c r="E354" s="2">
        <v>1.0097251698772034</v>
      </c>
    </row>
    <row r="355" spans="1:5" x14ac:dyDescent="0.3">
      <c r="A355" s="31">
        <v>1980.4166666680901</v>
      </c>
      <c r="B355" s="2">
        <v>0.85769980341172769</v>
      </c>
      <c r="C355" s="2">
        <v>0.15842666666666674</v>
      </c>
      <c r="D355" s="2">
        <v>0.10236771932875714</v>
      </c>
      <c r="E355" s="2">
        <v>1.0112987257220758</v>
      </c>
    </row>
    <row r="356" spans="1:5" x14ac:dyDescent="0.3">
      <c r="A356" s="31">
        <v>1980.5000000014199</v>
      </c>
      <c r="B356" s="2">
        <v>0.79092300555807993</v>
      </c>
      <c r="C356" s="2">
        <v>5.6966666666666665E-2</v>
      </c>
      <c r="D356" s="2">
        <v>4.4659602483720577E-2</v>
      </c>
      <c r="E356" s="2">
        <v>1.0123783665419417</v>
      </c>
    </row>
    <row r="357" spans="1:5" x14ac:dyDescent="0.3">
      <c r="A357" s="31">
        <v>1980.58333333475</v>
      </c>
      <c r="B357" s="2">
        <v>0.89025706409881133</v>
      </c>
      <c r="C357" s="2">
        <v>5.6971666666666698E-2</v>
      </c>
      <c r="D357" s="2">
        <v>4.7621792062797923E-2</v>
      </c>
      <c r="E357" s="2">
        <v>1.0153974259892011</v>
      </c>
    </row>
    <row r="358" spans="1:5" x14ac:dyDescent="0.3">
      <c r="A358" s="31">
        <v>1980.6666666680801</v>
      </c>
      <c r="B358" s="2">
        <v>0.75226963616737852</v>
      </c>
      <c r="C358" s="2">
        <v>6.4971666666666691E-2</v>
      </c>
      <c r="D358" s="2">
        <v>4.488028147087466E-2</v>
      </c>
      <c r="E358" s="2">
        <v>1.0262221232244553</v>
      </c>
    </row>
    <row r="359" spans="1:5" x14ac:dyDescent="0.3">
      <c r="A359" s="31">
        <v>1980.7500000014099</v>
      </c>
      <c r="B359" s="2">
        <v>0.85819534524047825</v>
      </c>
      <c r="C359" s="2">
        <v>5.6971666666666698E-2</v>
      </c>
      <c r="D359" s="2">
        <v>4.5145639538371217E-2</v>
      </c>
      <c r="E359" s="2">
        <v>1.0277185020304389</v>
      </c>
    </row>
    <row r="360" spans="1:5" x14ac:dyDescent="0.3">
      <c r="A360" s="31">
        <v>1980.83333333474</v>
      </c>
      <c r="B360" s="2">
        <v>0.71119135994078908</v>
      </c>
      <c r="C360" s="2">
        <v>5.6966666666666665E-2</v>
      </c>
      <c r="D360" s="2">
        <v>3.5933090017276216E-2</v>
      </c>
      <c r="E360" s="2">
        <v>1.0379816205233263</v>
      </c>
    </row>
    <row r="361" spans="1:5" x14ac:dyDescent="0.3">
      <c r="A361" s="31">
        <v>1980.9166666680701</v>
      </c>
      <c r="B361" s="2">
        <v>0.77850244663381185</v>
      </c>
      <c r="C361" s="2">
        <v>6.4971666666666705E-2</v>
      </c>
      <c r="D361" s="2">
        <v>4.7333838151848412E-2</v>
      </c>
      <c r="E361" s="2">
        <v>1.0470833258189367</v>
      </c>
    </row>
    <row r="362" spans="1:5" x14ac:dyDescent="0.3">
      <c r="A362" s="31">
        <v>1981.0000000013999</v>
      </c>
      <c r="B362" s="2">
        <v>0.61577034850779377</v>
      </c>
      <c r="C362" s="2">
        <v>5.6971666666666691E-2</v>
      </c>
      <c r="D362" s="2">
        <v>3.4159141527343326E-2</v>
      </c>
      <c r="E362" s="2">
        <v>1.0405149380294523</v>
      </c>
    </row>
    <row r="363" spans="1:5" x14ac:dyDescent="0.3">
      <c r="A363" s="31">
        <v>1981.08333333473</v>
      </c>
      <c r="B363" s="2">
        <v>0.70121294002263246</v>
      </c>
      <c r="C363" s="2">
        <v>6.4971666666666705E-2</v>
      </c>
      <c r="D363" s="2">
        <v>4.5060886183833443E-2</v>
      </c>
      <c r="E363" s="2">
        <v>1.0220411396660058</v>
      </c>
    </row>
    <row r="364" spans="1:5" x14ac:dyDescent="0.3">
      <c r="A364" s="31">
        <v>1981.1666666680601</v>
      </c>
      <c r="B364" s="2">
        <v>0.74128194345777088</v>
      </c>
      <c r="C364" s="2">
        <v>0.18346999999999994</v>
      </c>
      <c r="D364" s="2">
        <v>0.13582080929650911</v>
      </c>
      <c r="E364" s="2">
        <v>1.0131913810712367</v>
      </c>
    </row>
    <row r="365" spans="1:5" x14ac:dyDescent="0.3">
      <c r="A365" s="31">
        <v>1981.2500000013899</v>
      </c>
      <c r="B365" s="2">
        <v>0.75949375126425844</v>
      </c>
      <c r="C365" s="2">
        <v>0.2017083333333333</v>
      </c>
      <c r="D365" s="2">
        <v>0.1427223355139712</v>
      </c>
      <c r="E365" s="2">
        <v>1.0106932650075804</v>
      </c>
    </row>
    <row r="366" spans="1:5" x14ac:dyDescent="0.3">
      <c r="A366" s="31">
        <v>1981.33333333472</v>
      </c>
      <c r="B366" s="2">
        <v>0.7774861177919834</v>
      </c>
      <c r="C366" s="2">
        <v>0.18346999999999994</v>
      </c>
      <c r="D366" s="2">
        <v>0.13583812737523193</v>
      </c>
      <c r="E366" s="2">
        <v>1.0208803238065098</v>
      </c>
    </row>
    <row r="367" spans="1:5" x14ac:dyDescent="0.3">
      <c r="A367" s="31">
        <v>1981.4166666680501</v>
      </c>
      <c r="B367" s="2">
        <v>0.87722161387154207</v>
      </c>
      <c r="C367" s="2">
        <v>0.2017083333333333</v>
      </c>
      <c r="D367" s="2">
        <v>0.16193533574569985</v>
      </c>
      <c r="E367" s="2">
        <v>1.0211801241097858</v>
      </c>
    </row>
    <row r="368" spans="1:5" x14ac:dyDescent="0.3">
      <c r="A368" s="31">
        <v>1981.5000000013799</v>
      </c>
      <c r="B368" s="2">
        <v>0.89098948284225765</v>
      </c>
      <c r="C368" s="2">
        <v>5.6966666666666686E-2</v>
      </c>
      <c r="D368" s="2">
        <v>5.2848810143951687E-2</v>
      </c>
      <c r="E368" s="2">
        <v>1.0346439511104901</v>
      </c>
    </row>
    <row r="369" spans="1:5" x14ac:dyDescent="0.3">
      <c r="A369" s="31">
        <v>1981.58333333471</v>
      </c>
      <c r="B369" s="2">
        <v>0.82097219655903275</v>
      </c>
      <c r="C369" s="2">
        <v>8.3205000000000071E-2</v>
      </c>
      <c r="D369" s="2">
        <v>6.4237710841955634E-2</v>
      </c>
      <c r="E369" s="2">
        <v>1.0520387840443313</v>
      </c>
    </row>
    <row r="370" spans="1:5" x14ac:dyDescent="0.3">
      <c r="A370" s="31">
        <v>1981.6666666680401</v>
      </c>
      <c r="B370" s="2">
        <v>0.75835547362809974</v>
      </c>
      <c r="C370" s="2">
        <v>5.6966666666666686E-2</v>
      </c>
      <c r="D370" s="2">
        <v>4.1759753964090783E-2</v>
      </c>
      <c r="E370" s="2">
        <v>1.061483460477288</v>
      </c>
    </row>
    <row r="371" spans="1:5" x14ac:dyDescent="0.3">
      <c r="A371" s="31">
        <v>1981.7500000013699</v>
      </c>
      <c r="B371" s="2">
        <v>0.7545607599426033</v>
      </c>
      <c r="C371" s="2">
        <v>8.3205000000000071E-2</v>
      </c>
      <c r="D371" s="2">
        <v>5.4634887763673139E-2</v>
      </c>
      <c r="E371" s="2">
        <v>1.0746828812652476</v>
      </c>
    </row>
    <row r="372" spans="1:5" x14ac:dyDescent="0.3">
      <c r="A372" s="31">
        <v>1981.8333333347</v>
      </c>
      <c r="B372" s="2">
        <v>0.72722143342907941</v>
      </c>
      <c r="C372" s="2">
        <v>5.6971666666666698E-2</v>
      </c>
      <c r="D372" s="2">
        <v>4.0360502952567108E-2</v>
      </c>
      <c r="E372" s="2">
        <v>1.082280608462675</v>
      </c>
    </row>
    <row r="373" spans="1:5" x14ac:dyDescent="0.3">
      <c r="A373" s="31">
        <v>1981.9166666680301</v>
      </c>
      <c r="B373" s="2">
        <v>0.65900409791412173</v>
      </c>
      <c r="C373" s="2">
        <v>8.3200000000000066E-2</v>
      </c>
      <c r="D373" s="2">
        <v>4.9347586082898513E-2</v>
      </c>
      <c r="E373" s="2">
        <v>1.0859090972379466</v>
      </c>
    </row>
    <row r="374" spans="1:5" x14ac:dyDescent="0.3">
      <c r="A374" s="31">
        <v>1982.0000000013599</v>
      </c>
      <c r="B374" s="2">
        <v>0.65007648204431157</v>
      </c>
      <c r="C374" s="2">
        <v>5.6971666666666698E-2</v>
      </c>
      <c r="D374" s="2">
        <v>3.7815445489892331E-2</v>
      </c>
      <c r="E374" s="2">
        <v>1.0646811415892092</v>
      </c>
    </row>
    <row r="375" spans="1:5" x14ac:dyDescent="0.3">
      <c r="A375" s="31">
        <v>1982.08333333469</v>
      </c>
      <c r="B375" s="2">
        <v>0.6084831556103234</v>
      </c>
      <c r="C375" s="2">
        <v>8.3205000000000071E-2</v>
      </c>
      <c r="D375" s="2">
        <v>4.6667848748407237E-2</v>
      </c>
      <c r="E375" s="2">
        <v>1.0224431745887967</v>
      </c>
    </row>
    <row r="376" spans="1:5" x14ac:dyDescent="0.3">
      <c r="A376" s="31">
        <v>1982.1666666680201</v>
      </c>
      <c r="B376" s="2">
        <v>0.64066209097727478</v>
      </c>
      <c r="C376" s="2">
        <v>9.3455000000000024E-2</v>
      </c>
      <c r="D376" s="2">
        <v>4.3960188462251228E-2</v>
      </c>
      <c r="E376" s="2">
        <v>0.99144154989259614</v>
      </c>
    </row>
    <row r="377" spans="1:5" x14ac:dyDescent="0.3">
      <c r="A377" s="31">
        <v>1982.2500000013499</v>
      </c>
      <c r="B377" s="2">
        <v>0.64086916523518977</v>
      </c>
      <c r="C377" s="2">
        <v>0.10371000000000004</v>
      </c>
      <c r="D377" s="2">
        <v>5.400273973653983E-2</v>
      </c>
      <c r="E377" s="2">
        <v>0.98560955935495487</v>
      </c>
    </row>
    <row r="378" spans="1:5" x14ac:dyDescent="0.3">
      <c r="A378" s="31">
        <v>1982.33333333468</v>
      </c>
      <c r="B378" s="2">
        <v>0.7223620383117364</v>
      </c>
      <c r="C378" s="2">
        <v>0.10371000000000004</v>
      </c>
      <c r="D378" s="2">
        <v>6.0344636207515172E-2</v>
      </c>
      <c r="E378" s="2">
        <v>0.99579417884311439</v>
      </c>
    </row>
    <row r="379" spans="1:5" x14ac:dyDescent="0.3">
      <c r="A379" s="31">
        <v>1982.4166666680101</v>
      </c>
      <c r="B379" s="2">
        <v>0.75821827901559657</v>
      </c>
      <c r="C379" s="2">
        <v>0.10371000000000004</v>
      </c>
      <c r="D379" s="2">
        <v>6.7007846980784769E-2</v>
      </c>
      <c r="E379" s="2">
        <v>1.0064306909583698</v>
      </c>
    </row>
    <row r="380" spans="1:5" x14ac:dyDescent="0.3">
      <c r="A380" s="31">
        <v>1982.5000000013399</v>
      </c>
      <c r="B380" s="2">
        <v>0.82280772877469477</v>
      </c>
      <c r="C380" s="2">
        <v>5.69666666666667E-2</v>
      </c>
      <c r="D380" s="2">
        <v>4.8478164658394413E-2</v>
      </c>
      <c r="E380" s="2">
        <v>1.0153907717481609</v>
      </c>
    </row>
    <row r="381" spans="1:5" x14ac:dyDescent="0.3">
      <c r="A381" s="31">
        <v>1982.58333333467</v>
      </c>
      <c r="B381" s="2">
        <v>0.77764414476949872</v>
      </c>
      <c r="C381" s="2">
        <v>7.5221666666666687E-2</v>
      </c>
      <c r="D381" s="2">
        <v>6.0468658866345414E-2</v>
      </c>
      <c r="E381" s="2">
        <v>1.030254598296285</v>
      </c>
    </row>
    <row r="382" spans="1:5" x14ac:dyDescent="0.3">
      <c r="A382" s="31">
        <v>1982.6666666680001</v>
      </c>
      <c r="B382" s="2">
        <v>0.8759708873649209</v>
      </c>
      <c r="C382" s="2">
        <v>6.4971666666666719E-2</v>
      </c>
      <c r="D382" s="2">
        <v>5.207845198766544E-2</v>
      </c>
      <c r="E382" s="2">
        <v>1.033407916353992</v>
      </c>
    </row>
    <row r="383" spans="1:5" x14ac:dyDescent="0.3">
      <c r="A383" s="31">
        <v>1982.7500000013299</v>
      </c>
      <c r="B383" s="2">
        <v>0.78987612235413673</v>
      </c>
      <c r="C383" s="2">
        <v>8.3205000000000071E-2</v>
      </c>
      <c r="D383" s="2">
        <v>5.7397748577727246E-2</v>
      </c>
      <c r="E383" s="2">
        <v>1.0289477947952101</v>
      </c>
    </row>
    <row r="384" spans="1:5" x14ac:dyDescent="0.3">
      <c r="A384" s="31">
        <v>1982.83333333466</v>
      </c>
      <c r="B384" s="2">
        <v>0.68717739083679297</v>
      </c>
      <c r="C384" s="2">
        <v>5.6966666666666686E-2</v>
      </c>
      <c r="D384" s="2">
        <v>3.7709494543578463E-2</v>
      </c>
      <c r="E384" s="2">
        <v>1.0302348627926785</v>
      </c>
    </row>
    <row r="385" spans="1:5" x14ac:dyDescent="0.3">
      <c r="A385" s="31">
        <v>1982.9166666679901</v>
      </c>
      <c r="B385" s="2">
        <v>0.80019672990215518</v>
      </c>
      <c r="C385" s="2">
        <v>8.5471666666666682E-2</v>
      </c>
      <c r="D385" s="2">
        <v>6.8813584019990451E-2</v>
      </c>
      <c r="E385" s="2">
        <v>1.0365682776446001</v>
      </c>
    </row>
    <row r="386" spans="1:5" x14ac:dyDescent="0.3">
      <c r="A386" s="31">
        <v>1983.0000000013199</v>
      </c>
      <c r="B386" s="2">
        <v>0.68813076740426737</v>
      </c>
      <c r="C386" s="2">
        <v>6.4971666666666705E-2</v>
      </c>
      <c r="D386" s="2">
        <v>4.3012036358386019E-2</v>
      </c>
      <c r="E386" s="2">
        <v>1.029064952139374</v>
      </c>
    </row>
    <row r="387" spans="1:5" x14ac:dyDescent="0.3">
      <c r="A387" s="31">
        <v>1983.08333333465</v>
      </c>
      <c r="B387" s="2">
        <v>0.66042101155971344</v>
      </c>
      <c r="C387" s="2">
        <v>8.3205000000000071E-2</v>
      </c>
      <c r="D387" s="2">
        <v>5.1539503426972749E-2</v>
      </c>
      <c r="E387" s="2">
        <v>1.0084504456901542</v>
      </c>
    </row>
    <row r="388" spans="1:5" x14ac:dyDescent="0.3">
      <c r="A388" s="31">
        <v>1983.1666666679801</v>
      </c>
      <c r="B388" s="2">
        <v>0.7445498396678174</v>
      </c>
      <c r="C388" s="2">
        <v>0.11623166666666666</v>
      </c>
      <c r="D388" s="2">
        <v>8.115958633621452E-2</v>
      </c>
      <c r="E388" s="2">
        <v>0.99066276646601326</v>
      </c>
    </row>
    <row r="389" spans="1:5" x14ac:dyDescent="0.3">
      <c r="A389" s="31">
        <v>1983.2500000013099</v>
      </c>
      <c r="B389" s="2">
        <v>0.64280009750733902</v>
      </c>
      <c r="C389" s="2">
        <v>0.15045333333333341</v>
      </c>
      <c r="D389" s="2">
        <v>8.7470770306694298E-2</v>
      </c>
      <c r="E389" s="2">
        <v>0.98301818210129077</v>
      </c>
    </row>
    <row r="390" spans="1:5" x14ac:dyDescent="0.3">
      <c r="A390" s="31">
        <v>1983.33333333464</v>
      </c>
      <c r="B390" s="2">
        <v>0.67311730622819166</v>
      </c>
      <c r="C390" s="2">
        <v>0.11623166666666666</v>
      </c>
      <c r="D390" s="2">
        <v>8.3804417345988244E-2</v>
      </c>
      <c r="E390" s="2">
        <v>0.99026165119046727</v>
      </c>
    </row>
    <row r="391" spans="1:5" x14ac:dyDescent="0.3">
      <c r="A391" s="31">
        <v>1983.41666666797</v>
      </c>
      <c r="B391" s="2">
        <v>0.70709148570502933</v>
      </c>
      <c r="C391" s="2">
        <v>0.16070333333333342</v>
      </c>
      <c r="D391" s="2">
        <v>9.5612196775773983E-2</v>
      </c>
      <c r="E391" s="2">
        <v>0.99512808476496106</v>
      </c>
    </row>
    <row r="392" spans="1:5" x14ac:dyDescent="0.3">
      <c r="A392" s="31">
        <v>1983.5000000012999</v>
      </c>
      <c r="B392" s="2">
        <v>0.64668395862196948</v>
      </c>
      <c r="C392" s="2">
        <v>5.6971666666666691E-2</v>
      </c>
      <c r="D392" s="2">
        <v>3.7290628628782956E-2</v>
      </c>
      <c r="E392" s="2">
        <v>1.0017430496375193</v>
      </c>
    </row>
    <row r="393" spans="1:5" x14ac:dyDescent="0.3">
      <c r="A393" s="31">
        <v>1983.58333333463</v>
      </c>
      <c r="B393" s="2">
        <v>0.71222657219239238</v>
      </c>
      <c r="C393" s="2">
        <v>9.3460000000000057E-2</v>
      </c>
      <c r="D393" s="2">
        <v>5.487729868114477E-2</v>
      </c>
      <c r="E393" s="2">
        <v>1.0109189666031719</v>
      </c>
    </row>
    <row r="394" spans="1:5" x14ac:dyDescent="0.3">
      <c r="A394" s="31">
        <v>1983.66666666796</v>
      </c>
      <c r="B394" s="2">
        <v>0.62190671364480388</v>
      </c>
      <c r="C394" s="2">
        <v>6.7221666666666666E-2</v>
      </c>
      <c r="D394" s="2">
        <v>3.6695062631923091E-2</v>
      </c>
      <c r="E394" s="2">
        <v>1.0190711146606664</v>
      </c>
    </row>
    <row r="395" spans="1:5" x14ac:dyDescent="0.3">
      <c r="A395" s="31">
        <v>1983.7500000012899</v>
      </c>
      <c r="B395" s="2">
        <v>0.70492006648542205</v>
      </c>
      <c r="C395" s="2">
        <v>9.3460000000000057E-2</v>
      </c>
      <c r="D395" s="2">
        <v>5.2847240020109966E-2</v>
      </c>
      <c r="E395" s="2">
        <v>1.0290375343922267</v>
      </c>
    </row>
    <row r="396" spans="1:5" x14ac:dyDescent="0.3">
      <c r="A396" s="31">
        <v>1983.83333333462</v>
      </c>
      <c r="B396" s="2">
        <v>0.60561979971240287</v>
      </c>
      <c r="C396" s="2">
        <v>8.3205000000000057E-2</v>
      </c>
      <c r="D396" s="2">
        <v>3.723535032829918E-2</v>
      </c>
      <c r="E396" s="2">
        <v>1.0382674481946226</v>
      </c>
    </row>
    <row r="397" spans="1:5" x14ac:dyDescent="0.3">
      <c r="A397" s="31">
        <v>1983.91666666795</v>
      </c>
      <c r="B397" s="2">
        <v>0.65042293188899925</v>
      </c>
      <c r="C397" s="2">
        <v>7.747666666666668E-2</v>
      </c>
      <c r="D397" s="2">
        <v>4.5127602085842801E-2</v>
      </c>
      <c r="E397" s="2">
        <v>1.0565434459117149</v>
      </c>
    </row>
    <row r="398" spans="1:5" x14ac:dyDescent="0.3">
      <c r="A398" s="31">
        <v>1984.0000000012799</v>
      </c>
      <c r="B398" s="2">
        <v>0.53873784311231343</v>
      </c>
      <c r="C398" s="2">
        <v>8.3205000000000057E-2</v>
      </c>
      <c r="D398" s="2">
        <v>3.3041551379631745E-2</v>
      </c>
      <c r="E398" s="2">
        <v>1.0465580057567658</v>
      </c>
    </row>
    <row r="399" spans="1:5" x14ac:dyDescent="0.3">
      <c r="A399" s="31">
        <v>1984.08333333461</v>
      </c>
      <c r="B399" s="2">
        <v>0.55631994397824058</v>
      </c>
      <c r="C399" s="2">
        <v>9.3460000000000057E-2</v>
      </c>
      <c r="D399" s="2">
        <v>4.1696303116151044E-2</v>
      </c>
      <c r="E399" s="2">
        <v>1.0115064860115996</v>
      </c>
    </row>
    <row r="400" spans="1:5" x14ac:dyDescent="0.3">
      <c r="A400" s="31">
        <v>1984.16666666794</v>
      </c>
      <c r="B400" s="2">
        <v>0.62898080003352597</v>
      </c>
      <c r="C400" s="2">
        <v>9.5726666666666668E-2</v>
      </c>
      <c r="D400" s="2">
        <v>5.8595815554505826E-2</v>
      </c>
      <c r="E400" s="2">
        <v>0.99398514541453431</v>
      </c>
    </row>
    <row r="401" spans="1:5" x14ac:dyDescent="0.3">
      <c r="A401" s="31">
        <v>1984.2500000012701</v>
      </c>
      <c r="B401" s="2">
        <v>0.56887233648666069</v>
      </c>
      <c r="C401" s="2">
        <v>0.10371000000000007</v>
      </c>
      <c r="D401" s="2">
        <v>5.9455097424217118E-2</v>
      </c>
      <c r="E401" s="2">
        <v>0.99157937057160739</v>
      </c>
    </row>
    <row r="402" spans="1:5" x14ac:dyDescent="0.3">
      <c r="A402" s="31">
        <v>1984.3333333346</v>
      </c>
      <c r="B402" s="2">
        <v>0.59881981102035498</v>
      </c>
      <c r="C402" s="2">
        <v>0.10371000000000007</v>
      </c>
      <c r="D402" s="2">
        <v>6.112465850869301E-2</v>
      </c>
      <c r="E402" s="2">
        <v>1.0035419787067819</v>
      </c>
    </row>
    <row r="403" spans="1:5" x14ac:dyDescent="0.3">
      <c r="A403" s="31">
        <v>1984.41666666793</v>
      </c>
      <c r="B403" s="2">
        <v>0.65738928393870222</v>
      </c>
      <c r="C403" s="2">
        <v>0.1401983333333334</v>
      </c>
      <c r="D403" s="2">
        <v>8.296926898853485E-2</v>
      </c>
      <c r="E403" s="2">
        <v>1.0152259063357234</v>
      </c>
    </row>
    <row r="404" spans="1:5" x14ac:dyDescent="0.3">
      <c r="A404" s="31">
        <v>1984.5000000012601</v>
      </c>
      <c r="B404" s="2">
        <v>0.66483567012472522</v>
      </c>
      <c r="C404" s="2">
        <v>6.1514999999999952E-2</v>
      </c>
      <c r="D404" s="2">
        <v>4.4887029739775888E-2</v>
      </c>
      <c r="E404" s="2">
        <v>1.0207281353904327</v>
      </c>
    </row>
    <row r="405" spans="1:5" x14ac:dyDescent="0.3">
      <c r="A405" s="31">
        <v>1984.58333333459</v>
      </c>
      <c r="B405" s="2">
        <v>0.72554701302066338</v>
      </c>
      <c r="C405" s="2">
        <v>6.4971666666666705E-2</v>
      </c>
      <c r="D405" s="2">
        <v>4.8900453242765984E-2</v>
      </c>
      <c r="E405" s="2">
        <v>1.0234822387369134</v>
      </c>
    </row>
    <row r="406" spans="1:5" x14ac:dyDescent="0.3">
      <c r="A406" s="31">
        <v>1984.66666666792</v>
      </c>
      <c r="B406" s="2">
        <v>0.64830001883259469</v>
      </c>
      <c r="C406" s="2">
        <v>5.6971666666666691E-2</v>
      </c>
      <c r="D406" s="2">
        <v>3.6933644342391624E-2</v>
      </c>
      <c r="E406" s="2">
        <v>1.0320212148036396</v>
      </c>
    </row>
    <row r="407" spans="1:5" x14ac:dyDescent="0.3">
      <c r="A407" s="31">
        <v>1984.7500000012501</v>
      </c>
      <c r="B407" s="2">
        <v>0.72938619580222763</v>
      </c>
      <c r="C407" s="2">
        <v>6.4971666666666705E-2</v>
      </c>
      <c r="D407" s="2">
        <v>4.5690993164115713E-2</v>
      </c>
      <c r="E407" s="2">
        <v>1.0389375468937179</v>
      </c>
    </row>
    <row r="408" spans="1:5" x14ac:dyDescent="0.3">
      <c r="A408" s="31">
        <v>1984.8333333345799</v>
      </c>
      <c r="B408" s="2">
        <v>0.65256456418069309</v>
      </c>
      <c r="C408" s="2">
        <v>5.6971666666666691E-2</v>
      </c>
      <c r="D408" s="2">
        <v>3.4216092943631919E-2</v>
      </c>
      <c r="E408" s="2">
        <v>1.0476143025626603</v>
      </c>
    </row>
    <row r="409" spans="1:5" x14ac:dyDescent="0.3">
      <c r="A409" s="31">
        <v>1984.91666666791</v>
      </c>
      <c r="B409" s="2">
        <v>0.67566590212863453</v>
      </c>
      <c r="C409" s="2">
        <v>6.4971666666666705E-2</v>
      </c>
      <c r="D409" s="2">
        <v>4.1919793769869866E-2</v>
      </c>
      <c r="E409" s="2">
        <v>1.0562932305523753</v>
      </c>
    </row>
    <row r="410" spans="1:5" x14ac:dyDescent="0.3">
      <c r="A410" s="31">
        <v>1985.0000000012401</v>
      </c>
      <c r="B410" s="2">
        <v>0.56910017872733731</v>
      </c>
      <c r="C410" s="2">
        <v>5.6971666666666691E-2</v>
      </c>
      <c r="D410" s="2">
        <v>3.1121049153517027E-2</v>
      </c>
      <c r="E410" s="2">
        <v>1.048966069856794</v>
      </c>
    </row>
    <row r="411" spans="1:5" x14ac:dyDescent="0.3">
      <c r="A411" s="31">
        <v>1985.0833333345699</v>
      </c>
      <c r="B411" s="2">
        <v>0.59429712573853033</v>
      </c>
      <c r="C411" s="2">
        <v>7.5226666666666706E-2</v>
      </c>
      <c r="D411" s="2">
        <v>4.428905130467619E-2</v>
      </c>
      <c r="E411" s="2">
        <v>1.0205702255072031</v>
      </c>
    </row>
    <row r="412" spans="1:5" x14ac:dyDescent="0.3">
      <c r="A412" s="31">
        <v>1985.1666666679</v>
      </c>
      <c r="B412" s="2">
        <v>0.65239712010658768</v>
      </c>
      <c r="C412" s="2">
        <v>0.13218333333333335</v>
      </c>
      <c r="D412" s="2">
        <v>7.2389619103290073E-2</v>
      </c>
      <c r="E412" s="2">
        <v>0.99321870123268829</v>
      </c>
    </row>
    <row r="413" spans="1:5" x14ac:dyDescent="0.3">
      <c r="A413" s="31">
        <v>1985.2500000012301</v>
      </c>
      <c r="B413" s="2">
        <v>0.67794432659823911</v>
      </c>
      <c r="C413" s="2">
        <v>0.1299216666666668</v>
      </c>
      <c r="D413" s="2">
        <v>7.7759561512487363E-2</v>
      </c>
      <c r="E413" s="2">
        <v>0.98855473245534653</v>
      </c>
    </row>
    <row r="414" spans="1:5" x14ac:dyDescent="0.3">
      <c r="A414" s="31">
        <v>1985.3333333345599</v>
      </c>
      <c r="B414" s="2">
        <v>0.73273225758005844</v>
      </c>
      <c r="C414" s="2">
        <v>0.1299216666666668</v>
      </c>
      <c r="D414" s="2">
        <v>8.7561594226381989E-2</v>
      </c>
      <c r="E414" s="2">
        <v>0.99219956244151952</v>
      </c>
    </row>
    <row r="415" spans="1:5" x14ac:dyDescent="0.3">
      <c r="A415" s="31">
        <v>1985.41666666789</v>
      </c>
      <c r="B415" s="2">
        <v>0.80783765821903897</v>
      </c>
      <c r="C415" s="2">
        <v>0.14590500000000017</v>
      </c>
      <c r="D415" s="2">
        <v>9.6801604087348128E-2</v>
      </c>
      <c r="E415" s="2">
        <v>0.99361370473489663</v>
      </c>
    </row>
    <row r="416" spans="1:5" x14ac:dyDescent="0.3">
      <c r="A416" s="31">
        <v>1985.5000000012201</v>
      </c>
      <c r="B416" s="2">
        <v>0.79633692941542922</v>
      </c>
      <c r="C416" s="2">
        <v>5.4707500000000131E-2</v>
      </c>
      <c r="D416" s="2">
        <v>4.4365058794421083E-2</v>
      </c>
      <c r="E416" s="2">
        <v>1.0003437078572444</v>
      </c>
    </row>
    <row r="417" spans="1:5" x14ac:dyDescent="0.3">
      <c r="A417" s="31">
        <v>1985.5833333345499</v>
      </c>
      <c r="B417" s="2">
        <v>0.83788797892951161</v>
      </c>
      <c r="C417" s="2">
        <v>6.4971666666666705E-2</v>
      </c>
      <c r="D417" s="2">
        <v>5.5792083649088366E-2</v>
      </c>
      <c r="E417" s="2">
        <v>1.0104591989005809</v>
      </c>
    </row>
    <row r="418" spans="1:5" x14ac:dyDescent="0.3">
      <c r="A418" s="31">
        <v>1985.66666666788</v>
      </c>
      <c r="B418" s="2">
        <v>0.83247810705381187</v>
      </c>
      <c r="C418" s="2">
        <v>6.6707500000000128E-2</v>
      </c>
      <c r="D418" s="2">
        <v>5.4796270470431896E-2</v>
      </c>
      <c r="E418" s="2">
        <v>1.0264659237103024</v>
      </c>
    </row>
    <row r="419" spans="1:5" x14ac:dyDescent="0.3">
      <c r="A419" s="31">
        <v>1985.7500000012101</v>
      </c>
      <c r="B419" s="2">
        <v>0.87021400251895964</v>
      </c>
      <c r="C419" s="2">
        <v>6.4971666666666705E-2</v>
      </c>
      <c r="D419" s="2">
        <v>5.3936325622070881E-2</v>
      </c>
      <c r="E419" s="2">
        <v>1.0426728091275568</v>
      </c>
    </row>
    <row r="420" spans="1:5" x14ac:dyDescent="0.3">
      <c r="A420" s="31">
        <v>1985.8333333345399</v>
      </c>
      <c r="B420" s="2">
        <v>0.87258242114241003</v>
      </c>
      <c r="C420" s="2">
        <v>6.6707500000000128E-2</v>
      </c>
      <c r="D420" s="2">
        <v>5.2688047473070154E-2</v>
      </c>
      <c r="E420" s="2">
        <v>1.0451277435999744</v>
      </c>
    </row>
    <row r="421" spans="1:5" x14ac:dyDescent="0.3">
      <c r="A421" s="31">
        <v>1985.91666666787</v>
      </c>
      <c r="B421" s="2">
        <v>0.85119556555449893</v>
      </c>
      <c r="C421" s="2">
        <v>6.4971666666666705E-2</v>
      </c>
      <c r="D421" s="2">
        <v>5.2031734756665303E-2</v>
      </c>
      <c r="E421" s="2">
        <v>1.0571649813962316</v>
      </c>
    </row>
    <row r="422" spans="1:5" x14ac:dyDescent="0.3">
      <c r="A422" s="31">
        <v>1986.0000000012001</v>
      </c>
      <c r="B422" s="2">
        <v>0.93146784570556684</v>
      </c>
      <c r="C422" s="2">
        <v>6.4971666666666719E-2</v>
      </c>
      <c r="D422" s="2">
        <v>5.8049847921990472E-2</v>
      </c>
      <c r="E422" s="2">
        <v>1.0528413144123234</v>
      </c>
    </row>
    <row r="423" spans="1:5" x14ac:dyDescent="0.3">
      <c r="A423" s="31">
        <v>1986.0833333345299</v>
      </c>
      <c r="B423" s="2">
        <v>0.63354856276389249</v>
      </c>
      <c r="C423" s="2">
        <v>7.5226666666666678E-2</v>
      </c>
      <c r="D423" s="2">
        <v>5.0582043346683501E-2</v>
      </c>
      <c r="E423" s="2">
        <v>1.0253720044746977</v>
      </c>
    </row>
    <row r="424" spans="1:5" x14ac:dyDescent="0.3">
      <c r="A424" s="31">
        <v>1986.16666666786</v>
      </c>
      <c r="B424" s="2">
        <v>0.75485931322721278</v>
      </c>
      <c r="C424" s="2">
        <v>0.11396000000000002</v>
      </c>
      <c r="D424" s="2">
        <v>6.2064181996664108E-2</v>
      </c>
      <c r="E424" s="2">
        <v>0.99725659298403602</v>
      </c>
    </row>
    <row r="425" spans="1:5" x14ac:dyDescent="0.3">
      <c r="A425" s="31">
        <v>1986.2500000011901</v>
      </c>
      <c r="B425" s="2">
        <v>0.62062897945134443</v>
      </c>
      <c r="C425" s="2">
        <v>0.15044833333333335</v>
      </c>
      <c r="D425" s="2">
        <v>6.5906585837790868E-2</v>
      </c>
      <c r="E425" s="2">
        <v>0.99107430355667703</v>
      </c>
    </row>
    <row r="426" spans="1:5" x14ac:dyDescent="0.3">
      <c r="A426" s="31">
        <v>1986.3333333345199</v>
      </c>
      <c r="B426" s="2">
        <v>0.72367178957472822</v>
      </c>
      <c r="C426" s="2">
        <v>0.12421500000000001</v>
      </c>
      <c r="D426" s="2">
        <v>6.747802959256953E-2</v>
      </c>
      <c r="E426" s="2">
        <v>0.99705410494105751</v>
      </c>
    </row>
    <row r="427" spans="1:5" x14ac:dyDescent="0.3">
      <c r="A427" s="31">
        <v>1986.41666666785</v>
      </c>
      <c r="B427" s="2">
        <v>0.73611059166197557</v>
      </c>
      <c r="C427" s="2">
        <v>0.15843166666666675</v>
      </c>
      <c r="D427" s="2">
        <v>7.1031988676145671E-2</v>
      </c>
      <c r="E427" s="2">
        <v>1.0056671527553864</v>
      </c>
    </row>
    <row r="428" spans="1:5" x14ac:dyDescent="0.3">
      <c r="A428" s="31">
        <v>1986.5000000011801</v>
      </c>
      <c r="B428" s="2">
        <v>0.89467090165838681</v>
      </c>
      <c r="C428" s="2">
        <v>5.69666666666667E-2</v>
      </c>
      <c r="D428" s="2">
        <v>5.4189750735890739E-2</v>
      </c>
      <c r="E428" s="2">
        <v>1.0171290118303056</v>
      </c>
    </row>
    <row r="429" spans="1:5" x14ac:dyDescent="0.3">
      <c r="A429" s="31">
        <v>1986.5833333345099</v>
      </c>
      <c r="B429" s="2">
        <v>0.83999308009570173</v>
      </c>
      <c r="C429" s="2">
        <v>9.5721666666666663E-2</v>
      </c>
      <c r="D429" s="2">
        <v>7.8486839677428727E-2</v>
      </c>
      <c r="E429" s="2">
        <v>1.0254954893367214</v>
      </c>
    </row>
    <row r="430" spans="1:5" x14ac:dyDescent="0.3">
      <c r="A430" s="31">
        <v>1986.66666666784</v>
      </c>
      <c r="B430" s="2">
        <v>0.75066477352186389</v>
      </c>
      <c r="C430" s="2">
        <v>7.5221666666666687E-2</v>
      </c>
      <c r="D430" s="2">
        <v>4.9720596461191091E-2</v>
      </c>
      <c r="E430" s="2">
        <v>1.0296502141822335</v>
      </c>
    </row>
    <row r="431" spans="1:5" x14ac:dyDescent="0.3">
      <c r="A431" s="31">
        <v>1986.7500000011701</v>
      </c>
      <c r="B431" s="2">
        <v>0.8057931113164164</v>
      </c>
      <c r="C431" s="2">
        <v>9.5721666666666663E-2</v>
      </c>
      <c r="D431" s="2">
        <v>6.676298199914045E-2</v>
      </c>
      <c r="E431" s="2">
        <v>1.0303835830364754</v>
      </c>
    </row>
    <row r="432" spans="1:5" x14ac:dyDescent="0.3">
      <c r="A432" s="31">
        <v>1986.8333333344999</v>
      </c>
      <c r="B432" s="2">
        <v>0.74797437020185065</v>
      </c>
      <c r="C432" s="2">
        <v>9.5721666666666663E-2</v>
      </c>
      <c r="D432" s="2">
        <v>5.9167871154515404E-2</v>
      </c>
      <c r="E432" s="2">
        <v>1.0391711524402392</v>
      </c>
    </row>
    <row r="433" spans="1:5" x14ac:dyDescent="0.3">
      <c r="A433" s="31">
        <v>1986.91666666783</v>
      </c>
      <c r="B433" s="2">
        <v>0.65219960002148947</v>
      </c>
      <c r="C433" s="2">
        <v>7.5221666666666687E-2</v>
      </c>
      <c r="D433" s="2">
        <v>4.0666229579042618E-2</v>
      </c>
      <c r="E433" s="2">
        <v>1.0446259010152783</v>
      </c>
    </row>
    <row r="434" spans="1:5" x14ac:dyDescent="0.3">
      <c r="A434" s="31">
        <v>1987.0000000011601</v>
      </c>
      <c r="B434" s="2">
        <v>0.63327962383441072</v>
      </c>
      <c r="C434" s="2">
        <v>9.5721666666666663E-2</v>
      </c>
      <c r="D434" s="2">
        <v>5.2102002980172736E-2</v>
      </c>
      <c r="E434" s="2">
        <v>1.0366234890565553</v>
      </c>
    </row>
    <row r="435" spans="1:5" x14ac:dyDescent="0.3">
      <c r="A435" s="31">
        <v>1987.0833333344899</v>
      </c>
      <c r="B435" s="2">
        <v>0.59003151418715116</v>
      </c>
      <c r="C435" s="2">
        <v>9.3455000000000066E-2</v>
      </c>
      <c r="D435" s="2">
        <v>4.3925059047213368E-2</v>
      </c>
      <c r="E435" s="2">
        <v>1.0151255791414517</v>
      </c>
    </row>
    <row r="436" spans="1:5" x14ac:dyDescent="0.3">
      <c r="A436" s="31">
        <v>1987.16666666782</v>
      </c>
      <c r="B436" s="2">
        <v>0.58092838735399355</v>
      </c>
      <c r="C436" s="2">
        <v>0.1241883333333333</v>
      </c>
      <c r="D436" s="2">
        <v>5.0088648245143509E-2</v>
      </c>
      <c r="E436" s="2">
        <v>0.99025380403565821</v>
      </c>
    </row>
    <row r="437" spans="1:5" x14ac:dyDescent="0.3">
      <c r="A437" s="31">
        <v>1987.2500000011501</v>
      </c>
      <c r="B437" s="2">
        <v>0.60009412623675329</v>
      </c>
      <c r="C437" s="2">
        <v>0.15269333333333326</v>
      </c>
      <c r="D437" s="2">
        <v>7.3956203958417691E-2</v>
      </c>
      <c r="E437" s="2">
        <v>0.98585379456724653</v>
      </c>
    </row>
    <row r="438" spans="1:5" x14ac:dyDescent="0.3">
      <c r="A438" s="31">
        <v>1987.3333333344799</v>
      </c>
      <c r="B438" s="2">
        <v>0.62325079454004373</v>
      </c>
      <c r="C438" s="2">
        <v>0.14015500000000009</v>
      </c>
      <c r="D438" s="2">
        <v>5.9928975655027535E-2</v>
      </c>
      <c r="E438" s="2">
        <v>0.98976789201845883</v>
      </c>
    </row>
    <row r="439" spans="1:5" x14ac:dyDescent="0.3">
      <c r="A439" s="31">
        <v>1987.41666666781</v>
      </c>
      <c r="B439" s="2">
        <v>0.67358383004916256</v>
      </c>
      <c r="C439" s="2">
        <v>0.15269333333333326</v>
      </c>
      <c r="D439" s="2">
        <v>8.9999673618138307E-2</v>
      </c>
      <c r="E439" s="2">
        <v>0.99206525894840913</v>
      </c>
    </row>
    <row r="440" spans="1:5" x14ac:dyDescent="0.3">
      <c r="A440" s="31">
        <v>1987.5000000011401</v>
      </c>
      <c r="B440" s="2">
        <v>0.72189429534405525</v>
      </c>
      <c r="C440" s="2">
        <v>5.4715000000000152E-2</v>
      </c>
      <c r="D440" s="2">
        <v>4.2149539527610289E-2</v>
      </c>
      <c r="E440" s="2">
        <v>1.0031770438788772</v>
      </c>
    </row>
    <row r="441" spans="1:5" x14ac:dyDescent="0.3">
      <c r="A441" s="31">
        <v>1987.5833333344699</v>
      </c>
      <c r="B441" s="2">
        <v>0.65147182013112959</v>
      </c>
      <c r="C441" s="2">
        <v>7.2955000000000089E-2</v>
      </c>
      <c r="D441" s="2">
        <v>4.2454945220399422E-2</v>
      </c>
      <c r="E441" s="2">
        <v>1.0133783891533641</v>
      </c>
    </row>
    <row r="442" spans="1:5" x14ac:dyDescent="0.3">
      <c r="A442" s="31">
        <v>1987.6666666678</v>
      </c>
      <c r="B442" s="2">
        <v>0.76478606838112229</v>
      </c>
      <c r="C442" s="2">
        <v>7.8665000000000304E-2</v>
      </c>
      <c r="D442" s="2">
        <v>3.8317937089209976E-2</v>
      </c>
      <c r="E442" s="2">
        <v>1.0271699279033442</v>
      </c>
    </row>
    <row r="443" spans="1:5" x14ac:dyDescent="0.3">
      <c r="A443" s="31">
        <v>1987.75000000113</v>
      </c>
      <c r="B443" s="2">
        <v>0.65458269596765628</v>
      </c>
      <c r="C443" s="2">
        <v>7.2955000000000089E-2</v>
      </c>
      <c r="D443" s="2">
        <v>3.9421094457046051E-2</v>
      </c>
      <c r="E443" s="2">
        <v>1.0430244939314395</v>
      </c>
    </row>
    <row r="444" spans="1:5" x14ac:dyDescent="0.3">
      <c r="A444" s="31">
        <v>1987.8333333344599</v>
      </c>
      <c r="B444" s="2">
        <v>0.6695916969571023</v>
      </c>
      <c r="C444" s="2">
        <v>6.4976666666666696E-2</v>
      </c>
      <c r="D444" s="2">
        <v>3.924974718944519E-2</v>
      </c>
      <c r="E444" s="2">
        <v>1.0503281459911926</v>
      </c>
    </row>
    <row r="445" spans="1:5" x14ac:dyDescent="0.3">
      <c r="A445" s="31">
        <v>1987.91666666779</v>
      </c>
      <c r="B445" s="2">
        <v>0.60599628260201011</v>
      </c>
      <c r="C445" s="2">
        <v>7.2938333333333494E-2</v>
      </c>
      <c r="D445" s="2">
        <v>3.2574141378124963E-2</v>
      </c>
      <c r="E445" s="2">
        <v>1.0618747083986428</v>
      </c>
    </row>
    <row r="446" spans="1:5" x14ac:dyDescent="0.3">
      <c r="A446" s="31">
        <v>1988.00000000112</v>
      </c>
      <c r="B446" s="2">
        <v>0.57282112694091003</v>
      </c>
      <c r="C446" s="2">
        <v>7.2960000000000094E-2</v>
      </c>
      <c r="D446" s="2">
        <v>3.5923522197816291E-2</v>
      </c>
      <c r="E446" s="2">
        <v>1.0557346985637257</v>
      </c>
    </row>
    <row r="447" spans="1:5" x14ac:dyDescent="0.3">
      <c r="A447" s="31">
        <v>1988.0833333344499</v>
      </c>
      <c r="B447" s="2">
        <v>0.51634765539207617</v>
      </c>
      <c r="C447" s="2">
        <v>7.2955000000000089E-2</v>
      </c>
      <c r="D447" s="2">
        <v>3.3035485833133364E-2</v>
      </c>
      <c r="E447" s="2">
        <v>1.0202605081873253</v>
      </c>
    </row>
    <row r="448" spans="1:5" x14ac:dyDescent="0.3">
      <c r="A448" s="31">
        <v>1988.16666666778</v>
      </c>
      <c r="B448" s="2">
        <v>0.52107618740712158</v>
      </c>
      <c r="C448" s="2">
        <v>0.12195500000000002</v>
      </c>
      <c r="D448" s="2">
        <v>5.1675301514376992E-2</v>
      </c>
      <c r="E448" s="2">
        <v>0.99292787250045744</v>
      </c>
    </row>
    <row r="449" spans="1:5" x14ac:dyDescent="0.3">
      <c r="A449" s="31">
        <v>1988.25000000111</v>
      </c>
      <c r="B449" s="2">
        <v>0.54279634524355025</v>
      </c>
      <c r="C449" s="2">
        <v>0.13221000000000002</v>
      </c>
      <c r="D449" s="2">
        <v>6.0314091304077194E-2</v>
      </c>
      <c r="E449" s="2">
        <v>0.99112154731294599</v>
      </c>
    </row>
    <row r="450" spans="1:5" x14ac:dyDescent="0.3">
      <c r="A450" s="31">
        <v>1988.3333333344401</v>
      </c>
      <c r="B450" s="2">
        <v>0.59691050614107788</v>
      </c>
      <c r="C450" s="2">
        <v>0.13221000000000002</v>
      </c>
      <c r="D450" s="2">
        <v>6.5646109284945867E-2</v>
      </c>
      <c r="E450" s="2">
        <v>0.99595038431034311</v>
      </c>
    </row>
    <row r="451" spans="1:5" x14ac:dyDescent="0.3">
      <c r="A451" s="31">
        <v>1988.41666666777</v>
      </c>
      <c r="B451" s="2">
        <v>0.65132788340758896</v>
      </c>
      <c r="C451" s="2">
        <v>0.15044333333333337</v>
      </c>
      <c r="D451" s="2">
        <v>7.3647461813855605E-2</v>
      </c>
      <c r="E451" s="2">
        <v>1.0020638997179456</v>
      </c>
    </row>
    <row r="452" spans="1:5" x14ac:dyDescent="0.3">
      <c r="A452" s="31">
        <v>1988.5000000011</v>
      </c>
      <c r="B452" s="2">
        <v>0.61364854470036956</v>
      </c>
      <c r="C452" s="2">
        <v>6.1507499999999875E-2</v>
      </c>
      <c r="D452" s="2">
        <v>4.1188585235111555E-2</v>
      </c>
      <c r="E452" s="2">
        <v>1.0093193438222299</v>
      </c>
    </row>
    <row r="453" spans="1:5" x14ac:dyDescent="0.3">
      <c r="A453" s="31">
        <v>1988.5833333344301</v>
      </c>
      <c r="B453" s="2">
        <v>0.62644692595009221</v>
      </c>
      <c r="C453" s="2">
        <v>7.5226666666666706E-2</v>
      </c>
      <c r="D453" s="2">
        <v>4.9432584195599615E-2</v>
      </c>
      <c r="E453" s="2">
        <v>1.0211307536210812</v>
      </c>
    </row>
    <row r="454" spans="1:5" x14ac:dyDescent="0.3">
      <c r="A454" s="31">
        <v>1988.66666666776</v>
      </c>
      <c r="B454" s="2">
        <v>0.60858175680813897</v>
      </c>
      <c r="C454" s="2">
        <v>6.7221666666666666E-2</v>
      </c>
      <c r="D454" s="2">
        <v>3.4987116665361646E-2</v>
      </c>
      <c r="E454" s="2">
        <v>1.0410950189167185</v>
      </c>
    </row>
    <row r="455" spans="1:5" x14ac:dyDescent="0.3">
      <c r="A455" s="31">
        <v>1988.7500000011</v>
      </c>
      <c r="B455" s="2">
        <v>0.64129910675838475</v>
      </c>
      <c r="C455" s="2">
        <v>7.5226666666666706E-2</v>
      </c>
      <c r="D455" s="2">
        <v>4.7746257459590109E-2</v>
      </c>
      <c r="E455" s="2">
        <v>1.064234947716878</v>
      </c>
    </row>
    <row r="456" spans="1:5" x14ac:dyDescent="0.3">
      <c r="A456" s="31">
        <v>1988.8333333344301</v>
      </c>
      <c r="B456" s="2">
        <v>0.60252158505646947</v>
      </c>
      <c r="C456" s="2">
        <v>7.6889999999999875E-2</v>
      </c>
      <c r="D456" s="2">
        <v>4.778309189115703E-2</v>
      </c>
      <c r="E456" s="2">
        <v>1.0909702872506679</v>
      </c>
    </row>
    <row r="457" spans="1:5" x14ac:dyDescent="0.3">
      <c r="A457" s="31">
        <v>1988.91666666776</v>
      </c>
      <c r="B457" s="2">
        <v>0.59807696505396313</v>
      </c>
      <c r="C457" s="2">
        <v>7.5221666666666687E-2</v>
      </c>
      <c r="D457" s="2">
        <v>3.7965299009184848E-2</v>
      </c>
      <c r="E457" s="2">
        <v>1.1158343858335098</v>
      </c>
    </row>
    <row r="458" spans="1:5" x14ac:dyDescent="0.3">
      <c r="A458" s="31">
        <v>1989.00000000109</v>
      </c>
      <c r="B458" s="2">
        <v>0.55450450048760447</v>
      </c>
      <c r="C458" s="2">
        <v>6.7226666666666685E-2</v>
      </c>
      <c r="D458" s="2">
        <v>3.8240104355575254E-2</v>
      </c>
      <c r="E458" s="2">
        <v>1.11035764613026</v>
      </c>
    </row>
    <row r="459" spans="1:5" x14ac:dyDescent="0.3">
      <c r="A459" s="31">
        <v>1989.0833333344201</v>
      </c>
      <c r="B459" s="2">
        <v>0.55969046771189457</v>
      </c>
      <c r="C459" s="2">
        <v>8.5476666666666687E-2</v>
      </c>
      <c r="D459" s="2">
        <v>4.2925761656898459E-2</v>
      </c>
      <c r="E459" s="2">
        <v>1.0607709966955345</v>
      </c>
    </row>
    <row r="460" spans="1:5" x14ac:dyDescent="0.3">
      <c r="A460" s="31">
        <v>1989.16666666775</v>
      </c>
      <c r="B460" s="2">
        <v>0.58657246872103075</v>
      </c>
      <c r="C460" s="2">
        <v>8.7721666666666628E-2</v>
      </c>
      <c r="D460" s="2">
        <v>4.1558199887453705E-2</v>
      </c>
      <c r="E460" s="2">
        <v>1.0146705905349678</v>
      </c>
    </row>
    <row r="461" spans="1:5" x14ac:dyDescent="0.3">
      <c r="A461" s="31">
        <v>1989.25000000108</v>
      </c>
      <c r="B461" s="2">
        <v>0.5878798061187146</v>
      </c>
      <c r="C461" s="2">
        <v>0.11395999999999999</v>
      </c>
      <c r="D461" s="2">
        <v>5.418231333448531E-2</v>
      </c>
      <c r="E461" s="2">
        <v>0.99838791781502745</v>
      </c>
    </row>
    <row r="462" spans="1:5" x14ac:dyDescent="0.3">
      <c r="A462" s="31">
        <v>1989.3333333344101</v>
      </c>
      <c r="B462" s="2">
        <v>0.61610846373809258</v>
      </c>
      <c r="C462" s="2">
        <v>9.5721666666666608E-2</v>
      </c>
      <c r="D462" s="2">
        <v>4.9653571165425049E-2</v>
      </c>
      <c r="E462" s="2">
        <v>1.0026834674558531</v>
      </c>
    </row>
    <row r="463" spans="1:5" x14ac:dyDescent="0.3">
      <c r="A463" s="31">
        <v>1989.4166666677399</v>
      </c>
      <c r="B463" s="2">
        <v>0.65381907073689405</v>
      </c>
      <c r="C463" s="2">
        <v>0.11395999999999999</v>
      </c>
      <c r="D463" s="2">
        <v>6.2586639641783307E-2</v>
      </c>
      <c r="E463" s="2">
        <v>1.0065647180749866</v>
      </c>
    </row>
    <row r="464" spans="1:5" x14ac:dyDescent="0.3">
      <c r="A464" s="31">
        <v>1989.50000000107</v>
      </c>
      <c r="B464" s="2">
        <v>0.72897833722140026</v>
      </c>
      <c r="C464" s="2">
        <v>6.6707500000000128E-2</v>
      </c>
      <c r="D464" s="2">
        <v>4.8866624693923791E-2</v>
      </c>
      <c r="E464" s="2">
        <v>1.0091846926445431</v>
      </c>
    </row>
    <row r="465" spans="1:5" x14ac:dyDescent="0.3">
      <c r="A465" s="31">
        <v>1989.5833333344001</v>
      </c>
      <c r="B465" s="2">
        <v>0.66334792011246169</v>
      </c>
      <c r="C465" s="2">
        <v>6.4971666666666705E-2</v>
      </c>
      <c r="D465" s="2">
        <v>4.5298496462340743E-2</v>
      </c>
      <c r="E465" s="2">
        <v>1.0260342715299779</v>
      </c>
    </row>
    <row r="466" spans="1:5" x14ac:dyDescent="0.3">
      <c r="A466" s="31">
        <v>1989.6666666677299</v>
      </c>
      <c r="B466" s="2">
        <v>0.71831711317642299</v>
      </c>
      <c r="C466" s="2">
        <v>6.6707500000000128E-2</v>
      </c>
      <c r="D466" s="2">
        <v>4.5439190815835556E-2</v>
      </c>
      <c r="E466" s="2">
        <v>1.0425552674387946</v>
      </c>
    </row>
    <row r="467" spans="1:5" x14ac:dyDescent="0.3">
      <c r="A467" s="31">
        <v>1989.75000000106</v>
      </c>
      <c r="B467" s="2">
        <v>0.69467712033724549</v>
      </c>
      <c r="C467" s="2">
        <v>6.4971666666666705E-2</v>
      </c>
      <c r="D467" s="2">
        <v>4.1951931957451255E-2</v>
      </c>
      <c r="E467" s="2">
        <v>1.050779740044135</v>
      </c>
    </row>
    <row r="468" spans="1:5" x14ac:dyDescent="0.3">
      <c r="A468" s="31">
        <v>1989.8333333343901</v>
      </c>
      <c r="B468" s="2">
        <v>0.65738106247550876</v>
      </c>
      <c r="C468" s="2">
        <v>6.4971666666666691E-2</v>
      </c>
      <c r="D468" s="2">
        <v>3.7903505642627185E-2</v>
      </c>
      <c r="E468" s="2">
        <v>1.0645111067514599</v>
      </c>
    </row>
    <row r="469" spans="1:5" x14ac:dyDescent="0.3">
      <c r="A469" s="31">
        <v>1989.9166666677199</v>
      </c>
      <c r="B469" s="2">
        <v>0.66911802097572737</v>
      </c>
      <c r="C469" s="2">
        <v>6.4971666666666719E-2</v>
      </c>
      <c r="D469" s="2">
        <v>3.9815894800695473E-2</v>
      </c>
      <c r="E469" s="2">
        <v>1.0829906049720335</v>
      </c>
    </row>
    <row r="470" spans="1:5" x14ac:dyDescent="0.3">
      <c r="A470" s="31">
        <v>1990.00000000105</v>
      </c>
      <c r="B470" s="2">
        <v>0.56628146768647003</v>
      </c>
      <c r="C470" s="2">
        <v>6.4971666666666691E-2</v>
      </c>
      <c r="D470" s="2">
        <v>3.4119364222366909E-2</v>
      </c>
      <c r="E470" s="2">
        <v>1.0697876319380384</v>
      </c>
    </row>
    <row r="471" spans="1:5" x14ac:dyDescent="0.3">
      <c r="A471" s="31">
        <v>1990.0833333343801</v>
      </c>
      <c r="B471" s="2">
        <v>0.56077855408210964</v>
      </c>
      <c r="C471" s="2">
        <v>9.1210000000000083E-2</v>
      </c>
      <c r="D471" s="2">
        <v>3.9987310050056506E-2</v>
      </c>
      <c r="E471" s="2">
        <v>1.0283694972762156</v>
      </c>
    </row>
    <row r="472" spans="1:5" x14ac:dyDescent="0.3">
      <c r="A472" s="31">
        <v>1990.1666666677099</v>
      </c>
      <c r="B472" s="2">
        <v>0.62767460724582069</v>
      </c>
      <c r="C472" s="2">
        <v>0.12420499999999997</v>
      </c>
      <c r="D472" s="2">
        <v>6.6953608775753112E-2</v>
      </c>
      <c r="E472" s="2">
        <v>1.0067195735022505</v>
      </c>
    </row>
    <row r="473" spans="1:5" x14ac:dyDescent="0.3">
      <c r="A473" s="31">
        <v>1990.25000000104</v>
      </c>
      <c r="B473" s="2">
        <v>0.58890504342056615</v>
      </c>
      <c r="C473" s="2">
        <v>0.15043833333333331</v>
      </c>
      <c r="D473" s="2">
        <v>7.5843787452253855E-2</v>
      </c>
      <c r="E473" s="2">
        <v>1.0055265161149722</v>
      </c>
    </row>
    <row r="474" spans="1:5" x14ac:dyDescent="0.3">
      <c r="A474" s="31">
        <v>1990.3333333343701</v>
      </c>
      <c r="B474" s="2">
        <v>0.59891443879129103</v>
      </c>
      <c r="C474" s="2">
        <v>0.15043833333333331</v>
      </c>
      <c r="D474" s="2">
        <v>7.7799073191264459E-2</v>
      </c>
      <c r="E474" s="2">
        <v>1.0120193361488738</v>
      </c>
    </row>
    <row r="475" spans="1:5" x14ac:dyDescent="0.3">
      <c r="A475" s="31">
        <v>1990.4166666676999</v>
      </c>
      <c r="B475" s="2">
        <v>0.6205818787927786</v>
      </c>
      <c r="C475" s="2">
        <v>0.15842166666666671</v>
      </c>
      <c r="D475" s="2">
        <v>8.3787886544505905E-2</v>
      </c>
      <c r="E475" s="2">
        <v>1.0152885388998178</v>
      </c>
    </row>
    <row r="476" spans="1:5" x14ac:dyDescent="0.3">
      <c r="A476" s="31">
        <v>1990.50000000103</v>
      </c>
      <c r="B476" s="2">
        <v>0.59155772021729569</v>
      </c>
      <c r="C476" s="2">
        <v>5.4715000000000152E-2</v>
      </c>
      <c r="D476" s="2">
        <v>4.3314529907707379E-2</v>
      </c>
      <c r="E476" s="2">
        <v>1.0301902843167645</v>
      </c>
    </row>
    <row r="477" spans="1:5" x14ac:dyDescent="0.3">
      <c r="A477" s="31">
        <v>1990.5833333343601</v>
      </c>
      <c r="B477" s="2">
        <v>0.67500790331572247</v>
      </c>
      <c r="C477" s="2">
        <v>7.5226666666666706E-2</v>
      </c>
      <c r="D477" s="2">
        <v>5.2163808873612737E-2</v>
      </c>
      <c r="E477" s="2">
        <v>1.0484890215159164</v>
      </c>
    </row>
    <row r="478" spans="1:5" x14ac:dyDescent="0.3">
      <c r="A478" s="31">
        <v>1990.6666666676899</v>
      </c>
      <c r="B478" s="2">
        <v>0.73332486171061473</v>
      </c>
      <c r="C478" s="2">
        <v>6.6715000000000149E-2</v>
      </c>
      <c r="D478" s="2">
        <v>4.5904100638513134E-2</v>
      </c>
      <c r="E478" s="2">
        <v>1.0644719091437662</v>
      </c>
    </row>
    <row r="479" spans="1:5" x14ac:dyDescent="0.3">
      <c r="A479" s="31">
        <v>1990.75000000102</v>
      </c>
      <c r="B479" s="2">
        <v>0.74297980702016486</v>
      </c>
      <c r="C479" s="2">
        <v>7.5226666666666706E-2</v>
      </c>
      <c r="D479" s="2">
        <v>5.0153935991649599E-2</v>
      </c>
      <c r="E479" s="2">
        <v>1.069548317666082</v>
      </c>
    </row>
    <row r="480" spans="1:5" x14ac:dyDescent="0.3">
      <c r="A480" s="31">
        <v>1990.8333333343501</v>
      </c>
      <c r="B480" s="2">
        <v>0.80969629529851606</v>
      </c>
      <c r="C480" s="2">
        <v>6.6715000000000149E-2</v>
      </c>
      <c r="D480" s="2">
        <v>4.3809192456882057E-2</v>
      </c>
      <c r="E480" s="2">
        <v>1.0624138995599013</v>
      </c>
    </row>
    <row r="481" spans="1:5" x14ac:dyDescent="0.3">
      <c r="A481" s="31">
        <v>1990.9166666676799</v>
      </c>
      <c r="B481" s="2">
        <v>0.68490415240321179</v>
      </c>
      <c r="C481" s="2">
        <v>7.5226666666666706E-2</v>
      </c>
      <c r="D481" s="2">
        <v>4.7014387768968213E-2</v>
      </c>
      <c r="E481" s="2">
        <v>1.06775185770254</v>
      </c>
    </row>
    <row r="482" spans="1:5" x14ac:dyDescent="0.3">
      <c r="A482" s="31">
        <v>1991.00000000101</v>
      </c>
      <c r="B482" s="2">
        <v>0.66311423999659302</v>
      </c>
      <c r="C482" s="2">
        <v>6.6715000000000149E-2</v>
      </c>
      <c r="D482" s="2">
        <v>3.9003927575258231E-2</v>
      </c>
      <c r="E482" s="2">
        <v>1.0525443032965336</v>
      </c>
    </row>
    <row r="483" spans="1:5" x14ac:dyDescent="0.3">
      <c r="A483" s="31">
        <v>1991.0833333343401</v>
      </c>
      <c r="B483" s="2">
        <v>0.58721793117632148</v>
      </c>
      <c r="C483" s="2">
        <v>8.3210000000000076E-2</v>
      </c>
      <c r="D483" s="2">
        <v>4.3163043820943194E-2</v>
      </c>
      <c r="E483" s="2">
        <v>1.0218782707341354</v>
      </c>
    </row>
    <row r="484" spans="1:5" x14ac:dyDescent="0.3">
      <c r="A484" s="31">
        <v>1991.1666666676699</v>
      </c>
      <c r="B484" s="2">
        <v>0.64602990339774302</v>
      </c>
      <c r="C484" s="2">
        <v>9.3455000000000066E-2</v>
      </c>
      <c r="D484" s="2">
        <v>5.0765308396783691E-2</v>
      </c>
      <c r="E484" s="2">
        <v>1.0009854665319329</v>
      </c>
    </row>
    <row r="485" spans="1:5" x14ac:dyDescent="0.3">
      <c r="A485" s="31">
        <v>1991.250000001</v>
      </c>
      <c r="B485" s="2">
        <v>0.60969837737712995</v>
      </c>
      <c r="C485" s="2">
        <v>0.10143833333333345</v>
      </c>
      <c r="D485" s="2">
        <v>5.4093303298247741E-2</v>
      </c>
      <c r="E485" s="2">
        <v>0.99940962123908172</v>
      </c>
    </row>
    <row r="486" spans="1:5" x14ac:dyDescent="0.3">
      <c r="A486" s="31">
        <v>1991.3333333343301</v>
      </c>
      <c r="B486" s="2">
        <v>0.6882712621979804</v>
      </c>
      <c r="C486" s="2">
        <v>0.10143833333333345</v>
      </c>
      <c r="D486" s="2">
        <v>5.6024860240517275E-2</v>
      </c>
      <c r="E486" s="2">
        <v>1.008750460013873</v>
      </c>
    </row>
    <row r="487" spans="1:5" x14ac:dyDescent="0.3">
      <c r="A487" s="31">
        <v>1991.4166666676599</v>
      </c>
      <c r="B487" s="2">
        <v>0.70862896224815353</v>
      </c>
      <c r="C487" s="2">
        <v>0.12767666666666683</v>
      </c>
      <c r="D487" s="2">
        <v>7.1607913111580435E-2</v>
      </c>
      <c r="E487" s="2">
        <v>1.0189729153550358</v>
      </c>
    </row>
    <row r="488" spans="1:5" x14ac:dyDescent="0.3">
      <c r="A488" s="31">
        <v>1991.50000000099</v>
      </c>
      <c r="B488" s="2">
        <v>0.74979330994463367</v>
      </c>
      <c r="C488" s="2">
        <v>7.1900000000000297E-2</v>
      </c>
      <c r="D488" s="2">
        <v>5.7200543395466388E-2</v>
      </c>
      <c r="E488" s="2">
        <v>1.024972424380391</v>
      </c>
    </row>
    <row r="489" spans="1:5" x14ac:dyDescent="0.3">
      <c r="A489" s="31">
        <v>1991.5833333343201</v>
      </c>
      <c r="B489" s="2">
        <v>0.84566084660186192</v>
      </c>
      <c r="C489" s="2">
        <v>7.2955000000000089E-2</v>
      </c>
      <c r="D489" s="2">
        <v>4.9245269373249835E-2</v>
      </c>
      <c r="E489" s="2">
        <v>1.0286130449571018</v>
      </c>
    </row>
    <row r="490" spans="1:5" x14ac:dyDescent="0.3">
      <c r="A490" s="31">
        <v>1991.6666666676499</v>
      </c>
      <c r="B490" s="2">
        <v>0.87203608908799735</v>
      </c>
      <c r="C490" s="2">
        <v>7.1900000000000297E-2</v>
      </c>
      <c r="D490" s="2">
        <v>4.9139470844359531E-2</v>
      </c>
      <c r="E490" s="2">
        <v>1.0328881594037067</v>
      </c>
    </row>
    <row r="491" spans="1:5" x14ac:dyDescent="0.3">
      <c r="A491" s="31">
        <v>1991.75000000098</v>
      </c>
      <c r="B491" s="2">
        <v>0.79392954434016527</v>
      </c>
      <c r="C491" s="2">
        <v>7.2955000000000089E-2</v>
      </c>
      <c r="D491" s="2">
        <v>4.6296616213501916E-2</v>
      </c>
      <c r="E491" s="2">
        <v>1.0328938389274047</v>
      </c>
    </row>
    <row r="492" spans="1:5" x14ac:dyDescent="0.3">
      <c r="A492" s="31">
        <v>1991.8333333343101</v>
      </c>
      <c r="B492" s="2">
        <v>0.74546136637515559</v>
      </c>
      <c r="C492" s="2">
        <v>6.4966666666666686E-2</v>
      </c>
      <c r="D492" s="2">
        <v>4.4345013349862274E-2</v>
      </c>
      <c r="E492" s="2">
        <v>1.034394921621629</v>
      </c>
    </row>
    <row r="493" spans="1:5" x14ac:dyDescent="0.3">
      <c r="A493" s="31">
        <v>1991.9166666676399</v>
      </c>
      <c r="B493" s="2">
        <v>0.72208706572150916</v>
      </c>
      <c r="C493" s="2">
        <v>7.2960000000000094E-2</v>
      </c>
      <c r="D493" s="2">
        <v>4.5064369080170495E-2</v>
      </c>
      <c r="E493" s="2">
        <v>1.0383575612222586</v>
      </c>
    </row>
    <row r="494" spans="1:5" x14ac:dyDescent="0.3">
      <c r="A494" s="31">
        <v>1992.00000000097</v>
      </c>
      <c r="B494" s="2">
        <v>0.65242207034344657</v>
      </c>
      <c r="C494" s="2">
        <v>6.4966666666666686E-2</v>
      </c>
      <c r="D494" s="2">
        <v>4.1278153687224414E-2</v>
      </c>
      <c r="E494" s="2">
        <v>1.0268108308827097</v>
      </c>
    </row>
    <row r="495" spans="1:5" x14ac:dyDescent="0.3">
      <c r="A495" s="31">
        <v>1992.0833333343001</v>
      </c>
      <c r="B495" s="2">
        <v>0.67148618700071394</v>
      </c>
      <c r="C495" s="2">
        <v>7.2955000000000089E-2</v>
      </c>
      <c r="D495" s="2">
        <v>4.2806783781298895E-2</v>
      </c>
      <c r="E495" s="2">
        <v>0.99592286998675639</v>
      </c>
    </row>
    <row r="496" spans="1:5" x14ac:dyDescent="0.3">
      <c r="A496" s="31">
        <v>1992.1666666676299</v>
      </c>
      <c r="B496" s="2">
        <v>0.70743779365549297</v>
      </c>
      <c r="C496" s="2">
        <v>0.14471499999999995</v>
      </c>
      <c r="D496" s="2">
        <v>6.8748417519222338E-2</v>
      </c>
      <c r="E496" s="2">
        <v>0.98669795432883145</v>
      </c>
    </row>
    <row r="497" spans="1:5" x14ac:dyDescent="0.3">
      <c r="A497" s="31">
        <v>1992.25000000096</v>
      </c>
      <c r="B497" s="2">
        <v>0.66740784862144642</v>
      </c>
      <c r="C497" s="2">
        <v>0.14471499999999995</v>
      </c>
      <c r="D497" s="2">
        <v>7.3343750301670119E-2</v>
      </c>
      <c r="E497" s="2">
        <v>0.98509346905505046</v>
      </c>
    </row>
    <row r="498" spans="1:5" x14ac:dyDescent="0.3">
      <c r="A498" s="31">
        <v>1992.33333333429</v>
      </c>
      <c r="B498" s="2">
        <v>0.70556812691246318</v>
      </c>
      <c r="C498" s="2">
        <v>0.15496499999999994</v>
      </c>
      <c r="D498" s="2">
        <v>7.6249492097921243E-2</v>
      </c>
      <c r="E498" s="2">
        <v>0.98845985399426062</v>
      </c>
    </row>
    <row r="499" spans="1:5" x14ac:dyDescent="0.3">
      <c r="A499" s="31">
        <v>1992.4166666676199</v>
      </c>
      <c r="B499" s="2">
        <v>0.73432768690169503</v>
      </c>
      <c r="C499" s="2">
        <v>0.16294833333333333</v>
      </c>
      <c r="D499" s="2">
        <v>8.2807405642459017E-2</v>
      </c>
      <c r="E499" s="2">
        <v>0.99675352235444292</v>
      </c>
    </row>
    <row r="500" spans="1:5" x14ac:dyDescent="0.3">
      <c r="A500" s="31">
        <v>1992.50000000095</v>
      </c>
      <c r="B500" s="2">
        <v>0.72809607240123997</v>
      </c>
      <c r="C500" s="2">
        <v>5.4700000000000103E-2</v>
      </c>
      <c r="D500" s="2">
        <v>3.9833885057075136E-2</v>
      </c>
      <c r="E500" s="2">
        <v>1.0074305377391419</v>
      </c>
    </row>
    <row r="501" spans="1:5" x14ac:dyDescent="0.3">
      <c r="A501" s="31">
        <v>1992.58333333428</v>
      </c>
      <c r="B501" s="2">
        <v>0.76669653975106289</v>
      </c>
      <c r="C501" s="2">
        <v>6.4971666666666705E-2</v>
      </c>
      <c r="D501" s="2">
        <v>4.9419296692518412E-2</v>
      </c>
      <c r="E501" s="2">
        <v>1.0172132330163424</v>
      </c>
    </row>
    <row r="502" spans="1:5" x14ac:dyDescent="0.3">
      <c r="A502" s="31">
        <v>1992.6666666676099</v>
      </c>
      <c r="B502" s="2">
        <v>0.82706053445171912</v>
      </c>
      <c r="C502" s="2">
        <v>5.4707500000000131E-2</v>
      </c>
      <c r="D502" s="2">
        <v>4.3556349951682158E-2</v>
      </c>
      <c r="E502" s="2">
        <v>1.0208566506469388</v>
      </c>
    </row>
    <row r="503" spans="1:5" x14ac:dyDescent="0.3">
      <c r="A503" s="31">
        <v>1992.75000000094</v>
      </c>
      <c r="B503" s="2">
        <v>0.76609957476597368</v>
      </c>
      <c r="C503" s="2">
        <v>6.4971666666666705E-2</v>
      </c>
      <c r="D503" s="2">
        <v>4.7268939800865585E-2</v>
      </c>
      <c r="E503" s="2">
        <v>1.0245827482738437</v>
      </c>
    </row>
    <row r="504" spans="1:5" x14ac:dyDescent="0.3">
      <c r="A504" s="31">
        <v>1992.83333333427</v>
      </c>
      <c r="B504" s="2">
        <v>0.79177276915194539</v>
      </c>
      <c r="C504" s="2">
        <v>5.4707500000000131E-2</v>
      </c>
      <c r="D504" s="2">
        <v>4.1900681335194714E-2</v>
      </c>
      <c r="E504" s="2">
        <v>1.0327961693919021</v>
      </c>
    </row>
    <row r="505" spans="1:5" x14ac:dyDescent="0.3">
      <c r="A505" s="31">
        <v>1992.9166666676001</v>
      </c>
      <c r="B505" s="2">
        <v>0.73023929361622064</v>
      </c>
      <c r="C505" s="2">
        <v>6.4971666666666705E-2</v>
      </c>
      <c r="D505" s="2">
        <v>4.5830243512166309E-2</v>
      </c>
      <c r="E505" s="2">
        <v>1.0376559113982831</v>
      </c>
    </row>
    <row r="506" spans="1:5" x14ac:dyDescent="0.3">
      <c r="A506" s="31">
        <v>1993.00000000093</v>
      </c>
      <c r="B506" s="2">
        <v>0.72752494576735205</v>
      </c>
      <c r="C506" s="2">
        <v>5.4707500000000131E-2</v>
      </c>
      <c r="D506" s="2">
        <v>4.0915742657145676E-2</v>
      </c>
      <c r="E506" s="2">
        <v>1.0268603445518838</v>
      </c>
    </row>
    <row r="507" spans="1:5" x14ac:dyDescent="0.3">
      <c r="A507" s="31">
        <v>1993.08333333426</v>
      </c>
      <c r="B507" s="2">
        <v>0.68422680241119194</v>
      </c>
      <c r="C507" s="2">
        <v>6.4971666666666705E-2</v>
      </c>
      <c r="D507" s="2">
        <v>4.3953061527103654E-2</v>
      </c>
      <c r="E507" s="2">
        <v>1.0058710621104303</v>
      </c>
    </row>
    <row r="508" spans="1:5" x14ac:dyDescent="0.3">
      <c r="A508" s="31">
        <v>1993.1666666675901</v>
      </c>
      <c r="B508" s="2">
        <v>0.70158088053627132</v>
      </c>
      <c r="C508" s="2">
        <v>0.10370500000000005</v>
      </c>
      <c r="D508" s="2">
        <v>5.9606075397386805E-2</v>
      </c>
      <c r="E508" s="2">
        <v>0.99151620943605712</v>
      </c>
    </row>
    <row r="509" spans="1:5" x14ac:dyDescent="0.3">
      <c r="A509" s="31">
        <v>1993.25000000092</v>
      </c>
      <c r="B509" s="2">
        <v>0.69935928622438459</v>
      </c>
      <c r="C509" s="2">
        <v>0.12767166666666682</v>
      </c>
      <c r="D509" s="2">
        <v>6.1707544763143711E-2</v>
      </c>
      <c r="E509" s="2">
        <v>0.98891490656413517</v>
      </c>
    </row>
    <row r="510" spans="1:5" x14ac:dyDescent="0.3">
      <c r="A510" s="31">
        <v>1993.33333333425</v>
      </c>
      <c r="B510" s="2">
        <v>0.70516719278900497</v>
      </c>
      <c r="C510" s="2">
        <v>0.11168833333333343</v>
      </c>
      <c r="D510" s="2">
        <v>6.1710559585264814E-2</v>
      </c>
      <c r="E510" s="2">
        <v>0.99616338047087638</v>
      </c>
    </row>
    <row r="511" spans="1:5" x14ac:dyDescent="0.3">
      <c r="A511" s="31">
        <v>1993.4166666675801</v>
      </c>
      <c r="B511" s="2">
        <v>0.76104708884040806</v>
      </c>
      <c r="C511" s="2">
        <v>0.15842666666666677</v>
      </c>
      <c r="D511" s="2">
        <v>8.5034097138430909E-2</v>
      </c>
      <c r="E511" s="2">
        <v>1.0051940766769971</v>
      </c>
    </row>
    <row r="512" spans="1:5" x14ac:dyDescent="0.3">
      <c r="A512" s="31">
        <v>1993.5000000009099</v>
      </c>
      <c r="B512" s="2">
        <v>0.77917655821785614</v>
      </c>
      <c r="C512" s="2">
        <v>7.2960000000000094E-2</v>
      </c>
      <c r="D512" s="2">
        <v>4.9680120616585666E-2</v>
      </c>
      <c r="E512" s="2">
        <v>1.0085773765102468</v>
      </c>
    </row>
    <row r="513" spans="1:5" x14ac:dyDescent="0.3">
      <c r="A513" s="31">
        <v>1993.58333333424</v>
      </c>
      <c r="B513" s="2">
        <v>0.78893267641438858</v>
      </c>
      <c r="C513" s="2">
        <v>7.2955000000000089E-2</v>
      </c>
      <c r="D513" s="2">
        <v>4.9966464965800574E-2</v>
      </c>
      <c r="E513" s="2">
        <v>1.0212169847772705</v>
      </c>
    </row>
    <row r="514" spans="1:5" x14ac:dyDescent="0.3">
      <c r="A514" s="31">
        <v>1993.6666666675701</v>
      </c>
      <c r="B514" s="2">
        <v>0.78365208626598182</v>
      </c>
      <c r="C514" s="2">
        <v>7.2955000000000075E-2</v>
      </c>
      <c r="D514" s="2">
        <v>4.7790578502591337E-2</v>
      </c>
      <c r="E514" s="2">
        <v>1.0344126068453905</v>
      </c>
    </row>
    <row r="515" spans="1:5" x14ac:dyDescent="0.3">
      <c r="A515" s="31">
        <v>1993.7500000008999</v>
      </c>
      <c r="B515" s="2">
        <v>0.81410478202065484</v>
      </c>
      <c r="C515" s="2">
        <v>9.1188333333333427E-2</v>
      </c>
      <c r="D515" s="2">
        <v>5.6783921472367625E-2</v>
      </c>
      <c r="E515" s="2">
        <v>1.0448393632246182</v>
      </c>
    </row>
    <row r="516" spans="1:5" x14ac:dyDescent="0.3">
      <c r="A516" s="31">
        <v>1993.83333333423</v>
      </c>
      <c r="B516" s="2">
        <v>0.80334846029172746</v>
      </c>
      <c r="C516" s="2">
        <v>7.2955000000000075E-2</v>
      </c>
      <c r="D516" s="2">
        <v>4.8490273422513323E-2</v>
      </c>
      <c r="E516" s="2">
        <v>1.0511040937050304</v>
      </c>
    </row>
    <row r="517" spans="1:5" x14ac:dyDescent="0.3">
      <c r="A517" s="31">
        <v>1993.9166666675601</v>
      </c>
      <c r="B517" s="2">
        <v>0.77317817065167294</v>
      </c>
      <c r="C517" s="2">
        <v>7.2955000000000089E-2</v>
      </c>
      <c r="D517" s="2">
        <v>4.8224310550038028E-2</v>
      </c>
      <c r="E517" s="2">
        <v>1.0551323446992873</v>
      </c>
    </row>
    <row r="518" spans="1:5" x14ac:dyDescent="0.3">
      <c r="A518" s="31">
        <v>1994.0000000008899</v>
      </c>
      <c r="B518" s="2">
        <v>0.78738657720608085</v>
      </c>
      <c r="C518" s="2">
        <v>7.2955000000000075E-2</v>
      </c>
      <c r="D518" s="2">
        <v>4.9623143335491914E-2</v>
      </c>
      <c r="E518" s="2">
        <v>1.0494071541792975</v>
      </c>
    </row>
    <row r="519" spans="1:5" x14ac:dyDescent="0.3">
      <c r="A519" s="31">
        <v>1994.08333333422</v>
      </c>
      <c r="B519" s="2">
        <v>0.76572748297832316</v>
      </c>
      <c r="C519" s="2">
        <v>0.10717166666666682</v>
      </c>
      <c r="D519" s="2">
        <v>5.849927522616688E-2</v>
      </c>
      <c r="E519" s="2">
        <v>1.0221955278072761</v>
      </c>
    </row>
    <row r="520" spans="1:5" x14ac:dyDescent="0.3">
      <c r="A520" s="31">
        <v>1994.1666666675501</v>
      </c>
      <c r="B520" s="2">
        <v>0.81505483245145172</v>
      </c>
      <c r="C520" s="2">
        <v>0.12195500000000002</v>
      </c>
      <c r="D520" s="2">
        <v>7.7477975858257955E-2</v>
      </c>
      <c r="E520" s="2">
        <v>0.99117185440046129</v>
      </c>
    </row>
    <row r="521" spans="1:5" x14ac:dyDescent="0.3">
      <c r="A521" s="31">
        <v>1994.2500000008799</v>
      </c>
      <c r="B521" s="2">
        <v>0.86318247157420236</v>
      </c>
      <c r="C521" s="2">
        <v>0.12993833333333341</v>
      </c>
      <c r="D521" s="2">
        <v>8.371699565532871E-2</v>
      </c>
      <c r="E521" s="2">
        <v>0.98676571805172986</v>
      </c>
    </row>
    <row r="522" spans="1:5" x14ac:dyDescent="0.3">
      <c r="A522" s="31">
        <v>1994.33333333421</v>
      </c>
      <c r="B522" s="2">
        <v>0.85374668579006929</v>
      </c>
      <c r="C522" s="2">
        <v>0.12993833333333341</v>
      </c>
      <c r="D522" s="2">
        <v>8.1477118610800453E-2</v>
      </c>
      <c r="E522" s="2">
        <v>0.99479836654000309</v>
      </c>
    </row>
    <row r="523" spans="1:5" x14ac:dyDescent="0.3">
      <c r="A523" s="31">
        <v>1994.4166666675401</v>
      </c>
      <c r="B523" s="2">
        <v>0.85791884317030298</v>
      </c>
      <c r="C523" s="2">
        <v>0.14018833333333336</v>
      </c>
      <c r="D523" s="2">
        <v>9.4931080780970692E-2</v>
      </c>
      <c r="E523" s="2">
        <v>1.0034972152385384</v>
      </c>
    </row>
    <row r="524" spans="1:5" x14ac:dyDescent="0.3">
      <c r="A524" s="31">
        <v>1994.5000000008699</v>
      </c>
      <c r="B524" s="2">
        <v>0.77316207854676522</v>
      </c>
      <c r="C524" s="2">
        <v>7.8650000000000247E-2</v>
      </c>
      <c r="D524" s="2">
        <v>4.5016531170498253E-2</v>
      </c>
      <c r="E524" s="2">
        <v>1.0105231519737548</v>
      </c>
    </row>
    <row r="525" spans="1:5" x14ac:dyDescent="0.3">
      <c r="A525" s="31">
        <v>1994.5833333342</v>
      </c>
      <c r="B525" s="2">
        <v>0.84121739412554153</v>
      </c>
      <c r="C525" s="2">
        <v>7.2955000000000089E-2</v>
      </c>
      <c r="D525" s="2">
        <v>5.3533186596869065E-2</v>
      </c>
      <c r="E525" s="2">
        <v>1.020816591029988</v>
      </c>
    </row>
    <row r="526" spans="1:5" x14ac:dyDescent="0.3">
      <c r="A526" s="31">
        <v>1994.6666666675301</v>
      </c>
      <c r="B526" s="2">
        <v>0.81742000867779885</v>
      </c>
      <c r="C526" s="2">
        <v>7.2960000000000122E-2</v>
      </c>
      <c r="D526" s="2">
        <v>5.1133052719108757E-2</v>
      </c>
      <c r="E526" s="2">
        <v>1.0283012478022611</v>
      </c>
    </row>
    <row r="527" spans="1:5" x14ac:dyDescent="0.3">
      <c r="A527" s="31">
        <v>1994.7500000008599</v>
      </c>
      <c r="B527" s="2">
        <v>0.81755539702690638</v>
      </c>
      <c r="C527" s="2">
        <v>8.0938333333333459E-2</v>
      </c>
      <c r="D527" s="2">
        <v>5.0834119619146245E-2</v>
      </c>
      <c r="E527" s="2">
        <v>1.0402283096704155</v>
      </c>
    </row>
    <row r="528" spans="1:5" x14ac:dyDescent="0.3">
      <c r="A528" s="31">
        <v>1994.83333333419</v>
      </c>
      <c r="B528" s="2">
        <v>0.76835808263584493</v>
      </c>
      <c r="C528" s="2">
        <v>7.2955000000000103E-2</v>
      </c>
      <c r="D528" s="2">
        <v>4.823730046508342E-2</v>
      </c>
      <c r="E528" s="2">
        <v>1.048696074687264</v>
      </c>
    </row>
    <row r="529" spans="1:5" x14ac:dyDescent="0.3">
      <c r="A529" s="31">
        <v>1994.9166666675201</v>
      </c>
      <c r="B529" s="2">
        <v>0.84164375246935519</v>
      </c>
      <c r="C529" s="2">
        <v>7.2960000000000094E-2</v>
      </c>
      <c r="D529" s="2">
        <v>5.3135415089314908E-2</v>
      </c>
      <c r="E529" s="2">
        <v>1.0630847799845875</v>
      </c>
    </row>
    <row r="530" spans="1:5" x14ac:dyDescent="0.3">
      <c r="A530" s="31">
        <v>1995.0000000008499</v>
      </c>
      <c r="B530" s="2">
        <v>0.73759915298456302</v>
      </c>
      <c r="C530" s="2">
        <v>7.2955000000000103E-2</v>
      </c>
      <c r="D530" s="2">
        <v>4.6653078149941039E-2</v>
      </c>
      <c r="E530" s="2">
        <v>1.0535081485352387</v>
      </c>
    </row>
    <row r="531" spans="1:5" x14ac:dyDescent="0.3">
      <c r="A531" s="31">
        <v>1995.08333333418</v>
      </c>
      <c r="B531" s="2">
        <v>0.74001132391859281</v>
      </c>
      <c r="C531" s="2">
        <v>8.0938333333333459E-2</v>
      </c>
      <c r="D531" s="2">
        <v>4.7160983884904056E-2</v>
      </c>
      <c r="E531" s="2">
        <v>1.0246090163392774</v>
      </c>
    </row>
    <row r="532" spans="1:5" x14ac:dyDescent="0.3">
      <c r="A532" s="31">
        <v>1995.1666666675101</v>
      </c>
      <c r="B532" s="2">
        <v>0.75958968768875923</v>
      </c>
      <c r="C532" s="2">
        <v>0.11395500000000003</v>
      </c>
      <c r="D532" s="2">
        <v>7.11679385026939E-2</v>
      </c>
      <c r="E532" s="2">
        <v>0.99961786753745485</v>
      </c>
    </row>
    <row r="533" spans="1:5" x14ac:dyDescent="0.3">
      <c r="A533" s="31">
        <v>1995.2500000008399</v>
      </c>
      <c r="B533" s="2">
        <v>0.76828348315606088</v>
      </c>
      <c r="C533" s="2">
        <v>0.15044333333333337</v>
      </c>
      <c r="D533" s="2">
        <v>8.3408445016842511E-2</v>
      </c>
      <c r="E533" s="2">
        <v>0.99589225789584845</v>
      </c>
    </row>
    <row r="534" spans="1:5" x14ac:dyDescent="0.3">
      <c r="A534" s="31">
        <v>1995.33333333417</v>
      </c>
      <c r="B534" s="2">
        <v>0.78829742320677276</v>
      </c>
      <c r="C534" s="2">
        <v>0.12420500000000001</v>
      </c>
      <c r="D534" s="2">
        <v>7.207602923197369E-2</v>
      </c>
      <c r="E534" s="2">
        <v>1.0013044471857524</v>
      </c>
    </row>
    <row r="535" spans="1:5" x14ac:dyDescent="0.3">
      <c r="A535" s="31">
        <v>1995.4166666675001</v>
      </c>
      <c r="B535" s="2">
        <v>0.83593981980805443</v>
      </c>
      <c r="C535" s="2">
        <v>0.15044333333333337</v>
      </c>
      <c r="D535" s="2">
        <v>8.9263729404251327E-2</v>
      </c>
      <c r="E535" s="2">
        <v>1.0032752402952549</v>
      </c>
    </row>
    <row r="536" spans="1:5" x14ac:dyDescent="0.3">
      <c r="A536" s="31">
        <v>1995.5000000008299</v>
      </c>
      <c r="B536" s="2">
        <v>0.89406174431874852</v>
      </c>
      <c r="C536" s="2">
        <v>5.6966666666666665E-2</v>
      </c>
      <c r="D536" s="2">
        <v>5.3517875810951299E-2</v>
      </c>
      <c r="E536" s="2">
        <v>1.0076978889757544</v>
      </c>
    </row>
    <row r="537" spans="1:5" x14ac:dyDescent="0.3">
      <c r="A537" s="31">
        <v>1995.58333333416</v>
      </c>
      <c r="B537" s="2">
        <v>0.84304157731458906</v>
      </c>
      <c r="C537" s="2">
        <v>7.5221666666666673E-2</v>
      </c>
      <c r="D537" s="2">
        <v>6.38406961416845E-2</v>
      </c>
      <c r="E537" s="2">
        <v>1.017333002154917</v>
      </c>
    </row>
    <row r="538" spans="1:5" x14ac:dyDescent="0.3">
      <c r="A538" s="31">
        <v>1995.6666666674901</v>
      </c>
      <c r="B538" s="2">
        <v>0.82847752029476629</v>
      </c>
      <c r="C538" s="2">
        <v>7.2950000000000056E-2</v>
      </c>
      <c r="D538" s="2">
        <v>5.2352176272982803E-2</v>
      </c>
      <c r="E538" s="2">
        <v>1.0330555885954977</v>
      </c>
    </row>
    <row r="539" spans="1:5" x14ac:dyDescent="0.3">
      <c r="A539" s="31">
        <v>1995.7500000008199</v>
      </c>
      <c r="B539" s="2">
        <v>0.81841647586020805</v>
      </c>
      <c r="C539" s="2">
        <v>7.5221666666666673E-2</v>
      </c>
      <c r="D539" s="2">
        <v>5.7818151060611118E-2</v>
      </c>
      <c r="E539" s="2">
        <v>1.049881286623749</v>
      </c>
    </row>
    <row r="540" spans="1:5" x14ac:dyDescent="0.3">
      <c r="A540" s="31">
        <v>1995.83333333415</v>
      </c>
      <c r="B540" s="2">
        <v>0.73418623714277764</v>
      </c>
      <c r="C540" s="2">
        <v>7.521666666666664E-2</v>
      </c>
      <c r="D540" s="2">
        <v>5.1316726145511894E-2</v>
      </c>
      <c r="E540" s="2">
        <v>1.0614817769508986</v>
      </c>
    </row>
    <row r="541" spans="1:5" x14ac:dyDescent="0.3">
      <c r="A541" s="31">
        <v>1995.9166666674801</v>
      </c>
      <c r="B541" s="2">
        <v>0.7542770734019969</v>
      </c>
      <c r="C541" s="2">
        <v>7.2955000000000075E-2</v>
      </c>
      <c r="D541" s="2">
        <v>4.6803915734120904E-2</v>
      </c>
      <c r="E541" s="2">
        <v>1.0677224537893064</v>
      </c>
    </row>
    <row r="542" spans="1:5" x14ac:dyDescent="0.3">
      <c r="A542" s="31">
        <v>1996.0000000008099</v>
      </c>
      <c r="B542" s="2">
        <v>0.64078281859248698</v>
      </c>
      <c r="C542" s="2">
        <v>7.521666666666664E-2</v>
      </c>
      <c r="D542" s="2">
        <v>4.6294345535549002E-2</v>
      </c>
      <c r="E542" s="2">
        <v>1.0615939803195431</v>
      </c>
    </row>
    <row r="543" spans="1:5" x14ac:dyDescent="0.3">
      <c r="A543" s="31">
        <v>1996.08333333414</v>
      </c>
      <c r="B543" s="2">
        <v>0.7010370431289239</v>
      </c>
      <c r="C543" s="2">
        <v>8.3205000000000057E-2</v>
      </c>
      <c r="D543" s="2">
        <v>4.9806579692533354E-2</v>
      </c>
      <c r="E543" s="2">
        <v>1.0305874366642147</v>
      </c>
    </row>
    <row r="544" spans="1:5" x14ac:dyDescent="0.3">
      <c r="A544" s="31">
        <v>1996.1666666674701</v>
      </c>
      <c r="B544" s="2">
        <v>0.71712798018960211</v>
      </c>
      <c r="C544" s="2">
        <v>0.13218833333333338</v>
      </c>
      <c r="D544" s="2">
        <v>6.7493450962933951E-2</v>
      </c>
      <c r="E544" s="2">
        <v>0.9991411206669627</v>
      </c>
    </row>
    <row r="545" spans="1:5" x14ac:dyDescent="0.3">
      <c r="A545" s="31">
        <v>1996.2500000007999</v>
      </c>
      <c r="B545" s="2">
        <v>0.71569314304366571</v>
      </c>
      <c r="C545" s="2">
        <v>0.16641000000000014</v>
      </c>
      <c r="D545" s="2">
        <v>8.2083613813443354E-2</v>
      </c>
      <c r="E545" s="2">
        <v>0.99613535718664625</v>
      </c>
    </row>
    <row r="546" spans="1:5" x14ac:dyDescent="0.3">
      <c r="A546" s="31">
        <v>1996.33333333413</v>
      </c>
      <c r="B546" s="2">
        <v>0.7294159150145777</v>
      </c>
      <c r="C546" s="2">
        <v>0.16867666666666672</v>
      </c>
      <c r="D546" s="2">
        <v>9.0866385570096853E-2</v>
      </c>
      <c r="E546" s="2">
        <v>1.0015673701137104</v>
      </c>
    </row>
    <row r="547" spans="1:5" x14ac:dyDescent="0.3">
      <c r="A547" s="31">
        <v>1996.41666666746</v>
      </c>
      <c r="B547" s="2">
        <v>0.79382176687284289</v>
      </c>
      <c r="C547" s="2">
        <v>0.18691000000000013</v>
      </c>
      <c r="D547" s="2">
        <v>0.1019745805528552</v>
      </c>
      <c r="E547" s="2">
        <v>1.0054355322011295</v>
      </c>
    </row>
    <row r="548" spans="1:5" x14ac:dyDescent="0.3">
      <c r="A548" s="31">
        <v>1996.5000000007899</v>
      </c>
      <c r="B548" s="2">
        <v>0.69149542691376142</v>
      </c>
      <c r="C548" s="2">
        <v>5.4700000000000054E-2</v>
      </c>
      <c r="D548" s="2">
        <v>3.9746817095610731E-2</v>
      </c>
      <c r="E548" s="2">
        <v>1.0122537232247959</v>
      </c>
    </row>
    <row r="549" spans="1:5" x14ac:dyDescent="0.3">
      <c r="A549" s="31">
        <v>1996.58333333412</v>
      </c>
      <c r="B549" s="2">
        <v>0.79658504865196045</v>
      </c>
      <c r="C549" s="2">
        <v>6.4971666666666705E-2</v>
      </c>
      <c r="D549" s="2">
        <v>5.293937355886838E-2</v>
      </c>
      <c r="E549" s="2">
        <v>1.0284145593724383</v>
      </c>
    </row>
    <row r="550" spans="1:5" x14ac:dyDescent="0.3">
      <c r="A550" s="31">
        <v>1996.66666666745</v>
      </c>
      <c r="B550" s="2">
        <v>0.71338170469843798</v>
      </c>
      <c r="C550" s="2">
        <v>7.8675000000000134E-2</v>
      </c>
      <c r="D550" s="2">
        <v>4.5466761491971694E-2</v>
      </c>
      <c r="E550" s="2">
        <v>1.0434682863136693</v>
      </c>
    </row>
    <row r="551" spans="1:5" x14ac:dyDescent="0.3">
      <c r="A551" s="31">
        <v>1996.7500000007799</v>
      </c>
      <c r="B551" s="2">
        <v>0.78982818195088633</v>
      </c>
      <c r="C551" s="2">
        <v>6.4971666666666705E-2</v>
      </c>
      <c r="D551" s="2">
        <v>4.7154585254802116E-2</v>
      </c>
      <c r="E551" s="2">
        <v>1.0545603193036599</v>
      </c>
    </row>
    <row r="552" spans="1:5" x14ac:dyDescent="0.3">
      <c r="A552" s="31">
        <v>1996.83333333411</v>
      </c>
      <c r="B552" s="2">
        <v>0.71458687241827246</v>
      </c>
      <c r="C552" s="2">
        <v>5.697666666666671E-2</v>
      </c>
      <c r="D552" s="2">
        <v>3.7351168254173873E-2</v>
      </c>
      <c r="E552" s="2">
        <v>1.053476163777626</v>
      </c>
    </row>
    <row r="553" spans="1:5" x14ac:dyDescent="0.3">
      <c r="A553" s="31">
        <v>1996.91666666744</v>
      </c>
      <c r="B553" s="2">
        <v>0.75852263657734353</v>
      </c>
      <c r="C553" s="2">
        <v>7.2950000000000056E-2</v>
      </c>
      <c r="D553" s="2">
        <v>4.578816788030541E-2</v>
      </c>
      <c r="E553" s="2">
        <v>1.0532667813601209</v>
      </c>
    </row>
    <row r="554" spans="1:5" x14ac:dyDescent="0.3">
      <c r="A554" s="31">
        <v>1997.0000000007699</v>
      </c>
      <c r="B554" s="2">
        <v>0.64933145017876825</v>
      </c>
      <c r="C554" s="2">
        <v>6.4976666666666724E-2</v>
      </c>
      <c r="D554" s="2">
        <v>4.0248640958396857E-2</v>
      </c>
      <c r="E554" s="2">
        <v>1.0364167856402398</v>
      </c>
    </row>
    <row r="555" spans="1:5" x14ac:dyDescent="0.3">
      <c r="A555" s="31">
        <v>1997.0833333341</v>
      </c>
      <c r="B555" s="2">
        <v>0.66197447365516482</v>
      </c>
      <c r="C555" s="2">
        <v>7.2955000000000089E-2</v>
      </c>
      <c r="D555" s="2">
        <v>4.2260846849422225E-2</v>
      </c>
      <c r="E555" s="2">
        <v>0.98965104294185413</v>
      </c>
    </row>
    <row r="556" spans="1:5" x14ac:dyDescent="0.3">
      <c r="A556" s="31">
        <v>1997.16666666743</v>
      </c>
      <c r="B556" s="2">
        <v>0.67150952822942678</v>
      </c>
      <c r="C556" s="2">
        <v>0.12194833333333344</v>
      </c>
      <c r="D556" s="2">
        <v>7.6201007374174679E-2</v>
      </c>
      <c r="E556" s="2">
        <v>0.96822618875616384</v>
      </c>
    </row>
    <row r="557" spans="1:5" x14ac:dyDescent="0.3">
      <c r="A557" s="31">
        <v>1997.2500000007601</v>
      </c>
      <c r="B557" s="2">
        <v>0.69623840452222652</v>
      </c>
      <c r="C557" s="2">
        <v>0.13219833333333342</v>
      </c>
      <c r="D557" s="2">
        <v>8.135116830113677E-2</v>
      </c>
      <c r="E557" s="2">
        <v>0.96439043981316641</v>
      </c>
    </row>
    <row r="558" spans="1:5" x14ac:dyDescent="0.3">
      <c r="A558" s="31">
        <v>1997.33333333409</v>
      </c>
      <c r="B558" s="2">
        <v>0.70382006944382758</v>
      </c>
      <c r="C558" s="2">
        <v>0.13219833333333342</v>
      </c>
      <c r="D558" s="2">
        <v>7.6753618572189555E-2</v>
      </c>
      <c r="E558" s="2">
        <v>0.96964864201342293</v>
      </c>
    </row>
    <row r="559" spans="1:5" x14ac:dyDescent="0.3">
      <c r="A559" s="31">
        <v>1997.41666666742</v>
      </c>
      <c r="B559" s="2">
        <v>0.68428398547152802</v>
      </c>
      <c r="C559" s="2">
        <v>0.15616500000000019</v>
      </c>
      <c r="D559" s="2">
        <v>7.6636342009748601E-2</v>
      </c>
      <c r="E559" s="2">
        <v>0.97228589461693149</v>
      </c>
    </row>
    <row r="560" spans="1:5" x14ac:dyDescent="0.3">
      <c r="A560" s="31">
        <v>1997.5000000007501</v>
      </c>
      <c r="B560" s="2">
        <v>0.62559026435488063</v>
      </c>
      <c r="C560" s="2">
        <v>5.6976666666666703E-2</v>
      </c>
      <c r="D560" s="2">
        <v>3.9845271541231991E-2</v>
      </c>
      <c r="E560" s="2">
        <v>0.97707751637493268</v>
      </c>
    </row>
    <row r="561" spans="1:5" x14ac:dyDescent="0.3">
      <c r="A561" s="31">
        <v>1997.58333333408</v>
      </c>
      <c r="B561" s="2">
        <v>0.73258283692601245</v>
      </c>
      <c r="C561" s="2">
        <v>8.3205000000000057E-2</v>
      </c>
      <c r="D561" s="2">
        <v>5.2605202245397088E-2</v>
      </c>
      <c r="E561" s="2">
        <v>0.98367324648464782</v>
      </c>
    </row>
    <row r="562" spans="1:5" x14ac:dyDescent="0.3">
      <c r="A562" s="31">
        <v>1997.66666666741</v>
      </c>
      <c r="B562" s="2">
        <v>0.7276566465221509</v>
      </c>
      <c r="C562" s="2">
        <v>7.2955000000000075E-2</v>
      </c>
      <c r="D562" s="2">
        <v>4.5762948160525931E-2</v>
      </c>
      <c r="E562" s="2">
        <v>0.98511532692903603</v>
      </c>
    </row>
    <row r="563" spans="1:5" x14ac:dyDescent="0.3">
      <c r="A563" s="31">
        <v>1997.7500000007401</v>
      </c>
      <c r="B563" s="2">
        <v>0.72691735756674714</v>
      </c>
      <c r="C563" s="2">
        <v>8.3205000000000057E-2</v>
      </c>
      <c r="D563" s="2">
        <v>4.9269087700939691E-2</v>
      </c>
      <c r="E563" s="2">
        <v>0.98972524226027003</v>
      </c>
    </row>
    <row r="564" spans="1:5" x14ac:dyDescent="0.3">
      <c r="A564" s="31">
        <v>1997.8333333340699</v>
      </c>
      <c r="B564" s="2">
        <v>0.72022856848412575</v>
      </c>
      <c r="C564" s="2">
        <v>8.5471666666666612E-2</v>
      </c>
      <c r="D564" s="2">
        <v>5.3671126093306411E-2</v>
      </c>
      <c r="E564" s="2">
        <v>0.99250552691772342</v>
      </c>
    </row>
    <row r="565" spans="1:5" x14ac:dyDescent="0.3">
      <c r="A565" s="31">
        <v>1997.9166666674</v>
      </c>
      <c r="B565" s="2">
        <v>0.67788625106214839</v>
      </c>
      <c r="C565" s="2">
        <v>7.2955000000000089E-2</v>
      </c>
      <c r="D565" s="2">
        <v>4.1178707606306569E-2</v>
      </c>
      <c r="E565" s="2">
        <v>0.99741694994528429</v>
      </c>
    </row>
    <row r="566" spans="1:5" x14ac:dyDescent="0.3">
      <c r="A566" s="31">
        <v>1998.0000000007301</v>
      </c>
      <c r="B566" s="2">
        <v>0.64154841983188216</v>
      </c>
      <c r="C566" s="2">
        <v>9.345500000000001E-2</v>
      </c>
      <c r="D566" s="2">
        <v>4.9926417387666566E-2</v>
      </c>
      <c r="E566" s="2">
        <v>0.98709496118835682</v>
      </c>
    </row>
    <row r="567" spans="1:5" x14ac:dyDescent="0.3">
      <c r="A567" s="31">
        <v>1998.0833333340599</v>
      </c>
      <c r="B567" s="2">
        <v>0.60604584466724531</v>
      </c>
      <c r="C567" s="2">
        <v>8.3205000000000057E-2</v>
      </c>
      <c r="D567" s="2">
        <v>4.3519522130769213E-2</v>
      </c>
      <c r="E567" s="2">
        <v>0.9730046155381854</v>
      </c>
    </row>
    <row r="568" spans="1:5" x14ac:dyDescent="0.3">
      <c r="A568" s="31">
        <v>1998.16666666739</v>
      </c>
      <c r="B568" s="2">
        <v>0.69073387977290868</v>
      </c>
      <c r="C568" s="2">
        <v>0.15615000000000012</v>
      </c>
      <c r="D568" s="2">
        <v>6.8486566556245146E-2</v>
      </c>
      <c r="E568" s="2">
        <v>0.96372849404962491</v>
      </c>
    </row>
    <row r="569" spans="1:5" x14ac:dyDescent="0.3">
      <c r="A569" s="31">
        <v>1998.2500000007201</v>
      </c>
      <c r="B569" s="2">
        <v>0.65503311813258114</v>
      </c>
      <c r="C569" s="2">
        <v>0.18238833333333349</v>
      </c>
      <c r="D569" s="2">
        <v>7.5506398742803779E-2</v>
      </c>
      <c r="E569" s="2">
        <v>0.96319691876956315</v>
      </c>
    </row>
    <row r="570" spans="1:5" x14ac:dyDescent="0.3">
      <c r="A570" s="31">
        <v>1998.3333333340499</v>
      </c>
      <c r="B570" s="2">
        <v>0.67959609552787859</v>
      </c>
      <c r="C570" s="2">
        <v>0.16640500000000011</v>
      </c>
      <c r="D570" s="2">
        <v>7.7901722523128797E-2</v>
      </c>
      <c r="E570" s="2">
        <v>0.96993835224248115</v>
      </c>
    </row>
    <row r="571" spans="1:5" x14ac:dyDescent="0.3">
      <c r="A571" s="31">
        <v>1998.41666666738</v>
      </c>
      <c r="B571" s="2">
        <v>0.70635186019486229</v>
      </c>
      <c r="C571" s="2">
        <v>0.18238833333333349</v>
      </c>
      <c r="D571" s="2">
        <v>8.3941742620934831E-2</v>
      </c>
      <c r="E571" s="2">
        <v>0.97386393451256259</v>
      </c>
    </row>
    <row r="572" spans="1:5" x14ac:dyDescent="0.3">
      <c r="A572" s="31">
        <v>1998.5000000007101</v>
      </c>
      <c r="B572" s="2">
        <v>0.82779697541804242</v>
      </c>
      <c r="C572" s="2">
        <v>6.4966666666666659E-2</v>
      </c>
      <c r="D572" s="2">
        <v>5.5026301695321855E-2</v>
      </c>
      <c r="E572" s="2">
        <v>0.98554697895417287</v>
      </c>
    </row>
    <row r="573" spans="1:5" x14ac:dyDescent="0.3">
      <c r="A573" s="31">
        <v>1998.5833333340399</v>
      </c>
      <c r="B573" s="2">
        <v>0.70372980171363375</v>
      </c>
      <c r="C573" s="2">
        <v>6.4971666666666705E-2</v>
      </c>
      <c r="D573" s="2">
        <v>4.6039602682085436E-2</v>
      </c>
      <c r="E573" s="2">
        <v>0.99880592064506823</v>
      </c>
    </row>
    <row r="574" spans="1:5" x14ac:dyDescent="0.3">
      <c r="A574" s="31">
        <v>1998.66666666737</v>
      </c>
      <c r="B574" s="2">
        <v>0.68057135570816041</v>
      </c>
      <c r="C574" s="2">
        <v>6.4971666666666691E-2</v>
      </c>
      <c r="D574" s="2">
        <v>4.2754135696630176E-2</v>
      </c>
      <c r="E574" s="2">
        <v>1.0159332378528534</v>
      </c>
    </row>
    <row r="575" spans="1:5" x14ac:dyDescent="0.3">
      <c r="A575" s="31">
        <v>1998.7500000007001</v>
      </c>
      <c r="B575" s="2">
        <v>0.68266575427805254</v>
      </c>
      <c r="C575" s="2">
        <v>6.4971666666666705E-2</v>
      </c>
      <c r="D575" s="2">
        <v>4.1153127544117374E-2</v>
      </c>
      <c r="E575" s="2">
        <v>1.0352674378225772</v>
      </c>
    </row>
    <row r="576" spans="1:5" x14ac:dyDescent="0.3">
      <c r="A576" s="31">
        <v>1998.8333333340299</v>
      </c>
      <c r="B576" s="2">
        <v>0.64888463621494596</v>
      </c>
      <c r="C576" s="2">
        <v>6.4971666666666705E-2</v>
      </c>
      <c r="D576" s="2">
        <v>3.8653925814067243E-2</v>
      </c>
      <c r="E576" s="2">
        <v>1.0567161761777808</v>
      </c>
    </row>
    <row r="577" spans="1:5" x14ac:dyDescent="0.3">
      <c r="A577" s="31">
        <v>1998.91666666736</v>
      </c>
      <c r="B577" s="2">
        <v>0.60885543918592866</v>
      </c>
      <c r="C577" s="2">
        <v>6.4971666666666691E-2</v>
      </c>
      <c r="D577" s="2">
        <v>3.6651604062158567E-2</v>
      </c>
      <c r="E577" s="2">
        <v>1.0747646062509566</v>
      </c>
    </row>
    <row r="578" spans="1:5" x14ac:dyDescent="0.3">
      <c r="A578" s="31">
        <v>1999.0000000006901</v>
      </c>
      <c r="B578" s="2">
        <v>0.56478163181371699</v>
      </c>
      <c r="C578" s="2">
        <v>6.4971666666666705E-2</v>
      </c>
      <c r="D578" s="2">
        <v>3.460417457244664E-2</v>
      </c>
      <c r="E578" s="2">
        <v>1.0632823676286174</v>
      </c>
    </row>
    <row r="579" spans="1:5" x14ac:dyDescent="0.3">
      <c r="A579" s="31">
        <v>1999.0833333340199</v>
      </c>
      <c r="B579" s="2">
        <v>0.52959067595704346</v>
      </c>
      <c r="C579" s="2">
        <v>9.1205000000000078E-2</v>
      </c>
      <c r="D579" s="2">
        <v>3.3080284342719042E-2</v>
      </c>
      <c r="E579" s="2">
        <v>1.0153671865778646</v>
      </c>
    </row>
    <row r="580" spans="1:5" x14ac:dyDescent="0.3">
      <c r="A580" s="31">
        <v>1999.16666666735</v>
      </c>
      <c r="B580" s="2">
        <v>0.58713176387076682</v>
      </c>
      <c r="C580" s="2">
        <v>0.12993166666666683</v>
      </c>
      <c r="D580" s="2">
        <v>5.6987626222834931E-2</v>
      </c>
      <c r="E580" s="2">
        <v>0.98702466194955085</v>
      </c>
    </row>
    <row r="581" spans="1:5" x14ac:dyDescent="0.3">
      <c r="A581" s="31">
        <v>1999.2500000006801</v>
      </c>
      <c r="B581" s="2">
        <v>0.57682276044440461</v>
      </c>
      <c r="C581" s="2">
        <v>0.16642000000000021</v>
      </c>
      <c r="D581" s="2">
        <v>7.3225749140554144E-2</v>
      </c>
      <c r="E581" s="2">
        <v>0.98349463656532543</v>
      </c>
    </row>
    <row r="582" spans="1:5" x14ac:dyDescent="0.3">
      <c r="A582" s="31">
        <v>1999.3333333340099</v>
      </c>
      <c r="B582" s="2">
        <v>0.62863129577160815</v>
      </c>
      <c r="C582" s="2">
        <v>0.14018166666666679</v>
      </c>
      <c r="D582" s="2">
        <v>7.5667666403045439E-2</v>
      </c>
      <c r="E582" s="2">
        <v>0.99683746041154309</v>
      </c>
    </row>
    <row r="583" spans="1:5" x14ac:dyDescent="0.3">
      <c r="A583" s="31">
        <v>1999.41666666734</v>
      </c>
      <c r="B583" s="2">
        <v>0.70036111704171466</v>
      </c>
      <c r="C583" s="2">
        <v>0.17440333333333358</v>
      </c>
      <c r="D583" s="2">
        <v>9.8060193212529789E-2</v>
      </c>
      <c r="E583" s="2">
        <v>1.0122843185522115</v>
      </c>
    </row>
    <row r="584" spans="1:5" x14ac:dyDescent="0.3">
      <c r="A584" s="31">
        <v>1999.5000000006701</v>
      </c>
      <c r="B584" s="2">
        <v>0.71556259152850199</v>
      </c>
      <c r="C584" s="2">
        <v>5.6966666666666665E-2</v>
      </c>
      <c r="D584" s="2">
        <v>4.4478932873728137E-2</v>
      </c>
      <c r="E584" s="2">
        <v>1.0318775126143742</v>
      </c>
    </row>
    <row r="585" spans="1:5" x14ac:dyDescent="0.3">
      <c r="A585" s="31">
        <v>1999.5833333339999</v>
      </c>
      <c r="B585" s="2">
        <v>0.73934029585447281</v>
      </c>
      <c r="C585" s="2">
        <v>6.4971666666666705E-2</v>
      </c>
      <c r="D585" s="2">
        <v>4.9389313125288568E-2</v>
      </c>
      <c r="E585" s="2">
        <v>1.0394334417770925</v>
      </c>
    </row>
    <row r="586" spans="1:5" x14ac:dyDescent="0.3">
      <c r="A586" s="31">
        <v>1999.66666666733</v>
      </c>
      <c r="B586" s="2">
        <v>0.69886037153776748</v>
      </c>
      <c r="C586" s="2">
        <v>9.343333333333341E-2</v>
      </c>
      <c r="D586" s="2">
        <v>4.0914696232379477E-2</v>
      </c>
      <c r="E586" s="2">
        <v>1.0428504771437039</v>
      </c>
    </row>
    <row r="587" spans="1:5" x14ac:dyDescent="0.3">
      <c r="A587" s="31">
        <v>1999.7500000006601</v>
      </c>
      <c r="B587" s="2">
        <v>0.76466481218474824</v>
      </c>
      <c r="C587" s="2">
        <v>6.4971666666666705E-2</v>
      </c>
      <c r="D587" s="2">
        <v>4.5823003551143882E-2</v>
      </c>
      <c r="E587" s="2">
        <v>1.0473602280926966</v>
      </c>
    </row>
    <row r="588" spans="1:5" x14ac:dyDescent="0.3">
      <c r="A588" s="31">
        <v>1999.8333333339899</v>
      </c>
      <c r="B588" s="2">
        <v>0.71867028115329579</v>
      </c>
      <c r="C588" s="2">
        <v>6.4966666666666673E-2</v>
      </c>
      <c r="D588" s="2">
        <v>4.2255607769738301E-2</v>
      </c>
      <c r="E588" s="2">
        <v>1.0525251096590618</v>
      </c>
    </row>
    <row r="589" spans="1:5" x14ac:dyDescent="0.3">
      <c r="A589" s="31">
        <v>1999.91666666732</v>
      </c>
      <c r="B589" s="2">
        <v>0.65309600077771301</v>
      </c>
      <c r="C589" s="2">
        <v>8.3188333333333433E-2</v>
      </c>
      <c r="D589" s="2">
        <v>3.605766199925018E-2</v>
      </c>
      <c r="E589" s="2">
        <v>1.0629757904292361</v>
      </c>
    </row>
    <row r="590" spans="1:5" x14ac:dyDescent="0.3">
      <c r="A590" s="31">
        <v>2000.0000000006601</v>
      </c>
      <c r="B590" s="2">
        <v>0.61771609420247342</v>
      </c>
      <c r="C590" s="2">
        <v>6.4966666666666673E-2</v>
      </c>
      <c r="D590" s="2">
        <v>3.8518142374653862E-2</v>
      </c>
      <c r="E590" s="2">
        <v>1.0439525090012853</v>
      </c>
    </row>
    <row r="591" spans="1:5" x14ac:dyDescent="0.3">
      <c r="A591" s="31">
        <v>2000.0833333339899</v>
      </c>
      <c r="B591" s="2">
        <v>0.63681831966705305</v>
      </c>
      <c r="C591" s="2">
        <v>9.3455000000000024E-2</v>
      </c>
      <c r="D591" s="2">
        <v>4.5452221823376333E-2</v>
      </c>
      <c r="E591" s="2">
        <v>1.0079153006907324</v>
      </c>
    </row>
    <row r="592" spans="1:5" x14ac:dyDescent="0.3">
      <c r="A592" s="31">
        <v>2000.16666666732</v>
      </c>
      <c r="B592" s="2">
        <v>0.59299415154728574</v>
      </c>
      <c r="C592" s="2">
        <v>0.11395</v>
      </c>
      <c r="D592" s="2">
        <v>6.7683155678573595E-2</v>
      </c>
      <c r="E592" s="2">
        <v>0.96902341512139911</v>
      </c>
    </row>
    <row r="593" spans="1:5" x14ac:dyDescent="0.3">
      <c r="A593" s="31">
        <v>2000.2500000006501</v>
      </c>
      <c r="B593" s="2">
        <v>0.66318181615405358</v>
      </c>
      <c r="C593" s="2">
        <v>0.12193833333333338</v>
      </c>
      <c r="D593" s="2">
        <v>7.5129807759342596E-2</v>
      </c>
      <c r="E593" s="2">
        <v>0.96125608778402838</v>
      </c>
    </row>
    <row r="594" spans="1:5" x14ac:dyDescent="0.3">
      <c r="A594" s="31">
        <v>2000.3333333339799</v>
      </c>
      <c r="B594" s="2">
        <v>0.65453269370776368</v>
      </c>
      <c r="C594" s="2">
        <v>0.12193333333333338</v>
      </c>
      <c r="D594" s="2">
        <v>7.6647746124083441E-2</v>
      </c>
      <c r="E594" s="2">
        <v>0.96955746538823173</v>
      </c>
    </row>
    <row r="595" spans="1:5" x14ac:dyDescent="0.3">
      <c r="A595" s="31">
        <v>2000.41666666731</v>
      </c>
      <c r="B595" s="2">
        <v>0.707477389950674</v>
      </c>
      <c r="C595" s="2">
        <v>0.13792166666666678</v>
      </c>
      <c r="D595" s="2">
        <v>8.266343276122852E-2</v>
      </c>
      <c r="E595" s="2">
        <v>0.98105939444607981</v>
      </c>
    </row>
    <row r="596" spans="1:5" x14ac:dyDescent="0.3">
      <c r="A596" s="31">
        <v>2000.5000000006401</v>
      </c>
      <c r="B596" s="2">
        <v>0.74944807611489972</v>
      </c>
      <c r="C596" s="2">
        <v>5.6971666666666719E-2</v>
      </c>
      <c r="D596" s="2">
        <v>4.6736588938252006E-2</v>
      </c>
      <c r="E596" s="2">
        <v>0.99469960270079161</v>
      </c>
    </row>
    <row r="597" spans="1:5" x14ac:dyDescent="0.3">
      <c r="A597" s="31">
        <v>2000.5833333339699</v>
      </c>
      <c r="B597" s="2">
        <v>0.69781449446208033</v>
      </c>
      <c r="C597" s="2">
        <v>9.5726666666666668E-2</v>
      </c>
      <c r="D597" s="2">
        <v>6.0156697620544673E-2</v>
      </c>
      <c r="E597" s="2">
        <v>1.0122485154305261</v>
      </c>
    </row>
    <row r="598" spans="1:5" x14ac:dyDescent="0.3">
      <c r="A598" s="31">
        <v>2000.6666666673</v>
      </c>
      <c r="B598" s="2">
        <v>0.66295021229244988</v>
      </c>
      <c r="C598" s="2">
        <v>8.5476666666666687E-2</v>
      </c>
      <c r="D598" s="2">
        <v>5.6976251915205299E-2</v>
      </c>
      <c r="E598" s="2">
        <v>1.0239740567631435</v>
      </c>
    </row>
    <row r="599" spans="1:5" x14ac:dyDescent="0.3">
      <c r="A599" s="31">
        <v>2000.7500000006301</v>
      </c>
      <c r="B599" s="2">
        <v>0.65191441052538357</v>
      </c>
      <c r="C599" s="2">
        <v>0.10371000000000004</v>
      </c>
      <c r="D599" s="2">
        <v>5.4212721821500914E-2</v>
      </c>
      <c r="E599" s="2">
        <v>1.0306254131875621</v>
      </c>
    </row>
    <row r="600" spans="1:5" x14ac:dyDescent="0.3">
      <c r="A600" s="31">
        <v>2000.8333333339599</v>
      </c>
      <c r="B600" s="2">
        <v>0.64221857734174814</v>
      </c>
      <c r="C600" s="2">
        <v>6.7221666666666693E-2</v>
      </c>
      <c r="D600" s="2">
        <v>4.3834117206259619E-2</v>
      </c>
      <c r="E600" s="2">
        <v>1.0349160776751887</v>
      </c>
    </row>
    <row r="601" spans="1:5" x14ac:dyDescent="0.3">
      <c r="A601" s="31">
        <v>2000.91666666729</v>
      </c>
      <c r="B601" s="2">
        <v>0.61406694391215833</v>
      </c>
      <c r="C601" s="2">
        <v>9.5726666666666668E-2</v>
      </c>
      <c r="D601" s="2">
        <v>5.2012688722163671E-2</v>
      </c>
      <c r="E601" s="2">
        <v>1.0382155202685184</v>
      </c>
    </row>
    <row r="602" spans="1:5" x14ac:dyDescent="0.3">
      <c r="A602" s="31">
        <v>2001.00000000062</v>
      </c>
      <c r="B602" s="2">
        <v>0.5820672832565349</v>
      </c>
      <c r="C602" s="2">
        <v>8.5476666666666687E-2</v>
      </c>
      <c r="D602" s="2">
        <v>4.9971642267779011E-2</v>
      </c>
      <c r="E602" s="2">
        <v>1.0236901699899388</v>
      </c>
    </row>
    <row r="603" spans="1:5" x14ac:dyDescent="0.3">
      <c r="A603" s="31">
        <v>2001.0833333339499</v>
      </c>
      <c r="B603" s="2">
        <v>0.5423098635744652</v>
      </c>
      <c r="C603" s="2">
        <v>0.10371000000000004</v>
      </c>
      <c r="D603" s="2">
        <v>4.6078011687343094E-2</v>
      </c>
      <c r="E603" s="2">
        <v>0.99330494698970773</v>
      </c>
    </row>
    <row r="604" spans="1:5" x14ac:dyDescent="0.3">
      <c r="A604" s="31">
        <v>2001.16666666728</v>
      </c>
      <c r="B604" s="2">
        <v>0.54216888305291711</v>
      </c>
      <c r="C604" s="2">
        <v>0.1151500000000002</v>
      </c>
      <c r="D604" s="2">
        <v>4.0341675211917165E-2</v>
      </c>
      <c r="E604" s="2">
        <v>0.96921925286718391</v>
      </c>
    </row>
    <row r="605" spans="1:5" x14ac:dyDescent="0.3">
      <c r="A605" s="31">
        <v>2001.25000000061</v>
      </c>
      <c r="B605" s="2">
        <v>0.56558847320967942</v>
      </c>
      <c r="C605" s="2">
        <v>0.12540500000000018</v>
      </c>
      <c r="D605" s="2">
        <v>4.3720304385091502E-2</v>
      </c>
      <c r="E605" s="2">
        <v>0.96381724273250569</v>
      </c>
    </row>
    <row r="606" spans="1:5" x14ac:dyDescent="0.3">
      <c r="A606" s="31">
        <v>2001.3333333339399</v>
      </c>
      <c r="B606" s="2">
        <v>0.60047548919298233</v>
      </c>
      <c r="C606" s="2">
        <v>0.11515500000000019</v>
      </c>
      <c r="D606" s="2">
        <v>4.7741148931362276E-2</v>
      </c>
      <c r="E606" s="2">
        <v>0.97014751804202981</v>
      </c>
    </row>
    <row r="607" spans="1:5" x14ac:dyDescent="0.3">
      <c r="A607" s="31">
        <v>2001.41666666727</v>
      </c>
      <c r="B607" s="2">
        <v>0.6340527356056912</v>
      </c>
      <c r="C607" s="2">
        <v>0.13338833333333355</v>
      </c>
      <c r="D607" s="2">
        <v>5.0592263081620299E-2</v>
      </c>
      <c r="E607" s="2">
        <v>0.9778507184105707</v>
      </c>
    </row>
    <row r="608" spans="1:5" x14ac:dyDescent="0.3">
      <c r="A608" s="31">
        <v>2001.5000000006</v>
      </c>
      <c r="B608" s="2">
        <v>0.65328598708864805</v>
      </c>
      <c r="C608" s="2">
        <v>5.6966666666666665E-2</v>
      </c>
      <c r="D608" s="2">
        <v>3.9971366224814273E-2</v>
      </c>
      <c r="E608" s="2">
        <v>0.98940945573589789</v>
      </c>
    </row>
    <row r="609" spans="1:5" x14ac:dyDescent="0.3">
      <c r="A609" s="31">
        <v>2001.5833333339301</v>
      </c>
      <c r="B609" s="2">
        <v>0.66360381181201689</v>
      </c>
      <c r="C609" s="2">
        <v>6.4971666666666705E-2</v>
      </c>
      <c r="D609" s="2">
        <v>4.4091858885549777E-2</v>
      </c>
      <c r="E609" s="2">
        <v>0.99937786404403783</v>
      </c>
    </row>
    <row r="610" spans="1:5" x14ac:dyDescent="0.3">
      <c r="A610" s="31">
        <v>2001.66666666726</v>
      </c>
      <c r="B610" s="2">
        <v>0.65175591958941193</v>
      </c>
      <c r="C610" s="2">
        <v>5.6971666666666691E-2</v>
      </c>
      <c r="D610" s="2">
        <v>3.7122338914546443E-2</v>
      </c>
      <c r="E610" s="2">
        <v>1.0076721854517352</v>
      </c>
    </row>
    <row r="611" spans="1:5" x14ac:dyDescent="0.3">
      <c r="A611" s="31">
        <v>2001.75000000059</v>
      </c>
      <c r="B611" s="2">
        <v>0.67283185434721737</v>
      </c>
      <c r="C611" s="2">
        <v>6.4971666666666705E-2</v>
      </c>
      <c r="D611" s="2">
        <v>4.1389229319511216E-2</v>
      </c>
      <c r="E611" s="2">
        <v>1.0182897540242137</v>
      </c>
    </row>
    <row r="612" spans="1:5" x14ac:dyDescent="0.3">
      <c r="A612" s="31">
        <v>2001.8333333339201</v>
      </c>
      <c r="B612" s="2">
        <v>0.65575021470294492</v>
      </c>
      <c r="C612" s="2">
        <v>6.4971666666666705E-2</v>
      </c>
      <c r="D612" s="2">
        <v>3.8805597191544479E-2</v>
      </c>
      <c r="E612" s="2">
        <v>1.0246593844789604</v>
      </c>
    </row>
    <row r="613" spans="1:5" x14ac:dyDescent="0.3">
      <c r="A613" s="31">
        <v>2001.91666666725</v>
      </c>
      <c r="B613" s="2">
        <v>0.61508590129356466</v>
      </c>
      <c r="C613" s="2">
        <v>6.7221666666666666E-2</v>
      </c>
      <c r="D613" s="2">
        <v>3.3852099777853112E-2</v>
      </c>
      <c r="E613" s="2">
        <v>1.0300452994045979</v>
      </c>
    </row>
    <row r="614" spans="1:5" x14ac:dyDescent="0.3">
      <c r="A614" s="31">
        <v>2002.00000000058</v>
      </c>
      <c r="B614" s="2">
        <v>0.59287274200525142</v>
      </c>
      <c r="C614" s="2">
        <v>6.4971666666666705E-2</v>
      </c>
      <c r="D614" s="2">
        <v>3.6801208118252431E-2</v>
      </c>
      <c r="E614" s="2">
        <v>1.0224363749547745</v>
      </c>
    </row>
    <row r="615" spans="1:5" x14ac:dyDescent="0.3">
      <c r="A615" s="31">
        <v>2002.0833333339101</v>
      </c>
      <c r="B615" s="2">
        <v>0.56665172783066176</v>
      </c>
      <c r="C615" s="2">
        <v>8.3205000000000057E-2</v>
      </c>
      <c r="D615" s="2">
        <v>4.0403805293703042E-2</v>
      </c>
      <c r="E615" s="2">
        <v>0.9990378794925685</v>
      </c>
    </row>
    <row r="616" spans="1:5" x14ac:dyDescent="0.3">
      <c r="A616" s="31">
        <v>2002.16666666724</v>
      </c>
      <c r="B616" s="2">
        <v>0.60176362093316538</v>
      </c>
      <c r="C616" s="2">
        <v>0.14470999999999992</v>
      </c>
      <c r="D616" s="2">
        <v>7.3147970418999439E-2</v>
      </c>
      <c r="E616" s="2">
        <v>0.98103772094927788</v>
      </c>
    </row>
    <row r="617" spans="1:5" x14ac:dyDescent="0.3">
      <c r="A617" s="31">
        <v>2002.25000000057</v>
      </c>
      <c r="B617" s="2">
        <v>0.57804768012008589</v>
      </c>
      <c r="C617" s="2">
        <v>0.17893166666666671</v>
      </c>
      <c r="D617" s="2">
        <v>7.7410870385821742E-2</v>
      </c>
      <c r="E617" s="2">
        <v>0.97056122711564352</v>
      </c>
    </row>
    <row r="618" spans="1:5" x14ac:dyDescent="0.3">
      <c r="A618" s="31">
        <v>2002.3333333339001</v>
      </c>
      <c r="B618" s="2">
        <v>0.56887865220791578</v>
      </c>
      <c r="C618" s="2">
        <v>0.16069333333333333</v>
      </c>
      <c r="D618" s="2">
        <v>7.0201915694628914E-2</v>
      </c>
      <c r="E618" s="2">
        <v>0.97597515000815649</v>
      </c>
    </row>
    <row r="619" spans="1:5" x14ac:dyDescent="0.3">
      <c r="A619" s="31">
        <v>2002.4166666672299</v>
      </c>
      <c r="B619" s="2">
        <v>0.60046910507322404</v>
      </c>
      <c r="C619" s="2">
        <v>0.18918166666666666</v>
      </c>
      <c r="D619" s="2">
        <v>8.1457331387726026E-2</v>
      </c>
      <c r="E619" s="2">
        <v>0.98298415364577241</v>
      </c>
    </row>
    <row r="620" spans="1:5" x14ac:dyDescent="0.3">
      <c r="A620" s="31">
        <v>2002.50000000056</v>
      </c>
      <c r="B620" s="2">
        <v>0.6062254312712011</v>
      </c>
      <c r="C620" s="2">
        <v>7.2955000000000075E-2</v>
      </c>
      <c r="D620" s="2">
        <v>4.1480306679990836E-2</v>
      </c>
      <c r="E620" s="2">
        <v>0.98990943391601594</v>
      </c>
    </row>
    <row r="621" spans="1:5" x14ac:dyDescent="0.3">
      <c r="A621" s="31">
        <v>2002.5833333338901</v>
      </c>
      <c r="B621" s="2">
        <v>0.60607763632932965</v>
      </c>
      <c r="C621" s="2">
        <v>8.3210000000000076E-2</v>
      </c>
      <c r="D621" s="2">
        <v>4.5205263565428894E-2</v>
      </c>
      <c r="E621" s="2">
        <v>1.0038215141931199</v>
      </c>
    </row>
    <row r="622" spans="1:5" x14ac:dyDescent="0.3">
      <c r="A622" s="31">
        <v>2002.6666666672199</v>
      </c>
      <c r="B622" s="2">
        <v>0.59577537890957755</v>
      </c>
      <c r="C622" s="2">
        <v>7.2955000000000075E-2</v>
      </c>
      <c r="D622" s="2">
        <v>3.7970383128674255E-2</v>
      </c>
      <c r="E622" s="2">
        <v>1.0179944499235338</v>
      </c>
    </row>
    <row r="623" spans="1:5" x14ac:dyDescent="0.3">
      <c r="A623" s="31">
        <v>2002.75000000055</v>
      </c>
      <c r="B623" s="2">
        <v>0.59435670013863195</v>
      </c>
      <c r="C623" s="2">
        <v>8.3210000000000076E-2</v>
      </c>
      <c r="D623" s="2">
        <v>4.2094601947934594E-2</v>
      </c>
      <c r="E623" s="2">
        <v>1.0272563624892221</v>
      </c>
    </row>
    <row r="624" spans="1:5" x14ac:dyDescent="0.3">
      <c r="A624" s="31">
        <v>2002.8333333338801</v>
      </c>
      <c r="B624" s="2">
        <v>0.5644961381654291</v>
      </c>
      <c r="C624" s="2">
        <v>7.2955000000000075E-2</v>
      </c>
      <c r="D624" s="2">
        <v>3.4921560040944814E-2</v>
      </c>
      <c r="E624" s="2">
        <v>1.0326263090388026</v>
      </c>
    </row>
    <row r="625" spans="1:5" x14ac:dyDescent="0.3">
      <c r="A625" s="31">
        <v>2002.9166666672099</v>
      </c>
      <c r="B625" s="2">
        <v>0.54527064546560922</v>
      </c>
      <c r="C625" s="2">
        <v>8.3210000000000076E-2</v>
      </c>
      <c r="D625" s="2">
        <v>4.0638529193973816E-2</v>
      </c>
      <c r="E625" s="2">
        <v>1.0340656514122621</v>
      </c>
    </row>
    <row r="626" spans="1:5" x14ac:dyDescent="0.3">
      <c r="A626" s="31">
        <v>2003.00000000054</v>
      </c>
      <c r="B626" s="2">
        <v>0.51972714436222278</v>
      </c>
      <c r="C626" s="2">
        <v>7.2955000000000075E-2</v>
      </c>
      <c r="D626" s="2">
        <v>3.3621843387973728E-2</v>
      </c>
      <c r="E626" s="2">
        <v>1.0215095379161421</v>
      </c>
    </row>
    <row r="627" spans="1:5" x14ac:dyDescent="0.3">
      <c r="A627" s="31">
        <v>2003.0833333338701</v>
      </c>
      <c r="B627" s="2">
        <v>0.53813880393415869</v>
      </c>
      <c r="C627" s="2">
        <v>8.3210000000000076E-2</v>
      </c>
      <c r="D627" s="2">
        <v>4.1746864972692262E-2</v>
      </c>
      <c r="E627" s="2">
        <v>0.98899578045880299</v>
      </c>
    </row>
    <row r="628" spans="1:5" x14ac:dyDescent="0.3">
      <c r="A628" s="31">
        <v>2003.1666666671999</v>
      </c>
      <c r="B628" s="2">
        <v>0.55537440082469236</v>
      </c>
      <c r="C628" s="2">
        <v>0.12421</v>
      </c>
      <c r="D628" s="2">
        <v>6.4871376564950123E-2</v>
      </c>
      <c r="E628" s="2">
        <v>0.9692350639502092</v>
      </c>
    </row>
    <row r="629" spans="1:5" x14ac:dyDescent="0.3">
      <c r="A629" s="31">
        <v>2003.25000000053</v>
      </c>
      <c r="B629" s="2">
        <v>0.58345628555351892</v>
      </c>
      <c r="C629" s="2">
        <v>0.15269833333333335</v>
      </c>
      <c r="D629" s="2">
        <v>8.0213837699996182E-2</v>
      </c>
      <c r="E629" s="2">
        <v>0.96597843346481072</v>
      </c>
    </row>
    <row r="630" spans="1:5" x14ac:dyDescent="0.3">
      <c r="A630" s="31">
        <v>2003.3333333338601</v>
      </c>
      <c r="B630" s="2">
        <v>0.60642469564552837</v>
      </c>
      <c r="C630" s="2">
        <v>0.14244333333333334</v>
      </c>
      <c r="D630" s="2">
        <v>7.6735095807887607E-2</v>
      </c>
      <c r="E630" s="2">
        <v>0.97060826797010469</v>
      </c>
    </row>
    <row r="631" spans="1:5" x14ac:dyDescent="0.3">
      <c r="A631" s="31">
        <v>2003.4166666671899</v>
      </c>
      <c r="B631" s="2">
        <v>0.66083519838163718</v>
      </c>
      <c r="C631" s="2">
        <v>0.16294833333333333</v>
      </c>
      <c r="D631" s="2">
        <v>9.3658609196100431E-2</v>
      </c>
      <c r="E631" s="2">
        <v>0.9825734831172831</v>
      </c>
    </row>
    <row r="632" spans="1:5" x14ac:dyDescent="0.3">
      <c r="A632" s="31">
        <v>2003.50000000052</v>
      </c>
      <c r="B632" s="2">
        <v>0.63795736525331148</v>
      </c>
      <c r="C632" s="2">
        <v>5.4700000000000075E-2</v>
      </c>
      <c r="D632" s="2">
        <v>3.7386605102541062E-2</v>
      </c>
      <c r="E632" s="2">
        <v>0.99571950318664881</v>
      </c>
    </row>
    <row r="633" spans="1:5" x14ac:dyDescent="0.3">
      <c r="A633" s="31">
        <v>2003.5833333338501</v>
      </c>
      <c r="B633" s="2">
        <v>0.71561769537533715</v>
      </c>
      <c r="C633" s="2">
        <v>6.4971666666666705E-2</v>
      </c>
      <c r="D633" s="2">
        <v>4.691285403494827E-2</v>
      </c>
      <c r="E633" s="2">
        <v>1.0146669957459042</v>
      </c>
    </row>
    <row r="634" spans="1:5" x14ac:dyDescent="0.3">
      <c r="A634" s="31">
        <v>2003.6666666671799</v>
      </c>
      <c r="B634" s="2">
        <v>0.8659454867000963</v>
      </c>
      <c r="C634" s="2">
        <v>6.4976666666666724E-2</v>
      </c>
      <c r="D634" s="2">
        <v>5.4449707049114504E-2</v>
      </c>
      <c r="E634" s="2">
        <v>1.0299744921305485</v>
      </c>
    </row>
    <row r="635" spans="1:5" x14ac:dyDescent="0.3">
      <c r="A635" s="31">
        <v>2003.75000000051</v>
      </c>
      <c r="B635" s="2">
        <v>0.63199880769416472</v>
      </c>
      <c r="C635" s="2">
        <v>7.295000000000007E-2</v>
      </c>
      <c r="D635" s="2">
        <v>4.0163884995776583E-2</v>
      </c>
      <c r="E635" s="2">
        <v>1.0411184517604177</v>
      </c>
    </row>
    <row r="636" spans="1:5" x14ac:dyDescent="0.3">
      <c r="A636" s="31">
        <v>2003.8333333338401</v>
      </c>
      <c r="B636" s="2">
        <v>0.87132724189614497</v>
      </c>
      <c r="C636" s="2">
        <v>6.4976666666666724E-2</v>
      </c>
      <c r="D636" s="2">
        <v>5.4026939803455278E-2</v>
      </c>
      <c r="E636" s="2">
        <v>1.0438244105935528</v>
      </c>
    </row>
    <row r="637" spans="1:5" x14ac:dyDescent="0.3">
      <c r="A637" s="31">
        <v>2003.9166666671699</v>
      </c>
      <c r="B637" s="2">
        <v>0.692360180341966</v>
      </c>
      <c r="C637" s="2">
        <v>6.4971666666666705E-2</v>
      </c>
      <c r="D637" s="2">
        <v>4.2817880478199594E-2</v>
      </c>
      <c r="E637" s="2">
        <v>1.0501552587982892</v>
      </c>
    </row>
    <row r="638" spans="1:5" x14ac:dyDescent="0.3">
      <c r="A638" s="31">
        <v>2004.0000000005</v>
      </c>
      <c r="B638" s="2">
        <v>0.56254929316385183</v>
      </c>
      <c r="C638" s="2">
        <v>6.6700000000000065E-2</v>
      </c>
      <c r="D638" s="2">
        <v>3.6011548515174234E-2</v>
      </c>
      <c r="E638" s="2">
        <v>1.0393769869656424</v>
      </c>
    </row>
    <row r="639" spans="1:5" x14ac:dyDescent="0.3">
      <c r="A639" s="31">
        <v>2004.0833333338301</v>
      </c>
      <c r="B639" s="2">
        <v>0.61231815358138453</v>
      </c>
      <c r="C639" s="2">
        <v>8.3205000000000057E-2</v>
      </c>
      <c r="D639" s="2">
        <v>4.3654930477434219E-2</v>
      </c>
      <c r="E639" s="2">
        <v>0.99531632588527197</v>
      </c>
    </row>
    <row r="640" spans="1:5" x14ac:dyDescent="0.3">
      <c r="A640" s="31">
        <v>2004.1666666671599</v>
      </c>
      <c r="B640" s="2">
        <v>0.58524007154392488</v>
      </c>
      <c r="C640" s="2">
        <v>0.15042166666666665</v>
      </c>
      <c r="D640" s="2">
        <v>6.6705781566230068E-2</v>
      </c>
      <c r="E640" s="2">
        <v>0.97220695237072385</v>
      </c>
    </row>
    <row r="641" spans="1:5" x14ac:dyDescent="0.3">
      <c r="A641" s="31">
        <v>2004.25000000049</v>
      </c>
      <c r="B641" s="2">
        <v>0.56348291123650274</v>
      </c>
      <c r="C641" s="2">
        <v>0.15615000000000009</v>
      </c>
      <c r="D641" s="2">
        <v>5.503254922335455E-2</v>
      </c>
      <c r="E641" s="2">
        <v>0.96996491606069102</v>
      </c>
    </row>
    <row r="642" spans="1:5" x14ac:dyDescent="0.3">
      <c r="A642" s="31">
        <v>2004.3333333338201</v>
      </c>
      <c r="B642" s="2">
        <v>0.64028497969865905</v>
      </c>
      <c r="C642" s="2">
        <v>0.17665500000000001</v>
      </c>
      <c r="D642" s="2">
        <v>8.4286250169378574E-2</v>
      </c>
      <c r="E642" s="2">
        <v>0.97446757164262554</v>
      </c>
    </row>
    <row r="643" spans="1:5" x14ac:dyDescent="0.3">
      <c r="A643" s="31">
        <v>2004.4166666671499</v>
      </c>
      <c r="B643" s="2">
        <v>0.6664830447779867</v>
      </c>
      <c r="C643" s="2">
        <v>0.15388833333333349</v>
      </c>
      <c r="D643" s="2">
        <v>7.1454262271454058E-2</v>
      </c>
      <c r="E643" s="2">
        <v>0.98027010791108671</v>
      </c>
    </row>
    <row r="644" spans="1:5" x14ac:dyDescent="0.3">
      <c r="A644" s="31">
        <v>2004.50000000048</v>
      </c>
      <c r="B644" s="2">
        <v>0.63631006510318122</v>
      </c>
      <c r="C644" s="2">
        <v>6.1499999999999902E-2</v>
      </c>
      <c r="D644" s="2">
        <v>3.7084525848961214E-2</v>
      </c>
      <c r="E644" s="2">
        <v>0.99299629782758381</v>
      </c>
    </row>
    <row r="645" spans="1:5" x14ac:dyDescent="0.3">
      <c r="A645" s="31">
        <v>2004.5833333338101</v>
      </c>
      <c r="B645" s="2">
        <v>0.66646020140397366</v>
      </c>
      <c r="C645" s="2">
        <v>6.4966666666666673E-2</v>
      </c>
      <c r="D645" s="2">
        <v>4.7464580749786933E-2</v>
      </c>
      <c r="E645" s="2">
        <v>1.0106169552058697</v>
      </c>
    </row>
    <row r="646" spans="1:5" x14ac:dyDescent="0.3">
      <c r="A646" s="31">
        <v>2004.6666666671399</v>
      </c>
      <c r="B646" s="2">
        <v>0.68338154540501783</v>
      </c>
      <c r="C646" s="2">
        <v>6.1499999999999874E-2</v>
      </c>
      <c r="D646" s="2">
        <v>3.8143113821988879E-2</v>
      </c>
      <c r="E646" s="2">
        <v>1.027557603310095</v>
      </c>
    </row>
    <row r="647" spans="1:5" x14ac:dyDescent="0.3">
      <c r="A647" s="31">
        <v>2004.75000000047</v>
      </c>
      <c r="B647" s="2">
        <v>0.74120128883406655</v>
      </c>
      <c r="C647" s="2">
        <v>6.4971666666666705E-2</v>
      </c>
      <c r="D647" s="2">
        <v>4.7558570703105818E-2</v>
      </c>
      <c r="E647" s="2">
        <v>1.0387479248056615</v>
      </c>
    </row>
    <row r="648" spans="1:5" x14ac:dyDescent="0.3">
      <c r="A648" s="31">
        <v>2004.8333333338001</v>
      </c>
      <c r="B648" s="2">
        <v>0.68202778920326734</v>
      </c>
      <c r="C648" s="2">
        <v>7.296666666666668E-2</v>
      </c>
      <c r="D648" s="2">
        <v>5.031611158539568E-2</v>
      </c>
      <c r="E648" s="2">
        <v>1.0427939626691503</v>
      </c>
    </row>
    <row r="649" spans="1:5" x14ac:dyDescent="0.3">
      <c r="A649" s="31">
        <v>2004.9166666671299</v>
      </c>
      <c r="B649" s="2">
        <v>0.65495207575261849</v>
      </c>
      <c r="C649" s="2">
        <v>5.6966666666666686E-2</v>
      </c>
      <c r="D649" s="2">
        <v>3.5040946124210985E-2</v>
      </c>
      <c r="E649" s="2">
        <v>1.0415393595283997</v>
      </c>
    </row>
    <row r="650" spans="1:5" x14ac:dyDescent="0.3">
      <c r="A650" s="31">
        <v>2005.00000000046</v>
      </c>
      <c r="B650" s="2">
        <v>0.61845172688251604</v>
      </c>
      <c r="C650" s="2">
        <v>7.2966666666666666E-2</v>
      </c>
      <c r="D650" s="2">
        <v>4.6997001651669403E-2</v>
      </c>
      <c r="E650" s="2">
        <v>1.0335170250614123</v>
      </c>
    </row>
    <row r="651" spans="1:5" x14ac:dyDescent="0.3">
      <c r="A651" s="31">
        <v>2005.0833333337901</v>
      </c>
      <c r="B651" s="2">
        <v>0.6652767595810013</v>
      </c>
      <c r="C651" s="2">
        <v>7.5221666666666687E-2</v>
      </c>
      <c r="D651" s="2">
        <v>4.3472392694099471E-2</v>
      </c>
      <c r="E651" s="2">
        <v>1.0038316072289586</v>
      </c>
    </row>
    <row r="652" spans="1:5" x14ac:dyDescent="0.3">
      <c r="A652" s="31">
        <v>2005.1666666671199</v>
      </c>
      <c r="B652" s="2">
        <v>0.67607474094294462</v>
      </c>
      <c r="C652" s="2">
        <v>0.15496499999999994</v>
      </c>
      <c r="D652" s="2">
        <v>8.0964243585355256E-2</v>
      </c>
      <c r="E652" s="2">
        <v>0.97585546735262796</v>
      </c>
    </row>
    <row r="653" spans="1:5" x14ac:dyDescent="0.3">
      <c r="A653" s="31">
        <v>2005.25000000045</v>
      </c>
      <c r="B653" s="2">
        <v>0.7137467979079587</v>
      </c>
      <c r="C653" s="2">
        <v>0.17893166666666671</v>
      </c>
      <c r="D653" s="2">
        <v>8.5942022353425837E-2</v>
      </c>
      <c r="E653" s="2">
        <v>0.97081539851681253</v>
      </c>
    </row>
    <row r="654" spans="1:5" x14ac:dyDescent="0.3">
      <c r="A654" s="31">
        <v>2005.33333333378</v>
      </c>
      <c r="B654" s="2">
        <v>0.68822460746399639</v>
      </c>
      <c r="C654" s="2">
        <v>0.16294833333333331</v>
      </c>
      <c r="D654" s="2">
        <v>7.9713493080973863E-2</v>
      </c>
      <c r="E654" s="2">
        <v>0.97392818710598839</v>
      </c>
    </row>
    <row r="655" spans="1:5" x14ac:dyDescent="0.3">
      <c r="A655" s="31">
        <v>2005.4166666671099</v>
      </c>
      <c r="B655" s="2">
        <v>0.72855046008226898</v>
      </c>
      <c r="C655" s="2">
        <v>0.20968666666666666</v>
      </c>
      <c r="D655" s="2">
        <v>9.8654107581137018E-2</v>
      </c>
      <c r="E655" s="2">
        <v>0.9768810794367031</v>
      </c>
    </row>
    <row r="656" spans="1:5" x14ac:dyDescent="0.3">
      <c r="A656" s="31">
        <v>2005.50000000044</v>
      </c>
      <c r="B656" s="2">
        <v>0.76735593290838389</v>
      </c>
      <c r="C656" s="2">
        <v>5.4700000000000075E-2</v>
      </c>
      <c r="D656" s="2">
        <v>4.4569726425753714E-2</v>
      </c>
      <c r="E656" s="2">
        <v>0.9823969718986908</v>
      </c>
    </row>
    <row r="657" spans="1:5" x14ac:dyDescent="0.3">
      <c r="A657" s="31">
        <v>2005.58333333377</v>
      </c>
      <c r="B657" s="2">
        <v>0.74571319667469638</v>
      </c>
      <c r="C657" s="2">
        <v>7.2955000000000089E-2</v>
      </c>
      <c r="D657" s="2">
        <v>4.8822353157422609E-2</v>
      </c>
      <c r="E657" s="2">
        <v>0.99468243137808654</v>
      </c>
    </row>
    <row r="658" spans="1:5" x14ac:dyDescent="0.3">
      <c r="A658" s="31">
        <v>2005.6666666670999</v>
      </c>
      <c r="B658" s="2">
        <v>0.76464028080099966</v>
      </c>
      <c r="C658" s="2">
        <v>7.521666666666664E-2</v>
      </c>
      <c r="D658" s="2">
        <v>5.4543924510961433E-2</v>
      </c>
      <c r="E658" s="2">
        <v>1.0114232217951653</v>
      </c>
    </row>
    <row r="659" spans="1:5" x14ac:dyDescent="0.3">
      <c r="A659" s="31">
        <v>2005.75000000043</v>
      </c>
      <c r="B659" s="2">
        <v>0.75134008524090756</v>
      </c>
      <c r="C659" s="2">
        <v>7.2955000000000089E-2</v>
      </c>
      <c r="D659" s="2">
        <v>4.3708810500251667E-2</v>
      </c>
      <c r="E659" s="2">
        <v>1.0286368935551229</v>
      </c>
    </row>
    <row r="660" spans="1:5" x14ac:dyDescent="0.3">
      <c r="A660" s="31">
        <v>2005.83333333376</v>
      </c>
      <c r="B660" s="2">
        <v>0.73699713405508904</v>
      </c>
      <c r="C660" s="2">
        <v>7.293833333333348E-2</v>
      </c>
      <c r="D660" s="2">
        <v>3.7252757295425064E-2</v>
      </c>
      <c r="E660" s="2">
        <v>1.0425107714035204</v>
      </c>
    </row>
    <row r="661" spans="1:5" x14ac:dyDescent="0.3">
      <c r="A661" s="31">
        <v>2005.9166666670901</v>
      </c>
      <c r="B661" s="2">
        <v>0.69500074427394243</v>
      </c>
      <c r="C661" s="2">
        <v>7.521666666666664E-2</v>
      </c>
      <c r="D661" s="2">
        <v>4.7615902018917002E-2</v>
      </c>
      <c r="E661" s="2">
        <v>1.0488516812696649</v>
      </c>
    </row>
    <row r="662" spans="1:5" x14ac:dyDescent="0.3">
      <c r="A662" s="31">
        <v>2006.00000000042</v>
      </c>
      <c r="B662" s="2">
        <v>0.62199206323987333</v>
      </c>
      <c r="C662" s="2">
        <v>7.2955000000000089E-2</v>
      </c>
      <c r="D662" s="2">
        <v>3.7937534326924281E-2</v>
      </c>
      <c r="E662" s="2">
        <v>1.038298500588267</v>
      </c>
    </row>
    <row r="663" spans="1:5" x14ac:dyDescent="0.3">
      <c r="A663" s="31">
        <v>2006.08333333375</v>
      </c>
      <c r="B663" s="2">
        <v>0.57857774089284419</v>
      </c>
      <c r="C663" s="2">
        <v>8.3205000000000057E-2</v>
      </c>
      <c r="D663" s="2">
        <v>4.33615165720996E-2</v>
      </c>
      <c r="E663" s="2">
        <v>1.0030730444045188</v>
      </c>
    </row>
    <row r="664" spans="1:5" x14ac:dyDescent="0.3">
      <c r="A664" s="31">
        <v>2006.1666666670801</v>
      </c>
      <c r="B664" s="2">
        <v>0.59013823943073807</v>
      </c>
      <c r="C664" s="2">
        <v>9.3455000000000066E-2</v>
      </c>
      <c r="D664" s="2">
        <v>5.166958470938976E-2</v>
      </c>
      <c r="E664" s="2">
        <v>0.97871835099338877</v>
      </c>
    </row>
    <row r="665" spans="1:5" x14ac:dyDescent="0.3">
      <c r="A665" s="31">
        <v>2006.25000000041</v>
      </c>
      <c r="B665" s="2">
        <v>0.62632973454421936</v>
      </c>
      <c r="C665" s="2">
        <v>0.10370500000000005</v>
      </c>
      <c r="D665" s="2">
        <v>6.0671675798489644E-2</v>
      </c>
      <c r="E665" s="2">
        <v>0.97896811665158345</v>
      </c>
    </row>
    <row r="666" spans="1:5" x14ac:dyDescent="0.3">
      <c r="A666" s="31">
        <v>2006.33333333374</v>
      </c>
      <c r="B666" s="2">
        <v>0.66680746349959608</v>
      </c>
      <c r="C666" s="2">
        <v>0.10370500000000005</v>
      </c>
      <c r="D666" s="2">
        <v>6.6469269802532219E-2</v>
      </c>
      <c r="E666" s="2">
        <v>0.98604597731730981</v>
      </c>
    </row>
    <row r="667" spans="1:5" x14ac:dyDescent="0.3">
      <c r="A667" s="31">
        <v>2006.4166666670701</v>
      </c>
      <c r="B667" s="2">
        <v>0.73430892080366827</v>
      </c>
      <c r="C667" s="2">
        <v>0.14019333333333339</v>
      </c>
      <c r="D667" s="2">
        <v>9.1009037724790479E-2</v>
      </c>
      <c r="E667" s="2">
        <v>0.99250994485693256</v>
      </c>
    </row>
    <row r="668" spans="1:5" x14ac:dyDescent="0.3">
      <c r="A668" s="31">
        <v>2006.5000000004</v>
      </c>
      <c r="B668" s="2">
        <v>0.81466186362615678</v>
      </c>
      <c r="C668" s="2">
        <v>5.6966666666666686E-2</v>
      </c>
      <c r="D668" s="2">
        <v>4.9302460651863063E-2</v>
      </c>
      <c r="E668" s="2">
        <v>1.004177539434886</v>
      </c>
    </row>
    <row r="669" spans="1:5" x14ac:dyDescent="0.3">
      <c r="A669" s="31">
        <v>2006.58333333373</v>
      </c>
      <c r="B669" s="2">
        <v>0.70906597890197265</v>
      </c>
      <c r="C669" s="2">
        <v>7.5221666666666673E-2</v>
      </c>
      <c r="D669" s="2">
        <v>5.4743991307643854E-2</v>
      </c>
      <c r="E669" s="2">
        <v>1.0194369219543922</v>
      </c>
    </row>
    <row r="670" spans="1:5" x14ac:dyDescent="0.3">
      <c r="A670" s="31">
        <v>2006.6666666670601</v>
      </c>
      <c r="B670" s="2">
        <v>0.70876884787387517</v>
      </c>
      <c r="C670" s="2">
        <v>6.4971666666666705E-2</v>
      </c>
      <c r="D670" s="2">
        <v>4.5016485020696051E-2</v>
      </c>
      <c r="E670" s="2">
        <v>1.0251153611330239</v>
      </c>
    </row>
    <row r="671" spans="1:5" x14ac:dyDescent="0.3">
      <c r="A671" s="31">
        <v>2006.7500000003899</v>
      </c>
      <c r="B671" s="2">
        <v>0.69819238783831583</v>
      </c>
      <c r="C671" s="2">
        <v>7.5221666666666673E-2</v>
      </c>
      <c r="D671" s="2">
        <v>4.8693539853481828E-2</v>
      </c>
      <c r="E671" s="2">
        <v>1.0323642488823279</v>
      </c>
    </row>
    <row r="672" spans="1:5" x14ac:dyDescent="0.3">
      <c r="A672" s="31">
        <v>2006.83333333372</v>
      </c>
      <c r="B672" s="2">
        <v>0.67743324122253601</v>
      </c>
      <c r="C672" s="2">
        <v>6.4971666666666705E-2</v>
      </c>
      <c r="D672" s="2">
        <v>4.0452288715881982E-2</v>
      </c>
      <c r="E672" s="2">
        <v>1.0332663528957091</v>
      </c>
    </row>
    <row r="673" spans="1:5" x14ac:dyDescent="0.3">
      <c r="A673" s="31">
        <v>2006.9166666670501</v>
      </c>
      <c r="B673" s="2">
        <v>0.63113088735626277</v>
      </c>
      <c r="C673" s="2">
        <v>7.5221666666666673E-2</v>
      </c>
      <c r="D673" s="2">
        <v>4.4767650080273357E-2</v>
      </c>
      <c r="E673" s="2">
        <v>1.0290324284871795</v>
      </c>
    </row>
    <row r="674" spans="1:5" x14ac:dyDescent="0.3">
      <c r="A674" s="31">
        <v>2007.0000000003799</v>
      </c>
      <c r="B674" s="2">
        <v>0.58627591216329922</v>
      </c>
      <c r="C674" s="2">
        <v>6.4971666666666705E-2</v>
      </c>
      <c r="D674" s="2">
        <v>3.7030646545426864E-2</v>
      </c>
      <c r="E674" s="2">
        <v>1.0177828539072158</v>
      </c>
    </row>
    <row r="675" spans="1:5" x14ac:dyDescent="0.3">
      <c r="A675" s="31">
        <v>2007.08333333371</v>
      </c>
      <c r="B675" s="2">
        <v>0.56471344475916407</v>
      </c>
      <c r="C675" s="2">
        <v>9.3455000000000024E-2</v>
      </c>
      <c r="D675" s="2">
        <v>4.865607672536134E-2</v>
      </c>
      <c r="E675" s="2">
        <v>0.99541325654750445</v>
      </c>
    </row>
    <row r="676" spans="1:5" x14ac:dyDescent="0.3">
      <c r="A676" s="31">
        <v>2007.1666666670401</v>
      </c>
      <c r="B676" s="2">
        <v>0.57851073478935711</v>
      </c>
      <c r="C676" s="2">
        <v>0.13218833333333335</v>
      </c>
      <c r="D676" s="2">
        <v>5.0801838414521516E-2</v>
      </c>
      <c r="E676" s="2">
        <v>0.97721684690331312</v>
      </c>
    </row>
    <row r="677" spans="1:5" x14ac:dyDescent="0.3">
      <c r="A677" s="31">
        <v>2007.2500000003699</v>
      </c>
      <c r="B677" s="2">
        <v>0.56442812017840704</v>
      </c>
      <c r="C677" s="2">
        <v>0.15615500000000015</v>
      </c>
      <c r="D677" s="2">
        <v>5.2155156792748035E-2</v>
      </c>
      <c r="E677" s="2">
        <v>0.97078114240742019</v>
      </c>
    </row>
    <row r="678" spans="1:5" x14ac:dyDescent="0.3">
      <c r="A678" s="31">
        <v>2007.3333333337</v>
      </c>
      <c r="B678" s="2">
        <v>0.59150024110009747</v>
      </c>
      <c r="C678" s="2">
        <v>0.13218833333333335</v>
      </c>
      <c r="D678" s="2">
        <v>5.8544663582795621E-2</v>
      </c>
      <c r="E678" s="2">
        <v>0.97692304123306373</v>
      </c>
    </row>
    <row r="679" spans="1:5" x14ac:dyDescent="0.3">
      <c r="A679" s="31">
        <v>2007.4166666670301</v>
      </c>
      <c r="B679" s="2">
        <v>0.67219755033051387</v>
      </c>
      <c r="C679" s="2">
        <v>0.15615500000000015</v>
      </c>
      <c r="D679" s="2">
        <v>6.5941861623541806E-2</v>
      </c>
      <c r="E679" s="2">
        <v>0.98323048636597699</v>
      </c>
    </row>
    <row r="680" spans="1:5" x14ac:dyDescent="0.3">
      <c r="A680" s="31">
        <v>2007.5000000003599</v>
      </c>
      <c r="B680" s="2">
        <v>0.66191733627637706</v>
      </c>
      <c r="C680" s="2">
        <v>5.4700000000000075E-2</v>
      </c>
      <c r="D680" s="2">
        <v>4.4948051699939845E-2</v>
      </c>
      <c r="E680" s="2">
        <v>0.99340635899553176</v>
      </c>
    </row>
    <row r="681" spans="1:5" x14ac:dyDescent="0.3">
      <c r="A681" s="31">
        <v>2007.58333333369</v>
      </c>
      <c r="B681" s="2">
        <v>0.70223316209931097</v>
      </c>
      <c r="C681" s="2">
        <v>7.2955000000000089E-2</v>
      </c>
      <c r="D681" s="2">
        <v>4.8415479368316389E-2</v>
      </c>
      <c r="E681" s="2">
        <v>1.0066497886987269</v>
      </c>
    </row>
    <row r="682" spans="1:5" x14ac:dyDescent="0.3">
      <c r="A682" s="31">
        <v>2007.6666666670201</v>
      </c>
      <c r="B682" s="2">
        <v>0.70611284397120966</v>
      </c>
      <c r="C682" s="2">
        <v>8.2075000000000023E-2</v>
      </c>
      <c r="D682" s="2">
        <v>5.3459970561909841E-2</v>
      </c>
      <c r="E682" s="2">
        <v>1.0280693105221228</v>
      </c>
    </row>
    <row r="683" spans="1:5" x14ac:dyDescent="0.3">
      <c r="A683" s="31">
        <v>2007.7500000003499</v>
      </c>
      <c r="B683" s="2">
        <v>0.73833702228905052</v>
      </c>
      <c r="C683" s="2">
        <v>7.2955000000000089E-2</v>
      </c>
      <c r="D683" s="2">
        <v>4.3358010726753791E-2</v>
      </c>
      <c r="E683" s="2">
        <v>1.0464870390173293</v>
      </c>
    </row>
    <row r="684" spans="1:5" x14ac:dyDescent="0.3">
      <c r="A684" s="31">
        <v>2007.83333333368</v>
      </c>
      <c r="B684" s="2">
        <v>0.78361893068609512</v>
      </c>
      <c r="C684" s="2">
        <v>7.2943333333333485E-2</v>
      </c>
      <c r="D684" s="2">
        <v>4.0603343528392448E-2</v>
      </c>
      <c r="E684" s="2">
        <v>1.0494263112494555</v>
      </c>
    </row>
    <row r="685" spans="1:5" x14ac:dyDescent="0.3">
      <c r="A685" s="31">
        <v>2007.9166666670101</v>
      </c>
      <c r="B685" s="2">
        <v>0.63039609697279775</v>
      </c>
      <c r="C685" s="2">
        <v>7.521666666666664E-2</v>
      </c>
      <c r="D685" s="2">
        <v>4.3168874166926961E-2</v>
      </c>
      <c r="E685" s="2">
        <v>1.0526886765322121</v>
      </c>
    </row>
    <row r="686" spans="1:5" x14ac:dyDescent="0.3">
      <c r="A686" s="31">
        <v>2008.0000000003399</v>
      </c>
      <c r="B686" s="2">
        <v>0.66697699400177957</v>
      </c>
      <c r="C686" s="2">
        <v>7.2960000000000094E-2</v>
      </c>
      <c r="D686" s="2">
        <v>4.1276811904893886E-2</v>
      </c>
      <c r="E686" s="2">
        <v>1.0396504448833255</v>
      </c>
    </row>
    <row r="687" spans="1:5" x14ac:dyDescent="0.3">
      <c r="A687" s="31">
        <v>2008.08333333367</v>
      </c>
      <c r="B687" s="2">
        <v>0.57595729128169104</v>
      </c>
      <c r="C687" s="2">
        <v>8.3205000000000057E-2</v>
      </c>
      <c r="D687" s="2">
        <v>4.182168532282704E-2</v>
      </c>
      <c r="E687" s="2">
        <v>1.0042803686168864</v>
      </c>
    </row>
    <row r="688" spans="1:5" x14ac:dyDescent="0.3">
      <c r="A688" s="31">
        <v>2008.1666666670001</v>
      </c>
      <c r="B688" s="2">
        <v>0.56545306180389165</v>
      </c>
      <c r="C688" s="2">
        <v>0.10143833333333345</v>
      </c>
      <c r="D688" s="2">
        <v>5.0505264670668092E-2</v>
      </c>
      <c r="E688" s="2">
        <v>0.98223838543800979</v>
      </c>
    </row>
    <row r="689" spans="1:5" x14ac:dyDescent="0.3">
      <c r="A689" s="31">
        <v>2008.2500000003299</v>
      </c>
      <c r="B689" s="2">
        <v>0.5932543359655934</v>
      </c>
      <c r="C689" s="2">
        <v>0.12767166666666682</v>
      </c>
      <c r="D689" s="2">
        <v>6.0594109674577928E-2</v>
      </c>
      <c r="E689" s="2">
        <v>0.98188666454102336</v>
      </c>
    </row>
    <row r="690" spans="1:5" x14ac:dyDescent="0.3">
      <c r="A690" s="31">
        <v>2008.33333333366</v>
      </c>
      <c r="B690" s="2">
        <v>0.63499991279378987</v>
      </c>
      <c r="C690" s="2">
        <v>0.12767166666666682</v>
      </c>
      <c r="D690" s="2">
        <v>6.9002820701012296E-2</v>
      </c>
      <c r="E690" s="2">
        <v>0.98304712660796578</v>
      </c>
    </row>
    <row r="691" spans="1:5" x14ac:dyDescent="0.3">
      <c r="A691" s="31">
        <v>2008.4166666669901</v>
      </c>
      <c r="B691" s="2">
        <v>0.69759767048953936</v>
      </c>
      <c r="C691" s="2">
        <v>0.14817666666666676</v>
      </c>
      <c r="D691" s="2">
        <v>9.4457424437862536E-2</v>
      </c>
      <c r="E691" s="2">
        <v>0.98173400923349341</v>
      </c>
    </row>
    <row r="692" spans="1:5" x14ac:dyDescent="0.3">
      <c r="A692" s="31">
        <v>2008.5000000003199</v>
      </c>
      <c r="B692" s="2">
        <v>0.74881719376229672</v>
      </c>
      <c r="C692" s="2">
        <v>5.4700000000000075E-2</v>
      </c>
      <c r="D692" s="2">
        <v>4.4664407905051051E-2</v>
      </c>
      <c r="E692" s="2">
        <v>0.9862353769830885</v>
      </c>
    </row>
    <row r="693" spans="1:5" x14ac:dyDescent="0.3">
      <c r="A693" s="31">
        <v>2008.58333333365</v>
      </c>
      <c r="B693" s="2">
        <v>0.73943979457990838</v>
      </c>
      <c r="C693" s="2">
        <v>9.3455000000000024E-2</v>
      </c>
      <c r="D693" s="2">
        <v>6.7916411072358282E-2</v>
      </c>
      <c r="E693" s="2">
        <v>0.99719940463234402</v>
      </c>
    </row>
    <row r="694" spans="1:5" x14ac:dyDescent="0.3">
      <c r="A694" s="31">
        <v>2008.6666666669801</v>
      </c>
      <c r="B694" s="2">
        <v>0.8001999552054766</v>
      </c>
      <c r="C694" s="2">
        <v>7.8675000000000161E-2</v>
      </c>
      <c r="D694" s="2">
        <v>5.4268283082923252E-2</v>
      </c>
      <c r="E694" s="2">
        <v>1.007688050826014</v>
      </c>
    </row>
    <row r="695" spans="1:5" x14ac:dyDescent="0.3">
      <c r="A695" s="31">
        <v>2008.7500000003099</v>
      </c>
      <c r="B695" s="2">
        <v>0.75576222212006083</v>
      </c>
      <c r="C695" s="2">
        <v>9.3455000000000024E-2</v>
      </c>
      <c r="D695" s="2">
        <v>6.2236428345188E-2</v>
      </c>
      <c r="E695" s="2">
        <v>1.0188641237922611</v>
      </c>
    </row>
    <row r="696" spans="1:5" x14ac:dyDescent="0.3">
      <c r="A696" s="31">
        <v>2008.83333333364</v>
      </c>
      <c r="B696" s="2">
        <v>0.74351420767157972</v>
      </c>
      <c r="C696" s="2">
        <v>8.3210000000000089E-2</v>
      </c>
      <c r="D696" s="2">
        <v>5.4788055940422596E-2</v>
      </c>
      <c r="E696" s="2">
        <v>1.0258137694934377</v>
      </c>
    </row>
    <row r="697" spans="1:5" x14ac:dyDescent="0.3">
      <c r="A697" s="31">
        <v>2008.9166666669701</v>
      </c>
      <c r="B697" s="2">
        <v>0.68303766066179739</v>
      </c>
      <c r="C697" s="2">
        <v>8.3200000000000038E-2</v>
      </c>
      <c r="D697" s="2">
        <v>4.9509994532132402E-2</v>
      </c>
      <c r="E697" s="2">
        <v>1.0315634197126091</v>
      </c>
    </row>
    <row r="698" spans="1:5" x14ac:dyDescent="0.3">
      <c r="A698" s="31">
        <v>2009.0000000002999</v>
      </c>
      <c r="B698" s="2">
        <v>0.68991066547538782</v>
      </c>
      <c r="C698" s="2">
        <v>8.3210000000000089E-2</v>
      </c>
      <c r="D698" s="2">
        <v>5.0917207532800074E-2</v>
      </c>
      <c r="E698" s="2">
        <v>1.0224019769511523</v>
      </c>
    </row>
    <row r="699" spans="1:5" x14ac:dyDescent="0.3">
      <c r="A699" s="31">
        <v>2009.08333333363</v>
      </c>
      <c r="B699" s="2">
        <v>0.63017473003808011</v>
      </c>
      <c r="C699" s="2">
        <v>9.3455000000000024E-2</v>
      </c>
      <c r="D699" s="2">
        <v>5.2957061006281447E-2</v>
      </c>
      <c r="E699" s="2">
        <v>0.99344430298342501</v>
      </c>
    </row>
    <row r="700" spans="1:5" x14ac:dyDescent="0.3">
      <c r="A700" s="31">
        <v>2009.1666666669601</v>
      </c>
      <c r="B700" s="2">
        <v>0.59394998887841377</v>
      </c>
      <c r="C700" s="2">
        <v>0.1094050000000002</v>
      </c>
      <c r="D700" s="2">
        <v>3.9912796204329415E-2</v>
      </c>
      <c r="E700" s="2">
        <v>0.96547785183585921</v>
      </c>
    </row>
    <row r="701" spans="1:5" x14ac:dyDescent="0.3">
      <c r="A701" s="31">
        <v>2009.2500000002899</v>
      </c>
      <c r="B701" s="2">
        <v>0.62437120229911758</v>
      </c>
      <c r="C701" s="2">
        <v>0.10143833333333341</v>
      </c>
      <c r="D701" s="2">
        <v>5.1389540264894562E-2</v>
      </c>
      <c r="E701" s="2">
        <v>0.96277662710182854</v>
      </c>
    </row>
    <row r="702" spans="1:5" x14ac:dyDescent="0.3">
      <c r="A702" s="31">
        <v>2009.33333333362</v>
      </c>
      <c r="B702" s="2">
        <v>0.72894523511819143</v>
      </c>
      <c r="C702" s="2">
        <v>0.10143833333333341</v>
      </c>
      <c r="D702" s="2">
        <v>5.7263278955993258E-2</v>
      </c>
      <c r="E702" s="2">
        <v>0.96701884809858285</v>
      </c>
    </row>
    <row r="703" spans="1:5" x14ac:dyDescent="0.3">
      <c r="A703" s="31">
        <v>2009.4166666669501</v>
      </c>
      <c r="B703" s="2">
        <v>0.76509790082865514</v>
      </c>
      <c r="C703" s="2">
        <v>0.11169333333333342</v>
      </c>
      <c r="D703" s="2">
        <v>7.2421140716103158E-2</v>
      </c>
      <c r="E703" s="2">
        <v>0.97366319477501417</v>
      </c>
    </row>
    <row r="704" spans="1:5" x14ac:dyDescent="0.3">
      <c r="A704" s="31">
        <v>2009.5000000002799</v>
      </c>
      <c r="B704" s="2">
        <v>0.80821933940802015</v>
      </c>
      <c r="C704" s="2">
        <v>5.69666666666667E-2</v>
      </c>
      <c r="D704" s="2">
        <v>4.8634183294510504E-2</v>
      </c>
      <c r="E704" s="2">
        <v>0.9782336819740779</v>
      </c>
    </row>
    <row r="705" spans="1:5" x14ac:dyDescent="0.3">
      <c r="A705" s="31">
        <v>2009.58333333361</v>
      </c>
      <c r="B705" s="2">
        <v>0.85877241272428595</v>
      </c>
      <c r="C705" s="2">
        <v>6.4971666666666719E-2</v>
      </c>
      <c r="D705" s="2">
        <v>5.7641221917248665E-2</v>
      </c>
      <c r="E705" s="2">
        <v>0.98948618473731731</v>
      </c>
    </row>
    <row r="706" spans="1:5" x14ac:dyDescent="0.3">
      <c r="A706" s="31">
        <v>2009.66666666694</v>
      </c>
      <c r="B706" s="2">
        <v>0.84124021525713166</v>
      </c>
      <c r="C706" s="2">
        <v>6.4971666666666705E-2</v>
      </c>
      <c r="D706" s="2">
        <v>5.6505696641906245E-2</v>
      </c>
      <c r="E706" s="2">
        <v>1.0067454853025932</v>
      </c>
    </row>
    <row r="707" spans="1:5" x14ac:dyDescent="0.3">
      <c r="A707" s="31">
        <v>2009.7500000002699</v>
      </c>
      <c r="B707" s="2">
        <v>0.87820751819744236</v>
      </c>
      <c r="C707" s="2">
        <v>6.4971666666666719E-2</v>
      </c>
      <c r="D707" s="2">
        <v>5.7039147928798821E-2</v>
      </c>
      <c r="E707" s="2">
        <v>1.0133879037848152</v>
      </c>
    </row>
    <row r="708" spans="1:5" x14ac:dyDescent="0.3">
      <c r="A708" s="31">
        <v>2009.8333333336</v>
      </c>
      <c r="B708" s="2">
        <v>0.80374466942319878</v>
      </c>
      <c r="C708" s="2">
        <v>6.6700000000000093E-2</v>
      </c>
      <c r="D708" s="2">
        <v>5.210873112500318E-2</v>
      </c>
      <c r="E708" s="2">
        <v>1.01562492831507</v>
      </c>
    </row>
    <row r="709" spans="1:5" x14ac:dyDescent="0.3">
      <c r="A709" s="31">
        <v>2009.91666666693</v>
      </c>
      <c r="B709" s="2">
        <v>0.8529522146362446</v>
      </c>
      <c r="C709" s="2">
        <v>6.4971666666666705E-2</v>
      </c>
      <c r="D709" s="2">
        <v>5.2889822850064973E-2</v>
      </c>
      <c r="E709" s="2">
        <v>1.017790315419431</v>
      </c>
    </row>
    <row r="710" spans="1:5" x14ac:dyDescent="0.3">
      <c r="A710" s="31">
        <v>2010.0000000002599</v>
      </c>
      <c r="B710" s="2">
        <v>0.82261606700158296</v>
      </c>
      <c r="C710" s="2">
        <v>6.4971666666666719E-2</v>
      </c>
      <c r="D710" s="2">
        <v>5.1291981676650812E-2</v>
      </c>
      <c r="E710" s="2">
        <v>1.0082869021587255</v>
      </c>
    </row>
    <row r="711" spans="1:5" x14ac:dyDescent="0.3">
      <c r="A711" s="31">
        <v>2010.08333333359</v>
      </c>
      <c r="B711" s="2">
        <v>0.80192064974894139</v>
      </c>
      <c r="C711" s="2">
        <v>6.4971666666666705E-2</v>
      </c>
      <c r="D711" s="2">
        <v>5.1585750573023149E-2</v>
      </c>
      <c r="E711" s="2">
        <v>0.9801726610374194</v>
      </c>
    </row>
    <row r="712" spans="1:5" x14ac:dyDescent="0.3">
      <c r="A712" s="31">
        <v>2010.16666666692</v>
      </c>
      <c r="B712" s="2">
        <v>0.82412827651477227</v>
      </c>
      <c r="C712" s="2">
        <v>0.10371000000000001</v>
      </c>
      <c r="D712" s="2">
        <v>8.3678111581494227E-2</v>
      </c>
      <c r="E712" s="2">
        <v>0.9608204431186298</v>
      </c>
    </row>
    <row r="713" spans="1:5" x14ac:dyDescent="0.3">
      <c r="A713" s="31">
        <v>2010.2500000002501</v>
      </c>
      <c r="B713" s="2">
        <v>0.85763655979864428</v>
      </c>
      <c r="C713" s="2">
        <v>0.12420999999999999</v>
      </c>
      <c r="D713" s="2">
        <v>9.5695440185221539E-2</v>
      </c>
      <c r="E713" s="2">
        <v>0.95821075340000506</v>
      </c>
    </row>
    <row r="714" spans="1:5" x14ac:dyDescent="0.3">
      <c r="A714" s="31">
        <v>2010.33333333358</v>
      </c>
      <c r="B714" s="2">
        <v>0.87688362571421108</v>
      </c>
      <c r="C714" s="2">
        <v>0.11396000000000001</v>
      </c>
      <c r="D714" s="2">
        <v>9.9845339548078713E-2</v>
      </c>
      <c r="E714" s="2">
        <v>0.96396486931312175</v>
      </c>
    </row>
    <row r="715" spans="1:5" x14ac:dyDescent="0.3">
      <c r="A715" s="31">
        <v>2010.41666666691</v>
      </c>
      <c r="B715" s="2">
        <v>0.90080809785956717</v>
      </c>
      <c r="C715" s="2">
        <v>0.14019333333333336</v>
      </c>
      <c r="D715" s="2">
        <v>0.10441851249658891</v>
      </c>
      <c r="E715" s="2">
        <v>0.97050081412344902</v>
      </c>
    </row>
    <row r="716" spans="1:5" x14ac:dyDescent="0.3">
      <c r="A716" s="31">
        <v>2010.5000000002401</v>
      </c>
      <c r="B716" s="2">
        <v>0.96331021224440017</v>
      </c>
      <c r="C716" s="2">
        <v>4.7900000000000303E-2</v>
      </c>
      <c r="D716" s="2">
        <v>4.917553772755872E-2</v>
      </c>
      <c r="E716" s="2">
        <v>0.98060067637723414</v>
      </c>
    </row>
    <row r="717" spans="1:5" x14ac:dyDescent="0.3">
      <c r="A717" s="31">
        <v>2010.58333333357</v>
      </c>
      <c r="B717" s="2">
        <v>0.91906094697724028</v>
      </c>
      <c r="C717" s="2">
        <v>6.4971666666666705E-2</v>
      </c>
      <c r="D717" s="2">
        <v>6.6333993347470907E-2</v>
      </c>
      <c r="E717" s="2">
        <v>0.99658655515488981</v>
      </c>
    </row>
    <row r="718" spans="1:5" x14ac:dyDescent="0.3">
      <c r="A718" s="31">
        <v>2010.6666666669</v>
      </c>
      <c r="B718" s="2">
        <v>0.98172663635634994</v>
      </c>
      <c r="C718" s="2">
        <v>5.4700000000000103E-2</v>
      </c>
      <c r="D718" s="2">
        <v>4.6854280437924986E-2</v>
      </c>
      <c r="E718" s="2">
        <v>1.0188970991205044</v>
      </c>
    </row>
    <row r="719" spans="1:5" x14ac:dyDescent="0.3">
      <c r="A719" s="31">
        <v>2010.7500000002301</v>
      </c>
      <c r="B719" s="2">
        <v>0.98774724525427737</v>
      </c>
      <c r="C719" s="2">
        <v>7.2955000000000089E-2</v>
      </c>
      <c r="D719" s="2">
        <v>6.1062792261230771E-2</v>
      </c>
      <c r="E719" s="2">
        <v>1.042593231340976</v>
      </c>
    </row>
    <row r="720" spans="1:5" x14ac:dyDescent="0.3">
      <c r="A720" s="31">
        <v>2010.8333333335599</v>
      </c>
      <c r="B720" s="2">
        <v>0.94855170217281826</v>
      </c>
      <c r="C720" s="2">
        <v>6.4966666666666673E-2</v>
      </c>
      <c r="D720" s="2">
        <v>5.6431613081433844E-2</v>
      </c>
      <c r="E720" s="2">
        <v>1.0561447486386153</v>
      </c>
    </row>
    <row r="721" spans="1:5" x14ac:dyDescent="0.3">
      <c r="A721" s="31">
        <v>2010.91666666689</v>
      </c>
      <c r="B721" s="2">
        <v>1.055718465920827</v>
      </c>
      <c r="C721" s="2">
        <v>5.4707500000000131E-2</v>
      </c>
      <c r="D721" s="2">
        <v>5.0903818537482465E-2</v>
      </c>
      <c r="E721" s="2">
        <v>1.0677040280296575</v>
      </c>
    </row>
    <row r="722" spans="1:5" x14ac:dyDescent="0.3">
      <c r="A722" s="31">
        <v>2011.0000000002201</v>
      </c>
      <c r="B722" s="2">
        <v>0.71978511217259022</v>
      </c>
      <c r="C722" s="2">
        <v>6.6700000000000065E-2</v>
      </c>
      <c r="D722" s="2">
        <v>4.7708274039235679E-2</v>
      </c>
      <c r="E722" s="2">
        <v>1.0519196433657427</v>
      </c>
    </row>
    <row r="723" spans="1:5" x14ac:dyDescent="0.3">
      <c r="A723" s="31">
        <v>2011.0833333335499</v>
      </c>
      <c r="B723" s="2">
        <v>0.81942052850333846</v>
      </c>
      <c r="C723" s="2">
        <v>7.2955000000000089E-2</v>
      </c>
      <c r="D723" s="2">
        <v>5.3613294591404161E-2</v>
      </c>
      <c r="E723" s="2">
        <v>1.0023081631066837</v>
      </c>
    </row>
    <row r="724" spans="1:5" x14ac:dyDescent="0.3">
      <c r="A724" s="31">
        <v>2011.16666666689</v>
      </c>
      <c r="B724" s="2">
        <v>0.85670725727109465</v>
      </c>
      <c r="C724" s="2">
        <v>0.10143333333333338</v>
      </c>
      <c r="D724" s="2">
        <v>6.9117009129240112E-2</v>
      </c>
      <c r="E724" s="2">
        <v>0.97393117596399992</v>
      </c>
    </row>
    <row r="725" spans="1:5" x14ac:dyDescent="0.3">
      <c r="A725" s="31">
        <v>2011.2500000002201</v>
      </c>
      <c r="B725" s="2">
        <v>0.84707484253411491</v>
      </c>
      <c r="C725" s="2">
        <v>0.13565500000000014</v>
      </c>
      <c r="D725" s="2">
        <v>7.3389333849068886E-2</v>
      </c>
      <c r="E725" s="2">
        <v>0.97016175937195881</v>
      </c>
    </row>
    <row r="726" spans="1:5" x14ac:dyDescent="0.3">
      <c r="A726" s="31">
        <v>2011.3333333335499</v>
      </c>
      <c r="B726" s="2">
        <v>0.94890483038514006</v>
      </c>
      <c r="C726" s="2">
        <v>0.12766666666666673</v>
      </c>
      <c r="D726" s="2">
        <v>8.1199889019040891E-2</v>
      </c>
      <c r="E726" s="2">
        <v>0.97853634080237406</v>
      </c>
    </row>
    <row r="727" spans="1:5" x14ac:dyDescent="0.3">
      <c r="A727" s="31">
        <v>2011.41666666688</v>
      </c>
      <c r="B727" s="2">
        <v>0.88312582404263085</v>
      </c>
      <c r="C727" s="2">
        <v>0.13565500000000014</v>
      </c>
      <c r="D727" s="2">
        <v>7.9004084592780008E-2</v>
      </c>
      <c r="E727" s="2">
        <v>0.98454711530084871</v>
      </c>
    </row>
    <row r="728" spans="1:5" x14ac:dyDescent="0.3">
      <c r="A728" s="31">
        <v>2011.5000000002101</v>
      </c>
      <c r="B728" s="2">
        <v>1.0199804893076057</v>
      </c>
      <c r="C728" s="2">
        <v>9.224999999999986E-2</v>
      </c>
      <c r="D728" s="2">
        <v>6.6819627925118585E-2</v>
      </c>
      <c r="E728" s="2">
        <v>0.99471714725972904</v>
      </c>
    </row>
    <row r="729" spans="1:5" x14ac:dyDescent="0.3">
      <c r="A729" s="31">
        <v>2011.5833333335399</v>
      </c>
      <c r="B729" s="2">
        <v>0.90021909994607341</v>
      </c>
      <c r="C729" s="2">
        <v>7.5221666666666687E-2</v>
      </c>
      <c r="D729" s="2">
        <v>5.8829873735679356E-2</v>
      </c>
      <c r="E729" s="2">
        <v>1.0058496035506037</v>
      </c>
    </row>
    <row r="730" spans="1:5" x14ac:dyDescent="0.3">
      <c r="A730" s="31">
        <v>2011.66666666687</v>
      </c>
      <c r="B730" s="2">
        <v>0.92786661782387847</v>
      </c>
      <c r="C730" s="2">
        <v>7.6882499999999909E-2</v>
      </c>
      <c r="D730" s="2">
        <v>5.4128160919938703E-2</v>
      </c>
      <c r="E730" s="2">
        <v>1.0121464325838834</v>
      </c>
    </row>
    <row r="731" spans="1:5" x14ac:dyDescent="0.3">
      <c r="A731" s="31">
        <v>2011.7500000002001</v>
      </c>
      <c r="B731" s="2">
        <v>0.88416358978747578</v>
      </c>
      <c r="C731" s="2">
        <v>7.5221666666666687E-2</v>
      </c>
      <c r="D731" s="2">
        <v>5.4207953123319573E-2</v>
      </c>
      <c r="E731" s="2">
        <v>1.0159729283425434</v>
      </c>
    </row>
    <row r="732" spans="1:5" x14ac:dyDescent="0.3">
      <c r="A732" s="31">
        <v>2011.8333333335299</v>
      </c>
      <c r="B732" s="2">
        <v>0.8428288871164703</v>
      </c>
      <c r="C732" s="2">
        <v>6.722166666666668E-2</v>
      </c>
      <c r="D732" s="2">
        <v>4.5310313968892853E-2</v>
      </c>
      <c r="E732" s="2">
        <v>1.0158443139573385</v>
      </c>
    </row>
    <row r="733" spans="1:5" x14ac:dyDescent="0.3">
      <c r="A733" s="31">
        <v>2011.91666666686</v>
      </c>
      <c r="B733" s="2">
        <v>0.81545719830262386</v>
      </c>
      <c r="C733" s="2">
        <v>8.3221666666666694E-2</v>
      </c>
      <c r="D733" s="2">
        <v>5.6250145015731633E-2</v>
      </c>
      <c r="E733" s="2">
        <v>1.015809306169257</v>
      </c>
    </row>
    <row r="734" spans="1:5" x14ac:dyDescent="0.3">
      <c r="A734" s="31">
        <v>2012.0000000001901</v>
      </c>
      <c r="B734" s="2">
        <v>0.75381871529108846</v>
      </c>
      <c r="C734" s="2">
        <v>6.722166666666668E-2</v>
      </c>
      <c r="D734" s="2">
        <v>4.2380334527711526E-2</v>
      </c>
      <c r="E734" s="2">
        <v>1.010465243806453</v>
      </c>
    </row>
    <row r="735" spans="1:5" x14ac:dyDescent="0.3">
      <c r="A735" s="31">
        <v>2012.0833333335199</v>
      </c>
      <c r="B735" s="2">
        <v>0.7257154813548693</v>
      </c>
      <c r="C735" s="2">
        <v>7.5221666666666687E-2</v>
      </c>
      <c r="D735" s="2">
        <v>4.6941272673032171E-2</v>
      </c>
      <c r="E735" s="2">
        <v>0.99082117052313434</v>
      </c>
    </row>
    <row r="736" spans="1:5" x14ac:dyDescent="0.3">
      <c r="A736" s="31">
        <v>2012.16666666685</v>
      </c>
      <c r="B736" s="2">
        <v>0.72172946767694834</v>
      </c>
      <c r="C736" s="2">
        <v>0.10597166666666663</v>
      </c>
      <c r="D736" s="2">
        <v>7.1975958252748731E-2</v>
      </c>
      <c r="E736" s="2">
        <v>0.97303140981785585</v>
      </c>
    </row>
    <row r="737" spans="1:5" x14ac:dyDescent="0.3">
      <c r="A737" s="31">
        <v>2012.2500000001801</v>
      </c>
      <c r="B737" s="2">
        <v>0.71710380293823028</v>
      </c>
      <c r="C737" s="2">
        <v>0.11395500000000003</v>
      </c>
      <c r="D737" s="2">
        <v>6.8374506071037622E-2</v>
      </c>
      <c r="E737" s="2">
        <v>0.96976836291722179</v>
      </c>
    </row>
    <row r="738" spans="1:5" x14ac:dyDescent="0.3">
      <c r="A738" s="31">
        <v>2012.3333333335099</v>
      </c>
      <c r="B738" s="2">
        <v>0.74016391154381989</v>
      </c>
      <c r="C738" s="2">
        <v>0.11395500000000003</v>
      </c>
      <c r="D738" s="2">
        <v>7.1928356780726579E-2</v>
      </c>
      <c r="E738" s="2">
        <v>0.9752755073175664</v>
      </c>
    </row>
    <row r="739" spans="1:5" x14ac:dyDescent="0.3">
      <c r="A739" s="31">
        <v>2012.41666666684</v>
      </c>
      <c r="B739" s="2">
        <v>0.76168492644541352</v>
      </c>
      <c r="C739" s="2">
        <v>0.12993833333333341</v>
      </c>
      <c r="D739" s="2">
        <v>7.7487816727638756E-2</v>
      </c>
      <c r="E739" s="2">
        <v>0.98140716918004423</v>
      </c>
    </row>
    <row r="740" spans="1:5" x14ac:dyDescent="0.3">
      <c r="A740" s="31">
        <v>2012.5000000001701</v>
      </c>
      <c r="B740" s="2">
        <v>0.85957809702128096</v>
      </c>
      <c r="C740" s="2">
        <v>4.7900000000000303E-2</v>
      </c>
      <c r="D740" s="2">
        <v>4.1735166685371763E-2</v>
      </c>
      <c r="E740" s="2">
        <v>0.98473620221891034</v>
      </c>
    </row>
    <row r="741" spans="1:5" x14ac:dyDescent="0.3">
      <c r="A741" s="31">
        <v>2012.5833333334999</v>
      </c>
      <c r="B741" s="2">
        <v>0.71573927992229913</v>
      </c>
      <c r="C741" s="2">
        <v>7.2960000000000094E-2</v>
      </c>
      <c r="D741" s="2">
        <v>4.8086100663230068E-2</v>
      </c>
      <c r="E741" s="2">
        <v>0.99591062848271661</v>
      </c>
    </row>
    <row r="742" spans="1:5" x14ac:dyDescent="0.3">
      <c r="A742" s="31">
        <v>2012.66666666683</v>
      </c>
      <c r="B742" s="2">
        <v>0.96509350378880243</v>
      </c>
      <c r="C742" s="2">
        <v>6.6700000000000093E-2</v>
      </c>
      <c r="D742" s="2">
        <v>5.8235709703665386E-2</v>
      </c>
      <c r="E742" s="2">
        <v>1.0002440806669501</v>
      </c>
    </row>
    <row r="743" spans="1:5" x14ac:dyDescent="0.3">
      <c r="A743" s="31">
        <v>2012.7500000001601</v>
      </c>
      <c r="B743" s="2">
        <v>0.72499074263052543</v>
      </c>
      <c r="C743" s="2">
        <v>7.2960000000000094E-2</v>
      </c>
      <c r="D743" s="2">
        <v>3.9561853401970291E-2</v>
      </c>
      <c r="E743" s="2">
        <v>0.99795317942665629</v>
      </c>
    </row>
    <row r="744" spans="1:5" x14ac:dyDescent="0.3">
      <c r="A744" s="31">
        <v>2012.8333333334899</v>
      </c>
      <c r="B744" s="2">
        <v>0.91209124430667432</v>
      </c>
      <c r="C744" s="2">
        <v>5.4700000000000103E-2</v>
      </c>
      <c r="D744" s="2">
        <v>4.4551486333206061E-2</v>
      </c>
      <c r="E744" s="2">
        <v>0.99489317545153311</v>
      </c>
    </row>
    <row r="745" spans="1:5" x14ac:dyDescent="0.3">
      <c r="A745" s="31">
        <v>2012.91666666682</v>
      </c>
      <c r="B745" s="2">
        <v>0.61320014037933979</v>
      </c>
      <c r="C745" s="2">
        <v>7.2960000000000094E-2</v>
      </c>
      <c r="D745" s="2">
        <v>3.5502006222307293E-2</v>
      </c>
      <c r="E745" s="2">
        <v>0.99793795476014424</v>
      </c>
    </row>
    <row r="746" spans="1:5" x14ac:dyDescent="0.3">
      <c r="A746" s="31">
        <v>2013.0000000001501</v>
      </c>
      <c r="B746" s="2">
        <v>0.53528065819038162</v>
      </c>
      <c r="C746" s="2">
        <v>7.1900000000000297E-2</v>
      </c>
      <c r="D746" s="2">
        <v>3.260370136878106E-2</v>
      </c>
      <c r="E746" s="2">
        <v>0.98930518051490213</v>
      </c>
    </row>
    <row r="747" spans="1:5" x14ac:dyDescent="0.3">
      <c r="A747" s="31">
        <v>2013.0833333334799</v>
      </c>
      <c r="B747" s="2">
        <v>0.57941646876109199</v>
      </c>
      <c r="C747" s="2">
        <v>7.2955000000000089E-2</v>
      </c>
      <c r="D747" s="2">
        <v>3.6351646626249325E-2</v>
      </c>
      <c r="E747" s="2">
        <v>0.96174337357487238</v>
      </c>
    </row>
    <row r="748" spans="1:5" x14ac:dyDescent="0.3">
      <c r="A748" s="31">
        <v>2013.16666666681</v>
      </c>
      <c r="B748" s="2">
        <v>0.57386005305744903</v>
      </c>
      <c r="C748" s="2">
        <v>0.13219333333333336</v>
      </c>
      <c r="D748" s="2">
        <v>6.2279548323461081E-2</v>
      </c>
      <c r="E748" s="2">
        <v>0.94719176378154923</v>
      </c>
    </row>
    <row r="749" spans="1:5" x14ac:dyDescent="0.3">
      <c r="A749" s="31">
        <v>2013.2500000001401</v>
      </c>
      <c r="B749" s="2">
        <v>0.59944572816528507</v>
      </c>
      <c r="C749" s="2">
        <v>0.14817166666666673</v>
      </c>
      <c r="D749" s="2">
        <v>6.9916205318963517E-2</v>
      </c>
      <c r="E749" s="2">
        <v>0.94519130980139165</v>
      </c>
    </row>
    <row r="750" spans="1:5" x14ac:dyDescent="0.3">
      <c r="A750" s="31">
        <v>2013.3333333334699</v>
      </c>
      <c r="B750" s="2">
        <v>0.56694966268985503</v>
      </c>
      <c r="C750" s="2">
        <v>0.14817666666666673</v>
      </c>
      <c r="D750" s="2">
        <v>6.8981583604184396E-2</v>
      </c>
      <c r="E750" s="2">
        <v>0.95216811288101599</v>
      </c>
    </row>
    <row r="751" spans="1:5" x14ac:dyDescent="0.3">
      <c r="A751" s="31">
        <v>2013.4166666668</v>
      </c>
      <c r="B751" s="2">
        <v>0.63655330977427671</v>
      </c>
      <c r="C751" s="2">
        <v>0.14817166666666673</v>
      </c>
      <c r="D751" s="2">
        <v>7.5071534321105027E-2</v>
      </c>
      <c r="E751" s="2">
        <v>0.95936070713227761</v>
      </c>
    </row>
    <row r="752" spans="1:5" x14ac:dyDescent="0.3">
      <c r="A752" s="31">
        <v>2013.5000000001301</v>
      </c>
      <c r="B752" s="2">
        <v>0.6256830045756826</v>
      </c>
      <c r="C752" s="2">
        <v>5.6976666666666703E-2</v>
      </c>
      <c r="D752" s="2">
        <v>3.8050333069577745E-2</v>
      </c>
      <c r="E752" s="2">
        <v>0.97188472748302812</v>
      </c>
    </row>
    <row r="753" spans="1:5" x14ac:dyDescent="0.3">
      <c r="A753" s="31">
        <v>2013.5833333334599</v>
      </c>
      <c r="B753" s="2">
        <v>0.67173912535152847</v>
      </c>
      <c r="C753" s="2">
        <v>8.3205000000000057E-2</v>
      </c>
      <c r="D753" s="2">
        <v>4.8492838682838463E-2</v>
      </c>
      <c r="E753" s="2">
        <v>0.98145148288370232</v>
      </c>
    </row>
    <row r="754" spans="1:5" x14ac:dyDescent="0.3">
      <c r="A754" s="31">
        <v>2013.66666666679</v>
      </c>
      <c r="B754" s="2">
        <v>0.67651726827068137</v>
      </c>
      <c r="C754" s="2">
        <v>6.7221666666666666E-2</v>
      </c>
      <c r="D754" s="2">
        <v>4.2893420983598989E-2</v>
      </c>
      <c r="E754" s="2">
        <v>0.98975978287343036</v>
      </c>
    </row>
    <row r="755" spans="1:5" x14ac:dyDescent="0.3">
      <c r="A755" s="31">
        <v>2013.7500000001201</v>
      </c>
      <c r="B755" s="2">
        <v>0.67788138249013874</v>
      </c>
      <c r="C755" s="2">
        <v>8.3205000000000057E-2</v>
      </c>
      <c r="D755" s="2">
        <v>4.6028091976092943E-2</v>
      </c>
      <c r="E755" s="2">
        <v>0.99290316187624006</v>
      </c>
    </row>
    <row r="756" spans="1:5" x14ac:dyDescent="0.3">
      <c r="A756" s="31">
        <v>2013.8333333334499</v>
      </c>
      <c r="B756" s="2">
        <v>0.66844527287233912</v>
      </c>
      <c r="C756" s="2">
        <v>6.7221666666666666E-2</v>
      </c>
      <c r="D756" s="2">
        <v>4.2363494838546199E-2</v>
      </c>
      <c r="E756" s="2">
        <v>0.99528542139293819</v>
      </c>
    </row>
    <row r="757" spans="1:5" x14ac:dyDescent="0.3">
      <c r="A757" s="31">
        <v>2013.91666666678</v>
      </c>
      <c r="B757" s="2">
        <v>0.64025975859985229</v>
      </c>
      <c r="C757" s="2">
        <v>8.3205000000000057E-2</v>
      </c>
      <c r="D757" s="2">
        <v>4.4905798509626414E-2</v>
      </c>
      <c r="E757" s="2">
        <v>1.0005809022742254</v>
      </c>
    </row>
    <row r="758" spans="1:5" x14ac:dyDescent="0.3">
      <c r="A758" s="31">
        <v>2014</v>
      </c>
      <c r="B758" s="2">
        <v>0.62693031736288252</v>
      </c>
      <c r="C758" s="2">
        <v>6.7221666666666666E-2</v>
      </c>
      <c r="D758" s="2">
        <v>4.1433578432917319E-2</v>
      </c>
      <c r="E758" s="2">
        <v>0.99596239311064494</v>
      </c>
    </row>
    <row r="759" spans="1:5" x14ac:dyDescent="0.3">
      <c r="A759" s="31">
        <v>2014.0833333333333</v>
      </c>
      <c r="B759" s="2">
        <v>0.63834223719129779</v>
      </c>
      <c r="C759" s="2">
        <v>9.3460000000000057E-2</v>
      </c>
      <c r="D759" s="2">
        <v>5.6093333111767223E-2</v>
      </c>
      <c r="E759" s="2">
        <v>0.97489159281528748</v>
      </c>
    </row>
    <row r="760" spans="1:5" x14ac:dyDescent="0.3">
      <c r="A760" s="31">
        <v>2014.1666666666665</v>
      </c>
      <c r="B760" s="2">
        <v>0.6910966540382768</v>
      </c>
      <c r="C760" s="2">
        <v>0.15495499999999993</v>
      </c>
      <c r="D760" s="2">
        <v>7.8981788084916044E-2</v>
      </c>
      <c r="E760" s="2">
        <v>0.95808436885137249</v>
      </c>
    </row>
    <row r="761" spans="1:5" x14ac:dyDescent="0.3">
      <c r="A761" s="31">
        <v>2014.25</v>
      </c>
      <c r="B761" s="2">
        <v>0.72866511176296889</v>
      </c>
      <c r="C761" s="2">
        <v>0.18118833333333328</v>
      </c>
      <c r="D761" s="2">
        <v>8.737021603497834E-2</v>
      </c>
      <c r="E761" s="2">
        <v>0.95710504272971086</v>
      </c>
    </row>
    <row r="762" spans="1:5" x14ac:dyDescent="0.3">
      <c r="A762" s="31">
        <v>2014.3333333333333</v>
      </c>
      <c r="B762" s="2">
        <v>0.81350997807488878</v>
      </c>
      <c r="C762" s="2">
        <v>0.19143833333333327</v>
      </c>
      <c r="D762" s="2">
        <v>0.10529617601060377</v>
      </c>
      <c r="E762" s="2">
        <v>0.97037881482342581</v>
      </c>
    </row>
    <row r="763" spans="1:5" x14ac:dyDescent="0.3">
      <c r="A763" s="31">
        <v>2014.4166666666665</v>
      </c>
      <c r="B763" s="2">
        <v>0.86646903799896113</v>
      </c>
      <c r="C763" s="2">
        <v>0.20967666666666665</v>
      </c>
      <c r="D763" s="2">
        <v>0.12458869747994249</v>
      </c>
      <c r="E763" s="2">
        <v>0.97390386462672107</v>
      </c>
    </row>
    <row r="764" spans="1:5" x14ac:dyDescent="0.3">
      <c r="A764" s="31">
        <v>2014.5</v>
      </c>
      <c r="B764" s="2">
        <v>0.70590426904121051</v>
      </c>
      <c r="C764" s="2">
        <v>5.4700000000000075E-2</v>
      </c>
      <c r="D764" s="2">
        <v>4.1509883768667481E-2</v>
      </c>
      <c r="E764" s="2">
        <v>0.97401818998549217</v>
      </c>
    </row>
    <row r="765" spans="1:5" x14ac:dyDescent="0.3">
      <c r="A765" s="31">
        <v>2014.5833333333333</v>
      </c>
      <c r="B765" s="2">
        <v>0.87342780243539897</v>
      </c>
      <c r="C765" s="2">
        <v>7.2955000000000089E-2</v>
      </c>
      <c r="D765" s="2">
        <v>5.5990387070788218E-2</v>
      </c>
      <c r="E765" s="2">
        <v>0.97341753273924647</v>
      </c>
    </row>
    <row r="766" spans="1:5" x14ac:dyDescent="0.3">
      <c r="A766" s="31">
        <v>2014.6666666666665</v>
      </c>
      <c r="B766" s="2">
        <v>0.87692713261031541</v>
      </c>
      <c r="C766" s="2">
        <v>6.4966666666666673E-2</v>
      </c>
      <c r="D766" s="2">
        <v>5.4304484678506494E-2</v>
      </c>
      <c r="E766" s="2">
        <v>0.96999887742047952</v>
      </c>
    </row>
    <row r="767" spans="1:5" x14ac:dyDescent="0.3">
      <c r="A767" s="31">
        <v>2014.75</v>
      </c>
      <c r="B767" s="2">
        <v>0.87507369155015235</v>
      </c>
      <c r="C767" s="2">
        <v>7.2955000000000089E-2</v>
      </c>
      <c r="D767" s="2">
        <v>5.2084688363477599E-2</v>
      </c>
      <c r="E767" s="2">
        <v>0.9711743273842488</v>
      </c>
    </row>
    <row r="768" spans="1:5" x14ac:dyDescent="0.3">
      <c r="A768" s="31">
        <v>2014.8333333333333</v>
      </c>
      <c r="B768" s="2">
        <v>0.6717797112876569</v>
      </c>
      <c r="C768" s="2">
        <v>5.4700000000000075E-2</v>
      </c>
      <c r="D768" s="2">
        <v>3.0956748809339941E-2</v>
      </c>
      <c r="E768" s="2">
        <v>0.97460378688869509</v>
      </c>
    </row>
    <row r="769" spans="1:5" x14ac:dyDescent="0.3">
      <c r="A769" s="31">
        <v>2014.9166666666665</v>
      </c>
      <c r="B769" s="2">
        <v>0.81621163637073657</v>
      </c>
      <c r="C769" s="2">
        <v>7.2955000000000089E-2</v>
      </c>
      <c r="D769" s="2">
        <v>4.9758417217260952E-2</v>
      </c>
      <c r="E769" s="2">
        <v>0.97743105607116554</v>
      </c>
    </row>
    <row r="770" spans="1:5" x14ac:dyDescent="0.3">
      <c r="A770" s="31">
        <v>2014.9999999999998</v>
      </c>
      <c r="B770" s="2">
        <v>0.7814358332484358</v>
      </c>
      <c r="C770" s="2">
        <v>6.4966666666666673E-2</v>
      </c>
      <c r="D770" s="2">
        <v>4.9030914770990676E-2</v>
      </c>
      <c r="E770" s="2">
        <v>0.97424375901618143</v>
      </c>
    </row>
    <row r="771" spans="1:5" x14ac:dyDescent="0.3">
      <c r="A771" s="31">
        <v>2015.083333333333</v>
      </c>
      <c r="B771" s="2">
        <v>0.76664889375235801</v>
      </c>
      <c r="C771" s="2">
        <v>7.2955000000000089E-2</v>
      </c>
      <c r="D771" s="2">
        <v>4.8895782550785416E-2</v>
      </c>
      <c r="E771" s="2">
        <v>0.96550766980728508</v>
      </c>
    </row>
    <row r="772" spans="1:5" x14ac:dyDescent="0.3">
      <c r="A772" s="31">
        <v>2015.1666666666665</v>
      </c>
      <c r="B772" s="2">
        <v>0.7514411933395152</v>
      </c>
      <c r="C772" s="2">
        <v>8.3210000000000089E-2</v>
      </c>
      <c r="D772" s="2">
        <v>5.5895643276804428E-2</v>
      </c>
      <c r="E772" s="2">
        <v>0.95915638819960092</v>
      </c>
    </row>
    <row r="773" spans="1:5" x14ac:dyDescent="0.3">
      <c r="A773" s="31">
        <v>2015.2499999999998</v>
      </c>
      <c r="B773" s="2">
        <v>0.80072562955743587</v>
      </c>
      <c r="C773" s="2">
        <v>9.3460000000000057E-2</v>
      </c>
      <c r="D773" s="2">
        <v>7.1964460675901773E-2</v>
      </c>
      <c r="E773" s="2">
        <v>0.95664752295192845</v>
      </c>
    </row>
    <row r="774" spans="1:5" x14ac:dyDescent="0.3">
      <c r="A774" s="31">
        <v>2015.3333333333333</v>
      </c>
      <c r="B774" s="2">
        <v>0.83176089006719323</v>
      </c>
      <c r="C774" s="2">
        <v>8.3205000000000071E-2</v>
      </c>
      <c r="D774" s="2">
        <v>6.2604088195978902E-2</v>
      </c>
      <c r="E774" s="2">
        <v>0.96119359220718326</v>
      </c>
    </row>
    <row r="775" spans="1:5" x14ac:dyDescent="0.3">
      <c r="A775" s="31">
        <v>2015.4166666666665</v>
      </c>
      <c r="B775" s="2">
        <v>0.86657607675925064</v>
      </c>
      <c r="C775" s="2">
        <v>0.10944333333333345</v>
      </c>
      <c r="D775" s="2">
        <v>8.1257710534130723E-2</v>
      </c>
      <c r="E775" s="2">
        <v>0.9657386209723835</v>
      </c>
    </row>
    <row r="776" spans="1:5" x14ac:dyDescent="0.3">
      <c r="A776" s="31">
        <v>2015.4999999999998</v>
      </c>
      <c r="B776" s="2">
        <v>0.80448453319633628</v>
      </c>
      <c r="C776" s="2">
        <v>5.6971666666666691E-2</v>
      </c>
      <c r="D776" s="2">
        <v>4.8423762631346262E-2</v>
      </c>
      <c r="E776" s="2">
        <v>0.97575970823852842</v>
      </c>
    </row>
    <row r="777" spans="1:5" x14ac:dyDescent="0.3">
      <c r="A777" s="31">
        <v>2015.5833333333333</v>
      </c>
      <c r="B777" s="2">
        <v>0.78224383782623141</v>
      </c>
      <c r="C777" s="2">
        <v>8.3205000000000057E-2</v>
      </c>
      <c r="D777" s="2">
        <v>5.7314552071570317E-2</v>
      </c>
      <c r="E777" s="2">
        <v>0.98475894274801146</v>
      </c>
    </row>
    <row r="778" spans="1:5" x14ac:dyDescent="0.3">
      <c r="A778" s="31">
        <v>2015.6666666666665</v>
      </c>
      <c r="B778" s="2">
        <v>0.73967451853240895</v>
      </c>
      <c r="C778" s="2">
        <v>6.4971666666666691E-2</v>
      </c>
      <c r="D778" s="2">
        <v>4.5764360410677087E-2</v>
      </c>
      <c r="E778" s="2">
        <v>0.99554809601761418</v>
      </c>
    </row>
    <row r="779" spans="1:5" x14ac:dyDescent="0.3">
      <c r="A779" s="31">
        <v>2015.7499999999998</v>
      </c>
      <c r="B779" s="2">
        <v>0.72212850641630366</v>
      </c>
      <c r="C779" s="2">
        <v>8.3205000000000057E-2</v>
      </c>
      <c r="D779" s="2">
        <v>4.8830794205582811E-2</v>
      </c>
      <c r="E779" s="2">
        <v>1.0076579452774161</v>
      </c>
    </row>
    <row r="780" spans="1:5" x14ac:dyDescent="0.3">
      <c r="A780" s="31">
        <v>2015.8333333333333</v>
      </c>
      <c r="B780" s="2">
        <v>0.67631895508816198</v>
      </c>
      <c r="C780" s="2">
        <v>7.2938333333333452E-2</v>
      </c>
      <c r="D780" s="2">
        <v>3.7790937159235739E-2</v>
      </c>
      <c r="E780" s="2">
        <v>1.0189375839630663</v>
      </c>
    </row>
    <row r="781" spans="1:5" x14ac:dyDescent="0.3">
      <c r="A781" s="31">
        <v>2015.9166666666665</v>
      </c>
      <c r="B781" s="2">
        <v>0.63382509064776038</v>
      </c>
      <c r="C781" s="2">
        <v>7.5221666666666673E-2</v>
      </c>
      <c r="D781" s="2">
        <v>4.4441148979775101E-2</v>
      </c>
      <c r="E781" s="2">
        <v>1.0289074114997714</v>
      </c>
    </row>
  </sheetData>
  <autoFilter ref="A1:E1" xr:uid="{35FA5D1A-EEA3-4912-9AAB-93DC3B1964B1}">
    <sortState ref="A2:E78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DATA</vt:lpstr>
      <vt:lpstr>DATA-Match</vt:lpstr>
      <vt:lpstr>STDA-Match</vt:lpstr>
      <vt:lpstr>MonthlyRates</vt:lpstr>
      <vt:lpstr>Annual</vt:lpstr>
      <vt:lpstr>Pruebas de tendencia de Mann-K1</vt:lpstr>
      <vt:lpstr>var1</vt:lpstr>
      <vt:lpstr>var2</vt:lpstr>
      <vt:lpstr>var3</vt:lpstr>
      <vt:lpstr>var4</vt:lpstr>
      <vt:lpstr>Plots</vt:lpstr>
      <vt:lpstr>Hoja1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Lizcano</cp:lastModifiedBy>
  <dcterms:created xsi:type="dcterms:W3CDTF">2016-09-21T23:20:11Z</dcterms:created>
  <dcterms:modified xsi:type="dcterms:W3CDTF">2021-04-24T21:15:59Z</dcterms:modified>
</cp:coreProperties>
</file>